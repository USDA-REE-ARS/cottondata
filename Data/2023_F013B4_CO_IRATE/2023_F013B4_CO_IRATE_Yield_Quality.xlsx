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defaultThemeVersion="166925"/>
  <mc:AlternateContent xmlns:mc="http://schemas.openxmlformats.org/markup-compatibility/2006">
    <mc:Choice Requires="x15">
      <x15ac:absPath xmlns:x15ac="http://schemas.microsoft.com/office/spreadsheetml/2010/11/ac" url="E:\mnt\Data1\USDA-ALARC\GIS\PDI project\cottondata\Data\2023_F013B4_CO_IRATE\"/>
    </mc:Choice>
  </mc:AlternateContent>
  <xr:revisionPtr revIDLastSave="0" documentId="13_ncr:1_{7BC1B8F5-6C81-4E3D-B682-BAC9841D5C52}" xr6:coauthVersionLast="47" xr6:coauthVersionMax="47" xr10:uidLastSave="{00000000-0000-0000-0000-000000000000}"/>
  <bookViews>
    <workbookView xWindow="16410" yWindow="-25620" windowWidth="17715" windowHeight="19890" xr2:uid="{A0C8E5E1-3BB8-481A-9E5C-615F618DEDC4}"/>
  </bookViews>
  <sheets>
    <sheet name="Raw Scale" sheetId="1" r:id="rId1"/>
    <sheet name="Plot Scale" sheetId="2" r:id="rId2"/>
    <sheet name="Harvest" sheetId="3" r:id="rId3"/>
    <sheet name="Ginning - bulk" sheetId="4" r:id="rId4"/>
    <sheet name="Ginning data sheet" sheetId="5" r:id="rId5"/>
    <sheet name="Moisture content" sheetId="6" r:id="rId6"/>
    <sheet name="HVI" sheetId="7" r:id="rId7"/>
  </sheets>
  <definedNames>
    <definedName name="_xlnm.Print_Area" localSheetId="3">'Ginning - bulk'!$Q$1:$T$39</definedName>
    <definedName name="_xlnm.Print_Area" localSheetId="4">'Ginning data sheet'!$S$1:$V$43</definedName>
    <definedName name="_xlnm.Print_Area" localSheetId="2">Harvest!$R$1:$W$44</definedName>
    <definedName name="_xlnm.Print_Area" localSheetId="5">'Moisture content'!$U$1:$AA$50</definedName>
    <definedName name="_xlnm.Print_Titles" localSheetId="3">'Ginning - bulk'!$5:$5</definedName>
    <definedName name="_xlnm.Print_Titles" localSheetId="4">'Ginning data sheet'!$11:$11</definedName>
    <definedName name="_xlnm.Print_Titles" localSheetId="2">Harvest!$12:$12</definedName>
    <definedName name="_xlnm.Print_Titles" localSheetId="5">'Moisture content'!$17:$18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6" l="1"/>
  <c r="H19" i="6"/>
  <c r="N19" i="6"/>
  <c r="P19" i="6"/>
  <c r="Y19" i="6"/>
  <c r="AA19" i="6"/>
  <c r="F20" i="6"/>
  <c r="H20" i="6"/>
  <c r="N20" i="6"/>
  <c r="P20" i="6"/>
  <c r="Y20" i="6"/>
  <c r="AA20" i="6"/>
  <c r="F21" i="6"/>
  <c r="H21" i="6"/>
  <c r="N21" i="6"/>
  <c r="P21" i="6"/>
  <c r="Y21" i="6"/>
  <c r="AA21" i="6"/>
  <c r="F22" i="6"/>
  <c r="H22" i="6"/>
  <c r="N22" i="6"/>
  <c r="P22" i="6"/>
  <c r="Y22" i="6"/>
  <c r="AA22" i="6"/>
  <c r="F23" i="6"/>
  <c r="H23" i="6"/>
  <c r="N23" i="6"/>
  <c r="P23" i="6"/>
  <c r="Y23" i="6"/>
  <c r="AA23" i="6"/>
  <c r="F24" i="6"/>
  <c r="H24" i="6" s="1"/>
  <c r="N24" i="6"/>
  <c r="P24" i="6"/>
  <c r="Y24" i="6"/>
  <c r="AA24" i="6"/>
  <c r="F25" i="6"/>
  <c r="H25" i="6"/>
  <c r="N25" i="6"/>
  <c r="P25" i="6"/>
  <c r="Y25" i="6"/>
  <c r="AA25" i="6"/>
  <c r="F26" i="6"/>
  <c r="H26" i="6"/>
  <c r="N26" i="6"/>
  <c r="P26" i="6"/>
  <c r="Y26" i="6"/>
  <c r="AA26" i="6"/>
  <c r="F27" i="6"/>
  <c r="H27" i="6"/>
  <c r="N27" i="6"/>
  <c r="P27" i="6"/>
  <c r="Y27" i="6"/>
  <c r="AA27" i="6"/>
  <c r="F28" i="6"/>
  <c r="H28" i="6"/>
  <c r="N28" i="6"/>
  <c r="P28" i="6"/>
  <c r="Y28" i="6"/>
  <c r="AA28" i="6"/>
  <c r="F29" i="6"/>
  <c r="H29" i="6"/>
  <c r="N29" i="6"/>
  <c r="P29" i="6" s="1"/>
  <c r="Y29" i="6"/>
  <c r="AA29" i="6"/>
  <c r="F30" i="6"/>
  <c r="H30" i="6"/>
  <c r="N30" i="6"/>
  <c r="P30" i="6"/>
  <c r="Y30" i="6"/>
  <c r="AA30" i="6"/>
  <c r="Y31" i="6"/>
  <c r="AA31" i="6"/>
  <c r="Y32" i="6"/>
  <c r="AA32" i="6"/>
  <c r="Y33" i="6"/>
  <c r="AA33" i="6"/>
  <c r="Y34" i="6"/>
  <c r="AA34" i="6"/>
  <c r="Y35" i="6"/>
  <c r="AA35" i="6"/>
  <c r="Y36" i="6"/>
  <c r="AA36" i="6"/>
  <c r="Y37" i="6"/>
  <c r="AA37" i="6"/>
  <c r="Y38" i="6"/>
  <c r="AA38" i="6"/>
  <c r="Y39" i="6"/>
  <c r="AA39" i="6"/>
  <c r="Y40" i="6"/>
  <c r="AA40" i="6"/>
  <c r="Y41" i="6"/>
  <c r="AA41" i="6"/>
  <c r="Y42" i="6"/>
  <c r="AA42" i="6"/>
  <c r="Y43" i="6"/>
  <c r="AA43" i="6"/>
  <c r="Y44" i="6"/>
  <c r="AA44" i="6"/>
  <c r="Y45" i="6"/>
  <c r="AA45" i="6"/>
  <c r="Y46" i="6"/>
  <c r="AA46" i="6"/>
  <c r="Y47" i="6"/>
  <c r="AA47" i="6"/>
  <c r="Y48" i="6"/>
  <c r="AA48" i="6"/>
  <c r="Y49" i="6"/>
  <c r="AA49" i="6"/>
  <c r="Y50" i="6"/>
  <c r="AA50" i="6"/>
  <c r="H13" i="3"/>
  <c r="P13" i="3"/>
  <c r="H15" i="3"/>
  <c r="P15" i="3"/>
  <c r="H17" i="3"/>
  <c r="P17" i="3"/>
  <c r="H19" i="3"/>
  <c r="P19" i="3"/>
  <c r="BK66" i="1"/>
  <c r="BJ66" i="1"/>
  <c r="BM66" i="1" s="1"/>
  <c r="BI66" i="1"/>
  <c r="BH66" i="1"/>
  <c r="BG66" i="1"/>
  <c r="BE66" i="1"/>
  <c r="BD66" i="1"/>
  <c r="BC66" i="1"/>
  <c r="BB66" i="1"/>
  <c r="BA66" i="1"/>
  <c r="AZ66" i="1"/>
  <c r="AY66" i="1"/>
  <c r="AW66" i="1"/>
  <c r="AV66" i="1"/>
  <c r="V67" i="1"/>
  <c r="W67" i="1"/>
  <c r="Z67" i="1" s="1"/>
  <c r="V68" i="1"/>
  <c r="X68" i="1" s="1"/>
  <c r="W68" i="1"/>
  <c r="Z68" i="1" s="1"/>
  <c r="AC68" i="1"/>
  <c r="V69" i="1"/>
  <c r="Y69" i="1" s="1"/>
  <c r="W69" i="1"/>
  <c r="Z69" i="1" s="1"/>
  <c r="V70" i="1"/>
  <c r="AB70" i="1" s="1"/>
  <c r="W70" i="1"/>
  <c r="AC70" i="1" s="1"/>
  <c r="V71" i="1"/>
  <c r="AB71" i="1" s="1"/>
  <c r="W71" i="1"/>
  <c r="Z71" i="1" s="1"/>
  <c r="Y71" i="1"/>
  <c r="V72" i="1"/>
  <c r="Y72" i="1" s="1"/>
  <c r="W72" i="1"/>
  <c r="AC72" i="1" s="1"/>
  <c r="V73" i="1"/>
  <c r="AB73" i="1" s="1"/>
  <c r="W73" i="1"/>
  <c r="Z73" i="1" s="1"/>
  <c r="V74" i="1"/>
  <c r="W74" i="1"/>
  <c r="Z74" i="1" s="1"/>
  <c r="V75" i="1"/>
  <c r="W75" i="1"/>
  <c r="Z75" i="1" s="1"/>
  <c r="V76" i="1"/>
  <c r="W76" i="1"/>
  <c r="Z76" i="1" s="1"/>
  <c r="AB76" i="1"/>
  <c r="V77" i="1"/>
  <c r="AB77" i="1" s="1"/>
  <c r="W77" i="1"/>
  <c r="Z77" i="1" s="1"/>
  <c r="V78" i="1"/>
  <c r="AB78" i="1" s="1"/>
  <c r="W78" i="1"/>
  <c r="Z78" i="1" s="1"/>
  <c r="V79" i="1"/>
  <c r="AB79" i="1" s="1"/>
  <c r="W79" i="1"/>
  <c r="AC79" i="1" s="1"/>
  <c r="Y79" i="1"/>
  <c r="Z79" i="1"/>
  <c r="V80" i="1"/>
  <c r="Y80" i="1" s="1"/>
  <c r="W80" i="1"/>
  <c r="AC80" i="1" s="1"/>
  <c r="V81" i="1"/>
  <c r="W81" i="1"/>
  <c r="X81" i="1" s="1"/>
  <c r="Y81" i="1"/>
  <c r="AB81" i="1"/>
  <c r="V82" i="1"/>
  <c r="W82" i="1"/>
  <c r="Z82" i="1" s="1"/>
  <c r="V83" i="1"/>
  <c r="X83" i="1" s="1"/>
  <c r="W83" i="1"/>
  <c r="Z83" i="1" s="1"/>
  <c r="AC83" i="1"/>
  <c r="V84" i="1"/>
  <c r="X84" i="1" s="1"/>
  <c r="W84" i="1"/>
  <c r="AC84" i="1" s="1"/>
  <c r="Y84" i="1"/>
  <c r="V85" i="1"/>
  <c r="Y85" i="1" s="1"/>
  <c r="W85" i="1"/>
  <c r="Z85" i="1" s="1"/>
  <c r="X85" i="1"/>
  <c r="AB85" i="1"/>
  <c r="V86" i="1"/>
  <c r="Y86" i="1" s="1"/>
  <c r="W86" i="1"/>
  <c r="AC86" i="1" s="1"/>
  <c r="Z86" i="1"/>
  <c r="V87" i="1"/>
  <c r="AB87" i="1" s="1"/>
  <c r="W87" i="1"/>
  <c r="AC87" i="1" s="1"/>
  <c r="V88" i="1"/>
  <c r="Y88" i="1" s="1"/>
  <c r="W88" i="1"/>
  <c r="Z88" i="1" s="1"/>
  <c r="V89" i="1"/>
  <c r="W89" i="1"/>
  <c r="Z89" i="1" s="1"/>
  <c r="V90" i="1"/>
  <c r="W90" i="1"/>
  <c r="Z90" i="1" s="1"/>
  <c r="V91" i="1"/>
  <c r="W91" i="1"/>
  <c r="Z91" i="1" s="1"/>
  <c r="V92" i="1"/>
  <c r="W92" i="1"/>
  <c r="Z92" i="1" s="1"/>
  <c r="AB92" i="1"/>
  <c r="V93" i="1"/>
  <c r="W93" i="1"/>
  <c r="Z93" i="1" s="1"/>
  <c r="AB93" i="1"/>
  <c r="V94" i="1"/>
  <c r="AB94" i="1" s="1"/>
  <c r="W94" i="1"/>
  <c r="AC94" i="1" s="1"/>
  <c r="V95" i="1"/>
  <c r="Y95" i="1" s="1"/>
  <c r="W95" i="1"/>
  <c r="AC95" i="1" s="1"/>
  <c r="V96" i="1"/>
  <c r="Y96" i="1" s="1"/>
  <c r="W96" i="1"/>
  <c r="X96" i="1" s="1"/>
  <c r="AC96" i="1"/>
  <c r="V97" i="1"/>
  <c r="W97" i="1"/>
  <c r="Z97" i="1" s="1"/>
  <c r="V66" i="1"/>
  <c r="Q66" i="1"/>
  <c r="P89" i="1"/>
  <c r="AB69" i="1" l="1"/>
  <c r="Y87" i="1"/>
  <c r="AA87" i="1" s="1"/>
  <c r="AA69" i="1"/>
  <c r="AA85" i="1"/>
  <c r="AB95" i="1"/>
  <c r="AB86" i="1"/>
  <c r="AB84" i="1"/>
  <c r="AB68" i="1"/>
  <c r="AD68" i="1" s="1"/>
  <c r="BL66" i="1"/>
  <c r="Z96" i="1"/>
  <c r="AA96" i="1" s="1"/>
  <c r="Z94" i="1"/>
  <c r="AC76" i="1"/>
  <c r="X79" i="1"/>
  <c r="X80" i="1"/>
  <c r="X76" i="1"/>
  <c r="X90" i="1"/>
  <c r="AC75" i="1"/>
  <c r="X72" i="1"/>
  <c r="X97" i="1"/>
  <c r="Z84" i="1"/>
  <c r="X75" i="1"/>
  <c r="X95" i="1"/>
  <c r="X91" i="1"/>
  <c r="AA88" i="1"/>
  <c r="AD94" i="1"/>
  <c r="AC92" i="1"/>
  <c r="AD92" i="1" s="1"/>
  <c r="Z87" i="1"/>
  <c r="AC85" i="1"/>
  <c r="Z80" i="1"/>
  <c r="AA80" i="1" s="1"/>
  <c r="Z72" i="1"/>
  <c r="AA72" i="1" s="1"/>
  <c r="Z70" i="1"/>
  <c r="AD77" i="1"/>
  <c r="AD95" i="1"/>
  <c r="X82" i="1"/>
  <c r="AC78" i="1"/>
  <c r="X70" i="1"/>
  <c r="AD85" i="1"/>
  <c r="Z95" i="1"/>
  <c r="AA95" i="1" s="1"/>
  <c r="X94" i="1"/>
  <c r="X92" i="1"/>
  <c r="AC88" i="1"/>
  <c r="AD87" i="1"/>
  <c r="AA84" i="1"/>
  <c r="AD78" i="1"/>
  <c r="AD76" i="1"/>
  <c r="X74" i="1"/>
  <c r="AC69" i="1"/>
  <c r="AD69" i="1" s="1"/>
  <c r="AD84" i="1"/>
  <c r="X89" i="1"/>
  <c r="AC93" i="1"/>
  <c r="AC91" i="1"/>
  <c r="X88" i="1"/>
  <c r="AD86" i="1"/>
  <c r="AA71" i="1"/>
  <c r="AD79" i="1"/>
  <c r="AC67" i="1"/>
  <c r="AD93" i="1"/>
  <c r="X78" i="1"/>
  <c r="X73" i="1"/>
  <c r="X93" i="1"/>
  <c r="AA86" i="1"/>
  <c r="AA79" i="1"/>
  <c r="AC77" i="1"/>
  <c r="X69" i="1"/>
  <c r="X67" i="1"/>
  <c r="AD70" i="1"/>
  <c r="Y94" i="1"/>
  <c r="AA94" i="1" s="1"/>
  <c r="AB91" i="1"/>
  <c r="AC90" i="1"/>
  <c r="X87" i="1"/>
  <c r="AB83" i="1"/>
  <c r="AD83" i="1" s="1"/>
  <c r="AC82" i="1"/>
  <c r="Y78" i="1"/>
  <c r="AA78" i="1" s="1"/>
  <c r="AB75" i="1"/>
  <c r="AD75" i="1" s="1"/>
  <c r="AC74" i="1"/>
  <c r="X71" i="1"/>
  <c r="Y70" i="1"/>
  <c r="AB67" i="1"/>
  <c r="AC97" i="1"/>
  <c r="Y93" i="1"/>
  <c r="AA93" i="1" s="1"/>
  <c r="AB90" i="1"/>
  <c r="X86" i="1"/>
  <c r="AB82" i="1"/>
  <c r="AC81" i="1"/>
  <c r="AD81" i="1" s="1"/>
  <c r="Y77" i="1"/>
  <c r="AA77" i="1" s="1"/>
  <c r="AB74" i="1"/>
  <c r="AC73" i="1"/>
  <c r="AD73" i="1" s="1"/>
  <c r="AB97" i="1"/>
  <c r="AD97" i="1" s="1"/>
  <c r="Y92" i="1"/>
  <c r="AA92" i="1" s="1"/>
  <c r="X77" i="1"/>
  <c r="Y76" i="1"/>
  <c r="AA76" i="1" s="1"/>
  <c r="Y68" i="1"/>
  <c r="AA68" i="1" s="1"/>
  <c r="AB96" i="1"/>
  <c r="AD96" i="1" s="1"/>
  <c r="Y91" i="1"/>
  <c r="AA91" i="1" s="1"/>
  <c r="AB88" i="1"/>
  <c r="Y83" i="1"/>
  <c r="AA83" i="1" s="1"/>
  <c r="AB80" i="1"/>
  <c r="AD80" i="1" s="1"/>
  <c r="Y75" i="1"/>
  <c r="AA75" i="1" s="1"/>
  <c r="AB72" i="1"/>
  <c r="AD72" i="1" s="1"/>
  <c r="AC71" i="1"/>
  <c r="AD71" i="1" s="1"/>
  <c r="Y67" i="1"/>
  <c r="AA67" i="1" s="1"/>
  <c r="Y90" i="1"/>
  <c r="AA90" i="1" s="1"/>
  <c r="Y82" i="1"/>
  <c r="AA82" i="1" s="1"/>
  <c r="Z81" i="1"/>
  <c r="AA81" i="1" s="1"/>
  <c r="Y74" i="1"/>
  <c r="AA74" i="1" s="1"/>
  <c r="Y97" i="1"/>
  <c r="AA97" i="1" s="1"/>
  <c r="Y89" i="1"/>
  <c r="AA89" i="1" s="1"/>
  <c r="Y73" i="1"/>
  <c r="AA73" i="1" s="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66" i="1"/>
  <c r="J71" i="1"/>
  <c r="J66" i="1"/>
  <c r="I71" i="1"/>
  <c r="I66" i="1"/>
  <c r="AU96" i="1"/>
  <c r="AT96" i="1"/>
  <c r="AU94" i="1"/>
  <c r="AT94" i="1"/>
  <c r="AU92" i="1"/>
  <c r="AT92" i="1"/>
  <c r="AU90" i="1"/>
  <c r="AT90" i="1"/>
  <c r="AU88" i="1"/>
  <c r="AT88" i="1"/>
  <c r="AU86" i="1"/>
  <c r="AT86" i="1"/>
  <c r="AU84" i="1"/>
  <c r="AT84" i="1"/>
  <c r="AU82" i="1"/>
  <c r="AT82" i="1"/>
  <c r="AU80" i="1"/>
  <c r="AT80" i="1"/>
  <c r="AU78" i="1"/>
  <c r="AT78" i="1"/>
  <c r="AU76" i="1"/>
  <c r="AT76" i="1"/>
  <c r="AU74" i="1"/>
  <c r="AT74" i="1"/>
  <c r="AU72" i="1"/>
  <c r="AT72" i="1"/>
  <c r="AU70" i="1"/>
  <c r="AT70" i="1"/>
  <c r="AU68" i="1"/>
  <c r="AT68" i="1"/>
  <c r="AU66" i="1"/>
  <c r="AT66" i="1"/>
  <c r="AD88" i="1" l="1"/>
  <c r="AD82" i="1"/>
  <c r="AD67" i="1"/>
  <c r="AA70" i="1"/>
  <c r="AD91" i="1"/>
  <c r="AD90" i="1"/>
  <c r="AD74" i="1"/>
  <c r="W66" i="1"/>
  <c r="P66" i="1"/>
  <c r="P67" i="1"/>
  <c r="P68" i="1"/>
  <c r="P69" i="1"/>
  <c r="P70" i="1"/>
  <c r="P71" i="1"/>
  <c r="P72" i="1"/>
  <c r="P73" i="1"/>
  <c r="P74" i="1"/>
  <c r="P75" i="1"/>
  <c r="P76" i="1"/>
  <c r="P77" i="1"/>
  <c r="P78" i="1"/>
  <c r="P79" i="1"/>
  <c r="P80" i="1"/>
  <c r="P81" i="1"/>
  <c r="P82" i="1"/>
  <c r="P83" i="1"/>
  <c r="P84" i="1"/>
  <c r="P85" i="1"/>
  <c r="P86" i="1"/>
  <c r="P87" i="1"/>
  <c r="P88" i="1"/>
  <c r="P90" i="1"/>
  <c r="P91" i="1"/>
  <c r="P92" i="1"/>
  <c r="P93" i="1"/>
  <c r="P94" i="1"/>
  <c r="P95" i="1"/>
  <c r="P96" i="1"/>
  <c r="P97" i="1"/>
  <c r="I70" i="1"/>
  <c r="CE96" i="1"/>
  <c r="CD96" i="1"/>
  <c r="CC96" i="1"/>
  <c r="CA96" i="1"/>
  <c r="BZ96" i="1"/>
  <c r="BY96" i="1"/>
  <c r="BX96" i="1"/>
  <c r="BW96" i="1"/>
  <c r="BV96" i="1"/>
  <c r="BU96" i="1"/>
  <c r="BT96" i="1"/>
  <c r="BI96" i="1"/>
  <c r="BH96" i="1"/>
  <c r="BG96" i="1"/>
  <c r="BC96" i="1"/>
  <c r="BA96" i="1"/>
  <c r="AZ96" i="1"/>
  <c r="AV96" i="1"/>
  <c r="AW96" i="1" s="1"/>
  <c r="CE94" i="1"/>
  <c r="CD94" i="1"/>
  <c r="CC94" i="1"/>
  <c r="CA94" i="1"/>
  <c r="BZ94" i="1"/>
  <c r="BY94" i="1"/>
  <c r="BX94" i="1"/>
  <c r="BW94" i="1"/>
  <c r="BV94" i="1"/>
  <c r="BU94" i="1"/>
  <c r="BT94" i="1"/>
  <c r="BI94" i="1"/>
  <c r="BH94" i="1"/>
  <c r="BG94" i="1"/>
  <c r="BC94" i="1"/>
  <c r="BA94" i="1"/>
  <c r="AZ94" i="1"/>
  <c r="AV94" i="1"/>
  <c r="AW94" i="1" s="1"/>
  <c r="CE92" i="1"/>
  <c r="CD92" i="1"/>
  <c r="CC92" i="1"/>
  <c r="CA92" i="1"/>
  <c r="BZ92" i="1"/>
  <c r="BY92" i="1"/>
  <c r="BX92" i="1"/>
  <c r="BW92" i="1"/>
  <c r="BV92" i="1"/>
  <c r="BU92" i="1"/>
  <c r="BT92" i="1"/>
  <c r="BI92" i="1"/>
  <c r="BH92" i="1"/>
  <c r="BG92" i="1"/>
  <c r="BC92" i="1"/>
  <c r="BA92" i="1"/>
  <c r="AZ92" i="1"/>
  <c r="AV92" i="1"/>
  <c r="AW92" i="1" s="1"/>
  <c r="CE90" i="1"/>
  <c r="CD90" i="1"/>
  <c r="CC90" i="1"/>
  <c r="CA90" i="1"/>
  <c r="BZ90" i="1"/>
  <c r="BY90" i="1"/>
  <c r="BX90" i="1"/>
  <c r="BW90" i="1"/>
  <c r="BV90" i="1"/>
  <c r="BU90" i="1"/>
  <c r="BT90" i="1"/>
  <c r="BI90" i="1"/>
  <c r="BH90" i="1"/>
  <c r="BG90" i="1"/>
  <c r="BC90" i="1"/>
  <c r="BA90" i="1"/>
  <c r="AZ90" i="1"/>
  <c r="AV90" i="1"/>
  <c r="AW90" i="1" s="1"/>
  <c r="CE88" i="1"/>
  <c r="CD88" i="1"/>
  <c r="CC88" i="1"/>
  <c r="CA88" i="1"/>
  <c r="BZ88" i="1"/>
  <c r="BY88" i="1"/>
  <c r="BX88" i="1"/>
  <c r="BW88" i="1"/>
  <c r="BV88" i="1"/>
  <c r="BU88" i="1"/>
  <c r="BT88" i="1"/>
  <c r="BI88" i="1"/>
  <c r="BH88" i="1"/>
  <c r="BG88" i="1"/>
  <c r="BC88" i="1"/>
  <c r="BA88" i="1"/>
  <c r="AZ88" i="1"/>
  <c r="AV88" i="1"/>
  <c r="AW88" i="1" s="1"/>
  <c r="CE86" i="1"/>
  <c r="CD86" i="1"/>
  <c r="CC86" i="1"/>
  <c r="CA86" i="1"/>
  <c r="BZ86" i="1"/>
  <c r="BY86" i="1"/>
  <c r="BX86" i="1"/>
  <c r="BW86" i="1"/>
  <c r="BV86" i="1"/>
  <c r="BU86" i="1"/>
  <c r="BT86" i="1"/>
  <c r="BI86" i="1"/>
  <c r="BH86" i="1"/>
  <c r="BG86" i="1"/>
  <c r="BC86" i="1"/>
  <c r="BA86" i="1"/>
  <c r="AZ86" i="1"/>
  <c r="AV86" i="1"/>
  <c r="AW86" i="1" s="1"/>
  <c r="CE84" i="1"/>
  <c r="CD84" i="1"/>
  <c r="CC84" i="1"/>
  <c r="CA84" i="1"/>
  <c r="BZ84" i="1"/>
  <c r="BY84" i="1"/>
  <c r="BX84" i="1"/>
  <c r="BW84" i="1"/>
  <c r="BV84" i="1"/>
  <c r="BU84" i="1"/>
  <c r="BT84" i="1"/>
  <c r="BI84" i="1"/>
  <c r="BH84" i="1"/>
  <c r="BG84" i="1"/>
  <c r="BC84" i="1"/>
  <c r="BA84" i="1"/>
  <c r="AZ84" i="1"/>
  <c r="AV84" i="1"/>
  <c r="AW84" i="1" s="1"/>
  <c r="CE82" i="1"/>
  <c r="CD82" i="1"/>
  <c r="CC82" i="1"/>
  <c r="CA82" i="1"/>
  <c r="BZ82" i="1"/>
  <c r="BY82" i="1"/>
  <c r="BX82" i="1"/>
  <c r="BW82" i="1"/>
  <c r="BV82" i="1"/>
  <c r="BU82" i="1"/>
  <c r="BT82" i="1"/>
  <c r="BI82" i="1"/>
  <c r="BH82" i="1"/>
  <c r="BG82" i="1"/>
  <c r="BC82" i="1"/>
  <c r="BA82" i="1"/>
  <c r="AZ82" i="1"/>
  <c r="AV82" i="1"/>
  <c r="AW82" i="1" s="1"/>
  <c r="CE80" i="1"/>
  <c r="CD80" i="1"/>
  <c r="CC80" i="1"/>
  <c r="CA80" i="1"/>
  <c r="BZ80" i="1"/>
  <c r="BY80" i="1"/>
  <c r="BX80" i="1"/>
  <c r="BW80" i="1"/>
  <c r="BV80" i="1"/>
  <c r="BU80" i="1"/>
  <c r="BT80" i="1"/>
  <c r="BI80" i="1"/>
  <c r="BH80" i="1"/>
  <c r="BG80" i="1"/>
  <c r="BC80" i="1"/>
  <c r="BA80" i="1"/>
  <c r="AZ80" i="1"/>
  <c r="AV80" i="1"/>
  <c r="AW80" i="1" s="1"/>
  <c r="CE78" i="1"/>
  <c r="CD78" i="1"/>
  <c r="CC78" i="1"/>
  <c r="CA78" i="1"/>
  <c r="BZ78" i="1"/>
  <c r="BY78" i="1"/>
  <c r="BX78" i="1"/>
  <c r="BW78" i="1"/>
  <c r="BV78" i="1"/>
  <c r="BU78" i="1"/>
  <c r="BT78" i="1"/>
  <c r="BI78" i="1"/>
  <c r="BH78" i="1"/>
  <c r="BG78" i="1"/>
  <c r="BC78" i="1"/>
  <c r="BA78" i="1"/>
  <c r="AZ78" i="1"/>
  <c r="AV78" i="1"/>
  <c r="AW78" i="1" s="1"/>
  <c r="CE76" i="1"/>
  <c r="CD76" i="1"/>
  <c r="CC76" i="1"/>
  <c r="CA76" i="1"/>
  <c r="BZ76" i="1"/>
  <c r="BY76" i="1"/>
  <c r="BX76" i="1"/>
  <c r="BW76" i="1"/>
  <c r="BV76" i="1"/>
  <c r="BU76" i="1"/>
  <c r="BT76" i="1"/>
  <c r="BI76" i="1"/>
  <c r="BH76" i="1"/>
  <c r="BG76" i="1"/>
  <c r="BC76" i="1"/>
  <c r="BA76" i="1"/>
  <c r="AZ76" i="1"/>
  <c r="AV76" i="1"/>
  <c r="AW76" i="1" s="1"/>
  <c r="CE74" i="1"/>
  <c r="CD74" i="1"/>
  <c r="CC74" i="1"/>
  <c r="CA74" i="1"/>
  <c r="BZ74" i="1"/>
  <c r="BY74" i="1"/>
  <c r="BX74" i="1"/>
  <c r="BW74" i="1"/>
  <c r="BV74" i="1"/>
  <c r="BU74" i="1"/>
  <c r="BT74" i="1"/>
  <c r="BI74" i="1"/>
  <c r="BH74" i="1"/>
  <c r="BG74" i="1"/>
  <c r="BC74" i="1"/>
  <c r="BA74" i="1"/>
  <c r="AZ74" i="1"/>
  <c r="AV74" i="1"/>
  <c r="AW74" i="1" s="1"/>
  <c r="CE72" i="1"/>
  <c r="CD72" i="1"/>
  <c r="CC72" i="1"/>
  <c r="CA72" i="1"/>
  <c r="BZ72" i="1"/>
  <c r="BY72" i="1"/>
  <c r="BX72" i="1"/>
  <c r="BW72" i="1"/>
  <c r="BV72" i="1"/>
  <c r="BU72" i="1"/>
  <c r="BT72" i="1"/>
  <c r="BI72" i="1"/>
  <c r="BH72" i="1"/>
  <c r="BG72" i="1"/>
  <c r="BC72" i="1"/>
  <c r="BA72" i="1"/>
  <c r="AZ72" i="1"/>
  <c r="AV72" i="1"/>
  <c r="AW72" i="1" s="1"/>
  <c r="CE70" i="1"/>
  <c r="CD70" i="1"/>
  <c r="CC70" i="1"/>
  <c r="CA70" i="1"/>
  <c r="BZ70" i="1"/>
  <c r="BY70" i="1"/>
  <c r="BX70" i="1"/>
  <c r="BW70" i="1"/>
  <c r="BV70" i="1"/>
  <c r="BU70" i="1"/>
  <c r="BT70" i="1"/>
  <c r="BI70" i="1"/>
  <c r="BH70" i="1"/>
  <c r="BG70" i="1"/>
  <c r="BC70" i="1"/>
  <c r="BA70" i="1"/>
  <c r="AZ70" i="1"/>
  <c r="AV70" i="1"/>
  <c r="AW70" i="1" s="1"/>
  <c r="CE68" i="1"/>
  <c r="CD68" i="1"/>
  <c r="CC68" i="1"/>
  <c r="CA68" i="1"/>
  <c r="BZ68" i="1"/>
  <c r="BY68" i="1"/>
  <c r="BX68" i="1"/>
  <c r="BW68" i="1"/>
  <c r="BV68" i="1"/>
  <c r="BU68" i="1"/>
  <c r="BT68" i="1"/>
  <c r="BI68" i="1"/>
  <c r="BH68" i="1"/>
  <c r="BG68" i="1"/>
  <c r="BC68" i="1"/>
  <c r="BA68" i="1"/>
  <c r="AZ68" i="1"/>
  <c r="AV68" i="1"/>
  <c r="AW68" i="1" s="1"/>
  <c r="BV66" i="1"/>
  <c r="BW66" i="1"/>
  <c r="BX66" i="1"/>
  <c r="BY66" i="1"/>
  <c r="BZ66" i="1"/>
  <c r="CA66" i="1"/>
  <c r="CC66" i="1"/>
  <c r="CD66" i="1"/>
  <c r="CE66" i="1"/>
  <c r="BU66" i="1"/>
  <c r="X66" i="1" l="1"/>
  <c r="BJ92" i="1"/>
  <c r="BK92" i="1"/>
  <c r="BK84" i="1"/>
  <c r="BK76" i="1"/>
  <c r="BB84" i="1"/>
  <c r="BD84" i="1" s="1"/>
  <c r="BB92" i="1"/>
  <c r="BD92" i="1" s="1"/>
  <c r="BB94" i="1"/>
  <c r="BD94" i="1" s="1"/>
  <c r="BJ96" i="1"/>
  <c r="BK88" i="1"/>
  <c r="BJ74" i="1"/>
  <c r="BJ90" i="1"/>
  <c r="BK96" i="1"/>
  <c r="BB70" i="1"/>
  <c r="BD70" i="1" s="1"/>
  <c r="BK74" i="1"/>
  <c r="BB86" i="1"/>
  <c r="BD86" i="1" s="1"/>
  <c r="BK90" i="1"/>
  <c r="BB88" i="1"/>
  <c r="BD88" i="1" s="1"/>
  <c r="BK70" i="1"/>
  <c r="BK78" i="1"/>
  <c r="BK86" i="1"/>
  <c r="BB90" i="1"/>
  <c r="BD90" i="1" s="1"/>
  <c r="BJ94" i="1"/>
  <c r="BJ70" i="1"/>
  <c r="BJ80" i="1"/>
  <c r="BK94" i="1"/>
  <c r="BK80" i="1"/>
  <c r="BJ84" i="1"/>
  <c r="BJ68" i="1"/>
  <c r="BJ72" i="1"/>
  <c r="BB74" i="1"/>
  <c r="BD74" i="1" s="1"/>
  <c r="BJ82" i="1"/>
  <c r="BK68" i="1"/>
  <c r="BK72" i="1"/>
  <c r="BJ78" i="1"/>
  <c r="BB80" i="1"/>
  <c r="BD80" i="1" s="1"/>
  <c r="BK82" i="1"/>
  <c r="BJ86" i="1"/>
  <c r="BB76" i="1"/>
  <c r="BD76" i="1" s="1"/>
  <c r="BB96" i="1"/>
  <c r="BD96" i="1" s="1"/>
  <c r="BB68" i="1"/>
  <c r="BD68" i="1" s="1"/>
  <c r="BB72" i="1"/>
  <c r="BD72" i="1" s="1"/>
  <c r="BB82" i="1"/>
  <c r="BD82" i="1" s="1"/>
  <c r="BJ76" i="1"/>
  <c r="BB78" i="1"/>
  <c r="BD78" i="1" s="1"/>
  <c r="BJ88" i="1"/>
  <c r="BL84" i="1" l="1"/>
  <c r="BL92" i="1"/>
  <c r="BL96" i="1"/>
  <c r="BL88" i="1"/>
  <c r="BL76" i="1"/>
  <c r="BL94" i="1"/>
  <c r="BL90" i="1"/>
  <c r="BL74" i="1"/>
  <c r="BL72" i="1"/>
  <c r="BL70" i="1"/>
  <c r="BL78" i="1"/>
  <c r="BL80" i="1"/>
  <c r="BL86" i="1"/>
  <c r="BL82" i="1"/>
  <c r="BL68" i="1"/>
  <c r="I91" i="1" l="1"/>
  <c r="I67" i="1"/>
  <c r="I68" i="1"/>
  <c r="I69" i="1"/>
  <c r="I72" i="1"/>
  <c r="I73" i="1"/>
  <c r="I74" i="1"/>
  <c r="I75" i="1"/>
  <c r="I76" i="1"/>
  <c r="I77" i="1"/>
  <c r="I78" i="1"/>
  <c r="I79" i="1"/>
  <c r="I80" i="1"/>
  <c r="I81" i="1"/>
  <c r="I82" i="1"/>
  <c r="I83" i="1"/>
  <c r="I84" i="1"/>
  <c r="I85" i="1"/>
  <c r="I86" i="1"/>
  <c r="I87" i="1"/>
  <c r="I88" i="1"/>
  <c r="I89" i="1"/>
  <c r="I90" i="1"/>
  <c r="I92" i="1"/>
  <c r="I93" i="1"/>
  <c r="I94" i="1"/>
  <c r="I95" i="1"/>
  <c r="I96" i="1"/>
  <c r="I97" i="1"/>
  <c r="BT66" i="1" l="1"/>
  <c r="A49" i="1" l="1"/>
  <c r="A55" i="1" l="1"/>
  <c r="J67" i="1" l="1"/>
  <c r="J68" i="1"/>
  <c r="J97" i="1"/>
  <c r="J69" i="1"/>
  <c r="J83" i="1"/>
  <c r="J82" i="1"/>
  <c r="J87" i="1"/>
  <c r="J81" i="1"/>
  <c r="J96" i="1"/>
  <c r="J80" i="1"/>
  <c r="J95" i="1"/>
  <c r="J79" i="1"/>
  <c r="J94" i="1"/>
  <c r="J78" i="1"/>
  <c r="J84" i="1"/>
  <c r="J93" i="1"/>
  <c r="J77" i="1"/>
  <c r="J92" i="1"/>
  <c r="J76" i="1"/>
  <c r="J86" i="1"/>
  <c r="J91" i="1"/>
  <c r="J75" i="1"/>
  <c r="J90" i="1"/>
  <c r="J74" i="1"/>
  <c r="J89" i="1"/>
  <c r="J73" i="1"/>
  <c r="J88" i="1"/>
  <c r="J72" i="1"/>
  <c r="J70" i="1"/>
  <c r="J85" i="1"/>
  <c r="AX84" i="1" l="1"/>
  <c r="AY84" i="1" s="1"/>
  <c r="Q87" i="1"/>
  <c r="AX70" i="1"/>
  <c r="AY70" i="1" s="1"/>
  <c r="AX78" i="1"/>
  <c r="AY78" i="1" s="1"/>
  <c r="AX82" i="1"/>
  <c r="AY82" i="1" s="1"/>
  <c r="AX72" i="1"/>
  <c r="AY72" i="1" s="1"/>
  <c r="AX86" i="1"/>
  <c r="AY86" i="1" s="1"/>
  <c r="AX94" i="1"/>
  <c r="AY94" i="1" s="1"/>
  <c r="Q83" i="1"/>
  <c r="Q75" i="1"/>
  <c r="Q69" i="1"/>
  <c r="Q71" i="1"/>
  <c r="Q79" i="1"/>
  <c r="Q73" i="1"/>
  <c r="AX92" i="1"/>
  <c r="AY92" i="1" s="1"/>
  <c r="Q95" i="1"/>
  <c r="Q97" i="1"/>
  <c r="Q81" i="1"/>
  <c r="AX90" i="1"/>
  <c r="AY90" i="1" s="1"/>
  <c r="Q85" i="1"/>
  <c r="Q91" i="1"/>
  <c r="AX88" i="1"/>
  <c r="AY88" i="1" s="1"/>
  <c r="AX76" i="1"/>
  <c r="AY76" i="1" s="1"/>
  <c r="Q89" i="1"/>
  <c r="Q77" i="1"/>
  <c r="AX80" i="1"/>
  <c r="AY80" i="1" s="1"/>
  <c r="AX68" i="1"/>
  <c r="AY68" i="1" s="1"/>
  <c r="AX74" i="1"/>
  <c r="AY74" i="1" s="1"/>
  <c r="Q93" i="1"/>
  <c r="AX96" i="1"/>
  <c r="AY96" i="1" s="1"/>
  <c r="AX66" i="1"/>
  <c r="Q67" i="1"/>
  <c r="AC89" i="1" l="1"/>
  <c r="AB89" i="1"/>
  <c r="Q88" i="1"/>
  <c r="Q90" i="1"/>
  <c r="BM94" i="1"/>
  <c r="BN94" i="1"/>
  <c r="BE94" i="1"/>
  <c r="BM78" i="1"/>
  <c r="BE78" i="1"/>
  <c r="BN78" i="1"/>
  <c r="BE88" i="1"/>
  <c r="BM88" i="1"/>
  <c r="BN88" i="1"/>
  <c r="BM90" i="1"/>
  <c r="BE90" i="1"/>
  <c r="BN90" i="1"/>
  <c r="Q86" i="1"/>
  <c r="Q70" i="1"/>
  <c r="BE70" i="1"/>
  <c r="BM70" i="1"/>
  <c r="BN70" i="1"/>
  <c r="Z66" i="1"/>
  <c r="Y66" i="1"/>
  <c r="BE74" i="1"/>
  <c r="BN74" i="1"/>
  <c r="BM74" i="1"/>
  <c r="Q92" i="1"/>
  <c r="Q72" i="1"/>
  <c r="BM86" i="1"/>
  <c r="BN86" i="1"/>
  <c r="BE86" i="1"/>
  <c r="BN66" i="1"/>
  <c r="Q68" i="1"/>
  <c r="BM92" i="1"/>
  <c r="BE92" i="1"/>
  <c r="BN92" i="1"/>
  <c r="BM72" i="1"/>
  <c r="BE72" i="1"/>
  <c r="BN72" i="1"/>
  <c r="Q96" i="1"/>
  <c r="BE68" i="1"/>
  <c r="BN68" i="1"/>
  <c r="BM68" i="1"/>
  <c r="Q82" i="1"/>
  <c r="Q74" i="1"/>
  <c r="BM96" i="1"/>
  <c r="BE96" i="1"/>
  <c r="BN96" i="1"/>
  <c r="Q80" i="1"/>
  <c r="Q76" i="1"/>
  <c r="BM82" i="1"/>
  <c r="BN82" i="1"/>
  <c r="BE82" i="1"/>
  <c r="Q84" i="1"/>
  <c r="BM80" i="1"/>
  <c r="BE80" i="1"/>
  <c r="BN80" i="1"/>
  <c r="BN76" i="1"/>
  <c r="BM76" i="1"/>
  <c r="BE76" i="1"/>
  <c r="Q94" i="1"/>
  <c r="Q78" i="1"/>
  <c r="BN84" i="1"/>
  <c r="BE84" i="1"/>
  <c r="BM84" i="1"/>
  <c r="BO74" i="1" l="1"/>
  <c r="AD89" i="1"/>
  <c r="BO76" i="1"/>
  <c r="BO90" i="1"/>
  <c r="AA66" i="1"/>
  <c r="BO82" i="1"/>
  <c r="BO86" i="1"/>
  <c r="BO78" i="1"/>
  <c r="BO92" i="1"/>
  <c r="BO70" i="1"/>
  <c r="BO68" i="1"/>
  <c r="BO84" i="1"/>
  <c r="BQ70" i="1"/>
  <c r="BP70" i="1"/>
  <c r="BQ84" i="1"/>
  <c r="BP84" i="1"/>
  <c r="BO66" i="1"/>
  <c r="BO94" i="1"/>
  <c r="BP74" i="1"/>
  <c r="BQ74" i="1"/>
  <c r="BP96" i="1"/>
  <c r="BQ96" i="1"/>
  <c r="BO80" i="1"/>
  <c r="BQ82" i="1"/>
  <c r="BP82" i="1"/>
  <c r="BO96" i="1"/>
  <c r="BQ68" i="1"/>
  <c r="BP68" i="1"/>
  <c r="BO72" i="1"/>
  <c r="BP86" i="1"/>
  <c r="BQ86" i="1"/>
  <c r="BP90" i="1"/>
  <c r="BQ90" i="1"/>
  <c r="BQ80" i="1"/>
  <c r="BP80" i="1"/>
  <c r="BQ72" i="1"/>
  <c r="BP72" i="1"/>
  <c r="AC66" i="1"/>
  <c r="AB66" i="1"/>
  <c r="BO88" i="1"/>
  <c r="BP78" i="1"/>
  <c r="BQ78" i="1"/>
  <c r="BQ92" i="1"/>
  <c r="BP92" i="1"/>
  <c r="BP88" i="1"/>
  <c r="BQ88" i="1"/>
  <c r="BQ66" i="1"/>
  <c r="BP66" i="1"/>
  <c r="BP76" i="1"/>
  <c r="BQ76" i="1"/>
  <c r="BQ94" i="1"/>
  <c r="BP94" i="1"/>
  <c r="BR84" i="1" l="1"/>
  <c r="BR80" i="1"/>
  <c r="BR94" i="1"/>
  <c r="BR66" i="1"/>
  <c r="BR72" i="1"/>
  <c r="BR92" i="1"/>
  <c r="BR90" i="1"/>
  <c r="AD66" i="1"/>
  <c r="BR82" i="1"/>
  <c r="BR88" i="1"/>
  <c r="BR76" i="1"/>
  <c r="BR78" i="1"/>
  <c r="BR86" i="1"/>
  <c r="BR96" i="1"/>
  <c r="BR68" i="1"/>
  <c r="BR74" i="1"/>
  <c r="BR70" i="1"/>
</calcChain>
</file>

<file path=xl/sharedStrings.xml><?xml version="1.0" encoding="utf-8"?>
<sst xmlns="http://schemas.openxmlformats.org/spreadsheetml/2006/main" count="2143" uniqueCount="390">
  <si>
    <t>Range</t>
  </si>
  <si>
    <t>Column</t>
  </si>
  <si>
    <t>Harvest</t>
  </si>
  <si>
    <t>Area</t>
  </si>
  <si>
    <t>Field wt</t>
  </si>
  <si>
    <t>in bag</t>
  </si>
  <si>
    <t>(lbs)</t>
  </si>
  <si>
    <t>Picker pass</t>
  </si>
  <si>
    <t>number</t>
  </si>
  <si>
    <t>Gleaning weight over the full pass #01 length from a second pass of the picker (lbs)</t>
  </si>
  <si>
    <t>Gleaning weight over the full pass #02 length from a second pass of the picker (lbs)</t>
  </si>
  <si>
    <t>Gleaning weight over the full pass #03 length from a second pass of the picker (lbs)</t>
  </si>
  <si>
    <t>Gleaning weight over the full pass #04 length from a second pass of the picker (lbs)</t>
  </si>
  <si>
    <t>Column C - Harvest area label (6 harvest areas per plot)</t>
  </si>
  <si>
    <t>Parameters</t>
  </si>
  <si>
    <t>less bag</t>
  </si>
  <si>
    <t>kg per lb</t>
  </si>
  <si>
    <t>m2 per ha</t>
  </si>
  <si>
    <t>Fraction of gleaning weight per harvest area</t>
  </si>
  <si>
    <t>WBWAH</t>
  </si>
  <si>
    <t>(kg/ha)</t>
  </si>
  <si>
    <t>BWCAH</t>
  </si>
  <si>
    <t>DBWAH</t>
  </si>
  <si>
    <t>(%)</t>
  </si>
  <si>
    <t>FFRAC</t>
  </si>
  <si>
    <t>SFRAC</t>
  </si>
  <si>
    <t>TFRAC</t>
  </si>
  <si>
    <t>Moisture</t>
  </si>
  <si>
    <t>Ginning</t>
  </si>
  <si>
    <t>Bulk wt</t>
  </si>
  <si>
    <t>(kg)</t>
  </si>
  <si>
    <t>Seed wt</t>
  </si>
  <si>
    <t>Fiber wt</t>
  </si>
  <si>
    <t>(g/g)</t>
  </si>
  <si>
    <t>Weight of a single mesh harvest bag with tags (based on the average weight of 10 bags) (lbs)</t>
  </si>
  <si>
    <t>(g)</t>
  </si>
  <si>
    <t>Sample wt</t>
  </si>
  <si>
    <t>Sample</t>
  </si>
  <si>
    <t>weight</t>
  </si>
  <si>
    <t>Wet</t>
  </si>
  <si>
    <t>Dry</t>
  </si>
  <si>
    <t>Weight</t>
  </si>
  <si>
    <t>Bag</t>
  </si>
  <si>
    <t>WFWAH</t>
  </si>
  <si>
    <t>WSWAH</t>
  </si>
  <si>
    <t>WSCWAH</t>
  </si>
  <si>
    <t>Compute</t>
  </si>
  <si>
    <t>DFWAH</t>
  </si>
  <si>
    <t>DSWAH</t>
  </si>
  <si>
    <t>DSCWAH</t>
  </si>
  <si>
    <t>PID</t>
  </si>
  <si>
    <t>Column A - Column number from plot layout</t>
  </si>
  <si>
    <t>Column B - Range number from plot layout</t>
  </si>
  <si>
    <t>Size of harvest area (2 40-inch rows by 10 m) (m2)</t>
  </si>
  <si>
    <t>Plot-scale calculations</t>
  </si>
  <si>
    <t>FBMIC</t>
  </si>
  <si>
    <t>FBLTH</t>
  </si>
  <si>
    <t>FBUNI</t>
  </si>
  <si>
    <t>FBSTR</t>
  </si>
  <si>
    <t>FBELO</t>
  </si>
  <si>
    <t>FBCRD</t>
  </si>
  <si>
    <t>FBCLB</t>
  </si>
  <si>
    <t>FBTCT</t>
  </si>
  <si>
    <t>FBTAR</t>
  </si>
  <si>
    <t>FBSFI</t>
  </si>
  <si>
    <t>21-2</t>
  </si>
  <si>
    <t>FBCGR</t>
  </si>
  <si>
    <t>(g/tex)</t>
  </si>
  <si>
    <t>(% ref)</t>
  </si>
  <si>
    <t>Quality</t>
  </si>
  <si>
    <t>HVI Sample ID</t>
  </si>
  <si>
    <t>(inches)</t>
  </si>
  <si>
    <t>Glean wt</t>
  </si>
  <si>
    <t>GNDAT</t>
  </si>
  <si>
    <t>Date</t>
  </si>
  <si>
    <t>QLDAT</t>
  </si>
  <si>
    <t>Weight of white mesh bag for fiber (kg)</t>
  </si>
  <si>
    <t>in bin</t>
  </si>
  <si>
    <t>Weight of seed bin at MAC gin (kg)</t>
  </si>
  <si>
    <t>21-4</t>
  </si>
  <si>
    <t>p1-1-W</t>
  </si>
  <si>
    <t>p1-1-E</t>
  </si>
  <si>
    <t>p1-2-W</t>
  </si>
  <si>
    <t>p1-2-E</t>
  </si>
  <si>
    <t>p1-3-W</t>
  </si>
  <si>
    <t>p1-3-E</t>
  </si>
  <si>
    <t>p1-4-W</t>
  </si>
  <si>
    <t>p1-4-E</t>
  </si>
  <si>
    <t>p1-5-W</t>
  </si>
  <si>
    <t>p1-5-E</t>
  </si>
  <si>
    <t>p1-6-W</t>
  </si>
  <si>
    <t>p1-6-E</t>
  </si>
  <si>
    <t>p1-7-W</t>
  </si>
  <si>
    <t>p1-7-E</t>
  </si>
  <si>
    <t>p1-8-W</t>
  </si>
  <si>
    <t>p1-8-E</t>
  </si>
  <si>
    <t>p2-1-W</t>
  </si>
  <si>
    <t>p2-1-E</t>
  </si>
  <si>
    <t>p2-2-W</t>
  </si>
  <si>
    <t>p2-2-E</t>
  </si>
  <si>
    <t>p2-3-W</t>
  </si>
  <si>
    <t>p2-3-E</t>
  </si>
  <si>
    <t>p2-4-W</t>
  </si>
  <si>
    <t>p2-4-E</t>
  </si>
  <si>
    <t>p2-5-W</t>
  </si>
  <si>
    <t>p2-5-E</t>
  </si>
  <si>
    <t>p2-6-W</t>
  </si>
  <si>
    <t>p2-6-E</t>
  </si>
  <si>
    <t>p2-7-W</t>
  </si>
  <si>
    <t>p2-7-E</t>
  </si>
  <si>
    <t>p2-8-W</t>
  </si>
  <si>
    <t>p2-8-E</t>
  </si>
  <si>
    <t>HID</t>
  </si>
  <si>
    <t>1</t>
  </si>
  <si>
    <t>2</t>
  </si>
  <si>
    <t>3</t>
  </si>
  <si>
    <t>4</t>
  </si>
  <si>
    <t>5</t>
  </si>
  <si>
    <t>6</t>
  </si>
  <si>
    <t>7</t>
  </si>
  <si>
    <t>8</t>
  </si>
  <si>
    <t>W</t>
  </si>
  <si>
    <t>E</t>
  </si>
  <si>
    <t>p1-1</t>
  </si>
  <si>
    <t>p1-2</t>
  </si>
  <si>
    <t>p1-3</t>
  </si>
  <si>
    <t>p1-4</t>
  </si>
  <si>
    <t>p1-5</t>
  </si>
  <si>
    <t>p1-6</t>
  </si>
  <si>
    <t>p1-7</t>
  </si>
  <si>
    <t>p1-8</t>
  </si>
  <si>
    <t>p2-1</t>
  </si>
  <si>
    <t>p2-2</t>
  </si>
  <si>
    <t>p2-3</t>
  </si>
  <si>
    <t>p2-4</t>
  </si>
  <si>
    <t>p2-5</t>
  </si>
  <si>
    <t>p2-6</t>
  </si>
  <si>
    <t>p2-7</t>
  </si>
  <si>
    <t>p2-8</t>
  </si>
  <si>
    <t>Column D - Harvest Area ID (HID)</t>
  </si>
  <si>
    <t>HARM</t>
  </si>
  <si>
    <t>HADAT</t>
  </si>
  <si>
    <t>Machine</t>
  </si>
  <si>
    <t>Column E - Harvest method (HARM)</t>
  </si>
  <si>
    <t>Column F - Harvest date (HADAT, mm/dd/yyyy)</t>
  </si>
  <si>
    <t>Column G - Count of picker passes across the field</t>
  </si>
  <si>
    <t>Column H - Field weight of bulk cotton in bag (lbs). Machine harvest 2 rows by 10 m into mesh bags. Weigh in field using IQ plus 300-DC scale.</t>
  </si>
  <si>
    <t>Column I - Field weight of bulk cotton minus bag weight (lbs)</t>
  </si>
  <si>
    <t>Column J - Gleaning weight (lbs) obtained from a second picker pass.</t>
  </si>
  <si>
    <t>Column K - Wet bulk weight at harvest (fiber + seed + trash) (WBWAH, kg/ha)</t>
  </si>
  <si>
    <t>Column L - Weight of Zip-lock plastic bag(s) for subsampling harvest bags for moisture content, only middle (M) harvest area bags were subsampled (g)</t>
  </si>
  <si>
    <t>Column M - Weight of bulk subsample for moisture content in plastic bag (g)</t>
  </si>
  <si>
    <t>Column N - Wet weight of bulk subsample prior to oven drying (g)</t>
  </si>
  <si>
    <t>Column O - Dry weight of bulk subsample after oven drying (g)</t>
  </si>
  <si>
    <t>Column P - Bulk water content at harvest (BWCAH, %)</t>
  </si>
  <si>
    <t>Column Q - Dry bulk weight at harvest (fiber + seed + trash) (0% water content) (DBWAH, kg/ha)</t>
  </si>
  <si>
    <t>Column R - Ginning Date (GNDAT, mm/dd/yyyy). Ginned using the MAC large gin with cleaners.</t>
  </si>
  <si>
    <t>Column S - Weight of bulk cotton in harvest bags prior to ginning, only middle (M) harvest areas were ginned (kg). Weigh using ALARC scale.</t>
  </si>
  <si>
    <t>Column V - Fiber fraction of bulk harvest after ginning (FFRAC, g/g)</t>
  </si>
  <si>
    <t>Column W - Seed fraction of bulk harvest after ginning (SFRAC, g/g)</t>
  </si>
  <si>
    <t>Column X - Trash fraction of bulk harvest after ginning (TFRAC, g/g)</t>
  </si>
  <si>
    <t>Column Y - Wet fiber weight at harvest (WFWAH, kg/ha)</t>
  </si>
  <si>
    <t>Column AA - Wet seed cotton weight at harvest (fiber + seed) (WSCWAH, kg/ha)</t>
  </si>
  <si>
    <t>Column AB - Dry fiber weight at harvest (DFWAH, kg/ha)</t>
  </si>
  <si>
    <t>Column AC - Dry seed weight at harvest (DSWAH, kg/ha)</t>
  </si>
  <si>
    <t>Column AD - Dry seed cotton weight at harvest (fiber + seed) (DSCWAH, kg/ha)</t>
  </si>
  <si>
    <t>Column AE - Sample ID for fiber samples sent to Cotton Incorporated HVI, only middle (M) harvest areas were tested.</t>
  </si>
  <si>
    <t>Column AF - Quality measurement date (QLDAT, mm/dd/yyyy)</t>
  </si>
  <si>
    <t>Column AG - Micronaire (FBMIC)</t>
  </si>
  <si>
    <t>Column AH - Upper half mean fiber length (FBLTH, inches)</t>
  </si>
  <si>
    <t>Column AI - Fiber uniformity (FBUNI, %)</t>
  </si>
  <si>
    <t>Column AJ - Fiber strength (FBSTR, g/tex)</t>
  </si>
  <si>
    <t>Column AK - Fiber elongation (FBELO, %)</t>
  </si>
  <si>
    <t>Column AL - Fiber Color Reflectance (FBCRD, % reflectance)</t>
  </si>
  <si>
    <t>Column AM - Fiber Color +b (FBCLB)</t>
  </si>
  <si>
    <t>Column AN - Fiber Color Grade (FBCGR)</t>
  </si>
  <si>
    <t>Column AO - Trash Area (FBTCT, number of particles)</t>
  </si>
  <si>
    <t>Column AP - Trash Area (FBTAR, % of surface covered by trash)</t>
  </si>
  <si>
    <t>Column AQ - Short Fiber Index (FBSFI, %)</t>
  </si>
  <si>
    <t>Column Z - Wet seed weight at harvest (WSWAH, kg/ha)</t>
  </si>
  <si>
    <t>Column T - Weight of fiber in bag after ginning (kg). Weigh using Diaa's Uline H-4593 scale.</t>
  </si>
  <si>
    <t>Column U - Weight of fuzzy seed in tub after ginning (kg). Weigh using Diaa's Uline H-4593 scale.</t>
  </si>
  <si>
    <t>991370111025</t>
  </si>
  <si>
    <t>991370112041</t>
  </si>
  <si>
    <t>991370121026</t>
  </si>
  <si>
    <t>991370122042</t>
  </si>
  <si>
    <t>991370131027</t>
  </si>
  <si>
    <t>991370132043</t>
  </si>
  <si>
    <t>991370141028</t>
  </si>
  <si>
    <t>991370142044</t>
  </si>
  <si>
    <t>991370151029</t>
  </si>
  <si>
    <t>991370152045</t>
  </si>
  <si>
    <t>991370161030</t>
  </si>
  <si>
    <t>991370162046</t>
  </si>
  <si>
    <t>991370171031</t>
  </si>
  <si>
    <t>991370172047</t>
  </si>
  <si>
    <t>991370181032</t>
  </si>
  <si>
    <t>991370182048</t>
  </si>
  <si>
    <t>991370211033</t>
  </si>
  <si>
    <t>991370212049</t>
  </si>
  <si>
    <t>991370221034</t>
  </si>
  <si>
    <t>991370222050</t>
  </si>
  <si>
    <t>991370231035</t>
  </si>
  <si>
    <t>991370232051</t>
  </si>
  <si>
    <t>991370241036</t>
  </si>
  <si>
    <t>991370242052</t>
  </si>
  <si>
    <t>991370251037</t>
  </si>
  <si>
    <t>991370252053</t>
  </si>
  <si>
    <t>991370261038</t>
  </si>
  <si>
    <t>991370262054</t>
  </si>
  <si>
    <t>991370271039</t>
  </si>
  <si>
    <t>991370272055</t>
  </si>
  <si>
    <t>991370281040</t>
  </si>
  <si>
    <t>991370282056</t>
  </si>
  <si>
    <t>31-3</t>
  </si>
  <si>
    <t>21-1</t>
  </si>
  <si>
    <t>11-2</t>
  </si>
  <si>
    <t>31-1</t>
  </si>
  <si>
    <t>11-1</t>
  </si>
  <si>
    <t>BEDS</t>
  </si>
  <si>
    <t>12-</t>
  </si>
  <si>
    <t>FLAT</t>
  </si>
  <si>
    <t>11-</t>
  </si>
  <si>
    <t>Three bags were dumped before weighing</t>
  </si>
  <si>
    <t>10-</t>
  </si>
  <si>
    <t>oops.dumped</t>
  </si>
  <si>
    <t>09-</t>
  </si>
  <si>
    <t>08-</t>
  </si>
  <si>
    <t>07-</t>
  </si>
  <si>
    <t>STRIP</t>
  </si>
  <si>
    <t>06-</t>
  </si>
  <si>
    <t>Slight picker problem, but weights should all be good.</t>
  </si>
  <si>
    <t>= 29.1-13.1</t>
  </si>
  <si>
    <t>NO TILL</t>
  </si>
  <si>
    <t>05-</t>
  </si>
  <si>
    <t>04-</t>
  </si>
  <si>
    <t>03-</t>
  </si>
  <si>
    <t>Half of bag 15 went into bag 14</t>
  </si>
  <si>
    <t>8 East</t>
  </si>
  <si>
    <t>2-</t>
  </si>
  <si>
    <t>7 East</t>
  </si>
  <si>
    <t>6 East</t>
  </si>
  <si>
    <t>02-</t>
  </si>
  <si>
    <t>5 East</t>
  </si>
  <si>
    <t>4 East</t>
  </si>
  <si>
    <t>3 East</t>
  </si>
  <si>
    <t>2 East</t>
  </si>
  <si>
    <t>1 East</t>
  </si>
  <si>
    <t>1-</t>
  </si>
  <si>
    <t>8 West</t>
  </si>
  <si>
    <t>7 West</t>
  </si>
  <si>
    <t>01-</t>
  </si>
  <si>
    <t>6 West</t>
  </si>
  <si>
    <t>5 West</t>
  </si>
  <si>
    <t>4 West</t>
  </si>
  <si>
    <t>3 West</t>
  </si>
  <si>
    <t>2 West</t>
  </si>
  <si>
    <t>1 West</t>
  </si>
  <si>
    <r>
      <t>Gleaning weight lb</t>
    </r>
    <r>
      <rPr>
        <sz val="9"/>
        <color theme="8" tint="-0.249977111117893"/>
        <rFont val="Calibri"/>
        <family val="2"/>
      </rPr>
      <t xml:space="preserve"> (harvester over strip from S to  N)</t>
    </r>
  </si>
  <si>
    <r>
      <t xml:space="preserve">Harvest weight </t>
    </r>
    <r>
      <rPr>
        <sz val="9"/>
        <color theme="1"/>
        <rFont val="Calibri"/>
        <family val="2"/>
      </rPr>
      <t>(from the field, in the bag)</t>
    </r>
    <r>
      <rPr>
        <b/>
        <sz val="9"/>
        <color theme="1"/>
        <rFont val="Calibri"/>
        <family val="2"/>
      </rPr>
      <t xml:space="preserve"> lb</t>
    </r>
  </si>
  <si>
    <t>Plot</t>
  </si>
  <si>
    <t>Averages</t>
  </si>
  <si>
    <t>Tillage
TRT</t>
  </si>
  <si>
    <r>
      <t xml:space="preserve">Weight of harvest bags: </t>
    </r>
    <r>
      <rPr>
        <b/>
        <sz val="10"/>
        <color theme="1"/>
        <rFont val="Calibri"/>
        <family val="2"/>
      </rPr>
      <t xml:space="preserve">   10 </t>
    </r>
    <r>
      <rPr>
        <sz val="10"/>
        <color rgb="FFFF0000"/>
        <rFont val="Calibri"/>
        <family val="2"/>
      </rPr>
      <t xml:space="preserve">  bags &amp; tags - </t>
    </r>
    <r>
      <rPr>
        <b/>
        <sz val="10"/>
        <color theme="1"/>
        <rFont val="Calibri"/>
        <family val="2"/>
      </rPr>
      <t xml:space="preserve">    4.6   </t>
    </r>
    <r>
      <rPr>
        <sz val="10"/>
        <color rgb="FFFF0000"/>
        <rFont val="Calibri"/>
        <family val="2"/>
      </rPr>
      <t xml:space="preserve"> lb</t>
    </r>
  </si>
  <si>
    <r>
      <t xml:space="preserve">Weight of harvest bags: </t>
    </r>
    <r>
      <rPr>
        <b/>
        <sz val="10"/>
        <color theme="1"/>
        <rFont val="Calibri"/>
        <family val="2"/>
      </rPr>
      <t xml:space="preserve">       </t>
    </r>
    <r>
      <rPr>
        <sz val="10"/>
        <color rgb="FFFF0000"/>
        <rFont val="Calibri"/>
        <family val="2"/>
      </rPr>
      <t xml:space="preserve">  bags &amp; tags - </t>
    </r>
    <r>
      <rPr>
        <b/>
        <sz val="10"/>
        <color theme="1"/>
        <rFont val="Calibri"/>
        <family val="2"/>
      </rPr>
      <t xml:space="preserve">            </t>
    </r>
    <r>
      <rPr>
        <sz val="10"/>
        <color rgb="FFFF0000"/>
        <rFont val="Calibri"/>
        <family val="2"/>
      </rPr>
      <t xml:space="preserve"> lb</t>
    </r>
  </si>
  <si>
    <r>
      <t xml:space="preserve">Weight of harvest bags: </t>
    </r>
    <r>
      <rPr>
        <b/>
        <sz val="10"/>
        <color theme="1"/>
        <rFont val="Calibri"/>
        <family val="2"/>
      </rPr>
      <t xml:space="preserve">    10 </t>
    </r>
    <r>
      <rPr>
        <sz val="10"/>
        <color rgb="FFFF0000"/>
        <rFont val="Calibri"/>
        <family val="2"/>
      </rPr>
      <t xml:space="preserve">  bags &amp; tags - </t>
    </r>
    <r>
      <rPr>
        <b/>
        <sz val="10"/>
        <color theme="1"/>
        <rFont val="Calibri"/>
        <family val="2"/>
      </rPr>
      <t xml:space="preserve">   4.6   </t>
    </r>
    <r>
      <rPr>
        <sz val="10"/>
        <color rgb="FFFF0000"/>
        <rFont val="Calibri"/>
        <family val="2"/>
      </rPr>
      <t xml:space="preserve"> lb</t>
    </r>
  </si>
  <si>
    <t>Using MAC farm's (J Subramani) IQ plus 300-DC platform scale</t>
  </si>
  <si>
    <t xml:space="preserve">Harvested: </t>
  </si>
  <si>
    <t xml:space="preserve">Into harvest bags with </t>
  </si>
  <si>
    <r>
      <t xml:space="preserve">Into harvest bags with </t>
    </r>
    <r>
      <rPr>
        <b/>
        <sz val="12"/>
        <color rgb="FFFF0000"/>
        <rFont val="Calibri"/>
        <family val="2"/>
      </rPr>
      <t>red</t>
    </r>
    <r>
      <rPr>
        <b/>
        <sz val="12"/>
        <color theme="1"/>
        <rFont val="Calibri"/>
        <family val="2"/>
      </rPr>
      <t xml:space="preserve"> tags</t>
    </r>
  </si>
  <si>
    <r>
      <t xml:space="preserve">Into harvest bags with </t>
    </r>
    <r>
      <rPr>
        <b/>
        <sz val="12"/>
        <color rgb="FF00B0F0"/>
        <rFont val="Calibri"/>
        <family val="2"/>
      </rPr>
      <t>blue</t>
    </r>
    <r>
      <rPr>
        <b/>
        <sz val="12"/>
        <color theme="1"/>
        <rFont val="Calibri"/>
        <family val="2"/>
      </rPr>
      <t xml:space="preserve"> tags</t>
    </r>
  </si>
  <si>
    <t>Marked in field with              paint</t>
  </si>
  <si>
    <r>
      <t xml:space="preserve">Marked in field with    </t>
    </r>
    <r>
      <rPr>
        <b/>
        <sz val="12"/>
        <color rgb="FFFFC000"/>
        <rFont val="Calibri"/>
        <family val="2"/>
      </rPr>
      <t>orange</t>
    </r>
    <r>
      <rPr>
        <b/>
        <sz val="12"/>
        <color theme="1"/>
        <rFont val="Calibri"/>
        <family val="2"/>
      </rPr>
      <t xml:space="preserve">    paint</t>
    </r>
  </si>
  <si>
    <r>
      <t xml:space="preserve">Marked in field with   </t>
    </r>
    <r>
      <rPr>
        <b/>
        <sz val="12"/>
        <color rgb="FF00B0F0"/>
        <rFont val="Calibri"/>
        <family val="2"/>
      </rPr>
      <t>blue</t>
    </r>
    <r>
      <rPr>
        <b/>
        <sz val="12"/>
        <color theme="1"/>
        <rFont val="Calibri"/>
        <family val="2"/>
      </rPr>
      <t xml:space="preserve">    paint</t>
    </r>
  </si>
  <si>
    <t>Span 7 (overhang)</t>
  </si>
  <si>
    <t>Eastern swaths</t>
  </si>
  <si>
    <t>Western swaths</t>
  </si>
  <si>
    <t>Cotton</t>
  </si>
  <si>
    <t>F13 b4</t>
  </si>
  <si>
    <t>Final harvest</t>
  </si>
  <si>
    <t>2023</t>
  </si>
  <si>
    <t>Seed cotton in bag (kg)</t>
  </si>
  <si>
    <t>In harvest bags with tags marked in BLACK</t>
  </si>
  <si>
    <t>In harvest bags with tags marked in RED</t>
  </si>
  <si>
    <t>In harvest bags with tag Marked in BLUE</t>
  </si>
  <si>
    <t>Ginned 14 Nov 2023</t>
  </si>
  <si>
    <t>weighed on our O'haus balance</t>
  </si>
  <si>
    <t>weight of     10  bags    2.08   kg</t>
  </si>
  <si>
    <t>Kelly weighing</t>
  </si>
  <si>
    <t>Seed cotton just before ginning</t>
  </si>
  <si>
    <t>in white mesh harvest bags.</t>
  </si>
  <si>
    <t>F13b4 - Cotton</t>
  </si>
  <si>
    <t>Seed in bin (kg)</t>
  </si>
  <si>
    <t>Lint in bag (kg)</t>
  </si>
  <si>
    <t>In harvest bags with White tags w/ BLUE tape</t>
  </si>
  <si>
    <t xml:space="preserve">In harvest bags with </t>
  </si>
  <si>
    <r>
      <t>weighed on MAC's</t>
    </r>
    <r>
      <rPr>
        <i/>
        <sz val="11"/>
        <color theme="1"/>
        <rFont val="Arial"/>
        <family val="2"/>
      </rPr>
      <t xml:space="preserve"> NEW</t>
    </r>
    <r>
      <rPr>
        <sz val="11"/>
        <color theme="1"/>
        <rFont val="Calibri"/>
        <family val="2"/>
        <scheme val="minor"/>
      </rPr>
      <t xml:space="preserve"> balance in the gin room - Uline H4593</t>
    </r>
  </si>
  <si>
    <t>weight of tub for seed    1.7    kg</t>
  </si>
  <si>
    <t>weight of bag for lint    .282   kg</t>
  </si>
  <si>
    <t>Ginned samples</t>
  </si>
  <si>
    <t>Ginned (date)</t>
  </si>
  <si>
    <t>wet basis       % moisture</t>
  </si>
  <si>
    <r>
      <t xml:space="preserve">Dry weight             </t>
    </r>
    <r>
      <rPr>
        <b/>
        <sz val="7"/>
        <color theme="1"/>
        <rFont val="Calibri"/>
        <family val="2"/>
        <scheme val="minor"/>
      </rPr>
      <t xml:space="preserve"> (no bag) </t>
    </r>
    <r>
      <rPr>
        <b/>
        <sz val="10"/>
        <color theme="1"/>
        <rFont val="Calibri"/>
        <family val="2"/>
        <scheme val="minor"/>
      </rPr>
      <t>(g)</t>
    </r>
  </si>
  <si>
    <t>Seed cotton (g)</t>
  </si>
  <si>
    <t>Seed cotton + bag (g)</t>
  </si>
  <si>
    <t>Plastic bag (g)</t>
  </si>
  <si>
    <t>Seed Cotton</t>
  </si>
  <si>
    <t>Seed cotton</t>
  </si>
  <si>
    <t>Calculated:</t>
  </si>
  <si>
    <t>From field:</t>
  </si>
  <si>
    <t>1545-1610h</t>
  </si>
  <si>
    <t>1610-1635h</t>
  </si>
  <si>
    <t xml:space="preserve">All weights taken on </t>
  </si>
  <si>
    <t>Dried cotton removed from bag &amp; weighed in a tared container.</t>
  </si>
  <si>
    <t>Plastic bags (with any remaining dust/chaff) then weighed.</t>
  </si>
  <si>
    <t xml:space="preserve"> cotton transferred to paper bags and placed in oven.</t>
  </si>
  <si>
    <t>After initial weighing of harvested cotton in the bags,</t>
  </si>
  <si>
    <t>After initial weighing of harvested cotton in the plastic bags,</t>
  </si>
  <si>
    <t>Samples taken in the field at harvest time, placed into sealed ziplock bags.</t>
  </si>
  <si>
    <t>Harvest-Seed Cotton Moisture Content</t>
  </si>
  <si>
    <t xml:space="preserve">Cotton </t>
  </si>
  <si>
    <t>F13b4 - lateral move irrigation</t>
  </si>
  <si>
    <t>The statements, recommendations and suggestions herein are based on experiments and information believed to be reliable only with regard to the products and/or processes involved at the time.  No guarantee is made of their accuracy, however, and the information is given without warranty as to its accuracy or reproducibility either expressed or implied, and does not authorize use of the information for purposes of advertisement or product endorsement or certification.  Likewise, no statement contained herein shall be construed as a permission or recommendation for the use of any information, product or process that may infringe any existing patents.  The use of trade names does not constitute endorsement of any product mentioned, nor is permission granted to use the name Cotton Incorporated or any of its trademarks in conjunction with the products involved.</t>
  </si>
  <si>
    <t>None</t>
  </si>
  <si>
    <t>CV%:</t>
  </si>
  <si>
    <t>Std:</t>
  </si>
  <si>
    <t>Avg:</t>
  </si>
  <si>
    <t>990130682018</t>
  </si>
  <si>
    <t>990131181011</t>
  </si>
  <si>
    <t>990130181001</t>
  </si>
  <si>
    <t>990130981009</t>
  </si>
  <si>
    <t>990131182023</t>
  </si>
  <si>
    <t>990130582017</t>
  </si>
  <si>
    <t>990130881008</t>
  </si>
  <si>
    <t>990130781007</t>
  </si>
  <si>
    <t>990130581005</t>
  </si>
  <si>
    <t>990130782019</t>
  </si>
  <si>
    <t>990130281002</t>
  </si>
  <si>
    <t>990131082022</t>
  </si>
  <si>
    <t>990130982021</t>
  </si>
  <si>
    <t>990130182013</t>
  </si>
  <si>
    <t>990131282024</t>
  </si>
  <si>
    <t>990130482016</t>
  </si>
  <si>
    <t>990130882020</t>
  </si>
  <si>
    <t>11-4</t>
  </si>
  <si>
    <t>990130282014</t>
  </si>
  <si>
    <t>990131281012</t>
  </si>
  <si>
    <t>990130681006</t>
  </si>
  <si>
    <t>990130381003</t>
  </si>
  <si>
    <t>990130481004</t>
  </si>
  <si>
    <t>990130382015</t>
  </si>
  <si>
    <t>990131081010</t>
  </si>
  <si>
    <t>Short
Fiber
Index</t>
  </si>
  <si>
    <t>Area
%</t>
  </si>
  <si>
    <t>Trash
Cnt</t>
  </si>
  <si>
    <t>Color
Grade</t>
  </si>
  <si>
    <t>+b</t>
  </si>
  <si>
    <t>Rd</t>
  </si>
  <si>
    <t>Elo</t>
  </si>
  <si>
    <t>Str</t>
  </si>
  <si>
    <t>UI</t>
  </si>
  <si>
    <t>UHML</t>
  </si>
  <si>
    <t>Mic</t>
  </si>
  <si>
    <t xml:space="preserve">Sample </t>
  </si>
  <si>
    <t>Sample
No</t>
  </si>
  <si>
    <t>High Volume Instrument</t>
  </si>
  <si>
    <t>HVI - Summary</t>
  </si>
  <si>
    <t>Completed:</t>
  </si>
  <si>
    <t>Start Date:</t>
  </si>
  <si>
    <t>KELLY THORP</t>
  </si>
  <si>
    <t>Group:</t>
  </si>
  <si>
    <t>USDA-ARS</t>
  </si>
  <si>
    <t>Customer:</t>
  </si>
  <si>
    <t>AG RESEARCH</t>
  </si>
  <si>
    <t>Reference:</t>
  </si>
  <si>
    <t>-None-</t>
  </si>
  <si>
    <t>Assist:</t>
  </si>
  <si>
    <t>Agriculture Research</t>
  </si>
  <si>
    <t>Department:</t>
  </si>
  <si>
    <t>Kelly Thorp</t>
  </si>
  <si>
    <t>Track No:</t>
  </si>
  <si>
    <t>KORETSKYA</t>
  </si>
  <si>
    <t>WorkBy:</t>
  </si>
  <si>
    <t>BARNESE</t>
  </si>
  <si>
    <t>Submitted:</t>
  </si>
  <si>
    <t>Project:</t>
  </si>
  <si>
    <t>HVI Report</t>
  </si>
  <si>
    <t>Page 1 of 1</t>
  </si>
  <si>
    <t>Cotton Incorporated</t>
  </si>
  <si>
    <t>Monday, February 19,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</si>
</sst>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00"/>
    <numFmt numFmtId="167" formatCode="mm/dd/yyyy"/>
    <numFmt numFmtId="168" formatCode="00"/>
    <numFmt numFmtId="169" formatCode="[$-409]d\-mmm;@"/>
    <numFmt numFmtId="170" formatCode="[$-409]d\-mmm\-yy;@"/>
    <numFmt numFmtId="171" formatCode="#.00"/>
    <numFmt numFmtId="172" formatCode="#.0"/>
    <numFmt numFmtId="173" formatCode="#.000"/>
    <numFmt numFmtId="174" formatCode="&quot;Total: &quot;@"/>
  </numFmts>
  <fonts count="73" x14ac:knownFonts="1">
    <font>
      <sz val="11"/>
      <color theme="1"/>
      <name val="Calibri"/>
      <family val="2"/>
      <scheme val="minor"/>
    </font>
    <font>
      <sz val="8"/>
      <name val="Calibri"/>
      <family val="2"/>
      <scheme val="minor"/>
    </font>
    <font>
      <sz val="11"/>
      <color theme="1"/>
      <name val="Calibri"/>
      <family val="2"/>
      <scheme val="minor"/>
    </font>
    <font>
      <sz val="11"/>
      <color theme="1"/>
      <name val="Arial"/>
      <family val="2"/>
    </font>
    <font>
      <b/>
      <sz val="11"/>
      <color theme="1"/>
      <name val="Calibri"/>
      <family val="2"/>
      <scheme val="minor"/>
    </font>
    <font>
      <sz val="11"/>
      <color theme="1"/>
      <name val="Calibri"/>
      <family val="2"/>
    </font>
    <font>
      <sz val="11"/>
      <color theme="8" tint="-0.249977111117893"/>
      <name val="Arial"/>
      <family val="2"/>
    </font>
    <font>
      <sz val="9"/>
      <color theme="1"/>
      <name val="Calibri"/>
      <family val="2"/>
      <scheme val="minor"/>
    </font>
    <font>
      <sz val="10"/>
      <color theme="1"/>
      <name val="Calibri Light"/>
      <family val="2"/>
    </font>
    <font>
      <sz val="9"/>
      <color theme="1"/>
      <name val="Calibri"/>
      <family val="2"/>
    </font>
    <font>
      <b/>
      <sz val="12"/>
      <color theme="1"/>
      <name val="Calibri"/>
      <family val="2"/>
    </font>
    <font>
      <b/>
      <sz val="11"/>
      <color theme="8" tint="-0.249977111117893"/>
      <name val="Arial"/>
      <family val="2"/>
    </font>
    <font>
      <sz val="15"/>
      <color theme="0"/>
      <name val="Arial"/>
      <family val="2"/>
    </font>
    <font>
      <sz val="15"/>
      <color theme="0"/>
      <name val="Calibri"/>
      <family val="2"/>
    </font>
    <font>
      <b/>
      <sz val="15"/>
      <color theme="0"/>
      <name val="Calibri"/>
      <family val="2"/>
    </font>
    <font>
      <sz val="8"/>
      <color rgb="FFFF0000"/>
      <name val="Arial"/>
      <family val="2"/>
    </font>
    <font>
      <sz val="11"/>
      <color rgb="FFFF0000"/>
      <name val="Arial"/>
      <family val="2"/>
    </font>
    <font>
      <sz val="12"/>
      <color theme="1"/>
      <name val="Calibri Light"/>
      <family val="2"/>
    </font>
    <font>
      <sz val="12"/>
      <color theme="1"/>
      <name val="Arial"/>
      <family val="2"/>
    </font>
    <font>
      <sz val="9"/>
      <color theme="1"/>
      <name val="Arial"/>
      <family val="2"/>
    </font>
    <font>
      <sz val="9"/>
      <color theme="8" tint="-0.249977111117893"/>
      <name val="Arial"/>
      <family val="2"/>
    </font>
    <font>
      <sz val="11"/>
      <name val="Arial"/>
      <family val="2"/>
    </font>
    <font>
      <b/>
      <sz val="12"/>
      <color theme="1"/>
      <name val="Calibri Light"/>
      <family val="2"/>
    </font>
    <font>
      <b/>
      <sz val="12"/>
      <color theme="1"/>
      <name val="Arial"/>
      <family val="2"/>
    </font>
    <font>
      <b/>
      <sz val="9"/>
      <color theme="8" tint="-0.249977111117893"/>
      <name val="Calibri"/>
      <family val="2"/>
    </font>
    <font>
      <sz val="9"/>
      <color theme="8" tint="-0.249977111117893"/>
      <name val="Calibri"/>
      <family val="2"/>
    </font>
    <font>
      <b/>
      <sz val="9"/>
      <color theme="1"/>
      <name val="Calibri"/>
      <family val="2"/>
    </font>
    <font>
      <b/>
      <sz val="10"/>
      <color theme="1"/>
      <name val="Calibri"/>
      <family val="2"/>
      <scheme val="minor"/>
    </font>
    <font>
      <b/>
      <sz val="10"/>
      <color theme="1"/>
      <name val="Calibri"/>
      <family val="2"/>
    </font>
    <font>
      <sz val="10"/>
      <color rgb="FFFF0000"/>
      <name val="Calibri"/>
      <family val="2"/>
    </font>
    <font>
      <b/>
      <sz val="10"/>
      <color theme="8" tint="-0.249977111117893"/>
      <name val="Calibri"/>
      <family val="2"/>
    </font>
    <font>
      <sz val="10"/>
      <color rgb="FFFF5757"/>
      <name val="Calibri"/>
      <family val="2"/>
    </font>
    <font>
      <b/>
      <sz val="9"/>
      <color theme="1"/>
      <name val="Calibri"/>
      <family val="2"/>
      <scheme val="minor"/>
    </font>
    <font>
      <b/>
      <sz val="12"/>
      <name val="Calibri"/>
      <family val="2"/>
    </font>
    <font>
      <b/>
      <sz val="11"/>
      <name val="Calibri"/>
      <family val="2"/>
    </font>
    <font>
      <b/>
      <sz val="12"/>
      <color rgb="FFFF0000"/>
      <name val="Calibri"/>
      <family val="2"/>
    </font>
    <font>
      <b/>
      <sz val="12"/>
      <color rgb="FF00B0F0"/>
      <name val="Calibri"/>
      <family val="2"/>
    </font>
    <font>
      <b/>
      <sz val="12"/>
      <color rgb="FFFFC000"/>
      <name val="Calibri"/>
      <family val="2"/>
    </font>
    <font>
      <b/>
      <sz val="20"/>
      <color theme="1"/>
      <name val="Calibri"/>
      <family val="2"/>
    </font>
    <font>
      <b/>
      <sz val="20"/>
      <color rgb="FFFF0000"/>
      <name val="Calibri"/>
      <family val="2"/>
    </font>
    <font>
      <sz val="20"/>
      <color theme="1"/>
      <name val="Arial"/>
      <family val="2"/>
    </font>
    <font>
      <sz val="20"/>
      <color theme="8" tint="-0.249977111117893"/>
      <name val="Arial"/>
      <family val="2"/>
    </font>
    <font>
      <b/>
      <sz val="20"/>
      <color theme="1"/>
      <name val="Calibri"/>
      <family val="2"/>
      <scheme val="minor"/>
    </font>
    <font>
      <b/>
      <sz val="20"/>
      <color rgb="FF0070C0"/>
      <name val="Calibri"/>
      <family val="2"/>
    </font>
    <font>
      <b/>
      <sz val="12"/>
      <color theme="8" tint="-0.249977111117893"/>
      <name val="Calibri"/>
      <family val="2"/>
    </font>
    <font>
      <sz val="16"/>
      <color theme="1"/>
      <name val="Calibri"/>
      <family val="2"/>
    </font>
    <font>
      <sz val="16"/>
      <color indexed="8"/>
      <name val="Calibri"/>
      <family val="2"/>
    </font>
    <font>
      <b/>
      <sz val="14"/>
      <color theme="1"/>
      <name val="Calibri"/>
      <family val="2"/>
    </font>
    <font>
      <sz val="8"/>
      <color theme="1"/>
      <name val="Calibri"/>
      <family val="2"/>
    </font>
    <font>
      <b/>
      <sz val="9"/>
      <color indexed="8"/>
      <name val="Calibri"/>
      <family val="2"/>
    </font>
    <font>
      <sz val="11"/>
      <name val="Calibri"/>
      <family val="2"/>
    </font>
    <font>
      <sz val="14"/>
      <color theme="1"/>
      <name val="Calibri"/>
      <family val="2"/>
    </font>
    <font>
      <sz val="16"/>
      <color theme="1"/>
      <name val="Arial"/>
      <family val="2"/>
    </font>
    <font>
      <sz val="16"/>
      <color indexed="8"/>
      <name val="Arial Narrow"/>
      <family val="2"/>
    </font>
    <font>
      <b/>
      <sz val="11"/>
      <color indexed="8"/>
      <name val="Arial Narrow"/>
      <family val="2"/>
    </font>
    <font>
      <sz val="16"/>
      <color theme="1"/>
      <name val="Calibri"/>
      <family val="2"/>
      <scheme val="minor"/>
    </font>
    <font>
      <b/>
      <sz val="12"/>
      <color theme="0" tint="-4.9989318521683403E-2"/>
      <name val="Calibri"/>
      <family val="2"/>
    </font>
    <font>
      <b/>
      <sz val="12"/>
      <color theme="0"/>
      <name val="Calibri"/>
      <family val="2"/>
    </font>
    <font>
      <b/>
      <sz val="11"/>
      <color theme="0"/>
      <name val="Calibri"/>
      <family val="2"/>
    </font>
    <font>
      <sz val="12"/>
      <color rgb="FFFF0000"/>
      <name val="Calibri"/>
      <family val="2"/>
    </font>
    <font>
      <sz val="14"/>
      <color theme="1"/>
      <name val="Calibri"/>
      <family val="2"/>
      <scheme val="minor"/>
    </font>
    <font>
      <sz val="8"/>
      <color theme="1"/>
      <name val="Arial"/>
      <family val="2"/>
    </font>
    <font>
      <b/>
      <sz val="16"/>
      <color theme="1"/>
      <name val="Calibri"/>
      <family val="2"/>
    </font>
    <font>
      <b/>
      <sz val="14"/>
      <color theme="1"/>
      <name val="Calibri"/>
      <family val="2"/>
      <scheme val="minor"/>
    </font>
    <font>
      <i/>
      <sz val="11"/>
      <color theme="1"/>
      <name val="Arial"/>
      <family val="2"/>
    </font>
    <font>
      <sz val="11"/>
      <color indexed="8"/>
      <name val="Arial Narrow"/>
      <family val="2"/>
    </font>
    <font>
      <sz val="11"/>
      <name val="Arial Narrow"/>
      <family val="2"/>
    </font>
    <font>
      <b/>
      <sz val="7"/>
      <color theme="1"/>
      <name val="Calibri"/>
      <family val="2"/>
      <scheme val="minor"/>
    </font>
    <font>
      <sz val="11"/>
      <color theme="0"/>
      <name val="Arial"/>
      <family val="2"/>
    </font>
    <font>
      <i/>
      <sz val="11"/>
      <color theme="1"/>
      <name val="Calibri"/>
      <family val="2"/>
      <scheme val="minor"/>
    </font>
    <font>
      <sz val="8"/>
      <color theme="1"/>
      <name val="Calibri"/>
      <family val="2"/>
      <scheme val="minor"/>
    </font>
    <font>
      <sz val="8"/>
      <color rgb="FF000000"/>
      <name val="Trebuchet MS"/>
    </font>
    <font>
      <sz val="14"/>
      <color rgb="FF000000"/>
      <name val="Trebuchet MS"/>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0070C0"/>
        <bgColor indexed="64"/>
      </patternFill>
    </fill>
    <fill>
      <patternFill patternType="solid">
        <fgColor theme="7" tint="0.79998168889431442"/>
        <bgColor indexed="64"/>
      </patternFill>
    </fill>
    <fill>
      <patternFill patternType="solid">
        <fgColor rgb="FFD3D3D3"/>
      </patternFill>
    </fill>
  </fills>
  <borders count="58">
    <border>
      <left/>
      <right/>
      <top/>
      <bottom/>
      <diagonal/>
    </border>
    <border>
      <left/>
      <right/>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medium">
        <color auto="1"/>
      </top>
      <bottom/>
      <diagonal/>
    </border>
    <border>
      <left style="thin">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style="thin">
        <color theme="1" tint="0.499984740745262"/>
      </left>
      <right/>
      <top/>
      <bottom style="thick">
        <color theme="4" tint="-0.499984740745262"/>
      </bottom>
      <diagonal/>
    </border>
    <border>
      <left style="thin">
        <color theme="1" tint="0.499984740745262"/>
      </left>
      <right style="thin">
        <color theme="1" tint="0.499984740745262"/>
      </right>
      <top style="thin">
        <color theme="1" tint="0.499984740745262"/>
      </top>
      <bottom style="thick">
        <color theme="4" tint="-0.499984740745262"/>
      </bottom>
      <diagonal/>
    </border>
    <border>
      <left/>
      <right style="thin">
        <color theme="1" tint="0.499984740745262"/>
      </right>
      <top style="thin">
        <color theme="1" tint="0.499984740745262"/>
      </top>
      <bottom style="thick">
        <color theme="4" tint="-0.499984740745262"/>
      </bottom>
      <diagonal/>
    </border>
    <border>
      <left/>
      <right/>
      <top style="thin">
        <color theme="1" tint="0.499984740745262"/>
      </top>
      <bottom style="thick">
        <color theme="4" tint="-0.499984740745262"/>
      </bottom>
      <diagonal/>
    </border>
    <border>
      <left style="thin">
        <color theme="1" tint="0.499984740745262"/>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right style="thin">
        <color theme="1" tint="0.499984740745262"/>
      </right>
      <top/>
      <bottom style="thin">
        <color theme="1" tint="0.499984740745262"/>
      </bottom>
      <diagonal/>
    </border>
    <border>
      <left/>
      <right/>
      <top/>
      <bottom style="thin">
        <color theme="1" tint="0.499984740745262"/>
      </bottom>
      <diagonal/>
    </border>
    <border>
      <left style="thin">
        <color theme="1" tint="0.499984740745262"/>
      </left>
      <right/>
      <top style="medium">
        <color theme="1" tint="0.499984740745262"/>
      </top>
      <bottom/>
      <diagonal/>
    </border>
    <border>
      <left style="thin">
        <color theme="1" tint="0.499984740745262"/>
      </left>
      <right style="thin">
        <color theme="1" tint="0.499984740745262"/>
      </right>
      <top style="medium">
        <color theme="1" tint="0.499984740745262"/>
      </top>
      <bottom style="thin">
        <color theme="1" tint="0.499984740745262"/>
      </bottom>
      <diagonal/>
    </border>
    <border>
      <left/>
      <right style="thin">
        <color theme="1" tint="0.499984740745262"/>
      </right>
      <top style="medium">
        <color theme="1" tint="0.499984740745262"/>
      </top>
      <bottom style="thin">
        <color theme="1" tint="0.499984740745262"/>
      </bottom>
      <diagonal/>
    </border>
    <border>
      <left/>
      <right/>
      <top style="medium">
        <color theme="1" tint="0.499984740745262"/>
      </top>
      <bottom style="thin">
        <color theme="1" tint="0.499984740745262"/>
      </bottom>
      <diagonal/>
    </border>
    <border>
      <left style="medium">
        <color theme="2" tint="-0.499984740745262"/>
      </left>
      <right style="medium">
        <color theme="2" tint="-0.499984740745262"/>
      </right>
      <top style="thin">
        <color theme="2" tint="-0.499984740745262"/>
      </top>
      <bottom style="medium">
        <color theme="2" tint="-0.499984740745262"/>
      </bottom>
      <diagonal/>
    </border>
    <border>
      <left/>
      <right/>
      <top style="thin">
        <color theme="2" tint="-0.499984740745262"/>
      </top>
      <bottom style="medium">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right/>
      <top/>
      <bottom style="thin">
        <color theme="2" tint="-0.499984740745262"/>
      </bottom>
      <diagonal/>
    </border>
    <border>
      <left/>
      <right/>
      <top/>
      <bottom style="thin">
        <color auto="1"/>
      </bottom>
      <diagonal/>
    </border>
    <border>
      <left style="thin">
        <color theme="1" tint="0.499984740745262"/>
      </left>
      <right style="medium">
        <color theme="1" tint="0.499984740745262"/>
      </right>
      <top style="thin">
        <color theme="1" tint="0.499984740745262"/>
      </top>
      <bottom style="medium">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style="medium">
        <color theme="1" tint="0.499984740745262"/>
      </left>
      <right/>
      <top style="thin">
        <color theme="1" tint="0.499984740745262"/>
      </top>
      <bottom style="medium">
        <color theme="1" tint="0.499984740745262"/>
      </bottom>
      <diagonal/>
    </border>
    <border>
      <left style="thin">
        <color theme="1" tint="0.499984740745262"/>
      </left>
      <right style="medium">
        <color theme="1" tint="0.499984740745262"/>
      </right>
      <top style="thin">
        <color theme="1" tint="0.499984740745262"/>
      </top>
      <bottom style="thin">
        <color theme="1" tint="0.499984740745262"/>
      </bottom>
      <diagonal/>
    </border>
    <border>
      <left style="medium">
        <color theme="1" tint="0.499984740745262"/>
      </left>
      <right/>
      <top style="thin">
        <color theme="1" tint="0.499984740745262"/>
      </top>
      <bottom style="thin">
        <color theme="1" tint="0.499984740745262"/>
      </bottom>
      <diagonal/>
    </border>
    <border>
      <left style="medium">
        <color theme="1" tint="0.499984740745262"/>
      </left>
      <right/>
      <top/>
      <bottom style="thin">
        <color theme="1" tint="0.499984740745262"/>
      </bottom>
      <diagonal/>
    </border>
    <border>
      <left style="thin">
        <color theme="1" tint="0.499984740745262"/>
      </left>
      <right style="medium">
        <color theme="1" tint="0.499984740745262"/>
      </right>
      <top style="medium">
        <color theme="1" tint="0.499984740745262"/>
      </top>
      <bottom style="thin">
        <color theme="1" tint="0.499984740745262"/>
      </bottom>
      <diagonal/>
    </border>
    <border>
      <left style="medium">
        <color theme="1" tint="0.499984740745262"/>
      </left>
      <right/>
      <top style="medium">
        <color theme="1" tint="0.499984740745262"/>
      </top>
      <bottom style="thin">
        <color theme="1" tint="0.499984740745262"/>
      </bottom>
      <diagonal/>
    </border>
    <border>
      <left style="thin">
        <color theme="2" tint="-0.499984740745262"/>
      </left>
      <right style="medium">
        <color theme="2" tint="-0.499984740745262"/>
      </right>
      <top style="thin">
        <color theme="2" tint="-0.499984740745262"/>
      </top>
      <bottom style="medium">
        <color theme="2" tint="-0.499984740745262"/>
      </bottom>
      <diagonal/>
    </border>
    <border>
      <left style="medium">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thin">
        <color theme="2" tint="-0.499984740745262"/>
      </right>
      <top style="medium">
        <color theme="2" tint="-0.499984740745262"/>
      </top>
      <bottom style="thin">
        <color theme="2" tint="-0.499984740745262"/>
      </bottom>
      <diagonal/>
    </border>
    <border>
      <left/>
      <right style="medium">
        <color theme="2" tint="-0.499984740745262"/>
      </right>
      <top style="thin">
        <color theme="2" tint="-0.499984740745262"/>
      </top>
      <bottom style="medium">
        <color theme="2" tint="-0.499984740745262"/>
      </bottom>
      <diagonal/>
    </border>
    <border>
      <left style="medium">
        <color theme="2" tint="-0.499984740745262"/>
      </left>
      <right/>
      <top style="thin">
        <color theme="2" tint="-0.499984740745262"/>
      </top>
      <bottom style="medium">
        <color theme="2" tint="-0.499984740745262"/>
      </bottom>
      <diagonal/>
    </border>
    <border>
      <left/>
      <right style="medium">
        <color theme="2" tint="-0.499984740745262"/>
      </right>
      <top style="thin">
        <color theme="2" tint="-0.499984740745262"/>
      </top>
      <bottom style="thin">
        <color theme="2" tint="-0.499984740745262"/>
      </bottom>
      <diagonal/>
    </border>
    <border>
      <left style="medium">
        <color theme="2" tint="-0.499984740745262"/>
      </left>
      <right/>
      <top style="thin">
        <color theme="2" tint="-0.499984740745262"/>
      </top>
      <bottom style="thin">
        <color theme="2" tint="-0.499984740745262"/>
      </bottom>
      <diagonal/>
    </border>
    <border>
      <left/>
      <right style="medium">
        <color theme="2" tint="-0.499984740745262"/>
      </right>
      <top style="medium">
        <color theme="2" tint="-0.499984740745262"/>
      </top>
      <bottom style="thin">
        <color theme="2" tint="-0.499984740745262"/>
      </bottom>
      <diagonal/>
    </border>
    <border>
      <left style="medium">
        <color theme="2" tint="-0.499984740745262"/>
      </left>
      <right/>
      <top style="medium">
        <color theme="2" tint="-0.499984740745262"/>
      </top>
      <bottom style="thin">
        <color theme="2" tint="-0.499984740745262"/>
      </bottom>
      <diagonal/>
    </border>
    <border>
      <left style="medium">
        <color theme="2" tint="-0.499984740745262"/>
      </left>
      <right style="medium">
        <color theme="2" tint="-0.499984740745262"/>
      </right>
      <top/>
      <bottom style="thin">
        <color theme="2" tint="-0.499984740745262"/>
      </bottom>
      <diagonal/>
    </border>
    <border>
      <left style="medium">
        <color theme="2" tint="-0.499984740745262"/>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3" fillId="0" borderId="0"/>
    <xf numFmtId="0" fontId="2" fillId="0" borderId="0"/>
    <xf numFmtId="0" fontId="2" fillId="0" borderId="0"/>
  </cellStyleXfs>
  <cellXfs count="335">
    <xf numFmtId="0" fontId="0" fillId="0" borderId="0" xfId="0"/>
    <xf numFmtId="49" fontId="0" fillId="0" borderId="0" xfId="0" quotePrefix="1" applyNumberFormat="1"/>
    <xf numFmtId="49" fontId="0" fillId="0" borderId="0" xfId="0" applyNumberFormat="1"/>
    <xf numFmtId="164" fontId="0" fillId="0" borderId="0" xfId="0" applyNumberFormat="1"/>
    <xf numFmtId="2" fontId="0" fillId="0" borderId="0" xfId="0" applyNumberFormat="1"/>
    <xf numFmtId="0" fontId="0" fillId="2" borderId="0" xfId="0" applyFill="1"/>
    <xf numFmtId="164" fontId="0" fillId="2" borderId="0" xfId="0" applyNumberFormat="1" applyFill="1"/>
    <xf numFmtId="2" fontId="0" fillId="2" borderId="0" xfId="0" applyNumberFormat="1" applyFill="1"/>
    <xf numFmtId="165" fontId="0" fillId="2" borderId="0" xfId="0" applyNumberFormat="1" applyFill="1"/>
    <xf numFmtId="165" fontId="0" fillId="0" borderId="0" xfId="0" applyNumberFormat="1"/>
    <xf numFmtId="1" fontId="0" fillId="0" borderId="0" xfId="0" applyNumberFormat="1"/>
    <xf numFmtId="166" fontId="0" fillId="2" borderId="0" xfId="0" applyNumberFormat="1" applyFill="1"/>
    <xf numFmtId="1" fontId="0" fillId="2" borderId="0" xfId="0" applyNumberFormat="1" applyFill="1"/>
    <xf numFmtId="166" fontId="0" fillId="0" borderId="0" xfId="0" applyNumberFormat="1"/>
    <xf numFmtId="167" fontId="0" fillId="2" borderId="0" xfId="0" applyNumberFormat="1" applyFill="1"/>
    <xf numFmtId="167" fontId="0" fillId="0" borderId="0" xfId="0" applyNumberFormat="1"/>
    <xf numFmtId="49" fontId="0" fillId="2" borderId="0" xfId="0" applyNumberFormat="1" applyFill="1"/>
    <xf numFmtId="14" fontId="0" fillId="2" borderId="0" xfId="0" applyNumberFormat="1" applyFill="1"/>
    <xf numFmtId="1" fontId="0" fillId="0" borderId="0" xfId="0" applyNumberFormat="1" applyAlignment="1">
      <alignment horizontal="right"/>
    </xf>
    <xf numFmtId="0" fontId="3" fillId="0" borderId="0" xfId="1"/>
    <xf numFmtId="0" fontId="6" fillId="0" borderId="0" xfId="1" applyFont="1" applyAlignment="1">
      <alignment horizontal="center" vertical="center"/>
    </xf>
    <xf numFmtId="0" fontId="6" fillId="0" borderId="0" xfId="1" applyFont="1"/>
    <xf numFmtId="0" fontId="7" fillId="0" borderId="0" xfId="1" applyFont="1" applyAlignment="1">
      <alignment horizontal="center"/>
    </xf>
    <xf numFmtId="164" fontId="3" fillId="0" borderId="0" xfId="1" applyNumberFormat="1"/>
    <xf numFmtId="0" fontId="3" fillId="0" borderId="0" xfId="1" applyAlignment="1">
      <alignment horizontal="right"/>
    </xf>
    <xf numFmtId="168" fontId="8" fillId="0" borderId="0" xfId="1" applyNumberFormat="1" applyFont="1" applyAlignment="1">
      <alignment horizontal="right" vertical="center"/>
    </xf>
    <xf numFmtId="164" fontId="6" fillId="3" borderId="1" xfId="1" applyNumberFormat="1" applyFont="1" applyFill="1" applyBorder="1" applyAlignment="1">
      <alignment horizontal="center" vertical="center"/>
    </xf>
    <xf numFmtId="164" fontId="3" fillId="3" borderId="2" xfId="1" applyNumberFormat="1" applyFill="1" applyBorder="1" applyAlignment="1">
      <alignment horizontal="center" vertical="center"/>
    </xf>
    <xf numFmtId="168" fontId="9" fillId="3" borderId="2" xfId="1" applyNumberFormat="1" applyFont="1" applyFill="1" applyBorder="1" applyAlignment="1">
      <alignment horizontal="center" vertical="center"/>
    </xf>
    <xf numFmtId="0" fontId="10" fillId="0" borderId="2" xfId="1" applyFont="1" applyBorder="1" applyAlignment="1">
      <alignment horizontal="left" vertical="center"/>
    </xf>
    <xf numFmtId="168" fontId="10" fillId="0" borderId="3" xfId="1" applyNumberFormat="1" applyFont="1" applyBorder="1" applyAlignment="1">
      <alignment horizontal="right" vertical="center"/>
    </xf>
    <xf numFmtId="164" fontId="6" fillId="3" borderId="0" xfId="1" applyNumberFormat="1" applyFont="1" applyFill="1" applyAlignment="1">
      <alignment horizontal="center" vertical="center"/>
    </xf>
    <xf numFmtId="164" fontId="3" fillId="3" borderId="4" xfId="1" applyNumberFormat="1" applyFill="1" applyBorder="1" applyAlignment="1">
      <alignment horizontal="center" vertical="center"/>
    </xf>
    <xf numFmtId="168" fontId="9" fillId="3" borderId="4" xfId="1" applyNumberFormat="1" applyFont="1" applyFill="1" applyBorder="1" applyAlignment="1">
      <alignment horizontal="center" vertical="center"/>
    </xf>
    <xf numFmtId="0" fontId="10" fillId="0" borderId="4" xfId="1" applyFont="1" applyBorder="1" applyAlignment="1">
      <alignment horizontal="left" vertical="center"/>
    </xf>
    <xf numFmtId="168" fontId="10" fillId="0" borderId="5" xfId="1" applyNumberFormat="1" applyFont="1" applyBorder="1" applyAlignment="1">
      <alignment horizontal="right" vertical="center"/>
    </xf>
    <xf numFmtId="164" fontId="11" fillId="3" borderId="0" xfId="1" applyNumberFormat="1" applyFont="1" applyFill="1" applyAlignment="1">
      <alignment horizontal="center" vertical="center"/>
    </xf>
    <xf numFmtId="164" fontId="12" fillId="4" borderId="4" xfId="1" applyNumberFormat="1" applyFont="1" applyFill="1" applyBorder="1" applyAlignment="1">
      <alignment horizontal="center" vertical="center"/>
    </xf>
    <xf numFmtId="168" fontId="13" fillId="4" borderId="4" xfId="1" applyNumberFormat="1" applyFont="1" applyFill="1" applyBorder="1" applyAlignment="1">
      <alignment horizontal="center" vertical="center"/>
    </xf>
    <xf numFmtId="0" fontId="14" fillId="4" borderId="4" xfId="1" applyFont="1" applyFill="1" applyBorder="1" applyAlignment="1">
      <alignment horizontal="left" vertical="center"/>
    </xf>
    <xf numFmtId="168" fontId="14" fillId="4" borderId="5" xfId="1" applyNumberFormat="1" applyFont="1" applyFill="1" applyBorder="1" applyAlignment="1">
      <alignment horizontal="right" vertical="center"/>
    </xf>
    <xf numFmtId="164" fontId="12" fillId="5" borderId="4" xfId="1" applyNumberFormat="1" applyFont="1" applyFill="1" applyBorder="1" applyAlignment="1">
      <alignment horizontal="center" vertical="center"/>
    </xf>
    <xf numFmtId="168" fontId="13" fillId="5" borderId="4" xfId="1" applyNumberFormat="1" applyFont="1" applyFill="1" applyBorder="1" applyAlignment="1">
      <alignment horizontal="center" vertical="center"/>
    </xf>
    <xf numFmtId="0" fontId="14" fillId="5" borderId="4" xfId="1" applyFont="1" applyFill="1" applyBorder="1" applyAlignment="1">
      <alignment horizontal="left" vertical="center"/>
    </xf>
    <xf numFmtId="168" fontId="14" fillId="5" borderId="5" xfId="1" applyNumberFormat="1" applyFont="1" applyFill="1" applyBorder="1" applyAlignment="1">
      <alignment horizontal="right" vertical="center"/>
    </xf>
    <xf numFmtId="164" fontId="15" fillId="3" borderId="0" xfId="1" applyNumberFormat="1" applyFont="1" applyFill="1" applyAlignment="1">
      <alignment horizontal="left" vertical="center"/>
    </xf>
    <xf numFmtId="164" fontId="6" fillId="3" borderId="6" xfId="1" applyNumberFormat="1" applyFont="1" applyFill="1" applyBorder="1" applyAlignment="1">
      <alignment horizontal="center" vertical="center"/>
    </xf>
    <xf numFmtId="164" fontId="3" fillId="3" borderId="7" xfId="1" applyNumberFormat="1" applyFill="1" applyBorder="1" applyAlignment="1">
      <alignment horizontal="center" vertical="center"/>
    </xf>
    <xf numFmtId="168" fontId="9" fillId="3" borderId="7" xfId="1" applyNumberFormat="1" applyFont="1" applyFill="1" applyBorder="1" applyAlignment="1">
      <alignment horizontal="center" vertical="center"/>
    </xf>
    <xf numFmtId="0" fontId="10" fillId="0" borderId="7" xfId="1" applyFont="1" applyBorder="1" applyAlignment="1">
      <alignment horizontal="left" vertical="center"/>
    </xf>
    <xf numFmtId="168" fontId="10" fillId="0" borderId="8" xfId="1" applyNumberFormat="1" applyFont="1" applyBorder="1" applyAlignment="1">
      <alignment horizontal="right" vertical="center"/>
    </xf>
    <xf numFmtId="164" fontId="3" fillId="0" borderId="0" xfId="1" applyNumberFormat="1" applyAlignment="1">
      <alignment horizontal="center" vertical="center"/>
    </xf>
    <xf numFmtId="0" fontId="10" fillId="0" borderId="0" xfId="1" applyFont="1" applyAlignment="1">
      <alignment horizontal="left" vertical="center"/>
    </xf>
    <xf numFmtId="168" fontId="10" fillId="0" borderId="0" xfId="1" applyNumberFormat="1" applyFont="1" applyAlignment="1">
      <alignment horizontal="right" vertical="center"/>
    </xf>
    <xf numFmtId="168" fontId="17" fillId="0" borderId="0" xfId="1" applyNumberFormat="1" applyFont="1" applyAlignment="1">
      <alignment horizontal="right" vertical="center"/>
    </xf>
    <xf numFmtId="0" fontId="18" fillId="0" borderId="0" xfId="1" applyFont="1" applyAlignment="1">
      <alignment horizontal="right"/>
    </xf>
    <xf numFmtId="164" fontId="6" fillId="0" borderId="0" xfId="1" applyNumberFormat="1" applyFont="1" applyAlignment="1">
      <alignment horizontal="center" vertical="center"/>
    </xf>
    <xf numFmtId="164" fontId="6" fillId="2" borderId="6" xfId="1" quotePrefix="1" applyNumberFormat="1" applyFont="1" applyFill="1" applyBorder="1" applyAlignment="1">
      <alignment horizontal="center" vertical="center"/>
    </xf>
    <xf numFmtId="164" fontId="21" fillId="2" borderId="7" xfId="1" applyNumberFormat="1" applyFont="1" applyFill="1" applyBorder="1" applyAlignment="1">
      <alignment horizontal="center" vertical="center"/>
    </xf>
    <xf numFmtId="168" fontId="22" fillId="0" borderId="0" xfId="1" applyNumberFormat="1" applyFont="1" applyAlignment="1">
      <alignment horizontal="right" vertical="center"/>
    </xf>
    <xf numFmtId="0" fontId="23" fillId="0" borderId="0" xfId="1" applyFont="1" applyAlignment="1">
      <alignment horizontal="right"/>
    </xf>
    <xf numFmtId="164" fontId="3" fillId="6" borderId="2" xfId="1" applyNumberFormat="1" applyFill="1" applyBorder="1" applyAlignment="1">
      <alignment horizontal="center" vertical="center"/>
    </xf>
    <xf numFmtId="168" fontId="9" fillId="6" borderId="2" xfId="1" applyNumberFormat="1" applyFont="1" applyFill="1" applyBorder="1" applyAlignment="1">
      <alignment horizontal="center" vertical="center"/>
    </xf>
    <xf numFmtId="0" fontId="10" fillId="6" borderId="2" xfId="1" applyFont="1" applyFill="1" applyBorder="1" applyAlignment="1">
      <alignment horizontal="left" vertical="center"/>
    </xf>
    <xf numFmtId="168" fontId="10" fillId="6" borderId="3" xfId="1" applyNumberFormat="1" applyFont="1" applyFill="1" applyBorder="1" applyAlignment="1">
      <alignment horizontal="right" vertical="center"/>
    </xf>
    <xf numFmtId="164" fontId="3" fillId="6" borderId="0" xfId="1" applyNumberFormat="1" applyFill="1"/>
    <xf numFmtId="164" fontId="6" fillId="6" borderId="0" xfId="1" applyNumberFormat="1" applyFont="1" applyFill="1" applyAlignment="1">
      <alignment horizontal="left" vertical="center"/>
    </xf>
    <xf numFmtId="164" fontId="3" fillId="6" borderId="4" xfId="1" applyNumberFormat="1" applyFill="1" applyBorder="1" applyAlignment="1">
      <alignment horizontal="center" vertical="center"/>
    </xf>
    <xf numFmtId="168" fontId="9" fillId="6" borderId="4" xfId="1" applyNumberFormat="1" applyFont="1" applyFill="1" applyBorder="1" applyAlignment="1">
      <alignment horizontal="center" vertical="center"/>
    </xf>
    <xf numFmtId="0" fontId="10" fillId="6" borderId="4" xfId="1" applyFont="1" applyFill="1" applyBorder="1" applyAlignment="1">
      <alignment horizontal="left" vertical="center"/>
    </xf>
    <xf numFmtId="168" fontId="10" fillId="6" borderId="5" xfId="1" applyNumberFormat="1" applyFont="1" applyFill="1" applyBorder="1" applyAlignment="1">
      <alignment horizontal="right" vertical="center"/>
    </xf>
    <xf numFmtId="164" fontId="21" fillId="0" borderId="0" xfId="1" applyNumberFormat="1" applyFont="1" applyAlignment="1">
      <alignment horizontal="center" vertical="center"/>
    </xf>
    <xf numFmtId="164" fontId="6" fillId="0" borderId="11" xfId="1" applyNumberFormat="1" applyFont="1" applyBorder="1" applyAlignment="1">
      <alignment horizontal="center" vertical="center"/>
    </xf>
    <xf numFmtId="164" fontId="3" fillId="0" borderId="12" xfId="1" applyNumberFormat="1" applyBorder="1" applyAlignment="1">
      <alignment horizontal="center" vertical="center"/>
    </xf>
    <xf numFmtId="1" fontId="10" fillId="6" borderId="13" xfId="1" applyNumberFormat="1" applyFont="1" applyFill="1" applyBorder="1" applyAlignment="1">
      <alignment horizontal="left" vertical="center"/>
    </xf>
    <xf numFmtId="1" fontId="10" fillId="3" borderId="13" xfId="1" applyNumberFormat="1" applyFont="1" applyFill="1" applyBorder="1" applyAlignment="1">
      <alignment horizontal="left" vertical="center"/>
    </xf>
    <xf numFmtId="168" fontId="10" fillId="3" borderId="14" xfId="1" applyNumberFormat="1" applyFont="1" applyFill="1" applyBorder="1" applyAlignment="1">
      <alignment horizontal="right" vertical="center"/>
    </xf>
    <xf numFmtId="164" fontId="6" fillId="0" borderId="15" xfId="1" applyNumberFormat="1" applyFont="1" applyBorder="1" applyAlignment="1">
      <alignment horizontal="center" vertical="center"/>
    </xf>
    <xf numFmtId="164" fontId="3" fillId="0" borderId="16" xfId="1" applyNumberFormat="1" applyBorder="1" applyAlignment="1">
      <alignment horizontal="center" vertical="center"/>
    </xf>
    <xf numFmtId="1" fontId="10" fillId="6" borderId="17" xfId="1" applyNumberFormat="1" applyFont="1" applyFill="1" applyBorder="1" applyAlignment="1">
      <alignment horizontal="left" vertical="center"/>
    </xf>
    <xf numFmtId="1" fontId="10" fillId="3" borderId="17" xfId="1" applyNumberFormat="1" applyFont="1" applyFill="1" applyBorder="1" applyAlignment="1">
      <alignment horizontal="left" vertical="center"/>
    </xf>
    <xf numFmtId="168" fontId="10" fillId="3" borderId="18" xfId="1" applyNumberFormat="1" applyFont="1" applyFill="1" applyBorder="1" applyAlignment="1">
      <alignment horizontal="right" vertical="center"/>
    </xf>
    <xf numFmtId="0" fontId="23" fillId="3" borderId="18" xfId="1" applyFont="1" applyFill="1" applyBorder="1" applyAlignment="1">
      <alignment horizontal="right"/>
    </xf>
    <xf numFmtId="164" fontId="3" fillId="0" borderId="19" xfId="1" applyNumberFormat="1" applyBorder="1" applyAlignment="1">
      <alignment horizontal="center" vertical="center"/>
    </xf>
    <xf numFmtId="1" fontId="10" fillId="6" borderId="20" xfId="1" applyNumberFormat="1" applyFont="1" applyFill="1" applyBorder="1" applyAlignment="1">
      <alignment horizontal="left" vertical="center"/>
    </xf>
    <xf numFmtId="1" fontId="10" fillId="3" borderId="20" xfId="1" applyNumberFormat="1" applyFont="1" applyFill="1" applyBorder="1" applyAlignment="1">
      <alignment horizontal="left" vertical="center"/>
    </xf>
    <xf numFmtId="168" fontId="10" fillId="3" borderId="21" xfId="1" applyNumberFormat="1" applyFont="1" applyFill="1" applyBorder="1" applyAlignment="1">
      <alignment horizontal="right" vertical="center"/>
    </xf>
    <xf numFmtId="164" fontId="6" fillId="0" borderId="22" xfId="1" applyNumberFormat="1" applyFont="1" applyBorder="1" applyAlignment="1">
      <alignment horizontal="center" vertical="center"/>
    </xf>
    <xf numFmtId="164" fontId="3" fillId="0" borderId="23" xfId="1" applyNumberFormat="1" applyBorder="1" applyAlignment="1">
      <alignment horizontal="center" vertical="center"/>
    </xf>
    <xf numFmtId="1" fontId="10" fillId="6" borderId="24" xfId="1" applyNumberFormat="1" applyFont="1" applyFill="1" applyBorder="1" applyAlignment="1">
      <alignment horizontal="left" vertical="center"/>
    </xf>
    <xf numFmtId="1" fontId="10" fillId="3" borderId="24" xfId="1" applyNumberFormat="1" applyFont="1" applyFill="1" applyBorder="1" applyAlignment="1">
      <alignment horizontal="left" vertical="center"/>
    </xf>
    <xf numFmtId="168" fontId="10" fillId="3" borderId="25" xfId="1" applyNumberFormat="1" applyFont="1" applyFill="1" applyBorder="1" applyAlignment="1">
      <alignment horizontal="right" vertical="center"/>
    </xf>
    <xf numFmtId="0" fontId="24" fillId="0" borderId="0" xfId="1" applyFont="1" applyAlignment="1">
      <alignment horizontal="center" vertical="center" wrapText="1"/>
    </xf>
    <xf numFmtId="164" fontId="26" fillId="0" borderId="0" xfId="1" applyNumberFormat="1" applyFont="1" applyAlignment="1">
      <alignment horizontal="center" vertical="center" wrapText="1"/>
    </xf>
    <xf numFmtId="0" fontId="10" fillId="0" borderId="0" xfId="1" applyFont="1" applyAlignment="1">
      <alignment horizontal="center"/>
    </xf>
    <xf numFmtId="0" fontId="27" fillId="0" borderId="0" xfId="1" applyFont="1" applyAlignment="1">
      <alignment horizontal="center" wrapText="1"/>
    </xf>
    <xf numFmtId="164" fontId="10" fillId="0" borderId="0" xfId="1" applyNumberFormat="1" applyFont="1" applyAlignment="1">
      <alignment horizontal="center"/>
    </xf>
    <xf numFmtId="0" fontId="3" fillId="0" borderId="0" xfId="1" applyAlignment="1">
      <alignment horizontal="left"/>
    </xf>
    <xf numFmtId="0" fontId="28" fillId="0" borderId="0" xfId="1" applyFont="1" applyAlignment="1">
      <alignment horizontal="left"/>
    </xf>
    <xf numFmtId="0" fontId="3" fillId="0" borderId="0" xfId="1" applyAlignment="1">
      <alignment horizontal="center" vertical="center"/>
    </xf>
    <xf numFmtId="164" fontId="28" fillId="0" borderId="0" xfId="1" applyNumberFormat="1" applyFont="1" applyAlignment="1">
      <alignment horizontal="center"/>
    </xf>
    <xf numFmtId="0" fontId="25" fillId="0" borderId="0" xfId="1" applyFont="1" applyAlignment="1">
      <alignment horizontal="center"/>
    </xf>
    <xf numFmtId="164" fontId="28" fillId="0" borderId="0" xfId="1" applyNumberFormat="1" applyFont="1" applyAlignment="1">
      <alignment horizontal="center" wrapText="1"/>
    </xf>
    <xf numFmtId="0" fontId="29" fillId="0" borderId="0" xfId="1" applyFont="1" applyAlignment="1">
      <alignment horizontal="left"/>
    </xf>
    <xf numFmtId="15" fontId="30" fillId="0" borderId="0" xfId="1" applyNumberFormat="1" applyFont="1" applyAlignment="1">
      <alignment horizontal="center" wrapText="1"/>
    </xf>
    <xf numFmtId="164" fontId="3" fillId="0" borderId="0" xfId="1" applyNumberFormat="1" applyAlignment="1">
      <alignment horizontal="center"/>
    </xf>
    <xf numFmtId="0" fontId="31" fillId="0" borderId="0" xfId="1" applyFont="1" applyAlignment="1">
      <alignment horizontal="left"/>
    </xf>
    <xf numFmtId="0" fontId="3" fillId="0" borderId="0" xfId="1" applyAlignment="1">
      <alignment horizontal="center" wrapText="1"/>
    </xf>
    <xf numFmtId="0" fontId="19" fillId="0" borderId="0" xfId="1" applyFont="1" applyAlignment="1">
      <alignment horizontal="center" wrapText="1"/>
    </xf>
    <xf numFmtId="0" fontId="3" fillId="0" borderId="0" xfId="1" applyAlignment="1">
      <alignment horizontal="center" vertical="center" wrapText="1"/>
    </xf>
    <xf numFmtId="0" fontId="7" fillId="0" borderId="0" xfId="1" applyFont="1" applyAlignment="1">
      <alignment horizontal="center" vertical="center" wrapText="1"/>
    </xf>
    <xf numFmtId="0" fontId="10" fillId="0" borderId="0" xfId="1" applyFont="1" applyAlignment="1">
      <alignment horizontal="left"/>
    </xf>
    <xf numFmtId="0" fontId="10" fillId="0" borderId="0" xfId="1" applyFont="1" applyAlignment="1">
      <alignment horizontal="center" vertical="center"/>
    </xf>
    <xf numFmtId="15" fontId="32" fillId="0" borderId="0" xfId="1" applyNumberFormat="1" applyFont="1" applyAlignment="1">
      <alignment horizontal="center" vertical="center"/>
    </xf>
    <xf numFmtId="2" fontId="3" fillId="0" borderId="0" xfId="1" applyNumberFormat="1"/>
    <xf numFmtId="164" fontId="6" fillId="0" borderId="0" xfId="1" applyNumberFormat="1" applyFont="1"/>
    <xf numFmtId="164" fontId="33" fillId="3" borderId="0" xfId="1" applyNumberFormat="1" applyFont="1" applyFill="1" applyAlignment="1">
      <alignment horizontal="left"/>
    </xf>
    <xf numFmtId="0" fontId="33" fillId="3" borderId="0" xfId="1" applyFont="1" applyFill="1" applyAlignment="1">
      <alignment horizontal="center"/>
    </xf>
    <xf numFmtId="0" fontId="21" fillId="3" borderId="0" xfId="1" applyFont="1" applyFill="1"/>
    <xf numFmtId="0" fontId="34" fillId="3" borderId="0" xfId="1" applyFont="1" applyFill="1" applyAlignment="1">
      <alignment horizontal="left" vertical="center"/>
    </xf>
    <xf numFmtId="164" fontId="10" fillId="3" borderId="0" xfId="1" applyNumberFormat="1" applyFont="1" applyFill="1" applyAlignment="1">
      <alignment horizontal="left"/>
    </xf>
    <xf numFmtId="0" fontId="10" fillId="3" borderId="0" xfId="1" applyFont="1" applyFill="1" applyAlignment="1">
      <alignment horizontal="right"/>
    </xf>
    <xf numFmtId="0" fontId="10" fillId="3" borderId="0" xfId="1" applyFont="1" applyFill="1" applyAlignment="1">
      <alignment horizontal="center" vertical="center"/>
    </xf>
    <xf numFmtId="0" fontId="10" fillId="3" borderId="0" xfId="1" applyFont="1" applyFill="1" applyAlignment="1">
      <alignment horizontal="center"/>
    </xf>
    <xf numFmtId="0" fontId="10" fillId="3" borderId="0" xfId="1" applyFont="1" applyFill="1" applyAlignment="1">
      <alignment horizontal="left" vertical="center"/>
    </xf>
    <xf numFmtId="0" fontId="10" fillId="3" borderId="0" xfId="1" applyFont="1" applyFill="1"/>
    <xf numFmtId="0" fontId="6" fillId="3" borderId="0" xfId="1" applyFont="1" applyFill="1"/>
    <xf numFmtId="0" fontId="32" fillId="3" borderId="0" xfId="1" applyFont="1" applyFill="1" applyAlignment="1">
      <alignment horizontal="center"/>
    </xf>
    <xf numFmtId="164" fontId="10" fillId="0" borderId="0" xfId="1" applyNumberFormat="1" applyFont="1" applyAlignment="1">
      <alignment horizontal="left"/>
    </xf>
    <xf numFmtId="0" fontId="10" fillId="0" borderId="0" xfId="1" applyFont="1"/>
    <xf numFmtId="0" fontId="10" fillId="0" borderId="0" xfId="1" applyFont="1" applyAlignment="1">
      <alignment horizontal="right"/>
    </xf>
    <xf numFmtId="0" fontId="32" fillId="0" borderId="0" xfId="1" applyFont="1" applyAlignment="1">
      <alignment horizontal="center"/>
    </xf>
    <xf numFmtId="0" fontId="38" fillId="0" borderId="0" xfId="1" applyFont="1" applyAlignment="1">
      <alignment horizontal="left" vertical="center"/>
    </xf>
    <xf numFmtId="0" fontId="38" fillId="0" borderId="0" xfId="1" applyFont="1" applyAlignment="1">
      <alignment horizontal="center" vertical="center"/>
    </xf>
    <xf numFmtId="0" fontId="38" fillId="0" borderId="0" xfId="1" applyFont="1" applyAlignment="1">
      <alignment horizontal="center"/>
    </xf>
    <xf numFmtId="0" fontId="39" fillId="0" borderId="0" xfId="1" applyFont="1" applyAlignment="1">
      <alignment horizontal="left" vertical="center"/>
    </xf>
    <xf numFmtId="164" fontId="40" fillId="0" borderId="0" xfId="1" applyNumberFormat="1" applyFont="1"/>
    <xf numFmtId="0" fontId="40" fillId="0" borderId="0" xfId="1" applyFont="1" applyAlignment="1">
      <alignment horizontal="right"/>
    </xf>
    <xf numFmtId="0" fontId="41" fillId="0" borderId="0" xfId="1" applyFont="1"/>
    <xf numFmtId="164" fontId="38" fillId="0" borderId="0" xfId="1" applyNumberFormat="1" applyFont="1" applyAlignment="1">
      <alignment horizontal="left"/>
    </xf>
    <xf numFmtId="0" fontId="42" fillId="0" borderId="0" xfId="1" applyFont="1" applyAlignment="1">
      <alignment horizontal="center"/>
    </xf>
    <xf numFmtId="0" fontId="43" fillId="0" borderId="0" xfId="1" applyFont="1" applyAlignment="1">
      <alignment horizontal="left" vertical="center"/>
    </xf>
    <xf numFmtId="49" fontId="10" fillId="0" borderId="0" xfId="1" applyNumberFormat="1" applyFont="1" applyAlignment="1">
      <alignment horizontal="left" vertical="center"/>
    </xf>
    <xf numFmtId="0" fontId="44" fillId="0" borderId="0" xfId="1" applyFont="1" applyAlignment="1">
      <alignment horizontal="left"/>
    </xf>
    <xf numFmtId="0" fontId="5" fillId="0" borderId="0" xfId="1" applyFont="1"/>
    <xf numFmtId="0" fontId="5" fillId="0" borderId="0" xfId="1" applyFont="1" applyAlignment="1">
      <alignment vertical="center"/>
    </xf>
    <xf numFmtId="0" fontId="5" fillId="0" borderId="0" xfId="1" applyFont="1" applyAlignment="1">
      <alignment horizontal="center" vertical="center"/>
    </xf>
    <xf numFmtId="2" fontId="45" fillId="0" borderId="12" xfId="1" applyNumberFormat="1" applyFont="1" applyBorder="1" applyAlignment="1">
      <alignment horizontal="center"/>
    </xf>
    <xf numFmtId="1" fontId="10" fillId="3" borderId="13" xfId="1" applyNumberFormat="1" applyFont="1" applyFill="1" applyBorder="1" applyAlignment="1">
      <alignment horizontal="left"/>
    </xf>
    <xf numFmtId="168" fontId="10" fillId="3" borderId="14" xfId="1" applyNumberFormat="1" applyFont="1" applyFill="1" applyBorder="1" applyAlignment="1">
      <alignment horizontal="right"/>
    </xf>
    <xf numFmtId="2" fontId="45" fillId="0" borderId="16" xfId="1" applyNumberFormat="1" applyFont="1" applyBorder="1" applyAlignment="1">
      <alignment horizontal="center"/>
    </xf>
    <xf numFmtId="1" fontId="10" fillId="3" borderId="17" xfId="1" applyNumberFormat="1" applyFont="1" applyFill="1" applyBorder="1" applyAlignment="1">
      <alignment horizontal="left"/>
    </xf>
    <xf numFmtId="168" fontId="10" fillId="3" borderId="18" xfId="1" applyNumberFormat="1" applyFont="1" applyFill="1" applyBorder="1" applyAlignment="1">
      <alignment horizontal="right"/>
    </xf>
    <xf numFmtId="2" fontId="45" fillId="0" borderId="19" xfId="1" applyNumberFormat="1" applyFont="1" applyBorder="1" applyAlignment="1">
      <alignment horizontal="center"/>
    </xf>
    <xf numFmtId="1" fontId="10" fillId="3" borderId="20" xfId="1" applyNumberFormat="1" applyFont="1" applyFill="1" applyBorder="1" applyAlignment="1">
      <alignment horizontal="left"/>
    </xf>
    <xf numFmtId="168" fontId="10" fillId="3" borderId="21" xfId="1" applyNumberFormat="1" applyFont="1" applyFill="1" applyBorder="1" applyAlignment="1">
      <alignment horizontal="right"/>
    </xf>
    <xf numFmtId="2" fontId="45" fillId="0" borderId="23" xfId="1" applyNumberFormat="1" applyFont="1" applyBorder="1" applyAlignment="1">
      <alignment horizontal="center"/>
    </xf>
    <xf numFmtId="1" fontId="10" fillId="3" borderId="24" xfId="1" applyNumberFormat="1" applyFont="1" applyFill="1" applyBorder="1" applyAlignment="1">
      <alignment horizontal="left"/>
    </xf>
    <xf numFmtId="168" fontId="10" fillId="3" borderId="25" xfId="1" applyNumberFormat="1" applyFont="1" applyFill="1" applyBorder="1" applyAlignment="1">
      <alignment horizontal="right"/>
    </xf>
    <xf numFmtId="2" fontId="46" fillId="0" borderId="0" xfId="1" applyNumberFormat="1" applyFont="1" applyAlignment="1">
      <alignment horizontal="center" vertical="center" wrapText="1"/>
    </xf>
    <xf numFmtId="2" fontId="46" fillId="0" borderId="26" xfId="1" applyNumberFormat="1" applyFont="1" applyBorder="1" applyAlignment="1">
      <alignment horizontal="center" vertical="center" wrapText="1"/>
    </xf>
    <xf numFmtId="0" fontId="47" fillId="0" borderId="27" xfId="1" applyFont="1" applyBorder="1" applyAlignment="1">
      <alignment horizontal="left" vertical="center"/>
    </xf>
    <xf numFmtId="168" fontId="47" fillId="0" borderId="27" xfId="1" applyNumberFormat="1" applyFont="1" applyBorder="1" applyAlignment="1">
      <alignment horizontal="right" vertical="center"/>
    </xf>
    <xf numFmtId="0" fontId="48" fillId="0" borderId="0" xfId="1" applyFont="1" applyAlignment="1">
      <alignment horizontal="center" vertical="center"/>
    </xf>
    <xf numFmtId="0" fontId="47" fillId="0" borderId="0" xfId="1" applyFont="1" applyAlignment="1">
      <alignment horizontal="left" vertical="center"/>
    </xf>
    <xf numFmtId="168" fontId="47" fillId="0" borderId="0" xfId="1" applyNumberFormat="1" applyFont="1" applyAlignment="1">
      <alignment horizontal="right" vertical="center"/>
    </xf>
    <xf numFmtId="2" fontId="46" fillId="0" borderId="28" xfId="1" applyNumberFormat="1" applyFont="1" applyBorder="1" applyAlignment="1">
      <alignment horizontal="center" vertical="center" wrapText="1"/>
    </xf>
    <xf numFmtId="0" fontId="47" fillId="0" borderId="29" xfId="1" applyFont="1" applyBorder="1" applyAlignment="1">
      <alignment horizontal="left" vertical="center"/>
    </xf>
    <xf numFmtId="168" fontId="47" fillId="0" borderId="29" xfId="1" applyNumberFormat="1" applyFont="1" applyBorder="1" applyAlignment="1">
      <alignment horizontal="right" vertical="center"/>
    </xf>
    <xf numFmtId="2" fontId="46" fillId="3" borderId="0" xfId="1" applyNumberFormat="1" applyFont="1" applyFill="1" applyAlignment="1">
      <alignment horizontal="center" vertical="center" wrapText="1"/>
    </xf>
    <xf numFmtId="2" fontId="46" fillId="3" borderId="28" xfId="1" applyNumberFormat="1" applyFont="1" applyFill="1" applyBorder="1" applyAlignment="1">
      <alignment horizontal="center" vertical="center" wrapText="1"/>
    </xf>
    <xf numFmtId="0" fontId="47" fillId="3" borderId="29" xfId="1" applyFont="1" applyFill="1" applyBorder="1" applyAlignment="1">
      <alignment horizontal="left" vertical="center"/>
    </xf>
    <xf numFmtId="168" fontId="47" fillId="3" borderId="29" xfId="1" applyNumberFormat="1" applyFont="1" applyFill="1" applyBorder="1" applyAlignment="1">
      <alignment horizontal="right" vertical="center"/>
    </xf>
    <xf numFmtId="2" fontId="46" fillId="0" borderId="30" xfId="1" applyNumberFormat="1" applyFont="1" applyBorder="1" applyAlignment="1">
      <alignment horizontal="center" vertical="center" wrapText="1"/>
    </xf>
    <xf numFmtId="0" fontId="47" fillId="3" borderId="31" xfId="1" applyFont="1" applyFill="1" applyBorder="1" applyAlignment="1">
      <alignment horizontal="left" vertical="center"/>
    </xf>
    <xf numFmtId="168" fontId="47" fillId="0" borderId="31" xfId="1" applyNumberFormat="1" applyFont="1" applyBorder="1" applyAlignment="1">
      <alignment horizontal="right" vertical="center"/>
    </xf>
    <xf numFmtId="0" fontId="49" fillId="0" borderId="0" xfId="1" applyFont="1" applyAlignment="1">
      <alignment horizontal="center" vertical="center" wrapText="1"/>
    </xf>
    <xf numFmtId="0" fontId="28" fillId="0" borderId="32" xfId="1" applyFont="1" applyBorder="1" applyAlignment="1">
      <alignment horizontal="center" vertical="center"/>
    </xf>
    <xf numFmtId="0" fontId="28" fillId="0" borderId="0" xfId="1" applyFont="1" applyAlignment="1">
      <alignment horizontal="center" vertical="center"/>
    </xf>
    <xf numFmtId="0" fontId="50" fillId="3" borderId="0" xfId="1" applyFont="1" applyFill="1"/>
    <xf numFmtId="0" fontId="33" fillId="3" borderId="0" xfId="1" applyFont="1" applyFill="1" applyAlignment="1">
      <alignment horizontal="right"/>
    </xf>
    <xf numFmtId="0" fontId="33" fillId="3" borderId="0" xfId="1" applyFont="1" applyFill="1" applyAlignment="1">
      <alignment horizontal="left" vertical="center"/>
    </xf>
    <xf numFmtId="0" fontId="33" fillId="3" borderId="0" xfId="1" applyFont="1" applyFill="1"/>
    <xf numFmtId="0" fontId="5" fillId="3" borderId="0" xfId="1" applyFont="1" applyFill="1"/>
    <xf numFmtId="0" fontId="48" fillId="3" borderId="0" xfId="1" applyFont="1" applyFill="1"/>
    <xf numFmtId="0" fontId="10" fillId="3" borderId="0" xfId="1" applyFont="1" applyFill="1" applyAlignment="1">
      <alignment horizontal="right" vertical="center"/>
    </xf>
    <xf numFmtId="0" fontId="9" fillId="0" borderId="0" xfId="1" applyFont="1"/>
    <xf numFmtId="0" fontId="50" fillId="3" borderId="0" xfId="1" applyFont="1" applyFill="1" applyAlignment="1">
      <alignment vertical="center"/>
    </xf>
    <xf numFmtId="0" fontId="48" fillId="0" borderId="0" xfId="1" applyFont="1" applyAlignment="1">
      <alignment vertical="center"/>
    </xf>
    <xf numFmtId="0" fontId="10" fillId="0" borderId="0" xfId="1" applyFont="1" applyAlignment="1">
      <alignment horizontal="right" vertical="center"/>
    </xf>
    <xf numFmtId="0" fontId="47" fillId="0" borderId="0" xfId="1" applyFont="1"/>
    <xf numFmtId="0" fontId="51" fillId="0" borderId="0" xfId="1" applyFont="1" applyAlignment="1">
      <alignment horizontal="right"/>
    </xf>
    <xf numFmtId="0" fontId="51" fillId="0" borderId="0" xfId="1" applyFont="1"/>
    <xf numFmtId="0" fontId="48" fillId="0" borderId="0" xfId="1" applyFont="1"/>
    <xf numFmtId="0" fontId="47" fillId="0" borderId="0" xfId="1" applyFont="1" applyAlignment="1">
      <alignment horizontal="center"/>
    </xf>
    <xf numFmtId="0" fontId="52" fillId="0" borderId="0" xfId="1" applyFont="1" applyAlignment="1">
      <alignment vertical="center"/>
    </xf>
    <xf numFmtId="166" fontId="3" fillId="0" borderId="33" xfId="1" applyNumberFormat="1" applyBorder="1" applyAlignment="1">
      <alignment horizontal="center" vertical="center"/>
    </xf>
    <xf numFmtId="166" fontId="3" fillId="0" borderId="34" xfId="1" applyNumberFormat="1" applyBorder="1" applyAlignment="1">
      <alignment horizontal="center" vertical="center"/>
    </xf>
    <xf numFmtId="1" fontId="10" fillId="3" borderId="35" xfId="1" applyNumberFormat="1" applyFont="1" applyFill="1" applyBorder="1" applyAlignment="1">
      <alignment horizontal="left"/>
    </xf>
    <xf numFmtId="168" fontId="10" fillId="3" borderId="36" xfId="1" applyNumberFormat="1" applyFont="1" applyFill="1" applyBorder="1" applyAlignment="1">
      <alignment horizontal="right"/>
    </xf>
    <xf numFmtId="166" fontId="3" fillId="0" borderId="37" xfId="1" applyNumberFormat="1" applyBorder="1" applyAlignment="1">
      <alignment horizontal="center" vertical="center"/>
    </xf>
    <xf numFmtId="166" fontId="3" fillId="0" borderId="16" xfId="1" applyNumberFormat="1" applyBorder="1" applyAlignment="1">
      <alignment horizontal="center" vertical="center"/>
    </xf>
    <xf numFmtId="168" fontId="10" fillId="3" borderId="38" xfId="1" applyNumberFormat="1" applyFont="1" applyFill="1" applyBorder="1" applyAlignment="1">
      <alignment horizontal="right"/>
    </xf>
    <xf numFmtId="0" fontId="23" fillId="3" borderId="38" xfId="1" applyFont="1" applyFill="1" applyBorder="1" applyAlignment="1">
      <alignment horizontal="right"/>
    </xf>
    <xf numFmtId="168" fontId="10" fillId="3" borderId="39" xfId="1" applyNumberFormat="1" applyFont="1" applyFill="1" applyBorder="1" applyAlignment="1">
      <alignment horizontal="right"/>
    </xf>
    <xf numFmtId="166" fontId="3" fillId="3" borderId="37" xfId="1" applyNumberFormat="1" applyFill="1" applyBorder="1" applyAlignment="1">
      <alignment horizontal="center" vertical="center"/>
    </xf>
    <xf numFmtId="166" fontId="3" fillId="3" borderId="16" xfId="1" applyNumberFormat="1" applyFill="1" applyBorder="1" applyAlignment="1">
      <alignment horizontal="center" vertical="center"/>
    </xf>
    <xf numFmtId="166" fontId="3" fillId="0" borderId="40" xfId="1" applyNumberFormat="1" applyBorder="1" applyAlignment="1">
      <alignment horizontal="center" vertical="center"/>
    </xf>
    <xf numFmtId="166" fontId="3" fillId="0" borderId="23" xfId="1" applyNumberFormat="1" applyBorder="1" applyAlignment="1">
      <alignment horizontal="center" vertical="center"/>
    </xf>
    <xf numFmtId="168" fontId="10" fillId="3" borderId="41" xfId="1" applyNumberFormat="1" applyFont="1" applyFill="1" applyBorder="1" applyAlignment="1">
      <alignment horizontal="right"/>
    </xf>
    <xf numFmtId="166" fontId="53" fillId="3" borderId="42" xfId="1" applyNumberFormat="1" applyFont="1" applyFill="1" applyBorder="1" applyAlignment="1">
      <alignment horizontal="center" vertical="center" wrapText="1"/>
    </xf>
    <xf numFmtId="166" fontId="53" fillId="3" borderId="43" xfId="1" applyNumberFormat="1" applyFont="1" applyFill="1" applyBorder="1" applyAlignment="1">
      <alignment horizontal="center" vertical="center" wrapText="1"/>
    </xf>
    <xf numFmtId="0" fontId="3" fillId="3" borderId="0" xfId="1" applyFill="1"/>
    <xf numFmtId="0" fontId="2" fillId="3" borderId="0" xfId="1" applyFont="1" applyFill="1"/>
    <xf numFmtId="166" fontId="53" fillId="3" borderId="44" xfId="1" applyNumberFormat="1" applyFont="1" applyFill="1" applyBorder="1" applyAlignment="1">
      <alignment horizontal="center" vertical="center" wrapText="1"/>
    </xf>
    <xf numFmtId="166" fontId="53" fillId="3" borderId="45" xfId="1" applyNumberFormat="1" applyFont="1" applyFill="1" applyBorder="1" applyAlignment="1">
      <alignment horizontal="center" vertical="center" wrapText="1"/>
    </xf>
    <xf numFmtId="0" fontId="47" fillId="3" borderId="0" xfId="1" applyFont="1" applyFill="1" applyAlignment="1">
      <alignment horizontal="left" vertical="center"/>
    </xf>
    <xf numFmtId="168" fontId="47" fillId="3" borderId="0" xfId="1" applyNumberFormat="1" applyFont="1" applyFill="1" applyAlignment="1">
      <alignment horizontal="right" vertical="center"/>
    </xf>
    <xf numFmtId="166" fontId="53" fillId="3" borderId="46" xfId="1" applyNumberFormat="1" applyFont="1" applyFill="1" applyBorder="1" applyAlignment="1">
      <alignment horizontal="center" vertical="center" wrapText="1"/>
    </xf>
    <xf numFmtId="166" fontId="53" fillId="3" borderId="47" xfId="1" applyNumberFormat="1" applyFont="1" applyFill="1" applyBorder="1" applyAlignment="1">
      <alignment horizontal="center" vertical="center" wrapText="1"/>
    </xf>
    <xf numFmtId="0" fontId="3" fillId="0" borderId="0" xfId="1" applyAlignment="1">
      <alignment vertical="center"/>
    </xf>
    <xf numFmtId="0" fontId="54" fillId="0" borderId="0" xfId="1" applyFont="1" applyAlignment="1">
      <alignment horizontal="center" vertical="center" wrapText="1"/>
    </xf>
    <xf numFmtId="0" fontId="2" fillId="0" borderId="0" xfId="1" applyFont="1" applyAlignment="1">
      <alignment vertical="center"/>
    </xf>
    <xf numFmtId="0" fontId="7" fillId="0" borderId="0" xfId="1" applyFont="1"/>
    <xf numFmtId="0" fontId="7" fillId="0" borderId="0" xfId="1" applyFont="1" applyAlignment="1">
      <alignment horizontal="center" vertical="center"/>
    </xf>
    <xf numFmtId="0" fontId="19" fillId="0" borderId="0" xfId="1" applyFont="1"/>
    <xf numFmtId="0" fontId="55" fillId="0" borderId="0" xfId="1" applyFont="1" applyAlignment="1">
      <alignment vertical="center"/>
    </xf>
    <xf numFmtId="0" fontId="56" fillId="3" borderId="0" xfId="1" applyFont="1" applyFill="1" applyAlignment="1">
      <alignment horizontal="right"/>
    </xf>
    <xf numFmtId="164" fontId="57" fillId="3" borderId="0" xfId="1" applyNumberFormat="1" applyFont="1" applyFill="1" applyAlignment="1">
      <alignment horizontal="left"/>
    </xf>
    <xf numFmtId="0" fontId="58" fillId="3" borderId="0" xfId="1" applyFont="1" applyFill="1" applyAlignment="1">
      <alignment horizontal="left" vertical="center"/>
    </xf>
    <xf numFmtId="164" fontId="56" fillId="3" borderId="0" xfId="1" applyNumberFormat="1" applyFont="1" applyFill="1" applyAlignment="1">
      <alignment horizontal="left"/>
    </xf>
    <xf numFmtId="0" fontId="56" fillId="3" borderId="0" xfId="1" applyFont="1" applyFill="1" applyAlignment="1">
      <alignment horizontal="left" vertical="center"/>
    </xf>
    <xf numFmtId="0" fontId="56" fillId="3" borderId="0" xfId="1" applyFont="1" applyFill="1"/>
    <xf numFmtId="0" fontId="59" fillId="3" borderId="0" xfId="1" applyFont="1" applyFill="1"/>
    <xf numFmtId="0" fontId="60" fillId="0" borderId="0" xfId="1" applyFont="1" applyAlignment="1">
      <alignment horizontal="right"/>
    </xf>
    <xf numFmtId="0" fontId="61" fillId="3" borderId="0" xfId="1" applyFont="1" applyFill="1"/>
    <xf numFmtId="0" fontId="62" fillId="3" borderId="0" xfId="1" applyFont="1" applyFill="1" applyAlignment="1">
      <alignment horizontal="right" vertical="center"/>
    </xf>
    <xf numFmtId="0" fontId="2" fillId="0" borderId="0" xfId="1" applyFont="1"/>
    <xf numFmtId="0" fontId="2" fillId="0" borderId="0" xfId="1" applyFont="1" applyAlignment="1">
      <alignment horizontal="center" vertical="center"/>
    </xf>
    <xf numFmtId="0" fontId="60" fillId="0" borderId="0" xfId="1" applyFont="1"/>
    <xf numFmtId="0" fontId="63" fillId="0" borderId="0" xfId="1" applyFont="1"/>
    <xf numFmtId="0" fontId="63" fillId="0" borderId="0" xfId="1" applyFont="1" applyAlignment="1">
      <alignment horizontal="center"/>
    </xf>
    <xf numFmtId="2" fontId="54" fillId="0" borderId="26" xfId="1" applyNumberFormat="1" applyFont="1" applyBorder="1" applyAlignment="1">
      <alignment horizontal="center" wrapText="1"/>
    </xf>
    <xf numFmtId="2" fontId="65" fillId="0" borderId="26" xfId="1" applyNumberFormat="1" applyFont="1" applyBorder="1" applyAlignment="1">
      <alignment horizontal="center" wrapText="1"/>
    </xf>
    <xf numFmtId="2" fontId="8" fillId="0" borderId="26" xfId="1" applyNumberFormat="1" applyFont="1" applyBorder="1" applyAlignment="1">
      <alignment horizontal="center" vertical="center"/>
    </xf>
    <xf numFmtId="2" fontId="66" fillId="0" borderId="26" xfId="1" applyNumberFormat="1" applyFont="1" applyBorder="1" applyAlignment="1">
      <alignment horizontal="center" wrapText="1"/>
    </xf>
    <xf numFmtId="0" fontId="47" fillId="0" borderId="48" xfId="1" applyFont="1" applyBorder="1" applyAlignment="1">
      <alignment horizontal="left" vertical="center"/>
    </xf>
    <xf numFmtId="168" fontId="47" fillId="0" borderId="49" xfId="1" applyNumberFormat="1" applyFont="1" applyBorder="1" applyAlignment="1">
      <alignment horizontal="right" vertical="center"/>
    </xf>
    <xf numFmtId="2" fontId="54" fillId="0" borderId="28" xfId="1" applyNumberFormat="1" applyFont="1" applyBorder="1" applyAlignment="1">
      <alignment horizontal="center" wrapText="1"/>
    </xf>
    <xf numFmtId="2" fontId="65" fillId="0" borderId="28" xfId="1" applyNumberFormat="1" applyFont="1" applyBorder="1" applyAlignment="1">
      <alignment horizontal="center" wrapText="1"/>
    </xf>
    <xf numFmtId="2" fontId="8" fillId="0" borderId="28" xfId="1" applyNumberFormat="1" applyFont="1" applyBorder="1" applyAlignment="1">
      <alignment horizontal="center" vertical="center"/>
    </xf>
    <xf numFmtId="2" fontId="66" fillId="0" borderId="28" xfId="1" applyNumberFormat="1" applyFont="1" applyBorder="1" applyAlignment="1">
      <alignment horizontal="center" wrapText="1"/>
    </xf>
    <xf numFmtId="0" fontId="47" fillId="0" borderId="50" xfId="1" applyFont="1" applyBorder="1" applyAlignment="1">
      <alignment horizontal="left" vertical="center"/>
    </xf>
    <xf numFmtId="168" fontId="47" fillId="0" borderId="51" xfId="1" applyNumberFormat="1" applyFont="1" applyBorder="1" applyAlignment="1">
      <alignment horizontal="right" vertical="center"/>
    </xf>
    <xf numFmtId="2" fontId="54" fillId="3" borderId="28" xfId="1" applyNumberFormat="1" applyFont="1" applyFill="1" applyBorder="1" applyAlignment="1">
      <alignment horizontal="center" wrapText="1"/>
    </xf>
    <xf numFmtId="2" fontId="65" fillId="3" borderId="28" xfId="1" applyNumberFormat="1" applyFont="1" applyFill="1" applyBorder="1" applyAlignment="1">
      <alignment horizontal="center" wrapText="1"/>
    </xf>
    <xf numFmtId="2" fontId="8" fillId="3" borderId="28" xfId="1" applyNumberFormat="1" applyFont="1" applyFill="1" applyBorder="1" applyAlignment="1">
      <alignment horizontal="center" vertical="center"/>
    </xf>
    <xf numFmtId="2" fontId="66" fillId="3" borderId="28" xfId="1" applyNumberFormat="1" applyFont="1" applyFill="1" applyBorder="1" applyAlignment="1">
      <alignment horizontal="center" wrapText="1"/>
    </xf>
    <xf numFmtId="0" fontId="47" fillId="3" borderId="50" xfId="1" applyFont="1" applyFill="1" applyBorder="1" applyAlignment="1">
      <alignment horizontal="left" vertical="center"/>
    </xf>
    <xf numFmtId="168" fontId="47" fillId="3" borderId="51" xfId="1" applyNumberFormat="1" applyFont="1" applyFill="1" applyBorder="1" applyAlignment="1">
      <alignment horizontal="right" vertical="center"/>
    </xf>
    <xf numFmtId="2" fontId="54" fillId="0" borderId="30" xfId="1" applyNumberFormat="1" applyFont="1" applyBorder="1" applyAlignment="1">
      <alignment horizontal="center" wrapText="1"/>
    </xf>
    <xf numFmtId="2" fontId="65" fillId="0" borderId="30" xfId="1" applyNumberFormat="1" applyFont="1" applyBorder="1" applyAlignment="1">
      <alignment horizontal="center" wrapText="1"/>
    </xf>
    <xf numFmtId="2" fontId="8" fillId="3" borderId="30" xfId="1" applyNumberFormat="1" applyFont="1" applyFill="1" applyBorder="1" applyAlignment="1">
      <alignment horizontal="center" vertical="center"/>
    </xf>
    <xf numFmtId="2" fontId="66" fillId="0" borderId="30" xfId="1" applyNumberFormat="1" applyFont="1" applyBorder="1" applyAlignment="1">
      <alignment horizontal="center" wrapText="1"/>
    </xf>
    <xf numFmtId="0" fontId="47" fillId="3" borderId="52" xfId="1" applyFont="1" applyFill="1" applyBorder="1" applyAlignment="1">
      <alignment horizontal="left" vertical="center"/>
    </xf>
    <xf numFmtId="168" fontId="47" fillId="0" borderId="53" xfId="1" applyNumberFormat="1" applyFont="1" applyBorder="1" applyAlignment="1">
      <alignment horizontal="right" vertical="center"/>
    </xf>
    <xf numFmtId="2" fontId="54" fillId="0" borderId="54" xfId="1" applyNumberFormat="1" applyFont="1" applyBorder="1" applyAlignment="1">
      <alignment horizontal="center" wrapText="1"/>
    </xf>
    <xf numFmtId="2" fontId="54" fillId="0" borderId="0" xfId="1" applyNumberFormat="1" applyFont="1" applyAlignment="1">
      <alignment horizontal="center" wrapText="1"/>
    </xf>
    <xf numFmtId="2" fontId="8" fillId="3" borderId="26" xfId="1" applyNumberFormat="1" applyFont="1" applyFill="1" applyBorder="1" applyAlignment="1">
      <alignment horizontal="center" vertical="center"/>
    </xf>
    <xf numFmtId="2" fontId="54" fillId="3" borderId="0" xfId="1" applyNumberFormat="1" applyFont="1" applyFill="1" applyAlignment="1">
      <alignment horizontal="center" wrapText="1"/>
    </xf>
    <xf numFmtId="2" fontId="54" fillId="0" borderId="55" xfId="1" applyNumberFormat="1" applyFont="1" applyBorder="1" applyAlignment="1">
      <alignment horizontal="center" wrapText="1"/>
    </xf>
    <xf numFmtId="2" fontId="4" fillId="0" borderId="0" xfId="1" applyNumberFormat="1" applyFont="1" applyAlignment="1">
      <alignment horizontal="center" wrapText="1"/>
    </xf>
    <xf numFmtId="2" fontId="27" fillId="0" borderId="0" xfId="1" applyNumberFormat="1" applyFont="1" applyAlignment="1">
      <alignment horizontal="center" wrapText="1"/>
    </xf>
    <xf numFmtId="2" fontId="28" fillId="0" borderId="0" xfId="1" applyNumberFormat="1" applyFont="1" applyAlignment="1">
      <alignment horizontal="center" wrapText="1"/>
    </xf>
    <xf numFmtId="2" fontId="27" fillId="0" borderId="0" xfId="1" applyNumberFormat="1" applyFont="1" applyAlignment="1">
      <alignment horizontal="center"/>
    </xf>
    <xf numFmtId="2" fontId="3" fillId="0" borderId="0" xfId="1" applyNumberFormat="1" applyAlignment="1">
      <alignment horizontal="center" vertical="top" wrapText="1"/>
    </xf>
    <xf numFmtId="0" fontId="2" fillId="0" borderId="0" xfId="1" applyFont="1" applyAlignment="1">
      <alignment horizontal="right"/>
    </xf>
    <xf numFmtId="0" fontId="68" fillId="0" borderId="0" xfId="1" applyFont="1"/>
    <xf numFmtId="169" fontId="2" fillId="0" borderId="0" xfId="1" applyNumberFormat="1" applyFont="1" applyAlignment="1">
      <alignment horizontal="center" wrapText="1"/>
    </xf>
    <xf numFmtId="170" fontId="69" fillId="0" borderId="0" xfId="1" quotePrefix="1" applyNumberFormat="1" applyFont="1" applyAlignment="1">
      <alignment horizontal="center" wrapText="1"/>
    </xf>
    <xf numFmtId="169" fontId="4" fillId="0" borderId="0" xfId="1" applyNumberFormat="1" applyFont="1" applyAlignment="1">
      <alignment horizontal="center" wrapText="1"/>
    </xf>
    <xf numFmtId="170" fontId="69" fillId="0" borderId="0" xfId="1" quotePrefix="1" applyNumberFormat="1" applyFont="1" applyAlignment="1">
      <alignment horizontal="center" vertical="center" wrapText="1"/>
    </xf>
    <xf numFmtId="0" fontId="2" fillId="0" borderId="0" xfId="1" applyFont="1" applyAlignment="1">
      <alignment horizontal="center" wrapText="1"/>
    </xf>
    <xf numFmtId="169" fontId="3" fillId="0" borderId="0" xfId="1" applyNumberFormat="1"/>
    <xf numFmtId="169" fontId="7" fillId="3" borderId="0" xfId="1" applyNumberFormat="1" applyFont="1" applyFill="1"/>
    <xf numFmtId="169" fontId="3" fillId="3" borderId="0" xfId="1" applyNumberFormat="1" applyFill="1" applyAlignment="1">
      <alignment horizontal="center" vertical="center"/>
    </xf>
    <xf numFmtId="169" fontId="7" fillId="3" borderId="0" xfId="1" applyNumberFormat="1" applyFont="1" applyFill="1" applyAlignment="1">
      <alignment horizontal="right"/>
    </xf>
    <xf numFmtId="169" fontId="3" fillId="3" borderId="0" xfId="1" applyNumberFormat="1" applyFill="1"/>
    <xf numFmtId="169" fontId="7" fillId="0" borderId="0" xfId="1" applyNumberFormat="1" applyFont="1" applyAlignment="1">
      <alignment horizontal="right"/>
    </xf>
    <xf numFmtId="2" fontId="7" fillId="3" borderId="0" xfId="1" applyNumberFormat="1" applyFont="1" applyFill="1"/>
    <xf numFmtId="169" fontId="70" fillId="3" borderId="0" xfId="1" applyNumberFormat="1" applyFont="1" applyFill="1" applyAlignment="1">
      <alignment horizontal="left" vertical="center"/>
    </xf>
    <xf numFmtId="2" fontId="3" fillId="3" borderId="0" xfId="1" applyNumberFormat="1" applyFill="1"/>
    <xf numFmtId="0" fontId="48" fillId="3" borderId="0" xfId="1" applyFont="1" applyFill="1" applyAlignment="1">
      <alignment vertical="center"/>
    </xf>
    <xf numFmtId="0" fontId="7" fillId="3" borderId="0" xfId="1" applyFont="1" applyFill="1"/>
    <xf numFmtId="0" fontId="7" fillId="3" borderId="0" xfId="1" applyFont="1" applyFill="1" applyAlignment="1">
      <alignment horizontal="right"/>
    </xf>
    <xf numFmtId="0" fontId="7" fillId="0" borderId="0" xfId="1" applyFont="1" applyAlignment="1">
      <alignment horizontal="right"/>
    </xf>
    <xf numFmtId="0" fontId="9" fillId="3" borderId="0" xfId="1" applyFont="1" applyFill="1"/>
    <xf numFmtId="0" fontId="5" fillId="3" borderId="0" xfId="1" applyFont="1" applyFill="1" applyAlignment="1">
      <alignment vertical="center"/>
    </xf>
    <xf numFmtId="0" fontId="38" fillId="3" borderId="0" xfId="1" applyFont="1" applyFill="1" applyAlignment="1">
      <alignment horizontal="left"/>
    </xf>
    <xf numFmtId="0" fontId="43" fillId="3" borderId="0" xfId="1" applyFont="1" applyFill="1" applyAlignment="1">
      <alignment horizontal="left" vertical="center"/>
    </xf>
    <xf numFmtId="0" fontId="39" fillId="3" borderId="0" xfId="1" applyFont="1" applyFill="1" applyAlignment="1">
      <alignment horizontal="left" vertical="center"/>
    </xf>
    <xf numFmtId="2" fontId="7" fillId="0" borderId="0" xfId="1" applyNumberFormat="1" applyFont="1"/>
    <xf numFmtId="169" fontId="70" fillId="0" borderId="0" xfId="1" applyNumberFormat="1" applyFont="1" applyAlignment="1">
      <alignment horizontal="left" vertical="center"/>
    </xf>
    <xf numFmtId="2" fontId="2" fillId="0" borderId="0" xfId="1" applyNumberFormat="1" applyFont="1"/>
    <xf numFmtId="0" fontId="63" fillId="0" borderId="0" xfId="1" applyFont="1" applyAlignment="1">
      <alignment horizontal="right"/>
    </xf>
    <xf numFmtId="0" fontId="63" fillId="0" borderId="0" xfId="1" applyFont="1" applyAlignment="1">
      <alignment horizontal="left"/>
    </xf>
    <xf numFmtId="164" fontId="16" fillId="3" borderId="10" xfId="1" applyNumberFormat="1" applyFont="1" applyFill="1" applyBorder="1" applyAlignment="1">
      <alignment horizontal="center" vertical="center" wrapText="1"/>
    </xf>
    <xf numFmtId="0" fontId="16" fillId="0" borderId="9" xfId="1" applyFont="1" applyBorder="1" applyAlignment="1">
      <alignment horizontal="center" vertical="center" wrapText="1"/>
    </xf>
    <xf numFmtId="164" fontId="20" fillId="2" borderId="9" xfId="1" applyNumberFormat="1" applyFont="1" applyFill="1" applyBorder="1" applyAlignment="1">
      <alignment horizontal="center" vertical="center" wrapText="1"/>
    </xf>
    <xf numFmtId="0" fontId="19" fillId="2" borderId="9" xfId="1" applyFont="1" applyFill="1" applyBorder="1" applyAlignment="1">
      <alignment horizontal="center" vertical="center" wrapText="1"/>
    </xf>
    <xf numFmtId="0" fontId="28" fillId="0" borderId="32" xfId="1" applyFont="1" applyBorder="1" applyAlignment="1">
      <alignment horizontal="center" vertical="center"/>
    </xf>
    <xf numFmtId="0" fontId="28" fillId="0" borderId="0" xfId="1" applyFont="1" applyAlignment="1">
      <alignment horizontal="center" vertical="center"/>
    </xf>
    <xf numFmtId="0" fontId="28" fillId="0" borderId="0" xfId="1" applyFont="1" applyAlignment="1">
      <alignment horizontal="center"/>
    </xf>
    <xf numFmtId="0" fontId="71" fillId="0" borderId="0" xfId="0" applyFont="1" applyAlignment="1">
      <alignment horizontal="left" vertical="top" wrapText="1" shrinkToFit="1" readingOrder="1"/>
    </xf>
    <xf numFmtId="171" fontId="71" fillId="0" borderId="0" xfId="0" applyNumberFormat="1" applyFont="1" applyAlignment="1">
      <alignment horizontal="right" vertical="center" wrapText="1" shrinkToFit="1" readingOrder="1"/>
    </xf>
    <xf numFmtId="172" fontId="71" fillId="0" borderId="0" xfId="0" applyNumberFormat="1" applyFont="1" applyAlignment="1">
      <alignment horizontal="right" vertical="center" wrapText="1" shrinkToFit="1" readingOrder="1"/>
    </xf>
    <xf numFmtId="49" fontId="71" fillId="0" borderId="0" xfId="0" applyNumberFormat="1" applyFont="1" applyAlignment="1">
      <alignment horizontal="right" vertical="center" wrapText="1" shrinkToFit="1" readingOrder="1"/>
    </xf>
    <xf numFmtId="173" fontId="71" fillId="0" borderId="0" xfId="0" applyNumberFormat="1" applyFont="1" applyAlignment="1">
      <alignment horizontal="right" vertical="center" wrapText="1" shrinkToFit="1" readingOrder="1"/>
    </xf>
    <xf numFmtId="0" fontId="71" fillId="0" borderId="0" xfId="0" applyFont="1" applyAlignment="1">
      <alignment horizontal="center" vertical="center" wrapText="1" shrinkToFit="1" readingOrder="1"/>
    </xf>
    <xf numFmtId="0" fontId="71" fillId="0" borderId="0" xfId="0" applyFont="1" applyAlignment="1">
      <alignment horizontal="right" vertical="center" wrapText="1" shrinkToFit="1" readingOrder="1"/>
    </xf>
    <xf numFmtId="174" fontId="71" fillId="0" borderId="0" xfId="0" applyNumberFormat="1" applyFont="1" applyAlignment="1">
      <alignment horizontal="left" vertical="center" wrapText="1" shrinkToFit="1" readingOrder="1"/>
    </xf>
    <xf numFmtId="0" fontId="71" fillId="0" borderId="0" xfId="0" applyFont="1" applyAlignment="1">
      <alignment horizontal="right" vertical="center" wrapText="1" shrinkToFit="1" readingOrder="1"/>
    </xf>
    <xf numFmtId="49" fontId="71" fillId="0" borderId="0" xfId="0" applyNumberFormat="1" applyFont="1" applyAlignment="1">
      <alignment horizontal="left" vertical="center" wrapText="1" shrinkToFit="1" readingOrder="1"/>
    </xf>
    <xf numFmtId="0" fontId="71" fillId="0" borderId="0" xfId="0" applyFont="1" applyAlignment="1">
      <alignment horizontal="center" vertical="center" wrapText="1" shrinkToFit="1" readingOrder="1"/>
    </xf>
    <xf numFmtId="0" fontId="71" fillId="0" borderId="56" xfId="0" applyFont="1" applyBorder="1" applyAlignment="1">
      <alignment horizontal="center" vertical="center" wrapText="1" shrinkToFit="1" readingOrder="1"/>
    </xf>
    <xf numFmtId="0" fontId="71" fillId="0" borderId="56" xfId="0" applyFont="1" applyBorder="1" applyAlignment="1">
      <alignment horizontal="center" vertical="center" wrapText="1" shrinkToFit="1" readingOrder="1"/>
    </xf>
    <xf numFmtId="0" fontId="71" fillId="0" borderId="57" xfId="0" applyFont="1" applyBorder="1" applyAlignment="1">
      <alignment horizontal="center" vertical="center" wrapText="1" shrinkToFit="1" readingOrder="1"/>
    </xf>
    <xf numFmtId="0" fontId="71" fillId="0" borderId="56" xfId="0" applyFont="1" applyBorder="1" applyAlignment="1">
      <alignment horizontal="left" vertical="center" wrapText="1" indent="1" shrinkToFit="1" readingOrder="1"/>
    </xf>
    <xf numFmtId="0" fontId="71" fillId="7" borderId="57" xfId="0" applyFont="1" applyFill="1" applyBorder="1" applyAlignment="1">
      <alignment horizontal="left" vertical="center" wrapText="1" indent="1" shrinkToFit="1" readingOrder="1"/>
    </xf>
    <xf numFmtId="14" fontId="71" fillId="0" borderId="0" xfId="0" applyNumberFormat="1" applyFont="1" applyAlignment="1">
      <alignment horizontal="left" vertical="center" wrapText="1" shrinkToFit="1" readingOrder="1"/>
    </xf>
    <xf numFmtId="0" fontId="71" fillId="0" borderId="0" xfId="0" applyFont="1" applyAlignment="1">
      <alignment horizontal="left" vertical="center" wrapText="1" shrinkToFit="1" readingOrder="1"/>
    </xf>
    <xf numFmtId="0" fontId="72" fillId="7" borderId="0" xfId="0" applyFont="1" applyFill="1" applyAlignment="1">
      <alignment horizontal="center" vertical="top" wrapText="1" shrinkToFit="1" readingOrder="1"/>
    </xf>
    <xf numFmtId="49" fontId="72" fillId="7" borderId="0" xfId="0" applyNumberFormat="1" applyFont="1" applyFill="1" applyAlignment="1">
      <alignment horizontal="center" vertical="center" wrapText="1" shrinkToFit="1" readingOrder="1"/>
    </xf>
    <xf numFmtId="49" fontId="71" fillId="0" borderId="0" xfId="0" applyNumberFormat="1" applyFont="1" applyAlignment="1">
      <alignment horizontal="right" vertical="top" wrapText="1" shrinkToFit="1" readingOrder="1"/>
    </xf>
    <xf numFmtId="49" fontId="71" fillId="0" borderId="0" xfId="0" applyNumberFormat="1" applyFont="1" applyAlignment="1">
      <alignment horizontal="left" vertical="top" wrapText="1" shrinkToFit="1" readingOrder="1"/>
    </xf>
  </cellXfs>
  <cellStyles count="4">
    <cellStyle name="Normal" xfId="0" builtinId="0"/>
    <cellStyle name="Normal 2" xfId="2" xr:uid="{9975BD0D-8745-4147-A5EC-15B99D8AB865}"/>
    <cellStyle name="Normal 2 2" xfId="3" xr:uid="{1DCF826F-6866-4B08-B170-B9FB9BC4F240}"/>
    <cellStyle name="Normal 3" xfId="1" xr:uid="{E9664043-597C-49BE-B574-A4C570FE3A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67</xdr:row>
      <xdr:rowOff>9525</xdr:rowOff>
    </xdr:from>
    <xdr:to>
      <xdr:col>14</xdr:col>
      <xdr:colOff>466725</xdr:colOff>
      <xdr:row>67</xdr:row>
      <xdr:rowOff>9525</xdr:rowOff>
    </xdr:to>
    <xdr:cxnSp macro="">
      <xdr:nvCxnSpPr>
        <xdr:cNvPr id="2" name="Straight Connector 1">
          <a:extLst>
            <a:ext uri="{FF2B5EF4-FFF2-40B4-BE49-F238E27FC236}">
              <a16:creationId xmlns:a16="http://schemas.microsoft.com/office/drawing/2014/main" id="{694CE48C-C1D0-4079-A2C9-A6B0215F4B42}"/>
            </a:ext>
          </a:extLst>
        </xdr:cNvPr>
        <xdr:cNvCxnSpPr/>
      </xdr:nvCxnSpPr>
      <xdr:spPr>
        <a:xfrm>
          <a:off x="0" y="12773025"/>
          <a:ext cx="9001125" cy="0"/>
        </a:xfrm>
        <a:prstGeom prst="line">
          <a:avLst/>
        </a:prstGeom>
        <a:ln w="19050" algn="in">
          <a:solidFill>
            <a:srgbClr val="000000"/>
          </a:solidFill>
        </a:ln>
      </xdr:spPr>
    </xdr:cxnSp>
    <xdr:clientData/>
  </xdr:twoCellAnchor>
  <xdr:twoCellAnchor>
    <xdr:from>
      <xdr:col>0</xdr:col>
      <xdr:colOff>0</xdr:colOff>
      <xdr:row>72</xdr:row>
      <xdr:rowOff>57150</xdr:rowOff>
    </xdr:from>
    <xdr:to>
      <xdr:col>14</xdr:col>
      <xdr:colOff>466725</xdr:colOff>
      <xdr:row>72</xdr:row>
      <xdr:rowOff>57150</xdr:rowOff>
    </xdr:to>
    <xdr:cxnSp macro="">
      <xdr:nvCxnSpPr>
        <xdr:cNvPr id="3" name="Straight Connector 2">
          <a:extLst>
            <a:ext uri="{FF2B5EF4-FFF2-40B4-BE49-F238E27FC236}">
              <a16:creationId xmlns:a16="http://schemas.microsoft.com/office/drawing/2014/main" id="{12620863-F2B8-4F8C-8AF9-044E8A1A2D5E}"/>
            </a:ext>
          </a:extLst>
        </xdr:cNvPr>
        <xdr:cNvCxnSpPr/>
      </xdr:nvCxnSpPr>
      <xdr:spPr>
        <a:xfrm>
          <a:off x="0" y="13773150"/>
          <a:ext cx="9001125" cy="0"/>
        </a:xfrm>
        <a:prstGeom prst="line">
          <a:avLst/>
        </a:prstGeom>
        <a:ln w="9525" algn="in">
          <a:solidFill>
            <a:srgbClr val="000000"/>
          </a:solidFill>
        </a:ln>
      </xdr:spPr>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3181E-168C-4CB2-BE56-FDC05C3116BF}">
  <dimension ref="A1:CE269"/>
  <sheetViews>
    <sheetView tabSelected="1" workbookViewId="0"/>
  </sheetViews>
  <sheetFormatPr defaultRowHeight="15" x14ac:dyDescent="0.25"/>
  <cols>
    <col min="4" max="4" width="9.85546875" bestFit="1" customWidth="1"/>
    <col min="5" max="5" width="9.85546875" customWidth="1"/>
    <col min="6" max="6" width="10.5703125" bestFit="1" customWidth="1"/>
    <col min="16" max="16" width="8.85546875" customWidth="1"/>
    <col min="18" max="18" width="10.5703125" bestFit="1" customWidth="1"/>
    <col min="28" max="28" width="9" customWidth="1"/>
    <col min="29" max="30" width="8.85546875" customWidth="1"/>
    <col min="31" max="31" width="13.28515625" bestFit="1" customWidth="1"/>
    <col min="32" max="32" width="10.5703125" bestFit="1" customWidth="1"/>
    <col min="47" max="47" width="10.5703125" bestFit="1" customWidth="1"/>
    <col min="54" max="54" width="10.5703125" bestFit="1" customWidth="1"/>
    <col min="58" max="58" width="10.5703125" bestFit="1" customWidth="1"/>
    <col min="68" max="68" width="10.5703125" bestFit="1" customWidth="1"/>
    <col min="72" max="72" width="10.5703125" bestFit="1" customWidth="1"/>
  </cols>
  <sheetData>
    <row r="1" spans="1:1" x14ac:dyDescent="0.25">
      <c r="A1" t="s">
        <v>51</v>
      </c>
    </row>
    <row r="2" spans="1:1" x14ac:dyDescent="0.25">
      <c r="A2" t="s">
        <v>52</v>
      </c>
    </row>
    <row r="3" spans="1:1" x14ac:dyDescent="0.25">
      <c r="A3" t="s">
        <v>13</v>
      </c>
    </row>
    <row r="4" spans="1:1" x14ac:dyDescent="0.25">
      <c r="A4" t="s">
        <v>139</v>
      </c>
    </row>
    <row r="5" spans="1:1" x14ac:dyDescent="0.25">
      <c r="A5" t="s">
        <v>143</v>
      </c>
    </row>
    <row r="6" spans="1:1" x14ac:dyDescent="0.25">
      <c r="A6" t="s">
        <v>144</v>
      </c>
    </row>
    <row r="7" spans="1:1" x14ac:dyDescent="0.25">
      <c r="A7" t="s">
        <v>145</v>
      </c>
    </row>
    <row r="8" spans="1:1" x14ac:dyDescent="0.25">
      <c r="A8" t="s">
        <v>146</v>
      </c>
    </row>
    <row r="9" spans="1:1" x14ac:dyDescent="0.25">
      <c r="A9" t="s">
        <v>147</v>
      </c>
    </row>
    <row r="10" spans="1:1" x14ac:dyDescent="0.25">
      <c r="A10" t="s">
        <v>148</v>
      </c>
    </row>
    <row r="11" spans="1:1" x14ac:dyDescent="0.25">
      <c r="A11" t="s">
        <v>149</v>
      </c>
    </row>
    <row r="12" spans="1:1" x14ac:dyDescent="0.25">
      <c r="A12" t="s">
        <v>150</v>
      </c>
    </row>
    <row r="13" spans="1:1" x14ac:dyDescent="0.25">
      <c r="A13" t="s">
        <v>151</v>
      </c>
    </row>
    <row r="14" spans="1:1" x14ac:dyDescent="0.25">
      <c r="A14" t="s">
        <v>152</v>
      </c>
    </row>
    <row r="15" spans="1:1" x14ac:dyDescent="0.25">
      <c r="A15" t="s">
        <v>153</v>
      </c>
    </row>
    <row r="16" spans="1:1" x14ac:dyDescent="0.25">
      <c r="A16" t="s">
        <v>154</v>
      </c>
    </row>
    <row r="17" spans="1:1" x14ac:dyDescent="0.25">
      <c r="A17" t="s">
        <v>155</v>
      </c>
    </row>
    <row r="18" spans="1:1" x14ac:dyDescent="0.25">
      <c r="A18" t="s">
        <v>156</v>
      </c>
    </row>
    <row r="19" spans="1:1" x14ac:dyDescent="0.25">
      <c r="A19" t="s">
        <v>157</v>
      </c>
    </row>
    <row r="20" spans="1:1" x14ac:dyDescent="0.25">
      <c r="A20" t="s">
        <v>180</v>
      </c>
    </row>
    <row r="21" spans="1:1" x14ac:dyDescent="0.25">
      <c r="A21" t="s">
        <v>181</v>
      </c>
    </row>
    <row r="22" spans="1:1" x14ac:dyDescent="0.25">
      <c r="A22" t="s">
        <v>158</v>
      </c>
    </row>
    <row r="23" spans="1:1" x14ac:dyDescent="0.25">
      <c r="A23" t="s">
        <v>159</v>
      </c>
    </row>
    <row r="24" spans="1:1" x14ac:dyDescent="0.25">
      <c r="A24" t="s">
        <v>160</v>
      </c>
    </row>
    <row r="25" spans="1:1" x14ac:dyDescent="0.25">
      <c r="A25" t="s">
        <v>161</v>
      </c>
    </row>
    <row r="26" spans="1:1" x14ac:dyDescent="0.25">
      <c r="A26" t="s">
        <v>179</v>
      </c>
    </row>
    <row r="27" spans="1:1" x14ac:dyDescent="0.25">
      <c r="A27" t="s">
        <v>162</v>
      </c>
    </row>
    <row r="28" spans="1:1" x14ac:dyDescent="0.25">
      <c r="A28" t="s">
        <v>163</v>
      </c>
    </row>
    <row r="29" spans="1:1" x14ac:dyDescent="0.25">
      <c r="A29" t="s">
        <v>164</v>
      </c>
    </row>
    <row r="30" spans="1:1" x14ac:dyDescent="0.25">
      <c r="A30" t="s">
        <v>165</v>
      </c>
    </row>
    <row r="31" spans="1:1" x14ac:dyDescent="0.25">
      <c r="A31" t="s">
        <v>166</v>
      </c>
    </row>
    <row r="32" spans="1:1" x14ac:dyDescent="0.25">
      <c r="A32" t="s">
        <v>167</v>
      </c>
    </row>
    <row r="33" spans="1:2" x14ac:dyDescent="0.25">
      <c r="A33" t="s">
        <v>168</v>
      </c>
    </row>
    <row r="34" spans="1:2" x14ac:dyDescent="0.25">
      <c r="A34" t="s">
        <v>169</v>
      </c>
    </row>
    <row r="35" spans="1:2" x14ac:dyDescent="0.25">
      <c r="A35" t="s">
        <v>170</v>
      </c>
    </row>
    <row r="36" spans="1:2" x14ac:dyDescent="0.25">
      <c r="A36" t="s">
        <v>171</v>
      </c>
    </row>
    <row r="37" spans="1:2" x14ac:dyDescent="0.25">
      <c r="A37" t="s">
        <v>172</v>
      </c>
    </row>
    <row r="38" spans="1:2" x14ac:dyDescent="0.25">
      <c r="A38" t="s">
        <v>173</v>
      </c>
    </row>
    <row r="39" spans="1:2" x14ac:dyDescent="0.25">
      <c r="A39" t="s">
        <v>174</v>
      </c>
    </row>
    <row r="40" spans="1:2" x14ac:dyDescent="0.25">
      <c r="A40" t="s">
        <v>175</v>
      </c>
    </row>
    <row r="41" spans="1:2" x14ac:dyDescent="0.25">
      <c r="A41" t="s">
        <v>176</v>
      </c>
    </row>
    <row r="42" spans="1:2" x14ac:dyDescent="0.25">
      <c r="A42" t="s">
        <v>177</v>
      </c>
    </row>
    <row r="43" spans="1:2" x14ac:dyDescent="0.25">
      <c r="A43" t="s">
        <v>178</v>
      </c>
    </row>
    <row r="46" spans="1:2" x14ac:dyDescent="0.25">
      <c r="A46" t="s">
        <v>14</v>
      </c>
    </row>
    <row r="47" spans="1:2" x14ac:dyDescent="0.25">
      <c r="A47">
        <v>0.46</v>
      </c>
      <c r="B47" t="s">
        <v>34</v>
      </c>
    </row>
    <row r="48" spans="1:2" x14ac:dyDescent="0.25">
      <c r="A48">
        <v>0.453592</v>
      </c>
      <c r="B48" t="s">
        <v>16</v>
      </c>
    </row>
    <row r="49" spans="1:83" x14ac:dyDescent="0.25">
      <c r="A49">
        <f>10*1.016*2</f>
        <v>20.32</v>
      </c>
      <c r="B49" t="s">
        <v>53</v>
      </c>
    </row>
    <row r="50" spans="1:83" x14ac:dyDescent="0.25">
      <c r="A50">
        <v>10000</v>
      </c>
      <c r="B50" t="s">
        <v>17</v>
      </c>
    </row>
    <row r="51" spans="1:83" x14ac:dyDescent="0.25">
      <c r="A51" s="3">
        <v>9</v>
      </c>
      <c r="B51" t="s">
        <v>9</v>
      </c>
    </row>
    <row r="52" spans="1:83" x14ac:dyDescent="0.25">
      <c r="A52" s="3">
        <v>11.7</v>
      </c>
      <c r="B52" t="s">
        <v>10</v>
      </c>
    </row>
    <row r="53" spans="1:83" x14ac:dyDescent="0.25">
      <c r="A53" s="3">
        <v>14.8</v>
      </c>
      <c r="B53" t="s">
        <v>11</v>
      </c>
    </row>
    <row r="54" spans="1:83" x14ac:dyDescent="0.25">
      <c r="A54" s="3">
        <v>11.9</v>
      </c>
      <c r="B54" t="s">
        <v>12</v>
      </c>
    </row>
    <row r="55" spans="1:83" x14ac:dyDescent="0.25">
      <c r="A55">
        <f>1/16</f>
        <v>6.25E-2</v>
      </c>
      <c r="B55" t="s">
        <v>18</v>
      </c>
    </row>
    <row r="56" spans="1:83" x14ac:dyDescent="0.25">
      <c r="A56">
        <v>0.28199999999999997</v>
      </c>
      <c r="B56" t="s">
        <v>76</v>
      </c>
      <c r="M56" s="4"/>
    </row>
    <row r="57" spans="1:83" x14ac:dyDescent="0.25">
      <c r="A57">
        <v>1.7</v>
      </c>
      <c r="B57" t="s">
        <v>78</v>
      </c>
    </row>
    <row r="58" spans="1:83" x14ac:dyDescent="0.25">
      <c r="AS58" t="s">
        <v>54</v>
      </c>
    </row>
    <row r="60" spans="1:83" x14ac:dyDescent="0.25">
      <c r="D60" s="5"/>
      <c r="E60" s="5" t="s">
        <v>2</v>
      </c>
      <c r="F60" s="5" t="s">
        <v>2</v>
      </c>
      <c r="G60" t="s">
        <v>2</v>
      </c>
      <c r="H60" t="s">
        <v>2</v>
      </c>
      <c r="I60" t="s">
        <v>2</v>
      </c>
      <c r="J60" t="s">
        <v>2</v>
      </c>
      <c r="K60" s="5" t="s">
        <v>2</v>
      </c>
      <c r="L60" t="s">
        <v>27</v>
      </c>
      <c r="M60" t="s">
        <v>27</v>
      </c>
      <c r="N60" t="s">
        <v>27</v>
      </c>
      <c r="O60" t="s">
        <v>27</v>
      </c>
      <c r="P60" s="5" t="s">
        <v>27</v>
      </c>
      <c r="Q60" s="5" t="s">
        <v>27</v>
      </c>
      <c r="R60" s="5" t="s">
        <v>28</v>
      </c>
      <c r="S60" t="s">
        <v>28</v>
      </c>
      <c r="T60" t="s">
        <v>28</v>
      </c>
      <c r="U60" t="s">
        <v>28</v>
      </c>
      <c r="V60" s="5" t="s">
        <v>28</v>
      </c>
      <c r="W60" s="5" t="s">
        <v>28</v>
      </c>
      <c r="X60" s="5" t="s">
        <v>28</v>
      </c>
      <c r="Y60" s="5" t="s">
        <v>46</v>
      </c>
      <c r="Z60" s="5" t="s">
        <v>46</v>
      </c>
      <c r="AA60" s="5" t="s">
        <v>46</v>
      </c>
      <c r="AB60" s="5" t="s">
        <v>46</v>
      </c>
      <c r="AC60" s="5" t="s">
        <v>46</v>
      </c>
      <c r="AD60" s="5" t="s">
        <v>46</v>
      </c>
      <c r="AF60" s="5" t="s">
        <v>69</v>
      </c>
      <c r="AG60" s="5" t="s">
        <v>69</v>
      </c>
      <c r="AH60" s="5" t="s">
        <v>69</v>
      </c>
      <c r="AI60" s="5" t="s">
        <v>69</v>
      </c>
      <c r="AJ60" s="5" t="s">
        <v>69</v>
      </c>
      <c r="AK60" s="5" t="s">
        <v>69</v>
      </c>
      <c r="AL60" s="5" t="s">
        <v>69</v>
      </c>
      <c r="AM60" s="5" t="s">
        <v>69</v>
      </c>
      <c r="AN60" s="5" t="s">
        <v>69</v>
      </c>
      <c r="AO60" s="5" t="s">
        <v>69</v>
      </c>
      <c r="AP60" s="5" t="s">
        <v>69</v>
      </c>
      <c r="AQ60" s="5" t="s">
        <v>69</v>
      </c>
      <c r="AT60" t="s">
        <v>2</v>
      </c>
      <c r="AU60" t="s">
        <v>2</v>
      </c>
      <c r="AV60" t="s">
        <v>2</v>
      </c>
      <c r="AW60" t="s">
        <v>2</v>
      </c>
      <c r="AX60" t="s">
        <v>2</v>
      </c>
      <c r="AY60" t="s">
        <v>2</v>
      </c>
      <c r="AZ60" t="s">
        <v>27</v>
      </c>
      <c r="BA60" t="s">
        <v>27</v>
      </c>
      <c r="BB60" t="s">
        <v>27</v>
      </c>
      <c r="BC60" t="s">
        <v>27</v>
      </c>
      <c r="BD60" t="s">
        <v>27</v>
      </c>
      <c r="BE60" t="s">
        <v>27</v>
      </c>
      <c r="BF60" t="s">
        <v>28</v>
      </c>
      <c r="BG60" t="s">
        <v>28</v>
      </c>
      <c r="BH60" t="s">
        <v>28</v>
      </c>
      <c r="BI60" t="s">
        <v>28</v>
      </c>
      <c r="BJ60" t="s">
        <v>28</v>
      </c>
      <c r="BK60" t="s">
        <v>28</v>
      </c>
      <c r="BL60" t="s">
        <v>28</v>
      </c>
      <c r="BM60" t="s">
        <v>46</v>
      </c>
      <c r="BN60" t="s">
        <v>46</v>
      </c>
      <c r="BO60" t="s">
        <v>46</v>
      </c>
      <c r="BP60" t="s">
        <v>46</v>
      </c>
      <c r="BQ60" t="s">
        <v>46</v>
      </c>
      <c r="BR60" t="s">
        <v>46</v>
      </c>
      <c r="BT60" t="s">
        <v>69</v>
      </c>
      <c r="BU60" t="s">
        <v>69</v>
      </c>
      <c r="BV60" t="s">
        <v>69</v>
      </c>
      <c r="BW60" t="s">
        <v>69</v>
      </c>
      <c r="BX60" t="s">
        <v>69</v>
      </c>
      <c r="BY60" t="s">
        <v>69</v>
      </c>
      <c r="BZ60" t="s">
        <v>69</v>
      </c>
      <c r="CA60" t="s">
        <v>69</v>
      </c>
      <c r="CB60" t="s">
        <v>69</v>
      </c>
      <c r="CC60" t="s">
        <v>69</v>
      </c>
      <c r="CD60" t="s">
        <v>69</v>
      </c>
      <c r="CE60" t="s">
        <v>69</v>
      </c>
    </row>
    <row r="61" spans="1:83" x14ac:dyDescent="0.25">
      <c r="D61" s="5"/>
      <c r="E61" s="5"/>
      <c r="F61" s="5"/>
      <c r="K61" s="5"/>
      <c r="M61" t="s">
        <v>36</v>
      </c>
      <c r="N61" t="s">
        <v>39</v>
      </c>
      <c r="O61" t="s">
        <v>40</v>
      </c>
      <c r="P61" s="5"/>
      <c r="Q61" s="5"/>
      <c r="R61" s="5"/>
      <c r="V61" s="5"/>
      <c r="W61" s="5"/>
      <c r="X61" s="5"/>
      <c r="Y61" s="5"/>
      <c r="Z61" s="5"/>
      <c r="AA61" s="5"/>
      <c r="AB61" s="5"/>
      <c r="AC61" s="5"/>
      <c r="AD61" s="5"/>
      <c r="AF61" s="5"/>
      <c r="AG61" s="5"/>
      <c r="AH61" s="5"/>
      <c r="AI61" s="5"/>
      <c r="AJ61" s="5"/>
      <c r="AK61" s="5"/>
      <c r="AL61" s="5"/>
      <c r="AM61" s="5"/>
      <c r="AN61" s="5"/>
      <c r="AO61" s="5"/>
      <c r="AP61" s="5"/>
      <c r="AQ61" s="5"/>
      <c r="BA61" t="s">
        <v>36</v>
      </c>
      <c r="BB61" t="s">
        <v>39</v>
      </c>
      <c r="BC61" t="s">
        <v>40</v>
      </c>
    </row>
    <row r="62" spans="1:83" x14ac:dyDescent="0.25">
      <c r="C62" t="s">
        <v>2</v>
      </c>
      <c r="D62" s="5"/>
      <c r="E62" s="5"/>
      <c r="F62" s="5"/>
      <c r="G62" t="s">
        <v>7</v>
      </c>
      <c r="H62" t="s">
        <v>4</v>
      </c>
      <c r="I62" t="s">
        <v>4</v>
      </c>
      <c r="J62" t="s">
        <v>72</v>
      </c>
      <c r="K62" s="5"/>
      <c r="L62" t="s">
        <v>42</v>
      </c>
      <c r="M62" t="s">
        <v>38</v>
      </c>
      <c r="N62" t="s">
        <v>37</v>
      </c>
      <c r="O62" t="s">
        <v>37</v>
      </c>
      <c r="P62" s="5"/>
      <c r="Q62" s="5"/>
      <c r="R62" s="5" t="s">
        <v>74</v>
      </c>
      <c r="S62" t="s">
        <v>29</v>
      </c>
      <c r="T62" t="s">
        <v>32</v>
      </c>
      <c r="U62" t="s">
        <v>31</v>
      </c>
      <c r="V62" s="5"/>
      <c r="W62" s="5"/>
      <c r="X62" s="5"/>
      <c r="Y62" s="5"/>
      <c r="Z62" s="5"/>
      <c r="AA62" s="5"/>
      <c r="AB62" s="5"/>
      <c r="AC62" s="5"/>
      <c r="AD62" s="5"/>
      <c r="AF62" s="5"/>
      <c r="AG62" s="5"/>
      <c r="AH62" s="5"/>
      <c r="AI62" s="5"/>
      <c r="AJ62" s="5"/>
      <c r="AK62" s="5"/>
      <c r="AL62" s="5"/>
      <c r="AM62" s="5"/>
      <c r="AN62" s="5"/>
      <c r="AO62" s="5"/>
      <c r="AP62" s="5"/>
      <c r="AQ62" s="5"/>
      <c r="AV62" t="s">
        <v>4</v>
      </c>
      <c r="AW62" t="s">
        <v>4</v>
      </c>
      <c r="AX62" t="s">
        <v>72</v>
      </c>
      <c r="AZ62" t="s">
        <v>42</v>
      </c>
      <c r="BA62" t="s">
        <v>38</v>
      </c>
      <c r="BB62" t="s">
        <v>37</v>
      </c>
      <c r="BC62" t="s">
        <v>37</v>
      </c>
      <c r="BF62" t="s">
        <v>74</v>
      </c>
      <c r="BG62" t="s">
        <v>29</v>
      </c>
      <c r="BH62" t="s">
        <v>32</v>
      </c>
      <c r="BI62" t="s">
        <v>31</v>
      </c>
    </row>
    <row r="63" spans="1:83" x14ac:dyDescent="0.25">
      <c r="A63" t="s">
        <v>1</v>
      </c>
      <c r="B63" t="s">
        <v>0</v>
      </c>
      <c r="C63" t="s">
        <v>3</v>
      </c>
      <c r="D63" s="5" t="s">
        <v>112</v>
      </c>
      <c r="E63" s="5" t="s">
        <v>140</v>
      </c>
      <c r="F63" s="5" t="s">
        <v>141</v>
      </c>
      <c r="G63" t="s">
        <v>8</v>
      </c>
      <c r="H63" t="s">
        <v>5</v>
      </c>
      <c r="I63" t="s">
        <v>15</v>
      </c>
      <c r="J63" t="s">
        <v>15</v>
      </c>
      <c r="K63" s="5" t="s">
        <v>19</v>
      </c>
      <c r="L63" t="s">
        <v>38</v>
      </c>
      <c r="M63" t="s">
        <v>5</v>
      </c>
      <c r="N63" t="s">
        <v>41</v>
      </c>
      <c r="O63" t="s">
        <v>41</v>
      </c>
      <c r="P63" s="5" t="s">
        <v>21</v>
      </c>
      <c r="Q63" s="5" t="s">
        <v>22</v>
      </c>
      <c r="R63" s="5" t="s">
        <v>73</v>
      </c>
      <c r="S63" t="s">
        <v>5</v>
      </c>
      <c r="T63" t="s">
        <v>5</v>
      </c>
      <c r="U63" t="s">
        <v>77</v>
      </c>
      <c r="V63" s="5" t="s">
        <v>24</v>
      </c>
      <c r="W63" s="5" t="s">
        <v>25</v>
      </c>
      <c r="X63" s="5" t="s">
        <v>26</v>
      </c>
      <c r="Y63" s="5" t="s">
        <v>43</v>
      </c>
      <c r="Z63" s="5" t="s">
        <v>44</v>
      </c>
      <c r="AA63" s="5" t="s">
        <v>45</v>
      </c>
      <c r="AB63" s="5" t="s">
        <v>47</v>
      </c>
      <c r="AC63" s="5" t="s">
        <v>48</v>
      </c>
      <c r="AD63" s="5" t="s">
        <v>49</v>
      </c>
      <c r="AE63" t="s">
        <v>70</v>
      </c>
      <c r="AF63" s="5" t="s">
        <v>75</v>
      </c>
      <c r="AG63" s="5" t="s">
        <v>55</v>
      </c>
      <c r="AH63" s="5" t="s">
        <v>56</v>
      </c>
      <c r="AI63" s="5" t="s">
        <v>57</v>
      </c>
      <c r="AJ63" s="5" t="s">
        <v>58</v>
      </c>
      <c r="AK63" s="5" t="s">
        <v>59</v>
      </c>
      <c r="AL63" s="5" t="s">
        <v>60</v>
      </c>
      <c r="AM63" s="5" t="s">
        <v>61</v>
      </c>
      <c r="AN63" s="5" t="s">
        <v>66</v>
      </c>
      <c r="AO63" s="5" t="s">
        <v>62</v>
      </c>
      <c r="AP63" s="5" t="s">
        <v>63</v>
      </c>
      <c r="AQ63" s="5" t="s">
        <v>64</v>
      </c>
      <c r="AS63" t="s">
        <v>50</v>
      </c>
      <c r="AT63" t="s">
        <v>140</v>
      </c>
      <c r="AU63" t="s">
        <v>141</v>
      </c>
      <c r="AV63" t="s">
        <v>5</v>
      </c>
      <c r="AW63" t="s">
        <v>15</v>
      </c>
      <c r="AX63" t="s">
        <v>15</v>
      </c>
      <c r="AY63" t="s">
        <v>19</v>
      </c>
      <c r="AZ63" t="s">
        <v>38</v>
      </c>
      <c r="BA63" t="s">
        <v>5</v>
      </c>
      <c r="BB63" t="s">
        <v>41</v>
      </c>
      <c r="BC63" t="s">
        <v>41</v>
      </c>
      <c r="BD63" t="s">
        <v>21</v>
      </c>
      <c r="BE63" t="s">
        <v>22</v>
      </c>
      <c r="BF63" t="s">
        <v>73</v>
      </c>
      <c r="BG63" t="s">
        <v>5</v>
      </c>
      <c r="BH63" t="s">
        <v>5</v>
      </c>
      <c r="BI63" t="s">
        <v>77</v>
      </c>
      <c r="BJ63" t="s">
        <v>24</v>
      </c>
      <c r="BK63" t="s">
        <v>25</v>
      </c>
      <c r="BL63" t="s">
        <v>26</v>
      </c>
      <c r="BM63" t="s">
        <v>43</v>
      </c>
      <c r="BN63" t="s">
        <v>44</v>
      </c>
      <c r="BO63" t="s">
        <v>45</v>
      </c>
      <c r="BP63" t="s">
        <v>47</v>
      </c>
      <c r="BQ63" t="s">
        <v>48</v>
      </c>
      <c r="BR63" t="s">
        <v>49</v>
      </c>
      <c r="BS63" t="s">
        <v>70</v>
      </c>
      <c r="BT63" t="s">
        <v>75</v>
      </c>
      <c r="BU63" t="s">
        <v>55</v>
      </c>
      <c r="BV63" t="s">
        <v>56</v>
      </c>
      <c r="BW63" t="s">
        <v>57</v>
      </c>
      <c r="BX63" t="s">
        <v>58</v>
      </c>
      <c r="BY63" t="s">
        <v>59</v>
      </c>
      <c r="BZ63" t="s">
        <v>60</v>
      </c>
      <c r="CA63" t="s">
        <v>61</v>
      </c>
      <c r="CB63" t="s">
        <v>66</v>
      </c>
      <c r="CC63" t="s">
        <v>62</v>
      </c>
      <c r="CD63" t="s">
        <v>63</v>
      </c>
      <c r="CE63" t="s">
        <v>64</v>
      </c>
    </row>
    <row r="64" spans="1:83" x14ac:dyDescent="0.25">
      <c r="D64" s="5"/>
      <c r="E64" s="5"/>
      <c r="F64" s="5"/>
      <c r="H64" t="s">
        <v>6</v>
      </c>
      <c r="I64" t="s">
        <v>6</v>
      </c>
      <c r="J64" t="s">
        <v>6</v>
      </c>
      <c r="K64" s="5" t="s">
        <v>20</v>
      </c>
      <c r="L64" t="s">
        <v>35</v>
      </c>
      <c r="M64" t="s">
        <v>35</v>
      </c>
      <c r="N64" t="s">
        <v>35</v>
      </c>
      <c r="O64" t="s">
        <v>35</v>
      </c>
      <c r="P64" s="5" t="s">
        <v>23</v>
      </c>
      <c r="Q64" s="5" t="s">
        <v>20</v>
      </c>
      <c r="R64" s="5"/>
      <c r="S64" s="4" t="s">
        <v>30</v>
      </c>
      <c r="T64" s="4" t="s">
        <v>30</v>
      </c>
      <c r="U64" s="4" t="s">
        <v>30</v>
      </c>
      <c r="V64" s="7" t="s">
        <v>33</v>
      </c>
      <c r="W64" s="7" t="s">
        <v>33</v>
      </c>
      <c r="X64" s="7" t="s">
        <v>33</v>
      </c>
      <c r="Y64" s="7" t="s">
        <v>20</v>
      </c>
      <c r="Z64" s="7" t="s">
        <v>20</v>
      </c>
      <c r="AA64" s="7" t="s">
        <v>20</v>
      </c>
      <c r="AB64" s="7" t="s">
        <v>20</v>
      </c>
      <c r="AC64" s="7" t="s">
        <v>20</v>
      </c>
      <c r="AD64" s="7" t="s">
        <v>20</v>
      </c>
      <c r="AE64" s="4"/>
      <c r="AF64" s="7"/>
      <c r="AG64" s="7"/>
      <c r="AH64" s="7" t="s">
        <v>71</v>
      </c>
      <c r="AI64" s="7" t="s">
        <v>23</v>
      </c>
      <c r="AJ64" s="7" t="s">
        <v>67</v>
      </c>
      <c r="AK64" s="7" t="s">
        <v>23</v>
      </c>
      <c r="AL64" s="7" t="s">
        <v>68</v>
      </c>
      <c r="AM64" s="7"/>
      <c r="AN64" s="7"/>
      <c r="AO64" s="7"/>
      <c r="AP64" s="7" t="s">
        <v>23</v>
      </c>
      <c r="AQ64" s="7" t="s">
        <v>23</v>
      </c>
      <c r="AV64" t="s">
        <v>6</v>
      </c>
      <c r="AW64" t="s">
        <v>6</v>
      </c>
      <c r="AX64" t="s">
        <v>6</v>
      </c>
      <c r="AY64" t="s">
        <v>20</v>
      </c>
      <c r="AZ64" t="s">
        <v>35</v>
      </c>
      <c r="BA64" s="4" t="s">
        <v>35</v>
      </c>
      <c r="BB64" s="4" t="s">
        <v>35</v>
      </c>
      <c r="BC64" s="4" t="s">
        <v>35</v>
      </c>
      <c r="BD64" s="4" t="s">
        <v>23</v>
      </c>
      <c r="BE64" s="4" t="s">
        <v>20</v>
      </c>
      <c r="BF64" s="4"/>
      <c r="BG64" s="4" t="s">
        <v>30</v>
      </c>
      <c r="BH64" s="4" t="s">
        <v>30</v>
      </c>
      <c r="BI64" s="4" t="s">
        <v>30</v>
      </c>
      <c r="BJ64" s="4" t="s">
        <v>33</v>
      </c>
      <c r="BK64" s="4" t="s">
        <v>33</v>
      </c>
      <c r="BL64" s="4" t="s">
        <v>33</v>
      </c>
      <c r="BM64" s="4" t="s">
        <v>20</v>
      </c>
      <c r="BN64" s="4" t="s">
        <v>20</v>
      </c>
      <c r="BO64" s="4" t="s">
        <v>20</v>
      </c>
      <c r="BP64" s="4" t="s">
        <v>20</v>
      </c>
      <c r="BQ64" s="4" t="s">
        <v>20</v>
      </c>
      <c r="BR64" s="4" t="s">
        <v>20</v>
      </c>
      <c r="BS64" s="4"/>
      <c r="BT64" s="4"/>
      <c r="BU64" s="4"/>
      <c r="BV64" s="4" t="s">
        <v>71</v>
      </c>
      <c r="BW64" s="4" t="s">
        <v>23</v>
      </c>
      <c r="BX64" s="4" t="s">
        <v>67</v>
      </c>
      <c r="BY64" t="s">
        <v>23</v>
      </c>
      <c r="BZ64" t="s">
        <v>68</v>
      </c>
      <c r="CD64" t="s">
        <v>23</v>
      </c>
      <c r="CE64" t="s">
        <v>23</v>
      </c>
    </row>
    <row r="65" spans="1:83" x14ac:dyDescent="0.25">
      <c r="A65" t="s">
        <v>1</v>
      </c>
      <c r="B65" t="s">
        <v>0</v>
      </c>
      <c r="C65" t="s">
        <v>3</v>
      </c>
      <c r="D65" s="5" t="s">
        <v>112</v>
      </c>
      <c r="E65" s="5" t="s">
        <v>140</v>
      </c>
      <c r="F65" s="5" t="s">
        <v>141</v>
      </c>
      <c r="K65" s="5" t="s">
        <v>19</v>
      </c>
      <c r="P65" s="5" t="s">
        <v>21</v>
      </c>
      <c r="Q65" s="5" t="s">
        <v>22</v>
      </c>
      <c r="R65" s="5" t="s">
        <v>73</v>
      </c>
      <c r="V65" s="5" t="s">
        <v>24</v>
      </c>
      <c r="W65" s="5" t="s">
        <v>25</v>
      </c>
      <c r="X65" s="5" t="s">
        <v>26</v>
      </c>
      <c r="Y65" s="5" t="s">
        <v>43</v>
      </c>
      <c r="Z65" s="5" t="s">
        <v>44</v>
      </c>
      <c r="AA65" s="5" t="s">
        <v>45</v>
      </c>
      <c r="AB65" s="5" t="s">
        <v>47</v>
      </c>
      <c r="AC65" s="5" t="s">
        <v>48</v>
      </c>
      <c r="AD65" s="5" t="s">
        <v>49</v>
      </c>
      <c r="AF65" s="5" t="s">
        <v>75</v>
      </c>
      <c r="AG65" s="5" t="s">
        <v>55</v>
      </c>
      <c r="AH65" s="5" t="s">
        <v>56</v>
      </c>
      <c r="AI65" s="5" t="s">
        <v>57</v>
      </c>
      <c r="AJ65" s="5" t="s">
        <v>58</v>
      </c>
      <c r="AK65" s="5" t="s">
        <v>59</v>
      </c>
      <c r="AL65" s="5" t="s">
        <v>60</v>
      </c>
      <c r="AM65" s="5" t="s">
        <v>61</v>
      </c>
      <c r="AN65" s="5" t="s">
        <v>66</v>
      </c>
      <c r="AO65" s="5" t="s">
        <v>62</v>
      </c>
      <c r="AP65" s="5" t="s">
        <v>63</v>
      </c>
      <c r="AQ65" s="5" t="s">
        <v>64</v>
      </c>
      <c r="AS65" t="s">
        <v>50</v>
      </c>
      <c r="AT65" t="s">
        <v>140</v>
      </c>
      <c r="AU65" t="s">
        <v>141</v>
      </c>
      <c r="AY65" t="s">
        <v>19</v>
      </c>
      <c r="BD65" t="s">
        <v>21</v>
      </c>
      <c r="BE65" t="s">
        <v>22</v>
      </c>
      <c r="BF65" t="s">
        <v>73</v>
      </c>
      <c r="BJ65" t="s">
        <v>24</v>
      </c>
      <c r="BK65" t="s">
        <v>25</v>
      </c>
      <c r="BL65" t="s">
        <v>26</v>
      </c>
      <c r="BM65" t="s">
        <v>43</v>
      </c>
      <c r="BN65" t="s">
        <v>44</v>
      </c>
      <c r="BO65" t="s">
        <v>45</v>
      </c>
      <c r="BP65" t="s">
        <v>47</v>
      </c>
      <c r="BQ65" t="s">
        <v>48</v>
      </c>
      <c r="BR65" t="s">
        <v>49</v>
      </c>
      <c r="BT65" t="s">
        <v>75</v>
      </c>
      <c r="BU65" t="s">
        <v>55</v>
      </c>
      <c r="BV65" t="s">
        <v>56</v>
      </c>
      <c r="BW65" t="s">
        <v>57</v>
      </c>
      <c r="BX65" t="s">
        <v>58</v>
      </c>
      <c r="BY65" t="s">
        <v>59</v>
      </c>
      <c r="BZ65" t="s">
        <v>60</v>
      </c>
      <c r="CA65" t="s">
        <v>61</v>
      </c>
      <c r="CB65" t="s">
        <v>66</v>
      </c>
      <c r="CC65" t="s">
        <v>62</v>
      </c>
      <c r="CD65" t="s">
        <v>63</v>
      </c>
      <c r="CE65" t="s">
        <v>64</v>
      </c>
    </row>
    <row r="66" spans="1:83" x14ac:dyDescent="0.25">
      <c r="A66" s="1" t="s">
        <v>113</v>
      </c>
      <c r="B66" s="2" t="s">
        <v>113</v>
      </c>
      <c r="C66" t="s">
        <v>121</v>
      </c>
      <c r="D66" s="5" t="s">
        <v>80</v>
      </c>
      <c r="E66" s="5" t="s">
        <v>142</v>
      </c>
      <c r="F66" s="17">
        <v>45243</v>
      </c>
      <c r="G66">
        <v>1</v>
      </c>
      <c r="H66" s="3">
        <v>2.9</v>
      </c>
      <c r="I66" s="3">
        <f>H66-$A$47</f>
        <v>2.44</v>
      </c>
      <c r="J66" s="3">
        <f>($A$51-$A$47)*$A$55</f>
        <v>0.53374999999999995</v>
      </c>
      <c r="K66" s="6">
        <f>(I66+J66)*$A$48/$A$49*$A$50</f>
        <v>663.8135875984251</v>
      </c>
      <c r="L66" s="4">
        <v>10.39</v>
      </c>
      <c r="M66" s="4">
        <v>115.91</v>
      </c>
      <c r="N66" s="4">
        <v>105.52</v>
      </c>
      <c r="O66" s="4">
        <v>102.53</v>
      </c>
      <c r="P66" s="7">
        <f>(N66-O66)/N66*100</f>
        <v>2.8335860500379026</v>
      </c>
      <c r="Q66" s="6">
        <f>K66*(1-P66/100)</f>
        <v>645.00385838197997</v>
      </c>
      <c r="R66" s="14">
        <v>45244</v>
      </c>
      <c r="S66" s="4">
        <v>1.2</v>
      </c>
      <c r="T66" s="13">
        <v>0.58499999999999996</v>
      </c>
      <c r="U66" s="13">
        <v>2.13</v>
      </c>
      <c r="V66" s="8">
        <f>(T66-$A$56)/(S66-$A$47*$A$48)</f>
        <v>0.3056445343171631</v>
      </c>
      <c r="W66" s="8">
        <f>(U66-$A$57)/(S66-$A$47*$A$48)</f>
        <v>0.43375296949300368</v>
      </c>
      <c r="X66" s="8">
        <f>1-V66-W66</f>
        <v>0.26060249618983322</v>
      </c>
      <c r="Y66" s="6">
        <f>K66*V66</f>
        <v>202.89099485492599</v>
      </c>
      <c r="Z66" s="6">
        <f>K66*W66</f>
        <v>287.93111481062101</v>
      </c>
      <c r="AA66" s="6">
        <f>SUM(Y66:Z66)</f>
        <v>490.82210966554703</v>
      </c>
      <c r="AB66" s="6">
        <f>Q66*V66</f>
        <v>197.14190392793367</v>
      </c>
      <c r="AC66" s="6">
        <f>Q66*W66</f>
        <v>279.77233890762864</v>
      </c>
      <c r="AD66" s="6">
        <f>SUM(AB66:AC66)</f>
        <v>476.91424283556228</v>
      </c>
      <c r="AE66" s="18" t="s">
        <v>182</v>
      </c>
      <c r="AF66" s="14">
        <v>45295</v>
      </c>
      <c r="AG66" s="6">
        <v>36.1</v>
      </c>
      <c r="AH66" s="11">
        <v>1.0589999999999999</v>
      </c>
      <c r="AI66" s="6">
        <v>80</v>
      </c>
      <c r="AJ66" s="6">
        <v>26</v>
      </c>
      <c r="AK66" s="6">
        <v>4.7</v>
      </c>
      <c r="AL66" s="6">
        <v>76.099999999999994</v>
      </c>
      <c r="AM66" s="6">
        <v>9</v>
      </c>
      <c r="AN66" s="16" t="s">
        <v>214</v>
      </c>
      <c r="AO66" s="12">
        <v>26</v>
      </c>
      <c r="AP66" s="7">
        <v>0.49</v>
      </c>
      <c r="AQ66" s="6">
        <v>12.3</v>
      </c>
      <c r="AS66" s="4" t="s">
        <v>123</v>
      </c>
      <c r="AT66" s="4" t="str">
        <f>E66</f>
        <v>Machine</v>
      </c>
      <c r="AU66" s="15">
        <f>F66</f>
        <v>45243</v>
      </c>
      <c r="AV66" s="3">
        <f>SUM(H66:H67)</f>
        <v>8.6999999999999993</v>
      </c>
      <c r="AW66" s="3">
        <f>AV66-2*$A$47</f>
        <v>7.7799999999999994</v>
      </c>
      <c r="AX66" s="3">
        <f>SUM(J66:J67)</f>
        <v>1.43</v>
      </c>
      <c r="AY66" s="3">
        <f>(AW66+AX66)*$A$48/(2*$A$49)*$A$50</f>
        <v>1027.948405511811</v>
      </c>
      <c r="AZ66" s="4">
        <f>SUM(L66:L67)</f>
        <v>21.43</v>
      </c>
      <c r="BA66" s="4">
        <f>SUM(M66:M67)</f>
        <v>304.5</v>
      </c>
      <c r="BB66" s="4">
        <f>BA66-AZ66</f>
        <v>283.07</v>
      </c>
      <c r="BC66" s="4">
        <f>SUM(O66:O67)</f>
        <v>271.13</v>
      </c>
      <c r="BD66" s="4">
        <f>(BB66-BC66)/BB66*100</f>
        <v>4.2180379411452993</v>
      </c>
      <c r="BE66" s="3">
        <f>AY66*(1-BD66/100)</f>
        <v>984.58915175192465</v>
      </c>
      <c r="BF66" s="15">
        <v>45244</v>
      </c>
      <c r="BG66" s="4">
        <f>SUM(S66:S67)</f>
        <v>3.4000000000000004</v>
      </c>
      <c r="BH66" s="13">
        <f>SUM(T66:T67)</f>
        <v>1.605</v>
      </c>
      <c r="BI66" s="13">
        <f>SUM(U66:U67)</f>
        <v>4.8499999999999996</v>
      </c>
      <c r="BJ66" s="9">
        <f>(BH66-2*$A$56)/(BG66-2*$A$47*$A$48)</f>
        <v>0.34901318249276381</v>
      </c>
      <c r="BK66" s="9">
        <f>(BI66-2*$A$57)/(BG66-2*$A$47*$A$48)</f>
        <v>0.48613747801585733</v>
      </c>
      <c r="BL66" s="9">
        <f>1-BJ66-BK66</f>
        <v>0.16484933949137887</v>
      </c>
      <c r="BM66" s="3">
        <f>AY66*BJ66</f>
        <v>358.76754444603927</v>
      </c>
      <c r="BN66" s="3">
        <f>AY66*BK66</f>
        <v>499.72424538593361</v>
      </c>
      <c r="BO66" s="3">
        <f>SUM(BM66:BN66)</f>
        <v>858.49178983197294</v>
      </c>
      <c r="BP66" s="3">
        <f>BE66*BJ66</f>
        <v>343.63459330079002</v>
      </c>
      <c r="BQ66" s="3">
        <f>BE66*BK66</f>
        <v>478.64568711445287</v>
      </c>
      <c r="BR66" s="3">
        <f>SUM(BP66:BQ66)</f>
        <v>822.28028041524294</v>
      </c>
      <c r="BS66" s="3"/>
      <c r="BT66" s="15">
        <f>AF67</f>
        <v>45295</v>
      </c>
      <c r="BU66" s="3">
        <f>AVERAGE(AG66:AG67)</f>
        <v>39.950000000000003</v>
      </c>
      <c r="BV66" s="13">
        <f t="shared" ref="BV66:CE66" si="0">AVERAGE(AH66:AH67)</f>
        <v>1.0579999999999998</v>
      </c>
      <c r="BW66" s="3">
        <f t="shared" si="0"/>
        <v>80.849999999999994</v>
      </c>
      <c r="BX66" s="3">
        <f t="shared" si="0"/>
        <v>26.85</v>
      </c>
      <c r="BY66" s="3">
        <f t="shared" si="0"/>
        <v>4.7</v>
      </c>
      <c r="BZ66" s="3">
        <f t="shared" si="0"/>
        <v>77.3</v>
      </c>
      <c r="CA66" s="3">
        <f t="shared" si="0"/>
        <v>8.9</v>
      </c>
      <c r="CB66" s="3"/>
      <c r="CC66" s="10">
        <f t="shared" si="0"/>
        <v>23</v>
      </c>
      <c r="CD66" s="4">
        <f t="shared" si="0"/>
        <v>0.40500000000000003</v>
      </c>
      <c r="CE66" s="3">
        <f t="shared" si="0"/>
        <v>11.8</v>
      </c>
    </row>
    <row r="67" spans="1:83" x14ac:dyDescent="0.25">
      <c r="A67" s="1" t="s">
        <v>113</v>
      </c>
      <c r="B67" s="2" t="s">
        <v>113</v>
      </c>
      <c r="C67" t="s">
        <v>122</v>
      </c>
      <c r="D67" s="5" t="s">
        <v>81</v>
      </c>
      <c r="E67" s="5" t="s">
        <v>142</v>
      </c>
      <c r="F67" s="17">
        <v>45243</v>
      </c>
      <c r="G67">
        <v>3</v>
      </c>
      <c r="H67" s="3">
        <v>5.8</v>
      </c>
      <c r="I67" s="3">
        <f t="shared" ref="I67:I97" si="1">H67-$A$47</f>
        <v>5.34</v>
      </c>
      <c r="J67" s="3">
        <f>($A$53-$A$47)*$A$55</f>
        <v>0.89624999999999999</v>
      </c>
      <c r="K67" s="6">
        <f t="shared" ref="K67:K97" si="2">(I67+J67)*$A$48/$A$49*$A$50</f>
        <v>1392.0832234251968</v>
      </c>
      <c r="L67" s="4">
        <v>11.04</v>
      </c>
      <c r="M67" s="4">
        <v>188.59</v>
      </c>
      <c r="N67" s="4">
        <v>177.55</v>
      </c>
      <c r="O67" s="4">
        <v>168.6</v>
      </c>
      <c r="P67" s="7">
        <f t="shared" ref="P67:P97" si="3">(N67-O67)/N67*100</f>
        <v>5.0408335680090204</v>
      </c>
      <c r="Q67" s="6">
        <f t="shared" ref="Q67:Q97" si="4">K67*(1-P67/100)</f>
        <v>1321.9106250041575</v>
      </c>
      <c r="R67" s="14">
        <v>45244</v>
      </c>
      <c r="S67" s="4">
        <v>2.2000000000000002</v>
      </c>
      <c r="T67" s="13">
        <v>1.02</v>
      </c>
      <c r="U67" s="13">
        <v>2.72</v>
      </c>
      <c r="V67" s="8">
        <f t="shared" ref="V67:V97" si="5">(T67-$A$56)/(S67-$A$47*$A$48)</f>
        <v>0.37060328912528223</v>
      </c>
      <c r="W67" s="8">
        <f t="shared" ref="W67:W97" si="6">(U67-$A$57)/(S67-$A$47*$A$48)</f>
        <v>0.51221592805933325</v>
      </c>
      <c r="X67" s="8">
        <f t="shared" ref="X67:X97" si="7">1-V67-W67</f>
        <v>0.11718078281538458</v>
      </c>
      <c r="Y67" s="6">
        <f t="shared" ref="Y67:Y97" si="8">K67*V67</f>
        <v>515.91062133750313</v>
      </c>
      <c r="Z67" s="6">
        <f t="shared" ref="Z67:Z97" si="9">K67*W67</f>
        <v>713.04720022256538</v>
      </c>
      <c r="AA67" s="6">
        <f t="shared" ref="AA67:AA97" si="10">SUM(Y67:Z67)</f>
        <v>1228.9578215600686</v>
      </c>
      <c r="AB67" s="6">
        <f t="shared" ref="AB67:AB97" si="11">Q67*V67</f>
        <v>489.90442555619831</v>
      </c>
      <c r="AC67" s="6">
        <f t="shared" ref="AC67:AC97" si="12">Q67*W67</f>
        <v>677.10367759799783</v>
      </c>
      <c r="AD67" s="6">
        <f t="shared" ref="AD67:AD97" si="13">SUM(AB67:AC67)</f>
        <v>1167.0081031541961</v>
      </c>
      <c r="AE67" s="18" t="s">
        <v>183</v>
      </c>
      <c r="AF67" s="14">
        <v>45295</v>
      </c>
      <c r="AG67" s="6">
        <v>43.8</v>
      </c>
      <c r="AH67" s="11">
        <v>1.0569999999999999</v>
      </c>
      <c r="AI67" s="6">
        <v>81.7</v>
      </c>
      <c r="AJ67" s="6">
        <v>27.7</v>
      </c>
      <c r="AK67" s="6">
        <v>4.7</v>
      </c>
      <c r="AL67" s="6">
        <v>78.5</v>
      </c>
      <c r="AM67" s="6">
        <v>8.8000000000000007</v>
      </c>
      <c r="AN67" s="16" t="s">
        <v>65</v>
      </c>
      <c r="AO67" s="12">
        <v>20</v>
      </c>
      <c r="AP67" s="7">
        <v>0.32</v>
      </c>
      <c r="AQ67" s="6">
        <v>11.3</v>
      </c>
      <c r="AV67" s="3"/>
      <c r="AW67" s="3"/>
      <c r="AX67" s="3"/>
      <c r="AY67" s="3"/>
      <c r="AZ67" s="4"/>
      <c r="BA67" s="4"/>
      <c r="BB67" s="4"/>
      <c r="BC67" s="4"/>
      <c r="BD67" s="4"/>
      <c r="BE67" s="3"/>
      <c r="BF67" s="3"/>
      <c r="BG67" s="4"/>
      <c r="BH67" s="13"/>
      <c r="BI67" s="13"/>
      <c r="BJ67" s="9"/>
      <c r="BK67" s="9"/>
      <c r="BL67" s="9"/>
      <c r="BM67" s="3"/>
      <c r="BN67" s="3"/>
      <c r="BO67" s="3"/>
      <c r="BP67" s="3"/>
      <c r="BQ67" s="3"/>
      <c r="BR67" s="3"/>
      <c r="BT67" s="15"/>
      <c r="BU67" s="3"/>
      <c r="BV67" s="13"/>
      <c r="BW67" s="3"/>
      <c r="BX67" s="3"/>
      <c r="BY67" s="3"/>
      <c r="BZ67" s="3"/>
      <c r="CA67" s="3"/>
      <c r="CB67" s="10"/>
      <c r="CC67" s="10"/>
      <c r="CD67" s="4"/>
      <c r="CE67" s="3"/>
    </row>
    <row r="68" spans="1:83" x14ac:dyDescent="0.25">
      <c r="A68" s="1" t="s">
        <v>113</v>
      </c>
      <c r="B68" s="2" t="s">
        <v>114</v>
      </c>
      <c r="C68" t="s">
        <v>121</v>
      </c>
      <c r="D68" s="5" t="s">
        <v>82</v>
      </c>
      <c r="E68" s="5" t="s">
        <v>142</v>
      </c>
      <c r="F68" s="17">
        <v>45243</v>
      </c>
      <c r="G68">
        <v>1</v>
      </c>
      <c r="H68" s="3">
        <v>5.9</v>
      </c>
      <c r="I68" s="3">
        <f t="shared" si="1"/>
        <v>5.44</v>
      </c>
      <c r="J68" s="3">
        <f>($A$51-$A$47)*$A$55</f>
        <v>0.53374999999999995</v>
      </c>
      <c r="K68" s="6">
        <f t="shared" si="2"/>
        <v>1333.486815944882</v>
      </c>
      <c r="L68" s="4">
        <v>11.03</v>
      </c>
      <c r="M68" s="4">
        <v>159.97</v>
      </c>
      <c r="N68" s="4">
        <v>148.94</v>
      </c>
      <c r="O68" s="4">
        <v>141</v>
      </c>
      <c r="P68" s="7">
        <f t="shared" si="3"/>
        <v>5.3310057741372354</v>
      </c>
      <c r="Q68" s="6">
        <f t="shared" si="4"/>
        <v>1262.3985567895015</v>
      </c>
      <c r="R68" s="14">
        <v>45244</v>
      </c>
      <c r="S68" s="4">
        <v>2.5299999999999998</v>
      </c>
      <c r="T68" s="13">
        <v>1.0249999999999999</v>
      </c>
      <c r="U68" s="13">
        <v>2.758</v>
      </c>
      <c r="V68" s="8">
        <f t="shared" si="5"/>
        <v>0.32007269156682294</v>
      </c>
      <c r="W68" s="8">
        <f t="shared" si="6"/>
        <v>0.45576972769542223</v>
      </c>
      <c r="X68" s="8">
        <f t="shared" si="7"/>
        <v>0.22415758073775482</v>
      </c>
      <c r="Y68" s="6">
        <f t="shared" si="8"/>
        <v>426.81271434835099</v>
      </c>
      <c r="Z68" s="6">
        <f t="shared" si="9"/>
        <v>607.7629229886345</v>
      </c>
      <c r="AA68" s="6">
        <f t="shared" si="10"/>
        <v>1034.5756373369854</v>
      </c>
      <c r="AB68" s="6">
        <f t="shared" si="11"/>
        <v>404.05930390168857</v>
      </c>
      <c r="AC68" s="6">
        <f t="shared" si="12"/>
        <v>575.3630464710451</v>
      </c>
      <c r="AD68" s="6">
        <f t="shared" si="13"/>
        <v>979.42235037273372</v>
      </c>
      <c r="AE68" s="18" t="s">
        <v>184</v>
      </c>
      <c r="AF68" s="14">
        <v>45295</v>
      </c>
      <c r="AG68" s="6">
        <v>36.299999999999997</v>
      </c>
      <c r="AH68" s="11">
        <v>1.115</v>
      </c>
      <c r="AI68" s="6">
        <v>81.400000000000006</v>
      </c>
      <c r="AJ68" s="6">
        <v>29.7</v>
      </c>
      <c r="AK68" s="6">
        <v>4.7</v>
      </c>
      <c r="AL68" s="6">
        <v>78.5</v>
      </c>
      <c r="AM68" s="6">
        <v>9</v>
      </c>
      <c r="AN68" s="16" t="s">
        <v>215</v>
      </c>
      <c r="AO68" s="12">
        <v>16</v>
      </c>
      <c r="AP68" s="7">
        <v>0.11</v>
      </c>
      <c r="AQ68" s="6">
        <v>9.1999999999999993</v>
      </c>
      <c r="AS68" t="s">
        <v>124</v>
      </c>
      <c r="AT68" s="4" t="str">
        <f>E68</f>
        <v>Machine</v>
      </c>
      <c r="AU68" s="15">
        <f>F68</f>
        <v>45243</v>
      </c>
      <c r="AV68" s="3">
        <f>SUM(H68:H69)</f>
        <v>10.100000000000001</v>
      </c>
      <c r="AW68" s="3">
        <f>AV68-2*$A$47</f>
        <v>9.1800000000000015</v>
      </c>
      <c r="AX68" s="3">
        <f>SUM(J68:J69)</f>
        <v>1.43</v>
      </c>
      <c r="AY68" s="3">
        <f>(AW68+AX68)*$A$48/(2*$A$49)*$A$50</f>
        <v>1184.2054921259844</v>
      </c>
      <c r="AZ68" s="4">
        <f>SUM(L68:L69)</f>
        <v>21.990000000000002</v>
      </c>
      <c r="BA68" s="4">
        <f>SUM(M68:M69)</f>
        <v>304.57</v>
      </c>
      <c r="BB68" s="4">
        <f>BA68-AZ68</f>
        <v>282.58</v>
      </c>
      <c r="BC68" s="4">
        <f>SUM(O68:O69)</f>
        <v>268.86</v>
      </c>
      <c r="BD68" s="4">
        <f>(BB68-BC68)/BB68*100</f>
        <v>4.8552622266260776</v>
      </c>
      <c r="BE68" s="3">
        <f>AY68*(1-BD68/100)</f>
        <v>1126.70921018116</v>
      </c>
      <c r="BF68" s="15">
        <v>45244</v>
      </c>
      <c r="BG68" s="4">
        <f>SUM(S68:S69)</f>
        <v>8.7799999999999994</v>
      </c>
      <c r="BH68" s="13">
        <f>SUM(T68:T69)</f>
        <v>3.5049999999999999</v>
      </c>
      <c r="BI68" s="13">
        <f>SUM(U68:U69)</f>
        <v>7.3029999999999999</v>
      </c>
      <c r="BJ68" s="9">
        <f>(BH68-2*$A$56)/(BG68-2*$A$47*$A$48)</f>
        <v>0.35168087242149637</v>
      </c>
      <c r="BK68" s="9">
        <f>(BI68-2*$A$57)/(BG68-2*$A$47*$A$48)</f>
        <v>0.46671555425402939</v>
      </c>
      <c r="BL68" s="9">
        <f>1-BJ68-BK68</f>
        <v>0.18160357332447424</v>
      </c>
      <c r="BM68" s="3">
        <f>AY68*BJ68</f>
        <v>416.46242059719367</v>
      </c>
      <c r="BN68" s="3">
        <f>AY68*BK68</f>
        <v>552.68712260824441</v>
      </c>
      <c r="BO68" s="3">
        <f>SUM(BM68:BN68)</f>
        <v>969.14954320543802</v>
      </c>
      <c r="BP68" s="3">
        <f>BE68*BJ68</f>
        <v>396.24207800184547</v>
      </c>
      <c r="BQ68" s="3">
        <f>BE68*BK68</f>
        <v>525.85271351281972</v>
      </c>
      <c r="BR68" s="3">
        <f>SUM(BP68:BQ68)</f>
        <v>922.09479151466519</v>
      </c>
      <c r="BS68" s="3"/>
      <c r="BT68" s="15">
        <f>AF69</f>
        <v>45295</v>
      </c>
      <c r="BU68" s="3">
        <f>AVERAGE(AG68:AG69)</f>
        <v>40.849999999999994</v>
      </c>
      <c r="BV68" s="13">
        <f t="shared" ref="BV68" si="14">AVERAGE(AH68:AH69)</f>
        <v>1.1259999999999999</v>
      </c>
      <c r="BW68" s="3">
        <f t="shared" ref="BW68" si="15">AVERAGE(AI68:AI69)</f>
        <v>81.849999999999994</v>
      </c>
      <c r="BX68" s="3">
        <f t="shared" ref="BX68" si="16">AVERAGE(AJ68:AJ69)</f>
        <v>30.45</v>
      </c>
      <c r="BY68" s="3">
        <f t="shared" ref="BY68" si="17">AVERAGE(AK68:AK69)</f>
        <v>4.9000000000000004</v>
      </c>
      <c r="BZ68" s="3">
        <f t="shared" ref="BZ68" si="18">AVERAGE(AL68:AL69)</f>
        <v>79.599999999999994</v>
      </c>
      <c r="CA68" s="3">
        <f t="shared" ref="CA68" si="19">AVERAGE(AM68:AM69)</f>
        <v>8.9499999999999993</v>
      </c>
      <c r="CB68" s="3"/>
      <c r="CC68" s="10">
        <f t="shared" ref="CC68" si="20">AVERAGE(AO68:AO69)</f>
        <v>12.5</v>
      </c>
      <c r="CD68" s="4">
        <f t="shared" ref="CD68" si="21">AVERAGE(AP68:AP69)</f>
        <v>0.12</v>
      </c>
      <c r="CE68" s="3">
        <f t="shared" ref="CE68" si="22">AVERAGE(AQ68:AQ69)</f>
        <v>8.6499999999999986</v>
      </c>
    </row>
    <row r="69" spans="1:83" x14ac:dyDescent="0.25">
      <c r="A69" s="1" t="s">
        <v>113</v>
      </c>
      <c r="B69" s="2" t="s">
        <v>114</v>
      </c>
      <c r="C69" t="s">
        <v>122</v>
      </c>
      <c r="D69" s="5" t="s">
        <v>83</v>
      </c>
      <c r="E69" s="5" t="s">
        <v>142</v>
      </c>
      <c r="F69" s="17">
        <v>45243</v>
      </c>
      <c r="G69">
        <v>3</v>
      </c>
      <c r="H69" s="3">
        <v>4.2</v>
      </c>
      <c r="I69" s="3">
        <f t="shared" si="1"/>
        <v>3.74</v>
      </c>
      <c r="J69" s="3">
        <f>($A$53-$A$47)*$A$55</f>
        <v>0.89624999999999999</v>
      </c>
      <c r="K69" s="6">
        <f t="shared" si="2"/>
        <v>1034.9241683070866</v>
      </c>
      <c r="L69" s="4">
        <v>10.96</v>
      </c>
      <c r="M69" s="4">
        <v>144.6</v>
      </c>
      <c r="N69" s="4">
        <v>133.63999999999999</v>
      </c>
      <c r="O69" s="4">
        <v>127.86</v>
      </c>
      <c r="P69" s="7">
        <f t="shared" si="3"/>
        <v>4.3250523795270785</v>
      </c>
      <c r="Q69" s="6">
        <f t="shared" si="4"/>
        <v>990.16315593941999</v>
      </c>
      <c r="R69" s="14">
        <v>45244</v>
      </c>
      <c r="S69" s="4">
        <v>6.25</v>
      </c>
      <c r="T69" s="13">
        <v>2.48</v>
      </c>
      <c r="U69" s="13">
        <v>4.5449999999999999</v>
      </c>
      <c r="V69" s="8">
        <f t="shared" si="5"/>
        <v>0.36382610576718205</v>
      </c>
      <c r="W69" s="8">
        <f t="shared" si="6"/>
        <v>0.47092141533559273</v>
      </c>
      <c r="X69" s="8">
        <f t="shared" si="7"/>
        <v>0.16525247889722516</v>
      </c>
      <c r="Y69" s="6">
        <f t="shared" si="8"/>
        <v>376.53242991950702</v>
      </c>
      <c r="Z69" s="6">
        <f t="shared" si="9"/>
        <v>487.36795410418438</v>
      </c>
      <c r="AA69" s="6">
        <f t="shared" si="10"/>
        <v>863.90038402369146</v>
      </c>
      <c r="AB69" s="6">
        <f t="shared" si="11"/>
        <v>360.24720509958217</v>
      </c>
      <c r="AC69" s="6">
        <f t="shared" si="12"/>
        <v>466.28903480814887</v>
      </c>
      <c r="AD69" s="6">
        <f t="shared" si="13"/>
        <v>826.53623990773099</v>
      </c>
      <c r="AE69" s="18" t="s">
        <v>185</v>
      </c>
      <c r="AF69" s="14">
        <v>45295</v>
      </c>
      <c r="AG69" s="6">
        <v>45.4</v>
      </c>
      <c r="AH69" s="11">
        <v>1.137</v>
      </c>
      <c r="AI69" s="6">
        <v>82.3</v>
      </c>
      <c r="AJ69" s="6">
        <v>31.2</v>
      </c>
      <c r="AK69" s="6">
        <v>5.0999999999999996</v>
      </c>
      <c r="AL69" s="6">
        <v>80.7</v>
      </c>
      <c r="AM69" s="6">
        <v>8.9</v>
      </c>
      <c r="AN69" s="16" t="s">
        <v>216</v>
      </c>
      <c r="AO69" s="12">
        <v>9</v>
      </c>
      <c r="AP69" s="7">
        <v>0.13</v>
      </c>
      <c r="AQ69" s="6">
        <v>8.1</v>
      </c>
      <c r="AV69" s="3"/>
      <c r="AW69" s="3"/>
      <c r="AX69" s="3"/>
      <c r="AY69" s="3"/>
      <c r="AZ69" s="4"/>
      <c r="BA69" s="4"/>
      <c r="BB69" s="4"/>
      <c r="BC69" s="4"/>
      <c r="BD69" s="4"/>
      <c r="BE69" s="3"/>
      <c r="BF69" s="3"/>
      <c r="BG69" s="4"/>
      <c r="BH69" s="13"/>
      <c r="BI69" s="13"/>
      <c r="BJ69" s="9"/>
      <c r="BK69" s="9"/>
      <c r="BL69" s="9"/>
      <c r="BM69" s="3"/>
      <c r="BN69" s="3"/>
      <c r="BO69" s="3"/>
      <c r="BP69" s="3"/>
      <c r="BQ69" s="3"/>
      <c r="BR69" s="3"/>
      <c r="BT69" s="15"/>
      <c r="BU69" s="3"/>
      <c r="BV69" s="13"/>
      <c r="BW69" s="3"/>
      <c r="BX69" s="3"/>
      <c r="BY69" s="3"/>
      <c r="BZ69" s="3"/>
      <c r="CA69" s="3"/>
      <c r="CB69" s="10"/>
      <c r="CC69" s="10"/>
      <c r="CD69" s="4"/>
      <c r="CE69" s="3"/>
    </row>
    <row r="70" spans="1:83" x14ac:dyDescent="0.25">
      <c r="A70" s="1" t="s">
        <v>113</v>
      </c>
      <c r="B70" s="2" t="s">
        <v>115</v>
      </c>
      <c r="C70" t="s">
        <v>121</v>
      </c>
      <c r="D70" s="5" t="s">
        <v>84</v>
      </c>
      <c r="E70" s="5" t="s">
        <v>142</v>
      </c>
      <c r="F70" s="17">
        <v>45243</v>
      </c>
      <c r="G70">
        <v>1</v>
      </c>
      <c r="H70" s="3">
        <v>5.9</v>
      </c>
      <c r="I70" s="3">
        <f>H70-$A$47</f>
        <v>5.44</v>
      </c>
      <c r="J70" s="3">
        <f>($A$51-$A$47)*$A$55</f>
        <v>0.53374999999999995</v>
      </c>
      <c r="K70" s="6">
        <f t="shared" si="2"/>
        <v>1333.486815944882</v>
      </c>
      <c r="L70" s="4">
        <v>11</v>
      </c>
      <c r="M70" s="4">
        <v>108.14</v>
      </c>
      <c r="N70" s="4">
        <v>97.14</v>
      </c>
      <c r="O70" s="4">
        <v>92.73</v>
      </c>
      <c r="P70" s="7">
        <f t="shared" si="3"/>
        <v>4.5398394070413799</v>
      </c>
      <c r="Q70" s="6">
        <f t="shared" si="4"/>
        <v>1272.9486559869149</v>
      </c>
      <c r="R70" s="14">
        <v>45244</v>
      </c>
      <c r="S70" s="4">
        <v>2.52</v>
      </c>
      <c r="T70" s="13">
        <v>0.995</v>
      </c>
      <c r="U70" s="13">
        <v>2.83</v>
      </c>
      <c r="V70" s="8">
        <f t="shared" si="5"/>
        <v>0.30847803909795174</v>
      </c>
      <c r="W70" s="8">
        <f t="shared" si="6"/>
        <v>0.48889226392803015</v>
      </c>
      <c r="X70" s="8">
        <f t="shared" si="7"/>
        <v>0.20262969697401806</v>
      </c>
      <c r="Y70" s="6">
        <f t="shared" si="8"/>
        <v>411.35139814564849</v>
      </c>
      <c r="Z70" s="6">
        <f t="shared" si="9"/>
        <v>651.93138836547382</v>
      </c>
      <c r="AA70" s="6">
        <f t="shared" si="10"/>
        <v>1063.2827865111224</v>
      </c>
      <c r="AB70" s="6">
        <f t="shared" si="11"/>
        <v>392.67670527121663</v>
      </c>
      <c r="AC70" s="6">
        <f t="shared" si="12"/>
        <v>622.33475028958605</v>
      </c>
      <c r="AD70" s="6">
        <f t="shared" si="13"/>
        <v>1015.0114555608027</v>
      </c>
      <c r="AE70" s="18" t="s">
        <v>186</v>
      </c>
      <c r="AF70" s="14">
        <v>45295</v>
      </c>
      <c r="AG70" s="6">
        <v>40.199999999999996</v>
      </c>
      <c r="AH70" s="11">
        <v>1.083</v>
      </c>
      <c r="AI70" s="6">
        <v>80.3</v>
      </c>
      <c r="AJ70" s="6">
        <v>27</v>
      </c>
      <c r="AK70" s="6">
        <v>5</v>
      </c>
      <c r="AL70" s="6">
        <v>78.900000000000006</v>
      </c>
      <c r="AM70" s="6">
        <v>9</v>
      </c>
      <c r="AN70" s="16" t="s">
        <v>215</v>
      </c>
      <c r="AO70" s="12">
        <v>10</v>
      </c>
      <c r="AP70" s="7">
        <v>0.16</v>
      </c>
      <c r="AQ70" s="6">
        <v>12.3</v>
      </c>
      <c r="AS70" t="s">
        <v>125</v>
      </c>
      <c r="AT70" s="4" t="str">
        <f>E70</f>
        <v>Machine</v>
      </c>
      <c r="AU70" s="15">
        <f>F70</f>
        <v>45243</v>
      </c>
      <c r="AV70" s="3">
        <f>SUM(H70:H71)</f>
        <v>19.600000000000001</v>
      </c>
      <c r="AW70" s="3">
        <f>AV70-2*$A$47</f>
        <v>18.68</v>
      </c>
      <c r="AX70" s="3">
        <f>SUM(J70:J71)</f>
        <v>1.43</v>
      </c>
      <c r="AY70" s="3">
        <f>(AW70+AX70)*$A$48/(2*$A$49)*$A$50</f>
        <v>2244.5214370078738</v>
      </c>
      <c r="AZ70" s="4">
        <f>SUM(L70:L71)</f>
        <v>22</v>
      </c>
      <c r="BA70" s="4">
        <f>SUM(M70:M71)</f>
        <v>246.38</v>
      </c>
      <c r="BB70" s="4">
        <f>BA70-AZ70</f>
        <v>224.38</v>
      </c>
      <c r="BC70" s="4">
        <f>SUM(O70:O71)</f>
        <v>217.02</v>
      </c>
      <c r="BD70" s="4">
        <f>(BB70-BC70)/BB70*100</f>
        <v>3.2801497459666575</v>
      </c>
      <c r="BE70" s="3">
        <f>AY70*(1-BD70/100)</f>
        <v>2170.8977727936931</v>
      </c>
      <c r="BF70" s="15">
        <v>45244</v>
      </c>
      <c r="BG70" s="4">
        <f>SUM(S70:S71)</f>
        <v>8.61</v>
      </c>
      <c r="BH70" s="13">
        <f>SUM(T70:T71)</f>
        <v>3.3850000000000002</v>
      </c>
      <c r="BI70" s="13">
        <f>SUM(U70:U71)</f>
        <v>7.3049999999999997</v>
      </c>
      <c r="BJ70" s="9">
        <f>(BH70-2*$A$56)/(BG70-2*$A$47*$A$48)</f>
        <v>0.34433112376828329</v>
      </c>
      <c r="BK70" s="9">
        <f>(BI70-2*$A$57)/(BG70-2*$A$47*$A$48)</f>
        <v>0.4766441114197611</v>
      </c>
      <c r="BL70" s="9">
        <f>1-BJ70-BK70</f>
        <v>0.17902476481195556</v>
      </c>
      <c r="BM70" s="3">
        <f>AY70*BJ70</f>
        <v>772.85858872692324</v>
      </c>
      <c r="BN70" s="3">
        <f>AY70*BK70</f>
        <v>1069.8379259052233</v>
      </c>
      <c r="BO70" s="3">
        <f>SUM(BM70:BN70)</f>
        <v>1842.6965146321465</v>
      </c>
      <c r="BP70" s="3">
        <f>BE70*BJ70</f>
        <v>747.50766969211566</v>
      </c>
      <c r="BQ70" s="3">
        <f>BE70*BK70</f>
        <v>1034.7456398963882</v>
      </c>
      <c r="BR70" s="3">
        <f>SUM(BP70:BQ70)</f>
        <v>1782.2533095885037</v>
      </c>
      <c r="BS70" s="3"/>
      <c r="BT70" s="15">
        <f>AF71</f>
        <v>45295</v>
      </c>
      <c r="BU70" s="3">
        <f>AVERAGE(AG70:AG71)</f>
        <v>43.75</v>
      </c>
      <c r="BV70" s="13">
        <f t="shared" ref="BV70" si="23">AVERAGE(AH70:AH71)</f>
        <v>1.1094999999999999</v>
      </c>
      <c r="BW70" s="3">
        <f t="shared" ref="BW70" si="24">AVERAGE(AI70:AI71)</f>
        <v>81.349999999999994</v>
      </c>
      <c r="BX70" s="3">
        <f t="shared" ref="BX70" si="25">AVERAGE(AJ70:AJ71)</f>
        <v>28.15</v>
      </c>
      <c r="BY70" s="3">
        <f t="shared" ref="BY70" si="26">AVERAGE(AK70:AK71)</f>
        <v>5.05</v>
      </c>
      <c r="BZ70" s="3">
        <f t="shared" ref="BZ70" si="27">AVERAGE(AL70:AL71)</f>
        <v>79.599999999999994</v>
      </c>
      <c r="CA70" s="3">
        <f t="shared" ref="CA70" si="28">AVERAGE(AM70:AM71)</f>
        <v>8.85</v>
      </c>
      <c r="CB70" s="3"/>
      <c r="CC70" s="10">
        <f t="shared" ref="CC70" si="29">AVERAGE(AO70:AO71)</f>
        <v>9.5</v>
      </c>
      <c r="CD70" s="4">
        <f t="shared" ref="CD70" si="30">AVERAGE(AP70:AP71)</f>
        <v>0.155</v>
      </c>
      <c r="CE70" s="3">
        <f t="shared" ref="CE70" si="31">AVERAGE(AQ70:AQ71)</f>
        <v>10.65</v>
      </c>
    </row>
    <row r="71" spans="1:83" x14ac:dyDescent="0.25">
      <c r="A71" s="1" t="s">
        <v>113</v>
      </c>
      <c r="B71" s="2" t="s">
        <v>115</v>
      </c>
      <c r="C71" t="s">
        <v>122</v>
      </c>
      <c r="D71" s="5" t="s">
        <v>85</v>
      </c>
      <c r="E71" s="5" t="s">
        <v>142</v>
      </c>
      <c r="F71" s="17">
        <v>45243</v>
      </c>
      <c r="G71">
        <v>3</v>
      </c>
      <c r="H71" s="3">
        <v>13.7</v>
      </c>
      <c r="I71" s="3">
        <f>H71-$A$47</f>
        <v>13.239999999999998</v>
      </c>
      <c r="J71" s="3">
        <f>($A$53-$A$47)*$A$55</f>
        <v>0.89624999999999999</v>
      </c>
      <c r="K71" s="6">
        <f t="shared" si="2"/>
        <v>3155.5560580708657</v>
      </c>
      <c r="L71" s="4">
        <v>11</v>
      </c>
      <c r="M71" s="4">
        <v>138.24</v>
      </c>
      <c r="N71" s="4">
        <v>127.24000000000001</v>
      </c>
      <c r="O71" s="4">
        <v>124.29</v>
      </c>
      <c r="P71" s="7">
        <f t="shared" si="3"/>
        <v>2.3184533165671191</v>
      </c>
      <c r="Q71" s="6">
        <f t="shared" si="4"/>
        <v>3082.395963986387</v>
      </c>
      <c r="R71" s="14">
        <v>45244</v>
      </c>
      <c r="S71" s="4">
        <v>6.09</v>
      </c>
      <c r="T71" s="13">
        <v>2.39</v>
      </c>
      <c r="U71" s="13">
        <v>4.4749999999999996</v>
      </c>
      <c r="V71" s="8">
        <f t="shared" si="5"/>
        <v>0.35842125218483939</v>
      </c>
      <c r="W71" s="8">
        <f t="shared" si="6"/>
        <v>0.47183063321296442</v>
      </c>
      <c r="X71" s="8">
        <f t="shared" si="7"/>
        <v>0.16974811460219624</v>
      </c>
      <c r="Y71" s="6">
        <f t="shared" si="8"/>
        <v>1131.0183536732154</v>
      </c>
      <c r="Z71" s="6">
        <f t="shared" si="9"/>
        <v>1488.8880130185826</v>
      </c>
      <c r="AA71" s="6">
        <f t="shared" si="10"/>
        <v>2619.9063666917982</v>
      </c>
      <c r="AB71" s="6">
        <f t="shared" si="11"/>
        <v>1104.7962211414958</v>
      </c>
      <c r="AC71" s="6">
        <f t="shared" si="12"/>
        <v>1454.3688395007828</v>
      </c>
      <c r="AD71" s="6">
        <f t="shared" si="13"/>
        <v>2559.1650606422786</v>
      </c>
      <c r="AE71" s="18" t="s">
        <v>187</v>
      </c>
      <c r="AF71" s="14">
        <v>45295</v>
      </c>
      <c r="AG71" s="6">
        <v>47.300000000000004</v>
      </c>
      <c r="AH71" s="11">
        <v>1.1359999999999999</v>
      </c>
      <c r="AI71" s="6">
        <v>82.4</v>
      </c>
      <c r="AJ71" s="6">
        <v>29.3</v>
      </c>
      <c r="AK71" s="6">
        <v>5.0999999999999996</v>
      </c>
      <c r="AL71" s="6">
        <v>80.3</v>
      </c>
      <c r="AM71" s="6">
        <v>8.6999999999999993</v>
      </c>
      <c r="AN71" s="16" t="s">
        <v>215</v>
      </c>
      <c r="AO71" s="12">
        <v>9</v>
      </c>
      <c r="AP71" s="7">
        <v>0.15</v>
      </c>
      <c r="AQ71" s="6">
        <v>9</v>
      </c>
      <c r="AV71" s="3"/>
      <c r="AW71" s="3"/>
      <c r="AX71" s="3"/>
      <c r="AY71" s="3"/>
      <c r="AZ71" s="4"/>
      <c r="BA71" s="4"/>
      <c r="BB71" s="4"/>
      <c r="BC71" s="4"/>
      <c r="BD71" s="4"/>
      <c r="BE71" s="3"/>
      <c r="BF71" s="3"/>
      <c r="BG71" s="4"/>
      <c r="BH71" s="13"/>
      <c r="BI71" s="13"/>
      <c r="BJ71" s="9"/>
      <c r="BK71" s="9"/>
      <c r="BL71" s="9"/>
      <c r="BM71" s="3"/>
      <c r="BN71" s="3"/>
      <c r="BO71" s="3"/>
      <c r="BP71" s="3"/>
      <c r="BQ71" s="3"/>
      <c r="BR71" s="3"/>
      <c r="BT71" s="15"/>
      <c r="BU71" s="3"/>
      <c r="BV71" s="13"/>
      <c r="BW71" s="3"/>
      <c r="BX71" s="3"/>
      <c r="BY71" s="3"/>
      <c r="BZ71" s="3"/>
      <c r="CA71" s="3"/>
      <c r="CB71" s="10"/>
      <c r="CC71" s="10"/>
      <c r="CD71" s="4"/>
      <c r="CE71" s="3"/>
    </row>
    <row r="72" spans="1:83" x14ac:dyDescent="0.25">
      <c r="A72" s="1" t="s">
        <v>113</v>
      </c>
      <c r="B72" s="2" t="s">
        <v>116</v>
      </c>
      <c r="C72" t="s">
        <v>121</v>
      </c>
      <c r="D72" s="5" t="s">
        <v>86</v>
      </c>
      <c r="E72" s="5" t="s">
        <v>142</v>
      </c>
      <c r="F72" s="17">
        <v>45243</v>
      </c>
      <c r="G72">
        <v>1</v>
      </c>
      <c r="H72" s="3">
        <v>5.4</v>
      </c>
      <c r="I72" s="3">
        <f t="shared" si="1"/>
        <v>4.9400000000000004</v>
      </c>
      <c r="J72" s="3">
        <f>($A$51-$A$47)*$A$55</f>
        <v>0.53374999999999995</v>
      </c>
      <c r="K72" s="6">
        <f t="shared" si="2"/>
        <v>1221.8746112204726</v>
      </c>
      <c r="L72" s="4">
        <v>11.1</v>
      </c>
      <c r="M72" s="4">
        <v>145.46</v>
      </c>
      <c r="N72" s="4">
        <v>134.36000000000001</v>
      </c>
      <c r="O72" s="4">
        <v>127.98</v>
      </c>
      <c r="P72" s="7">
        <f t="shared" si="3"/>
        <v>4.7484370348318015</v>
      </c>
      <c r="Q72" s="6">
        <f t="shared" si="4"/>
        <v>1163.8546646620725</v>
      </c>
      <c r="R72" s="14">
        <v>45244</v>
      </c>
      <c r="S72" s="4">
        <v>2.36</v>
      </c>
      <c r="T72" s="13">
        <v>0.97</v>
      </c>
      <c r="U72" s="13">
        <v>2.6850000000000001</v>
      </c>
      <c r="V72" s="8">
        <f t="shared" si="5"/>
        <v>0.31979954072323635</v>
      </c>
      <c r="W72" s="8">
        <f t="shared" si="6"/>
        <v>0.45785254013428467</v>
      </c>
      <c r="X72" s="8">
        <f t="shared" si="7"/>
        <v>0.22234791914247898</v>
      </c>
      <c r="Y72" s="6">
        <f t="shared" si="8"/>
        <v>390.75493948969012</v>
      </c>
      <c r="Z72" s="6">
        <f t="shared" si="9"/>
        <v>559.43839447288497</v>
      </c>
      <c r="AA72" s="6">
        <f t="shared" si="10"/>
        <v>950.19333396257502</v>
      </c>
      <c r="AB72" s="6">
        <f t="shared" si="11"/>
        <v>372.20018722752707</v>
      </c>
      <c r="AC72" s="6">
        <f t="shared" si="12"/>
        <v>532.87381456266598</v>
      </c>
      <c r="AD72" s="6">
        <f t="shared" si="13"/>
        <v>905.07400179019305</v>
      </c>
      <c r="AE72" s="18" t="s">
        <v>188</v>
      </c>
      <c r="AF72" s="14">
        <v>45295</v>
      </c>
      <c r="AG72" s="6">
        <v>39.799999999999997</v>
      </c>
      <c r="AH72" s="11">
        <v>1.032</v>
      </c>
      <c r="AI72" s="6">
        <v>79.5</v>
      </c>
      <c r="AJ72" s="6">
        <v>27.3</v>
      </c>
      <c r="AK72" s="6">
        <v>4.9000000000000004</v>
      </c>
      <c r="AL72" s="6">
        <v>78.900000000000006</v>
      </c>
      <c r="AM72" s="6">
        <v>9</v>
      </c>
      <c r="AN72" s="16" t="s">
        <v>215</v>
      </c>
      <c r="AO72" s="12">
        <v>12</v>
      </c>
      <c r="AP72" s="7">
        <v>0.18</v>
      </c>
      <c r="AQ72" s="6">
        <v>14.6</v>
      </c>
      <c r="AS72" t="s">
        <v>126</v>
      </c>
      <c r="AT72" s="4" t="str">
        <f>E72</f>
        <v>Machine</v>
      </c>
      <c r="AU72" s="15">
        <f>F72</f>
        <v>45243</v>
      </c>
      <c r="AV72" s="3">
        <f>SUM(H72:H73)</f>
        <v>12.5</v>
      </c>
      <c r="AW72" s="3">
        <f>AV72-2*$A$47</f>
        <v>11.58</v>
      </c>
      <c r="AX72" s="3">
        <f>SUM(J72:J73)</f>
        <v>1.43</v>
      </c>
      <c r="AY72" s="3">
        <f>(AW72+AX72)*$A$48/(2*$A$49)*$A$50</f>
        <v>1452.074783464567</v>
      </c>
      <c r="AZ72" s="4">
        <f>SUM(L72:L73)</f>
        <v>22.08</v>
      </c>
      <c r="BA72" s="4">
        <f>SUM(M72:M73)</f>
        <v>281.85000000000002</v>
      </c>
      <c r="BB72" s="4">
        <f>BA72-AZ72</f>
        <v>259.77000000000004</v>
      </c>
      <c r="BC72" s="4">
        <f>SUM(O72:O73)</f>
        <v>247.82</v>
      </c>
      <c r="BD72" s="4">
        <f>(BB72-BC72)/BB72*100</f>
        <v>4.6002232744350939</v>
      </c>
      <c r="BE72" s="3">
        <f>AY72*(1-BD72/100)</f>
        <v>1385.276101313427</v>
      </c>
      <c r="BF72" s="15">
        <v>45244</v>
      </c>
      <c r="BG72" s="4">
        <f>SUM(S72:S73)</f>
        <v>5.4</v>
      </c>
      <c r="BH72" s="13">
        <f>SUM(T72:T73)</f>
        <v>2.2749999999999999</v>
      </c>
      <c r="BI72" s="13">
        <f>SUM(U72:U73)</f>
        <v>5.6750000000000007</v>
      </c>
      <c r="BJ72" s="9">
        <f>(BH72-2*$A$56)/(BG72-2*$A$47*$A$48)</f>
        <v>0.34338844267613416</v>
      </c>
      <c r="BK72" s="9">
        <f>(BI72-2*$A$57)/(BG72-2*$A$47*$A$48)</f>
        <v>0.45658019116785836</v>
      </c>
      <c r="BL72" s="9">
        <f>1-BJ72-BK72</f>
        <v>0.20003136615600742</v>
      </c>
      <c r="BM72" s="3">
        <f>AY72*BJ72</f>
        <v>498.62569854318241</v>
      </c>
      <c r="BN72" s="3">
        <f>AY72*BK72</f>
        <v>662.9885822242785</v>
      </c>
      <c r="BO72" s="3">
        <f>SUM(BM72:BN72)</f>
        <v>1161.614280767461</v>
      </c>
      <c r="BP72" s="3">
        <f>BE72*BJ72</f>
        <v>475.68780310648435</v>
      </c>
      <c r="BQ72" s="3">
        <f>BE72*BK72</f>
        <v>632.48962715795005</v>
      </c>
      <c r="BR72" s="3">
        <f>SUM(BP72:BQ72)</f>
        <v>1108.1774302644344</v>
      </c>
      <c r="BS72" s="3"/>
      <c r="BT72" s="15">
        <f>AF73</f>
        <v>45295</v>
      </c>
      <c r="BU72" s="3">
        <f>AVERAGE(AG72:AG73)</f>
        <v>44.4</v>
      </c>
      <c r="BV72" s="13">
        <f t="shared" ref="BV72" si="32">AVERAGE(AH72:AH73)</f>
        <v>1.0585</v>
      </c>
      <c r="BW72" s="3">
        <f t="shared" ref="BW72" si="33">AVERAGE(AI72:AI73)</f>
        <v>80.5</v>
      </c>
      <c r="BX72" s="3">
        <f t="shared" ref="BX72" si="34">AVERAGE(AJ72:AJ73)</f>
        <v>28.35</v>
      </c>
      <c r="BY72" s="3">
        <f t="shared" ref="BY72" si="35">AVERAGE(AK72:AK73)</f>
        <v>4.8499999999999996</v>
      </c>
      <c r="BZ72" s="3">
        <f t="shared" ref="BZ72" si="36">AVERAGE(AL72:AL73)</f>
        <v>78.300000000000011</v>
      </c>
      <c r="CA72" s="3">
        <f t="shared" ref="CA72" si="37">AVERAGE(AM72:AM73)</f>
        <v>8.6999999999999993</v>
      </c>
      <c r="CB72" s="3"/>
      <c r="CC72" s="10">
        <f t="shared" ref="CC72" si="38">AVERAGE(AO72:AO73)</f>
        <v>14</v>
      </c>
      <c r="CD72" s="4">
        <f t="shared" ref="CD72" si="39">AVERAGE(AP72:AP73)</f>
        <v>0.18</v>
      </c>
      <c r="CE72" s="3">
        <f t="shared" ref="CE72" si="40">AVERAGE(AQ72:AQ73)</f>
        <v>12.55</v>
      </c>
    </row>
    <row r="73" spans="1:83" x14ac:dyDescent="0.25">
      <c r="A73" s="1" t="s">
        <v>113</v>
      </c>
      <c r="B73" s="2" t="s">
        <v>116</v>
      </c>
      <c r="C73" t="s">
        <v>122</v>
      </c>
      <c r="D73" s="5" t="s">
        <v>87</v>
      </c>
      <c r="E73" s="5" t="s">
        <v>142</v>
      </c>
      <c r="F73" s="17">
        <v>45243</v>
      </c>
      <c r="G73">
        <v>3</v>
      </c>
      <c r="H73" s="3">
        <v>7.1</v>
      </c>
      <c r="I73" s="3">
        <f t="shared" si="1"/>
        <v>6.64</v>
      </c>
      <c r="J73" s="3">
        <f>($A$53-$A$47)*$A$55</f>
        <v>0.89624999999999999</v>
      </c>
      <c r="K73" s="6">
        <f t="shared" si="2"/>
        <v>1682.2749557086613</v>
      </c>
      <c r="L73" s="4">
        <v>10.98</v>
      </c>
      <c r="M73" s="4">
        <v>136.38999999999999</v>
      </c>
      <c r="N73" s="4">
        <v>125.40999999999998</v>
      </c>
      <c r="O73" s="4">
        <v>119.84</v>
      </c>
      <c r="P73" s="7">
        <f t="shared" si="3"/>
        <v>4.4414321027031178</v>
      </c>
      <c r="Q73" s="6">
        <f t="shared" si="4"/>
        <v>1607.5578557700821</v>
      </c>
      <c r="R73" s="14">
        <v>45244</v>
      </c>
      <c r="S73" s="4">
        <v>3.04</v>
      </c>
      <c r="T73" s="13">
        <v>1.3049999999999999</v>
      </c>
      <c r="U73" s="13">
        <v>2.99</v>
      </c>
      <c r="V73" s="8">
        <f t="shared" si="5"/>
        <v>0.36131203780667442</v>
      </c>
      <c r="W73" s="8">
        <f t="shared" si="6"/>
        <v>0.45561342010812333</v>
      </c>
      <c r="X73" s="8">
        <f t="shared" si="7"/>
        <v>0.18307454208520224</v>
      </c>
      <c r="Y73" s="6">
        <f t="shared" si="8"/>
        <v>607.82619239822941</v>
      </c>
      <c r="Z73" s="6">
        <f t="shared" si="9"/>
        <v>766.4670461326649</v>
      </c>
      <c r="AA73" s="6">
        <f t="shared" si="10"/>
        <v>1374.2932385308943</v>
      </c>
      <c r="AB73" s="6">
        <f t="shared" si="11"/>
        <v>580.83000476041639</v>
      </c>
      <c r="AC73" s="6">
        <f t="shared" si="12"/>
        <v>732.42493268908834</v>
      </c>
      <c r="AD73" s="6">
        <f t="shared" si="13"/>
        <v>1313.2549374495047</v>
      </c>
      <c r="AE73" s="18" t="s">
        <v>189</v>
      </c>
      <c r="AF73" s="14">
        <v>45295</v>
      </c>
      <c r="AG73" s="6">
        <v>49</v>
      </c>
      <c r="AH73" s="11">
        <v>1.085</v>
      </c>
      <c r="AI73" s="6">
        <v>81.5</v>
      </c>
      <c r="AJ73" s="6">
        <v>29.4</v>
      </c>
      <c r="AK73" s="6">
        <v>4.8</v>
      </c>
      <c r="AL73" s="6">
        <v>77.7</v>
      </c>
      <c r="AM73" s="6">
        <v>8.4</v>
      </c>
      <c r="AN73" s="16" t="s">
        <v>217</v>
      </c>
      <c r="AO73" s="12">
        <v>16</v>
      </c>
      <c r="AP73" s="7">
        <v>0.18</v>
      </c>
      <c r="AQ73" s="6">
        <v>10.5</v>
      </c>
      <c r="AV73" s="3"/>
      <c r="AW73" s="3"/>
      <c r="AX73" s="3"/>
      <c r="AY73" s="3"/>
      <c r="AZ73" s="4"/>
      <c r="BA73" s="4"/>
      <c r="BB73" s="4"/>
      <c r="BC73" s="4"/>
      <c r="BD73" s="4"/>
      <c r="BE73" s="3"/>
      <c r="BF73" s="3"/>
      <c r="BG73" s="4"/>
      <c r="BH73" s="13"/>
      <c r="BI73" s="13"/>
      <c r="BJ73" s="9"/>
      <c r="BK73" s="9"/>
      <c r="BL73" s="9"/>
      <c r="BM73" s="3"/>
      <c r="BN73" s="3"/>
      <c r="BO73" s="3"/>
      <c r="BP73" s="3"/>
      <c r="BQ73" s="3"/>
      <c r="BR73" s="3"/>
      <c r="BT73" s="15"/>
      <c r="BU73" s="3"/>
      <c r="BV73" s="13"/>
      <c r="BW73" s="3"/>
      <c r="BX73" s="3"/>
      <c r="BY73" s="3"/>
      <c r="BZ73" s="3"/>
      <c r="CA73" s="3"/>
      <c r="CB73" s="10"/>
      <c r="CC73" s="10"/>
      <c r="CD73" s="4"/>
      <c r="CE73" s="3"/>
    </row>
    <row r="74" spans="1:83" x14ac:dyDescent="0.25">
      <c r="A74" s="1" t="s">
        <v>113</v>
      </c>
      <c r="B74" s="2" t="s">
        <v>117</v>
      </c>
      <c r="C74" t="s">
        <v>121</v>
      </c>
      <c r="D74" s="5" t="s">
        <v>88</v>
      </c>
      <c r="E74" s="5" t="s">
        <v>142</v>
      </c>
      <c r="F74" s="17">
        <v>45243</v>
      </c>
      <c r="G74">
        <v>1</v>
      </c>
      <c r="H74" s="3">
        <v>3.6</v>
      </c>
      <c r="I74" s="3">
        <f t="shared" si="1"/>
        <v>3.14</v>
      </c>
      <c r="J74" s="3">
        <f>($A$51-$A$47)*$A$55</f>
        <v>0.53374999999999995</v>
      </c>
      <c r="K74" s="6">
        <f t="shared" si="2"/>
        <v>820.07067421259831</v>
      </c>
      <c r="L74" s="4">
        <v>11.13</v>
      </c>
      <c r="M74" s="4">
        <v>163.47999999999999</v>
      </c>
      <c r="N74" s="4">
        <v>152.35</v>
      </c>
      <c r="O74" s="4">
        <v>148.63</v>
      </c>
      <c r="P74" s="7">
        <f t="shared" si="3"/>
        <v>2.4417459796521159</v>
      </c>
      <c r="Q74" s="6">
        <f t="shared" si="4"/>
        <v>800.04663149470616</v>
      </c>
      <c r="R74" s="14">
        <v>45244</v>
      </c>
      <c r="S74" s="4">
        <v>1.48</v>
      </c>
      <c r="T74" s="13">
        <v>0.69</v>
      </c>
      <c r="U74" s="13">
        <v>2.2549999999999999</v>
      </c>
      <c r="V74" s="8">
        <f t="shared" si="5"/>
        <v>0.32091929408326764</v>
      </c>
      <c r="W74" s="8">
        <f t="shared" si="6"/>
        <v>0.43654462798091548</v>
      </c>
      <c r="X74" s="8">
        <f t="shared" si="7"/>
        <v>0.24253607793581683</v>
      </c>
      <c r="Y74" s="6">
        <f t="shared" si="8"/>
        <v>263.17650186669641</v>
      </c>
      <c r="Z74" s="6">
        <f t="shared" si="9"/>
        <v>357.99744739219727</v>
      </c>
      <c r="AA74" s="6">
        <f t="shared" si="10"/>
        <v>621.17394925889369</v>
      </c>
      <c r="AB74" s="6">
        <f t="shared" si="11"/>
        <v>256.75040021297724</v>
      </c>
      <c r="AC74" s="6">
        <f t="shared" si="12"/>
        <v>349.25605911324107</v>
      </c>
      <c r="AD74" s="6">
        <f t="shared" si="13"/>
        <v>606.00645932621831</v>
      </c>
      <c r="AE74" s="18" t="s">
        <v>190</v>
      </c>
      <c r="AF74" s="14">
        <v>45295</v>
      </c>
      <c r="AG74" s="6">
        <v>40.799999999999997</v>
      </c>
      <c r="AH74" s="11">
        <v>1.0049999999999999</v>
      </c>
      <c r="AI74" s="6">
        <v>79.599999999999994</v>
      </c>
      <c r="AJ74" s="6">
        <v>26.2</v>
      </c>
      <c r="AK74" s="6">
        <v>4.7</v>
      </c>
      <c r="AL74" s="6">
        <v>78.2</v>
      </c>
      <c r="AM74" s="6">
        <v>9.1</v>
      </c>
      <c r="AN74" s="16" t="s">
        <v>65</v>
      </c>
      <c r="AO74" s="12">
        <v>25</v>
      </c>
      <c r="AP74" s="7">
        <v>0.36</v>
      </c>
      <c r="AQ74" s="6">
        <v>15.5</v>
      </c>
      <c r="AS74" t="s">
        <v>127</v>
      </c>
      <c r="AT74" s="4" t="str">
        <f>E74</f>
        <v>Machine</v>
      </c>
      <c r="AU74" s="15">
        <f>F74</f>
        <v>45243</v>
      </c>
      <c r="AV74" s="3">
        <f>SUM(H74:H75)</f>
        <v>8.5</v>
      </c>
      <c r="AW74" s="3">
        <f>AV74-2*$A$47</f>
        <v>7.58</v>
      </c>
      <c r="AX74" s="3">
        <f>SUM(J74:J75)</f>
        <v>1.43</v>
      </c>
      <c r="AY74" s="3">
        <f>(AW74+AX74)*$A$48/(2*$A$49)*$A$50</f>
        <v>1005.625964566929</v>
      </c>
      <c r="AZ74" s="4">
        <f>SUM(L74:L75)</f>
        <v>22.03</v>
      </c>
      <c r="BA74" s="4">
        <f>SUM(M74:M75)</f>
        <v>368.5</v>
      </c>
      <c r="BB74" s="4">
        <f>BA74-AZ74</f>
        <v>346.47</v>
      </c>
      <c r="BC74" s="4">
        <f>SUM(O74:O75)</f>
        <v>333.46000000000004</v>
      </c>
      <c r="BD74" s="4">
        <f>(BB74-BC74)/BB74*100</f>
        <v>3.755014864201804</v>
      </c>
      <c r="BE74" s="3">
        <f>AY74*(1-BD74/100)</f>
        <v>967.86456011916812</v>
      </c>
      <c r="BF74" s="15">
        <v>45244</v>
      </c>
      <c r="BG74" s="4">
        <f>SUM(S74:S75)</f>
        <v>3.46</v>
      </c>
      <c r="BH74" s="13">
        <f>SUM(T74:T75)</f>
        <v>1.615</v>
      </c>
      <c r="BI74" s="13">
        <f>SUM(U74:U75)</f>
        <v>4.7799999999999994</v>
      </c>
      <c r="BJ74" s="9">
        <f>(BH74-2*$A$56)/(BG74-2*$A$47*$A$48)</f>
        <v>0.34541742621252763</v>
      </c>
      <c r="BK74" s="9">
        <f>(BI74-2*$A$57)/(BG74-2*$A$47*$A$48)</f>
        <v>0.45354524088799991</v>
      </c>
      <c r="BL74" s="9">
        <f>1-BJ74-BK74</f>
        <v>0.20103733289947251</v>
      </c>
      <c r="BM74" s="3">
        <f>AY74*BJ74</f>
        <v>347.36073241319912</v>
      </c>
      <c r="BN74" s="3">
        <f>AY74*BK74</f>
        <v>456.09687034273509</v>
      </c>
      <c r="BO74" s="3">
        <f>SUM(BM74:BN74)</f>
        <v>803.4576027559342</v>
      </c>
      <c r="BP74" s="3">
        <f>BE74*BJ74</f>
        <v>334.31728527868324</v>
      </c>
      <c r="BQ74" s="3">
        <f>BE74*BK74</f>
        <v>438.97036506620617</v>
      </c>
      <c r="BR74" s="3">
        <f>SUM(BP74:BQ74)</f>
        <v>773.28765034488947</v>
      </c>
      <c r="BS74" s="3"/>
      <c r="BT74" s="15">
        <f>AF75</f>
        <v>45295</v>
      </c>
      <c r="BU74" s="3">
        <f>AVERAGE(AG74:AG75)</f>
        <v>42.55</v>
      </c>
      <c r="BV74" s="13">
        <f t="shared" ref="BV74" si="41">AVERAGE(AH74:AH75)</f>
        <v>1.0354999999999999</v>
      </c>
      <c r="BW74" s="3">
        <f t="shared" ref="BW74" si="42">AVERAGE(AI74:AI75)</f>
        <v>80.55</v>
      </c>
      <c r="BX74" s="3">
        <f t="shared" ref="BX74" si="43">AVERAGE(AJ74:AJ75)</f>
        <v>26.6</v>
      </c>
      <c r="BY74" s="3">
        <f t="shared" ref="BY74" si="44">AVERAGE(AK74:AK75)</f>
        <v>4.75</v>
      </c>
      <c r="BZ74" s="3">
        <f t="shared" ref="BZ74" si="45">AVERAGE(AL74:AL75)</f>
        <v>78.150000000000006</v>
      </c>
      <c r="CA74" s="3">
        <f t="shared" ref="CA74" si="46">AVERAGE(AM74:AM75)</f>
        <v>8.9499999999999993</v>
      </c>
      <c r="CB74" s="3"/>
      <c r="CC74" s="10">
        <f t="shared" ref="CC74" si="47">AVERAGE(AO74:AO75)</f>
        <v>23</v>
      </c>
      <c r="CD74" s="4">
        <f t="shared" ref="CD74" si="48">AVERAGE(AP74:AP75)</f>
        <v>0.40500000000000003</v>
      </c>
      <c r="CE74" s="3">
        <f t="shared" ref="CE74" si="49">AVERAGE(AQ74:AQ75)</f>
        <v>13.05</v>
      </c>
    </row>
    <row r="75" spans="1:83" x14ac:dyDescent="0.25">
      <c r="A75" s="1" t="s">
        <v>113</v>
      </c>
      <c r="B75" s="2" t="s">
        <v>117</v>
      </c>
      <c r="C75" t="s">
        <v>122</v>
      </c>
      <c r="D75" s="5" t="s">
        <v>89</v>
      </c>
      <c r="E75" s="5" t="s">
        <v>142</v>
      </c>
      <c r="F75" s="17">
        <v>45243</v>
      </c>
      <c r="G75">
        <v>3</v>
      </c>
      <c r="H75" s="3">
        <v>4.9000000000000004</v>
      </c>
      <c r="I75" s="3">
        <f t="shared" si="1"/>
        <v>4.4400000000000004</v>
      </c>
      <c r="J75" s="3">
        <f>($A$53-$A$47)*$A$55</f>
        <v>0.89624999999999999</v>
      </c>
      <c r="K75" s="6">
        <f t="shared" si="2"/>
        <v>1191.18125492126</v>
      </c>
      <c r="L75" s="4">
        <v>10.9</v>
      </c>
      <c r="M75" s="4">
        <v>205.02</v>
      </c>
      <c r="N75" s="4">
        <v>194.12</v>
      </c>
      <c r="O75" s="4">
        <v>184.83</v>
      </c>
      <c r="P75" s="7">
        <f t="shared" si="3"/>
        <v>4.7856995672779679</v>
      </c>
      <c r="Q75" s="6">
        <f t="shared" si="4"/>
        <v>1134.174898758997</v>
      </c>
      <c r="R75" s="14">
        <v>45244</v>
      </c>
      <c r="S75" s="4">
        <v>1.98</v>
      </c>
      <c r="T75" s="13">
        <v>0.92500000000000004</v>
      </c>
      <c r="U75" s="13">
        <v>2.5249999999999999</v>
      </c>
      <c r="V75" s="8">
        <f t="shared" si="5"/>
        <v>0.36300044720751834</v>
      </c>
      <c r="W75" s="8">
        <f t="shared" si="6"/>
        <v>0.46574707456641151</v>
      </c>
      <c r="X75" s="8">
        <f t="shared" si="7"/>
        <v>0.17125247822607015</v>
      </c>
      <c r="Y75" s="6">
        <f t="shared" si="8"/>
        <v>432.39932824163031</v>
      </c>
      <c r="Z75" s="6">
        <f t="shared" si="9"/>
        <v>554.78918475792375</v>
      </c>
      <c r="AA75" s="6">
        <f t="shared" si="10"/>
        <v>987.18851299955406</v>
      </c>
      <c r="AB75" s="6">
        <f t="shared" si="11"/>
        <v>411.70599546105774</v>
      </c>
      <c r="AC75" s="6">
        <f t="shared" si="12"/>
        <v>528.23864114365881</v>
      </c>
      <c r="AD75" s="6">
        <f t="shared" si="13"/>
        <v>939.94463660471661</v>
      </c>
      <c r="AE75" s="18" t="s">
        <v>191</v>
      </c>
      <c r="AF75" s="14">
        <v>45295</v>
      </c>
      <c r="AG75" s="6">
        <v>44.3</v>
      </c>
      <c r="AH75" s="11">
        <v>1.0660000000000001</v>
      </c>
      <c r="AI75" s="6">
        <v>81.5</v>
      </c>
      <c r="AJ75" s="6">
        <v>27</v>
      </c>
      <c r="AK75" s="6">
        <v>4.8</v>
      </c>
      <c r="AL75" s="6">
        <v>78.099999999999994</v>
      </c>
      <c r="AM75" s="6">
        <v>8.8000000000000007</v>
      </c>
      <c r="AN75" s="16" t="s">
        <v>217</v>
      </c>
      <c r="AO75" s="12">
        <v>21</v>
      </c>
      <c r="AP75" s="7">
        <v>0.45</v>
      </c>
      <c r="AQ75" s="6">
        <v>10.6</v>
      </c>
      <c r="AV75" s="3"/>
      <c r="AW75" s="3"/>
      <c r="AX75" s="3"/>
      <c r="AY75" s="3"/>
      <c r="AZ75" s="4"/>
      <c r="BA75" s="4"/>
      <c r="BB75" s="4"/>
      <c r="BC75" s="4"/>
      <c r="BD75" s="4"/>
      <c r="BE75" s="3"/>
      <c r="BF75" s="3"/>
      <c r="BG75" s="4"/>
      <c r="BH75" s="13"/>
      <c r="BI75" s="13"/>
      <c r="BJ75" s="9"/>
      <c r="BK75" s="9"/>
      <c r="BL75" s="9"/>
      <c r="BM75" s="3"/>
      <c r="BN75" s="3"/>
      <c r="BO75" s="3"/>
      <c r="BP75" s="3"/>
      <c r="BQ75" s="3"/>
      <c r="BR75" s="3"/>
      <c r="BT75" s="15"/>
      <c r="BU75" s="3"/>
      <c r="BV75" s="13"/>
      <c r="BW75" s="3"/>
      <c r="BX75" s="3"/>
      <c r="BY75" s="3"/>
      <c r="BZ75" s="3"/>
      <c r="CA75" s="3"/>
      <c r="CB75" s="10"/>
      <c r="CC75" s="10"/>
      <c r="CD75" s="4"/>
      <c r="CE75" s="3"/>
    </row>
    <row r="76" spans="1:83" x14ac:dyDescent="0.25">
      <c r="A76" s="1" t="s">
        <v>113</v>
      </c>
      <c r="B76" s="2" t="s">
        <v>118</v>
      </c>
      <c r="C76" t="s">
        <v>121</v>
      </c>
      <c r="D76" s="5" t="s">
        <v>90</v>
      </c>
      <c r="E76" s="5" t="s">
        <v>142</v>
      </c>
      <c r="F76" s="17">
        <v>45243</v>
      </c>
      <c r="G76">
        <v>1</v>
      </c>
      <c r="H76" s="3">
        <v>5.3</v>
      </c>
      <c r="I76" s="3">
        <f t="shared" si="1"/>
        <v>4.84</v>
      </c>
      <c r="J76" s="3">
        <f>($A$51-$A$47)*$A$55</f>
        <v>0.53374999999999995</v>
      </c>
      <c r="K76" s="6">
        <f t="shared" si="2"/>
        <v>1199.5521702755905</v>
      </c>
      <c r="L76" s="4">
        <v>11.09</v>
      </c>
      <c r="M76" s="4">
        <v>157.31</v>
      </c>
      <c r="N76" s="4">
        <v>146.22</v>
      </c>
      <c r="O76" s="4">
        <v>139.01</v>
      </c>
      <c r="P76" s="7">
        <f t="shared" si="3"/>
        <v>4.9309260019149281</v>
      </c>
      <c r="Q76" s="6">
        <f t="shared" si="4"/>
        <v>1140.4031404049365</v>
      </c>
      <c r="R76" s="14">
        <v>45244</v>
      </c>
      <c r="S76" s="4">
        <v>2.2400000000000002</v>
      </c>
      <c r="T76" s="13">
        <v>0.93500000000000005</v>
      </c>
      <c r="U76" s="13">
        <v>2.6549999999999998</v>
      </c>
      <c r="V76" s="8">
        <f t="shared" si="5"/>
        <v>0.32146146444019863</v>
      </c>
      <c r="W76" s="8">
        <f t="shared" si="6"/>
        <v>0.47013123819355229</v>
      </c>
      <c r="X76" s="8">
        <f t="shared" si="7"/>
        <v>0.20840729736624908</v>
      </c>
      <c r="Y76" s="6">
        <f t="shared" si="8"/>
        <v>385.60979732920981</v>
      </c>
      <c r="Z76" s="6">
        <f t="shared" si="9"/>
        <v>563.9469470894262</v>
      </c>
      <c r="AA76" s="6">
        <f t="shared" si="10"/>
        <v>949.55674441863607</v>
      </c>
      <c r="AB76" s="6">
        <f t="shared" si="11"/>
        <v>366.59566356677232</v>
      </c>
      <c r="AC76" s="6">
        <f t="shared" si="12"/>
        <v>536.13914043838827</v>
      </c>
      <c r="AD76" s="6">
        <f t="shared" si="13"/>
        <v>902.73480400516064</v>
      </c>
      <c r="AE76" s="18" t="s">
        <v>192</v>
      </c>
      <c r="AF76" s="14">
        <v>45295</v>
      </c>
      <c r="AG76" s="6">
        <v>39.900000000000006</v>
      </c>
      <c r="AH76" s="11">
        <v>1.0980000000000001</v>
      </c>
      <c r="AI76" s="6">
        <v>80.599999999999994</v>
      </c>
      <c r="AJ76" s="6">
        <v>27.9</v>
      </c>
      <c r="AK76" s="6">
        <v>5</v>
      </c>
      <c r="AL76" s="6">
        <v>79</v>
      </c>
      <c r="AM76" s="6">
        <v>9.1</v>
      </c>
      <c r="AN76" s="16" t="s">
        <v>215</v>
      </c>
      <c r="AO76" s="12">
        <v>17</v>
      </c>
      <c r="AP76" s="7">
        <v>0.32</v>
      </c>
      <c r="AQ76" s="6">
        <v>11.2</v>
      </c>
      <c r="AS76" t="s">
        <v>128</v>
      </c>
      <c r="AT76" s="4" t="str">
        <f>E76</f>
        <v>Machine</v>
      </c>
      <c r="AU76" s="15">
        <f>F76</f>
        <v>45243</v>
      </c>
      <c r="AV76" s="3">
        <f>SUM(H76:H77)</f>
        <v>14.5</v>
      </c>
      <c r="AW76" s="3">
        <f>AV76-2*$A$47</f>
        <v>13.58</v>
      </c>
      <c r="AX76" s="3">
        <f>SUM(J76:J77)</f>
        <v>1.43</v>
      </c>
      <c r="AY76" s="3">
        <f>(AW76+AX76)*$A$48/(2*$A$49)*$A$50</f>
        <v>1675.2991929133857</v>
      </c>
      <c r="AZ76" s="4">
        <f>SUM(L76:L77)</f>
        <v>22.1</v>
      </c>
      <c r="BA76" s="4">
        <f>SUM(M76:M77)</f>
        <v>349.02</v>
      </c>
      <c r="BB76" s="4">
        <f>BA76-AZ76</f>
        <v>326.91999999999996</v>
      </c>
      <c r="BC76" s="4">
        <f>SUM(O76:O77)</f>
        <v>310.83</v>
      </c>
      <c r="BD76" s="4">
        <f>(BB76-BC76)/BB76*100</f>
        <v>4.9216933806435756</v>
      </c>
      <c r="BE76" s="3">
        <f>AY76*(1-BD76/100)</f>
        <v>1592.8461034297923</v>
      </c>
      <c r="BF76" s="15">
        <v>45244</v>
      </c>
      <c r="BG76" s="4">
        <f>SUM(S76:S77)</f>
        <v>6.18</v>
      </c>
      <c r="BH76" s="13">
        <f>SUM(T76:T77)</f>
        <v>2.5300000000000002</v>
      </c>
      <c r="BI76" s="13">
        <f>SUM(U76:U77)</f>
        <v>6.1549999999999994</v>
      </c>
      <c r="BJ76" s="9">
        <f>(BH76-2*$A$56)/(BG76-2*$A$47*$A$48)</f>
        <v>0.34115980061108075</v>
      </c>
      <c r="BK76" s="9">
        <f>(BI76-2*$A$57)/(BG76-2*$A$47*$A$48)</f>
        <v>0.47807489861827429</v>
      </c>
      <c r="BL76" s="9">
        <f>1-BJ76-BK76</f>
        <v>0.18076530077064495</v>
      </c>
      <c r="BM76" s="3">
        <f>AY76*BJ76</f>
        <v>571.54473861823521</v>
      </c>
      <c r="BN76" s="3">
        <f>AY76*BK76</f>
        <v>800.91849180734357</v>
      </c>
      <c r="BO76" s="3">
        <f>SUM(BM76:BN76)</f>
        <v>1372.4632304255788</v>
      </c>
      <c r="BP76" s="3">
        <f>BE76*BJ76</f>
        <v>543.41505905024485</v>
      </c>
      <c r="BQ76" s="3">
        <f>BE76*BK76</f>
        <v>761.49973941171118</v>
      </c>
      <c r="BR76" s="3">
        <f>SUM(BP76:BQ76)</f>
        <v>1304.914798461956</v>
      </c>
      <c r="BS76" s="3"/>
      <c r="BT76" s="15">
        <f>AF77</f>
        <v>45295</v>
      </c>
      <c r="BU76" s="3">
        <f>AVERAGE(AG76:AG77)</f>
        <v>42.95</v>
      </c>
      <c r="BV76" s="13">
        <f t="shared" ref="BV76" si="50">AVERAGE(AH76:AH77)</f>
        <v>1.1200000000000001</v>
      </c>
      <c r="BW76" s="3">
        <f t="shared" ref="BW76" si="51">AVERAGE(AI76:AI77)</f>
        <v>81.099999999999994</v>
      </c>
      <c r="BX76" s="3">
        <f t="shared" ref="BX76" si="52">AVERAGE(AJ76:AJ77)</f>
        <v>28.95</v>
      </c>
      <c r="BY76" s="3">
        <f t="shared" ref="BY76" si="53">AVERAGE(AK76:AK77)</f>
        <v>5</v>
      </c>
      <c r="BZ76" s="3">
        <f t="shared" ref="BZ76" si="54">AVERAGE(AL76:AL77)</f>
        <v>79.650000000000006</v>
      </c>
      <c r="CA76" s="3">
        <f t="shared" ref="CA76" si="55">AVERAGE(AM76:AM77)</f>
        <v>9.0500000000000007</v>
      </c>
      <c r="CB76" s="3"/>
      <c r="CC76" s="10">
        <f t="shared" ref="CC76" si="56">AVERAGE(AO76:AO77)</f>
        <v>12</v>
      </c>
      <c r="CD76" s="4">
        <f t="shared" ref="CD76" si="57">AVERAGE(AP76:AP77)</f>
        <v>0.21000000000000002</v>
      </c>
      <c r="CE76" s="3">
        <f t="shared" ref="CE76" si="58">AVERAGE(AQ76:AQ77)</f>
        <v>10.1</v>
      </c>
    </row>
    <row r="77" spans="1:83" x14ac:dyDescent="0.25">
      <c r="A77" s="1" t="s">
        <v>113</v>
      </c>
      <c r="B77" s="2" t="s">
        <v>118</v>
      </c>
      <c r="C77" t="s">
        <v>122</v>
      </c>
      <c r="D77" s="5" t="s">
        <v>91</v>
      </c>
      <c r="E77" s="5" t="s">
        <v>142</v>
      </c>
      <c r="F77" s="17">
        <v>45243</v>
      </c>
      <c r="G77">
        <v>3</v>
      </c>
      <c r="H77" s="3">
        <v>9.1999999999999993</v>
      </c>
      <c r="I77" s="3">
        <f t="shared" si="1"/>
        <v>8.7399999999999984</v>
      </c>
      <c r="J77" s="3">
        <f>($A$53-$A$47)*$A$55</f>
        <v>0.89624999999999999</v>
      </c>
      <c r="K77" s="6">
        <f t="shared" si="2"/>
        <v>2151.0462155511809</v>
      </c>
      <c r="L77" s="4">
        <v>11.01</v>
      </c>
      <c r="M77" s="4">
        <v>191.71</v>
      </c>
      <c r="N77" s="4">
        <v>180.70000000000002</v>
      </c>
      <c r="O77" s="4">
        <v>171.82</v>
      </c>
      <c r="P77" s="7">
        <f t="shared" si="3"/>
        <v>4.9142224681793154</v>
      </c>
      <c r="Q77" s="6">
        <f t="shared" si="4"/>
        <v>2045.3390191256437</v>
      </c>
      <c r="R77" s="14">
        <v>45244</v>
      </c>
      <c r="S77" s="4">
        <v>3.94</v>
      </c>
      <c r="T77" s="13">
        <v>1.595</v>
      </c>
      <c r="U77" s="13">
        <v>3.5</v>
      </c>
      <c r="V77" s="8">
        <f t="shared" si="5"/>
        <v>0.35188358539668435</v>
      </c>
      <c r="W77" s="8">
        <f t="shared" si="6"/>
        <v>0.48239943161769372</v>
      </c>
      <c r="X77" s="8">
        <f t="shared" si="7"/>
        <v>0.16571698298562187</v>
      </c>
      <c r="Y77" s="6">
        <f t="shared" si="8"/>
        <v>756.91785468211867</v>
      </c>
      <c r="Z77" s="6">
        <f t="shared" si="9"/>
        <v>1037.6634717652807</v>
      </c>
      <c r="AA77" s="6">
        <f t="shared" si="10"/>
        <v>1794.5813264473995</v>
      </c>
      <c r="AB77" s="6">
        <f t="shared" si="11"/>
        <v>719.72122740166901</v>
      </c>
      <c r="AC77" s="6">
        <f t="shared" si="12"/>
        <v>986.67038029170169</v>
      </c>
      <c r="AD77" s="6">
        <f t="shared" si="13"/>
        <v>1706.3916076933706</v>
      </c>
      <c r="AE77" s="18" t="s">
        <v>193</v>
      </c>
      <c r="AF77" s="14">
        <v>45295</v>
      </c>
      <c r="AG77" s="6">
        <v>46</v>
      </c>
      <c r="AH77" s="11">
        <v>1.1419999999999999</v>
      </c>
      <c r="AI77" s="6">
        <v>81.599999999999994</v>
      </c>
      <c r="AJ77" s="6">
        <v>30</v>
      </c>
      <c r="AK77" s="6">
        <v>5</v>
      </c>
      <c r="AL77" s="6">
        <v>80.3</v>
      </c>
      <c r="AM77" s="6">
        <v>9</v>
      </c>
      <c r="AN77" s="16" t="s">
        <v>215</v>
      </c>
      <c r="AO77" s="12">
        <v>7</v>
      </c>
      <c r="AP77" s="7">
        <v>0.1</v>
      </c>
      <c r="AQ77" s="6">
        <v>9</v>
      </c>
      <c r="AV77" s="3"/>
      <c r="AW77" s="3"/>
      <c r="AX77" s="3"/>
      <c r="AY77" s="3"/>
      <c r="AZ77" s="4"/>
      <c r="BA77" s="4"/>
      <c r="BB77" s="4"/>
      <c r="BC77" s="4"/>
      <c r="BD77" s="4"/>
      <c r="BE77" s="3"/>
      <c r="BF77" s="3"/>
      <c r="BG77" s="4"/>
      <c r="BH77" s="13"/>
      <c r="BI77" s="13"/>
      <c r="BJ77" s="9"/>
      <c r="BK77" s="9"/>
      <c r="BL77" s="9"/>
      <c r="BM77" s="3"/>
      <c r="BN77" s="3"/>
      <c r="BO77" s="3"/>
      <c r="BP77" s="3"/>
      <c r="BQ77" s="3"/>
      <c r="BR77" s="3"/>
      <c r="BT77" s="15"/>
      <c r="BU77" s="3"/>
      <c r="BV77" s="13"/>
      <c r="BW77" s="3"/>
      <c r="BX77" s="3"/>
      <c r="BY77" s="3"/>
      <c r="BZ77" s="3"/>
      <c r="CA77" s="3"/>
      <c r="CB77" s="10"/>
      <c r="CC77" s="10"/>
      <c r="CD77" s="4"/>
      <c r="CE77" s="3"/>
    </row>
    <row r="78" spans="1:83" x14ac:dyDescent="0.25">
      <c r="A78" s="1" t="s">
        <v>113</v>
      </c>
      <c r="B78" s="2" t="s">
        <v>119</v>
      </c>
      <c r="C78" t="s">
        <v>121</v>
      </c>
      <c r="D78" s="5" t="s">
        <v>92</v>
      </c>
      <c r="E78" s="5" t="s">
        <v>142</v>
      </c>
      <c r="F78" s="17">
        <v>45243</v>
      </c>
      <c r="G78">
        <v>1</v>
      </c>
      <c r="H78" s="3">
        <v>6.7</v>
      </c>
      <c r="I78" s="3">
        <f t="shared" si="1"/>
        <v>6.24</v>
      </c>
      <c r="J78" s="3">
        <f>($A$51-$A$47)*$A$55</f>
        <v>0.53374999999999995</v>
      </c>
      <c r="K78" s="6">
        <f t="shared" si="2"/>
        <v>1512.0663435039369</v>
      </c>
      <c r="L78" s="4">
        <v>11</v>
      </c>
      <c r="M78" s="4">
        <v>126.73</v>
      </c>
      <c r="N78" s="4">
        <v>115.73</v>
      </c>
      <c r="O78" s="4">
        <v>113.16</v>
      </c>
      <c r="P78" s="7">
        <f t="shared" si="3"/>
        <v>2.2206860796681998</v>
      </c>
      <c r="Q78" s="6">
        <f t="shared" si="4"/>
        <v>1478.4880966983969</v>
      </c>
      <c r="R78" s="14">
        <v>45244</v>
      </c>
      <c r="S78" s="4">
        <v>2.94</v>
      </c>
      <c r="T78" s="13">
        <v>1.17</v>
      </c>
      <c r="U78" s="13">
        <v>3.02</v>
      </c>
      <c r="V78" s="8">
        <f t="shared" si="5"/>
        <v>0.32511423078880969</v>
      </c>
      <c r="W78" s="8">
        <f t="shared" si="6"/>
        <v>0.48327791063201453</v>
      </c>
      <c r="X78" s="8">
        <f t="shared" si="7"/>
        <v>0.19160785857917573</v>
      </c>
      <c r="Y78" s="6">
        <f t="shared" si="8"/>
        <v>491.59428616993051</v>
      </c>
      <c r="Z78" s="6">
        <f t="shared" si="9"/>
        <v>730.7482632255726</v>
      </c>
      <c r="AA78" s="6">
        <f t="shared" si="10"/>
        <v>1222.3425493955031</v>
      </c>
      <c r="AB78" s="6">
        <f t="shared" si="11"/>
        <v>480.67752028851061</v>
      </c>
      <c r="AC78" s="6">
        <f t="shared" si="12"/>
        <v>714.52063826670508</v>
      </c>
      <c r="AD78" s="6">
        <f t="shared" si="13"/>
        <v>1195.1981585552157</v>
      </c>
      <c r="AE78" s="18" t="s">
        <v>194</v>
      </c>
      <c r="AF78" s="14">
        <v>45295</v>
      </c>
      <c r="AG78" s="6">
        <v>37.5</v>
      </c>
      <c r="AH78" s="11">
        <v>1.149</v>
      </c>
      <c r="AI78" s="6">
        <v>81.900000000000006</v>
      </c>
      <c r="AJ78" s="6">
        <v>30</v>
      </c>
      <c r="AK78" s="6">
        <v>5.0999999999999996</v>
      </c>
      <c r="AL78" s="6">
        <v>78.7</v>
      </c>
      <c r="AM78" s="6">
        <v>8.8000000000000007</v>
      </c>
      <c r="AN78" s="16" t="s">
        <v>65</v>
      </c>
      <c r="AO78" s="12">
        <v>11</v>
      </c>
      <c r="AP78" s="7">
        <v>0.11</v>
      </c>
      <c r="AQ78" s="6">
        <v>9.5</v>
      </c>
      <c r="AS78" t="s">
        <v>129</v>
      </c>
      <c r="AT78" s="4" t="str">
        <f>E78</f>
        <v>Machine</v>
      </c>
      <c r="AU78" s="15">
        <f>F78</f>
        <v>45243</v>
      </c>
      <c r="AV78" s="3">
        <f>SUM(H78:H79)</f>
        <v>18.899999999999999</v>
      </c>
      <c r="AW78" s="3">
        <f>AV78-2*$A$47</f>
        <v>17.979999999999997</v>
      </c>
      <c r="AX78" s="3">
        <f>SUM(J78:J79)</f>
        <v>1.43</v>
      </c>
      <c r="AY78" s="3">
        <f>(AW78+AX78)*$A$48/(2*$A$49)*$A$50</f>
        <v>2166.3928937007872</v>
      </c>
      <c r="AZ78" s="4">
        <f>SUM(L78:L79)</f>
        <v>22.009999999999998</v>
      </c>
      <c r="BA78" s="4">
        <f>SUM(M78:M79)</f>
        <v>254.38</v>
      </c>
      <c r="BB78" s="4">
        <f>BA78-AZ78</f>
        <v>232.37</v>
      </c>
      <c r="BC78" s="4">
        <f>SUM(O78:O79)</f>
        <v>225.20999999999998</v>
      </c>
      <c r="BD78" s="4">
        <f>(BB78-BC78)/BB78*100</f>
        <v>3.0812927658475813</v>
      </c>
      <c r="BE78" s="3">
        <f>AY78*(1-BD78/100)</f>
        <v>2099.6399861873488</v>
      </c>
      <c r="BF78" s="15">
        <v>45244</v>
      </c>
      <c r="BG78" s="4">
        <f>SUM(S78:S79)</f>
        <v>8.32</v>
      </c>
      <c r="BH78" s="13">
        <f>SUM(T78:T79)</f>
        <v>3.2949999999999999</v>
      </c>
      <c r="BI78" s="13">
        <f>SUM(U78:U79)</f>
        <v>7.1649999999999991</v>
      </c>
      <c r="BJ78" s="9">
        <f>(BH78-2*$A$56)/(BG78-2*$A$47*$A$48)</f>
        <v>0.34557829646618188</v>
      </c>
      <c r="BK78" s="9">
        <f>(BI78-2*$A$57)/(BG78-2*$A$47*$A$48)</f>
        <v>0.47641973130544657</v>
      </c>
      <c r="BL78" s="9">
        <f>1-BJ78-BK78</f>
        <v>0.17800197222837155</v>
      </c>
      <c r="BM78" s="3">
        <f>AY78*BJ78</f>
        <v>748.65836568156033</v>
      </c>
      <c r="BN78" s="3">
        <f>AY78*BK78</f>
        <v>1032.1123203189579</v>
      </c>
      <c r="BO78" s="3">
        <f>SUM(BM78:BN78)</f>
        <v>1780.7706860005183</v>
      </c>
      <c r="BP78" s="3">
        <f>BE78*BJ78</f>
        <v>725.5900096189016</v>
      </c>
      <c r="BQ78" s="3">
        <f>BE78*BK78</f>
        <v>1000.3099180575482</v>
      </c>
      <c r="BR78" s="3">
        <f>SUM(BP78:BQ78)</f>
        <v>1725.8999276764498</v>
      </c>
      <c r="BS78" s="3"/>
      <c r="BT78" s="15">
        <f>AF79</f>
        <v>45295</v>
      </c>
      <c r="BU78" s="3">
        <f>AVERAGE(AG78:AG79)</f>
        <v>40.049999999999997</v>
      </c>
      <c r="BV78" s="13">
        <f t="shared" ref="BV78" si="59">AVERAGE(AH78:AH79)</f>
        <v>1.1564999999999999</v>
      </c>
      <c r="BW78" s="3">
        <f t="shared" ref="BW78" si="60">AVERAGE(AI78:AI79)</f>
        <v>82.2</v>
      </c>
      <c r="BX78" s="3">
        <f t="shared" ref="BX78" si="61">AVERAGE(AJ78:AJ79)</f>
        <v>30.35</v>
      </c>
      <c r="BY78" s="3">
        <f t="shared" ref="BY78" si="62">AVERAGE(AK78:AK79)</f>
        <v>5.3</v>
      </c>
      <c r="BZ78" s="3">
        <f t="shared" ref="BZ78" si="63">AVERAGE(AL78:AL79)</f>
        <v>79.95</v>
      </c>
      <c r="CA78" s="3">
        <f t="shared" ref="CA78" si="64">AVERAGE(AM78:AM79)</f>
        <v>9.0500000000000007</v>
      </c>
      <c r="CB78" s="3"/>
      <c r="CC78" s="10">
        <f t="shared" ref="CC78" si="65">AVERAGE(AO78:AO79)</f>
        <v>11</v>
      </c>
      <c r="CD78" s="4">
        <f t="shared" ref="CD78" si="66">AVERAGE(AP78:AP79)</f>
        <v>0.12</v>
      </c>
      <c r="CE78" s="3">
        <f t="shared" ref="CE78" si="67">AVERAGE(AQ78:AQ79)</f>
        <v>8.6999999999999993</v>
      </c>
    </row>
    <row r="79" spans="1:83" x14ac:dyDescent="0.25">
      <c r="A79" s="1" t="s">
        <v>113</v>
      </c>
      <c r="B79" s="2" t="s">
        <v>119</v>
      </c>
      <c r="C79" t="s">
        <v>122</v>
      </c>
      <c r="D79" s="5" t="s">
        <v>93</v>
      </c>
      <c r="E79" s="5" t="s">
        <v>142</v>
      </c>
      <c r="F79" s="17">
        <v>45243</v>
      </c>
      <c r="G79">
        <v>3</v>
      </c>
      <c r="H79" s="3">
        <v>12.2</v>
      </c>
      <c r="I79" s="3">
        <f t="shared" si="1"/>
        <v>11.739999999999998</v>
      </c>
      <c r="J79" s="3">
        <f>($A$53-$A$47)*$A$55</f>
        <v>0.89624999999999999</v>
      </c>
      <c r="K79" s="6">
        <f t="shared" si="2"/>
        <v>2820.7194438976376</v>
      </c>
      <c r="L79" s="4">
        <v>11.01</v>
      </c>
      <c r="M79" s="4">
        <v>127.65</v>
      </c>
      <c r="N79" s="4">
        <v>116.64</v>
      </c>
      <c r="O79" s="4">
        <v>112.05</v>
      </c>
      <c r="P79" s="7">
        <f t="shared" si="3"/>
        <v>3.9351851851851882</v>
      </c>
      <c r="Q79" s="6">
        <f t="shared" si="4"/>
        <v>2709.7189102257398</v>
      </c>
      <c r="R79" s="14">
        <v>45244</v>
      </c>
      <c r="S79" s="4">
        <v>5.38</v>
      </c>
      <c r="T79" s="13">
        <v>2.125</v>
      </c>
      <c r="U79" s="13">
        <v>4.1449999999999996</v>
      </c>
      <c r="V79" s="8">
        <f t="shared" si="5"/>
        <v>0.35638679006784552</v>
      </c>
      <c r="W79" s="8">
        <f t="shared" si="6"/>
        <v>0.47279745074111884</v>
      </c>
      <c r="X79" s="8">
        <f t="shared" si="7"/>
        <v>0.1708157591910357</v>
      </c>
      <c r="Y79" s="6">
        <f t="shared" si="8"/>
        <v>1005.2671482926373</v>
      </c>
      <c r="Z79" s="6">
        <f t="shared" si="9"/>
        <v>1333.6289623307093</v>
      </c>
      <c r="AA79" s="6">
        <f t="shared" si="10"/>
        <v>2338.8961106233464</v>
      </c>
      <c r="AB79" s="6">
        <f t="shared" si="11"/>
        <v>965.70802440149191</v>
      </c>
      <c r="AC79" s="6">
        <f t="shared" si="12"/>
        <v>1281.1481929797324</v>
      </c>
      <c r="AD79" s="6">
        <f t="shared" si="13"/>
        <v>2246.8562173812243</v>
      </c>
      <c r="AE79" s="18" t="s">
        <v>195</v>
      </c>
      <c r="AF79" s="14">
        <v>45295</v>
      </c>
      <c r="AG79" s="6">
        <v>42.599999999999994</v>
      </c>
      <c r="AH79" s="11">
        <v>1.1639999999999999</v>
      </c>
      <c r="AI79" s="6">
        <v>82.5</v>
      </c>
      <c r="AJ79" s="6">
        <v>30.7</v>
      </c>
      <c r="AK79" s="6">
        <v>5.5</v>
      </c>
      <c r="AL79" s="6">
        <v>81.2</v>
      </c>
      <c r="AM79" s="6">
        <v>9.3000000000000007</v>
      </c>
      <c r="AN79" s="16" t="s">
        <v>218</v>
      </c>
      <c r="AO79" s="12">
        <v>11</v>
      </c>
      <c r="AP79" s="7">
        <v>0.13</v>
      </c>
      <c r="AQ79" s="6">
        <v>7.9</v>
      </c>
      <c r="AV79" s="3"/>
      <c r="AW79" s="3"/>
      <c r="AX79" s="3"/>
      <c r="AY79" s="3"/>
      <c r="AZ79" s="4"/>
      <c r="BA79" s="4"/>
      <c r="BB79" s="4"/>
      <c r="BC79" s="4"/>
      <c r="BD79" s="4"/>
      <c r="BE79" s="3"/>
      <c r="BF79" s="3"/>
      <c r="BG79" s="4"/>
      <c r="BH79" s="13"/>
      <c r="BI79" s="13"/>
      <c r="BJ79" s="9"/>
      <c r="BK79" s="9"/>
      <c r="BL79" s="9"/>
      <c r="BM79" s="3"/>
      <c r="BN79" s="3"/>
      <c r="BO79" s="3"/>
      <c r="BP79" s="3"/>
      <c r="BQ79" s="3"/>
      <c r="BR79" s="3"/>
      <c r="BT79" s="15"/>
      <c r="BU79" s="3"/>
      <c r="BV79" s="13"/>
      <c r="BW79" s="3"/>
      <c r="BX79" s="3"/>
      <c r="BY79" s="3"/>
      <c r="BZ79" s="3"/>
      <c r="CA79" s="3"/>
      <c r="CB79" s="10"/>
      <c r="CC79" s="10"/>
      <c r="CD79" s="4"/>
      <c r="CE79" s="3"/>
    </row>
    <row r="80" spans="1:83" x14ac:dyDescent="0.25">
      <c r="A80" s="1" t="s">
        <v>113</v>
      </c>
      <c r="B80" s="2" t="s">
        <v>120</v>
      </c>
      <c r="C80" t="s">
        <v>121</v>
      </c>
      <c r="D80" s="5" t="s">
        <v>94</v>
      </c>
      <c r="E80" s="5" t="s">
        <v>142</v>
      </c>
      <c r="F80" s="17">
        <v>45243</v>
      </c>
      <c r="G80">
        <v>1</v>
      </c>
      <c r="H80" s="3">
        <v>2</v>
      </c>
      <c r="I80" s="3">
        <f t="shared" si="1"/>
        <v>1.54</v>
      </c>
      <c r="J80" s="3">
        <f>($A$51-$A$47)*$A$55</f>
        <v>0.53374999999999995</v>
      </c>
      <c r="K80" s="6">
        <f t="shared" si="2"/>
        <v>462.91161909448817</v>
      </c>
      <c r="L80" s="4">
        <v>11.03</v>
      </c>
      <c r="M80" s="4">
        <v>120.52</v>
      </c>
      <c r="N80" s="4">
        <v>109.49</v>
      </c>
      <c r="O80" s="4">
        <v>103.9</v>
      </c>
      <c r="P80" s="7">
        <f t="shared" si="3"/>
        <v>5.1054890857612474</v>
      </c>
      <c r="Q80" s="6">
        <f t="shared" si="4"/>
        <v>439.2777169048984</v>
      </c>
      <c r="R80" s="14">
        <v>45244</v>
      </c>
      <c r="S80" s="4">
        <v>0.8</v>
      </c>
      <c r="T80" s="13">
        <v>0.46500000000000002</v>
      </c>
      <c r="U80" s="13">
        <v>1.9750000000000001</v>
      </c>
      <c r="V80" s="8">
        <f t="shared" si="5"/>
        <v>0.3094626159690016</v>
      </c>
      <c r="W80" s="8">
        <f t="shared" si="6"/>
        <v>0.46503945022664184</v>
      </c>
      <c r="X80" s="8">
        <f t="shared" si="7"/>
        <v>0.22549793380435657</v>
      </c>
      <c r="Y80" s="6">
        <f t="shared" si="8"/>
        <v>143.25384060742635</v>
      </c>
      <c r="Z80" s="6">
        <f t="shared" si="9"/>
        <v>215.27216484722541</v>
      </c>
      <c r="AA80" s="6">
        <f t="shared" si="10"/>
        <v>358.52600545465179</v>
      </c>
      <c r="AB80" s="6">
        <f t="shared" si="11"/>
        <v>135.94003141028037</v>
      </c>
      <c r="AC80" s="6">
        <f t="shared" si="12"/>
        <v>204.28146796626837</v>
      </c>
      <c r="AD80" s="6">
        <f t="shared" si="13"/>
        <v>340.22149937654876</v>
      </c>
      <c r="AE80" s="18" t="s">
        <v>196</v>
      </c>
      <c r="AF80" s="14">
        <v>45295</v>
      </c>
      <c r="AG80" s="6">
        <v>39.1</v>
      </c>
      <c r="AH80" s="11">
        <v>1.056</v>
      </c>
      <c r="AI80" s="6">
        <v>79.7</v>
      </c>
      <c r="AJ80" s="6">
        <v>26.8</v>
      </c>
      <c r="AK80" s="6">
        <v>5</v>
      </c>
      <c r="AL80" s="6">
        <v>77.099999999999994</v>
      </c>
      <c r="AM80" s="6">
        <v>9.1</v>
      </c>
      <c r="AN80" s="16" t="s">
        <v>214</v>
      </c>
      <c r="AO80" s="12">
        <v>21</v>
      </c>
      <c r="AP80" s="7">
        <v>0.44</v>
      </c>
      <c r="AQ80" s="6">
        <v>12</v>
      </c>
      <c r="AS80" t="s">
        <v>130</v>
      </c>
      <c r="AT80" s="4" t="str">
        <f>E80</f>
        <v>Machine</v>
      </c>
      <c r="AU80" s="15">
        <f>F80</f>
        <v>45243</v>
      </c>
      <c r="AV80" s="3">
        <f>SUM(H80:H81)</f>
        <v>5.7</v>
      </c>
      <c r="AW80" s="3">
        <f>AV80-2*$A$47</f>
        <v>4.78</v>
      </c>
      <c r="AX80" s="3">
        <f>SUM(J80:J81)</f>
        <v>1.43</v>
      </c>
      <c r="AY80" s="3">
        <f>(AW80+AX80)*$A$48/(2*$A$49)*$A$50</f>
        <v>693.11179133858275</v>
      </c>
      <c r="AZ80" s="4">
        <f>SUM(L80:L81)</f>
        <v>22.06</v>
      </c>
      <c r="BA80" s="4">
        <f>SUM(M80:M81)</f>
        <v>273.58</v>
      </c>
      <c r="BB80" s="4">
        <f>BA80-AZ80</f>
        <v>251.51999999999998</v>
      </c>
      <c r="BC80" s="4">
        <f>SUM(O80:O81)</f>
        <v>239.66</v>
      </c>
      <c r="BD80" s="4">
        <f>(BB80-BC80)/BB80*100</f>
        <v>4.7153307888040663</v>
      </c>
      <c r="BE80" s="3">
        <f>AY80*(1-BD80/100)</f>
        <v>660.42927764076319</v>
      </c>
      <c r="BF80" s="15">
        <v>45244</v>
      </c>
      <c r="BG80" s="4">
        <f>SUM(S80:S81)</f>
        <v>2.33</v>
      </c>
      <c r="BH80" s="13">
        <f>SUM(T80:T81)</f>
        <v>1.175</v>
      </c>
      <c r="BI80" s="13">
        <f>SUM(U80:U81)</f>
        <v>4.28</v>
      </c>
      <c r="BJ80" s="9">
        <f>(BH80-2*$A$56)/(BG80-2*$A$47*$A$48)</f>
        <v>0.31944449324120289</v>
      </c>
      <c r="BK80" s="9">
        <f>(BI80-2*$A$57)/(BG80-2*$A$47*$A$48)</f>
        <v>0.46008372185312368</v>
      </c>
      <c r="BL80" s="9">
        <f>1-BJ80-BK80</f>
        <v>0.22047178490567348</v>
      </c>
      <c r="BM80" s="3">
        <f>AY80*BJ80</f>
        <v>221.41074494365591</v>
      </c>
      <c r="BN80" s="3">
        <f>AY80*BK80</f>
        <v>318.88945261934083</v>
      </c>
      <c r="BO80" s="3">
        <f>SUM(BM80:BN80)</f>
        <v>540.3001975629968</v>
      </c>
      <c r="BP80" s="3">
        <f>BE80*BJ80</f>
        <v>210.97049591760728</v>
      </c>
      <c r="BQ80" s="3">
        <f>BE80*BK80</f>
        <v>303.85276007773228</v>
      </c>
      <c r="BR80" s="3">
        <f>SUM(BP80:BQ80)</f>
        <v>514.82325599533954</v>
      </c>
      <c r="BS80" s="3"/>
      <c r="BT80" s="15">
        <f>AF81</f>
        <v>45295</v>
      </c>
      <c r="BU80" s="3">
        <f>AVERAGE(AG80:AG81)</f>
        <v>41.150000000000006</v>
      </c>
      <c r="BV80" s="13">
        <f t="shared" ref="BV80" si="68">AVERAGE(AH80:AH81)</f>
        <v>1.0815000000000001</v>
      </c>
      <c r="BW80" s="3">
        <f t="shared" ref="BW80" si="69">AVERAGE(AI80:AI81)</f>
        <v>80.550000000000011</v>
      </c>
      <c r="BX80" s="3">
        <f t="shared" ref="BX80" si="70">AVERAGE(AJ80:AJ81)</f>
        <v>28.35</v>
      </c>
      <c r="BY80" s="3">
        <f t="shared" ref="BY80" si="71">AVERAGE(AK80:AK81)</f>
        <v>4.9000000000000004</v>
      </c>
      <c r="BZ80" s="3">
        <f t="shared" ref="BZ80" si="72">AVERAGE(AL80:AL81)</f>
        <v>77.650000000000006</v>
      </c>
      <c r="CA80" s="3">
        <f t="shared" ref="CA80" si="73">AVERAGE(AM80:AM81)</f>
        <v>9.1</v>
      </c>
      <c r="CB80" s="3"/>
      <c r="CC80" s="10">
        <f t="shared" ref="CC80" si="74">AVERAGE(AO80:AO81)</f>
        <v>23</v>
      </c>
      <c r="CD80" s="4">
        <f t="shared" ref="CD80" si="75">AVERAGE(AP80:AP81)</f>
        <v>0.375</v>
      </c>
      <c r="CE80" s="3">
        <f t="shared" ref="CE80" si="76">AVERAGE(AQ80:AQ81)</f>
        <v>10.7</v>
      </c>
    </row>
    <row r="81" spans="1:83" x14ac:dyDescent="0.25">
      <c r="A81" s="1" t="s">
        <v>113</v>
      </c>
      <c r="B81" s="2" t="s">
        <v>120</v>
      </c>
      <c r="C81" t="s">
        <v>122</v>
      </c>
      <c r="D81" s="5" t="s">
        <v>95</v>
      </c>
      <c r="E81" s="5" t="s">
        <v>142</v>
      </c>
      <c r="F81" s="17">
        <v>45243</v>
      </c>
      <c r="G81">
        <v>3</v>
      </c>
      <c r="H81" s="3">
        <v>3.7</v>
      </c>
      <c r="I81" s="3">
        <f t="shared" si="1"/>
        <v>3.24</v>
      </c>
      <c r="J81" s="3">
        <f>($A$53-$A$47)*$A$55</f>
        <v>0.89624999999999999</v>
      </c>
      <c r="K81" s="6">
        <f t="shared" si="2"/>
        <v>923.31196358267721</v>
      </c>
      <c r="L81" s="4">
        <v>11.03</v>
      </c>
      <c r="M81" s="4">
        <v>153.06</v>
      </c>
      <c r="N81" s="4">
        <v>142.03</v>
      </c>
      <c r="O81" s="4">
        <v>135.76</v>
      </c>
      <c r="P81" s="7">
        <f t="shared" si="3"/>
        <v>4.4145603041610997</v>
      </c>
      <c r="Q81" s="6">
        <f t="shared" si="4"/>
        <v>882.55180015478595</v>
      </c>
      <c r="R81" s="14">
        <v>45244</v>
      </c>
      <c r="S81" s="4">
        <v>1.53</v>
      </c>
      <c r="T81" s="13">
        <v>0.71</v>
      </c>
      <c r="U81" s="13">
        <v>2.3050000000000002</v>
      </c>
      <c r="V81" s="8">
        <f t="shared" si="5"/>
        <v>0.32391172019161524</v>
      </c>
      <c r="W81" s="8">
        <f t="shared" si="6"/>
        <v>0.45786586615870861</v>
      </c>
      <c r="X81" s="8">
        <f t="shared" si="7"/>
        <v>0.21822241364967609</v>
      </c>
      <c r="Y81" s="6">
        <f t="shared" si="8"/>
        <v>299.071566397563</v>
      </c>
      <c r="Z81" s="6">
        <f t="shared" si="9"/>
        <v>422.75303194048053</v>
      </c>
      <c r="AA81" s="6">
        <f t="shared" si="10"/>
        <v>721.82459833804353</v>
      </c>
      <c r="AB81" s="6">
        <f t="shared" si="11"/>
        <v>285.86887174634336</v>
      </c>
      <c r="AC81" s="6">
        <f t="shared" si="12"/>
        <v>404.09034440779857</v>
      </c>
      <c r="AD81" s="6">
        <f t="shared" si="13"/>
        <v>689.95921615414193</v>
      </c>
      <c r="AE81" s="18" t="s">
        <v>197</v>
      </c>
      <c r="AF81" s="14">
        <v>45295</v>
      </c>
      <c r="AG81" s="6">
        <v>43.2</v>
      </c>
      <c r="AH81" s="11">
        <v>1.107</v>
      </c>
      <c r="AI81" s="6">
        <v>81.400000000000006</v>
      </c>
      <c r="AJ81" s="6">
        <v>29.9</v>
      </c>
      <c r="AK81" s="6">
        <v>4.8</v>
      </c>
      <c r="AL81" s="6">
        <v>78.2</v>
      </c>
      <c r="AM81" s="6">
        <v>9.1</v>
      </c>
      <c r="AN81" s="16" t="s">
        <v>65</v>
      </c>
      <c r="AO81" s="12">
        <v>25</v>
      </c>
      <c r="AP81" s="7">
        <v>0.31</v>
      </c>
      <c r="AQ81" s="6">
        <v>9.4</v>
      </c>
      <c r="AV81" s="3"/>
      <c r="AW81" s="3"/>
      <c r="AX81" s="3"/>
      <c r="AY81" s="3"/>
      <c r="AZ81" s="4"/>
      <c r="BA81" s="4"/>
      <c r="BB81" s="4"/>
      <c r="BC81" s="4"/>
      <c r="BD81" s="4"/>
      <c r="BE81" s="3"/>
      <c r="BF81" s="3"/>
      <c r="BG81" s="4"/>
      <c r="BH81" s="13"/>
      <c r="BI81" s="13"/>
      <c r="BJ81" s="9"/>
      <c r="BK81" s="9"/>
      <c r="BL81" s="9"/>
      <c r="BM81" s="3"/>
      <c r="BN81" s="3"/>
      <c r="BO81" s="3"/>
      <c r="BP81" s="3"/>
      <c r="BQ81" s="3"/>
      <c r="BR81" s="3"/>
      <c r="BT81" s="15"/>
      <c r="BU81" s="3"/>
      <c r="BV81" s="13"/>
      <c r="BW81" s="3"/>
      <c r="BX81" s="3"/>
      <c r="BY81" s="3"/>
      <c r="BZ81" s="3"/>
      <c r="CA81" s="3"/>
      <c r="CB81" s="10"/>
      <c r="CC81" s="10"/>
      <c r="CD81" s="4"/>
      <c r="CE81" s="3"/>
    </row>
    <row r="82" spans="1:83" x14ac:dyDescent="0.25">
      <c r="A82" s="1" t="s">
        <v>114</v>
      </c>
      <c r="B82" s="2" t="s">
        <v>113</v>
      </c>
      <c r="C82" t="s">
        <v>121</v>
      </c>
      <c r="D82" s="5" t="s">
        <v>96</v>
      </c>
      <c r="E82" s="5" t="s">
        <v>142</v>
      </c>
      <c r="F82" s="17">
        <v>45243</v>
      </c>
      <c r="G82">
        <v>2</v>
      </c>
      <c r="H82" s="3">
        <v>8</v>
      </c>
      <c r="I82" s="3">
        <f t="shared" si="1"/>
        <v>7.54</v>
      </c>
      <c r="J82" s="3">
        <f>($A$52-$A$47)*$A$55</f>
        <v>0.7024999999999999</v>
      </c>
      <c r="K82" s="6">
        <f t="shared" si="2"/>
        <v>1839.9271948818896</v>
      </c>
      <c r="L82" s="4">
        <v>11.13</v>
      </c>
      <c r="M82" s="4">
        <v>124.67</v>
      </c>
      <c r="N82" s="4">
        <v>113.54</v>
      </c>
      <c r="O82" s="4">
        <v>107.89</v>
      </c>
      <c r="P82" s="7">
        <f t="shared" si="3"/>
        <v>4.9762198344195925</v>
      </c>
      <c r="Q82" s="6">
        <f t="shared" si="4"/>
        <v>1748.368372871297</v>
      </c>
      <c r="R82" s="14">
        <v>45244</v>
      </c>
      <c r="S82" s="4">
        <v>3.51</v>
      </c>
      <c r="T82" s="13">
        <v>1.41</v>
      </c>
      <c r="U82" s="13">
        <v>3.1549999999999998</v>
      </c>
      <c r="V82" s="8">
        <f t="shared" si="5"/>
        <v>0.34167864440136764</v>
      </c>
      <c r="W82" s="8">
        <f t="shared" si="6"/>
        <v>0.44072910248580666</v>
      </c>
      <c r="X82" s="8">
        <f t="shared" si="7"/>
        <v>0.21759225311282571</v>
      </c>
      <c r="Y82" s="6">
        <f t="shared" si="8"/>
        <v>628.66382974445503</v>
      </c>
      <c r="Z82" s="6">
        <f t="shared" si="9"/>
        <v>810.90946123952313</v>
      </c>
      <c r="AA82" s="6">
        <f t="shared" si="10"/>
        <v>1439.573290983978</v>
      </c>
      <c r="AB82" s="6">
        <f t="shared" si="11"/>
        <v>597.38013555688963</v>
      </c>
      <c r="AC82" s="6">
        <f t="shared" si="12"/>
        <v>770.55682379013683</v>
      </c>
      <c r="AD82" s="6">
        <f t="shared" si="13"/>
        <v>1367.9369593470265</v>
      </c>
      <c r="AE82" s="18" t="s">
        <v>198</v>
      </c>
      <c r="AF82" s="14">
        <v>45295</v>
      </c>
      <c r="AG82" s="6">
        <v>47.400000000000006</v>
      </c>
      <c r="AH82" s="11">
        <v>1.099</v>
      </c>
      <c r="AI82" s="6">
        <v>81.8</v>
      </c>
      <c r="AJ82" s="6">
        <v>30.2</v>
      </c>
      <c r="AK82" s="6">
        <v>4.5999999999999996</v>
      </c>
      <c r="AL82" s="6">
        <v>78.5</v>
      </c>
      <c r="AM82" s="6">
        <v>8.5</v>
      </c>
      <c r="AN82" s="16" t="s">
        <v>65</v>
      </c>
      <c r="AO82" s="12">
        <v>13</v>
      </c>
      <c r="AP82" s="7">
        <v>0.21</v>
      </c>
      <c r="AQ82" s="6">
        <v>9.9</v>
      </c>
      <c r="AS82" t="s">
        <v>131</v>
      </c>
      <c r="AT82" s="4" t="str">
        <f>E82</f>
        <v>Machine</v>
      </c>
      <c r="AU82" s="15">
        <f>F82</f>
        <v>45243</v>
      </c>
      <c r="AV82" s="3">
        <f>SUM(H82:H83)</f>
        <v>13.1</v>
      </c>
      <c r="AW82" s="3">
        <f>AV82-2*$A$47</f>
        <v>12.18</v>
      </c>
      <c r="AX82" s="3">
        <f>SUM(J82:J83)</f>
        <v>1.4175</v>
      </c>
      <c r="AY82" s="3">
        <f>(AW82+AX82)*$A$48/(2*$A$49)*$A$50</f>
        <v>1517.6469537401574</v>
      </c>
      <c r="AZ82" s="4">
        <f>SUM(L82:L83)</f>
        <v>21.880000000000003</v>
      </c>
      <c r="BA82" s="4">
        <f>SUM(M82:M83)</f>
        <v>270.17</v>
      </c>
      <c r="BB82" s="4">
        <f>BA82-AZ82</f>
        <v>248.29000000000002</v>
      </c>
      <c r="BC82" s="4">
        <f>SUM(O82:O83)</f>
        <v>237.42000000000002</v>
      </c>
      <c r="BD82" s="4">
        <f>(BB82-BC82)/BB82*100</f>
        <v>4.3779451447903677</v>
      </c>
      <c r="BE82" s="3">
        <f>AY82*(1-BD82/100)</f>
        <v>1451.2052026138313</v>
      </c>
      <c r="BF82" s="15">
        <v>45244</v>
      </c>
      <c r="BG82" s="4">
        <f>SUM(S82:S83)</f>
        <v>5.67</v>
      </c>
      <c r="BH82" s="13">
        <f>SUM(T82:T83)</f>
        <v>2.4</v>
      </c>
      <c r="BI82" s="13">
        <f>SUM(U82:U83)</f>
        <v>5.74</v>
      </c>
      <c r="BJ82" s="9">
        <f>(BH82-2*$A$56)/(BG82-2*$A$47*$A$48)</f>
        <v>0.34953483386479889</v>
      </c>
      <c r="BK82" s="9">
        <f>(BI82-2*$A$57)/(BG82-2*$A$47*$A$48)</f>
        <v>0.44548557257278298</v>
      </c>
      <c r="BL82" s="9">
        <f>1-BJ82-BK82</f>
        <v>0.20497959356241813</v>
      </c>
      <c r="BM82" s="3">
        <f>AY82*BJ82</f>
        <v>530.47047584098402</v>
      </c>
      <c r="BN82" s="3">
        <f>AY82*BK82</f>
        <v>676.0898221502739</v>
      </c>
      <c r="BO82" s="3">
        <f>SUM(BM82:BN82)</f>
        <v>1206.5602979912578</v>
      </c>
      <c r="BP82" s="3">
        <f>BE82*BJ82</f>
        <v>507.24676939935733</v>
      </c>
      <c r="BQ82" s="3">
        <f>BE82*BK82</f>
        <v>646.4909806070242</v>
      </c>
      <c r="BR82" s="3">
        <f>SUM(BP82:BQ82)</f>
        <v>1153.7377500063815</v>
      </c>
      <c r="BS82" s="3"/>
      <c r="BT82" s="15">
        <f>AF83</f>
        <v>45295</v>
      </c>
      <c r="BU82" s="3">
        <f>AVERAGE(AG82:AG83)</f>
        <v>47.45</v>
      </c>
      <c r="BV82" s="13">
        <f t="shared" ref="BV82" si="77">AVERAGE(AH82:AH83)</f>
        <v>1.083</v>
      </c>
      <c r="BW82" s="3">
        <f t="shared" ref="BW82" si="78">AVERAGE(AI82:AI83)</f>
        <v>81.25</v>
      </c>
      <c r="BX82" s="3">
        <f t="shared" ref="BX82" si="79">AVERAGE(AJ82:AJ83)</f>
        <v>28.95</v>
      </c>
      <c r="BY82" s="3">
        <f t="shared" ref="BY82" si="80">AVERAGE(AK82:AK83)</f>
        <v>4.6999999999999993</v>
      </c>
      <c r="BZ82" s="3">
        <f t="shared" ref="BZ82" si="81">AVERAGE(AL82:AL83)</f>
        <v>77.650000000000006</v>
      </c>
      <c r="CA82" s="3">
        <f t="shared" ref="CA82" si="82">AVERAGE(AM82:AM83)</f>
        <v>8.65</v>
      </c>
      <c r="CB82" s="3"/>
      <c r="CC82" s="10">
        <f t="shared" ref="CC82" si="83">AVERAGE(AO82:AO83)</f>
        <v>17.5</v>
      </c>
      <c r="CD82" s="4">
        <f t="shared" ref="CD82" si="84">AVERAGE(AP82:AP83)</f>
        <v>0.375</v>
      </c>
      <c r="CE82" s="3">
        <f t="shared" ref="CE82" si="85">AVERAGE(AQ82:AQ83)</f>
        <v>10.4</v>
      </c>
    </row>
    <row r="83" spans="1:83" x14ac:dyDescent="0.25">
      <c r="A83" s="1" t="s">
        <v>114</v>
      </c>
      <c r="B83" s="2" t="s">
        <v>113</v>
      </c>
      <c r="C83" t="s">
        <v>122</v>
      </c>
      <c r="D83" s="5" t="s">
        <v>97</v>
      </c>
      <c r="E83" s="5" t="s">
        <v>142</v>
      </c>
      <c r="F83" s="17">
        <v>45243</v>
      </c>
      <c r="G83">
        <v>4</v>
      </c>
      <c r="H83" s="3">
        <v>5.0999999999999996</v>
      </c>
      <c r="I83" s="3">
        <f t="shared" si="1"/>
        <v>4.6399999999999997</v>
      </c>
      <c r="J83" s="3">
        <f>($A$54-$A$47)*$A$55</f>
        <v>0.71499999999999997</v>
      </c>
      <c r="K83" s="6">
        <f t="shared" si="2"/>
        <v>1195.366712598425</v>
      </c>
      <c r="L83" s="4">
        <v>10.75</v>
      </c>
      <c r="M83" s="4">
        <v>145.5</v>
      </c>
      <c r="N83" s="4">
        <v>134.75</v>
      </c>
      <c r="O83" s="4">
        <v>129.53</v>
      </c>
      <c r="P83" s="7">
        <f t="shared" si="3"/>
        <v>3.8738404452690158</v>
      </c>
      <c r="Q83" s="6">
        <f t="shared" si="4"/>
        <v>1149.0601134165045</v>
      </c>
      <c r="R83" s="14">
        <v>45244</v>
      </c>
      <c r="S83" s="4">
        <v>2.16</v>
      </c>
      <c r="T83" s="13">
        <v>0.99</v>
      </c>
      <c r="U83" s="13">
        <v>2.585</v>
      </c>
      <c r="V83" s="8">
        <f t="shared" si="5"/>
        <v>0.3628261674003681</v>
      </c>
      <c r="W83" s="8">
        <f t="shared" si="6"/>
        <v>0.45353270925046019</v>
      </c>
      <c r="X83" s="8">
        <f t="shared" si="7"/>
        <v>0.18364112334917171</v>
      </c>
      <c r="Y83" s="6">
        <f t="shared" si="8"/>
        <v>433.71032297006388</v>
      </c>
      <c r="Z83" s="6">
        <f t="shared" si="9"/>
        <v>542.13790371257994</v>
      </c>
      <c r="AA83" s="6">
        <f t="shared" si="10"/>
        <v>975.84822668264383</v>
      </c>
      <c r="AB83" s="6">
        <f t="shared" si="11"/>
        <v>416.90907706354261</v>
      </c>
      <c r="AC83" s="6">
        <f t="shared" si="12"/>
        <v>521.13634632942831</v>
      </c>
      <c r="AD83" s="6">
        <f t="shared" si="13"/>
        <v>938.04542339297086</v>
      </c>
      <c r="AE83" s="18" t="s">
        <v>199</v>
      </c>
      <c r="AF83" s="14">
        <v>45295</v>
      </c>
      <c r="AG83" s="6">
        <v>47.5</v>
      </c>
      <c r="AH83" s="11">
        <v>1.0669999999999999</v>
      </c>
      <c r="AI83" s="6">
        <v>80.7</v>
      </c>
      <c r="AJ83" s="6">
        <v>27.7</v>
      </c>
      <c r="AK83" s="6">
        <v>4.8</v>
      </c>
      <c r="AL83" s="6">
        <v>76.8</v>
      </c>
      <c r="AM83" s="6">
        <v>8.8000000000000007</v>
      </c>
      <c r="AN83" s="16" t="s">
        <v>217</v>
      </c>
      <c r="AO83" s="12">
        <v>22</v>
      </c>
      <c r="AP83" s="7">
        <v>0.54</v>
      </c>
      <c r="AQ83" s="6">
        <v>10.9</v>
      </c>
      <c r="AV83" s="3"/>
      <c r="AW83" s="3"/>
      <c r="AX83" s="3"/>
      <c r="AY83" s="3"/>
      <c r="AZ83" s="4"/>
      <c r="BA83" s="4"/>
      <c r="BB83" s="4"/>
      <c r="BC83" s="4"/>
      <c r="BD83" s="4"/>
      <c r="BE83" s="3"/>
      <c r="BF83" s="3"/>
      <c r="BG83" s="4"/>
      <c r="BH83" s="13"/>
      <c r="BI83" s="13"/>
      <c r="BJ83" s="9"/>
      <c r="BK83" s="9"/>
      <c r="BL83" s="9"/>
      <c r="BM83" s="3"/>
      <c r="BN83" s="3"/>
      <c r="BO83" s="3"/>
      <c r="BP83" s="3"/>
      <c r="BQ83" s="3"/>
      <c r="BR83" s="3"/>
      <c r="BT83" s="15"/>
      <c r="BU83" s="3"/>
      <c r="BV83" s="13"/>
      <c r="BW83" s="3"/>
      <c r="BX83" s="3"/>
      <c r="BY83" s="3"/>
      <c r="BZ83" s="3"/>
      <c r="CA83" s="3"/>
      <c r="CB83" s="10"/>
      <c r="CC83" s="10"/>
      <c r="CD83" s="4"/>
      <c r="CE83" s="3"/>
    </row>
    <row r="84" spans="1:83" x14ac:dyDescent="0.25">
      <c r="A84" s="1" t="s">
        <v>114</v>
      </c>
      <c r="B84" s="2" t="s">
        <v>114</v>
      </c>
      <c r="C84" t="s">
        <v>121</v>
      </c>
      <c r="D84" s="5" t="s">
        <v>98</v>
      </c>
      <c r="E84" s="5" t="s">
        <v>142</v>
      </c>
      <c r="F84" s="17">
        <v>45243</v>
      </c>
      <c r="G84">
        <v>2</v>
      </c>
      <c r="H84" s="3">
        <v>10.199999999999999</v>
      </c>
      <c r="I84" s="3">
        <f t="shared" si="1"/>
        <v>9.7399999999999984</v>
      </c>
      <c r="J84" s="3">
        <f>($A$52-$A$47)*$A$55</f>
        <v>0.7024999999999999</v>
      </c>
      <c r="K84" s="6">
        <f t="shared" si="2"/>
        <v>2331.0208956692909</v>
      </c>
      <c r="L84" s="4">
        <v>10.85</v>
      </c>
      <c r="M84" s="4">
        <v>157.33000000000001</v>
      </c>
      <c r="N84" s="4">
        <v>146.48000000000002</v>
      </c>
      <c r="O84" s="4">
        <v>139.77000000000001</v>
      </c>
      <c r="P84" s="7">
        <f t="shared" si="3"/>
        <v>4.580830147460409</v>
      </c>
      <c r="Q84" s="6">
        <f t="shared" si="4"/>
        <v>2224.2407877368701</v>
      </c>
      <c r="R84" s="14">
        <v>45244</v>
      </c>
      <c r="S84" s="4">
        <v>4.5199999999999996</v>
      </c>
      <c r="T84" s="13">
        <v>1.8049999999999999</v>
      </c>
      <c r="U84" s="13">
        <v>3.73</v>
      </c>
      <c r="V84" s="8">
        <f t="shared" si="5"/>
        <v>0.35325381134652539</v>
      </c>
      <c r="W84" s="8">
        <f t="shared" si="6"/>
        <v>0.47085045110534912</v>
      </c>
      <c r="X84" s="8">
        <f t="shared" si="7"/>
        <v>0.17589573754812554</v>
      </c>
      <c r="Y84" s="6">
        <f t="shared" si="8"/>
        <v>823.44201572356837</v>
      </c>
      <c r="Z84" s="6">
        <f t="shared" si="9"/>
        <v>1097.5622402618806</v>
      </c>
      <c r="AA84" s="6">
        <f t="shared" si="10"/>
        <v>1921.0042559854489</v>
      </c>
      <c r="AB84" s="6">
        <f t="shared" si="11"/>
        <v>785.7215356204473</v>
      </c>
      <c r="AC84" s="6">
        <f t="shared" si="12"/>
        <v>1047.2847782728225</v>
      </c>
      <c r="AD84" s="6">
        <f t="shared" si="13"/>
        <v>1833.0063138932696</v>
      </c>
      <c r="AE84" s="18" t="s">
        <v>200</v>
      </c>
      <c r="AF84" s="14">
        <v>45295</v>
      </c>
      <c r="AG84" s="6">
        <v>45.300000000000004</v>
      </c>
      <c r="AH84" s="11">
        <v>1.097</v>
      </c>
      <c r="AI84" s="6">
        <v>80.5</v>
      </c>
      <c r="AJ84" s="6">
        <v>29.9</v>
      </c>
      <c r="AK84" s="6">
        <v>4.9000000000000004</v>
      </c>
      <c r="AL84" s="6">
        <v>79.599999999999994</v>
      </c>
      <c r="AM84" s="6">
        <v>8.5</v>
      </c>
      <c r="AN84" s="16" t="s">
        <v>215</v>
      </c>
      <c r="AO84" s="12">
        <v>9</v>
      </c>
      <c r="AP84" s="7">
        <v>0.14000000000000001</v>
      </c>
      <c r="AQ84" s="6">
        <v>10.9</v>
      </c>
      <c r="AS84" t="s">
        <v>132</v>
      </c>
      <c r="AT84" s="4" t="str">
        <f>E84</f>
        <v>Machine</v>
      </c>
      <c r="AU84" s="15">
        <f>F84</f>
        <v>45243</v>
      </c>
      <c r="AV84" s="3">
        <f>SUM(H84:H85)</f>
        <v>19.100000000000001</v>
      </c>
      <c r="AW84" s="3">
        <f>AV84-2*$A$47</f>
        <v>18.18</v>
      </c>
      <c r="AX84" s="3">
        <f>SUM(J84:J85)</f>
        <v>1.4175</v>
      </c>
      <c r="AY84" s="3">
        <f>(AW84+AX84)*$A$48/(2*$A$49)*$A$50</f>
        <v>2187.3201820866138</v>
      </c>
      <c r="AZ84" s="4">
        <f>SUM(L84:L85)</f>
        <v>21.59</v>
      </c>
      <c r="BA84" s="4">
        <f>SUM(M84:M85)</f>
        <v>295.26</v>
      </c>
      <c r="BB84" s="4">
        <f>BA84-AZ84</f>
        <v>273.67</v>
      </c>
      <c r="BC84" s="4">
        <f>SUM(O84:O85)</f>
        <v>262.13</v>
      </c>
      <c r="BD84" s="4">
        <f>(BB84-BC84)/BB84*100</f>
        <v>4.2167574085577595</v>
      </c>
      <c r="BE84" s="3">
        <f>AY84*(1-BD84/100)</f>
        <v>2095.0861962595973</v>
      </c>
      <c r="BF84" s="15">
        <v>45244</v>
      </c>
      <c r="BG84" s="4">
        <f>SUM(S84:S85)</f>
        <v>8.43</v>
      </c>
      <c r="BH84" s="13">
        <f>SUM(T84:T85)</f>
        <v>3.395</v>
      </c>
      <c r="BI84" s="13">
        <f>SUM(U84:U85)</f>
        <v>7.2</v>
      </c>
      <c r="BJ84" s="9">
        <f>(BH84-2*$A$56)/(BG84-2*$A$47*$A$48)</f>
        <v>0.35331431844177835</v>
      </c>
      <c r="BK84" s="9">
        <f>(BI84-2*$A$57)/(BG84-2*$A$47*$A$48)</f>
        <v>0.47424740730440051</v>
      </c>
      <c r="BL84" s="9">
        <f>1-BJ84-BK84</f>
        <v>0.17243827425382108</v>
      </c>
      <c r="BM84" s="3">
        <f>AY84*BJ84</f>
        <v>772.81153934787847</v>
      </c>
      <c r="BN84" s="3">
        <f>AY84*BK84</f>
        <v>1037.3309252991658</v>
      </c>
      <c r="BO84" s="3">
        <f>SUM(BM84:BN84)</f>
        <v>1810.1424646470441</v>
      </c>
      <c r="BP84" s="3">
        <f>BE84*BJ84</f>
        <v>740.22395150823752</v>
      </c>
      <c r="BQ84" s="3">
        <f>BE84*BK84</f>
        <v>993.58919665535245</v>
      </c>
      <c r="BR84" s="3">
        <f>SUM(BP84:BQ84)</f>
        <v>1733.8131481635901</v>
      </c>
      <c r="BS84" s="3"/>
      <c r="BT84" s="15">
        <f>AF85</f>
        <v>45295</v>
      </c>
      <c r="BU84" s="3">
        <f>AVERAGE(AG84:AG85)</f>
        <v>45.300000000000004</v>
      </c>
      <c r="BV84" s="13">
        <f t="shared" ref="BV84" si="86">AVERAGE(AH84:AH85)</f>
        <v>1.1019999999999999</v>
      </c>
      <c r="BW84" s="3">
        <f t="shared" ref="BW84" si="87">AVERAGE(AI84:AI85)</f>
        <v>80.650000000000006</v>
      </c>
      <c r="BX84" s="3">
        <f t="shared" ref="BX84" si="88">AVERAGE(AJ84:AJ85)</f>
        <v>29.75</v>
      </c>
      <c r="BY84" s="3">
        <f t="shared" ref="BY84" si="89">AVERAGE(AK84:AK85)</f>
        <v>4.9000000000000004</v>
      </c>
      <c r="BZ84" s="3">
        <f t="shared" ref="BZ84" si="90">AVERAGE(AL84:AL85)</f>
        <v>79.599999999999994</v>
      </c>
      <c r="CA84" s="3">
        <f t="shared" ref="CA84" si="91">AVERAGE(AM84:AM85)</f>
        <v>8.8000000000000007</v>
      </c>
      <c r="CB84" s="3"/>
      <c r="CC84" s="10">
        <f t="shared" ref="CC84" si="92">AVERAGE(AO84:AO85)</f>
        <v>12.5</v>
      </c>
      <c r="CD84" s="4">
        <f t="shared" ref="CD84" si="93">AVERAGE(AP84:AP85)</f>
        <v>0.16500000000000001</v>
      </c>
      <c r="CE84" s="3">
        <f t="shared" ref="CE84" si="94">AVERAGE(AQ84:AQ85)</f>
        <v>10.4</v>
      </c>
    </row>
    <row r="85" spans="1:83" x14ac:dyDescent="0.25">
      <c r="A85" s="1" t="s">
        <v>114</v>
      </c>
      <c r="B85" s="2" t="s">
        <v>114</v>
      </c>
      <c r="C85" t="s">
        <v>122</v>
      </c>
      <c r="D85" s="5" t="s">
        <v>99</v>
      </c>
      <c r="E85" s="5" t="s">
        <v>142</v>
      </c>
      <c r="F85" s="17">
        <v>45243</v>
      </c>
      <c r="G85">
        <v>4</v>
      </c>
      <c r="H85" s="3">
        <v>8.9</v>
      </c>
      <c r="I85" s="3">
        <f t="shared" si="1"/>
        <v>8.44</v>
      </c>
      <c r="J85" s="3">
        <f>($A$54-$A$47)*$A$55</f>
        <v>0.71499999999999997</v>
      </c>
      <c r="K85" s="6">
        <f t="shared" si="2"/>
        <v>2043.6194685039368</v>
      </c>
      <c r="L85" s="4">
        <v>10.74</v>
      </c>
      <c r="M85" s="4">
        <v>137.93</v>
      </c>
      <c r="N85" s="4">
        <v>127.19000000000001</v>
      </c>
      <c r="O85" s="4">
        <v>122.36</v>
      </c>
      <c r="P85" s="7">
        <f t="shared" si="3"/>
        <v>3.7974683544303889</v>
      </c>
      <c r="Q85" s="6">
        <f t="shared" si="4"/>
        <v>1966.0136659025213</v>
      </c>
      <c r="R85" s="14">
        <v>45244</v>
      </c>
      <c r="S85" s="4">
        <v>3.91</v>
      </c>
      <c r="T85" s="13">
        <v>1.59</v>
      </c>
      <c r="U85" s="13">
        <v>3.47</v>
      </c>
      <c r="V85" s="8">
        <f t="shared" si="5"/>
        <v>0.35338479739898415</v>
      </c>
      <c r="W85" s="8">
        <f t="shared" si="6"/>
        <v>0.47820419831513916</v>
      </c>
      <c r="X85" s="8">
        <f t="shared" si="7"/>
        <v>0.16841100428587674</v>
      </c>
      <c r="Y85" s="6">
        <f t="shared" si="8"/>
        <v>722.18405183788343</v>
      </c>
      <c r="Z85" s="6">
        <f t="shared" si="9"/>
        <v>977.26740959713584</v>
      </c>
      <c r="AA85" s="6">
        <f t="shared" si="10"/>
        <v>1699.4514614350192</v>
      </c>
      <c r="AB85" s="6">
        <f t="shared" si="11"/>
        <v>694.75934100859661</v>
      </c>
      <c r="AC85" s="6">
        <f t="shared" si="12"/>
        <v>940.15598897952304</v>
      </c>
      <c r="AD85" s="6">
        <f t="shared" si="13"/>
        <v>1634.9153299881195</v>
      </c>
      <c r="AE85" s="18" t="s">
        <v>201</v>
      </c>
      <c r="AF85" s="14">
        <v>45295</v>
      </c>
      <c r="AG85" s="6">
        <v>45.300000000000004</v>
      </c>
      <c r="AH85" s="11">
        <v>1.107</v>
      </c>
      <c r="AI85" s="6">
        <v>80.8</v>
      </c>
      <c r="AJ85" s="6">
        <v>29.6</v>
      </c>
      <c r="AK85" s="6">
        <v>4.9000000000000004</v>
      </c>
      <c r="AL85" s="6">
        <v>79.599999999999994</v>
      </c>
      <c r="AM85" s="6">
        <v>9.1</v>
      </c>
      <c r="AN85" s="16" t="s">
        <v>215</v>
      </c>
      <c r="AO85" s="12">
        <v>16</v>
      </c>
      <c r="AP85" s="7">
        <v>0.19</v>
      </c>
      <c r="AQ85" s="6">
        <v>9.9</v>
      </c>
      <c r="AV85" s="3"/>
      <c r="AW85" s="3"/>
      <c r="AX85" s="3"/>
      <c r="AY85" s="3"/>
      <c r="AZ85" s="4"/>
      <c r="BA85" s="4"/>
      <c r="BB85" s="4"/>
      <c r="BC85" s="4"/>
      <c r="BD85" s="4"/>
      <c r="BE85" s="3"/>
      <c r="BF85" s="3"/>
      <c r="BG85" s="4"/>
      <c r="BH85" s="13"/>
      <c r="BI85" s="13"/>
      <c r="BJ85" s="9"/>
      <c r="BK85" s="9"/>
      <c r="BL85" s="9"/>
      <c r="BM85" s="3"/>
      <c r="BN85" s="3"/>
      <c r="BO85" s="3"/>
      <c r="BP85" s="3"/>
      <c r="BQ85" s="3"/>
      <c r="BR85" s="3"/>
      <c r="BT85" s="15"/>
      <c r="BU85" s="3"/>
      <c r="BV85" s="13"/>
      <c r="BW85" s="3"/>
      <c r="BX85" s="3"/>
      <c r="BY85" s="3"/>
      <c r="BZ85" s="3"/>
      <c r="CA85" s="3"/>
      <c r="CB85" s="10"/>
      <c r="CC85" s="10"/>
      <c r="CD85" s="4"/>
      <c r="CE85" s="3"/>
    </row>
    <row r="86" spans="1:83" x14ac:dyDescent="0.25">
      <c r="A86" s="1" t="s">
        <v>114</v>
      </c>
      <c r="B86" s="2" t="s">
        <v>115</v>
      </c>
      <c r="C86" t="s">
        <v>121</v>
      </c>
      <c r="D86" s="5" t="s">
        <v>100</v>
      </c>
      <c r="E86" s="5" t="s">
        <v>142</v>
      </c>
      <c r="F86" s="17">
        <v>45243</v>
      </c>
      <c r="G86">
        <v>2</v>
      </c>
      <c r="H86" s="3">
        <v>8</v>
      </c>
      <c r="I86" s="3">
        <f t="shared" si="1"/>
        <v>7.54</v>
      </c>
      <c r="J86" s="3">
        <f>($A$52-$A$47)*$A$55</f>
        <v>0.7024999999999999</v>
      </c>
      <c r="K86" s="6">
        <f t="shared" si="2"/>
        <v>1839.9271948818896</v>
      </c>
      <c r="L86" s="4">
        <v>10.84</v>
      </c>
      <c r="M86" s="4">
        <v>153.27000000000001</v>
      </c>
      <c r="N86" s="4">
        <v>142.43</v>
      </c>
      <c r="O86" s="4">
        <v>136.86000000000001</v>
      </c>
      <c r="P86" s="7">
        <f t="shared" si="3"/>
        <v>3.9106929719862342</v>
      </c>
      <c r="Q86" s="6">
        <f t="shared" si="4"/>
        <v>1767.9732913819801</v>
      </c>
      <c r="R86" s="14">
        <v>45244</v>
      </c>
      <c r="S86" s="4">
        <v>3.49</v>
      </c>
      <c r="T86" s="13">
        <v>1.4550000000000001</v>
      </c>
      <c r="U86" s="13">
        <v>3.1949999999999998</v>
      </c>
      <c r="V86" s="8">
        <f t="shared" si="5"/>
        <v>0.3574750725592114</v>
      </c>
      <c r="W86" s="8">
        <f t="shared" si="6"/>
        <v>0.45560548463428902</v>
      </c>
      <c r="X86" s="8">
        <f t="shared" si="7"/>
        <v>0.18691944280649958</v>
      </c>
      <c r="Y86" s="6">
        <f t="shared" si="8"/>
        <v>657.72810749406983</v>
      </c>
      <c r="Z86" s="6">
        <f t="shared" si="9"/>
        <v>838.28092131597123</v>
      </c>
      <c r="AA86" s="6">
        <f t="shared" si="10"/>
        <v>1496.0090288100409</v>
      </c>
      <c r="AB86" s="6">
        <f t="shared" si="11"/>
        <v>632.00638061952111</v>
      </c>
      <c r="AC86" s="6">
        <f t="shared" si="12"/>
        <v>805.49832824056614</v>
      </c>
      <c r="AD86" s="6">
        <f t="shared" si="13"/>
        <v>1437.5047088600872</v>
      </c>
      <c r="AE86" s="18" t="s">
        <v>202</v>
      </c>
      <c r="AF86" s="14">
        <v>45295</v>
      </c>
      <c r="AG86" s="6">
        <v>48.4</v>
      </c>
      <c r="AH86" s="11">
        <v>1.071</v>
      </c>
      <c r="AI86" s="6">
        <v>81.3</v>
      </c>
      <c r="AJ86" s="6">
        <v>28.8</v>
      </c>
      <c r="AK86" s="6">
        <v>4.7</v>
      </c>
      <c r="AL86" s="6">
        <v>78.400000000000006</v>
      </c>
      <c r="AM86" s="6">
        <v>8.4</v>
      </c>
      <c r="AN86" s="16" t="s">
        <v>217</v>
      </c>
      <c r="AO86" s="12">
        <v>20</v>
      </c>
      <c r="AP86" s="7">
        <v>0.37</v>
      </c>
      <c r="AQ86" s="6">
        <v>10.3</v>
      </c>
      <c r="AS86" t="s">
        <v>133</v>
      </c>
      <c r="AT86" s="4" t="str">
        <f>E86</f>
        <v>Machine</v>
      </c>
      <c r="AU86" s="15">
        <f>F86</f>
        <v>45243</v>
      </c>
      <c r="AV86" s="3">
        <f>SUM(H86:H87)</f>
        <v>13.3</v>
      </c>
      <c r="AW86" s="3">
        <f>AV86-2*$A$47</f>
        <v>12.38</v>
      </c>
      <c r="AX86" s="3">
        <f>SUM(J86:J87)</f>
        <v>1.4175</v>
      </c>
      <c r="AY86" s="3">
        <f>(AW86+AX86)*$A$48/(2*$A$49)*$A$50</f>
        <v>1539.9693946850393</v>
      </c>
      <c r="AZ86" s="4">
        <f>SUM(L86:L87)</f>
        <v>21.619999999999997</v>
      </c>
      <c r="BA86" s="4">
        <f>SUM(M86:M87)</f>
        <v>290.77</v>
      </c>
      <c r="BB86" s="4">
        <f>BA86-AZ86</f>
        <v>269.14999999999998</v>
      </c>
      <c r="BC86" s="4">
        <f>SUM(O86:O87)</f>
        <v>258.41000000000003</v>
      </c>
      <c r="BD86" s="4">
        <f>(BB86-BC86)/BB86*100</f>
        <v>3.990339959130579</v>
      </c>
      <c r="BE86" s="3">
        <f>AY86*(1-BD86/100)</f>
        <v>1478.5193805705408</v>
      </c>
      <c r="BF86" s="15">
        <v>45244</v>
      </c>
      <c r="BG86" s="4">
        <f>SUM(S86:S87)</f>
        <v>5.74</v>
      </c>
      <c r="BH86" s="13">
        <f>SUM(T86:T87)</f>
        <v>2.5049999999999999</v>
      </c>
      <c r="BI86" s="13">
        <f>SUM(U86:U87)</f>
        <v>5.8149999999999995</v>
      </c>
      <c r="BJ86" s="9">
        <f>(BH86-2*$A$56)/(BG86-2*$A$47*$A$48)</f>
        <v>0.3646648678386884</v>
      </c>
      <c r="BK86" s="9">
        <f>(BI86-2*$A$57)/(BG86-2*$A$47*$A$48)</f>
        <v>0.45371749398785799</v>
      </c>
      <c r="BL86" s="9">
        <f>1-BJ86-BK86</f>
        <v>0.18161763817345367</v>
      </c>
      <c r="BM86" s="3">
        <f>AY86*BJ86</f>
        <v>561.57273578844479</v>
      </c>
      <c r="BN86" s="3">
        <f>AY86*BK86</f>
        <v>698.7110545744946</v>
      </c>
      <c r="BO86" s="3">
        <f>SUM(BM86:BN86)</f>
        <v>1260.2837903629393</v>
      </c>
      <c r="BP86" s="3">
        <f>BE86*BJ86</f>
        <v>539.16407451269572</v>
      </c>
      <c r="BQ86" s="3">
        <f>BE86*BK86</f>
        <v>670.83010816494584</v>
      </c>
      <c r="BR86" s="3">
        <f>SUM(BP86:BQ86)</f>
        <v>1209.9941826776417</v>
      </c>
      <c r="BS86" s="3"/>
      <c r="BT86" s="15">
        <f>AF87</f>
        <v>45295</v>
      </c>
      <c r="BU86" s="3">
        <f>AVERAGE(AG86:AG87)</f>
        <v>48.05</v>
      </c>
      <c r="BV86" s="13">
        <f t="shared" ref="BV86" si="95">AVERAGE(AH86:AH87)</f>
        <v>1.0685</v>
      </c>
      <c r="BW86" s="3">
        <f t="shared" ref="BW86" si="96">AVERAGE(AI86:AI87)</f>
        <v>80.900000000000006</v>
      </c>
      <c r="BX86" s="3">
        <f t="shared" ref="BX86" si="97">AVERAGE(AJ86:AJ87)</f>
        <v>28.55</v>
      </c>
      <c r="BY86" s="3">
        <f t="shared" ref="BY86" si="98">AVERAGE(AK86:AK87)</f>
        <v>4.8000000000000007</v>
      </c>
      <c r="BZ86" s="3">
        <f t="shared" ref="BZ86" si="99">AVERAGE(AL86:AL87)</f>
        <v>78.349999999999994</v>
      </c>
      <c r="CA86" s="3">
        <f t="shared" ref="CA86" si="100">AVERAGE(AM86:AM87)</f>
        <v>8.6000000000000014</v>
      </c>
      <c r="CB86" s="3"/>
      <c r="CC86" s="10">
        <f t="shared" ref="CC86" si="101">AVERAGE(AO86:AO87)</f>
        <v>15.5</v>
      </c>
      <c r="CD86" s="4">
        <f t="shared" ref="CD86" si="102">AVERAGE(AP86:AP87)</f>
        <v>0.32999999999999996</v>
      </c>
      <c r="CE86" s="3">
        <f t="shared" ref="CE86" si="103">AVERAGE(AQ86:AQ87)</f>
        <v>10.600000000000001</v>
      </c>
    </row>
    <row r="87" spans="1:83" x14ac:dyDescent="0.25">
      <c r="A87" s="1" t="s">
        <v>114</v>
      </c>
      <c r="B87" s="2" t="s">
        <v>115</v>
      </c>
      <c r="C87" t="s">
        <v>122</v>
      </c>
      <c r="D87" s="5" t="s">
        <v>101</v>
      </c>
      <c r="E87" s="5" t="s">
        <v>142</v>
      </c>
      <c r="F87" s="17">
        <v>45243</v>
      </c>
      <c r="G87">
        <v>4</v>
      </c>
      <c r="H87" s="3">
        <v>5.3</v>
      </c>
      <c r="I87" s="3">
        <f t="shared" si="1"/>
        <v>4.84</v>
      </c>
      <c r="J87" s="3">
        <f>($A$54-$A$47)*$A$55</f>
        <v>0.71499999999999997</v>
      </c>
      <c r="K87" s="6">
        <f t="shared" si="2"/>
        <v>1240.0115944881891</v>
      </c>
      <c r="L87" s="4">
        <v>10.78</v>
      </c>
      <c r="M87" s="4">
        <v>137.5</v>
      </c>
      <c r="N87" s="4">
        <v>126.72</v>
      </c>
      <c r="O87" s="4">
        <v>121.55</v>
      </c>
      <c r="P87" s="7">
        <f t="shared" si="3"/>
        <v>4.0798611111111125</v>
      </c>
      <c r="Q87" s="6">
        <f t="shared" si="4"/>
        <v>1189.4208436713966</v>
      </c>
      <c r="R87" s="14">
        <v>45244</v>
      </c>
      <c r="S87" s="4">
        <v>2.25</v>
      </c>
      <c r="T87" s="13">
        <v>1.05</v>
      </c>
      <c r="U87" s="13">
        <v>2.62</v>
      </c>
      <c r="V87" s="8">
        <f t="shared" si="5"/>
        <v>0.37622204562429074</v>
      </c>
      <c r="W87" s="8">
        <f t="shared" si="6"/>
        <v>0.45068265882076503</v>
      </c>
      <c r="X87" s="8">
        <f t="shared" si="7"/>
        <v>0.17309529555494424</v>
      </c>
      <c r="Y87" s="6">
        <f t="shared" si="8"/>
        <v>466.51969867618499</v>
      </c>
      <c r="Z87" s="6">
        <f t="shared" si="9"/>
        <v>558.85172237251334</v>
      </c>
      <c r="AA87" s="6">
        <f t="shared" si="10"/>
        <v>1025.3714210486983</v>
      </c>
      <c r="AB87" s="6">
        <f t="shared" si="11"/>
        <v>447.48634291422258</v>
      </c>
      <c r="AC87" s="6">
        <f t="shared" si="12"/>
        <v>536.0513482826625</v>
      </c>
      <c r="AD87" s="6">
        <f t="shared" si="13"/>
        <v>983.53769119688513</v>
      </c>
      <c r="AE87" s="18" t="s">
        <v>203</v>
      </c>
      <c r="AF87" s="14">
        <v>45295</v>
      </c>
      <c r="AG87" s="6">
        <v>47.699999999999996</v>
      </c>
      <c r="AH87" s="11">
        <v>1.0660000000000001</v>
      </c>
      <c r="AI87" s="6">
        <v>80.5</v>
      </c>
      <c r="AJ87" s="6">
        <v>28.3</v>
      </c>
      <c r="AK87" s="6">
        <v>4.9000000000000004</v>
      </c>
      <c r="AL87" s="6">
        <v>78.3</v>
      </c>
      <c r="AM87" s="6">
        <v>8.8000000000000007</v>
      </c>
      <c r="AN87" s="16" t="s">
        <v>217</v>
      </c>
      <c r="AO87" s="12">
        <v>11</v>
      </c>
      <c r="AP87" s="7">
        <v>0.28999999999999998</v>
      </c>
      <c r="AQ87" s="6">
        <v>10.9</v>
      </c>
      <c r="AV87" s="3"/>
      <c r="AW87" s="3"/>
      <c r="AX87" s="3"/>
      <c r="AY87" s="3"/>
      <c r="AZ87" s="4"/>
      <c r="BA87" s="4"/>
      <c r="BB87" s="4"/>
      <c r="BC87" s="4"/>
      <c r="BD87" s="4"/>
      <c r="BE87" s="3"/>
      <c r="BF87" s="3"/>
      <c r="BG87" s="4"/>
      <c r="BH87" s="13"/>
      <c r="BI87" s="13"/>
      <c r="BJ87" s="9"/>
      <c r="BK87" s="9"/>
      <c r="BL87" s="9"/>
      <c r="BM87" s="3"/>
      <c r="BN87" s="3"/>
      <c r="BO87" s="3"/>
      <c r="BP87" s="3"/>
      <c r="BQ87" s="3"/>
      <c r="BR87" s="3"/>
      <c r="BT87" s="15"/>
      <c r="BU87" s="3"/>
      <c r="BV87" s="13"/>
      <c r="BW87" s="3"/>
      <c r="BX87" s="3"/>
      <c r="BY87" s="3"/>
      <c r="BZ87" s="3"/>
      <c r="CA87" s="3"/>
      <c r="CB87" s="10"/>
      <c r="CC87" s="10"/>
      <c r="CD87" s="4"/>
      <c r="CE87" s="3"/>
    </row>
    <row r="88" spans="1:83" x14ac:dyDescent="0.25">
      <c r="A88" s="1" t="s">
        <v>114</v>
      </c>
      <c r="B88" s="2" t="s">
        <v>116</v>
      </c>
      <c r="C88" t="s">
        <v>121</v>
      </c>
      <c r="D88" s="5" t="s">
        <v>102</v>
      </c>
      <c r="E88" s="5" t="s">
        <v>142</v>
      </c>
      <c r="F88" s="17">
        <v>45243</v>
      </c>
      <c r="G88">
        <v>2</v>
      </c>
      <c r="H88" s="3">
        <v>16</v>
      </c>
      <c r="I88" s="3">
        <f t="shared" si="1"/>
        <v>15.54</v>
      </c>
      <c r="J88" s="3">
        <f>($A$52-$A$47)*$A$55</f>
        <v>0.7024999999999999</v>
      </c>
      <c r="K88" s="6">
        <f t="shared" si="2"/>
        <v>3625.7224704724413</v>
      </c>
      <c r="L88" s="4">
        <v>10.89</v>
      </c>
      <c r="M88" s="4">
        <v>145.96</v>
      </c>
      <c r="N88" s="4">
        <v>135.07</v>
      </c>
      <c r="O88" s="4">
        <v>128.82</v>
      </c>
      <c r="P88" s="7">
        <f t="shared" si="3"/>
        <v>4.627230325016658</v>
      </c>
      <c r="Q88" s="6">
        <f t="shared" si="4"/>
        <v>3457.9519408177971</v>
      </c>
      <c r="R88" s="14">
        <v>45244</v>
      </c>
      <c r="S88" s="4">
        <v>7.1</v>
      </c>
      <c r="T88" s="13">
        <v>2.77</v>
      </c>
      <c r="U88" s="13">
        <v>5</v>
      </c>
      <c r="V88" s="8">
        <f t="shared" si="5"/>
        <v>0.36103243016175901</v>
      </c>
      <c r="W88" s="8">
        <f t="shared" si="6"/>
        <v>0.47886134225635235</v>
      </c>
      <c r="X88" s="8">
        <f t="shared" si="7"/>
        <v>0.16010622758188864</v>
      </c>
      <c r="Y88" s="6">
        <f t="shared" si="8"/>
        <v>1309.003394606762</v>
      </c>
      <c r="Z88" s="6">
        <f t="shared" si="9"/>
        <v>1736.218328859451</v>
      </c>
      <c r="AA88" s="6">
        <f t="shared" si="10"/>
        <v>3045.221723466213</v>
      </c>
      <c r="AB88" s="6">
        <f t="shared" si="11"/>
        <v>1248.4327925760203</v>
      </c>
      <c r="AC88" s="6">
        <f t="shared" si="12"/>
        <v>1655.879507837969</v>
      </c>
      <c r="AD88" s="6">
        <f t="shared" si="13"/>
        <v>2904.3123004139893</v>
      </c>
      <c r="AE88" s="18" t="s">
        <v>204</v>
      </c>
      <c r="AF88" s="14">
        <v>45295</v>
      </c>
      <c r="AG88" s="6">
        <v>45.9</v>
      </c>
      <c r="AH88" s="11">
        <v>1.1579999999999999</v>
      </c>
      <c r="AI88" s="6">
        <v>81.400000000000006</v>
      </c>
      <c r="AJ88" s="6">
        <v>29.5</v>
      </c>
      <c r="AK88" s="6">
        <v>5.2</v>
      </c>
      <c r="AL88" s="6">
        <v>80.2</v>
      </c>
      <c r="AM88" s="6">
        <v>8.6</v>
      </c>
      <c r="AN88" s="16" t="s">
        <v>215</v>
      </c>
      <c r="AO88" s="12">
        <v>9</v>
      </c>
      <c r="AP88" s="7">
        <v>0.1</v>
      </c>
      <c r="AQ88" s="6">
        <v>8.9</v>
      </c>
      <c r="AS88" t="s">
        <v>134</v>
      </c>
      <c r="AT88" s="4" t="str">
        <f>E88</f>
        <v>Machine</v>
      </c>
      <c r="AU88" s="15">
        <f>F88</f>
        <v>45243</v>
      </c>
      <c r="AV88" s="3">
        <f>SUM(H88:H89)</f>
        <v>30.2</v>
      </c>
      <c r="AW88" s="3">
        <f>AV88-2*$A$47</f>
        <v>29.279999999999998</v>
      </c>
      <c r="AX88" s="3">
        <f>SUM(J88:J89)</f>
        <v>1.4175</v>
      </c>
      <c r="AY88" s="3">
        <f>(AW88+AX88)*$A$48/(2*$A$49)*$A$50</f>
        <v>3426.2156545275584</v>
      </c>
      <c r="AZ88" s="4">
        <f>SUM(L88:L89)</f>
        <v>21.59</v>
      </c>
      <c r="BA88" s="4">
        <f>SUM(M88:M89)</f>
        <v>319.95000000000005</v>
      </c>
      <c r="BB88" s="4">
        <f>BA88-AZ88</f>
        <v>298.36000000000007</v>
      </c>
      <c r="BC88" s="4">
        <f>SUM(O88:O89)</f>
        <v>285.13</v>
      </c>
      <c r="BD88" s="4">
        <f>(BB88-BC88)/BB88*100</f>
        <v>4.4342405148143422</v>
      </c>
      <c r="BE88" s="3">
        <f>AY88*(1-BD88/100)</f>
        <v>3274.2890118495857</v>
      </c>
      <c r="BF88" s="15">
        <v>45244</v>
      </c>
      <c r="BG88" s="4">
        <f>SUM(S88:S89)</f>
        <v>13.36</v>
      </c>
      <c r="BH88" s="13">
        <f>SUM(T88:T89)</f>
        <v>5.2799999999999994</v>
      </c>
      <c r="BI88" s="13">
        <f>SUM(U88:U89)</f>
        <v>9.6750000000000007</v>
      </c>
      <c r="BJ88" s="9">
        <f>(BH88-2*$A$56)/(BG88-2*$A$47*$A$48)</f>
        <v>0.36437541553941044</v>
      </c>
      <c r="BK88" s="9">
        <f>(BI88-2*$A$57)/(BG88-2*$A$47*$A$48)</f>
        <v>0.48482945981972031</v>
      </c>
      <c r="BL88" s="9">
        <f>1-BJ88-BK88</f>
        <v>0.15079512464086925</v>
      </c>
      <c r="BM88" s="3">
        <f>AY88*BJ88</f>
        <v>1248.4287528461123</v>
      </c>
      <c r="BN88" s="3">
        <f>AY88*BK88</f>
        <v>1661.1302850104655</v>
      </c>
      <c r="BO88" s="3">
        <f>SUM(BM88:BN88)</f>
        <v>2909.5590378565776</v>
      </c>
      <c r="BP88" s="3">
        <f>BE88*BJ88</f>
        <v>1193.0704192888184</v>
      </c>
      <c r="BQ88" s="3">
        <f>BE88*BK88</f>
        <v>1587.4717729086804</v>
      </c>
      <c r="BR88" s="3">
        <f>SUM(BP88:BQ88)</f>
        <v>2780.5421921974985</v>
      </c>
      <c r="BS88" s="3"/>
      <c r="BT88" s="15">
        <f>AF89</f>
        <v>45295</v>
      </c>
      <c r="BU88" s="3">
        <f>AVERAGE(AG88:AG89)</f>
        <v>44.849999999999994</v>
      </c>
      <c r="BV88" s="13">
        <f t="shared" ref="BV88" si="104">AVERAGE(AH88:AH89)</f>
        <v>1.1545000000000001</v>
      </c>
      <c r="BW88" s="3">
        <f t="shared" ref="BW88" si="105">AVERAGE(AI88:AI89)</f>
        <v>81.7</v>
      </c>
      <c r="BX88" s="3">
        <f t="shared" ref="BX88" si="106">AVERAGE(AJ88:AJ89)</f>
        <v>29.8</v>
      </c>
      <c r="BY88" s="3">
        <f t="shared" ref="BY88" si="107">AVERAGE(AK88:AK89)</f>
        <v>5.2</v>
      </c>
      <c r="BZ88" s="3">
        <f t="shared" ref="BZ88" si="108">AVERAGE(AL88:AL89)</f>
        <v>80.650000000000006</v>
      </c>
      <c r="CA88" s="3">
        <f t="shared" ref="CA88" si="109">AVERAGE(AM88:AM89)</f>
        <v>8.8999999999999986</v>
      </c>
      <c r="CB88" s="3"/>
      <c r="CC88" s="10">
        <f t="shared" ref="CC88" si="110">AVERAGE(AO88:AO89)</f>
        <v>13</v>
      </c>
      <c r="CD88" s="4">
        <f t="shared" ref="CD88" si="111">AVERAGE(AP88:AP89)</f>
        <v>0.10500000000000001</v>
      </c>
      <c r="CE88" s="3">
        <f t="shared" ref="CE88" si="112">AVERAGE(AQ88:AQ89)</f>
        <v>9</v>
      </c>
    </row>
    <row r="89" spans="1:83" x14ac:dyDescent="0.25">
      <c r="A89" s="1" t="s">
        <v>114</v>
      </c>
      <c r="B89" s="2" t="s">
        <v>116</v>
      </c>
      <c r="C89" t="s">
        <v>122</v>
      </c>
      <c r="D89" s="5" t="s">
        <v>103</v>
      </c>
      <c r="E89" s="5" t="s">
        <v>142</v>
      </c>
      <c r="F89" s="17">
        <v>45243</v>
      </c>
      <c r="G89">
        <v>4</v>
      </c>
      <c r="H89" s="3">
        <v>14.2</v>
      </c>
      <c r="I89" s="3">
        <f t="shared" si="1"/>
        <v>13.739999999999998</v>
      </c>
      <c r="J89" s="3">
        <f>($A$54-$A$47)*$A$55</f>
        <v>0.71499999999999997</v>
      </c>
      <c r="K89" s="6">
        <f t="shared" si="2"/>
        <v>3226.7088385826769</v>
      </c>
      <c r="L89" s="4">
        <v>10.7</v>
      </c>
      <c r="M89" s="4">
        <v>173.99</v>
      </c>
      <c r="N89" s="4">
        <v>163.29000000000002</v>
      </c>
      <c r="O89" s="4">
        <v>156.31</v>
      </c>
      <c r="P89" s="7">
        <f>(N89-O89)/N89*100</f>
        <v>4.2746034662257442</v>
      </c>
      <c r="Q89" s="6">
        <f t="shared" si="4"/>
        <v>3088.7798307236094</v>
      </c>
      <c r="R89" s="14">
        <v>45244</v>
      </c>
      <c r="S89" s="4">
        <v>6.26</v>
      </c>
      <c r="T89" s="13">
        <v>2.5099999999999998</v>
      </c>
      <c r="U89" s="13">
        <v>4.6749999999999998</v>
      </c>
      <c r="V89" s="8">
        <f t="shared" si="5"/>
        <v>0.36818244758331248</v>
      </c>
      <c r="W89" s="8">
        <f t="shared" si="6"/>
        <v>0.4916260240396565</v>
      </c>
      <c r="X89" s="8">
        <f t="shared" si="7"/>
        <v>0.14019152837703108</v>
      </c>
      <c r="Y89" s="6">
        <f t="shared" si="8"/>
        <v>1188.0175578280775</v>
      </c>
      <c r="Z89" s="6">
        <f t="shared" si="9"/>
        <v>1586.3340370460191</v>
      </c>
      <c r="AA89" s="6">
        <f t="shared" si="10"/>
        <v>2774.3515948740969</v>
      </c>
      <c r="AB89" s="6">
        <f t="shared" si="11"/>
        <v>1137.2345181217881</v>
      </c>
      <c r="AC89" s="6">
        <f t="shared" si="12"/>
        <v>1518.5245473125312</v>
      </c>
      <c r="AD89" s="6">
        <f t="shared" si="13"/>
        <v>2655.7590654343194</v>
      </c>
      <c r="AE89" s="18" t="s">
        <v>205</v>
      </c>
      <c r="AF89" s="14">
        <v>45295</v>
      </c>
      <c r="AG89" s="6">
        <v>43.8</v>
      </c>
      <c r="AH89" s="11">
        <v>1.151</v>
      </c>
      <c r="AI89" s="6">
        <v>82</v>
      </c>
      <c r="AJ89" s="6">
        <v>30.1</v>
      </c>
      <c r="AK89" s="6">
        <v>5.2</v>
      </c>
      <c r="AL89" s="6">
        <v>81.099999999999994</v>
      </c>
      <c r="AM89" s="6">
        <v>9.1999999999999993</v>
      </c>
      <c r="AN89" s="16" t="s">
        <v>218</v>
      </c>
      <c r="AO89" s="12">
        <v>17</v>
      </c>
      <c r="AP89" s="7">
        <v>0.11</v>
      </c>
      <c r="AQ89" s="6">
        <v>9.1</v>
      </c>
      <c r="AV89" s="3"/>
      <c r="AW89" s="3"/>
      <c r="AX89" s="3"/>
      <c r="AY89" s="3"/>
      <c r="AZ89" s="4"/>
      <c r="BA89" s="4"/>
      <c r="BB89" s="4"/>
      <c r="BC89" s="4"/>
      <c r="BD89" s="4"/>
      <c r="BE89" s="3"/>
      <c r="BF89" s="3"/>
      <c r="BG89" s="4"/>
      <c r="BH89" s="13"/>
      <c r="BI89" s="13"/>
      <c r="BJ89" s="9"/>
      <c r="BK89" s="9"/>
      <c r="BL89" s="9"/>
      <c r="BM89" s="3"/>
      <c r="BN89" s="3"/>
      <c r="BO89" s="3"/>
      <c r="BP89" s="3"/>
      <c r="BQ89" s="3"/>
      <c r="BR89" s="3"/>
      <c r="BT89" s="15"/>
      <c r="BU89" s="3"/>
      <c r="BV89" s="13"/>
      <c r="BW89" s="3"/>
      <c r="BX89" s="3"/>
      <c r="BY89" s="3"/>
      <c r="BZ89" s="3"/>
      <c r="CA89" s="3"/>
      <c r="CB89" s="10"/>
      <c r="CC89" s="10"/>
      <c r="CD89" s="4"/>
      <c r="CE89" s="3"/>
    </row>
    <row r="90" spans="1:83" x14ac:dyDescent="0.25">
      <c r="A90" s="2" t="s">
        <v>114</v>
      </c>
      <c r="B90" s="2" t="s">
        <v>117</v>
      </c>
      <c r="C90" t="s">
        <v>121</v>
      </c>
      <c r="D90" s="5" t="s">
        <v>104</v>
      </c>
      <c r="E90" s="5" t="s">
        <v>142</v>
      </c>
      <c r="F90" s="17">
        <v>45243</v>
      </c>
      <c r="G90">
        <v>2</v>
      </c>
      <c r="H90" s="3">
        <v>8.6</v>
      </c>
      <c r="I90" s="3">
        <f t="shared" si="1"/>
        <v>8.1399999999999988</v>
      </c>
      <c r="J90" s="3">
        <f>($A$52-$A$47)*$A$55</f>
        <v>0.7024999999999999</v>
      </c>
      <c r="K90" s="6">
        <f t="shared" si="2"/>
        <v>1973.8618405511809</v>
      </c>
      <c r="L90" s="4">
        <v>10.9</v>
      </c>
      <c r="M90" s="4">
        <v>216.57</v>
      </c>
      <c r="N90" s="4">
        <v>205.67</v>
      </c>
      <c r="O90" s="4">
        <v>197.32</v>
      </c>
      <c r="P90" s="7">
        <f t="shared" si="3"/>
        <v>4.0599017844119194</v>
      </c>
      <c r="Q90" s="6">
        <f t="shared" si="4"/>
        <v>1893.7249884648174</v>
      </c>
      <c r="R90" s="14">
        <v>45244</v>
      </c>
      <c r="S90" s="4">
        <v>3.79</v>
      </c>
      <c r="T90" s="13">
        <v>1.53</v>
      </c>
      <c r="U90" s="13">
        <v>3.3</v>
      </c>
      <c r="V90" s="8">
        <f t="shared" si="5"/>
        <v>0.34847217067738034</v>
      </c>
      <c r="W90" s="8">
        <f t="shared" si="6"/>
        <v>0.44675919317612856</v>
      </c>
      <c r="X90" s="8">
        <f t="shared" si="7"/>
        <v>0.2047686361464911</v>
      </c>
      <c r="Y90" s="6">
        <f t="shared" si="8"/>
        <v>687.83592019411924</v>
      </c>
      <c r="Z90" s="6">
        <f t="shared" si="9"/>
        <v>881.84092332579371</v>
      </c>
      <c r="AA90" s="6">
        <f t="shared" si="10"/>
        <v>1569.6768435199128</v>
      </c>
      <c r="AB90" s="6">
        <f t="shared" si="11"/>
        <v>659.91045739633194</v>
      </c>
      <c r="AC90" s="6">
        <f t="shared" si="12"/>
        <v>846.03904794401524</v>
      </c>
      <c r="AD90" s="6">
        <f t="shared" si="13"/>
        <v>1505.9495053403471</v>
      </c>
      <c r="AE90" s="18" t="s">
        <v>206</v>
      </c>
      <c r="AF90" s="14">
        <v>45295</v>
      </c>
      <c r="AG90" s="6">
        <v>49.6</v>
      </c>
      <c r="AH90" s="11">
        <v>1.111</v>
      </c>
      <c r="AI90" s="6">
        <v>82.6</v>
      </c>
      <c r="AJ90" s="6">
        <v>30.5</v>
      </c>
      <c r="AK90" s="6">
        <v>4.9000000000000004</v>
      </c>
      <c r="AL90" s="6">
        <v>79.8</v>
      </c>
      <c r="AM90" s="6">
        <v>8.4</v>
      </c>
      <c r="AN90" s="16" t="s">
        <v>65</v>
      </c>
      <c r="AO90" s="12">
        <v>13</v>
      </c>
      <c r="AP90" s="7">
        <v>0.2</v>
      </c>
      <c r="AQ90" s="6">
        <v>9</v>
      </c>
      <c r="AS90" s="4" t="s">
        <v>135</v>
      </c>
      <c r="AT90" s="4" t="str">
        <f>E90</f>
        <v>Machine</v>
      </c>
      <c r="AU90" s="15">
        <f>F90</f>
        <v>45243</v>
      </c>
      <c r="AV90" s="3">
        <f>SUM(H90:H91)</f>
        <v>15</v>
      </c>
      <c r="AW90" s="3">
        <f>AV90-2*$A$47</f>
        <v>14.08</v>
      </c>
      <c r="AX90" s="3">
        <f>SUM(J90:J91)</f>
        <v>1.4175</v>
      </c>
      <c r="AY90" s="3">
        <f>(AW90+AX90)*$A$48/(2*$A$49)*$A$50</f>
        <v>1729.7101427165353</v>
      </c>
      <c r="AZ90" s="4">
        <f>SUM(L90:L91)</f>
        <v>21.97</v>
      </c>
      <c r="BA90" s="4">
        <f>SUM(M90:M91)</f>
        <v>339.27</v>
      </c>
      <c r="BB90" s="4">
        <f>BA90-AZ90</f>
        <v>317.29999999999995</v>
      </c>
      <c r="BC90" s="4">
        <f>SUM(O90:O91)</f>
        <v>304.5</v>
      </c>
      <c r="BD90" s="4">
        <f>(BB90-BC90)/BB90*100</f>
        <v>4.0340371887803208</v>
      </c>
      <c r="BE90" s="3">
        <f>AY90*(1-BD90/100)</f>
        <v>1659.9329923012451</v>
      </c>
      <c r="BF90" s="15">
        <v>45244</v>
      </c>
      <c r="BG90" s="4">
        <f>SUM(S90:S91)</f>
        <v>6.57</v>
      </c>
      <c r="BH90" s="13">
        <f>SUM(T90:T91)</f>
        <v>2.7250000000000001</v>
      </c>
      <c r="BI90" s="13">
        <f>SUM(U90:U91)</f>
        <v>6.2149999999999999</v>
      </c>
      <c r="BJ90" s="9">
        <f>(BH90-2*$A$56)/(BG90-2*$A$47*$A$48)</f>
        <v>0.35122818107477372</v>
      </c>
      <c r="BK90" s="9">
        <f>(BI90-2*$A$57)/(BG90-2*$A$47*$A$48)</f>
        <v>0.45752305864205828</v>
      </c>
      <c r="BL90" s="9">
        <f>1-BJ90-BK90</f>
        <v>0.19124876028316801</v>
      </c>
      <c r="BM90" s="3">
        <f>AY90*BJ90</f>
        <v>607.52294721291594</v>
      </c>
      <c r="BN90" s="3">
        <f>AY90*BK90</f>
        <v>791.38227505986038</v>
      </c>
      <c r="BO90" s="3">
        <f>SUM(BM90:BN90)</f>
        <v>1398.9052222727764</v>
      </c>
      <c r="BP90" s="3">
        <f>BE90*BJ90</f>
        <v>583.01524559197264</v>
      </c>
      <c r="BQ90" s="3">
        <f>BE90*BK90</f>
        <v>759.45761977852987</v>
      </c>
      <c r="BR90" s="3">
        <f>SUM(BP90:BQ90)</f>
        <v>1342.4728653705024</v>
      </c>
      <c r="BS90" s="3"/>
      <c r="BT90" s="15">
        <f>AF91</f>
        <v>45295</v>
      </c>
      <c r="BU90" s="3">
        <f>AVERAGE(AG90:AG91)</f>
        <v>49.65</v>
      </c>
      <c r="BV90" s="13">
        <f t="shared" ref="BV90" si="113">AVERAGE(AH90:AH91)</f>
        <v>1.1099999999999999</v>
      </c>
      <c r="BW90" s="3">
        <f t="shared" ref="BW90" si="114">AVERAGE(AI90:AI91)</f>
        <v>82.75</v>
      </c>
      <c r="BX90" s="3">
        <f t="shared" ref="BX90" si="115">AVERAGE(AJ90:AJ91)</f>
        <v>30.8</v>
      </c>
      <c r="BY90" s="3">
        <f t="shared" ref="BY90" si="116">AVERAGE(AK90:AK91)</f>
        <v>4.75</v>
      </c>
      <c r="BZ90" s="3">
        <f t="shared" ref="BZ90" si="117">AVERAGE(AL90:AL91)</f>
        <v>78.949999999999989</v>
      </c>
      <c r="CA90" s="3">
        <f t="shared" ref="CA90" si="118">AVERAGE(AM90:AM91)</f>
        <v>8.5500000000000007</v>
      </c>
      <c r="CB90" s="3"/>
      <c r="CC90" s="10">
        <f t="shared" ref="CC90" si="119">AVERAGE(AO90:AO91)</f>
        <v>14</v>
      </c>
      <c r="CD90" s="4">
        <f t="shared" ref="CD90" si="120">AVERAGE(AP90:AP91)</f>
        <v>0.28500000000000003</v>
      </c>
      <c r="CE90" s="3">
        <f t="shared" ref="CE90" si="121">AVERAGE(AQ90:AQ91)</f>
        <v>8.5</v>
      </c>
    </row>
    <row r="91" spans="1:83" x14ac:dyDescent="0.25">
      <c r="A91" s="2" t="s">
        <v>114</v>
      </c>
      <c r="B91" s="2" t="s">
        <v>117</v>
      </c>
      <c r="C91" t="s">
        <v>122</v>
      </c>
      <c r="D91" s="5" t="s">
        <v>105</v>
      </c>
      <c r="E91" s="5" t="s">
        <v>142</v>
      </c>
      <c r="F91" s="17">
        <v>45243</v>
      </c>
      <c r="G91">
        <v>4</v>
      </c>
      <c r="H91" s="3">
        <v>6.4</v>
      </c>
      <c r="I91" s="3">
        <f>H91-$A$47</f>
        <v>5.94</v>
      </c>
      <c r="J91" s="3">
        <f>($A$54-$A$47)*$A$55</f>
        <v>0.71499999999999997</v>
      </c>
      <c r="K91" s="6">
        <f t="shared" si="2"/>
        <v>1485.5584448818897</v>
      </c>
      <c r="L91" s="4">
        <v>11.07</v>
      </c>
      <c r="M91" s="4">
        <v>122.7</v>
      </c>
      <c r="N91" s="4">
        <v>111.63</v>
      </c>
      <c r="O91" s="4">
        <v>107.18</v>
      </c>
      <c r="P91" s="7">
        <f t="shared" si="3"/>
        <v>3.9863835886410364</v>
      </c>
      <c r="Q91" s="6">
        <f t="shared" si="4"/>
        <v>1426.338386835447</v>
      </c>
      <c r="R91" s="14">
        <v>45244</v>
      </c>
      <c r="S91" s="4">
        <v>2.78</v>
      </c>
      <c r="T91" s="13">
        <v>1.1950000000000001</v>
      </c>
      <c r="U91" s="13">
        <v>2.915</v>
      </c>
      <c r="V91" s="8">
        <f t="shared" si="5"/>
        <v>0.35506672516569215</v>
      </c>
      <c r="W91" s="8">
        <f t="shared" si="6"/>
        <v>0.47251486426759692</v>
      </c>
      <c r="X91" s="8">
        <f t="shared" si="7"/>
        <v>0.17241841056671092</v>
      </c>
      <c r="Y91" s="6">
        <f t="shared" si="8"/>
        <v>527.47237206645093</v>
      </c>
      <c r="Z91" s="6">
        <f t="shared" si="9"/>
        <v>701.9484469449485</v>
      </c>
      <c r="AA91" s="6">
        <f t="shared" si="10"/>
        <v>1229.4208190113995</v>
      </c>
      <c r="AB91" s="6">
        <f t="shared" si="11"/>
        <v>506.44529999177837</v>
      </c>
      <c r="AC91" s="6">
        <f t="shared" si="12"/>
        <v>673.96608925521434</v>
      </c>
      <c r="AD91" s="6">
        <f t="shared" si="13"/>
        <v>1180.4113892469927</v>
      </c>
      <c r="AE91" s="18" t="s">
        <v>207</v>
      </c>
      <c r="AF91" s="14">
        <v>45295</v>
      </c>
      <c r="AG91" s="6">
        <v>49.699999999999996</v>
      </c>
      <c r="AH91" s="11">
        <v>1.109</v>
      </c>
      <c r="AI91" s="6">
        <v>82.9</v>
      </c>
      <c r="AJ91" s="6">
        <v>31.1</v>
      </c>
      <c r="AK91" s="6">
        <v>4.5999999999999996</v>
      </c>
      <c r="AL91" s="6">
        <v>78.099999999999994</v>
      </c>
      <c r="AM91" s="6">
        <v>8.6999999999999993</v>
      </c>
      <c r="AN91" s="16" t="s">
        <v>217</v>
      </c>
      <c r="AO91" s="12">
        <v>15</v>
      </c>
      <c r="AP91" s="7">
        <v>0.37</v>
      </c>
      <c r="AQ91" s="6">
        <v>8</v>
      </c>
      <c r="AV91" s="3"/>
      <c r="AW91" s="3"/>
      <c r="AX91" s="3"/>
      <c r="AY91" s="3"/>
      <c r="AZ91" s="4"/>
      <c r="BA91" s="4"/>
      <c r="BB91" s="4"/>
      <c r="BC91" s="4"/>
      <c r="BD91" s="4"/>
      <c r="BE91" s="3"/>
      <c r="BF91" s="3"/>
      <c r="BG91" s="4"/>
      <c r="BH91" s="13"/>
      <c r="BI91" s="13"/>
      <c r="BJ91" s="9"/>
      <c r="BK91" s="9"/>
      <c r="BL91" s="9"/>
      <c r="BM91" s="3"/>
      <c r="BN91" s="3"/>
      <c r="BO91" s="3"/>
      <c r="BP91" s="3"/>
      <c r="BQ91" s="3"/>
      <c r="BR91" s="3"/>
      <c r="BT91" s="15"/>
      <c r="BU91" s="3"/>
      <c r="BV91" s="13"/>
      <c r="BW91" s="3"/>
      <c r="BX91" s="3"/>
      <c r="BY91" s="3"/>
      <c r="BZ91" s="3"/>
      <c r="CA91" s="3"/>
      <c r="CB91" s="10"/>
      <c r="CC91" s="10"/>
      <c r="CD91" s="4"/>
      <c r="CE91" s="3"/>
    </row>
    <row r="92" spans="1:83" x14ac:dyDescent="0.25">
      <c r="A92" s="2" t="s">
        <v>114</v>
      </c>
      <c r="B92" s="2" t="s">
        <v>118</v>
      </c>
      <c r="C92" t="s">
        <v>121</v>
      </c>
      <c r="D92" s="5" t="s">
        <v>106</v>
      </c>
      <c r="E92" s="5" t="s">
        <v>142</v>
      </c>
      <c r="F92" s="17">
        <v>45243</v>
      </c>
      <c r="G92">
        <v>2</v>
      </c>
      <c r="H92" s="3">
        <v>13.8</v>
      </c>
      <c r="I92" s="3">
        <f t="shared" si="1"/>
        <v>13.34</v>
      </c>
      <c r="J92" s="3">
        <f>($A$52-$A$47)*$A$55</f>
        <v>0.7024999999999999</v>
      </c>
      <c r="K92" s="6">
        <f t="shared" si="2"/>
        <v>3134.6287696850395</v>
      </c>
      <c r="L92" s="4">
        <v>11.04</v>
      </c>
      <c r="M92" s="4">
        <v>186.75</v>
      </c>
      <c r="N92" s="4">
        <v>175.71</v>
      </c>
      <c r="O92" s="4">
        <v>168.15</v>
      </c>
      <c r="P92" s="7">
        <f t="shared" si="3"/>
        <v>4.3025439644869401</v>
      </c>
      <c r="Q92" s="6">
        <f t="shared" si="4"/>
        <v>2999.7599887458846</v>
      </c>
      <c r="R92" s="14">
        <v>45244</v>
      </c>
      <c r="S92" s="4">
        <v>6.12</v>
      </c>
      <c r="T92" s="13">
        <v>2.3450000000000002</v>
      </c>
      <c r="U92" s="13">
        <v>4.5</v>
      </c>
      <c r="V92" s="8">
        <f t="shared" si="5"/>
        <v>0.34898979245964434</v>
      </c>
      <c r="W92" s="8">
        <f t="shared" si="6"/>
        <v>0.47366525394425785</v>
      </c>
      <c r="X92" s="8">
        <f t="shared" si="7"/>
        <v>0.17734495359609781</v>
      </c>
      <c r="Y92" s="6">
        <f t="shared" si="8"/>
        <v>1093.9534437704122</v>
      </c>
      <c r="Z92" s="6">
        <f t="shared" si="9"/>
        <v>1484.7647322138407</v>
      </c>
      <c r="AA92" s="6">
        <f t="shared" si="10"/>
        <v>2578.7181759842529</v>
      </c>
      <c r="AB92" s="6">
        <f t="shared" si="11"/>
        <v>1046.8856159011714</v>
      </c>
      <c r="AC92" s="6">
        <f t="shared" si="12"/>
        <v>1420.8820768411435</v>
      </c>
      <c r="AD92" s="6">
        <f t="shared" si="13"/>
        <v>2467.7676927423149</v>
      </c>
      <c r="AE92" s="18" t="s">
        <v>208</v>
      </c>
      <c r="AF92" s="14">
        <v>45295</v>
      </c>
      <c r="AG92" s="6">
        <v>45.199999999999996</v>
      </c>
      <c r="AH92" s="11">
        <v>1.1519999999999999</v>
      </c>
      <c r="AI92" s="6">
        <v>81.3</v>
      </c>
      <c r="AJ92" s="6">
        <v>28.4</v>
      </c>
      <c r="AK92" s="6">
        <v>5.3</v>
      </c>
      <c r="AL92" s="6">
        <v>80.599999999999994</v>
      </c>
      <c r="AM92" s="6">
        <v>9</v>
      </c>
      <c r="AN92" s="16" t="s">
        <v>216</v>
      </c>
      <c r="AO92" s="12">
        <v>8</v>
      </c>
      <c r="AP92" s="7">
        <v>0.15</v>
      </c>
      <c r="AQ92" s="6">
        <v>9.5</v>
      </c>
      <c r="AS92" t="s">
        <v>136</v>
      </c>
      <c r="AT92" s="4" t="str">
        <f>E92</f>
        <v>Machine</v>
      </c>
      <c r="AU92" s="15">
        <f>F92</f>
        <v>45243</v>
      </c>
      <c r="AV92" s="3">
        <f>SUM(H92:H93)</f>
        <v>26.3</v>
      </c>
      <c r="AW92" s="3">
        <f>AV92-2*$A$47</f>
        <v>25.38</v>
      </c>
      <c r="AX92" s="3">
        <f>SUM(J92:J93)</f>
        <v>1.4175</v>
      </c>
      <c r="AY92" s="3">
        <f>(AW92+AX92)*$A$48/(2*$A$49)*$A$50</f>
        <v>2990.928056102362</v>
      </c>
      <c r="AZ92" s="4">
        <f>SUM(L92:L93)</f>
        <v>21.99</v>
      </c>
      <c r="BA92" s="4">
        <f>SUM(M92:M93)</f>
        <v>330.62</v>
      </c>
      <c r="BB92" s="4">
        <f>BA92-AZ92</f>
        <v>308.63</v>
      </c>
      <c r="BC92" s="4">
        <f>SUM(O92:O93)</f>
        <v>295.41000000000003</v>
      </c>
      <c r="BD92" s="4">
        <f>(BB92-BC92)/BB92*100</f>
        <v>4.2834461977124612</v>
      </c>
      <c r="BE92" s="3">
        <f>AY92*(1-BD92/100)</f>
        <v>2862.81326200693</v>
      </c>
      <c r="BF92" s="15">
        <v>45244</v>
      </c>
      <c r="BG92" s="4">
        <f>SUM(S92:S93)</f>
        <v>11.629999999999999</v>
      </c>
      <c r="BH92" s="13">
        <f>SUM(T92:T93)</f>
        <v>4.5650000000000004</v>
      </c>
      <c r="BI92" s="13">
        <f>SUM(U92:U93)</f>
        <v>8.7750000000000004</v>
      </c>
      <c r="BJ92" s="9">
        <f>(BH92-2*$A$56)/(BG92-2*$A$47*$A$48)</f>
        <v>0.35682767359158862</v>
      </c>
      <c r="BK92" s="9">
        <f>(BI92-2*$A$57)/(BG92-2*$A$47*$A$48)</f>
        <v>0.47936734455255903</v>
      </c>
      <c r="BL92" s="9">
        <f>1-BJ92-BK92</f>
        <v>0.16380498185585235</v>
      </c>
      <c r="BM92" s="3">
        <f>AY92*BJ92</f>
        <v>1067.2459001388183</v>
      </c>
      <c r="BN92" s="3">
        <f>AY92*BK92</f>
        <v>1433.7532400015366</v>
      </c>
      <c r="BO92" s="3">
        <f>SUM(BM92:BN92)</f>
        <v>2500.9991401403549</v>
      </c>
      <c r="BP92" s="3">
        <f>BE92*BJ92</f>
        <v>1021.5309962090799</v>
      </c>
      <c r="BQ92" s="3">
        <f>BE92*BK92</f>
        <v>1372.3391913581115</v>
      </c>
      <c r="BR92" s="3">
        <f>SUM(BP92:BQ92)</f>
        <v>2393.8701875671914</v>
      </c>
      <c r="BS92" s="3"/>
      <c r="BT92" s="15">
        <f>AF93</f>
        <v>45295</v>
      </c>
      <c r="BU92" s="3">
        <f>AVERAGE(AG92:AG93)</f>
        <v>44.4</v>
      </c>
      <c r="BV92" s="13">
        <f t="shared" ref="BV92" si="122">AVERAGE(AH92:AH93)</f>
        <v>1.1385000000000001</v>
      </c>
      <c r="BW92" s="3">
        <f t="shared" ref="BW92" si="123">AVERAGE(AI92:AI93)</f>
        <v>81.650000000000006</v>
      </c>
      <c r="BX92" s="3">
        <f t="shared" ref="BX92" si="124">AVERAGE(AJ92:AJ93)</f>
        <v>29.549999999999997</v>
      </c>
      <c r="BY92" s="3">
        <f t="shared" ref="BY92" si="125">AVERAGE(AK92:AK93)</f>
        <v>5.1999999999999993</v>
      </c>
      <c r="BZ92" s="3">
        <f t="shared" ref="BZ92" si="126">AVERAGE(AL92:AL93)</f>
        <v>80.650000000000006</v>
      </c>
      <c r="CA92" s="3">
        <f t="shared" ref="CA92" si="127">AVERAGE(AM92:AM93)</f>
        <v>9.0500000000000007</v>
      </c>
      <c r="CB92" s="3"/>
      <c r="CC92" s="10">
        <f t="shared" ref="CC92" si="128">AVERAGE(AO92:AO93)</f>
        <v>9</v>
      </c>
      <c r="CD92" s="4">
        <f t="shared" ref="CD92" si="129">AVERAGE(AP92:AP93)</f>
        <v>0.11499999999999999</v>
      </c>
      <c r="CE92" s="3">
        <f t="shared" ref="CE92" si="130">AVERAGE(AQ92:AQ93)</f>
        <v>9.4499999999999993</v>
      </c>
    </row>
    <row r="93" spans="1:83" x14ac:dyDescent="0.25">
      <c r="A93" s="2" t="s">
        <v>114</v>
      </c>
      <c r="B93" s="2" t="s">
        <v>118</v>
      </c>
      <c r="C93" t="s">
        <v>122</v>
      </c>
      <c r="D93" s="5" t="s">
        <v>107</v>
      </c>
      <c r="E93" s="5" t="s">
        <v>142</v>
      </c>
      <c r="F93" s="17">
        <v>45243</v>
      </c>
      <c r="G93">
        <v>4</v>
      </c>
      <c r="H93" s="3">
        <v>12.5</v>
      </c>
      <c r="I93" s="3">
        <f t="shared" si="1"/>
        <v>12.04</v>
      </c>
      <c r="J93" s="3">
        <f>($A$54-$A$47)*$A$55</f>
        <v>0.71499999999999997</v>
      </c>
      <c r="K93" s="6">
        <f t="shared" si="2"/>
        <v>2847.227342519685</v>
      </c>
      <c r="L93" s="4">
        <v>10.95</v>
      </c>
      <c r="M93" s="4">
        <v>143.87</v>
      </c>
      <c r="N93" s="4">
        <v>132.92000000000002</v>
      </c>
      <c r="O93" s="4">
        <v>127.26</v>
      </c>
      <c r="P93" s="7">
        <f t="shared" si="3"/>
        <v>4.2582004213060562</v>
      </c>
      <c r="Q93" s="6">
        <f t="shared" si="4"/>
        <v>2725.9866958249704</v>
      </c>
      <c r="R93" s="14">
        <v>45244</v>
      </c>
      <c r="S93" s="4">
        <v>5.51</v>
      </c>
      <c r="T93" s="13">
        <v>2.2200000000000002</v>
      </c>
      <c r="U93" s="13">
        <v>4.2750000000000004</v>
      </c>
      <c r="V93" s="8">
        <f t="shared" si="5"/>
        <v>0.36556742115054036</v>
      </c>
      <c r="W93" s="8">
        <f t="shared" si="6"/>
        <v>0.48572554667834955</v>
      </c>
      <c r="X93" s="8">
        <f t="shared" si="7"/>
        <v>0.14870703217111003</v>
      </c>
      <c r="Y93" s="6">
        <f t="shared" si="8"/>
        <v>1040.8535570342276</v>
      </c>
      <c r="Z93" s="6">
        <f t="shared" si="9"/>
        <v>1382.9710574629185</v>
      </c>
      <c r="AA93" s="6">
        <f t="shared" si="10"/>
        <v>2423.8246144971463</v>
      </c>
      <c r="AB93" s="6">
        <f t="shared" si="11"/>
        <v>996.5319264834169</v>
      </c>
      <c r="AC93" s="6">
        <f t="shared" si="12"/>
        <v>1324.0813780674914</v>
      </c>
      <c r="AD93" s="6">
        <f t="shared" si="13"/>
        <v>2320.6133045509082</v>
      </c>
      <c r="AE93" s="18" t="s">
        <v>209</v>
      </c>
      <c r="AF93" s="14">
        <v>45295</v>
      </c>
      <c r="AG93" s="6">
        <v>43.6</v>
      </c>
      <c r="AH93" s="11">
        <v>1.125</v>
      </c>
      <c r="AI93" s="6">
        <v>82</v>
      </c>
      <c r="AJ93" s="6">
        <v>30.7</v>
      </c>
      <c r="AK93" s="6">
        <v>5.0999999999999996</v>
      </c>
      <c r="AL93" s="6">
        <v>80.7</v>
      </c>
      <c r="AM93" s="6">
        <v>9.1</v>
      </c>
      <c r="AN93" s="16" t="s">
        <v>216</v>
      </c>
      <c r="AO93" s="12">
        <v>10</v>
      </c>
      <c r="AP93" s="7">
        <v>0.08</v>
      </c>
      <c r="AQ93" s="6">
        <v>9.4</v>
      </c>
      <c r="AV93" s="3"/>
      <c r="AW93" s="3"/>
      <c r="AX93" s="3"/>
      <c r="AY93" s="3"/>
      <c r="AZ93" s="4"/>
      <c r="BA93" s="4"/>
      <c r="BB93" s="4"/>
      <c r="BC93" s="4"/>
      <c r="BD93" s="4"/>
      <c r="BE93" s="3"/>
      <c r="BF93" s="3"/>
      <c r="BG93" s="4"/>
      <c r="BH93" s="13"/>
      <c r="BI93" s="13"/>
      <c r="BJ93" s="9"/>
      <c r="BK93" s="9"/>
      <c r="BL93" s="9"/>
      <c r="BM93" s="3"/>
      <c r="BN93" s="3"/>
      <c r="BO93" s="3"/>
      <c r="BP93" s="3"/>
      <c r="BQ93" s="3"/>
      <c r="BR93" s="3"/>
      <c r="BT93" s="15"/>
      <c r="BU93" s="3"/>
      <c r="BV93" s="13"/>
      <c r="BW93" s="3"/>
      <c r="BX93" s="3"/>
      <c r="BY93" s="3"/>
      <c r="BZ93" s="3"/>
      <c r="CA93" s="3"/>
      <c r="CB93" s="10"/>
      <c r="CC93" s="10"/>
      <c r="CD93" s="4"/>
      <c r="CE93" s="3"/>
    </row>
    <row r="94" spans="1:83" x14ac:dyDescent="0.25">
      <c r="A94" s="2" t="s">
        <v>114</v>
      </c>
      <c r="B94" s="2" t="s">
        <v>119</v>
      </c>
      <c r="C94" t="s">
        <v>121</v>
      </c>
      <c r="D94" s="5" t="s">
        <v>108</v>
      </c>
      <c r="E94" s="5" t="s">
        <v>142</v>
      </c>
      <c r="F94" s="17">
        <v>45243</v>
      </c>
      <c r="G94">
        <v>2</v>
      </c>
      <c r="H94" s="3">
        <v>18.3</v>
      </c>
      <c r="I94" s="3">
        <f t="shared" si="1"/>
        <v>17.84</v>
      </c>
      <c r="J94" s="3">
        <f>($A$52-$A$47)*$A$55</f>
        <v>0.7024999999999999</v>
      </c>
      <c r="K94" s="6">
        <f t="shared" si="2"/>
        <v>4139.1386122047243</v>
      </c>
      <c r="L94" s="4">
        <v>10.97</v>
      </c>
      <c r="M94" s="4">
        <v>162.03</v>
      </c>
      <c r="N94" s="4">
        <v>151.06</v>
      </c>
      <c r="O94" s="4">
        <v>144.81</v>
      </c>
      <c r="P94" s="7">
        <f t="shared" si="3"/>
        <v>4.137428836224017</v>
      </c>
      <c r="Q94" s="6">
        <f t="shared" si="4"/>
        <v>3967.8846976920831</v>
      </c>
      <c r="R94" s="14">
        <v>45244</v>
      </c>
      <c r="S94" s="4">
        <v>8.15</v>
      </c>
      <c r="T94" s="13">
        <v>3.11</v>
      </c>
      <c r="U94" s="13">
        <v>5.4850000000000003</v>
      </c>
      <c r="V94" s="8">
        <f t="shared" si="5"/>
        <v>0.35611084087430356</v>
      </c>
      <c r="W94" s="8">
        <f t="shared" si="6"/>
        <v>0.47661935385758097</v>
      </c>
      <c r="X94" s="8">
        <f t="shared" si="7"/>
        <v>0.16726980526811547</v>
      </c>
      <c r="Y94" s="6">
        <f t="shared" si="8"/>
        <v>1473.9921316875223</v>
      </c>
      <c r="Z94" s="6">
        <f t="shared" si="9"/>
        <v>1972.7935708759801</v>
      </c>
      <c r="AA94" s="6">
        <f t="shared" si="10"/>
        <v>3446.7857025635021</v>
      </c>
      <c r="AB94" s="6">
        <f t="shared" si="11"/>
        <v>1413.0067561874096</v>
      </c>
      <c r="AC94" s="6">
        <f t="shared" si="12"/>
        <v>1891.1706407953836</v>
      </c>
      <c r="AD94" s="6">
        <f t="shared" si="13"/>
        <v>3304.1773969827932</v>
      </c>
      <c r="AE94" s="18" t="s">
        <v>210</v>
      </c>
      <c r="AF94" s="14">
        <v>45295</v>
      </c>
      <c r="AG94" s="6">
        <v>44.2</v>
      </c>
      <c r="AH94" s="11">
        <v>1.169</v>
      </c>
      <c r="AI94" s="6">
        <v>82.1</v>
      </c>
      <c r="AJ94" s="6">
        <v>30.7</v>
      </c>
      <c r="AK94" s="6">
        <v>5.3</v>
      </c>
      <c r="AL94" s="6">
        <v>80.599999999999994</v>
      </c>
      <c r="AM94" s="6">
        <v>8.8000000000000007</v>
      </c>
      <c r="AN94" s="16" t="s">
        <v>216</v>
      </c>
      <c r="AO94" s="12">
        <v>8</v>
      </c>
      <c r="AP94" s="7">
        <v>0.12</v>
      </c>
      <c r="AQ94" s="6">
        <v>8.1999999999999993</v>
      </c>
      <c r="AS94" t="s">
        <v>137</v>
      </c>
      <c r="AT94" s="4" t="str">
        <f>E94</f>
        <v>Machine</v>
      </c>
      <c r="AU94" s="15">
        <f>F94</f>
        <v>45243</v>
      </c>
      <c r="AV94" s="3">
        <f>SUM(H94:H95)</f>
        <v>26.4</v>
      </c>
      <c r="AW94" s="3">
        <f>AV94-2*$A$47</f>
        <v>25.479999999999997</v>
      </c>
      <c r="AX94" s="3">
        <f>SUM(J94:J95)</f>
        <v>1.4175</v>
      </c>
      <c r="AY94" s="3">
        <f>(AW94+AX94)*$A$48/(2*$A$49)*$A$50</f>
        <v>3002.0892765748031</v>
      </c>
      <c r="AZ94" s="4">
        <f>SUM(L94:L95)</f>
        <v>22.020000000000003</v>
      </c>
      <c r="BA94" s="4">
        <f>SUM(M94:M95)</f>
        <v>337.31</v>
      </c>
      <c r="BB94" s="4">
        <f>BA94-AZ94</f>
        <v>315.29000000000002</v>
      </c>
      <c r="BC94" s="4">
        <f>SUM(O94:O95)</f>
        <v>302.24</v>
      </c>
      <c r="BD94" s="4">
        <f>(BB94-BC94)/BB94*100</f>
        <v>4.1390465920263919</v>
      </c>
      <c r="BE94" s="3">
        <f>AY94*(1-BD94/100)</f>
        <v>2877.831402683144</v>
      </c>
      <c r="BF94" s="15">
        <v>45244</v>
      </c>
      <c r="BG94" s="4">
        <f>SUM(S94:S95)</f>
        <v>11.65</v>
      </c>
      <c r="BH94" s="13">
        <f>SUM(T94:T95)</f>
        <v>4.5149999999999997</v>
      </c>
      <c r="BI94" s="13">
        <f>SUM(U94:U95)</f>
        <v>8.7900000000000009</v>
      </c>
      <c r="BJ94" s="9">
        <f>(BH94-2*$A$56)/(BG94-2*$A$47*$A$48)</f>
        <v>0.35174104463561268</v>
      </c>
      <c r="BK94" s="9">
        <f>(BI94-2*$A$57)/(BG94-2*$A$47*$A$48)</f>
        <v>0.4798492104748045</v>
      </c>
      <c r="BL94" s="9">
        <f>1-BJ94-BK94</f>
        <v>0.16840974488958288</v>
      </c>
      <c r="BM94" s="3">
        <f>AY94*BJ94</f>
        <v>1055.958018231792</v>
      </c>
      <c r="BN94" s="3">
        <f>AY94*BK94</f>
        <v>1440.5501691392963</v>
      </c>
      <c r="BO94" s="3">
        <f>SUM(BM94:BN94)</f>
        <v>2496.5081873710883</v>
      </c>
      <c r="BP94" s="3">
        <f>BE94*BJ94</f>
        <v>1012.2514238649396</v>
      </c>
      <c r="BQ94" s="3">
        <f>BE94*BK94</f>
        <v>1380.9251264571058</v>
      </c>
      <c r="BR94" s="3">
        <f>SUM(BP94:BQ94)</f>
        <v>2393.1765503220454</v>
      </c>
      <c r="BS94" s="3"/>
      <c r="BT94" s="15">
        <f>AF95</f>
        <v>45295</v>
      </c>
      <c r="BU94" s="3">
        <f>AVERAGE(AG94:AG95)</f>
        <v>44.150000000000006</v>
      </c>
      <c r="BV94" s="13">
        <f t="shared" ref="BV94" si="131">AVERAGE(AH94:AH95)</f>
        <v>1.1379999999999999</v>
      </c>
      <c r="BW94" s="3">
        <f t="shared" ref="BW94" si="132">AVERAGE(AI94:AI95)</f>
        <v>81.949999999999989</v>
      </c>
      <c r="BX94" s="3">
        <f t="shared" ref="BX94" si="133">AVERAGE(AJ94:AJ95)</f>
        <v>30.4</v>
      </c>
      <c r="BY94" s="3">
        <f t="shared" ref="BY94" si="134">AVERAGE(AK94:AK95)</f>
        <v>5.1999999999999993</v>
      </c>
      <c r="BZ94" s="3">
        <f t="shared" ref="BZ94" si="135">AVERAGE(AL94:AL95)</f>
        <v>80.199999999999989</v>
      </c>
      <c r="CA94" s="3">
        <f t="shared" ref="CA94" si="136">AVERAGE(AM94:AM95)</f>
        <v>8.9</v>
      </c>
      <c r="CB94" s="3"/>
      <c r="CC94" s="10">
        <f t="shared" ref="CC94" si="137">AVERAGE(AO94:AO95)</f>
        <v>11</v>
      </c>
      <c r="CD94" s="4">
        <f t="shared" ref="CD94" si="138">AVERAGE(AP94:AP95)</f>
        <v>0.215</v>
      </c>
      <c r="CE94" s="3">
        <f t="shared" ref="CE94" si="139">AVERAGE(AQ94:AQ95)</f>
        <v>9.1</v>
      </c>
    </row>
    <row r="95" spans="1:83" x14ac:dyDescent="0.25">
      <c r="A95" s="2" t="s">
        <v>114</v>
      </c>
      <c r="B95" s="2" t="s">
        <v>119</v>
      </c>
      <c r="C95" t="s">
        <v>122</v>
      </c>
      <c r="D95" s="5" t="s">
        <v>109</v>
      </c>
      <c r="E95" s="5" t="s">
        <v>142</v>
      </c>
      <c r="F95" s="17">
        <v>45243</v>
      </c>
      <c r="G95">
        <v>4</v>
      </c>
      <c r="H95" s="3">
        <v>8.1</v>
      </c>
      <c r="I95" s="3">
        <f t="shared" si="1"/>
        <v>7.64</v>
      </c>
      <c r="J95" s="3">
        <f>($A$54-$A$47)*$A$55</f>
        <v>0.71499999999999997</v>
      </c>
      <c r="K95" s="6">
        <f t="shared" si="2"/>
        <v>1865.0399409448821</v>
      </c>
      <c r="L95" s="4">
        <v>11.05</v>
      </c>
      <c r="M95" s="4">
        <v>175.28</v>
      </c>
      <c r="N95" s="4">
        <v>164.23</v>
      </c>
      <c r="O95" s="4">
        <v>157.43</v>
      </c>
      <c r="P95" s="7">
        <f t="shared" si="3"/>
        <v>4.1405346160871845</v>
      </c>
      <c r="Q95" s="6">
        <f t="shared" si="4"/>
        <v>1787.8173165862072</v>
      </c>
      <c r="R95" s="14">
        <v>45244</v>
      </c>
      <c r="S95" s="4">
        <v>3.5</v>
      </c>
      <c r="T95" s="13">
        <v>1.405</v>
      </c>
      <c r="U95" s="13">
        <v>3.3050000000000002</v>
      </c>
      <c r="V95" s="8">
        <f t="shared" si="5"/>
        <v>0.34119762151654548</v>
      </c>
      <c r="W95" s="8">
        <f t="shared" si="6"/>
        <v>0.48764219281750271</v>
      </c>
      <c r="X95" s="8">
        <f t="shared" si="7"/>
        <v>0.17116018566595176</v>
      </c>
      <c r="Y95" s="6">
        <f t="shared" si="8"/>
        <v>636.3471918837522</v>
      </c>
      <c r="Z95" s="6">
        <f t="shared" si="9"/>
        <v>909.47216649458812</v>
      </c>
      <c r="AA95" s="6">
        <f t="shared" si="10"/>
        <v>1545.8193583783404</v>
      </c>
      <c r="AB95" s="6">
        <f t="shared" si="11"/>
        <v>609.99901612530664</v>
      </c>
      <c r="AC95" s="6">
        <f t="shared" si="12"/>
        <v>871.81515661720152</v>
      </c>
      <c r="AD95" s="6">
        <f t="shared" si="13"/>
        <v>1481.8141727425082</v>
      </c>
      <c r="AE95" s="18" t="s">
        <v>211</v>
      </c>
      <c r="AF95" s="14">
        <v>45295</v>
      </c>
      <c r="AG95" s="6">
        <v>44.1</v>
      </c>
      <c r="AH95" s="11">
        <v>1.107</v>
      </c>
      <c r="AI95" s="6">
        <v>81.8</v>
      </c>
      <c r="AJ95" s="6">
        <v>30.1</v>
      </c>
      <c r="AK95" s="6">
        <v>5.0999999999999996</v>
      </c>
      <c r="AL95" s="6">
        <v>79.8</v>
      </c>
      <c r="AM95" s="6">
        <v>9</v>
      </c>
      <c r="AN95" s="16" t="s">
        <v>215</v>
      </c>
      <c r="AO95" s="12">
        <v>14</v>
      </c>
      <c r="AP95" s="7">
        <v>0.31</v>
      </c>
      <c r="AQ95" s="6">
        <v>10</v>
      </c>
      <c r="AV95" s="3"/>
      <c r="AW95" s="3"/>
      <c r="AX95" s="3"/>
      <c r="AY95" s="3"/>
      <c r="AZ95" s="4"/>
      <c r="BA95" s="4"/>
      <c r="BB95" s="4"/>
      <c r="BC95" s="4"/>
      <c r="BD95" s="4"/>
      <c r="BE95" s="3"/>
      <c r="BF95" s="3"/>
      <c r="BG95" s="4"/>
      <c r="BH95" s="13"/>
      <c r="BI95" s="13"/>
      <c r="BJ95" s="9"/>
      <c r="BK95" s="9"/>
      <c r="BL95" s="9"/>
      <c r="BM95" s="3"/>
      <c r="BN95" s="3"/>
      <c r="BO95" s="3"/>
      <c r="BP95" s="3"/>
      <c r="BQ95" s="3"/>
      <c r="BR95" s="3"/>
      <c r="BT95" s="15"/>
      <c r="BU95" s="3"/>
      <c r="BV95" s="13"/>
      <c r="BW95" s="3"/>
      <c r="BX95" s="3"/>
      <c r="BY95" s="3"/>
      <c r="BZ95" s="3"/>
      <c r="CA95" s="3"/>
      <c r="CB95" s="10"/>
      <c r="CC95" s="10"/>
      <c r="CD95" s="4"/>
      <c r="CE95" s="3"/>
    </row>
    <row r="96" spans="1:83" x14ac:dyDescent="0.25">
      <c r="A96" s="2" t="s">
        <v>114</v>
      </c>
      <c r="B96" s="2" t="s">
        <v>120</v>
      </c>
      <c r="C96" t="s">
        <v>121</v>
      </c>
      <c r="D96" s="5" t="s">
        <v>110</v>
      </c>
      <c r="E96" s="5" t="s">
        <v>142</v>
      </c>
      <c r="F96" s="17">
        <v>45243</v>
      </c>
      <c r="G96">
        <v>2</v>
      </c>
      <c r="H96" s="3">
        <v>4.9000000000000004</v>
      </c>
      <c r="I96" s="3">
        <f t="shared" si="1"/>
        <v>4.4400000000000004</v>
      </c>
      <c r="J96" s="3">
        <f>($A$52-$A$47)*$A$55</f>
        <v>0.7024999999999999</v>
      </c>
      <c r="K96" s="6">
        <f t="shared" si="2"/>
        <v>1147.9315255905512</v>
      </c>
      <c r="L96" s="4">
        <v>10.93</v>
      </c>
      <c r="M96" s="4">
        <v>202.56</v>
      </c>
      <c r="N96" s="4">
        <v>191.63</v>
      </c>
      <c r="O96" s="4">
        <v>183.13</v>
      </c>
      <c r="P96" s="7">
        <f t="shared" si="3"/>
        <v>4.4356311642227215</v>
      </c>
      <c r="Q96" s="6">
        <f t="shared" si="4"/>
        <v>1097.0135170975195</v>
      </c>
      <c r="R96" s="14">
        <v>45244</v>
      </c>
      <c r="S96" s="4">
        <v>2.0499999999999998</v>
      </c>
      <c r="T96" s="13">
        <v>0.91</v>
      </c>
      <c r="U96" s="13">
        <v>2.4849999999999999</v>
      </c>
      <c r="V96" s="8">
        <f t="shared" si="5"/>
        <v>0.3410545476126487</v>
      </c>
      <c r="W96" s="8">
        <f t="shared" si="6"/>
        <v>0.42631818451581077</v>
      </c>
      <c r="X96" s="8">
        <f t="shared" si="7"/>
        <v>0.23262726787154048</v>
      </c>
      <c r="Y96" s="6">
        <f t="shared" si="8"/>
        <v>391.50726715058312</v>
      </c>
      <c r="Z96" s="6">
        <f t="shared" si="9"/>
        <v>489.3840839382288</v>
      </c>
      <c r="AA96" s="6">
        <f t="shared" si="10"/>
        <v>880.89135108881192</v>
      </c>
      <c r="AB96" s="6">
        <f t="shared" si="11"/>
        <v>374.14144879865518</v>
      </c>
      <c r="AC96" s="6">
        <f t="shared" si="12"/>
        <v>467.67681099831884</v>
      </c>
      <c r="AD96" s="6">
        <f t="shared" si="13"/>
        <v>841.81825979697396</v>
      </c>
      <c r="AE96" s="18" t="s">
        <v>212</v>
      </c>
      <c r="AF96" s="14">
        <v>45295</v>
      </c>
      <c r="AG96" s="6">
        <v>45.4</v>
      </c>
      <c r="AH96" s="11">
        <v>1.087</v>
      </c>
      <c r="AI96" s="6">
        <v>81.7</v>
      </c>
      <c r="AJ96" s="6">
        <v>28.6</v>
      </c>
      <c r="AK96" s="6">
        <v>4.7</v>
      </c>
      <c r="AL96" s="6">
        <v>78.3</v>
      </c>
      <c r="AM96" s="6">
        <v>8.9</v>
      </c>
      <c r="AN96" s="16" t="s">
        <v>65</v>
      </c>
      <c r="AO96" s="12">
        <v>8</v>
      </c>
      <c r="AP96" s="7">
        <v>0.08</v>
      </c>
      <c r="AQ96" s="6">
        <v>9.5</v>
      </c>
      <c r="AS96" t="s">
        <v>138</v>
      </c>
      <c r="AT96" s="4" t="str">
        <f>E96</f>
        <v>Machine</v>
      </c>
      <c r="AU96" s="15">
        <f>F96</f>
        <v>45243</v>
      </c>
      <c r="AV96" s="3">
        <f>SUM(H96:H97)</f>
        <v>7.7</v>
      </c>
      <c r="AW96" s="3">
        <f>AV96-2*$A$47</f>
        <v>6.78</v>
      </c>
      <c r="AX96" s="3">
        <f>SUM(J96:J97)</f>
        <v>1.4175</v>
      </c>
      <c r="AY96" s="3">
        <f>(AW96+AX96)*$A$48/(2*$A$49)*$A$50</f>
        <v>914.9410482283464</v>
      </c>
      <c r="AZ96" s="4">
        <f>SUM(L96:L97)</f>
        <v>21.96</v>
      </c>
      <c r="BA96" s="4">
        <f>SUM(M96:M97)</f>
        <v>314.29000000000002</v>
      </c>
      <c r="BB96" s="4">
        <f>BA96-AZ96</f>
        <v>292.33000000000004</v>
      </c>
      <c r="BC96" s="4">
        <f>SUM(O96:O97)</f>
        <v>279.83999999999997</v>
      </c>
      <c r="BD96" s="4">
        <f>(BB96-BC96)/BB96*100</f>
        <v>4.2725686723908129</v>
      </c>
      <c r="BE96" s="3">
        <f>AY96*(1-BD96/100)</f>
        <v>875.84956363089805</v>
      </c>
      <c r="BF96" s="15">
        <v>45244</v>
      </c>
      <c r="BG96" s="4">
        <f>SUM(S96:S97)</f>
        <v>3.1899999999999995</v>
      </c>
      <c r="BH96" s="13">
        <f>SUM(T96:T97)</f>
        <v>1.5</v>
      </c>
      <c r="BI96" s="13">
        <f>SUM(U96:U97)</f>
        <v>4.6150000000000002</v>
      </c>
      <c r="BJ96" s="9">
        <f>(BH96-2*$A$56)/(BG96-2*$A$47*$A$48)</f>
        <v>0.33757765584460037</v>
      </c>
      <c r="BK96" s="9">
        <f>(BI96-2*$A$57)/(BG96-2*$A$47*$A$48)</f>
        <v>0.43820176479827938</v>
      </c>
      <c r="BL96" s="9">
        <f>1-BJ96-BK96</f>
        <v>0.2242205793571202</v>
      </c>
      <c r="BM96" s="3">
        <f>AY96*BJ96</f>
        <v>308.86365429692665</v>
      </c>
      <c r="BN96" s="3">
        <f>AY96*BK96</f>
        <v>400.92878202004903</v>
      </c>
      <c r="BO96" s="3">
        <f>SUM(BM96:BN96)</f>
        <v>709.79243631697568</v>
      </c>
      <c r="BP96" s="3">
        <f>BE96*BJ96</f>
        <v>295.66724256303473</v>
      </c>
      <c r="BQ96" s="3">
        <f>BE96*BK96</f>
        <v>383.79882448086244</v>
      </c>
      <c r="BR96" s="3">
        <f>SUM(BP96:BQ96)</f>
        <v>679.46606704389717</v>
      </c>
      <c r="BS96" s="3"/>
      <c r="BT96" s="15">
        <f>AF97</f>
        <v>45295</v>
      </c>
      <c r="BU96" s="3">
        <f>AVERAGE(AG96:AG97)</f>
        <v>46.05</v>
      </c>
      <c r="BV96" s="13">
        <f t="shared" ref="BV96" si="140">AVERAGE(AH96:AH97)</f>
        <v>1.0785</v>
      </c>
      <c r="BW96" s="3">
        <f t="shared" ref="BW96" si="141">AVERAGE(AI96:AI97)</f>
        <v>81.349999999999994</v>
      </c>
      <c r="BX96" s="3">
        <f t="shared" ref="BX96" si="142">AVERAGE(AJ96:AJ97)</f>
        <v>28.450000000000003</v>
      </c>
      <c r="BY96" s="3">
        <f t="shared" ref="BY96" si="143">AVERAGE(AK96:AK97)</f>
        <v>4.9000000000000004</v>
      </c>
      <c r="BZ96" s="3">
        <f t="shared" ref="BZ96" si="144">AVERAGE(AL96:AL97)</f>
        <v>77.75</v>
      </c>
      <c r="CA96" s="3">
        <f t="shared" ref="CA96" si="145">AVERAGE(AM96:AM97)</f>
        <v>9.15</v>
      </c>
      <c r="CB96" s="3"/>
      <c r="CC96" s="10">
        <f t="shared" ref="CC96" si="146">AVERAGE(AO96:AO97)</f>
        <v>17</v>
      </c>
      <c r="CD96" s="4">
        <f t="shared" ref="CD96" si="147">AVERAGE(AP96:AP97)</f>
        <v>0.155</v>
      </c>
      <c r="CE96" s="3">
        <f t="shared" ref="CE96" si="148">AVERAGE(AQ96:AQ97)</f>
        <v>10.050000000000001</v>
      </c>
    </row>
    <row r="97" spans="1:81" x14ac:dyDescent="0.25">
      <c r="A97" s="2" t="s">
        <v>114</v>
      </c>
      <c r="B97" s="2" t="s">
        <v>120</v>
      </c>
      <c r="C97" t="s">
        <v>122</v>
      </c>
      <c r="D97" s="5" t="s">
        <v>111</v>
      </c>
      <c r="E97" s="5" t="s">
        <v>142</v>
      </c>
      <c r="F97" s="17">
        <v>45243</v>
      </c>
      <c r="G97">
        <v>4</v>
      </c>
      <c r="H97" s="3">
        <v>2.8</v>
      </c>
      <c r="I97" s="3">
        <f t="shared" si="1"/>
        <v>2.34</v>
      </c>
      <c r="J97" s="3">
        <f>($A$54-$A$47)*$A$55</f>
        <v>0.71499999999999997</v>
      </c>
      <c r="K97" s="6">
        <f t="shared" si="2"/>
        <v>681.95057086614167</v>
      </c>
      <c r="L97" s="4">
        <v>11.03</v>
      </c>
      <c r="M97" s="4">
        <v>111.73</v>
      </c>
      <c r="N97" s="4">
        <v>100.7</v>
      </c>
      <c r="O97" s="4">
        <v>96.71</v>
      </c>
      <c r="P97" s="7">
        <f t="shared" si="3"/>
        <v>3.9622641509434051</v>
      </c>
      <c r="Q97" s="6">
        <f t="shared" si="4"/>
        <v>654.92988786955868</v>
      </c>
      <c r="R97" s="14">
        <v>45244</v>
      </c>
      <c r="S97" s="4">
        <v>1.1399999999999999</v>
      </c>
      <c r="T97" s="13">
        <v>0.59</v>
      </c>
      <c r="U97" s="13">
        <v>2.13</v>
      </c>
      <c r="V97" s="8">
        <f t="shared" si="5"/>
        <v>0.33070356711469989</v>
      </c>
      <c r="W97" s="8">
        <f t="shared" si="6"/>
        <v>0.46169653850428871</v>
      </c>
      <c r="X97" s="8">
        <f t="shared" si="7"/>
        <v>0.20759989438101145</v>
      </c>
      <c r="Y97" s="6">
        <f t="shared" si="8"/>
        <v>225.52348638133898</v>
      </c>
      <c r="Z97" s="6">
        <f t="shared" si="9"/>
        <v>314.85421799992127</v>
      </c>
      <c r="AA97" s="6">
        <f t="shared" si="10"/>
        <v>540.37770438126029</v>
      </c>
      <c r="AB97" s="6">
        <f t="shared" si="11"/>
        <v>216.58765012849346</v>
      </c>
      <c r="AC97" s="6">
        <f t="shared" si="12"/>
        <v>302.3788621923772</v>
      </c>
      <c r="AD97" s="6">
        <f t="shared" si="13"/>
        <v>518.96651232087061</v>
      </c>
      <c r="AE97" s="18" t="s">
        <v>213</v>
      </c>
      <c r="AF97" s="14">
        <v>45295</v>
      </c>
      <c r="AG97" s="6">
        <v>46.7</v>
      </c>
      <c r="AH97" s="11">
        <v>1.07</v>
      </c>
      <c r="AI97" s="6">
        <v>81</v>
      </c>
      <c r="AJ97" s="6">
        <v>28.3</v>
      </c>
      <c r="AK97" s="6">
        <v>5.0999999999999996</v>
      </c>
      <c r="AL97" s="6">
        <v>77.2</v>
      </c>
      <c r="AM97" s="6">
        <v>9.4</v>
      </c>
      <c r="AN97" s="16" t="s">
        <v>79</v>
      </c>
      <c r="AO97" s="12">
        <v>26</v>
      </c>
      <c r="AP97" s="7">
        <v>0.23</v>
      </c>
      <c r="AQ97" s="6">
        <v>10.6</v>
      </c>
      <c r="AV97" s="3"/>
      <c r="AW97" s="3"/>
      <c r="AX97" s="4"/>
      <c r="AY97" s="4"/>
      <c r="AZ97" s="4"/>
      <c r="BA97" s="4"/>
      <c r="BB97" s="4"/>
      <c r="BC97" s="3"/>
      <c r="BD97" s="3"/>
      <c r="BE97" s="4"/>
      <c r="BF97" s="3"/>
      <c r="BG97" s="4"/>
      <c r="BH97" s="9"/>
      <c r="BI97" s="9"/>
      <c r="BJ97" s="9"/>
      <c r="BK97" s="3"/>
      <c r="BL97" s="3"/>
      <c r="BM97" s="3"/>
      <c r="BN97" s="3"/>
      <c r="BO97" s="3"/>
      <c r="BP97" s="3"/>
      <c r="BR97" s="15"/>
      <c r="BS97" s="3"/>
      <c r="BT97" s="13"/>
      <c r="BU97" s="3"/>
      <c r="BV97" s="3"/>
      <c r="BW97" s="3"/>
      <c r="BX97" s="3"/>
      <c r="BY97" s="3"/>
      <c r="BZ97" s="10"/>
      <c r="CA97" s="10"/>
      <c r="CB97" s="4"/>
      <c r="CC97" s="3"/>
    </row>
    <row r="98" spans="1:81" x14ac:dyDescent="0.25">
      <c r="J98" s="4"/>
      <c r="K98" s="4"/>
      <c r="L98" s="4"/>
      <c r="M98" s="4"/>
      <c r="Q98" s="4"/>
      <c r="R98" s="4"/>
      <c r="S98" s="4"/>
      <c r="AC98" s="3"/>
      <c r="AD98" s="3"/>
      <c r="AE98" s="3"/>
      <c r="AF98" s="3"/>
      <c r="AG98" s="3"/>
      <c r="AH98" s="3"/>
      <c r="AI98" s="3"/>
      <c r="AJ98" s="3"/>
      <c r="AK98" s="3"/>
      <c r="AL98" s="3"/>
      <c r="AM98" s="3"/>
      <c r="AN98" s="3"/>
      <c r="AO98" s="3"/>
    </row>
    <row r="99" spans="1:81" x14ac:dyDescent="0.25">
      <c r="J99" s="4"/>
      <c r="K99" s="4"/>
      <c r="L99" s="4"/>
      <c r="M99" s="4"/>
      <c r="Q99" s="4"/>
      <c r="R99" s="4"/>
      <c r="S99" s="4"/>
      <c r="AC99" s="3"/>
      <c r="AD99" s="3"/>
      <c r="AE99" s="3"/>
      <c r="AF99" s="3"/>
      <c r="AG99" s="3"/>
      <c r="AH99" s="3"/>
      <c r="AI99" s="3"/>
      <c r="AJ99" s="3"/>
      <c r="AK99" s="3"/>
      <c r="AL99" s="3"/>
      <c r="AM99" s="3"/>
      <c r="AN99" s="3"/>
      <c r="AO99" s="3"/>
    </row>
    <row r="100" spans="1:81" x14ac:dyDescent="0.25">
      <c r="J100" s="4"/>
      <c r="K100" s="4"/>
      <c r="L100" s="4"/>
      <c r="M100" s="4"/>
      <c r="Q100" s="4"/>
      <c r="R100" s="4"/>
      <c r="S100" s="4"/>
      <c r="AC100" s="3"/>
      <c r="AD100" s="3"/>
      <c r="AE100" s="3"/>
      <c r="AF100" s="3"/>
      <c r="AG100" s="3"/>
      <c r="AH100" s="3"/>
      <c r="AI100" s="3"/>
      <c r="AJ100" s="3"/>
      <c r="AK100" s="3"/>
      <c r="AL100" s="3"/>
      <c r="AM100" s="3"/>
      <c r="AN100" s="3"/>
      <c r="AO100" s="3"/>
    </row>
    <row r="101" spans="1:81" x14ac:dyDescent="0.25">
      <c r="J101" s="4"/>
      <c r="K101" s="4"/>
      <c r="L101" s="4"/>
      <c r="M101" s="4"/>
      <c r="Q101" s="4"/>
      <c r="R101" s="4"/>
      <c r="S101" s="4"/>
      <c r="AC101" s="3"/>
      <c r="AD101" s="3"/>
      <c r="AE101" s="3"/>
      <c r="AF101" s="3"/>
      <c r="AG101" s="3"/>
      <c r="AH101" s="3"/>
      <c r="AI101" s="3"/>
      <c r="AJ101" s="3"/>
      <c r="AK101" s="3"/>
      <c r="AL101" s="3"/>
      <c r="AM101" s="3"/>
      <c r="AN101" s="3"/>
      <c r="AO101" s="3"/>
    </row>
    <row r="102" spans="1:81" x14ac:dyDescent="0.25">
      <c r="J102" s="4"/>
      <c r="K102" s="4"/>
      <c r="L102" s="4"/>
      <c r="M102" s="4"/>
      <c r="Q102" s="4"/>
      <c r="R102" s="4"/>
      <c r="S102" s="4"/>
      <c r="AC102" s="3"/>
      <c r="AD102" s="3"/>
      <c r="AE102" s="3"/>
      <c r="AF102" s="3"/>
      <c r="AG102" s="3"/>
      <c r="AH102" s="3"/>
      <c r="AI102" s="3"/>
      <c r="AJ102" s="3"/>
      <c r="AK102" s="3"/>
      <c r="AL102" s="3"/>
      <c r="AM102" s="3"/>
      <c r="AN102" s="3"/>
      <c r="AO102" s="3"/>
    </row>
    <row r="103" spans="1:81" x14ac:dyDescent="0.25">
      <c r="J103" s="4"/>
      <c r="K103" s="4"/>
      <c r="L103" s="4"/>
      <c r="M103" s="4"/>
      <c r="Q103" s="4"/>
      <c r="R103" s="4"/>
      <c r="S103" s="4"/>
      <c r="AC103" s="3"/>
      <c r="AD103" s="3"/>
      <c r="AE103" s="3"/>
      <c r="AF103" s="3"/>
      <c r="AG103" s="3"/>
      <c r="AH103" s="3"/>
      <c r="AI103" s="3"/>
      <c r="AJ103" s="3"/>
      <c r="AK103" s="3"/>
      <c r="AL103" s="3"/>
      <c r="AM103" s="3"/>
      <c r="AN103" s="3"/>
      <c r="AO103" s="3"/>
    </row>
    <row r="104" spans="1:81" x14ac:dyDescent="0.25">
      <c r="J104" s="4"/>
      <c r="K104" s="4"/>
      <c r="L104" s="4"/>
      <c r="M104" s="4"/>
      <c r="Q104" s="4"/>
      <c r="R104" s="4"/>
      <c r="S104" s="4"/>
      <c r="AC104" s="3"/>
      <c r="AD104" s="3"/>
      <c r="AE104" s="3"/>
      <c r="AF104" s="3"/>
      <c r="AG104" s="3"/>
      <c r="AH104" s="3"/>
      <c r="AI104" s="3"/>
      <c r="AJ104" s="3"/>
      <c r="AK104" s="3"/>
      <c r="AL104" s="3"/>
      <c r="AM104" s="3"/>
      <c r="AN104" s="3"/>
      <c r="AO104" s="3"/>
    </row>
    <row r="105" spans="1:81" x14ac:dyDescent="0.25">
      <c r="J105" s="4"/>
      <c r="K105" s="4"/>
      <c r="L105" s="4"/>
      <c r="M105" s="4"/>
      <c r="Q105" s="4"/>
      <c r="R105" s="4"/>
      <c r="S105" s="4"/>
      <c r="AC105" s="3"/>
      <c r="AD105" s="3"/>
      <c r="AE105" s="3"/>
      <c r="AF105" s="3"/>
      <c r="AG105" s="3"/>
      <c r="AH105" s="3"/>
      <c r="AI105" s="3"/>
      <c r="AJ105" s="3"/>
      <c r="AK105" s="3"/>
      <c r="AL105" s="3"/>
      <c r="AM105" s="3"/>
      <c r="AN105" s="3"/>
      <c r="AO105" s="3"/>
    </row>
    <row r="106" spans="1:81" x14ac:dyDescent="0.25">
      <c r="J106" s="4"/>
      <c r="K106" s="4"/>
      <c r="L106" s="4"/>
      <c r="M106" s="4"/>
      <c r="Q106" s="4"/>
      <c r="R106" s="4"/>
      <c r="S106" s="4"/>
      <c r="AC106" s="3"/>
      <c r="AD106" s="3"/>
      <c r="AE106" s="3"/>
      <c r="AF106" s="3"/>
      <c r="AG106" s="3"/>
      <c r="AH106" s="3"/>
      <c r="AI106" s="3"/>
      <c r="AJ106" s="3"/>
      <c r="AK106" s="3"/>
      <c r="AL106" s="3"/>
      <c r="AM106" s="3"/>
      <c r="AN106" s="3"/>
      <c r="AO106" s="3"/>
    </row>
    <row r="107" spans="1:81" x14ac:dyDescent="0.25">
      <c r="J107" s="4"/>
      <c r="K107" s="4"/>
      <c r="L107" s="4"/>
      <c r="M107" s="4"/>
      <c r="Q107" s="4"/>
      <c r="R107" s="4"/>
      <c r="S107" s="4"/>
      <c r="AC107" s="3"/>
      <c r="AD107" s="3"/>
      <c r="AE107" s="3"/>
      <c r="AF107" s="3"/>
      <c r="AG107" s="3"/>
      <c r="AH107" s="3"/>
      <c r="AI107" s="3"/>
      <c r="AJ107" s="3"/>
      <c r="AK107" s="3"/>
      <c r="AL107" s="3"/>
      <c r="AM107" s="3"/>
      <c r="AN107" s="3"/>
      <c r="AO107" s="3"/>
    </row>
    <row r="108" spans="1:81" x14ac:dyDescent="0.25">
      <c r="J108" s="4"/>
      <c r="K108" s="4"/>
      <c r="L108" s="4"/>
      <c r="M108" s="4"/>
      <c r="Q108" s="4"/>
      <c r="R108" s="4"/>
      <c r="S108" s="4"/>
      <c r="AC108" s="3"/>
      <c r="AD108" s="3"/>
      <c r="AE108" s="3"/>
      <c r="AF108" s="3"/>
      <c r="AG108" s="3"/>
      <c r="AH108" s="3"/>
      <c r="AI108" s="3"/>
      <c r="AJ108" s="3"/>
      <c r="AK108" s="3"/>
      <c r="AL108" s="3"/>
      <c r="AM108" s="3"/>
      <c r="AN108" s="3"/>
      <c r="AO108" s="3"/>
    </row>
    <row r="109" spans="1:81" x14ac:dyDescent="0.25">
      <c r="J109" s="4"/>
      <c r="K109" s="4"/>
      <c r="L109" s="4"/>
      <c r="M109" s="4"/>
      <c r="Q109" s="4"/>
      <c r="R109" s="4"/>
      <c r="S109" s="4"/>
      <c r="AC109" s="3"/>
      <c r="AD109" s="3"/>
      <c r="AE109" s="3"/>
      <c r="AF109" s="3"/>
      <c r="AG109" s="3"/>
      <c r="AH109" s="3"/>
      <c r="AI109" s="3"/>
      <c r="AJ109" s="3"/>
      <c r="AK109" s="3"/>
      <c r="AL109" s="3"/>
      <c r="AM109" s="3"/>
      <c r="AN109" s="3"/>
      <c r="AO109" s="3"/>
    </row>
    <row r="110" spans="1:81" x14ac:dyDescent="0.25">
      <c r="J110" s="4"/>
      <c r="K110" s="4"/>
      <c r="L110" s="4"/>
      <c r="M110" s="4"/>
      <c r="Q110" s="4"/>
      <c r="R110" s="4"/>
      <c r="S110" s="4"/>
      <c r="AC110" s="3"/>
      <c r="AD110" s="3"/>
      <c r="AE110" s="3"/>
      <c r="AF110" s="3"/>
      <c r="AG110" s="3"/>
      <c r="AH110" s="3"/>
      <c r="AI110" s="3"/>
      <c r="AJ110" s="3"/>
      <c r="AK110" s="3"/>
      <c r="AL110" s="3"/>
      <c r="AM110" s="3"/>
      <c r="AN110" s="3"/>
      <c r="AO110" s="3"/>
    </row>
    <row r="111" spans="1:81" x14ac:dyDescent="0.25">
      <c r="J111" s="4"/>
      <c r="K111" s="4"/>
      <c r="L111" s="4"/>
      <c r="M111" s="4"/>
      <c r="Q111" s="4"/>
      <c r="R111" s="4"/>
      <c r="S111" s="4"/>
      <c r="AC111" s="3"/>
      <c r="AD111" s="3"/>
      <c r="AE111" s="3"/>
      <c r="AF111" s="3"/>
      <c r="AG111" s="3"/>
      <c r="AH111" s="3"/>
      <c r="AI111" s="3"/>
      <c r="AJ111" s="3"/>
      <c r="AK111" s="3"/>
      <c r="AL111" s="3"/>
      <c r="AM111" s="3"/>
      <c r="AN111" s="3"/>
      <c r="AO111" s="3"/>
    </row>
    <row r="112" spans="1:81" x14ac:dyDescent="0.25">
      <c r="J112" s="4"/>
      <c r="K112" s="4"/>
      <c r="L112" s="4"/>
      <c r="M112" s="4"/>
      <c r="Q112" s="4"/>
      <c r="R112" s="4"/>
      <c r="S112" s="4"/>
      <c r="AC112" s="3"/>
      <c r="AD112" s="3"/>
      <c r="AE112" s="3"/>
      <c r="AF112" s="3"/>
      <c r="AG112" s="3"/>
      <c r="AH112" s="3"/>
      <c r="AI112" s="3"/>
      <c r="AJ112" s="3"/>
      <c r="AK112" s="3"/>
      <c r="AL112" s="3"/>
      <c r="AM112" s="3"/>
      <c r="AN112" s="3"/>
      <c r="AO112" s="3"/>
    </row>
    <row r="113" spans="10:41" x14ac:dyDescent="0.25">
      <c r="J113" s="3"/>
      <c r="K113" s="3"/>
      <c r="L113" s="3"/>
      <c r="M113" s="3"/>
      <c r="AC113" s="3"/>
      <c r="AD113" s="3"/>
      <c r="AE113" s="3"/>
      <c r="AF113" s="3"/>
      <c r="AG113" s="3"/>
      <c r="AH113" s="3"/>
      <c r="AI113" s="3"/>
      <c r="AJ113" s="3"/>
      <c r="AK113" s="3"/>
      <c r="AL113" s="3"/>
      <c r="AM113" s="3"/>
      <c r="AN113" s="3"/>
      <c r="AO113" s="3"/>
    </row>
    <row r="114" spans="10:41" x14ac:dyDescent="0.25">
      <c r="J114" s="3"/>
      <c r="K114" s="3"/>
      <c r="L114" s="3"/>
      <c r="M114" s="3"/>
      <c r="AC114" s="3"/>
      <c r="AD114" s="3"/>
      <c r="AE114" s="3"/>
      <c r="AF114" s="3"/>
      <c r="AG114" s="3"/>
      <c r="AH114" s="3"/>
      <c r="AI114" s="3"/>
      <c r="AJ114" s="3"/>
      <c r="AK114" s="3"/>
      <c r="AL114" s="3"/>
      <c r="AM114" s="3"/>
      <c r="AN114" s="3"/>
      <c r="AO114" s="3"/>
    </row>
    <row r="115" spans="10:41" x14ac:dyDescent="0.25">
      <c r="J115" s="3"/>
      <c r="K115" s="3"/>
      <c r="L115" s="3"/>
      <c r="M115" s="3"/>
      <c r="AC115" s="3"/>
      <c r="AD115" s="3"/>
      <c r="AE115" s="3"/>
      <c r="AF115" s="3"/>
      <c r="AG115" s="3"/>
      <c r="AH115" s="3"/>
      <c r="AI115" s="3"/>
      <c r="AJ115" s="3"/>
      <c r="AK115" s="3"/>
      <c r="AL115" s="3"/>
      <c r="AM115" s="3"/>
      <c r="AN115" s="3"/>
      <c r="AO115" s="3"/>
    </row>
    <row r="116" spans="10:41" x14ac:dyDescent="0.25">
      <c r="J116" s="3"/>
      <c r="K116" s="3"/>
      <c r="L116" s="3"/>
      <c r="M116" s="3"/>
      <c r="AC116" s="3"/>
      <c r="AD116" s="3"/>
      <c r="AE116" s="3"/>
      <c r="AF116" s="3"/>
      <c r="AG116" s="3"/>
      <c r="AH116" s="3"/>
      <c r="AI116" s="3"/>
      <c r="AJ116" s="3"/>
      <c r="AK116" s="3"/>
      <c r="AL116" s="3"/>
      <c r="AM116" s="3"/>
      <c r="AN116" s="3"/>
      <c r="AO116" s="3"/>
    </row>
    <row r="117" spans="10:41" x14ac:dyDescent="0.25">
      <c r="J117" s="3"/>
      <c r="K117" s="3"/>
      <c r="L117" s="3"/>
      <c r="M117" s="3"/>
      <c r="AC117" s="3"/>
      <c r="AD117" s="3"/>
      <c r="AE117" s="3"/>
      <c r="AF117" s="3"/>
      <c r="AG117" s="3"/>
      <c r="AH117" s="3"/>
      <c r="AI117" s="3"/>
      <c r="AJ117" s="3"/>
      <c r="AK117" s="3"/>
      <c r="AL117" s="3"/>
      <c r="AM117" s="3"/>
      <c r="AN117" s="3"/>
      <c r="AO117" s="3"/>
    </row>
    <row r="118" spans="10:41" x14ac:dyDescent="0.25">
      <c r="J118" s="3"/>
      <c r="K118" s="3"/>
      <c r="L118" s="3"/>
      <c r="M118" s="3"/>
      <c r="AC118" s="3"/>
      <c r="AD118" s="3"/>
      <c r="AE118" s="3"/>
      <c r="AF118" s="3"/>
      <c r="AG118" s="3"/>
      <c r="AH118" s="3"/>
      <c r="AI118" s="3"/>
      <c r="AJ118" s="3"/>
      <c r="AK118" s="3"/>
      <c r="AL118" s="3"/>
      <c r="AM118" s="3"/>
      <c r="AN118" s="3"/>
      <c r="AO118" s="3"/>
    </row>
    <row r="119" spans="10:41" x14ac:dyDescent="0.25">
      <c r="J119" s="3"/>
      <c r="K119" s="3"/>
      <c r="L119" s="3"/>
      <c r="M119" s="3"/>
      <c r="AC119" s="3"/>
      <c r="AD119" s="3"/>
      <c r="AE119" s="3"/>
      <c r="AF119" s="3"/>
      <c r="AG119" s="3"/>
      <c r="AH119" s="3"/>
      <c r="AI119" s="3"/>
      <c r="AJ119" s="3"/>
      <c r="AK119" s="3"/>
      <c r="AL119" s="3"/>
      <c r="AM119" s="3"/>
      <c r="AN119" s="3"/>
      <c r="AO119" s="3"/>
    </row>
    <row r="120" spans="10:41" x14ac:dyDescent="0.25">
      <c r="J120" s="3"/>
      <c r="K120" s="3"/>
      <c r="L120" s="3"/>
      <c r="M120" s="3"/>
      <c r="AC120" s="3"/>
      <c r="AD120" s="3"/>
      <c r="AE120" s="3"/>
      <c r="AF120" s="3"/>
      <c r="AG120" s="3"/>
      <c r="AH120" s="3"/>
      <c r="AI120" s="3"/>
      <c r="AJ120" s="3"/>
      <c r="AK120" s="3"/>
      <c r="AL120" s="3"/>
      <c r="AM120" s="3"/>
      <c r="AN120" s="3"/>
      <c r="AO120" s="3"/>
    </row>
    <row r="121" spans="10:41" x14ac:dyDescent="0.25">
      <c r="J121" s="3"/>
      <c r="K121" s="3"/>
      <c r="L121" s="3"/>
      <c r="M121" s="3"/>
      <c r="AC121" s="3"/>
      <c r="AD121" s="3"/>
      <c r="AE121" s="3"/>
      <c r="AF121" s="3"/>
      <c r="AG121" s="3"/>
      <c r="AH121" s="3"/>
      <c r="AI121" s="3"/>
      <c r="AJ121" s="3"/>
      <c r="AK121" s="3"/>
      <c r="AL121" s="3"/>
      <c r="AM121" s="3"/>
      <c r="AN121" s="3"/>
      <c r="AO121" s="3"/>
    </row>
    <row r="122" spans="10:41" x14ac:dyDescent="0.25">
      <c r="J122" s="3"/>
      <c r="K122" s="3"/>
      <c r="L122" s="3"/>
      <c r="M122" s="3"/>
      <c r="AC122" s="3"/>
      <c r="AD122" s="3"/>
      <c r="AE122" s="3"/>
      <c r="AF122" s="3"/>
      <c r="AG122" s="3"/>
      <c r="AH122" s="3"/>
      <c r="AI122" s="3"/>
      <c r="AJ122" s="3"/>
      <c r="AK122" s="3"/>
      <c r="AL122" s="3"/>
      <c r="AM122" s="3"/>
      <c r="AN122" s="3"/>
      <c r="AO122" s="3"/>
    </row>
    <row r="123" spans="10:41" x14ac:dyDescent="0.25">
      <c r="J123" s="3"/>
      <c r="K123" s="3"/>
      <c r="L123" s="3"/>
      <c r="M123" s="3"/>
      <c r="AC123" s="3"/>
      <c r="AD123" s="3"/>
      <c r="AE123" s="3"/>
      <c r="AF123" s="3"/>
      <c r="AG123" s="3"/>
      <c r="AH123" s="3"/>
      <c r="AI123" s="3"/>
      <c r="AJ123" s="3"/>
      <c r="AK123" s="3"/>
      <c r="AL123" s="3"/>
      <c r="AM123" s="3"/>
      <c r="AN123" s="3"/>
      <c r="AO123" s="3"/>
    </row>
    <row r="124" spans="10:41" x14ac:dyDescent="0.25">
      <c r="J124" s="3"/>
      <c r="K124" s="3"/>
      <c r="L124" s="3"/>
      <c r="M124" s="3"/>
      <c r="AC124" s="3"/>
      <c r="AD124" s="3"/>
      <c r="AE124" s="3"/>
      <c r="AF124" s="3"/>
      <c r="AG124" s="3"/>
      <c r="AH124" s="3"/>
      <c r="AI124" s="3"/>
      <c r="AJ124" s="3"/>
      <c r="AK124" s="3"/>
      <c r="AL124" s="3"/>
      <c r="AM124" s="3"/>
      <c r="AN124" s="3"/>
      <c r="AO124" s="3"/>
    </row>
    <row r="125" spans="10:41" x14ac:dyDescent="0.25">
      <c r="J125" s="3"/>
      <c r="K125" s="3"/>
      <c r="L125" s="3"/>
      <c r="M125" s="3"/>
      <c r="AC125" s="3"/>
      <c r="AD125" s="3"/>
      <c r="AE125" s="3"/>
      <c r="AF125" s="3"/>
      <c r="AG125" s="3"/>
      <c r="AH125" s="3"/>
      <c r="AI125" s="3"/>
      <c r="AJ125" s="3"/>
      <c r="AK125" s="3"/>
      <c r="AL125" s="3"/>
      <c r="AM125" s="3"/>
      <c r="AN125" s="3"/>
      <c r="AO125" s="3"/>
    </row>
    <row r="126" spans="10:41" x14ac:dyDescent="0.25">
      <c r="J126" s="3"/>
      <c r="K126" s="3"/>
      <c r="L126" s="3"/>
      <c r="M126" s="3"/>
      <c r="AC126" s="3"/>
      <c r="AD126" s="3"/>
      <c r="AE126" s="3"/>
      <c r="AF126" s="3"/>
      <c r="AG126" s="3"/>
      <c r="AH126" s="3"/>
      <c r="AI126" s="3"/>
      <c r="AJ126" s="3"/>
      <c r="AK126" s="3"/>
      <c r="AL126" s="3"/>
      <c r="AM126" s="3"/>
      <c r="AN126" s="3"/>
      <c r="AO126" s="3"/>
    </row>
    <row r="127" spans="10:41" x14ac:dyDescent="0.25">
      <c r="J127" s="3"/>
      <c r="K127" s="3"/>
      <c r="L127" s="3"/>
      <c r="M127" s="3"/>
      <c r="AC127" s="3"/>
      <c r="AD127" s="3"/>
      <c r="AE127" s="3"/>
      <c r="AF127" s="3"/>
      <c r="AG127" s="3"/>
      <c r="AH127" s="3"/>
      <c r="AI127" s="3"/>
      <c r="AJ127" s="3"/>
      <c r="AK127" s="3"/>
      <c r="AL127" s="3"/>
      <c r="AM127" s="3"/>
      <c r="AN127" s="3"/>
      <c r="AO127" s="3"/>
    </row>
    <row r="128" spans="10:41" x14ac:dyDescent="0.25">
      <c r="J128" s="3"/>
      <c r="K128" s="3"/>
      <c r="L128" s="3"/>
      <c r="M128" s="3"/>
      <c r="AC128" s="3"/>
      <c r="AD128" s="3"/>
      <c r="AE128" s="3"/>
      <c r="AF128" s="3"/>
      <c r="AG128" s="3"/>
      <c r="AH128" s="3"/>
      <c r="AI128" s="3"/>
      <c r="AJ128" s="3"/>
      <c r="AK128" s="3"/>
      <c r="AL128" s="3"/>
      <c r="AM128" s="3"/>
      <c r="AN128" s="3"/>
      <c r="AO128" s="3"/>
    </row>
    <row r="129" spans="10:41" x14ac:dyDescent="0.25">
      <c r="J129" s="3"/>
      <c r="K129" s="3"/>
      <c r="L129" s="3"/>
      <c r="M129" s="3"/>
      <c r="AC129" s="3"/>
      <c r="AD129" s="3"/>
      <c r="AE129" s="3"/>
      <c r="AF129" s="3"/>
      <c r="AG129" s="3"/>
      <c r="AH129" s="3"/>
      <c r="AI129" s="3"/>
      <c r="AJ129" s="3"/>
      <c r="AK129" s="3"/>
      <c r="AL129" s="3"/>
      <c r="AM129" s="3"/>
      <c r="AN129" s="3"/>
      <c r="AO129" s="3"/>
    </row>
    <row r="130" spans="10:41" x14ac:dyDescent="0.25">
      <c r="J130" s="3"/>
      <c r="K130" s="3"/>
      <c r="L130" s="3"/>
      <c r="M130" s="3"/>
      <c r="AC130" s="3"/>
      <c r="AD130" s="3"/>
      <c r="AE130" s="3"/>
      <c r="AF130" s="3"/>
      <c r="AG130" s="3"/>
      <c r="AH130" s="3"/>
      <c r="AI130" s="3"/>
      <c r="AJ130" s="3"/>
      <c r="AK130" s="3"/>
      <c r="AL130" s="3"/>
      <c r="AM130" s="3"/>
      <c r="AN130" s="3"/>
      <c r="AO130" s="3"/>
    </row>
    <row r="131" spans="10:41" x14ac:dyDescent="0.25">
      <c r="J131" s="3"/>
      <c r="K131" s="3"/>
      <c r="L131" s="3"/>
      <c r="M131" s="3"/>
      <c r="AC131" s="3"/>
      <c r="AD131" s="3"/>
      <c r="AE131" s="3"/>
      <c r="AF131" s="3"/>
      <c r="AG131" s="3"/>
      <c r="AH131" s="3"/>
      <c r="AI131" s="3"/>
      <c r="AJ131" s="3"/>
      <c r="AK131" s="3"/>
      <c r="AL131" s="3"/>
      <c r="AM131" s="3"/>
      <c r="AN131" s="3"/>
      <c r="AO131" s="3"/>
    </row>
    <row r="132" spans="10:41" x14ac:dyDescent="0.25">
      <c r="J132" s="3"/>
      <c r="K132" s="3"/>
      <c r="L132" s="3"/>
      <c r="M132" s="3"/>
      <c r="AC132" s="3"/>
      <c r="AD132" s="3"/>
      <c r="AE132" s="3"/>
      <c r="AF132" s="3"/>
      <c r="AG132" s="3"/>
      <c r="AH132" s="3"/>
      <c r="AI132" s="3"/>
      <c r="AJ132" s="3"/>
      <c r="AK132" s="3"/>
      <c r="AL132" s="3"/>
      <c r="AM132" s="3"/>
      <c r="AN132" s="3"/>
      <c r="AO132" s="3"/>
    </row>
    <row r="133" spans="10:41" x14ac:dyDescent="0.25">
      <c r="J133" s="3"/>
      <c r="K133" s="3"/>
      <c r="L133" s="3"/>
      <c r="M133" s="3"/>
      <c r="AC133" s="3"/>
      <c r="AD133" s="3"/>
      <c r="AE133" s="3"/>
      <c r="AF133" s="3"/>
      <c r="AG133" s="3"/>
      <c r="AH133" s="3"/>
      <c r="AI133" s="3"/>
      <c r="AJ133" s="3"/>
      <c r="AK133" s="3"/>
      <c r="AL133" s="3"/>
      <c r="AM133" s="3"/>
      <c r="AN133" s="3"/>
      <c r="AO133" s="3"/>
    </row>
    <row r="134" spans="10:41" x14ac:dyDescent="0.25">
      <c r="J134" s="3"/>
      <c r="K134" s="3"/>
      <c r="L134" s="3"/>
      <c r="M134" s="3"/>
      <c r="AC134" s="3"/>
      <c r="AD134" s="3"/>
      <c r="AE134" s="3"/>
      <c r="AF134" s="3"/>
      <c r="AG134" s="3"/>
      <c r="AH134" s="3"/>
      <c r="AI134" s="3"/>
      <c r="AJ134" s="3"/>
      <c r="AK134" s="3"/>
      <c r="AL134" s="3"/>
      <c r="AM134" s="3"/>
      <c r="AN134" s="3"/>
      <c r="AO134" s="3"/>
    </row>
    <row r="135" spans="10:41" x14ac:dyDescent="0.25">
      <c r="J135" s="3"/>
      <c r="K135" s="3"/>
      <c r="L135" s="3"/>
      <c r="M135" s="3"/>
      <c r="AC135" s="3"/>
      <c r="AD135" s="3"/>
      <c r="AE135" s="3"/>
      <c r="AF135" s="3"/>
      <c r="AG135" s="3"/>
      <c r="AH135" s="3"/>
      <c r="AI135" s="3"/>
      <c r="AJ135" s="3"/>
      <c r="AK135" s="3"/>
      <c r="AL135" s="3"/>
      <c r="AM135" s="3"/>
      <c r="AN135" s="3"/>
      <c r="AO135" s="3"/>
    </row>
    <row r="136" spans="10:41" x14ac:dyDescent="0.25">
      <c r="J136" s="3"/>
      <c r="K136" s="3"/>
      <c r="L136" s="3"/>
      <c r="M136" s="3"/>
      <c r="AC136" s="3"/>
      <c r="AD136" s="3"/>
      <c r="AE136" s="3"/>
      <c r="AF136" s="3"/>
      <c r="AG136" s="3"/>
      <c r="AH136" s="3"/>
      <c r="AI136" s="3"/>
      <c r="AJ136" s="3"/>
      <c r="AK136" s="3"/>
      <c r="AL136" s="3"/>
      <c r="AM136" s="3"/>
      <c r="AN136" s="3"/>
      <c r="AO136" s="3"/>
    </row>
    <row r="137" spans="10:41" x14ac:dyDescent="0.25">
      <c r="J137" s="3"/>
      <c r="K137" s="3"/>
      <c r="L137" s="3"/>
      <c r="M137" s="3"/>
      <c r="AC137" s="3"/>
      <c r="AD137" s="3"/>
      <c r="AE137" s="3"/>
      <c r="AF137" s="3"/>
      <c r="AG137" s="3"/>
      <c r="AH137" s="3"/>
      <c r="AI137" s="3"/>
      <c r="AJ137" s="3"/>
      <c r="AK137" s="3"/>
      <c r="AL137" s="3"/>
      <c r="AM137" s="3"/>
      <c r="AN137" s="3"/>
      <c r="AO137" s="3"/>
    </row>
    <row r="138" spans="10:41" x14ac:dyDescent="0.25">
      <c r="J138" s="3"/>
      <c r="K138" s="3"/>
      <c r="L138" s="3"/>
      <c r="M138" s="3"/>
      <c r="AC138" s="3"/>
      <c r="AD138" s="3"/>
      <c r="AE138" s="3"/>
      <c r="AF138" s="3"/>
      <c r="AG138" s="3"/>
      <c r="AH138" s="3"/>
      <c r="AI138" s="3"/>
      <c r="AJ138" s="3"/>
      <c r="AK138" s="3"/>
      <c r="AL138" s="3"/>
      <c r="AM138" s="3"/>
      <c r="AN138" s="3"/>
      <c r="AO138" s="3"/>
    </row>
    <row r="139" spans="10:41" x14ac:dyDescent="0.25">
      <c r="J139" s="3"/>
      <c r="K139" s="3"/>
      <c r="L139" s="3"/>
      <c r="M139" s="3"/>
      <c r="AC139" s="3"/>
      <c r="AD139" s="3"/>
      <c r="AE139" s="3"/>
      <c r="AF139" s="3"/>
      <c r="AG139" s="3"/>
      <c r="AH139" s="3"/>
      <c r="AI139" s="3"/>
      <c r="AJ139" s="3"/>
      <c r="AK139" s="3"/>
      <c r="AL139" s="3"/>
      <c r="AM139" s="3"/>
      <c r="AN139" s="3"/>
      <c r="AO139" s="3"/>
    </row>
    <row r="140" spans="10:41" x14ac:dyDescent="0.25">
      <c r="J140" s="3"/>
      <c r="K140" s="3"/>
      <c r="L140" s="3"/>
      <c r="M140" s="3"/>
      <c r="AC140" s="3"/>
      <c r="AD140" s="3"/>
      <c r="AE140" s="3"/>
      <c r="AF140" s="3"/>
      <c r="AG140" s="3"/>
      <c r="AH140" s="3"/>
      <c r="AI140" s="3"/>
      <c r="AJ140" s="3"/>
      <c r="AK140" s="3"/>
      <c r="AL140" s="3"/>
      <c r="AM140" s="3"/>
      <c r="AN140" s="3"/>
      <c r="AO140" s="3"/>
    </row>
    <row r="141" spans="10:41" x14ac:dyDescent="0.25">
      <c r="J141" s="3"/>
      <c r="K141" s="3"/>
      <c r="L141" s="3"/>
      <c r="M141" s="3"/>
      <c r="AC141" s="3"/>
      <c r="AD141" s="3"/>
      <c r="AE141" s="3"/>
      <c r="AF141" s="3"/>
      <c r="AG141" s="3"/>
      <c r="AH141" s="3"/>
      <c r="AI141" s="3"/>
      <c r="AJ141" s="3"/>
      <c r="AK141" s="3"/>
      <c r="AL141" s="3"/>
      <c r="AM141" s="3"/>
      <c r="AN141" s="3"/>
      <c r="AO141" s="3"/>
    </row>
    <row r="142" spans="10:41" x14ac:dyDescent="0.25">
      <c r="J142" s="3"/>
      <c r="K142" s="3"/>
      <c r="L142" s="3"/>
      <c r="M142" s="3"/>
      <c r="AC142" s="3"/>
      <c r="AD142" s="3"/>
      <c r="AE142" s="3"/>
      <c r="AF142" s="3"/>
      <c r="AG142" s="3"/>
      <c r="AH142" s="3"/>
      <c r="AI142" s="3"/>
      <c r="AJ142" s="3"/>
      <c r="AK142" s="3"/>
      <c r="AL142" s="3"/>
      <c r="AM142" s="3"/>
      <c r="AN142" s="3"/>
      <c r="AO142" s="3"/>
    </row>
    <row r="143" spans="10:41" x14ac:dyDescent="0.25">
      <c r="J143" s="3"/>
      <c r="K143" s="3"/>
      <c r="L143" s="3"/>
      <c r="M143" s="3"/>
      <c r="AC143" s="3"/>
      <c r="AD143" s="3"/>
      <c r="AE143" s="3"/>
      <c r="AF143" s="3"/>
      <c r="AG143" s="3"/>
      <c r="AH143" s="3"/>
      <c r="AI143" s="3"/>
      <c r="AJ143" s="3"/>
      <c r="AK143" s="3"/>
      <c r="AL143" s="3"/>
      <c r="AM143" s="3"/>
      <c r="AN143" s="3"/>
      <c r="AO143" s="3"/>
    </row>
    <row r="144" spans="10:41" x14ac:dyDescent="0.25">
      <c r="J144" s="3"/>
      <c r="K144" s="3"/>
      <c r="L144" s="3"/>
      <c r="M144" s="3"/>
      <c r="AC144" s="3"/>
      <c r="AD144" s="3"/>
      <c r="AE144" s="3"/>
      <c r="AF144" s="3"/>
      <c r="AG144" s="3"/>
      <c r="AH144" s="3"/>
      <c r="AI144" s="3"/>
      <c r="AJ144" s="3"/>
      <c r="AK144" s="3"/>
      <c r="AL144" s="3"/>
      <c r="AM144" s="3"/>
      <c r="AN144" s="3"/>
      <c r="AO144" s="3"/>
    </row>
    <row r="145" spans="10:41" x14ac:dyDescent="0.25">
      <c r="J145" s="3"/>
      <c r="K145" s="3"/>
      <c r="L145" s="3"/>
      <c r="M145" s="3"/>
      <c r="AC145" s="3"/>
      <c r="AD145" s="3"/>
      <c r="AE145" s="3"/>
      <c r="AF145" s="3"/>
      <c r="AG145" s="3"/>
      <c r="AH145" s="3"/>
      <c r="AI145" s="3"/>
      <c r="AJ145" s="3"/>
      <c r="AK145" s="3"/>
      <c r="AL145" s="3"/>
      <c r="AM145" s="3"/>
      <c r="AN145" s="3"/>
      <c r="AO145" s="3"/>
    </row>
    <row r="146" spans="10:41" x14ac:dyDescent="0.25">
      <c r="J146" s="3"/>
      <c r="K146" s="3"/>
      <c r="L146" s="3"/>
      <c r="M146" s="3"/>
      <c r="AC146" s="3"/>
      <c r="AD146" s="3"/>
      <c r="AE146" s="3"/>
      <c r="AF146" s="3"/>
      <c r="AG146" s="3"/>
      <c r="AH146" s="3"/>
      <c r="AI146" s="3"/>
      <c r="AJ146" s="3"/>
      <c r="AK146" s="3"/>
      <c r="AL146" s="3"/>
      <c r="AM146" s="3"/>
      <c r="AN146" s="3"/>
      <c r="AO146" s="3"/>
    </row>
    <row r="147" spans="10:41" x14ac:dyDescent="0.25">
      <c r="J147" s="3"/>
      <c r="K147" s="3"/>
      <c r="L147" s="3"/>
      <c r="M147" s="3"/>
      <c r="AC147" s="3"/>
      <c r="AD147" s="3"/>
      <c r="AE147" s="3"/>
      <c r="AF147" s="3"/>
      <c r="AG147" s="3"/>
      <c r="AH147" s="3"/>
      <c r="AI147" s="3"/>
      <c r="AJ147" s="3"/>
      <c r="AK147" s="3"/>
      <c r="AL147" s="3"/>
      <c r="AM147" s="3"/>
      <c r="AN147" s="3"/>
      <c r="AO147" s="3"/>
    </row>
    <row r="148" spans="10:41" x14ac:dyDescent="0.25">
      <c r="J148" s="3"/>
      <c r="K148" s="3"/>
      <c r="L148" s="3"/>
      <c r="M148" s="3"/>
      <c r="AC148" s="3"/>
      <c r="AD148" s="3"/>
      <c r="AE148" s="3"/>
      <c r="AF148" s="3"/>
      <c r="AG148" s="3"/>
      <c r="AH148" s="3"/>
      <c r="AI148" s="3"/>
      <c r="AJ148" s="3"/>
      <c r="AK148" s="3"/>
      <c r="AL148" s="3"/>
      <c r="AM148" s="3"/>
      <c r="AN148" s="3"/>
      <c r="AO148" s="3"/>
    </row>
    <row r="149" spans="10:41" x14ac:dyDescent="0.25">
      <c r="J149" s="3"/>
      <c r="K149" s="3"/>
      <c r="L149" s="3"/>
      <c r="M149" s="3"/>
      <c r="AC149" s="3"/>
      <c r="AD149" s="3"/>
      <c r="AE149" s="3"/>
      <c r="AF149" s="3"/>
      <c r="AG149" s="3"/>
      <c r="AH149" s="3"/>
      <c r="AI149" s="3"/>
      <c r="AJ149" s="3"/>
      <c r="AK149" s="3"/>
      <c r="AL149" s="3"/>
      <c r="AM149" s="3"/>
      <c r="AN149" s="3"/>
      <c r="AO149" s="3"/>
    </row>
    <row r="150" spans="10:41" x14ac:dyDescent="0.25">
      <c r="J150" s="3"/>
      <c r="K150" s="3"/>
      <c r="L150" s="3"/>
      <c r="M150" s="3"/>
      <c r="AC150" s="3"/>
      <c r="AD150" s="3"/>
      <c r="AE150" s="3"/>
      <c r="AF150" s="3"/>
      <c r="AG150" s="3"/>
      <c r="AH150" s="3"/>
      <c r="AI150" s="3"/>
      <c r="AJ150" s="3"/>
      <c r="AK150" s="3"/>
      <c r="AL150" s="3"/>
      <c r="AM150" s="3"/>
      <c r="AN150" s="3"/>
      <c r="AO150" s="3"/>
    </row>
    <row r="151" spans="10:41" x14ac:dyDescent="0.25">
      <c r="J151" s="3"/>
      <c r="K151" s="3"/>
      <c r="L151" s="3"/>
      <c r="M151" s="3"/>
      <c r="AC151" s="3"/>
      <c r="AD151" s="3"/>
      <c r="AE151" s="3"/>
      <c r="AF151" s="3"/>
      <c r="AG151" s="3"/>
      <c r="AH151" s="3"/>
      <c r="AI151" s="3"/>
      <c r="AJ151" s="3"/>
      <c r="AK151" s="3"/>
      <c r="AL151" s="3"/>
      <c r="AM151" s="3"/>
      <c r="AN151" s="3"/>
      <c r="AO151" s="3"/>
    </row>
    <row r="152" spans="10:41" x14ac:dyDescent="0.25">
      <c r="J152" s="3"/>
      <c r="K152" s="3"/>
      <c r="L152" s="3"/>
      <c r="M152" s="3"/>
      <c r="AC152" s="3"/>
      <c r="AD152" s="3"/>
      <c r="AE152" s="3"/>
      <c r="AF152" s="3"/>
      <c r="AG152" s="3"/>
      <c r="AH152" s="3"/>
      <c r="AI152" s="3"/>
      <c r="AJ152" s="3"/>
      <c r="AK152" s="3"/>
      <c r="AL152" s="3"/>
      <c r="AM152" s="3"/>
      <c r="AN152" s="3"/>
      <c r="AO152" s="3"/>
    </row>
    <row r="153" spans="10:41" x14ac:dyDescent="0.25">
      <c r="J153" s="3"/>
      <c r="K153" s="3"/>
      <c r="L153" s="3"/>
      <c r="M153" s="3"/>
      <c r="AC153" s="3"/>
      <c r="AD153" s="3"/>
      <c r="AE153" s="3"/>
      <c r="AF153" s="3"/>
      <c r="AG153" s="3"/>
      <c r="AH153" s="3"/>
      <c r="AI153" s="3"/>
      <c r="AJ153" s="3"/>
      <c r="AK153" s="3"/>
      <c r="AL153" s="3"/>
      <c r="AM153" s="3"/>
      <c r="AN153" s="3"/>
      <c r="AO153" s="3"/>
    </row>
    <row r="154" spans="10:41" x14ac:dyDescent="0.25">
      <c r="J154" s="3"/>
      <c r="K154" s="3"/>
      <c r="L154" s="3"/>
      <c r="M154" s="3"/>
      <c r="AC154" s="3"/>
      <c r="AD154" s="3"/>
      <c r="AE154" s="3"/>
      <c r="AF154" s="3"/>
      <c r="AG154" s="3"/>
      <c r="AH154" s="3"/>
      <c r="AI154" s="3"/>
      <c r="AJ154" s="3"/>
      <c r="AK154" s="3"/>
      <c r="AL154" s="3"/>
      <c r="AM154" s="3"/>
      <c r="AN154" s="3"/>
      <c r="AO154" s="3"/>
    </row>
    <row r="155" spans="10:41" x14ac:dyDescent="0.25">
      <c r="J155" s="3"/>
      <c r="K155" s="3"/>
      <c r="L155" s="3"/>
      <c r="M155" s="3"/>
      <c r="AC155" s="3"/>
      <c r="AD155" s="3"/>
      <c r="AE155" s="3"/>
      <c r="AF155" s="3"/>
      <c r="AG155" s="3"/>
      <c r="AH155" s="3"/>
      <c r="AI155" s="3"/>
      <c r="AJ155" s="3"/>
      <c r="AK155" s="3"/>
      <c r="AL155" s="3"/>
      <c r="AM155" s="3"/>
      <c r="AN155" s="3"/>
      <c r="AO155" s="3"/>
    </row>
    <row r="156" spans="10:41" x14ac:dyDescent="0.25">
      <c r="J156" s="3"/>
      <c r="K156" s="3"/>
      <c r="L156" s="3"/>
      <c r="M156" s="3"/>
      <c r="AC156" s="3"/>
      <c r="AD156" s="3"/>
      <c r="AE156" s="3"/>
      <c r="AF156" s="3"/>
      <c r="AG156" s="3"/>
      <c r="AH156" s="3"/>
      <c r="AI156" s="3"/>
      <c r="AJ156" s="3"/>
      <c r="AK156" s="3"/>
      <c r="AL156" s="3"/>
      <c r="AM156" s="3"/>
      <c r="AN156" s="3"/>
      <c r="AO156" s="3"/>
    </row>
    <row r="157" spans="10:41" x14ac:dyDescent="0.25">
      <c r="J157" s="3"/>
      <c r="K157" s="3"/>
      <c r="L157" s="3"/>
      <c r="M157" s="3"/>
      <c r="AC157" s="3"/>
      <c r="AD157" s="3"/>
      <c r="AE157" s="3"/>
      <c r="AF157" s="3"/>
      <c r="AG157" s="3"/>
      <c r="AH157" s="3"/>
      <c r="AI157" s="3"/>
      <c r="AJ157" s="3"/>
      <c r="AK157" s="3"/>
      <c r="AL157" s="3"/>
      <c r="AM157" s="3"/>
      <c r="AN157" s="3"/>
      <c r="AO157" s="3"/>
    </row>
    <row r="158" spans="10:41" x14ac:dyDescent="0.25">
      <c r="J158" s="3"/>
      <c r="K158" s="3"/>
      <c r="L158" s="3"/>
      <c r="M158" s="3"/>
      <c r="AC158" s="3"/>
      <c r="AD158" s="3"/>
      <c r="AE158" s="3"/>
      <c r="AF158" s="3"/>
      <c r="AG158" s="3"/>
      <c r="AH158" s="3"/>
      <c r="AI158" s="3"/>
      <c r="AJ158" s="3"/>
      <c r="AK158" s="3"/>
      <c r="AL158" s="3"/>
      <c r="AM158" s="3"/>
      <c r="AN158" s="3"/>
      <c r="AO158" s="3"/>
    </row>
    <row r="159" spans="10:41" x14ac:dyDescent="0.25">
      <c r="J159" s="3"/>
      <c r="K159" s="3"/>
      <c r="L159" s="3"/>
      <c r="M159" s="3"/>
      <c r="AC159" s="3"/>
      <c r="AD159" s="3"/>
      <c r="AE159" s="3"/>
      <c r="AF159" s="3"/>
      <c r="AG159" s="3"/>
      <c r="AH159" s="3"/>
      <c r="AI159" s="3"/>
      <c r="AJ159" s="3"/>
      <c r="AK159" s="3"/>
      <c r="AL159" s="3"/>
      <c r="AM159" s="3"/>
      <c r="AN159" s="3"/>
      <c r="AO159" s="3"/>
    </row>
    <row r="160" spans="10:41" x14ac:dyDescent="0.25">
      <c r="J160" s="3"/>
      <c r="K160" s="3"/>
      <c r="L160" s="3"/>
      <c r="M160" s="3"/>
      <c r="AC160" s="3"/>
      <c r="AD160" s="3"/>
      <c r="AE160" s="3"/>
      <c r="AF160" s="3"/>
      <c r="AG160" s="3"/>
      <c r="AH160" s="3"/>
      <c r="AI160" s="3"/>
      <c r="AJ160" s="3"/>
      <c r="AK160" s="3"/>
      <c r="AL160" s="3"/>
      <c r="AM160" s="3"/>
      <c r="AN160" s="3"/>
      <c r="AO160" s="3"/>
    </row>
    <row r="161" spans="10:41" x14ac:dyDescent="0.25">
      <c r="J161" s="3"/>
      <c r="K161" s="3"/>
      <c r="L161" s="3"/>
      <c r="M161" s="3"/>
      <c r="AC161" s="3"/>
      <c r="AD161" s="3"/>
      <c r="AE161" s="3"/>
      <c r="AF161" s="3"/>
      <c r="AG161" s="3"/>
      <c r="AH161" s="3"/>
      <c r="AI161" s="3"/>
      <c r="AJ161" s="3"/>
      <c r="AK161" s="3"/>
      <c r="AL161" s="3"/>
      <c r="AM161" s="3"/>
      <c r="AN161" s="3"/>
      <c r="AO161" s="3"/>
    </row>
    <row r="162" spans="10:41" x14ac:dyDescent="0.25">
      <c r="J162" s="3"/>
      <c r="K162" s="3"/>
      <c r="L162" s="3"/>
      <c r="M162" s="3"/>
      <c r="AC162" s="3"/>
      <c r="AD162" s="3"/>
      <c r="AE162" s="3"/>
      <c r="AF162" s="3"/>
      <c r="AG162" s="3"/>
      <c r="AH162" s="3"/>
      <c r="AI162" s="3"/>
      <c r="AJ162" s="3"/>
      <c r="AK162" s="3"/>
      <c r="AL162" s="3"/>
      <c r="AM162" s="3"/>
      <c r="AN162" s="3"/>
      <c r="AO162" s="3"/>
    </row>
    <row r="163" spans="10:41" x14ac:dyDescent="0.25">
      <c r="J163" s="3"/>
      <c r="K163" s="3"/>
      <c r="L163" s="3"/>
      <c r="M163" s="3"/>
      <c r="AC163" s="3"/>
      <c r="AD163" s="3"/>
      <c r="AE163" s="3"/>
      <c r="AF163" s="3"/>
      <c r="AG163" s="3"/>
      <c r="AH163" s="3"/>
      <c r="AI163" s="3"/>
      <c r="AJ163" s="3"/>
      <c r="AK163" s="3"/>
      <c r="AL163" s="3"/>
      <c r="AM163" s="3"/>
      <c r="AN163" s="3"/>
      <c r="AO163" s="3"/>
    </row>
    <row r="164" spans="10:41" x14ac:dyDescent="0.25">
      <c r="J164" s="3"/>
      <c r="K164" s="3"/>
      <c r="L164" s="3"/>
      <c r="M164" s="3"/>
      <c r="AC164" s="3"/>
      <c r="AD164" s="3"/>
      <c r="AE164" s="3"/>
      <c r="AF164" s="3"/>
      <c r="AG164" s="3"/>
      <c r="AH164" s="3"/>
      <c r="AI164" s="3"/>
      <c r="AJ164" s="3"/>
      <c r="AK164" s="3"/>
      <c r="AL164" s="3"/>
      <c r="AM164" s="3"/>
      <c r="AN164" s="3"/>
      <c r="AO164" s="3"/>
    </row>
    <row r="165" spans="10:41" x14ac:dyDescent="0.25">
      <c r="J165" s="3"/>
      <c r="K165" s="3"/>
      <c r="L165" s="3"/>
      <c r="M165" s="3"/>
    </row>
    <row r="166" spans="10:41" x14ac:dyDescent="0.25">
      <c r="J166" s="3"/>
      <c r="K166" s="3"/>
      <c r="L166" s="3"/>
      <c r="M166" s="3"/>
    </row>
    <row r="167" spans="10:41" x14ac:dyDescent="0.25">
      <c r="J167" s="3"/>
      <c r="K167" s="3"/>
      <c r="L167" s="3"/>
      <c r="M167" s="3"/>
    </row>
    <row r="168" spans="10:41" x14ac:dyDescent="0.25">
      <c r="J168" s="3"/>
      <c r="K168" s="3"/>
      <c r="L168" s="3"/>
      <c r="M168" s="3"/>
    </row>
    <row r="169" spans="10:41" x14ac:dyDescent="0.25">
      <c r="J169" s="3"/>
      <c r="K169" s="3"/>
      <c r="L169" s="3"/>
      <c r="M169" s="3"/>
    </row>
    <row r="170" spans="10:41" x14ac:dyDescent="0.25">
      <c r="J170" s="3"/>
      <c r="K170" s="3"/>
      <c r="L170" s="3"/>
      <c r="M170" s="3"/>
    </row>
    <row r="171" spans="10:41" x14ac:dyDescent="0.25">
      <c r="J171" s="3"/>
      <c r="K171" s="3"/>
      <c r="L171" s="3"/>
      <c r="M171" s="3"/>
    </row>
    <row r="172" spans="10:41" x14ac:dyDescent="0.25">
      <c r="J172" s="3"/>
      <c r="K172" s="3"/>
      <c r="L172" s="3"/>
      <c r="M172" s="3"/>
    </row>
    <row r="173" spans="10:41" x14ac:dyDescent="0.25">
      <c r="J173" s="3"/>
      <c r="K173" s="3"/>
      <c r="L173" s="3"/>
      <c r="M173" s="3"/>
    </row>
    <row r="174" spans="10:41" x14ac:dyDescent="0.25">
      <c r="J174" s="3"/>
      <c r="K174" s="3"/>
      <c r="L174" s="3"/>
      <c r="M174" s="3"/>
    </row>
    <row r="175" spans="10:41" x14ac:dyDescent="0.25">
      <c r="J175" s="3"/>
      <c r="K175" s="3"/>
      <c r="L175" s="3"/>
      <c r="M175" s="3"/>
    </row>
    <row r="176" spans="10:41" x14ac:dyDescent="0.25">
      <c r="J176" s="3"/>
      <c r="K176" s="3"/>
      <c r="L176" s="3"/>
      <c r="M176" s="3"/>
    </row>
    <row r="177" spans="10:13" x14ac:dyDescent="0.25">
      <c r="J177" s="3"/>
      <c r="K177" s="3"/>
      <c r="L177" s="3"/>
      <c r="M177" s="3"/>
    </row>
    <row r="178" spans="10:13" x14ac:dyDescent="0.25">
      <c r="J178" s="3"/>
      <c r="K178" s="3"/>
      <c r="L178" s="3"/>
      <c r="M178" s="3"/>
    </row>
    <row r="179" spans="10:13" x14ac:dyDescent="0.25">
      <c r="J179" s="3"/>
      <c r="K179" s="3"/>
      <c r="L179" s="3"/>
      <c r="M179" s="3"/>
    </row>
    <row r="180" spans="10:13" x14ac:dyDescent="0.25">
      <c r="J180" s="3"/>
      <c r="K180" s="3"/>
      <c r="L180" s="3"/>
      <c r="M180" s="3"/>
    </row>
    <row r="181" spans="10:13" x14ac:dyDescent="0.25">
      <c r="J181" s="3"/>
      <c r="K181" s="3"/>
      <c r="L181" s="3"/>
      <c r="M181" s="3"/>
    </row>
    <row r="182" spans="10:13" x14ac:dyDescent="0.25">
      <c r="J182" s="3"/>
      <c r="K182" s="3"/>
      <c r="L182" s="3"/>
      <c r="M182" s="3"/>
    </row>
    <row r="183" spans="10:13" x14ac:dyDescent="0.25">
      <c r="J183" s="3"/>
      <c r="K183" s="3"/>
      <c r="L183" s="3"/>
      <c r="M183" s="3"/>
    </row>
    <row r="184" spans="10:13" x14ac:dyDescent="0.25">
      <c r="J184" s="3"/>
      <c r="K184" s="3"/>
      <c r="L184" s="3"/>
      <c r="M184" s="3"/>
    </row>
    <row r="185" spans="10:13" x14ac:dyDescent="0.25">
      <c r="J185" s="3"/>
      <c r="K185" s="3"/>
      <c r="L185" s="3"/>
      <c r="M185" s="3"/>
    </row>
    <row r="186" spans="10:13" x14ac:dyDescent="0.25">
      <c r="J186" s="3"/>
      <c r="K186" s="3"/>
      <c r="L186" s="3"/>
      <c r="M186" s="3"/>
    </row>
    <row r="187" spans="10:13" x14ac:dyDescent="0.25">
      <c r="J187" s="3"/>
      <c r="K187" s="3"/>
      <c r="L187" s="3"/>
      <c r="M187" s="3"/>
    </row>
    <row r="188" spans="10:13" x14ac:dyDescent="0.25">
      <c r="J188" s="3"/>
      <c r="K188" s="3"/>
      <c r="L188" s="3"/>
      <c r="M188" s="3"/>
    </row>
    <row r="189" spans="10:13" x14ac:dyDescent="0.25">
      <c r="J189" s="3"/>
      <c r="K189" s="3"/>
      <c r="L189" s="3"/>
      <c r="M189" s="3"/>
    </row>
    <row r="190" spans="10:13" x14ac:dyDescent="0.25">
      <c r="J190" s="3"/>
      <c r="K190" s="3"/>
      <c r="L190" s="3"/>
      <c r="M190" s="3"/>
    </row>
    <row r="191" spans="10:13" x14ac:dyDescent="0.25">
      <c r="J191" s="3"/>
      <c r="K191" s="3"/>
      <c r="L191" s="3"/>
      <c r="M191" s="3"/>
    </row>
    <row r="192" spans="10:13" x14ac:dyDescent="0.25">
      <c r="J192" s="3"/>
      <c r="K192" s="3"/>
      <c r="L192" s="3"/>
      <c r="M192" s="3"/>
    </row>
    <row r="193" spans="10:13" x14ac:dyDescent="0.25">
      <c r="J193" s="3"/>
      <c r="K193" s="3"/>
      <c r="L193" s="3"/>
      <c r="M193" s="3"/>
    </row>
    <row r="194" spans="10:13" x14ac:dyDescent="0.25">
      <c r="J194" s="3"/>
      <c r="K194" s="3"/>
      <c r="L194" s="3"/>
      <c r="M194" s="3"/>
    </row>
    <row r="195" spans="10:13" x14ac:dyDescent="0.25">
      <c r="J195" s="3"/>
      <c r="K195" s="3"/>
      <c r="L195" s="3"/>
      <c r="M195" s="3"/>
    </row>
    <row r="196" spans="10:13" x14ac:dyDescent="0.25">
      <c r="J196" s="3"/>
      <c r="K196" s="3"/>
      <c r="L196" s="3"/>
      <c r="M196" s="3"/>
    </row>
    <row r="197" spans="10:13" x14ac:dyDescent="0.25">
      <c r="J197" s="3"/>
      <c r="K197" s="3"/>
      <c r="L197" s="3"/>
      <c r="M197" s="3"/>
    </row>
    <row r="198" spans="10:13" x14ac:dyDescent="0.25">
      <c r="J198" s="3"/>
      <c r="K198" s="3"/>
      <c r="L198" s="3"/>
      <c r="M198" s="3"/>
    </row>
    <row r="199" spans="10:13" x14ac:dyDescent="0.25">
      <c r="J199" s="3"/>
      <c r="K199" s="3"/>
      <c r="L199" s="3"/>
      <c r="M199" s="3"/>
    </row>
    <row r="200" spans="10:13" x14ac:dyDescent="0.25">
      <c r="J200" s="3"/>
      <c r="K200" s="3"/>
      <c r="L200" s="3"/>
      <c r="M200" s="3"/>
    </row>
    <row r="201" spans="10:13" x14ac:dyDescent="0.25">
      <c r="J201" s="3"/>
      <c r="K201" s="3"/>
      <c r="L201" s="3"/>
      <c r="M201" s="3"/>
    </row>
    <row r="202" spans="10:13" x14ac:dyDescent="0.25">
      <c r="J202" s="3"/>
      <c r="K202" s="3"/>
      <c r="L202" s="3"/>
      <c r="M202" s="3"/>
    </row>
    <row r="203" spans="10:13" x14ac:dyDescent="0.25">
      <c r="J203" s="3"/>
      <c r="K203" s="3"/>
      <c r="L203" s="3"/>
      <c r="M203" s="3"/>
    </row>
    <row r="204" spans="10:13" x14ac:dyDescent="0.25">
      <c r="J204" s="3"/>
      <c r="K204" s="3"/>
      <c r="L204" s="3"/>
      <c r="M204" s="3"/>
    </row>
    <row r="205" spans="10:13" x14ac:dyDescent="0.25">
      <c r="J205" s="3"/>
      <c r="K205" s="3"/>
      <c r="L205" s="3"/>
      <c r="M205" s="3"/>
    </row>
    <row r="206" spans="10:13" x14ac:dyDescent="0.25">
      <c r="J206" s="3"/>
      <c r="K206" s="3"/>
      <c r="L206" s="3"/>
      <c r="M206" s="3"/>
    </row>
    <row r="207" spans="10:13" x14ac:dyDescent="0.25">
      <c r="J207" s="3"/>
      <c r="K207" s="3"/>
      <c r="L207" s="3"/>
      <c r="M207" s="3"/>
    </row>
    <row r="208" spans="10:13" x14ac:dyDescent="0.25">
      <c r="J208" s="3"/>
      <c r="K208" s="3"/>
      <c r="L208" s="3"/>
      <c r="M208" s="3"/>
    </row>
    <row r="209" spans="10:13" x14ac:dyDescent="0.25">
      <c r="J209" s="3"/>
      <c r="K209" s="3"/>
      <c r="L209" s="3"/>
      <c r="M209" s="3"/>
    </row>
    <row r="210" spans="10:13" x14ac:dyDescent="0.25">
      <c r="J210" s="3"/>
      <c r="K210" s="3"/>
      <c r="L210" s="3"/>
      <c r="M210" s="3"/>
    </row>
    <row r="211" spans="10:13" x14ac:dyDescent="0.25">
      <c r="J211" s="3"/>
      <c r="K211" s="3"/>
      <c r="L211" s="3"/>
      <c r="M211" s="3"/>
    </row>
    <row r="212" spans="10:13" x14ac:dyDescent="0.25">
      <c r="J212" s="3"/>
      <c r="K212" s="3"/>
      <c r="L212" s="3"/>
      <c r="M212" s="3"/>
    </row>
    <row r="213" spans="10:13" x14ac:dyDescent="0.25">
      <c r="J213" s="3"/>
      <c r="K213" s="3"/>
      <c r="L213" s="3"/>
      <c r="M213" s="3"/>
    </row>
    <row r="214" spans="10:13" x14ac:dyDescent="0.25">
      <c r="J214" s="3"/>
      <c r="K214" s="3"/>
      <c r="L214" s="3"/>
      <c r="M214" s="3"/>
    </row>
    <row r="215" spans="10:13" x14ac:dyDescent="0.25">
      <c r="J215" s="3"/>
      <c r="K215" s="3"/>
      <c r="L215" s="3"/>
      <c r="M215" s="3"/>
    </row>
    <row r="216" spans="10:13" x14ac:dyDescent="0.25">
      <c r="J216" s="3"/>
      <c r="K216" s="3"/>
      <c r="L216" s="3"/>
      <c r="M216" s="3"/>
    </row>
    <row r="217" spans="10:13" x14ac:dyDescent="0.25">
      <c r="J217" s="3"/>
      <c r="K217" s="3"/>
      <c r="L217" s="3"/>
      <c r="M217" s="3"/>
    </row>
    <row r="218" spans="10:13" x14ac:dyDescent="0.25">
      <c r="J218" s="3"/>
      <c r="K218" s="3"/>
      <c r="L218" s="3"/>
      <c r="M218" s="3"/>
    </row>
    <row r="219" spans="10:13" x14ac:dyDescent="0.25">
      <c r="J219" s="3"/>
      <c r="K219" s="3"/>
      <c r="L219" s="3"/>
      <c r="M219" s="3"/>
    </row>
    <row r="220" spans="10:13" x14ac:dyDescent="0.25">
      <c r="J220" s="3"/>
      <c r="K220" s="3"/>
      <c r="L220" s="3"/>
      <c r="M220" s="3"/>
    </row>
    <row r="221" spans="10:13" x14ac:dyDescent="0.25">
      <c r="J221" s="3"/>
      <c r="K221" s="3"/>
      <c r="L221" s="3"/>
      <c r="M221" s="3"/>
    </row>
    <row r="222" spans="10:13" x14ac:dyDescent="0.25">
      <c r="J222" s="3"/>
      <c r="K222" s="3"/>
      <c r="L222" s="3"/>
      <c r="M222" s="3"/>
    </row>
    <row r="223" spans="10:13" x14ac:dyDescent="0.25">
      <c r="J223" s="3"/>
      <c r="K223" s="3"/>
      <c r="L223" s="3"/>
      <c r="M223" s="3"/>
    </row>
    <row r="224" spans="10:13" x14ac:dyDescent="0.25">
      <c r="J224" s="3"/>
      <c r="K224" s="3"/>
      <c r="L224" s="3"/>
      <c r="M224" s="3"/>
    </row>
    <row r="225" spans="10:13" x14ac:dyDescent="0.25">
      <c r="J225" s="3"/>
      <c r="K225" s="3"/>
      <c r="L225" s="3"/>
      <c r="M225" s="3"/>
    </row>
    <row r="226" spans="10:13" x14ac:dyDescent="0.25">
      <c r="J226" s="3"/>
      <c r="K226" s="3"/>
      <c r="L226" s="3"/>
      <c r="M226" s="3"/>
    </row>
    <row r="227" spans="10:13" x14ac:dyDescent="0.25">
      <c r="J227" s="3"/>
      <c r="K227" s="3"/>
      <c r="L227" s="3"/>
      <c r="M227" s="3"/>
    </row>
    <row r="228" spans="10:13" x14ac:dyDescent="0.25">
      <c r="J228" s="3"/>
      <c r="K228" s="3"/>
      <c r="L228" s="3"/>
      <c r="M228" s="3"/>
    </row>
    <row r="229" spans="10:13" x14ac:dyDescent="0.25">
      <c r="J229" s="3"/>
      <c r="K229" s="3"/>
      <c r="L229" s="3"/>
      <c r="M229" s="3"/>
    </row>
    <row r="230" spans="10:13" x14ac:dyDescent="0.25">
      <c r="J230" s="3"/>
      <c r="K230" s="3"/>
      <c r="L230" s="3"/>
      <c r="M230" s="3"/>
    </row>
    <row r="231" spans="10:13" x14ac:dyDescent="0.25">
      <c r="J231" s="3"/>
      <c r="K231" s="3"/>
      <c r="L231" s="3"/>
      <c r="M231" s="3"/>
    </row>
    <row r="232" spans="10:13" x14ac:dyDescent="0.25">
      <c r="J232" s="3"/>
      <c r="K232" s="3"/>
      <c r="L232" s="3"/>
      <c r="M232" s="3"/>
    </row>
    <row r="233" spans="10:13" x14ac:dyDescent="0.25">
      <c r="J233" s="3"/>
      <c r="K233" s="3"/>
      <c r="L233" s="3"/>
      <c r="M233" s="3"/>
    </row>
    <row r="234" spans="10:13" x14ac:dyDescent="0.25">
      <c r="J234" s="3"/>
      <c r="K234" s="3"/>
      <c r="L234" s="3"/>
      <c r="M234" s="3"/>
    </row>
    <row r="235" spans="10:13" x14ac:dyDescent="0.25">
      <c r="J235" s="3"/>
      <c r="K235" s="3"/>
      <c r="L235" s="3"/>
      <c r="M235" s="3"/>
    </row>
    <row r="236" spans="10:13" x14ac:dyDescent="0.25">
      <c r="J236" s="3"/>
      <c r="K236" s="3"/>
      <c r="L236" s="3"/>
      <c r="M236" s="3"/>
    </row>
    <row r="237" spans="10:13" x14ac:dyDescent="0.25">
      <c r="J237" s="3"/>
      <c r="K237" s="3"/>
      <c r="L237" s="3"/>
      <c r="M237" s="3"/>
    </row>
    <row r="238" spans="10:13" x14ac:dyDescent="0.25">
      <c r="J238" s="3"/>
      <c r="K238" s="3"/>
      <c r="L238" s="3"/>
      <c r="M238" s="3"/>
    </row>
    <row r="239" spans="10:13" x14ac:dyDescent="0.25">
      <c r="J239" s="3"/>
      <c r="K239" s="3"/>
      <c r="L239" s="3"/>
      <c r="M239" s="3"/>
    </row>
    <row r="240" spans="10:13" x14ac:dyDescent="0.25">
      <c r="J240" s="3"/>
      <c r="K240" s="3"/>
      <c r="L240" s="3"/>
      <c r="M240" s="3"/>
    </row>
    <row r="241" spans="10:13" x14ac:dyDescent="0.25">
      <c r="J241" s="3"/>
      <c r="K241" s="3"/>
      <c r="L241" s="3"/>
      <c r="M241" s="3"/>
    </row>
    <row r="242" spans="10:13" x14ac:dyDescent="0.25">
      <c r="J242" s="3"/>
      <c r="K242" s="3"/>
      <c r="L242" s="3"/>
      <c r="M242" s="3"/>
    </row>
    <row r="243" spans="10:13" x14ac:dyDescent="0.25">
      <c r="J243" s="3"/>
      <c r="K243" s="3"/>
      <c r="L243" s="3"/>
      <c r="M243" s="3"/>
    </row>
    <row r="244" spans="10:13" x14ac:dyDescent="0.25">
      <c r="J244" s="3"/>
      <c r="K244" s="3"/>
      <c r="L244" s="3"/>
      <c r="M244" s="3"/>
    </row>
    <row r="245" spans="10:13" x14ac:dyDescent="0.25">
      <c r="J245" s="3"/>
      <c r="K245" s="3"/>
      <c r="L245" s="3"/>
      <c r="M245" s="3"/>
    </row>
    <row r="246" spans="10:13" x14ac:dyDescent="0.25">
      <c r="J246" s="3"/>
      <c r="K246" s="3"/>
      <c r="L246" s="3"/>
      <c r="M246" s="3"/>
    </row>
    <row r="247" spans="10:13" x14ac:dyDescent="0.25">
      <c r="J247" s="3"/>
      <c r="K247" s="3"/>
      <c r="L247" s="3"/>
      <c r="M247" s="3"/>
    </row>
    <row r="248" spans="10:13" x14ac:dyDescent="0.25">
      <c r="J248" s="3"/>
      <c r="K248" s="3"/>
      <c r="L248" s="3"/>
      <c r="M248" s="3"/>
    </row>
    <row r="249" spans="10:13" x14ac:dyDescent="0.25">
      <c r="J249" s="3"/>
      <c r="K249" s="3"/>
      <c r="L249" s="3"/>
      <c r="M249" s="3"/>
    </row>
    <row r="250" spans="10:13" x14ac:dyDescent="0.25">
      <c r="J250" s="3"/>
      <c r="K250" s="3"/>
      <c r="L250" s="3"/>
      <c r="M250" s="3"/>
    </row>
    <row r="251" spans="10:13" x14ac:dyDescent="0.25">
      <c r="J251" s="3"/>
      <c r="K251" s="3"/>
      <c r="L251" s="3"/>
      <c r="M251" s="3"/>
    </row>
    <row r="252" spans="10:13" x14ac:dyDescent="0.25">
      <c r="J252" s="3"/>
      <c r="K252" s="3"/>
      <c r="L252" s="3"/>
      <c r="M252" s="3"/>
    </row>
    <row r="253" spans="10:13" x14ac:dyDescent="0.25">
      <c r="J253" s="3"/>
      <c r="K253" s="3"/>
      <c r="L253" s="3"/>
      <c r="M253" s="3"/>
    </row>
    <row r="254" spans="10:13" x14ac:dyDescent="0.25">
      <c r="J254" s="3"/>
      <c r="K254" s="3"/>
      <c r="L254" s="3"/>
      <c r="M254" s="3"/>
    </row>
    <row r="255" spans="10:13" x14ac:dyDescent="0.25">
      <c r="J255" s="3"/>
      <c r="K255" s="3"/>
      <c r="L255" s="3"/>
      <c r="M255" s="3"/>
    </row>
    <row r="256" spans="10:13" x14ac:dyDescent="0.25">
      <c r="J256" s="3"/>
      <c r="K256" s="3"/>
      <c r="L256" s="3"/>
      <c r="M256" s="3"/>
    </row>
    <row r="257" spans="10:13" x14ac:dyDescent="0.25">
      <c r="J257" s="3"/>
      <c r="K257" s="3"/>
      <c r="L257" s="3"/>
      <c r="M257" s="3"/>
    </row>
    <row r="258" spans="10:13" x14ac:dyDescent="0.25">
      <c r="J258" s="3"/>
      <c r="K258" s="3"/>
      <c r="L258" s="3"/>
      <c r="M258" s="3"/>
    </row>
    <row r="259" spans="10:13" x14ac:dyDescent="0.25">
      <c r="J259" s="3"/>
      <c r="K259" s="3"/>
      <c r="L259" s="3"/>
      <c r="M259" s="3"/>
    </row>
    <row r="260" spans="10:13" x14ac:dyDescent="0.25">
      <c r="J260" s="3"/>
      <c r="K260" s="3"/>
      <c r="L260" s="3"/>
      <c r="M260" s="3"/>
    </row>
    <row r="261" spans="10:13" x14ac:dyDescent="0.25">
      <c r="J261" s="3"/>
      <c r="K261" s="3"/>
      <c r="L261" s="3"/>
      <c r="M261" s="3"/>
    </row>
    <row r="262" spans="10:13" x14ac:dyDescent="0.25">
      <c r="J262" s="3"/>
      <c r="K262" s="3"/>
      <c r="L262" s="3"/>
      <c r="M262" s="3"/>
    </row>
    <row r="263" spans="10:13" x14ac:dyDescent="0.25">
      <c r="J263" s="3"/>
      <c r="K263" s="3"/>
      <c r="L263" s="3"/>
      <c r="M263" s="3"/>
    </row>
    <row r="264" spans="10:13" x14ac:dyDescent="0.25">
      <c r="J264" s="3"/>
      <c r="K264" s="3"/>
      <c r="L264" s="3"/>
      <c r="M264" s="3"/>
    </row>
    <row r="265" spans="10:13" x14ac:dyDescent="0.25">
      <c r="J265" s="3"/>
      <c r="K265" s="3"/>
      <c r="L265" s="3"/>
      <c r="M265" s="3"/>
    </row>
    <row r="266" spans="10:13" x14ac:dyDescent="0.25">
      <c r="J266" s="3"/>
      <c r="K266" s="3"/>
      <c r="L266" s="3"/>
      <c r="M266" s="3"/>
    </row>
    <row r="267" spans="10:13" x14ac:dyDescent="0.25">
      <c r="J267" s="3"/>
      <c r="K267" s="3"/>
      <c r="L267" s="3"/>
      <c r="M267" s="3"/>
    </row>
    <row r="268" spans="10:13" x14ac:dyDescent="0.25">
      <c r="J268" s="3"/>
      <c r="K268" s="3"/>
      <c r="L268" s="3"/>
      <c r="M268" s="3"/>
    </row>
    <row r="269" spans="10:13" x14ac:dyDescent="0.25">
      <c r="J269" s="3"/>
      <c r="K269" s="3"/>
      <c r="L269" s="3"/>
      <c r="M269" s="3"/>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C0E53-2333-44F3-BC6F-75F93AB74A0A}">
  <dimension ref="A1:AM22"/>
  <sheetViews>
    <sheetView workbookViewId="0"/>
  </sheetViews>
  <sheetFormatPr defaultRowHeight="15" x14ac:dyDescent="0.25"/>
  <cols>
    <col min="3" max="3" width="10.5703125" bestFit="1" customWidth="1"/>
    <col min="14" max="14" width="10.5703125" bestFit="1" customWidth="1"/>
    <col min="28" max="28" width="10.5703125" bestFit="1" customWidth="1"/>
  </cols>
  <sheetData>
    <row r="1" spans="1:39" x14ac:dyDescent="0.25">
      <c r="A1" s="5"/>
      <c r="B1" s="5" t="s">
        <v>2</v>
      </c>
      <c r="C1" s="5" t="s">
        <v>2</v>
      </c>
      <c r="D1" t="s">
        <v>2</v>
      </c>
      <c r="E1" t="s">
        <v>2</v>
      </c>
      <c r="F1" t="s">
        <v>2</v>
      </c>
      <c r="G1" s="5" t="s">
        <v>2</v>
      </c>
      <c r="H1" t="s">
        <v>27</v>
      </c>
      <c r="I1" t="s">
        <v>27</v>
      </c>
      <c r="J1" t="s">
        <v>27</v>
      </c>
      <c r="K1" t="s">
        <v>27</v>
      </c>
      <c r="L1" s="5" t="s">
        <v>27</v>
      </c>
      <c r="M1" s="5" t="s">
        <v>27</v>
      </c>
      <c r="N1" s="5" t="s">
        <v>28</v>
      </c>
      <c r="O1" t="s">
        <v>28</v>
      </c>
      <c r="P1" t="s">
        <v>28</v>
      </c>
      <c r="Q1" t="s">
        <v>28</v>
      </c>
      <c r="R1" s="5" t="s">
        <v>28</v>
      </c>
      <c r="S1" s="5" t="s">
        <v>28</v>
      </c>
      <c r="T1" s="5" t="s">
        <v>28</v>
      </c>
      <c r="U1" s="5" t="s">
        <v>46</v>
      </c>
      <c r="V1" s="5" t="s">
        <v>46</v>
      </c>
      <c r="W1" s="5" t="s">
        <v>46</v>
      </c>
      <c r="X1" s="5" t="s">
        <v>46</v>
      </c>
      <c r="Y1" s="5" t="s">
        <v>46</v>
      </c>
      <c r="Z1" s="5" t="s">
        <v>46</v>
      </c>
      <c r="AB1" s="5" t="s">
        <v>69</v>
      </c>
      <c r="AC1" s="5" t="s">
        <v>69</v>
      </c>
      <c r="AD1" s="5" t="s">
        <v>69</v>
      </c>
      <c r="AE1" s="5" t="s">
        <v>69</v>
      </c>
      <c r="AF1" s="5" t="s">
        <v>69</v>
      </c>
      <c r="AG1" s="5" t="s">
        <v>69</v>
      </c>
      <c r="AH1" s="5" t="s">
        <v>69</v>
      </c>
      <c r="AI1" s="5" t="s">
        <v>69</v>
      </c>
      <c r="AJ1" t="s">
        <v>69</v>
      </c>
      <c r="AK1" s="5" t="s">
        <v>69</v>
      </c>
      <c r="AL1" s="5" t="s">
        <v>69</v>
      </c>
      <c r="AM1" s="5" t="s">
        <v>69</v>
      </c>
    </row>
    <row r="2" spans="1:39" x14ac:dyDescent="0.25">
      <c r="A2" s="5"/>
      <c r="B2" s="5"/>
      <c r="C2" s="5"/>
      <c r="G2" s="5"/>
      <c r="I2" t="s">
        <v>36</v>
      </c>
      <c r="J2" t="s">
        <v>39</v>
      </c>
      <c r="K2" t="s">
        <v>40</v>
      </c>
      <c r="L2" s="5"/>
      <c r="M2" s="5"/>
      <c r="N2" s="5"/>
      <c r="R2" s="5"/>
      <c r="S2" s="5"/>
      <c r="T2" s="5"/>
      <c r="U2" s="5"/>
      <c r="V2" s="5"/>
      <c r="W2" s="5"/>
      <c r="X2" s="5"/>
      <c r="Y2" s="5"/>
      <c r="Z2" s="5"/>
      <c r="AB2" s="5"/>
      <c r="AC2" s="5"/>
      <c r="AD2" s="5"/>
      <c r="AE2" s="5"/>
      <c r="AF2" s="5"/>
      <c r="AG2" s="5"/>
      <c r="AH2" s="5"/>
      <c r="AI2" s="5"/>
      <c r="AK2" s="5"/>
      <c r="AL2" s="5"/>
      <c r="AM2" s="5"/>
    </row>
    <row r="3" spans="1:39" x14ac:dyDescent="0.25">
      <c r="A3" s="5"/>
      <c r="B3" s="5"/>
      <c r="C3" s="5"/>
      <c r="D3" t="s">
        <v>4</v>
      </c>
      <c r="E3" t="s">
        <v>4</v>
      </c>
      <c r="F3" t="s">
        <v>72</v>
      </c>
      <c r="G3" s="5"/>
      <c r="H3" t="s">
        <v>42</v>
      </c>
      <c r="I3" t="s">
        <v>38</v>
      </c>
      <c r="J3" t="s">
        <v>37</v>
      </c>
      <c r="K3" t="s">
        <v>37</v>
      </c>
      <c r="L3" s="5"/>
      <c r="M3" s="5"/>
      <c r="N3" s="5" t="s">
        <v>74</v>
      </c>
      <c r="O3" t="s">
        <v>29</v>
      </c>
      <c r="P3" t="s">
        <v>32</v>
      </c>
      <c r="Q3" t="s">
        <v>31</v>
      </c>
      <c r="R3" s="5"/>
      <c r="S3" s="5"/>
      <c r="T3" s="5"/>
      <c r="U3" s="5"/>
      <c r="V3" s="5"/>
      <c r="W3" s="5"/>
      <c r="X3" s="5"/>
      <c r="Y3" s="5"/>
      <c r="Z3" s="5"/>
      <c r="AB3" s="5"/>
      <c r="AC3" s="5"/>
      <c r="AD3" s="5"/>
      <c r="AE3" s="5"/>
      <c r="AF3" s="5"/>
      <c r="AG3" s="5"/>
      <c r="AH3" s="5"/>
      <c r="AI3" s="5"/>
      <c r="AK3" s="5"/>
      <c r="AL3" s="5"/>
      <c r="AM3" s="5"/>
    </row>
    <row r="4" spans="1:39" x14ac:dyDescent="0.25">
      <c r="A4" s="5" t="s">
        <v>50</v>
      </c>
      <c r="B4" s="5" t="s">
        <v>140</v>
      </c>
      <c r="C4" s="5" t="s">
        <v>141</v>
      </c>
      <c r="D4" t="s">
        <v>5</v>
      </c>
      <c r="E4" t="s">
        <v>15</v>
      </c>
      <c r="F4" t="s">
        <v>15</v>
      </c>
      <c r="G4" s="5" t="s">
        <v>19</v>
      </c>
      <c r="H4" t="s">
        <v>38</v>
      </c>
      <c r="I4" t="s">
        <v>5</v>
      </c>
      <c r="J4" t="s">
        <v>41</v>
      </c>
      <c r="K4" t="s">
        <v>41</v>
      </c>
      <c r="L4" s="5" t="s">
        <v>21</v>
      </c>
      <c r="M4" s="5" t="s">
        <v>22</v>
      </c>
      <c r="N4" s="5" t="s">
        <v>73</v>
      </c>
      <c r="O4" t="s">
        <v>5</v>
      </c>
      <c r="P4" t="s">
        <v>5</v>
      </c>
      <c r="Q4" t="s">
        <v>77</v>
      </c>
      <c r="R4" s="5" t="s">
        <v>24</v>
      </c>
      <c r="S4" s="5" t="s">
        <v>25</v>
      </c>
      <c r="T4" s="5" t="s">
        <v>26</v>
      </c>
      <c r="U4" s="5" t="s">
        <v>43</v>
      </c>
      <c r="V4" s="5" t="s">
        <v>44</v>
      </c>
      <c r="W4" s="5" t="s">
        <v>45</v>
      </c>
      <c r="X4" s="5" t="s">
        <v>47</v>
      </c>
      <c r="Y4" s="5" t="s">
        <v>48</v>
      </c>
      <c r="Z4" s="5" t="s">
        <v>49</v>
      </c>
      <c r="AA4" t="s">
        <v>70</v>
      </c>
      <c r="AB4" s="5" t="s">
        <v>75</v>
      </c>
      <c r="AC4" s="5" t="s">
        <v>55</v>
      </c>
      <c r="AD4" s="5" t="s">
        <v>56</v>
      </c>
      <c r="AE4" s="5" t="s">
        <v>57</v>
      </c>
      <c r="AF4" s="5" t="s">
        <v>58</v>
      </c>
      <c r="AG4" s="5" t="s">
        <v>59</v>
      </c>
      <c r="AH4" s="5" t="s">
        <v>60</v>
      </c>
      <c r="AI4" s="5" t="s">
        <v>61</v>
      </c>
      <c r="AJ4" t="s">
        <v>66</v>
      </c>
      <c r="AK4" s="5" t="s">
        <v>62</v>
      </c>
      <c r="AL4" s="5" t="s">
        <v>63</v>
      </c>
      <c r="AM4" s="5" t="s">
        <v>64</v>
      </c>
    </row>
    <row r="5" spans="1:39" x14ac:dyDescent="0.25">
      <c r="A5" s="5"/>
      <c r="B5" s="5"/>
      <c r="C5" s="5"/>
      <c r="D5" t="s">
        <v>6</v>
      </c>
      <c r="E5" t="s">
        <v>6</v>
      </c>
      <c r="F5" t="s">
        <v>6</v>
      </c>
      <c r="G5" s="5" t="s">
        <v>20</v>
      </c>
      <c r="H5" t="s">
        <v>35</v>
      </c>
      <c r="I5" t="s">
        <v>35</v>
      </c>
      <c r="J5" t="s">
        <v>35</v>
      </c>
      <c r="K5" t="s">
        <v>35</v>
      </c>
      <c r="L5" s="5" t="s">
        <v>23</v>
      </c>
      <c r="M5" s="5" t="s">
        <v>20</v>
      </c>
      <c r="N5" s="5"/>
      <c r="O5" t="s">
        <v>30</v>
      </c>
      <c r="P5" t="s">
        <v>30</v>
      </c>
      <c r="Q5" t="s">
        <v>30</v>
      </c>
      <c r="R5" s="5" t="s">
        <v>33</v>
      </c>
      <c r="S5" s="5" t="s">
        <v>33</v>
      </c>
      <c r="T5" s="5" t="s">
        <v>33</v>
      </c>
      <c r="U5" s="5" t="s">
        <v>20</v>
      </c>
      <c r="V5" s="5" t="s">
        <v>20</v>
      </c>
      <c r="W5" s="5" t="s">
        <v>20</v>
      </c>
      <c r="X5" s="5" t="s">
        <v>20</v>
      </c>
      <c r="Y5" s="5" t="s">
        <v>20</v>
      </c>
      <c r="Z5" s="5" t="s">
        <v>20</v>
      </c>
      <c r="AB5" s="5"/>
      <c r="AC5" s="5"/>
      <c r="AD5" s="5" t="s">
        <v>71</v>
      </c>
      <c r="AE5" s="5" t="s">
        <v>23</v>
      </c>
      <c r="AF5" s="5" t="s">
        <v>67</v>
      </c>
      <c r="AG5" s="5" t="s">
        <v>23</v>
      </c>
      <c r="AH5" s="5" t="s">
        <v>68</v>
      </c>
      <c r="AI5" s="5"/>
      <c r="AK5" s="5"/>
      <c r="AL5" s="5" t="s">
        <v>23</v>
      </c>
      <c r="AM5" s="5" t="s">
        <v>23</v>
      </c>
    </row>
    <row r="6" spans="1:39" x14ac:dyDescent="0.25">
      <c r="A6" s="5" t="s">
        <v>50</v>
      </c>
      <c r="B6" s="5" t="s">
        <v>140</v>
      </c>
      <c r="C6" s="5" t="s">
        <v>141</v>
      </c>
      <c r="G6" s="5" t="s">
        <v>19</v>
      </c>
      <c r="L6" s="5" t="s">
        <v>21</v>
      </c>
      <c r="M6" s="5" t="s">
        <v>22</v>
      </c>
      <c r="N6" s="5" t="s">
        <v>73</v>
      </c>
      <c r="R6" s="5" t="s">
        <v>24</v>
      </c>
      <c r="S6" s="5" t="s">
        <v>25</v>
      </c>
      <c r="T6" s="5" t="s">
        <v>26</v>
      </c>
      <c r="U6" s="5" t="s">
        <v>43</v>
      </c>
      <c r="V6" s="5" t="s">
        <v>44</v>
      </c>
      <c r="W6" s="5" t="s">
        <v>45</v>
      </c>
      <c r="X6" s="5" t="s">
        <v>47</v>
      </c>
      <c r="Y6" s="5" t="s">
        <v>48</v>
      </c>
      <c r="Z6" s="5" t="s">
        <v>49</v>
      </c>
      <c r="AB6" s="5" t="s">
        <v>75</v>
      </c>
      <c r="AC6" s="5" t="s">
        <v>55</v>
      </c>
      <c r="AD6" s="5" t="s">
        <v>56</v>
      </c>
      <c r="AE6" s="5" t="s">
        <v>57</v>
      </c>
      <c r="AF6" s="5" t="s">
        <v>58</v>
      </c>
      <c r="AG6" s="5" t="s">
        <v>59</v>
      </c>
      <c r="AH6" s="5" t="s">
        <v>60</v>
      </c>
      <c r="AI6" s="5" t="s">
        <v>61</v>
      </c>
      <c r="AJ6" t="s">
        <v>66</v>
      </c>
      <c r="AK6" s="5" t="s">
        <v>62</v>
      </c>
      <c r="AL6" s="5" t="s">
        <v>63</v>
      </c>
      <c r="AM6" s="5" t="s">
        <v>64</v>
      </c>
    </row>
    <row r="7" spans="1:39" x14ac:dyDescent="0.25">
      <c r="A7" s="5" t="s">
        <v>123</v>
      </c>
      <c r="B7" s="5" t="s">
        <v>142</v>
      </c>
      <c r="C7" s="14">
        <v>45243</v>
      </c>
      <c r="D7" s="3">
        <v>8.6999999999999993</v>
      </c>
      <c r="E7" s="3">
        <v>7.7799999999999994</v>
      </c>
      <c r="F7" s="3">
        <v>1.43</v>
      </c>
      <c r="G7" s="6">
        <v>1027.948405511811</v>
      </c>
      <c r="H7" s="4">
        <v>21.43</v>
      </c>
      <c r="I7" s="4">
        <v>304.5</v>
      </c>
      <c r="J7" s="4">
        <v>283.07</v>
      </c>
      <c r="K7" s="4">
        <v>271.13</v>
      </c>
      <c r="L7" s="7">
        <v>4.2180379411452993</v>
      </c>
      <c r="M7" s="6">
        <v>984.58915175192465</v>
      </c>
      <c r="N7" s="14">
        <v>45244</v>
      </c>
      <c r="O7" s="4">
        <v>3.4000000000000004</v>
      </c>
      <c r="P7" s="13">
        <v>1.605</v>
      </c>
      <c r="Q7" s="13">
        <v>4.8499999999999996</v>
      </c>
      <c r="R7" s="8">
        <v>0.34901318249276381</v>
      </c>
      <c r="S7" s="8">
        <v>0.48613747801585733</v>
      </c>
      <c r="T7" s="8">
        <v>0.16484933949137887</v>
      </c>
      <c r="U7" s="6">
        <v>358.76754444603927</v>
      </c>
      <c r="V7" s="6">
        <v>499.72424538593361</v>
      </c>
      <c r="W7" s="6">
        <v>858.49178983197294</v>
      </c>
      <c r="X7" s="6">
        <v>343.63459330079002</v>
      </c>
      <c r="Y7" s="6">
        <v>478.64568711445287</v>
      </c>
      <c r="Z7" s="6">
        <v>822.28028041524294</v>
      </c>
      <c r="AB7" s="14">
        <v>45295</v>
      </c>
      <c r="AC7" s="6">
        <v>39.950000000000003</v>
      </c>
      <c r="AD7" s="11">
        <v>1.0579999999999998</v>
      </c>
      <c r="AE7" s="6">
        <v>80.849999999999994</v>
      </c>
      <c r="AF7" s="6">
        <v>26.85</v>
      </c>
      <c r="AG7" s="6">
        <v>4.7</v>
      </c>
      <c r="AH7" s="6">
        <v>77.3</v>
      </c>
      <c r="AI7" s="6">
        <v>8.9</v>
      </c>
      <c r="AK7" s="12">
        <v>23</v>
      </c>
      <c r="AL7" s="7">
        <v>0.40500000000000003</v>
      </c>
      <c r="AM7" s="6">
        <v>11.8</v>
      </c>
    </row>
    <row r="8" spans="1:39" x14ac:dyDescent="0.25">
      <c r="A8" s="5" t="s">
        <v>124</v>
      </c>
      <c r="B8" s="5" t="s">
        <v>142</v>
      </c>
      <c r="C8" s="14">
        <v>45243</v>
      </c>
      <c r="D8" s="3">
        <v>10.100000000000001</v>
      </c>
      <c r="E8" s="3">
        <v>9.1800000000000015</v>
      </c>
      <c r="F8" s="3">
        <v>1.43</v>
      </c>
      <c r="G8" s="6">
        <v>1184.2054921259844</v>
      </c>
      <c r="H8" s="4">
        <v>21.990000000000002</v>
      </c>
      <c r="I8" s="4">
        <v>304.57</v>
      </c>
      <c r="J8" s="4">
        <v>282.58</v>
      </c>
      <c r="K8" s="4">
        <v>268.86</v>
      </c>
      <c r="L8" s="7">
        <v>4.8552622266260776</v>
      </c>
      <c r="M8" s="6">
        <v>1126.70921018116</v>
      </c>
      <c r="N8" s="14">
        <v>45244</v>
      </c>
      <c r="O8" s="4">
        <v>8.7799999999999994</v>
      </c>
      <c r="P8" s="13">
        <v>3.5049999999999999</v>
      </c>
      <c r="Q8" s="13">
        <v>7.3029999999999999</v>
      </c>
      <c r="R8" s="8">
        <v>0.35168087242149637</v>
      </c>
      <c r="S8" s="8">
        <v>0.46671555425402939</v>
      </c>
      <c r="T8" s="8">
        <v>0.18160357332447424</v>
      </c>
      <c r="U8" s="6">
        <v>416.46242059719367</v>
      </c>
      <c r="V8" s="6">
        <v>552.68712260824441</v>
      </c>
      <c r="W8" s="6">
        <v>969.14954320543802</v>
      </c>
      <c r="X8" s="6">
        <v>396.24207800184547</v>
      </c>
      <c r="Y8" s="6">
        <v>525.85271351281972</v>
      </c>
      <c r="Z8" s="6">
        <v>922.09479151466519</v>
      </c>
      <c r="AB8" s="14">
        <v>45295</v>
      </c>
      <c r="AC8" s="6">
        <v>40.849999999999994</v>
      </c>
      <c r="AD8" s="11">
        <v>1.1259999999999999</v>
      </c>
      <c r="AE8" s="6">
        <v>81.849999999999994</v>
      </c>
      <c r="AF8" s="6">
        <v>30.45</v>
      </c>
      <c r="AG8" s="6">
        <v>4.9000000000000004</v>
      </c>
      <c r="AH8" s="6">
        <v>79.599999999999994</v>
      </c>
      <c r="AI8" s="6">
        <v>8.9499999999999993</v>
      </c>
      <c r="AK8" s="12">
        <v>12.5</v>
      </c>
      <c r="AL8" s="7">
        <v>0.12</v>
      </c>
      <c r="AM8" s="6">
        <v>8.6499999999999986</v>
      </c>
    </row>
    <row r="9" spans="1:39" x14ac:dyDescent="0.25">
      <c r="A9" s="5" t="s">
        <v>125</v>
      </c>
      <c r="B9" s="5" t="s">
        <v>142</v>
      </c>
      <c r="C9" s="14">
        <v>45243</v>
      </c>
      <c r="D9" s="3">
        <v>19.600000000000001</v>
      </c>
      <c r="E9" s="3">
        <v>18.68</v>
      </c>
      <c r="F9" s="3">
        <v>1.43</v>
      </c>
      <c r="G9" s="6">
        <v>2244.5214370078738</v>
      </c>
      <c r="H9" s="4">
        <v>22</v>
      </c>
      <c r="I9" s="4">
        <v>246.38</v>
      </c>
      <c r="J9" s="4">
        <v>224.38</v>
      </c>
      <c r="K9" s="4">
        <v>217.02</v>
      </c>
      <c r="L9" s="7">
        <v>3.2801497459666575</v>
      </c>
      <c r="M9" s="6">
        <v>2170.8977727936931</v>
      </c>
      <c r="N9" s="14">
        <v>45244</v>
      </c>
      <c r="O9" s="4">
        <v>8.61</v>
      </c>
      <c r="P9" s="13">
        <v>3.3850000000000002</v>
      </c>
      <c r="Q9" s="13">
        <v>7.3049999999999997</v>
      </c>
      <c r="R9" s="8">
        <v>0.34433112376828329</v>
      </c>
      <c r="S9" s="8">
        <v>0.4766441114197611</v>
      </c>
      <c r="T9" s="8">
        <v>0.17902476481195556</v>
      </c>
      <c r="U9" s="6">
        <v>772.85858872692324</v>
      </c>
      <c r="V9" s="6">
        <v>1069.8379259052233</v>
      </c>
      <c r="W9" s="6">
        <v>1842.6965146321465</v>
      </c>
      <c r="X9" s="6">
        <v>747.50766969211566</v>
      </c>
      <c r="Y9" s="6">
        <v>1034.7456398963882</v>
      </c>
      <c r="Z9" s="6">
        <v>1782.2533095885037</v>
      </c>
      <c r="AB9" s="14">
        <v>45295</v>
      </c>
      <c r="AC9" s="6">
        <v>43.75</v>
      </c>
      <c r="AD9" s="11">
        <v>1.1094999999999999</v>
      </c>
      <c r="AE9" s="6">
        <v>81.349999999999994</v>
      </c>
      <c r="AF9" s="6">
        <v>28.15</v>
      </c>
      <c r="AG9" s="6">
        <v>5.05</v>
      </c>
      <c r="AH9" s="6">
        <v>79.599999999999994</v>
      </c>
      <c r="AI9" s="6">
        <v>8.85</v>
      </c>
      <c r="AK9" s="12">
        <v>9.5</v>
      </c>
      <c r="AL9" s="7">
        <v>0.155</v>
      </c>
      <c r="AM9" s="6">
        <v>10.65</v>
      </c>
    </row>
    <row r="10" spans="1:39" x14ac:dyDescent="0.25">
      <c r="A10" s="5" t="s">
        <v>126</v>
      </c>
      <c r="B10" s="5" t="s">
        <v>142</v>
      </c>
      <c r="C10" s="14">
        <v>45243</v>
      </c>
      <c r="D10" s="3">
        <v>12.5</v>
      </c>
      <c r="E10" s="3">
        <v>11.58</v>
      </c>
      <c r="F10" s="3">
        <v>1.43</v>
      </c>
      <c r="G10" s="6">
        <v>1452.074783464567</v>
      </c>
      <c r="H10" s="4">
        <v>22.08</v>
      </c>
      <c r="I10" s="4">
        <v>281.85000000000002</v>
      </c>
      <c r="J10" s="4">
        <v>259.77000000000004</v>
      </c>
      <c r="K10" s="4">
        <v>247.82</v>
      </c>
      <c r="L10" s="7">
        <v>4.6002232744350939</v>
      </c>
      <c r="M10" s="6">
        <v>1385.276101313427</v>
      </c>
      <c r="N10" s="14">
        <v>45244</v>
      </c>
      <c r="O10" s="4">
        <v>5.4</v>
      </c>
      <c r="P10" s="13">
        <v>2.2749999999999999</v>
      </c>
      <c r="Q10" s="13">
        <v>5.6750000000000007</v>
      </c>
      <c r="R10" s="8">
        <v>0.34338844267613416</v>
      </c>
      <c r="S10" s="8">
        <v>0.45658019116785836</v>
      </c>
      <c r="T10" s="8">
        <v>0.20003136615600742</v>
      </c>
      <c r="U10" s="6">
        <v>498.62569854318241</v>
      </c>
      <c r="V10" s="6">
        <v>662.9885822242785</v>
      </c>
      <c r="W10" s="6">
        <v>1161.614280767461</v>
      </c>
      <c r="X10" s="6">
        <v>475.68780310648435</v>
      </c>
      <c r="Y10" s="6">
        <v>632.48962715795005</v>
      </c>
      <c r="Z10" s="6">
        <v>1108.1774302644344</v>
      </c>
      <c r="AB10" s="14">
        <v>45295</v>
      </c>
      <c r="AC10" s="6">
        <v>44.4</v>
      </c>
      <c r="AD10" s="11">
        <v>1.0585</v>
      </c>
      <c r="AE10" s="6">
        <v>80.5</v>
      </c>
      <c r="AF10" s="6">
        <v>28.35</v>
      </c>
      <c r="AG10" s="6">
        <v>4.8499999999999996</v>
      </c>
      <c r="AH10" s="6">
        <v>78.300000000000011</v>
      </c>
      <c r="AI10" s="6">
        <v>8.6999999999999993</v>
      </c>
      <c r="AK10" s="12">
        <v>14</v>
      </c>
      <c r="AL10" s="7">
        <v>0.18</v>
      </c>
      <c r="AM10" s="6">
        <v>12.55</v>
      </c>
    </row>
    <row r="11" spans="1:39" x14ac:dyDescent="0.25">
      <c r="A11" s="5" t="s">
        <v>127</v>
      </c>
      <c r="B11" s="5" t="s">
        <v>142</v>
      </c>
      <c r="C11" s="14">
        <v>45243</v>
      </c>
      <c r="D11" s="3">
        <v>8.5</v>
      </c>
      <c r="E11" s="3">
        <v>7.58</v>
      </c>
      <c r="F11" s="3">
        <v>1.43</v>
      </c>
      <c r="G11" s="6">
        <v>1005.625964566929</v>
      </c>
      <c r="H11" s="4">
        <v>22.03</v>
      </c>
      <c r="I11" s="4">
        <v>368.5</v>
      </c>
      <c r="J11" s="4">
        <v>346.47</v>
      </c>
      <c r="K11" s="4">
        <v>333.46000000000004</v>
      </c>
      <c r="L11" s="7">
        <v>3.755014864201804</v>
      </c>
      <c r="M11" s="6">
        <v>967.86456011916812</v>
      </c>
      <c r="N11" s="14">
        <v>45244</v>
      </c>
      <c r="O11" s="4">
        <v>3.46</v>
      </c>
      <c r="P11" s="13">
        <v>1.615</v>
      </c>
      <c r="Q11" s="13">
        <v>4.7799999999999994</v>
      </c>
      <c r="R11" s="8">
        <v>0.34541742621252763</v>
      </c>
      <c r="S11" s="8">
        <v>0.45354524088799991</v>
      </c>
      <c r="T11" s="8">
        <v>0.20103733289947251</v>
      </c>
      <c r="U11" s="6">
        <v>347.36073241319912</v>
      </c>
      <c r="V11" s="6">
        <v>456.09687034273509</v>
      </c>
      <c r="W11" s="6">
        <v>803.4576027559342</v>
      </c>
      <c r="X11" s="6">
        <v>334.31728527868324</v>
      </c>
      <c r="Y11" s="6">
        <v>438.97036506620617</v>
      </c>
      <c r="Z11" s="6">
        <v>773.28765034488947</v>
      </c>
      <c r="AB11" s="14">
        <v>45295</v>
      </c>
      <c r="AC11" s="6">
        <v>42.55</v>
      </c>
      <c r="AD11" s="11">
        <v>1.0354999999999999</v>
      </c>
      <c r="AE11" s="6">
        <v>80.55</v>
      </c>
      <c r="AF11" s="6">
        <v>26.6</v>
      </c>
      <c r="AG11" s="6">
        <v>4.75</v>
      </c>
      <c r="AH11" s="6">
        <v>78.150000000000006</v>
      </c>
      <c r="AI11" s="6">
        <v>8.9499999999999993</v>
      </c>
      <c r="AK11" s="12">
        <v>23</v>
      </c>
      <c r="AL11" s="7">
        <v>0.40500000000000003</v>
      </c>
      <c r="AM11" s="6">
        <v>13.05</v>
      </c>
    </row>
    <row r="12" spans="1:39" x14ac:dyDescent="0.25">
      <c r="A12" s="5" t="s">
        <v>128</v>
      </c>
      <c r="B12" s="5" t="s">
        <v>142</v>
      </c>
      <c r="C12" s="14">
        <v>45243</v>
      </c>
      <c r="D12" s="3">
        <v>14.5</v>
      </c>
      <c r="E12" s="3">
        <v>13.58</v>
      </c>
      <c r="F12" s="3">
        <v>1.43</v>
      </c>
      <c r="G12" s="6">
        <v>1675.2991929133857</v>
      </c>
      <c r="H12" s="4">
        <v>22.1</v>
      </c>
      <c r="I12" s="4">
        <v>349.02</v>
      </c>
      <c r="J12" s="4">
        <v>326.91999999999996</v>
      </c>
      <c r="K12" s="4">
        <v>310.83</v>
      </c>
      <c r="L12" s="7">
        <v>4.9216933806435756</v>
      </c>
      <c r="M12" s="6">
        <v>1592.8461034297923</v>
      </c>
      <c r="N12" s="14">
        <v>45244</v>
      </c>
      <c r="O12" s="4">
        <v>6.18</v>
      </c>
      <c r="P12" s="13">
        <v>2.5300000000000002</v>
      </c>
      <c r="Q12" s="13">
        <v>6.1549999999999994</v>
      </c>
      <c r="R12" s="8">
        <v>0.34115980061108075</v>
      </c>
      <c r="S12" s="8">
        <v>0.47807489861827429</v>
      </c>
      <c r="T12" s="8">
        <v>0.18076530077064495</v>
      </c>
      <c r="U12" s="6">
        <v>571.54473861823521</v>
      </c>
      <c r="V12" s="6">
        <v>800.91849180734357</v>
      </c>
      <c r="W12" s="6">
        <v>1372.4632304255788</v>
      </c>
      <c r="X12" s="6">
        <v>543.41505905024485</v>
      </c>
      <c r="Y12" s="6">
        <v>761.49973941171118</v>
      </c>
      <c r="Z12" s="6">
        <v>1304.914798461956</v>
      </c>
      <c r="AB12" s="14">
        <v>45295</v>
      </c>
      <c r="AC12" s="6">
        <v>42.95</v>
      </c>
      <c r="AD12" s="11">
        <v>1.1200000000000001</v>
      </c>
      <c r="AE12" s="6">
        <v>81.099999999999994</v>
      </c>
      <c r="AF12" s="6">
        <v>28.95</v>
      </c>
      <c r="AG12" s="6">
        <v>5</v>
      </c>
      <c r="AH12" s="6">
        <v>79.650000000000006</v>
      </c>
      <c r="AI12" s="6">
        <v>9.0500000000000007</v>
      </c>
      <c r="AK12" s="12">
        <v>12</v>
      </c>
      <c r="AL12" s="7">
        <v>0.21000000000000002</v>
      </c>
      <c r="AM12" s="6">
        <v>10.1</v>
      </c>
    </row>
    <row r="13" spans="1:39" x14ac:dyDescent="0.25">
      <c r="A13" s="5" t="s">
        <v>129</v>
      </c>
      <c r="B13" s="5" t="s">
        <v>142</v>
      </c>
      <c r="C13" s="14">
        <v>45243</v>
      </c>
      <c r="D13" s="3">
        <v>18.899999999999999</v>
      </c>
      <c r="E13" s="3">
        <v>17.979999999999997</v>
      </c>
      <c r="F13" s="3">
        <v>1.43</v>
      </c>
      <c r="G13" s="6">
        <v>2166.3928937007872</v>
      </c>
      <c r="H13" s="4">
        <v>22.009999999999998</v>
      </c>
      <c r="I13" s="4">
        <v>254.38</v>
      </c>
      <c r="J13" s="4">
        <v>232.37</v>
      </c>
      <c r="K13" s="4">
        <v>225.20999999999998</v>
      </c>
      <c r="L13" s="7">
        <v>3.0812927658475813</v>
      </c>
      <c r="M13" s="6">
        <v>2099.6399861873488</v>
      </c>
      <c r="N13" s="14">
        <v>45244</v>
      </c>
      <c r="O13" s="4">
        <v>8.32</v>
      </c>
      <c r="P13" s="13">
        <v>3.2949999999999999</v>
      </c>
      <c r="Q13" s="13">
        <v>7.1649999999999991</v>
      </c>
      <c r="R13" s="8">
        <v>0.34557829646618188</v>
      </c>
      <c r="S13" s="8">
        <v>0.47641973130544657</v>
      </c>
      <c r="T13" s="8">
        <v>0.17800197222837155</v>
      </c>
      <c r="U13" s="6">
        <v>748.65836568156033</v>
      </c>
      <c r="V13" s="6">
        <v>1032.1123203189579</v>
      </c>
      <c r="W13" s="6">
        <v>1780.7706860005183</v>
      </c>
      <c r="X13" s="6">
        <v>725.5900096189016</v>
      </c>
      <c r="Y13" s="6">
        <v>1000.3099180575482</v>
      </c>
      <c r="Z13" s="6">
        <v>1725.8999276764498</v>
      </c>
      <c r="AB13" s="14">
        <v>45295</v>
      </c>
      <c r="AC13" s="6">
        <v>40.049999999999997</v>
      </c>
      <c r="AD13" s="11">
        <v>1.1564999999999999</v>
      </c>
      <c r="AE13" s="6">
        <v>82.2</v>
      </c>
      <c r="AF13" s="6">
        <v>30.35</v>
      </c>
      <c r="AG13" s="6">
        <v>5.3</v>
      </c>
      <c r="AH13" s="6">
        <v>79.95</v>
      </c>
      <c r="AI13" s="6">
        <v>9.0500000000000007</v>
      </c>
      <c r="AK13" s="12">
        <v>11</v>
      </c>
      <c r="AL13" s="7">
        <v>0.12</v>
      </c>
      <c r="AM13" s="6">
        <v>8.6999999999999993</v>
      </c>
    </row>
    <row r="14" spans="1:39" x14ac:dyDescent="0.25">
      <c r="A14" s="5" t="s">
        <v>130</v>
      </c>
      <c r="B14" s="5" t="s">
        <v>142</v>
      </c>
      <c r="C14" s="14">
        <v>45243</v>
      </c>
      <c r="D14" s="3">
        <v>5.7</v>
      </c>
      <c r="E14" s="3">
        <v>4.78</v>
      </c>
      <c r="F14" s="3">
        <v>1.43</v>
      </c>
      <c r="G14" s="6">
        <v>693.11179133858275</v>
      </c>
      <c r="H14" s="4">
        <v>22.06</v>
      </c>
      <c r="I14" s="4">
        <v>273.58</v>
      </c>
      <c r="J14" s="4">
        <v>251.51999999999998</v>
      </c>
      <c r="K14" s="4">
        <v>239.66</v>
      </c>
      <c r="L14" s="7">
        <v>4.7153307888040663</v>
      </c>
      <c r="M14" s="6">
        <v>660.42927764076319</v>
      </c>
      <c r="N14" s="14">
        <v>45244</v>
      </c>
      <c r="O14" s="4">
        <v>2.33</v>
      </c>
      <c r="P14" s="13">
        <v>1.175</v>
      </c>
      <c r="Q14" s="13">
        <v>4.28</v>
      </c>
      <c r="R14" s="8">
        <v>0.31944449324120289</v>
      </c>
      <c r="S14" s="8">
        <v>0.46008372185312368</v>
      </c>
      <c r="T14" s="8">
        <v>0.22047178490567348</v>
      </c>
      <c r="U14" s="6">
        <v>221.41074494365591</v>
      </c>
      <c r="V14" s="6">
        <v>318.88945261934083</v>
      </c>
      <c r="W14" s="6">
        <v>540.3001975629968</v>
      </c>
      <c r="X14" s="6">
        <v>210.97049591760728</v>
      </c>
      <c r="Y14" s="6">
        <v>303.85276007773228</v>
      </c>
      <c r="Z14" s="6">
        <v>514.82325599533954</v>
      </c>
      <c r="AB14" s="14">
        <v>45295</v>
      </c>
      <c r="AC14" s="6">
        <v>41.150000000000006</v>
      </c>
      <c r="AD14" s="11">
        <v>1.0815000000000001</v>
      </c>
      <c r="AE14" s="6">
        <v>80.550000000000011</v>
      </c>
      <c r="AF14" s="6">
        <v>28.35</v>
      </c>
      <c r="AG14" s="6">
        <v>4.9000000000000004</v>
      </c>
      <c r="AH14" s="6">
        <v>77.650000000000006</v>
      </c>
      <c r="AI14" s="6">
        <v>9.1</v>
      </c>
      <c r="AK14" s="12">
        <v>23</v>
      </c>
      <c r="AL14" s="7">
        <v>0.375</v>
      </c>
      <c r="AM14" s="6">
        <v>10.7</v>
      </c>
    </row>
    <row r="15" spans="1:39" x14ac:dyDescent="0.25">
      <c r="A15" s="5" t="s">
        <v>131</v>
      </c>
      <c r="B15" s="5" t="s">
        <v>142</v>
      </c>
      <c r="C15" s="14">
        <v>45243</v>
      </c>
      <c r="D15" s="3">
        <v>13.1</v>
      </c>
      <c r="E15" s="3">
        <v>12.18</v>
      </c>
      <c r="F15" s="3">
        <v>1.4175</v>
      </c>
      <c r="G15" s="6">
        <v>1517.6469537401574</v>
      </c>
      <c r="H15" s="4">
        <v>21.880000000000003</v>
      </c>
      <c r="I15" s="4">
        <v>270.17</v>
      </c>
      <c r="J15" s="4">
        <v>248.29000000000002</v>
      </c>
      <c r="K15" s="4">
        <v>237.42000000000002</v>
      </c>
      <c r="L15" s="7">
        <v>4.3779451447903677</v>
      </c>
      <c r="M15" s="6">
        <v>1451.2052026138313</v>
      </c>
      <c r="N15" s="14">
        <v>45244</v>
      </c>
      <c r="O15" s="4">
        <v>5.67</v>
      </c>
      <c r="P15" s="13">
        <v>2.4</v>
      </c>
      <c r="Q15" s="13">
        <v>5.74</v>
      </c>
      <c r="R15" s="8">
        <v>0.34953483386479889</v>
      </c>
      <c r="S15" s="8">
        <v>0.44548557257278298</v>
      </c>
      <c r="T15" s="8">
        <v>0.20497959356241813</v>
      </c>
      <c r="U15" s="6">
        <v>530.47047584098402</v>
      </c>
      <c r="V15" s="6">
        <v>676.0898221502739</v>
      </c>
      <c r="W15" s="6">
        <v>1206.5602979912578</v>
      </c>
      <c r="X15" s="6">
        <v>507.24676939935733</v>
      </c>
      <c r="Y15" s="6">
        <v>646.4909806070242</v>
      </c>
      <c r="Z15" s="6">
        <v>1153.7377500063815</v>
      </c>
      <c r="AB15" s="14">
        <v>45295</v>
      </c>
      <c r="AC15" s="6">
        <v>47.45</v>
      </c>
      <c r="AD15" s="11">
        <v>1.083</v>
      </c>
      <c r="AE15" s="6">
        <v>81.25</v>
      </c>
      <c r="AF15" s="6">
        <v>28.95</v>
      </c>
      <c r="AG15" s="6">
        <v>4.6999999999999993</v>
      </c>
      <c r="AH15" s="6">
        <v>77.650000000000006</v>
      </c>
      <c r="AI15" s="6">
        <v>8.65</v>
      </c>
      <c r="AK15" s="12">
        <v>17.5</v>
      </c>
      <c r="AL15" s="7">
        <v>0.375</v>
      </c>
      <c r="AM15" s="6">
        <v>10.4</v>
      </c>
    </row>
    <row r="16" spans="1:39" x14ac:dyDescent="0.25">
      <c r="A16" s="5" t="s">
        <v>132</v>
      </c>
      <c r="B16" s="5" t="s">
        <v>142</v>
      </c>
      <c r="C16" s="14">
        <v>45243</v>
      </c>
      <c r="D16" s="3">
        <v>19.100000000000001</v>
      </c>
      <c r="E16" s="3">
        <v>18.18</v>
      </c>
      <c r="F16" s="3">
        <v>1.4175</v>
      </c>
      <c r="G16" s="6">
        <v>2187.3201820866138</v>
      </c>
      <c r="H16" s="4">
        <v>21.59</v>
      </c>
      <c r="I16" s="4">
        <v>295.26</v>
      </c>
      <c r="J16" s="4">
        <v>273.67</v>
      </c>
      <c r="K16" s="4">
        <v>262.13</v>
      </c>
      <c r="L16" s="7">
        <v>4.2167574085577595</v>
      </c>
      <c r="M16" s="6">
        <v>2095.0861962595973</v>
      </c>
      <c r="N16" s="14">
        <v>45244</v>
      </c>
      <c r="O16" s="4">
        <v>8.43</v>
      </c>
      <c r="P16" s="13">
        <v>3.395</v>
      </c>
      <c r="Q16" s="13">
        <v>7.2</v>
      </c>
      <c r="R16" s="8">
        <v>0.35331431844177835</v>
      </c>
      <c r="S16" s="8">
        <v>0.47424740730440051</v>
      </c>
      <c r="T16" s="8">
        <v>0.17243827425382108</v>
      </c>
      <c r="U16" s="6">
        <v>772.81153934787847</v>
      </c>
      <c r="V16" s="6">
        <v>1037.3309252991658</v>
      </c>
      <c r="W16" s="6">
        <v>1810.1424646470441</v>
      </c>
      <c r="X16" s="6">
        <v>740.22395150823752</v>
      </c>
      <c r="Y16" s="6">
        <v>993.58919665535245</v>
      </c>
      <c r="Z16" s="6">
        <v>1733.8131481635901</v>
      </c>
      <c r="AB16" s="14">
        <v>45295</v>
      </c>
      <c r="AC16" s="6">
        <v>45.300000000000004</v>
      </c>
      <c r="AD16" s="11">
        <v>1.1019999999999999</v>
      </c>
      <c r="AE16" s="6">
        <v>80.650000000000006</v>
      </c>
      <c r="AF16" s="6">
        <v>29.75</v>
      </c>
      <c r="AG16" s="6">
        <v>4.9000000000000004</v>
      </c>
      <c r="AH16" s="6">
        <v>79.599999999999994</v>
      </c>
      <c r="AI16" s="6">
        <v>8.8000000000000007</v>
      </c>
      <c r="AK16" s="12">
        <v>12.5</v>
      </c>
      <c r="AL16" s="7">
        <v>0.16500000000000001</v>
      </c>
      <c r="AM16" s="6">
        <v>10.4</v>
      </c>
    </row>
    <row r="17" spans="1:39" x14ac:dyDescent="0.25">
      <c r="A17" s="5" t="s">
        <v>133</v>
      </c>
      <c r="B17" s="5" t="s">
        <v>142</v>
      </c>
      <c r="C17" s="14">
        <v>45243</v>
      </c>
      <c r="D17" s="3">
        <v>13.3</v>
      </c>
      <c r="E17" s="3">
        <v>12.38</v>
      </c>
      <c r="F17" s="3">
        <v>1.4175</v>
      </c>
      <c r="G17" s="6">
        <v>1539.9693946850393</v>
      </c>
      <c r="H17" s="4">
        <v>21.619999999999997</v>
      </c>
      <c r="I17" s="4">
        <v>290.77</v>
      </c>
      <c r="J17" s="4">
        <v>269.14999999999998</v>
      </c>
      <c r="K17" s="4">
        <v>258.41000000000003</v>
      </c>
      <c r="L17" s="7">
        <v>3.990339959130579</v>
      </c>
      <c r="M17" s="6">
        <v>1478.5193805705408</v>
      </c>
      <c r="N17" s="14">
        <v>45244</v>
      </c>
      <c r="O17" s="4">
        <v>5.74</v>
      </c>
      <c r="P17" s="13">
        <v>2.5049999999999999</v>
      </c>
      <c r="Q17" s="13">
        <v>5.8149999999999995</v>
      </c>
      <c r="R17" s="8">
        <v>0.3646648678386884</v>
      </c>
      <c r="S17" s="8">
        <v>0.45371749398785799</v>
      </c>
      <c r="T17" s="8">
        <v>0.18161763817345367</v>
      </c>
      <c r="U17" s="6">
        <v>561.57273578844479</v>
      </c>
      <c r="V17" s="6">
        <v>698.7110545744946</v>
      </c>
      <c r="W17" s="6">
        <v>1260.2837903629393</v>
      </c>
      <c r="X17" s="6">
        <v>539.16407451269572</v>
      </c>
      <c r="Y17" s="6">
        <v>670.83010816494584</v>
      </c>
      <c r="Z17" s="6">
        <v>1209.9941826776417</v>
      </c>
      <c r="AB17" s="14">
        <v>45295</v>
      </c>
      <c r="AC17" s="6">
        <v>48.05</v>
      </c>
      <c r="AD17" s="11">
        <v>1.0685</v>
      </c>
      <c r="AE17" s="6">
        <v>80.900000000000006</v>
      </c>
      <c r="AF17" s="6">
        <v>28.55</v>
      </c>
      <c r="AG17" s="6">
        <v>4.8000000000000007</v>
      </c>
      <c r="AH17" s="6">
        <v>78.349999999999994</v>
      </c>
      <c r="AI17" s="6">
        <v>8.6000000000000014</v>
      </c>
      <c r="AK17" s="12">
        <v>15.5</v>
      </c>
      <c r="AL17" s="7">
        <v>0.32999999999999996</v>
      </c>
      <c r="AM17" s="6">
        <v>10.600000000000001</v>
      </c>
    </row>
    <row r="18" spans="1:39" x14ac:dyDescent="0.25">
      <c r="A18" s="5" t="s">
        <v>134</v>
      </c>
      <c r="B18" s="5" t="s">
        <v>142</v>
      </c>
      <c r="C18" s="14">
        <v>45243</v>
      </c>
      <c r="D18" s="3">
        <v>30.2</v>
      </c>
      <c r="E18" s="3">
        <v>29.279999999999998</v>
      </c>
      <c r="F18" s="3">
        <v>1.4175</v>
      </c>
      <c r="G18" s="6">
        <v>3426.2156545275584</v>
      </c>
      <c r="H18" s="4">
        <v>21.59</v>
      </c>
      <c r="I18" s="4">
        <v>319.95000000000005</v>
      </c>
      <c r="J18" s="4">
        <v>298.36000000000007</v>
      </c>
      <c r="K18" s="4">
        <v>285.13</v>
      </c>
      <c r="L18" s="7">
        <v>4.4342405148143422</v>
      </c>
      <c r="M18" s="6">
        <v>3274.2890118495857</v>
      </c>
      <c r="N18" s="14">
        <v>45244</v>
      </c>
      <c r="O18" s="4">
        <v>13.36</v>
      </c>
      <c r="P18" s="13">
        <v>5.2799999999999994</v>
      </c>
      <c r="Q18" s="13">
        <v>9.6750000000000007</v>
      </c>
      <c r="R18" s="8">
        <v>0.36437541553941044</v>
      </c>
      <c r="S18" s="8">
        <v>0.48482945981972031</v>
      </c>
      <c r="T18" s="8">
        <v>0.15079512464086925</v>
      </c>
      <c r="U18" s="6">
        <v>1248.4287528461123</v>
      </c>
      <c r="V18" s="6">
        <v>1661.1302850104655</v>
      </c>
      <c r="W18" s="6">
        <v>2909.5590378565776</v>
      </c>
      <c r="X18" s="6">
        <v>1193.0704192888184</v>
      </c>
      <c r="Y18" s="6">
        <v>1587.4717729086804</v>
      </c>
      <c r="Z18" s="6">
        <v>2780.5421921974985</v>
      </c>
      <c r="AB18" s="14">
        <v>45295</v>
      </c>
      <c r="AC18" s="6">
        <v>44.849999999999994</v>
      </c>
      <c r="AD18" s="11">
        <v>1.1545000000000001</v>
      </c>
      <c r="AE18" s="6">
        <v>81.7</v>
      </c>
      <c r="AF18" s="6">
        <v>29.8</v>
      </c>
      <c r="AG18" s="6">
        <v>5.2</v>
      </c>
      <c r="AH18" s="6">
        <v>80.650000000000006</v>
      </c>
      <c r="AI18" s="6">
        <v>8.8999999999999986</v>
      </c>
      <c r="AK18" s="12">
        <v>13</v>
      </c>
      <c r="AL18" s="7">
        <v>0.10500000000000001</v>
      </c>
      <c r="AM18" s="6">
        <v>9</v>
      </c>
    </row>
    <row r="19" spans="1:39" x14ac:dyDescent="0.25">
      <c r="A19" s="5" t="s">
        <v>135</v>
      </c>
      <c r="B19" s="5" t="s">
        <v>142</v>
      </c>
      <c r="C19" s="14">
        <v>45243</v>
      </c>
      <c r="D19" s="3">
        <v>15</v>
      </c>
      <c r="E19" s="3">
        <v>14.08</v>
      </c>
      <c r="F19" s="3">
        <v>1.4175</v>
      </c>
      <c r="G19" s="6">
        <v>1729.7101427165353</v>
      </c>
      <c r="H19" s="4">
        <v>21.97</v>
      </c>
      <c r="I19" s="4">
        <v>339.27</v>
      </c>
      <c r="J19" s="4">
        <v>317.29999999999995</v>
      </c>
      <c r="K19" s="4">
        <v>304.5</v>
      </c>
      <c r="L19" s="7">
        <v>4.0340371887803208</v>
      </c>
      <c r="M19" s="6">
        <v>1659.9329923012451</v>
      </c>
      <c r="N19" s="14">
        <v>45244</v>
      </c>
      <c r="O19" s="4">
        <v>6.57</v>
      </c>
      <c r="P19" s="13">
        <v>2.7250000000000001</v>
      </c>
      <c r="Q19" s="13">
        <v>6.2149999999999999</v>
      </c>
      <c r="R19" s="8">
        <v>0.35122818107477372</v>
      </c>
      <c r="S19" s="8">
        <v>0.45752305864205828</v>
      </c>
      <c r="T19" s="8">
        <v>0.19124876028316801</v>
      </c>
      <c r="U19" s="6">
        <v>607.52294721291594</v>
      </c>
      <c r="V19" s="6">
        <v>791.38227505986038</v>
      </c>
      <c r="W19" s="6">
        <v>1398.9052222727764</v>
      </c>
      <c r="X19" s="6">
        <v>583.01524559197264</v>
      </c>
      <c r="Y19" s="6">
        <v>759.45761977852987</v>
      </c>
      <c r="Z19" s="6">
        <v>1342.4728653705024</v>
      </c>
      <c r="AB19" s="14">
        <v>45295</v>
      </c>
      <c r="AC19" s="6">
        <v>49.65</v>
      </c>
      <c r="AD19" s="11">
        <v>1.1099999999999999</v>
      </c>
      <c r="AE19" s="6">
        <v>82.75</v>
      </c>
      <c r="AF19" s="6">
        <v>30.8</v>
      </c>
      <c r="AG19" s="6">
        <v>4.75</v>
      </c>
      <c r="AH19" s="6">
        <v>78.949999999999989</v>
      </c>
      <c r="AI19" s="6">
        <v>8.5500000000000007</v>
      </c>
      <c r="AK19" s="12">
        <v>14</v>
      </c>
      <c r="AL19" s="7">
        <v>0.28500000000000003</v>
      </c>
      <c r="AM19" s="6">
        <v>8.5</v>
      </c>
    </row>
    <row r="20" spans="1:39" x14ac:dyDescent="0.25">
      <c r="A20" s="5" t="s">
        <v>136</v>
      </c>
      <c r="B20" s="5" t="s">
        <v>142</v>
      </c>
      <c r="C20" s="14">
        <v>45243</v>
      </c>
      <c r="D20" s="3">
        <v>26.3</v>
      </c>
      <c r="E20" s="3">
        <v>25.38</v>
      </c>
      <c r="F20" s="3">
        <v>1.4175</v>
      </c>
      <c r="G20" s="6">
        <v>2990.928056102362</v>
      </c>
      <c r="H20" s="4">
        <v>21.99</v>
      </c>
      <c r="I20" s="4">
        <v>330.62</v>
      </c>
      <c r="J20" s="4">
        <v>308.63</v>
      </c>
      <c r="K20" s="4">
        <v>295.41000000000003</v>
      </c>
      <c r="L20" s="7">
        <v>4.2834461977124612</v>
      </c>
      <c r="M20" s="6">
        <v>2862.81326200693</v>
      </c>
      <c r="N20" s="14">
        <v>45244</v>
      </c>
      <c r="O20" s="4">
        <v>11.629999999999999</v>
      </c>
      <c r="P20" s="13">
        <v>4.5650000000000004</v>
      </c>
      <c r="Q20" s="13">
        <v>8.7750000000000004</v>
      </c>
      <c r="R20" s="8">
        <v>0.35682767359158862</v>
      </c>
      <c r="S20" s="8">
        <v>0.47936734455255903</v>
      </c>
      <c r="T20" s="8">
        <v>0.16380498185585235</v>
      </c>
      <c r="U20" s="6">
        <v>1067.2459001388183</v>
      </c>
      <c r="V20" s="6">
        <v>1433.7532400015366</v>
      </c>
      <c r="W20" s="6">
        <v>2500.9991401403549</v>
      </c>
      <c r="X20" s="6">
        <v>1021.5309962090799</v>
      </c>
      <c r="Y20" s="6">
        <v>1372.3391913581115</v>
      </c>
      <c r="Z20" s="6">
        <v>2393.8701875671914</v>
      </c>
      <c r="AB20" s="14">
        <v>45295</v>
      </c>
      <c r="AC20" s="6">
        <v>44.4</v>
      </c>
      <c r="AD20" s="11">
        <v>1.1385000000000001</v>
      </c>
      <c r="AE20" s="6">
        <v>81.650000000000006</v>
      </c>
      <c r="AF20" s="6">
        <v>29.549999999999997</v>
      </c>
      <c r="AG20" s="6">
        <v>5.1999999999999993</v>
      </c>
      <c r="AH20" s="6">
        <v>80.650000000000006</v>
      </c>
      <c r="AI20" s="6">
        <v>9.0500000000000007</v>
      </c>
      <c r="AK20" s="12">
        <v>9</v>
      </c>
      <c r="AL20" s="7">
        <v>0.11499999999999999</v>
      </c>
      <c r="AM20" s="6">
        <v>9.4499999999999993</v>
      </c>
    </row>
    <row r="21" spans="1:39" x14ac:dyDescent="0.25">
      <c r="A21" s="5" t="s">
        <v>137</v>
      </c>
      <c r="B21" s="5" t="s">
        <v>142</v>
      </c>
      <c r="C21" s="14">
        <v>45243</v>
      </c>
      <c r="D21" s="3">
        <v>26.4</v>
      </c>
      <c r="E21" s="3">
        <v>25.479999999999997</v>
      </c>
      <c r="F21" s="3">
        <v>1.4175</v>
      </c>
      <c r="G21" s="6">
        <v>3002.0892765748031</v>
      </c>
      <c r="H21" s="4">
        <v>22.020000000000003</v>
      </c>
      <c r="I21" s="4">
        <v>337.31</v>
      </c>
      <c r="J21" s="4">
        <v>315.29000000000002</v>
      </c>
      <c r="K21" s="4">
        <v>302.24</v>
      </c>
      <c r="L21" s="7">
        <v>4.1390465920263919</v>
      </c>
      <c r="M21" s="6">
        <v>2877.831402683144</v>
      </c>
      <c r="N21" s="14">
        <v>45244</v>
      </c>
      <c r="O21" s="4">
        <v>11.65</v>
      </c>
      <c r="P21" s="13">
        <v>4.5149999999999997</v>
      </c>
      <c r="Q21" s="13">
        <v>8.7900000000000009</v>
      </c>
      <c r="R21" s="8">
        <v>0.35174104463561268</v>
      </c>
      <c r="S21" s="8">
        <v>0.4798492104748045</v>
      </c>
      <c r="T21" s="8">
        <v>0.16840974488958288</v>
      </c>
      <c r="U21" s="6">
        <v>1055.958018231792</v>
      </c>
      <c r="V21" s="6">
        <v>1440.5501691392963</v>
      </c>
      <c r="W21" s="6">
        <v>2496.5081873710883</v>
      </c>
      <c r="X21" s="6">
        <v>1012.2514238649396</v>
      </c>
      <c r="Y21" s="6">
        <v>1380.9251264571058</v>
      </c>
      <c r="Z21" s="6">
        <v>2393.1765503220454</v>
      </c>
      <c r="AB21" s="14">
        <v>45295</v>
      </c>
      <c r="AC21" s="6">
        <v>44.150000000000006</v>
      </c>
      <c r="AD21" s="11">
        <v>1.1379999999999999</v>
      </c>
      <c r="AE21" s="6">
        <v>81.949999999999989</v>
      </c>
      <c r="AF21" s="6">
        <v>30.4</v>
      </c>
      <c r="AG21" s="6">
        <v>5.1999999999999993</v>
      </c>
      <c r="AH21" s="6">
        <v>80.199999999999989</v>
      </c>
      <c r="AI21" s="6">
        <v>8.9</v>
      </c>
      <c r="AK21" s="12">
        <v>11</v>
      </c>
      <c r="AL21" s="7">
        <v>0.215</v>
      </c>
      <c r="AM21" s="6">
        <v>9.1</v>
      </c>
    </row>
    <row r="22" spans="1:39" x14ac:dyDescent="0.25">
      <c r="A22" s="5" t="s">
        <v>138</v>
      </c>
      <c r="B22" s="5" t="s">
        <v>142</v>
      </c>
      <c r="C22" s="14">
        <v>45243</v>
      </c>
      <c r="D22" s="3">
        <v>7.7</v>
      </c>
      <c r="E22" s="3">
        <v>6.78</v>
      </c>
      <c r="F22" s="3">
        <v>1.4175</v>
      </c>
      <c r="G22" s="6">
        <v>914.9410482283464</v>
      </c>
      <c r="H22" s="4">
        <v>21.96</v>
      </c>
      <c r="I22" s="4">
        <v>314.29000000000002</v>
      </c>
      <c r="J22" s="4">
        <v>292.33000000000004</v>
      </c>
      <c r="K22" s="4">
        <v>279.83999999999997</v>
      </c>
      <c r="L22" s="7">
        <v>4.2725686723908129</v>
      </c>
      <c r="M22" s="6">
        <v>875.84956363089805</v>
      </c>
      <c r="N22" s="14">
        <v>45244</v>
      </c>
      <c r="O22" s="4">
        <v>3.1899999999999995</v>
      </c>
      <c r="P22" s="13">
        <v>1.5</v>
      </c>
      <c r="Q22" s="13">
        <v>4.6150000000000002</v>
      </c>
      <c r="R22" s="8">
        <v>0.33757765584460037</v>
      </c>
      <c r="S22" s="8">
        <v>0.43820176479827938</v>
      </c>
      <c r="T22" s="8">
        <v>0.2242205793571202</v>
      </c>
      <c r="U22" s="6">
        <v>308.86365429692665</v>
      </c>
      <c r="V22" s="6">
        <v>400.92878202004903</v>
      </c>
      <c r="W22" s="6">
        <v>709.79243631697568</v>
      </c>
      <c r="X22" s="6">
        <v>295.66724256303473</v>
      </c>
      <c r="Y22" s="6">
        <v>383.79882448086244</v>
      </c>
      <c r="Z22" s="6">
        <v>679.46606704389717</v>
      </c>
      <c r="AB22" s="14">
        <v>45295</v>
      </c>
      <c r="AC22" s="6">
        <v>46.05</v>
      </c>
      <c r="AD22" s="11">
        <v>1.0785</v>
      </c>
      <c r="AE22" s="6">
        <v>81.349999999999994</v>
      </c>
      <c r="AF22" s="6">
        <v>28.450000000000003</v>
      </c>
      <c r="AG22" s="6">
        <v>4.9000000000000004</v>
      </c>
      <c r="AH22" s="6">
        <v>77.75</v>
      </c>
      <c r="AI22" s="6">
        <v>9.15</v>
      </c>
      <c r="AK22" s="12">
        <v>17</v>
      </c>
      <c r="AL22" s="7">
        <v>0.155</v>
      </c>
      <c r="AM22" s="6">
        <v>10.050000000000001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12A3A-AA4D-4845-BD98-913B39661B02}">
  <dimension ref="A1:Y205"/>
  <sheetViews>
    <sheetView zoomScale="115" zoomScaleNormal="115" zoomScaleSheetLayoutView="130" workbookViewId="0"/>
  </sheetViews>
  <sheetFormatPr defaultColWidth="10.28515625" defaultRowHeight="14.25" x14ac:dyDescent="0.2"/>
  <cols>
    <col min="1" max="1" width="10.28515625" style="19"/>
    <col min="2" max="2" width="5.42578125" style="19" customWidth="1"/>
    <col min="3" max="3" width="4.7109375" style="19" customWidth="1"/>
    <col min="4" max="4" width="10.42578125" style="22" customWidth="1"/>
    <col min="5" max="5" width="12.140625" style="19" customWidth="1"/>
    <col min="6" max="6" width="15.7109375" style="21" customWidth="1"/>
    <col min="7" max="8" width="10.28515625" style="19" customWidth="1"/>
    <col min="9" max="9" width="10.28515625" style="19"/>
    <col min="10" max="10" width="5.42578125" style="19" customWidth="1"/>
    <col min="11" max="11" width="4.7109375" style="19" customWidth="1"/>
    <col min="12" max="13" width="10.28515625" style="19" customWidth="1"/>
    <col min="14" max="14" width="12.5703125" style="19" customWidth="1"/>
    <col min="15" max="16" width="15.7109375" style="20" customWidth="1"/>
    <col min="17" max="20" width="10.28515625" style="19"/>
    <col min="21" max="21" width="0" style="19" hidden="1" customWidth="1"/>
    <col min="22" max="22" width="12.5703125" style="19" customWidth="1"/>
    <col min="23" max="23" width="15.42578125" style="19" customWidth="1"/>
    <col min="24" max="16384" width="10.28515625" style="19"/>
  </cols>
  <sheetData>
    <row r="1" spans="1:25" ht="15.75" x14ac:dyDescent="0.25">
      <c r="A1" s="142" t="s">
        <v>280</v>
      </c>
      <c r="B1" s="129" t="s">
        <v>279</v>
      </c>
      <c r="C1" s="97"/>
      <c r="E1" s="112" t="s">
        <v>278</v>
      </c>
      <c r="I1" s="142" t="s">
        <v>280</v>
      </c>
      <c r="J1" s="129" t="s">
        <v>279</v>
      </c>
      <c r="K1" s="97"/>
      <c r="L1" s="99"/>
      <c r="N1" s="112" t="s">
        <v>278</v>
      </c>
      <c r="R1" s="142" t="s">
        <v>280</v>
      </c>
      <c r="S1" s="129" t="s">
        <v>279</v>
      </c>
      <c r="T1" s="97"/>
      <c r="U1" s="97"/>
      <c r="V1" s="112" t="s">
        <v>278</v>
      </c>
    </row>
    <row r="2" spans="1:25" ht="15.75" x14ac:dyDescent="0.25">
      <c r="A2" s="142"/>
      <c r="B2" s="129"/>
      <c r="C2" s="97"/>
      <c r="E2" s="111" t="s">
        <v>277</v>
      </c>
      <c r="F2" s="143"/>
      <c r="I2" s="142"/>
      <c r="J2" s="129"/>
      <c r="K2" s="97"/>
      <c r="L2" s="99"/>
      <c r="N2" s="111" t="s">
        <v>277</v>
      </c>
      <c r="R2" s="142"/>
      <c r="S2" s="129"/>
      <c r="T2" s="97"/>
      <c r="U2" s="97"/>
      <c r="V2" s="111" t="s">
        <v>277</v>
      </c>
      <c r="W2" s="20"/>
    </row>
    <row r="3" spans="1:25" ht="18" customHeight="1" x14ac:dyDescent="0.4">
      <c r="A3" s="141" t="s">
        <v>276</v>
      </c>
      <c r="C3" s="134"/>
      <c r="D3" s="140"/>
      <c r="E3" s="139"/>
      <c r="F3" s="138"/>
      <c r="G3" s="137"/>
      <c r="H3" s="136"/>
      <c r="I3" s="135" t="s">
        <v>275</v>
      </c>
      <c r="K3" s="134"/>
      <c r="L3" s="133"/>
      <c r="M3" s="130"/>
      <c r="N3" s="128"/>
      <c r="R3" s="132" t="s">
        <v>274</v>
      </c>
      <c r="T3" s="94"/>
      <c r="U3" s="94"/>
      <c r="V3" s="128"/>
      <c r="W3" s="20"/>
    </row>
    <row r="4" spans="1:25" ht="18" customHeight="1" x14ac:dyDescent="0.25">
      <c r="A4" s="129"/>
      <c r="B4" s="52" t="s">
        <v>273</v>
      </c>
      <c r="C4" s="94"/>
      <c r="D4" s="131"/>
      <c r="E4" s="128"/>
      <c r="G4" s="24"/>
      <c r="H4" s="23"/>
      <c r="I4" s="129"/>
      <c r="J4" s="52" t="s">
        <v>272</v>
      </c>
      <c r="K4" s="94"/>
      <c r="L4" s="112"/>
      <c r="M4" s="130"/>
      <c r="N4" s="128"/>
      <c r="R4" s="129"/>
      <c r="S4" s="52" t="s">
        <v>271</v>
      </c>
      <c r="T4" s="94"/>
      <c r="U4" s="94"/>
      <c r="V4" s="128"/>
      <c r="W4" s="20"/>
    </row>
    <row r="5" spans="1:25" ht="18" customHeight="1" x14ac:dyDescent="0.25">
      <c r="A5" s="125"/>
      <c r="B5" s="124" t="s">
        <v>270</v>
      </c>
      <c r="C5" s="123"/>
      <c r="D5" s="127"/>
      <c r="E5" s="120"/>
      <c r="F5" s="126"/>
      <c r="G5" s="24"/>
      <c r="H5" s="23"/>
      <c r="I5" s="125"/>
      <c r="J5" s="124" t="s">
        <v>269</v>
      </c>
      <c r="K5" s="123"/>
      <c r="L5" s="122"/>
      <c r="M5" s="121"/>
      <c r="N5" s="120"/>
      <c r="R5" s="119" t="s">
        <v>268</v>
      </c>
      <c r="S5" s="118"/>
      <c r="T5" s="117"/>
      <c r="U5" s="117"/>
      <c r="V5" s="116"/>
      <c r="W5" s="20"/>
    </row>
    <row r="6" spans="1:25" ht="9.75" customHeight="1" x14ac:dyDescent="0.2">
      <c r="W6" s="20"/>
    </row>
    <row r="7" spans="1:25" ht="15.75" x14ac:dyDescent="0.25">
      <c r="B7" s="98" t="s">
        <v>267</v>
      </c>
      <c r="D7" s="113">
        <v>45243</v>
      </c>
      <c r="E7" s="111"/>
      <c r="F7" s="115"/>
      <c r="G7" s="24"/>
      <c r="H7" s="114"/>
      <c r="J7" s="98" t="s">
        <v>267</v>
      </c>
      <c r="L7" s="113">
        <v>45243</v>
      </c>
      <c r="M7" s="112"/>
      <c r="N7" s="111"/>
      <c r="S7" s="98" t="s">
        <v>267</v>
      </c>
      <c r="V7" s="111"/>
      <c r="W7" s="20"/>
    </row>
    <row r="8" spans="1:25" ht="9" customHeight="1" x14ac:dyDescent="0.2">
      <c r="B8" s="108"/>
      <c r="C8" s="107"/>
      <c r="D8" s="110"/>
      <c r="E8" s="107"/>
      <c r="G8" s="24"/>
      <c r="H8" s="23"/>
      <c r="J8" s="108"/>
      <c r="K8" s="107"/>
      <c r="L8" s="107"/>
      <c r="M8" s="109"/>
      <c r="N8" s="107"/>
      <c r="S8" s="108"/>
      <c r="T8" s="107"/>
      <c r="U8" s="107"/>
      <c r="V8" s="107"/>
      <c r="W8" s="20"/>
    </row>
    <row r="9" spans="1:25" x14ac:dyDescent="0.2">
      <c r="B9" s="106" t="s">
        <v>266</v>
      </c>
      <c r="E9" s="105"/>
      <c r="G9" s="24"/>
      <c r="H9" s="23"/>
      <c r="J9" s="106" t="s">
        <v>266</v>
      </c>
      <c r="L9" s="99"/>
      <c r="M9" s="97"/>
      <c r="N9" s="105"/>
      <c r="S9" s="106" t="s">
        <v>266</v>
      </c>
      <c r="V9" s="105"/>
      <c r="W9" s="20"/>
    </row>
    <row r="10" spans="1:25" x14ac:dyDescent="0.2">
      <c r="B10" s="103" t="s">
        <v>265</v>
      </c>
      <c r="C10" s="97"/>
      <c r="E10" s="102"/>
      <c r="F10" s="104"/>
      <c r="G10" s="24"/>
      <c r="H10" s="23"/>
      <c r="J10" s="103" t="s">
        <v>264</v>
      </c>
      <c r="K10" s="97"/>
      <c r="L10" s="99"/>
      <c r="M10" s="97"/>
      <c r="N10" s="102"/>
      <c r="S10" s="103" t="s">
        <v>263</v>
      </c>
      <c r="T10" s="97"/>
      <c r="U10" s="97"/>
      <c r="V10" s="102"/>
      <c r="W10" s="20"/>
    </row>
    <row r="11" spans="1:25" ht="16.5" customHeight="1" x14ac:dyDescent="0.25">
      <c r="B11" s="98"/>
      <c r="C11" s="97"/>
      <c r="E11" s="96"/>
      <c r="F11" s="101"/>
      <c r="G11" s="24"/>
      <c r="H11" s="100"/>
      <c r="J11" s="98"/>
      <c r="K11" s="97"/>
      <c r="L11" s="99"/>
      <c r="M11" s="97"/>
      <c r="N11" s="96"/>
      <c r="S11" s="98"/>
      <c r="T11" s="97"/>
      <c r="U11" s="97"/>
      <c r="V11" s="96"/>
      <c r="W11" s="20"/>
    </row>
    <row r="12" spans="1:25" ht="46.5" customHeight="1" thickBot="1" x14ac:dyDescent="0.3">
      <c r="B12" s="94" t="s">
        <v>260</v>
      </c>
      <c r="C12" s="94"/>
      <c r="D12" s="95" t="s">
        <v>262</v>
      </c>
      <c r="E12" s="93" t="s">
        <v>259</v>
      </c>
      <c r="F12" s="92" t="s">
        <v>258</v>
      </c>
      <c r="G12" s="23" t="s">
        <v>261</v>
      </c>
      <c r="H12" s="23"/>
      <c r="I12" s="23"/>
      <c r="J12" s="94" t="s">
        <v>260</v>
      </c>
      <c r="K12" s="94"/>
      <c r="L12" s="95" t="s">
        <v>262</v>
      </c>
      <c r="M12" s="93" t="s">
        <v>259</v>
      </c>
      <c r="N12" s="92" t="s">
        <v>258</v>
      </c>
      <c r="O12" s="23" t="s">
        <v>261</v>
      </c>
      <c r="P12" s="23"/>
      <c r="S12" s="94" t="s">
        <v>260</v>
      </c>
      <c r="T12" s="94"/>
      <c r="U12" s="94"/>
      <c r="V12" s="93" t="s">
        <v>259</v>
      </c>
      <c r="W12" s="92" t="s">
        <v>258</v>
      </c>
      <c r="X12" s="23"/>
      <c r="Y12" s="23"/>
    </row>
    <row r="13" spans="1:25" ht="18" customHeight="1" x14ac:dyDescent="0.2">
      <c r="A13" s="25"/>
      <c r="B13" s="50" t="s">
        <v>251</v>
      </c>
      <c r="C13" s="49">
        <v>1</v>
      </c>
      <c r="D13" s="48" t="s">
        <v>229</v>
      </c>
      <c r="E13" s="47">
        <v>7.1</v>
      </c>
      <c r="F13" s="46"/>
      <c r="G13" s="23" t="s">
        <v>229</v>
      </c>
      <c r="H13" s="23">
        <f>AVERAGEIFS(E$13:E$157,$D$13:$D$157, "STRIP")</f>
        <v>14.499999999999998</v>
      </c>
      <c r="I13" s="23"/>
      <c r="J13" s="50" t="s">
        <v>251</v>
      </c>
      <c r="K13" s="49">
        <v>1</v>
      </c>
      <c r="L13" s="48" t="s">
        <v>229</v>
      </c>
      <c r="M13" s="47">
        <v>6.4</v>
      </c>
      <c r="N13" s="46"/>
      <c r="O13" s="23" t="s">
        <v>229</v>
      </c>
      <c r="P13" s="23">
        <f>AVERAGEIFS(M$13:M$157,$D$13:$D$157, "STRIP")</f>
        <v>16.12</v>
      </c>
      <c r="R13" s="25"/>
      <c r="S13" s="91" t="s">
        <v>248</v>
      </c>
      <c r="T13" s="90" t="s">
        <v>257</v>
      </c>
      <c r="U13" s="89"/>
      <c r="V13" s="88">
        <v>2.9</v>
      </c>
      <c r="W13" s="87"/>
      <c r="X13" s="23"/>
      <c r="Y13" s="23"/>
    </row>
    <row r="14" spans="1:25" ht="18" customHeight="1" x14ac:dyDescent="0.25">
      <c r="A14" s="25"/>
      <c r="B14" s="35" t="s">
        <v>251</v>
      </c>
      <c r="C14" s="34">
        <v>2</v>
      </c>
      <c r="D14" s="33" t="s">
        <v>229</v>
      </c>
      <c r="E14" s="32">
        <v>12.1</v>
      </c>
      <c r="F14" s="31"/>
      <c r="I14" s="23"/>
      <c r="J14" s="35" t="s">
        <v>251</v>
      </c>
      <c r="K14" s="34">
        <v>2</v>
      </c>
      <c r="L14" s="33" t="s">
        <v>229</v>
      </c>
      <c r="M14" s="32">
        <v>16</v>
      </c>
      <c r="N14" s="31"/>
      <c r="O14" s="19"/>
      <c r="P14" s="19"/>
      <c r="R14" s="25"/>
      <c r="S14" s="82" t="s">
        <v>248</v>
      </c>
      <c r="T14" s="80" t="s">
        <v>256</v>
      </c>
      <c r="U14" s="79"/>
      <c r="V14" s="78">
        <v>5.9</v>
      </c>
      <c r="W14" s="77"/>
    </row>
    <row r="15" spans="1:25" ht="18" customHeight="1" x14ac:dyDescent="0.2">
      <c r="A15" s="25"/>
      <c r="B15" s="35" t="s">
        <v>251</v>
      </c>
      <c r="C15" s="34">
        <v>3</v>
      </c>
      <c r="D15" s="33" t="s">
        <v>229</v>
      </c>
      <c r="E15" s="32">
        <v>9.4</v>
      </c>
      <c r="F15" s="31"/>
      <c r="G15" s="23" t="s">
        <v>233</v>
      </c>
      <c r="H15" s="23">
        <f>AVERAGEIFS(E$13:E$157,$D$13:$D$157, "NO TILL")</f>
        <v>17.649111111111111</v>
      </c>
      <c r="I15" s="23"/>
      <c r="J15" s="35" t="s">
        <v>251</v>
      </c>
      <c r="K15" s="34">
        <v>3</v>
      </c>
      <c r="L15" s="33" t="s">
        <v>229</v>
      </c>
      <c r="M15" s="32">
        <v>13.6</v>
      </c>
      <c r="N15" s="31"/>
      <c r="O15" s="23" t="s">
        <v>233</v>
      </c>
      <c r="P15" s="23">
        <f>AVERAGEIFS(M$13:M$157,$D$13:$D$157, "NO TILL")</f>
        <v>18.928888888888892</v>
      </c>
      <c r="R15" s="25"/>
      <c r="S15" s="81" t="s">
        <v>248</v>
      </c>
      <c r="T15" s="80" t="s">
        <v>255</v>
      </c>
      <c r="U15" s="79"/>
      <c r="V15" s="78">
        <v>5.9</v>
      </c>
      <c r="W15" s="77"/>
      <c r="X15" s="23"/>
      <c r="Y15" s="23"/>
    </row>
    <row r="16" spans="1:25" ht="18" customHeight="1" x14ac:dyDescent="0.2">
      <c r="A16" s="25"/>
      <c r="B16" s="35" t="s">
        <v>251</v>
      </c>
      <c r="C16" s="34">
        <v>4</v>
      </c>
      <c r="D16" s="33" t="s">
        <v>229</v>
      </c>
      <c r="E16" s="32">
        <v>11.4</v>
      </c>
      <c r="F16" s="31"/>
      <c r="I16" s="23"/>
      <c r="J16" s="35" t="s">
        <v>251</v>
      </c>
      <c r="K16" s="34">
        <v>4</v>
      </c>
      <c r="L16" s="33" t="s">
        <v>229</v>
      </c>
      <c r="M16" s="32">
        <v>13.1</v>
      </c>
      <c r="N16" s="31"/>
      <c r="O16" s="19"/>
      <c r="P16" s="19"/>
      <c r="R16" s="25"/>
      <c r="S16" s="81" t="s">
        <v>248</v>
      </c>
      <c r="T16" s="80" t="s">
        <v>254</v>
      </c>
      <c r="U16" s="79"/>
      <c r="V16" s="78">
        <v>5.4</v>
      </c>
      <c r="W16" s="77"/>
    </row>
    <row r="17" spans="1:25" ht="18" customHeight="1" x14ac:dyDescent="0.2">
      <c r="A17" s="25"/>
      <c r="B17" s="35" t="s">
        <v>251</v>
      </c>
      <c r="C17" s="34">
        <v>5</v>
      </c>
      <c r="D17" s="33" t="s">
        <v>229</v>
      </c>
      <c r="E17" s="32">
        <v>9.8000000000000007</v>
      </c>
      <c r="F17" s="45"/>
      <c r="G17" s="23" t="s">
        <v>219</v>
      </c>
      <c r="H17" s="23">
        <f>AVERAGEIFS(E$13:E$157,$D$13:$D$157, "BEDS")</f>
        <v>20.808000000000003</v>
      </c>
      <c r="I17" s="23"/>
      <c r="J17" s="35" t="s">
        <v>251</v>
      </c>
      <c r="K17" s="34">
        <v>5</v>
      </c>
      <c r="L17" s="33" t="s">
        <v>229</v>
      </c>
      <c r="M17" s="32">
        <v>12.9</v>
      </c>
      <c r="N17" s="45"/>
      <c r="O17" s="23" t="s">
        <v>219</v>
      </c>
      <c r="P17" s="23">
        <f>AVERAGEIFS(M$13:M$157,$D$13:$D$157, "BEDS")</f>
        <v>20.507999999999996</v>
      </c>
      <c r="R17" s="25"/>
      <c r="S17" s="86" t="s">
        <v>248</v>
      </c>
      <c r="T17" s="85" t="s">
        <v>253</v>
      </c>
      <c r="U17" s="84"/>
      <c r="V17" s="83">
        <v>3.6</v>
      </c>
      <c r="W17" s="77"/>
      <c r="X17" s="23"/>
      <c r="Y17" s="23"/>
    </row>
    <row r="18" spans="1:25" ht="18" customHeight="1" x14ac:dyDescent="0.25">
      <c r="A18" s="25"/>
      <c r="B18" s="35" t="s">
        <v>251</v>
      </c>
      <c r="C18" s="34">
        <v>6</v>
      </c>
      <c r="D18" s="33" t="s">
        <v>229</v>
      </c>
      <c r="E18" s="32">
        <v>10.5</v>
      </c>
      <c r="F18" s="31"/>
      <c r="I18" s="23"/>
      <c r="J18" s="35" t="s">
        <v>251</v>
      </c>
      <c r="K18" s="34">
        <v>6</v>
      </c>
      <c r="L18" s="33" t="s">
        <v>229</v>
      </c>
      <c r="M18" s="32">
        <v>14.3</v>
      </c>
      <c r="N18" s="31"/>
      <c r="O18" s="19"/>
      <c r="P18" s="19"/>
      <c r="R18" s="25"/>
      <c r="S18" s="82" t="s">
        <v>248</v>
      </c>
      <c r="T18" s="80" t="s">
        <v>252</v>
      </c>
      <c r="U18" s="79"/>
      <c r="V18" s="78">
        <v>5.3</v>
      </c>
      <c r="W18" s="77"/>
    </row>
    <row r="19" spans="1:25" ht="18" customHeight="1" x14ac:dyDescent="0.2">
      <c r="A19" s="25"/>
      <c r="B19" s="35" t="s">
        <v>251</v>
      </c>
      <c r="C19" s="34">
        <v>7</v>
      </c>
      <c r="D19" s="33" t="s">
        <v>229</v>
      </c>
      <c r="E19" s="32">
        <v>8.3000000000000007</v>
      </c>
      <c r="F19" s="31"/>
      <c r="G19" s="23" t="s">
        <v>221</v>
      </c>
      <c r="H19" s="23">
        <f>AVERAGEIFS(E$13:E$157,$D$13:$D$157, "FLAT")</f>
        <v>19.540000000000006</v>
      </c>
      <c r="I19" s="23"/>
      <c r="J19" s="35" t="s">
        <v>251</v>
      </c>
      <c r="K19" s="34">
        <v>7</v>
      </c>
      <c r="L19" s="33" t="s">
        <v>229</v>
      </c>
      <c r="M19" s="32">
        <v>13</v>
      </c>
      <c r="N19" s="31"/>
      <c r="O19" s="23" t="s">
        <v>221</v>
      </c>
      <c r="P19" s="23">
        <f>AVERAGEIFS(M$13:M$157,$D$13:$D$157, "FLAT")</f>
        <v>20.483333333333334</v>
      </c>
      <c r="R19" s="25"/>
      <c r="S19" s="81" t="s">
        <v>248</v>
      </c>
      <c r="T19" s="80" t="s">
        <v>250</v>
      </c>
      <c r="U19" s="79"/>
      <c r="V19" s="78">
        <v>6.7</v>
      </c>
      <c r="W19" s="77"/>
      <c r="X19" s="23"/>
      <c r="Y19" s="23"/>
    </row>
    <row r="20" spans="1:25" ht="18" customHeight="1" thickBot="1" x14ac:dyDescent="0.25">
      <c r="A20" s="25"/>
      <c r="B20" s="44" t="s">
        <v>251</v>
      </c>
      <c r="C20" s="43">
        <v>8</v>
      </c>
      <c r="D20" s="42" t="s">
        <v>229</v>
      </c>
      <c r="E20" s="41">
        <v>9.8000000000000007</v>
      </c>
      <c r="F20" s="31"/>
      <c r="G20" s="23"/>
      <c r="H20" s="23"/>
      <c r="I20" s="23"/>
      <c r="J20" s="40" t="s">
        <v>251</v>
      </c>
      <c r="K20" s="39">
        <v>8</v>
      </c>
      <c r="L20" s="38" t="s">
        <v>229</v>
      </c>
      <c r="M20" s="37">
        <v>14.1</v>
      </c>
      <c r="N20" s="31"/>
      <c r="O20" s="23"/>
      <c r="P20" s="23"/>
      <c r="R20" s="25"/>
      <c r="S20" s="76" t="s">
        <v>248</v>
      </c>
      <c r="T20" s="75" t="s">
        <v>249</v>
      </c>
      <c r="U20" s="74"/>
      <c r="V20" s="73">
        <v>2</v>
      </c>
      <c r="W20" s="77">
        <v>9</v>
      </c>
    </row>
    <row r="21" spans="1:25" ht="18" customHeight="1" thickTop="1" x14ac:dyDescent="0.2">
      <c r="A21" s="25"/>
      <c r="B21" s="35" t="s">
        <v>251</v>
      </c>
      <c r="C21" s="34">
        <v>9</v>
      </c>
      <c r="D21" s="33" t="s">
        <v>229</v>
      </c>
      <c r="E21" s="32">
        <v>8.8000000000000007</v>
      </c>
      <c r="F21" s="31"/>
      <c r="G21" s="23"/>
      <c r="H21" s="23"/>
      <c r="I21" s="23"/>
      <c r="J21" s="35" t="s">
        <v>251</v>
      </c>
      <c r="K21" s="34">
        <v>9</v>
      </c>
      <c r="L21" s="33" t="s">
        <v>229</v>
      </c>
      <c r="M21" s="32">
        <v>15.7</v>
      </c>
      <c r="N21" s="31"/>
      <c r="O21" s="23"/>
      <c r="P21" s="23"/>
      <c r="R21" s="25"/>
      <c r="S21" s="91" t="s">
        <v>239</v>
      </c>
      <c r="T21" s="90" t="s">
        <v>257</v>
      </c>
      <c r="U21" s="89"/>
      <c r="V21" s="88">
        <v>8</v>
      </c>
      <c r="W21" s="87"/>
    </row>
    <row r="22" spans="1:25" ht="18" customHeight="1" x14ac:dyDescent="0.25">
      <c r="A22" s="25"/>
      <c r="B22" s="35" t="s">
        <v>251</v>
      </c>
      <c r="C22" s="34">
        <v>10</v>
      </c>
      <c r="D22" s="33" t="s">
        <v>229</v>
      </c>
      <c r="E22" s="32">
        <v>10.1</v>
      </c>
      <c r="F22" s="31"/>
      <c r="G22" s="23"/>
      <c r="H22" s="23"/>
      <c r="I22" s="23"/>
      <c r="J22" s="35" t="s">
        <v>251</v>
      </c>
      <c r="K22" s="34">
        <v>10</v>
      </c>
      <c r="L22" s="33" t="s">
        <v>229</v>
      </c>
      <c r="M22" s="32">
        <v>13</v>
      </c>
      <c r="N22" s="31"/>
      <c r="O22" s="23"/>
      <c r="P22" s="23"/>
      <c r="R22" s="25"/>
      <c r="S22" s="82" t="s">
        <v>239</v>
      </c>
      <c r="T22" s="80" t="s">
        <v>256</v>
      </c>
      <c r="U22" s="79"/>
      <c r="V22" s="78">
        <v>10.199999999999999</v>
      </c>
      <c r="W22" s="77"/>
    </row>
    <row r="23" spans="1:25" ht="18" customHeight="1" x14ac:dyDescent="0.2">
      <c r="A23" s="25"/>
      <c r="B23" s="35" t="s">
        <v>251</v>
      </c>
      <c r="C23" s="34">
        <v>11</v>
      </c>
      <c r="D23" s="33" t="s">
        <v>229</v>
      </c>
      <c r="E23" s="32">
        <v>8.4</v>
      </c>
      <c r="F23" s="31"/>
      <c r="G23" s="23"/>
      <c r="H23" s="23"/>
      <c r="I23" s="23"/>
      <c r="J23" s="35" t="s">
        <v>251</v>
      </c>
      <c r="K23" s="34">
        <v>11</v>
      </c>
      <c r="L23" s="33" t="s">
        <v>229</v>
      </c>
      <c r="M23" s="32">
        <v>10.7</v>
      </c>
      <c r="N23" s="31"/>
      <c r="O23" s="23"/>
      <c r="P23" s="23"/>
      <c r="R23" s="25"/>
      <c r="S23" s="81" t="s">
        <v>239</v>
      </c>
      <c r="T23" s="80" t="s">
        <v>255</v>
      </c>
      <c r="U23" s="79"/>
      <c r="V23" s="78">
        <v>8</v>
      </c>
      <c r="W23" s="77"/>
    </row>
    <row r="24" spans="1:25" ht="18" customHeight="1" x14ac:dyDescent="0.2">
      <c r="A24" s="25"/>
      <c r="B24" s="35" t="s">
        <v>251</v>
      </c>
      <c r="C24" s="34">
        <v>12</v>
      </c>
      <c r="D24" s="33" t="s">
        <v>229</v>
      </c>
      <c r="E24" s="32">
        <v>14.4</v>
      </c>
      <c r="F24" s="36"/>
      <c r="G24" s="23"/>
      <c r="H24" s="23"/>
      <c r="I24" s="23"/>
      <c r="J24" s="35" t="s">
        <v>251</v>
      </c>
      <c r="K24" s="34">
        <v>12</v>
      </c>
      <c r="L24" s="33" t="s">
        <v>229</v>
      </c>
      <c r="M24" s="32">
        <v>15.5</v>
      </c>
      <c r="N24" s="36"/>
      <c r="O24" s="23"/>
      <c r="P24" s="23"/>
      <c r="R24" s="25"/>
      <c r="S24" s="81" t="s">
        <v>239</v>
      </c>
      <c r="T24" s="80" t="s">
        <v>254</v>
      </c>
      <c r="U24" s="79"/>
      <c r="V24" s="78">
        <v>16</v>
      </c>
      <c r="W24" s="77"/>
    </row>
    <row r="25" spans="1:25" ht="18" customHeight="1" x14ac:dyDescent="0.2">
      <c r="A25" s="25"/>
      <c r="B25" s="35" t="s">
        <v>251</v>
      </c>
      <c r="C25" s="34">
        <v>13</v>
      </c>
      <c r="D25" s="33" t="s">
        <v>229</v>
      </c>
      <c r="E25" s="32">
        <v>6.4</v>
      </c>
      <c r="F25" s="31"/>
      <c r="G25" s="23"/>
      <c r="H25" s="23"/>
      <c r="I25" s="23"/>
      <c r="J25" s="35" t="s">
        <v>251</v>
      </c>
      <c r="K25" s="34">
        <v>13</v>
      </c>
      <c r="L25" s="33" t="s">
        <v>229</v>
      </c>
      <c r="M25" s="32">
        <v>11.6</v>
      </c>
      <c r="N25" s="31"/>
      <c r="O25" s="23"/>
      <c r="P25" s="23"/>
      <c r="R25" s="25"/>
      <c r="S25" s="86" t="s">
        <v>239</v>
      </c>
      <c r="T25" s="85" t="s">
        <v>253</v>
      </c>
      <c r="U25" s="84"/>
      <c r="V25" s="83">
        <v>8.6</v>
      </c>
      <c r="W25" s="77"/>
    </row>
    <row r="26" spans="1:25" ht="18" customHeight="1" x14ac:dyDescent="0.25">
      <c r="A26" s="25"/>
      <c r="B26" s="35" t="s">
        <v>251</v>
      </c>
      <c r="C26" s="34">
        <v>14</v>
      </c>
      <c r="D26" s="33" t="s">
        <v>229</v>
      </c>
      <c r="E26" s="32">
        <v>12.5</v>
      </c>
      <c r="F26" s="31"/>
      <c r="G26" s="23"/>
      <c r="H26" s="23"/>
      <c r="I26" s="23"/>
      <c r="J26" s="35" t="s">
        <v>251</v>
      </c>
      <c r="K26" s="34">
        <v>14</v>
      </c>
      <c r="L26" s="33" t="s">
        <v>229</v>
      </c>
      <c r="M26" s="32">
        <v>14.4</v>
      </c>
      <c r="N26" s="31"/>
      <c r="O26" s="23"/>
      <c r="P26" s="23"/>
      <c r="R26" s="25"/>
      <c r="S26" s="82" t="s">
        <v>239</v>
      </c>
      <c r="T26" s="80" t="s">
        <v>252</v>
      </c>
      <c r="U26" s="79"/>
      <c r="V26" s="78">
        <v>13.8</v>
      </c>
      <c r="W26" s="77"/>
    </row>
    <row r="27" spans="1:25" ht="18" customHeight="1" thickBot="1" x14ac:dyDescent="0.25">
      <c r="A27" s="25"/>
      <c r="B27" s="30" t="s">
        <v>251</v>
      </c>
      <c r="C27" s="29">
        <v>15</v>
      </c>
      <c r="D27" s="28" t="s">
        <v>229</v>
      </c>
      <c r="E27" s="27">
        <v>7.1</v>
      </c>
      <c r="F27" s="26">
        <v>19.5</v>
      </c>
      <c r="G27" s="23"/>
      <c r="H27" s="23"/>
      <c r="I27" s="23"/>
      <c r="J27" s="30" t="s">
        <v>251</v>
      </c>
      <c r="K27" s="29">
        <v>15</v>
      </c>
      <c r="L27" s="28" t="s">
        <v>229</v>
      </c>
      <c r="M27" s="27">
        <v>7.9</v>
      </c>
      <c r="N27" s="26">
        <v>25.5</v>
      </c>
      <c r="O27" s="23"/>
      <c r="P27" s="23"/>
      <c r="R27" s="25"/>
      <c r="S27" s="81" t="s">
        <v>239</v>
      </c>
      <c r="T27" s="80" t="s">
        <v>250</v>
      </c>
      <c r="U27" s="79"/>
      <c r="V27" s="78">
        <v>18.3</v>
      </c>
      <c r="W27" s="77"/>
    </row>
    <row r="28" spans="1:25" ht="18" customHeight="1" thickBot="1" x14ac:dyDescent="0.25">
      <c r="A28" s="25"/>
      <c r="B28" s="50" t="s">
        <v>242</v>
      </c>
      <c r="C28" s="49">
        <v>1</v>
      </c>
      <c r="D28" s="48" t="s">
        <v>233</v>
      </c>
      <c r="E28" s="47">
        <v>15.4</v>
      </c>
      <c r="F28" s="46"/>
      <c r="G28" s="23"/>
      <c r="H28" s="23"/>
      <c r="I28" s="23"/>
      <c r="J28" s="50" t="s">
        <v>242</v>
      </c>
      <c r="K28" s="49">
        <v>1</v>
      </c>
      <c r="L28" s="48" t="s">
        <v>233</v>
      </c>
      <c r="M28" s="47">
        <v>15.9</v>
      </c>
      <c r="N28" s="46"/>
      <c r="O28" s="23"/>
      <c r="P28" s="23"/>
      <c r="R28" s="25"/>
      <c r="S28" s="76" t="s">
        <v>239</v>
      </c>
      <c r="T28" s="75" t="s">
        <v>249</v>
      </c>
      <c r="U28" s="74"/>
      <c r="V28" s="73">
        <v>4.9000000000000004</v>
      </c>
      <c r="W28" s="72">
        <v>11.7</v>
      </c>
    </row>
    <row r="29" spans="1:25" ht="18" customHeight="1" thickTop="1" x14ac:dyDescent="0.2">
      <c r="A29" s="25"/>
      <c r="B29" s="35" t="s">
        <v>242</v>
      </c>
      <c r="C29" s="34">
        <v>2</v>
      </c>
      <c r="D29" s="33" t="s">
        <v>233</v>
      </c>
      <c r="E29" s="32">
        <v>20.7</v>
      </c>
      <c r="F29" s="31"/>
      <c r="G29" s="23"/>
      <c r="H29" s="23"/>
      <c r="I29" s="23"/>
      <c r="J29" s="35" t="s">
        <v>242</v>
      </c>
      <c r="K29" s="34">
        <v>2</v>
      </c>
      <c r="L29" s="33" t="s">
        <v>233</v>
      </c>
      <c r="M29" s="32">
        <v>20.100000000000001</v>
      </c>
      <c r="N29" s="31"/>
      <c r="O29" s="23"/>
      <c r="P29" s="23"/>
      <c r="R29" s="25"/>
      <c r="S29" s="91" t="s">
        <v>248</v>
      </c>
      <c r="T29" s="90" t="s">
        <v>247</v>
      </c>
      <c r="U29" s="89"/>
      <c r="V29" s="88">
        <v>5.8</v>
      </c>
      <c r="W29" s="87"/>
    </row>
    <row r="30" spans="1:25" ht="18" customHeight="1" x14ac:dyDescent="0.25">
      <c r="A30" s="25"/>
      <c r="B30" s="35" t="s">
        <v>242</v>
      </c>
      <c r="C30" s="34">
        <v>3</v>
      </c>
      <c r="D30" s="33" t="s">
        <v>233</v>
      </c>
      <c r="E30" s="32">
        <v>17.2</v>
      </c>
      <c r="F30" s="31"/>
      <c r="G30" s="23"/>
      <c r="H30" s="23"/>
      <c r="I30" s="23"/>
      <c r="J30" s="35" t="s">
        <v>242</v>
      </c>
      <c r="K30" s="34">
        <v>3</v>
      </c>
      <c r="L30" s="33" t="s">
        <v>233</v>
      </c>
      <c r="M30" s="32">
        <v>18</v>
      </c>
      <c r="N30" s="31"/>
      <c r="O30" s="23"/>
      <c r="P30" s="23"/>
      <c r="R30" s="25"/>
      <c r="S30" s="82" t="s">
        <v>248</v>
      </c>
      <c r="T30" s="80" t="s">
        <v>246</v>
      </c>
      <c r="U30" s="79"/>
      <c r="V30" s="78">
        <v>4.2</v>
      </c>
      <c r="W30" s="77"/>
    </row>
    <row r="31" spans="1:25" ht="18" customHeight="1" x14ac:dyDescent="0.2">
      <c r="A31" s="25"/>
      <c r="B31" s="35" t="s">
        <v>242</v>
      </c>
      <c r="C31" s="34">
        <v>4</v>
      </c>
      <c r="D31" s="33" t="s">
        <v>233</v>
      </c>
      <c r="E31" s="32">
        <v>16.399999999999999</v>
      </c>
      <c r="F31" s="31"/>
      <c r="G31" s="23"/>
      <c r="H31" s="23"/>
      <c r="I31" s="23"/>
      <c r="J31" s="35" t="s">
        <v>242</v>
      </c>
      <c r="K31" s="34">
        <v>4</v>
      </c>
      <c r="L31" s="33" t="s">
        <v>233</v>
      </c>
      <c r="M31" s="32">
        <v>20</v>
      </c>
      <c r="N31" s="31"/>
      <c r="O31" s="23"/>
      <c r="P31" s="23"/>
      <c r="R31" s="25"/>
      <c r="S31" s="81" t="s">
        <v>248</v>
      </c>
      <c r="T31" s="80" t="s">
        <v>245</v>
      </c>
      <c r="U31" s="79"/>
      <c r="V31" s="78">
        <v>13.7</v>
      </c>
      <c r="W31" s="77"/>
    </row>
    <row r="32" spans="1:25" ht="18" customHeight="1" x14ac:dyDescent="0.2">
      <c r="A32" s="25"/>
      <c r="B32" s="35" t="s">
        <v>242</v>
      </c>
      <c r="C32" s="34">
        <v>5</v>
      </c>
      <c r="D32" s="33" t="s">
        <v>233</v>
      </c>
      <c r="E32" s="32">
        <v>16</v>
      </c>
      <c r="F32" s="45"/>
      <c r="G32" s="23"/>
      <c r="H32" s="23"/>
      <c r="I32" s="23"/>
      <c r="J32" s="35" t="s">
        <v>242</v>
      </c>
      <c r="K32" s="34">
        <v>5</v>
      </c>
      <c r="L32" s="33" t="s">
        <v>233</v>
      </c>
      <c r="M32" s="32">
        <v>18.3</v>
      </c>
      <c r="N32" s="45"/>
      <c r="O32" s="23"/>
      <c r="P32" s="23"/>
      <c r="R32" s="25"/>
      <c r="S32" s="81" t="s">
        <v>248</v>
      </c>
      <c r="T32" s="80" t="s">
        <v>244</v>
      </c>
      <c r="U32" s="79"/>
      <c r="V32" s="78">
        <v>7.1</v>
      </c>
      <c r="W32" s="77"/>
    </row>
    <row r="33" spans="1:23" ht="18" customHeight="1" x14ac:dyDescent="0.2">
      <c r="A33" s="25"/>
      <c r="B33" s="35" t="s">
        <v>242</v>
      </c>
      <c r="C33" s="34">
        <v>6</v>
      </c>
      <c r="D33" s="33" t="s">
        <v>233</v>
      </c>
      <c r="E33" s="32">
        <v>13.4</v>
      </c>
      <c r="F33" s="31"/>
      <c r="G33" s="23"/>
      <c r="H33" s="23"/>
      <c r="I33" s="23"/>
      <c r="J33" s="35" t="s">
        <v>242</v>
      </c>
      <c r="K33" s="34">
        <v>6</v>
      </c>
      <c r="L33" s="33" t="s">
        <v>233</v>
      </c>
      <c r="M33" s="32">
        <v>17.3</v>
      </c>
      <c r="N33" s="31"/>
      <c r="O33" s="23"/>
      <c r="P33" s="23"/>
      <c r="R33" s="25"/>
      <c r="S33" s="86" t="s">
        <v>248</v>
      </c>
      <c r="T33" s="85" t="s">
        <v>243</v>
      </c>
      <c r="U33" s="84"/>
      <c r="V33" s="83">
        <v>4.9000000000000004</v>
      </c>
      <c r="W33" s="77"/>
    </row>
    <row r="34" spans="1:23" ht="18" customHeight="1" x14ac:dyDescent="0.25">
      <c r="A34" s="25"/>
      <c r="B34" s="35" t="s">
        <v>242</v>
      </c>
      <c r="C34" s="34">
        <v>7</v>
      </c>
      <c r="D34" s="33" t="s">
        <v>233</v>
      </c>
      <c r="E34" s="32">
        <v>18.100000000000001</v>
      </c>
      <c r="F34" s="31"/>
      <c r="G34" s="23"/>
      <c r="H34" s="23"/>
      <c r="I34" s="23"/>
      <c r="J34" s="35" t="s">
        <v>242</v>
      </c>
      <c r="K34" s="34">
        <v>7</v>
      </c>
      <c r="L34" s="33" t="s">
        <v>233</v>
      </c>
      <c r="M34" s="32">
        <v>17.8</v>
      </c>
      <c r="N34" s="31"/>
      <c r="O34" s="23"/>
      <c r="P34" s="23"/>
      <c r="R34" s="25"/>
      <c r="S34" s="82" t="s">
        <v>248</v>
      </c>
      <c r="T34" s="80" t="s">
        <v>241</v>
      </c>
      <c r="U34" s="79"/>
      <c r="V34" s="78">
        <v>9.1999999999999993</v>
      </c>
      <c r="W34" s="77"/>
    </row>
    <row r="35" spans="1:23" ht="18" customHeight="1" x14ac:dyDescent="0.2">
      <c r="A35" s="25"/>
      <c r="B35" s="44" t="s">
        <v>242</v>
      </c>
      <c r="C35" s="43">
        <v>8</v>
      </c>
      <c r="D35" s="42" t="s">
        <v>233</v>
      </c>
      <c r="E35" s="41">
        <v>15.3</v>
      </c>
      <c r="F35" s="31"/>
      <c r="G35" s="23"/>
      <c r="H35" s="23"/>
      <c r="I35" s="23"/>
      <c r="J35" s="40" t="s">
        <v>242</v>
      </c>
      <c r="K35" s="39">
        <v>8</v>
      </c>
      <c r="L35" s="38" t="s">
        <v>233</v>
      </c>
      <c r="M35" s="37">
        <v>20.5</v>
      </c>
      <c r="N35" s="31"/>
      <c r="O35" s="23"/>
      <c r="P35" s="23"/>
      <c r="R35" s="25"/>
      <c r="S35" s="81" t="s">
        <v>248</v>
      </c>
      <c r="T35" s="80" t="s">
        <v>240</v>
      </c>
      <c r="U35" s="79"/>
      <c r="V35" s="78">
        <v>12.2</v>
      </c>
      <c r="W35" s="77"/>
    </row>
    <row r="36" spans="1:23" ht="18" customHeight="1" thickBot="1" x14ac:dyDescent="0.25">
      <c r="A36" s="25"/>
      <c r="B36" s="35" t="s">
        <v>242</v>
      </c>
      <c r="C36" s="34">
        <v>9</v>
      </c>
      <c r="D36" s="33" t="s">
        <v>233</v>
      </c>
      <c r="E36" s="32">
        <v>16.5</v>
      </c>
      <c r="F36" s="31"/>
      <c r="G36" s="23"/>
      <c r="H36" s="23"/>
      <c r="I36" s="23"/>
      <c r="J36" s="35" t="s">
        <v>242</v>
      </c>
      <c r="K36" s="34">
        <v>9</v>
      </c>
      <c r="L36" s="33" t="s">
        <v>233</v>
      </c>
      <c r="M36" s="32">
        <v>19.5</v>
      </c>
      <c r="N36" s="31"/>
      <c r="O36" s="23"/>
      <c r="P36" s="23"/>
      <c r="R36" s="25"/>
      <c r="S36" s="76" t="s">
        <v>248</v>
      </c>
      <c r="T36" s="75" t="s">
        <v>238</v>
      </c>
      <c r="U36" s="74"/>
      <c r="V36" s="73">
        <v>3.7</v>
      </c>
      <c r="W36" s="77">
        <v>14.8</v>
      </c>
    </row>
    <row r="37" spans="1:23" ht="18" customHeight="1" thickTop="1" x14ac:dyDescent="0.2">
      <c r="A37" s="25"/>
      <c r="B37" s="35" t="s">
        <v>242</v>
      </c>
      <c r="C37" s="34">
        <v>10</v>
      </c>
      <c r="D37" s="33" t="s">
        <v>233</v>
      </c>
      <c r="E37" s="32">
        <v>13.01</v>
      </c>
      <c r="F37" s="31"/>
      <c r="G37" s="23"/>
      <c r="H37" s="23"/>
      <c r="I37" s="23"/>
      <c r="J37" s="35" t="s">
        <v>242</v>
      </c>
      <c r="K37" s="34">
        <v>10</v>
      </c>
      <c r="L37" s="33" t="s">
        <v>233</v>
      </c>
      <c r="M37" s="32">
        <v>21.5</v>
      </c>
      <c r="N37" s="31"/>
      <c r="O37" s="23"/>
      <c r="P37" s="23"/>
      <c r="R37" s="25"/>
      <c r="S37" s="91" t="s">
        <v>239</v>
      </c>
      <c r="T37" s="90" t="s">
        <v>247</v>
      </c>
      <c r="U37" s="89"/>
      <c r="V37" s="88">
        <v>5.0999999999999996</v>
      </c>
      <c r="W37" s="87"/>
    </row>
    <row r="38" spans="1:23" ht="18" customHeight="1" x14ac:dyDescent="0.25">
      <c r="A38" s="25"/>
      <c r="B38" s="35" t="s">
        <v>242</v>
      </c>
      <c r="C38" s="34">
        <v>11</v>
      </c>
      <c r="D38" s="33" t="s">
        <v>233</v>
      </c>
      <c r="E38" s="32">
        <v>17.7</v>
      </c>
      <c r="F38" s="31"/>
      <c r="G38" s="23"/>
      <c r="H38" s="23"/>
      <c r="I38" s="23"/>
      <c r="J38" s="35" t="s">
        <v>242</v>
      </c>
      <c r="K38" s="34">
        <v>11</v>
      </c>
      <c r="L38" s="33" t="s">
        <v>233</v>
      </c>
      <c r="M38" s="32">
        <v>8.9</v>
      </c>
      <c r="N38" s="31"/>
      <c r="O38" s="23"/>
      <c r="P38" s="23"/>
      <c r="R38" s="25"/>
      <c r="S38" s="82" t="s">
        <v>239</v>
      </c>
      <c r="T38" s="80" t="s">
        <v>246</v>
      </c>
      <c r="U38" s="79"/>
      <c r="V38" s="78">
        <v>8.9</v>
      </c>
      <c r="W38" s="77"/>
    </row>
    <row r="39" spans="1:23" ht="18" customHeight="1" x14ac:dyDescent="0.2">
      <c r="A39" s="25"/>
      <c r="B39" s="35" t="s">
        <v>242</v>
      </c>
      <c r="C39" s="34">
        <v>12</v>
      </c>
      <c r="D39" s="33" t="s">
        <v>233</v>
      </c>
      <c r="E39" s="32">
        <v>17.7</v>
      </c>
      <c r="F39" s="36"/>
      <c r="G39" s="23"/>
      <c r="H39" s="23"/>
      <c r="I39" s="23"/>
      <c r="J39" s="35" t="s">
        <v>242</v>
      </c>
      <c r="K39" s="34">
        <v>12</v>
      </c>
      <c r="L39" s="33" t="s">
        <v>233</v>
      </c>
      <c r="M39" s="32">
        <v>17.899999999999999</v>
      </c>
      <c r="N39" s="36"/>
      <c r="O39" s="23"/>
      <c r="P39" s="23"/>
      <c r="R39" s="25"/>
      <c r="S39" s="81" t="s">
        <v>239</v>
      </c>
      <c r="T39" s="80" t="s">
        <v>245</v>
      </c>
      <c r="U39" s="79"/>
      <c r="V39" s="78">
        <v>5.3</v>
      </c>
      <c r="W39" s="77"/>
    </row>
    <row r="40" spans="1:23" ht="18" customHeight="1" x14ac:dyDescent="0.2">
      <c r="A40" s="25"/>
      <c r="B40" s="35" t="s">
        <v>242</v>
      </c>
      <c r="C40" s="34">
        <v>13</v>
      </c>
      <c r="D40" s="33" t="s">
        <v>233</v>
      </c>
      <c r="E40" s="32">
        <v>17.8</v>
      </c>
      <c r="F40" s="31"/>
      <c r="G40" s="23"/>
      <c r="H40" s="23"/>
      <c r="I40" s="23"/>
      <c r="J40" s="35" t="s">
        <v>242</v>
      </c>
      <c r="K40" s="34">
        <v>13</v>
      </c>
      <c r="L40" s="33" t="s">
        <v>233</v>
      </c>
      <c r="M40" s="32">
        <v>19.3</v>
      </c>
      <c r="N40" s="31"/>
      <c r="O40" s="23"/>
      <c r="P40" s="23"/>
      <c r="R40" s="25"/>
      <c r="S40" s="81" t="s">
        <v>239</v>
      </c>
      <c r="T40" s="80" t="s">
        <v>244</v>
      </c>
      <c r="U40" s="79"/>
      <c r="V40" s="78">
        <v>14.2</v>
      </c>
      <c r="W40" s="77"/>
    </row>
    <row r="41" spans="1:23" ht="18" customHeight="1" x14ac:dyDescent="0.2">
      <c r="A41" s="25"/>
      <c r="B41" s="35" t="s">
        <v>242</v>
      </c>
      <c r="C41" s="34">
        <v>14</v>
      </c>
      <c r="D41" s="33" t="s">
        <v>233</v>
      </c>
      <c r="E41" s="32">
        <v>18.7</v>
      </c>
      <c r="F41" s="31"/>
      <c r="G41" s="23"/>
      <c r="H41" s="23"/>
      <c r="I41" s="23"/>
      <c r="J41" s="35" t="s">
        <v>242</v>
      </c>
      <c r="K41" s="34">
        <v>14</v>
      </c>
      <c r="L41" s="33" t="s">
        <v>233</v>
      </c>
      <c r="M41" s="32">
        <v>21.2</v>
      </c>
      <c r="N41" s="31"/>
      <c r="O41" s="23"/>
      <c r="P41" s="23"/>
      <c r="R41" s="25"/>
      <c r="S41" s="86" t="s">
        <v>239</v>
      </c>
      <c r="T41" s="85" t="s">
        <v>243</v>
      </c>
      <c r="U41" s="84"/>
      <c r="V41" s="83">
        <v>6.4</v>
      </c>
      <c r="W41" s="77"/>
    </row>
    <row r="42" spans="1:23" ht="18" customHeight="1" thickBot="1" x14ac:dyDescent="0.3">
      <c r="A42" s="25"/>
      <c r="B42" s="30" t="s">
        <v>242</v>
      </c>
      <c r="C42" s="29">
        <v>15</v>
      </c>
      <c r="D42" s="28" t="s">
        <v>233</v>
      </c>
      <c r="E42" s="27">
        <v>9.5</v>
      </c>
      <c r="F42" s="26">
        <v>21.6</v>
      </c>
      <c r="G42" s="23"/>
      <c r="H42" s="23"/>
      <c r="I42" s="23"/>
      <c r="J42" s="30" t="s">
        <v>242</v>
      </c>
      <c r="K42" s="29">
        <v>15</v>
      </c>
      <c r="L42" s="28" t="s">
        <v>233</v>
      </c>
      <c r="M42" s="27">
        <v>12.8</v>
      </c>
      <c r="N42" s="26">
        <v>21.7</v>
      </c>
      <c r="O42" s="23"/>
      <c r="P42" s="23"/>
      <c r="R42" s="25"/>
      <c r="S42" s="82" t="s">
        <v>239</v>
      </c>
      <c r="T42" s="80" t="s">
        <v>241</v>
      </c>
      <c r="U42" s="79"/>
      <c r="V42" s="78">
        <v>12.5</v>
      </c>
      <c r="W42" s="77"/>
    </row>
    <row r="43" spans="1:23" ht="18" customHeight="1" x14ac:dyDescent="0.2">
      <c r="A43" s="25"/>
      <c r="B43" s="50" t="s">
        <v>236</v>
      </c>
      <c r="C43" s="49">
        <v>1</v>
      </c>
      <c r="D43" s="48" t="s">
        <v>233</v>
      </c>
      <c r="E43" s="47">
        <v>20.6</v>
      </c>
      <c r="F43" s="46"/>
      <c r="G43" s="23"/>
      <c r="H43" s="23"/>
      <c r="I43" s="23"/>
      <c r="J43" s="50" t="s">
        <v>236</v>
      </c>
      <c r="K43" s="49">
        <v>1</v>
      </c>
      <c r="L43" s="48" t="s">
        <v>233</v>
      </c>
      <c r="M43" s="47">
        <v>20.5</v>
      </c>
      <c r="N43" s="46"/>
      <c r="O43" s="23"/>
      <c r="R43" s="25"/>
      <c r="S43" s="81" t="s">
        <v>239</v>
      </c>
      <c r="T43" s="80" t="s">
        <v>240</v>
      </c>
      <c r="U43" s="79"/>
      <c r="V43" s="78">
        <v>8.1</v>
      </c>
      <c r="W43" s="77"/>
    </row>
    <row r="44" spans="1:23" ht="18" customHeight="1" thickBot="1" x14ac:dyDescent="0.25">
      <c r="A44" s="25"/>
      <c r="B44" s="35" t="s">
        <v>236</v>
      </c>
      <c r="C44" s="34">
        <v>2</v>
      </c>
      <c r="D44" s="33" t="s">
        <v>233</v>
      </c>
      <c r="E44" s="32">
        <v>17.399999999999999</v>
      </c>
      <c r="F44" s="31"/>
      <c r="G44" s="23"/>
      <c r="H44" s="23"/>
      <c r="I44" s="23"/>
      <c r="J44" s="35" t="s">
        <v>236</v>
      </c>
      <c r="K44" s="34">
        <v>2</v>
      </c>
      <c r="L44" s="33" t="s">
        <v>233</v>
      </c>
      <c r="M44" s="32">
        <v>17.100000000000001</v>
      </c>
      <c r="N44" s="31"/>
      <c r="O44" s="23"/>
      <c r="R44" s="25"/>
      <c r="S44" s="76" t="s">
        <v>239</v>
      </c>
      <c r="T44" s="75" t="s">
        <v>238</v>
      </c>
      <c r="U44" s="74"/>
      <c r="V44" s="73">
        <v>2.8</v>
      </c>
      <c r="W44" s="72">
        <v>11.9</v>
      </c>
    </row>
    <row r="45" spans="1:23" ht="18" customHeight="1" thickTop="1" x14ac:dyDescent="0.2">
      <c r="A45" s="25"/>
      <c r="B45" s="35" t="s">
        <v>236</v>
      </c>
      <c r="C45" s="34">
        <v>3</v>
      </c>
      <c r="D45" s="33" t="s">
        <v>233</v>
      </c>
      <c r="E45" s="32">
        <v>21</v>
      </c>
      <c r="F45" s="31"/>
      <c r="G45" s="23"/>
      <c r="H45" s="23"/>
      <c r="I45" s="23"/>
      <c r="J45" s="35" t="s">
        <v>236</v>
      </c>
      <c r="K45" s="34">
        <v>3</v>
      </c>
      <c r="L45" s="33" t="s">
        <v>233</v>
      </c>
      <c r="M45" s="32">
        <v>19</v>
      </c>
      <c r="N45" s="31"/>
      <c r="O45" s="23"/>
      <c r="R45" s="25"/>
      <c r="W45" s="23"/>
    </row>
    <row r="46" spans="1:23" ht="18" customHeight="1" x14ac:dyDescent="0.2">
      <c r="A46" s="25"/>
      <c r="B46" s="35" t="s">
        <v>236</v>
      </c>
      <c r="C46" s="34">
        <v>4</v>
      </c>
      <c r="D46" s="33" t="s">
        <v>233</v>
      </c>
      <c r="E46" s="32">
        <v>18.3</v>
      </c>
      <c r="F46" s="31"/>
      <c r="G46" s="23"/>
      <c r="H46" s="23"/>
      <c r="I46" s="23"/>
      <c r="J46" s="35" t="s">
        <v>236</v>
      </c>
      <c r="K46" s="34">
        <v>4</v>
      </c>
      <c r="L46" s="33" t="s">
        <v>233</v>
      </c>
      <c r="M46" s="32">
        <v>23.4</v>
      </c>
      <c r="N46" s="31"/>
      <c r="O46" s="23"/>
      <c r="R46" s="25"/>
      <c r="S46" s="53"/>
      <c r="T46" s="52"/>
      <c r="U46" s="52"/>
      <c r="V46" s="51"/>
      <c r="W46" s="56"/>
    </row>
    <row r="47" spans="1:23" ht="18" customHeight="1" x14ac:dyDescent="0.2">
      <c r="A47" s="25"/>
      <c r="B47" s="35" t="s">
        <v>236</v>
      </c>
      <c r="C47" s="34">
        <v>5</v>
      </c>
      <c r="D47" s="33" t="s">
        <v>233</v>
      </c>
      <c r="E47" s="32">
        <v>20.9</v>
      </c>
      <c r="F47" s="45"/>
      <c r="G47" s="23"/>
      <c r="H47" s="23"/>
      <c r="I47" s="23"/>
      <c r="J47" s="35" t="s">
        <v>236</v>
      </c>
      <c r="K47" s="34">
        <v>5</v>
      </c>
      <c r="L47" s="33" t="s">
        <v>233</v>
      </c>
      <c r="M47" s="32">
        <v>20.9</v>
      </c>
      <c r="N47" s="45"/>
      <c r="O47" s="23"/>
      <c r="R47" s="25"/>
      <c r="S47" s="53"/>
      <c r="T47" s="59"/>
      <c r="U47" s="59"/>
      <c r="V47" s="51"/>
      <c r="W47" s="56"/>
    </row>
    <row r="48" spans="1:23" ht="18" customHeight="1" x14ac:dyDescent="0.2">
      <c r="A48" s="25"/>
      <c r="B48" s="35" t="s">
        <v>236</v>
      </c>
      <c r="C48" s="34">
        <v>6</v>
      </c>
      <c r="D48" s="33" t="s">
        <v>233</v>
      </c>
      <c r="E48" s="32">
        <v>18.8</v>
      </c>
      <c r="F48" s="31"/>
      <c r="G48" s="23"/>
      <c r="H48" s="23"/>
      <c r="I48" s="23"/>
      <c r="J48" s="35" t="s">
        <v>236</v>
      </c>
      <c r="K48" s="34">
        <v>6</v>
      </c>
      <c r="L48" s="33" t="s">
        <v>233</v>
      </c>
      <c r="M48" s="32">
        <v>18.8</v>
      </c>
      <c r="N48" s="31"/>
      <c r="O48" s="23"/>
      <c r="P48" s="23"/>
      <c r="R48" s="25"/>
      <c r="S48" s="53"/>
      <c r="T48" s="52"/>
      <c r="U48" s="52"/>
      <c r="V48" s="71"/>
      <c r="W48" s="56"/>
    </row>
    <row r="49" spans="1:23" ht="18" customHeight="1" x14ac:dyDescent="0.2">
      <c r="A49" s="25"/>
      <c r="B49" s="35" t="s">
        <v>236</v>
      </c>
      <c r="C49" s="34">
        <v>7</v>
      </c>
      <c r="D49" s="33" t="s">
        <v>233</v>
      </c>
      <c r="E49" s="32">
        <v>20.2</v>
      </c>
      <c r="F49" s="31"/>
      <c r="G49" s="23"/>
      <c r="H49" s="23"/>
      <c r="I49" s="23"/>
      <c r="J49" s="35" t="s">
        <v>236</v>
      </c>
      <c r="K49" s="34">
        <v>7</v>
      </c>
      <c r="L49" s="33" t="s">
        <v>233</v>
      </c>
      <c r="M49" s="32">
        <v>19.5</v>
      </c>
      <c r="N49" s="31"/>
      <c r="O49" s="23"/>
      <c r="P49" s="23"/>
      <c r="R49" s="25"/>
      <c r="S49" s="53"/>
      <c r="T49" s="52"/>
      <c r="U49" s="52"/>
      <c r="V49" s="51"/>
      <c r="W49" s="56"/>
    </row>
    <row r="50" spans="1:23" ht="18" customHeight="1" x14ac:dyDescent="0.25">
      <c r="A50" s="25"/>
      <c r="B50" s="44" t="s">
        <v>236</v>
      </c>
      <c r="C50" s="43">
        <v>8</v>
      </c>
      <c r="D50" s="42" t="s">
        <v>233</v>
      </c>
      <c r="E50" s="41">
        <v>17.8</v>
      </c>
      <c r="F50" s="31"/>
      <c r="G50" s="23"/>
      <c r="H50" s="23"/>
      <c r="I50" s="23"/>
      <c r="J50" s="40" t="s">
        <v>236</v>
      </c>
      <c r="K50" s="39">
        <v>8</v>
      </c>
      <c r="L50" s="38" t="s">
        <v>233</v>
      </c>
      <c r="M50" s="37">
        <v>20</v>
      </c>
      <c r="N50" s="31"/>
      <c r="O50" s="23"/>
      <c r="P50" s="23"/>
      <c r="R50" s="25"/>
      <c r="S50" s="60"/>
      <c r="T50" s="59"/>
      <c r="U50" s="59"/>
      <c r="V50" s="51"/>
      <c r="W50" s="56"/>
    </row>
    <row r="51" spans="1:23" ht="18" customHeight="1" x14ac:dyDescent="0.2">
      <c r="A51" s="25"/>
      <c r="B51" s="35" t="s">
        <v>236</v>
      </c>
      <c r="C51" s="34">
        <v>9</v>
      </c>
      <c r="D51" s="33" t="s">
        <v>233</v>
      </c>
      <c r="E51" s="32">
        <v>17.8</v>
      </c>
      <c r="F51" s="31"/>
      <c r="G51" s="23"/>
      <c r="H51" s="23"/>
      <c r="I51" s="23"/>
      <c r="J51" s="35" t="s">
        <v>236</v>
      </c>
      <c r="K51" s="34">
        <v>9</v>
      </c>
      <c r="L51" s="33" t="s">
        <v>233</v>
      </c>
      <c r="M51" s="32">
        <v>21</v>
      </c>
      <c r="N51" s="31"/>
      <c r="O51" s="23"/>
      <c r="P51" s="23"/>
      <c r="R51" s="25"/>
      <c r="S51" s="53"/>
      <c r="T51" s="52"/>
      <c r="U51" s="52"/>
      <c r="V51" s="51"/>
      <c r="W51" s="56"/>
    </row>
    <row r="52" spans="1:23" ht="18" customHeight="1" x14ac:dyDescent="0.2">
      <c r="A52" s="25"/>
      <c r="B52" s="35" t="s">
        <v>236</v>
      </c>
      <c r="C52" s="34">
        <v>10</v>
      </c>
      <c r="D52" s="33" t="s">
        <v>233</v>
      </c>
      <c r="E52" s="32">
        <v>20.7</v>
      </c>
      <c r="F52" s="31"/>
      <c r="G52" s="23"/>
      <c r="H52" s="23"/>
      <c r="I52" s="23"/>
      <c r="J52" s="35" t="s">
        <v>236</v>
      </c>
      <c r="K52" s="34">
        <v>10</v>
      </c>
      <c r="L52" s="33" t="s">
        <v>233</v>
      </c>
      <c r="M52" s="32">
        <v>19.8</v>
      </c>
      <c r="N52" s="31"/>
      <c r="O52" s="23"/>
      <c r="P52" s="23"/>
      <c r="R52" s="25"/>
      <c r="S52" s="53"/>
      <c r="T52" s="52"/>
      <c r="U52" s="52"/>
      <c r="V52" s="51"/>
      <c r="W52" s="56"/>
    </row>
    <row r="53" spans="1:23" ht="18" customHeight="1" x14ac:dyDescent="0.2">
      <c r="A53" s="25"/>
      <c r="B53" s="35" t="s">
        <v>236</v>
      </c>
      <c r="C53" s="34">
        <v>11</v>
      </c>
      <c r="D53" s="33" t="s">
        <v>233</v>
      </c>
      <c r="E53" s="32">
        <v>17.399999999999999</v>
      </c>
      <c r="F53" s="31"/>
      <c r="G53" s="23"/>
      <c r="H53" s="23"/>
      <c r="I53" s="23"/>
      <c r="J53" s="35" t="s">
        <v>236</v>
      </c>
      <c r="K53" s="34">
        <v>11</v>
      </c>
      <c r="L53" s="33" t="s">
        <v>233</v>
      </c>
      <c r="M53" s="32">
        <v>16.7</v>
      </c>
      <c r="N53" s="31"/>
      <c r="O53" s="23"/>
      <c r="P53" s="23"/>
      <c r="R53" s="25"/>
      <c r="S53" s="53"/>
      <c r="T53" s="59"/>
      <c r="U53" s="59"/>
      <c r="V53" s="51"/>
      <c r="W53" s="56"/>
    </row>
    <row r="54" spans="1:23" ht="18" customHeight="1" x14ac:dyDescent="0.2">
      <c r="A54" s="25"/>
      <c r="B54" s="35" t="s">
        <v>236</v>
      </c>
      <c r="C54" s="34">
        <v>12</v>
      </c>
      <c r="D54" s="33" t="s">
        <v>233</v>
      </c>
      <c r="E54" s="32">
        <v>22</v>
      </c>
      <c r="F54" s="36"/>
      <c r="G54" s="23"/>
      <c r="H54" s="23"/>
      <c r="I54" s="23"/>
      <c r="J54" s="35" t="s">
        <v>236</v>
      </c>
      <c r="K54" s="34">
        <v>12</v>
      </c>
      <c r="L54" s="33" t="s">
        <v>233</v>
      </c>
      <c r="M54" s="32">
        <v>19.8</v>
      </c>
      <c r="N54" s="36"/>
      <c r="O54" s="23"/>
      <c r="P54" s="23"/>
      <c r="R54" s="25"/>
      <c r="S54" s="53"/>
      <c r="T54" s="52"/>
      <c r="U54" s="52"/>
      <c r="V54" s="51"/>
      <c r="W54" s="56"/>
    </row>
    <row r="55" spans="1:23" ht="18" customHeight="1" x14ac:dyDescent="0.2">
      <c r="A55" s="25"/>
      <c r="B55" s="35" t="s">
        <v>236</v>
      </c>
      <c r="C55" s="34">
        <v>13</v>
      </c>
      <c r="D55" s="33" t="s">
        <v>233</v>
      </c>
      <c r="E55" s="32">
        <v>19.8</v>
      </c>
      <c r="F55" s="31"/>
      <c r="G55" s="23"/>
      <c r="H55" s="23"/>
      <c r="I55" s="23"/>
      <c r="J55" s="35" t="s">
        <v>236</v>
      </c>
      <c r="K55" s="34">
        <v>13</v>
      </c>
      <c r="L55" s="33" t="s">
        <v>233</v>
      </c>
      <c r="M55" s="32">
        <v>18.399999999999999</v>
      </c>
      <c r="N55" s="31"/>
      <c r="O55" s="23"/>
      <c r="P55" s="23"/>
      <c r="R55" s="25"/>
      <c r="S55" s="53"/>
      <c r="T55" s="52"/>
      <c r="U55" s="52"/>
      <c r="V55" s="51"/>
      <c r="W55" s="56"/>
    </row>
    <row r="56" spans="1:23" ht="18" customHeight="1" x14ac:dyDescent="0.2">
      <c r="A56" s="25"/>
      <c r="B56" s="35" t="s">
        <v>236</v>
      </c>
      <c r="C56" s="34">
        <v>14</v>
      </c>
      <c r="D56" s="33" t="s">
        <v>233</v>
      </c>
      <c r="E56" s="32">
        <v>19.5</v>
      </c>
      <c r="F56" s="31"/>
      <c r="G56" s="23"/>
      <c r="H56" s="23"/>
      <c r="I56" s="23"/>
      <c r="J56" s="70" t="s">
        <v>236</v>
      </c>
      <c r="K56" s="69">
        <v>14</v>
      </c>
      <c r="L56" s="68" t="s">
        <v>233</v>
      </c>
      <c r="M56" s="67">
        <v>26</v>
      </c>
      <c r="N56" s="66" t="s">
        <v>237</v>
      </c>
      <c r="O56" s="65"/>
      <c r="P56" s="23"/>
      <c r="R56" s="25"/>
      <c r="S56" s="53"/>
      <c r="T56" s="59"/>
      <c r="U56" s="59"/>
      <c r="V56" s="51"/>
      <c r="W56" s="56"/>
    </row>
    <row r="57" spans="1:23" ht="18" customHeight="1" thickBot="1" x14ac:dyDescent="0.25">
      <c r="A57" s="25"/>
      <c r="B57" s="30" t="s">
        <v>236</v>
      </c>
      <c r="C57" s="29">
        <v>15</v>
      </c>
      <c r="D57" s="28" t="s">
        <v>233</v>
      </c>
      <c r="E57" s="27">
        <v>19.5</v>
      </c>
      <c r="F57" s="26">
        <v>20.399999999999999</v>
      </c>
      <c r="G57" s="23"/>
      <c r="H57" s="23"/>
      <c r="I57" s="23"/>
      <c r="J57" s="64" t="s">
        <v>236</v>
      </c>
      <c r="K57" s="63">
        <v>15</v>
      </c>
      <c r="L57" s="62" t="s">
        <v>233</v>
      </c>
      <c r="M57" s="61">
        <v>8.1</v>
      </c>
      <c r="N57" s="26">
        <v>27.3</v>
      </c>
      <c r="O57" s="23"/>
      <c r="P57" s="23"/>
      <c r="R57" s="25"/>
      <c r="S57" s="53"/>
      <c r="T57" s="52"/>
      <c r="U57" s="52"/>
      <c r="V57" s="51"/>
      <c r="W57" s="56"/>
    </row>
    <row r="58" spans="1:23" ht="18" customHeight="1" x14ac:dyDescent="0.2">
      <c r="A58" s="25"/>
      <c r="B58" s="50" t="s">
        <v>235</v>
      </c>
      <c r="C58" s="49">
        <v>1</v>
      </c>
      <c r="D58" s="48" t="s">
        <v>229</v>
      </c>
      <c r="E58" s="47">
        <v>18.600000000000001</v>
      </c>
      <c r="F58" s="46"/>
      <c r="G58" s="23"/>
      <c r="H58" s="23"/>
      <c r="I58" s="23"/>
      <c r="J58" s="50" t="s">
        <v>235</v>
      </c>
      <c r="K58" s="49">
        <v>1</v>
      </c>
      <c r="L58" s="48" t="s">
        <v>229</v>
      </c>
      <c r="M58" s="47">
        <v>15.1</v>
      </c>
      <c r="N58" s="46"/>
      <c r="O58" s="23"/>
      <c r="P58" s="23"/>
      <c r="R58" s="25"/>
      <c r="S58" s="53"/>
      <c r="T58" s="52"/>
      <c r="U58" s="52"/>
      <c r="V58" s="51"/>
      <c r="W58" s="56"/>
    </row>
    <row r="59" spans="1:23" ht="18" customHeight="1" x14ac:dyDescent="0.2">
      <c r="A59" s="25"/>
      <c r="B59" s="35" t="s">
        <v>235</v>
      </c>
      <c r="C59" s="34">
        <v>2</v>
      </c>
      <c r="D59" s="33" t="s">
        <v>229</v>
      </c>
      <c r="E59" s="32">
        <v>18.399999999999999</v>
      </c>
      <c r="F59" s="31"/>
      <c r="G59" s="23"/>
      <c r="H59" s="23"/>
      <c r="I59" s="23"/>
      <c r="J59" s="35" t="s">
        <v>235</v>
      </c>
      <c r="K59" s="34">
        <v>2</v>
      </c>
      <c r="L59" s="33" t="s">
        <v>229</v>
      </c>
      <c r="M59" s="32">
        <v>14</v>
      </c>
      <c r="N59" s="31"/>
      <c r="O59" s="23"/>
      <c r="P59" s="23"/>
      <c r="R59" s="25"/>
      <c r="S59" s="53"/>
      <c r="T59" s="59"/>
      <c r="U59" s="59"/>
      <c r="V59" s="51"/>
      <c r="W59" s="56"/>
    </row>
    <row r="60" spans="1:23" ht="18" customHeight="1" x14ac:dyDescent="0.2">
      <c r="A60" s="25"/>
      <c r="B60" s="35" t="s">
        <v>235</v>
      </c>
      <c r="C60" s="34">
        <v>3</v>
      </c>
      <c r="D60" s="33" t="s">
        <v>229</v>
      </c>
      <c r="E60" s="32">
        <v>18.899999999999999</v>
      </c>
      <c r="F60" s="31"/>
      <c r="G60" s="23"/>
      <c r="H60" s="23"/>
      <c r="I60" s="23"/>
      <c r="J60" s="35" t="s">
        <v>235</v>
      </c>
      <c r="K60" s="34">
        <v>3</v>
      </c>
      <c r="L60" s="33" t="s">
        <v>229</v>
      </c>
      <c r="M60" s="32">
        <v>20.100000000000001</v>
      </c>
      <c r="N60" s="31"/>
      <c r="O60" s="23"/>
      <c r="P60" s="23"/>
      <c r="R60" s="25"/>
      <c r="S60" s="53"/>
      <c r="T60" s="52"/>
      <c r="U60" s="52"/>
      <c r="V60" s="51"/>
      <c r="W60" s="56"/>
    </row>
    <row r="61" spans="1:23" ht="18" customHeight="1" x14ac:dyDescent="0.2">
      <c r="A61" s="25"/>
      <c r="B61" s="35" t="s">
        <v>235</v>
      </c>
      <c r="C61" s="34">
        <v>4</v>
      </c>
      <c r="D61" s="33" t="s">
        <v>229</v>
      </c>
      <c r="E61" s="32">
        <v>21.1</v>
      </c>
      <c r="F61" s="31"/>
      <c r="G61" s="23"/>
      <c r="H61" s="23"/>
      <c r="I61" s="23"/>
      <c r="J61" s="35" t="s">
        <v>235</v>
      </c>
      <c r="K61" s="34">
        <v>4</v>
      </c>
      <c r="L61" s="33" t="s">
        <v>229</v>
      </c>
      <c r="M61" s="32">
        <v>21.1</v>
      </c>
      <c r="N61" s="31"/>
      <c r="O61" s="23"/>
      <c r="P61" s="23"/>
      <c r="R61" s="25"/>
      <c r="S61" s="53"/>
      <c r="T61" s="52"/>
      <c r="U61" s="52"/>
      <c r="V61" s="51"/>
      <c r="W61" s="56"/>
    </row>
    <row r="62" spans="1:23" ht="18" customHeight="1" x14ac:dyDescent="0.25">
      <c r="A62" s="25"/>
      <c r="B62" s="35" t="s">
        <v>235</v>
      </c>
      <c r="C62" s="34">
        <v>5</v>
      </c>
      <c r="D62" s="33" t="s">
        <v>229</v>
      </c>
      <c r="E62" s="32">
        <v>17.100000000000001</v>
      </c>
      <c r="F62" s="45"/>
      <c r="G62" s="23"/>
      <c r="H62" s="23"/>
      <c r="I62" s="23"/>
      <c r="J62" s="35" t="s">
        <v>235</v>
      </c>
      <c r="K62" s="34">
        <v>5</v>
      </c>
      <c r="L62" s="33" t="s">
        <v>229</v>
      </c>
      <c r="M62" s="32">
        <v>16.399999999999999</v>
      </c>
      <c r="N62" s="45"/>
      <c r="O62" s="23"/>
      <c r="P62" s="23"/>
      <c r="R62" s="25"/>
      <c r="S62" s="60"/>
      <c r="T62" s="59"/>
      <c r="U62" s="59"/>
      <c r="V62" s="51"/>
      <c r="W62" s="56"/>
    </row>
    <row r="63" spans="1:23" ht="18" customHeight="1" x14ac:dyDescent="0.2">
      <c r="A63" s="25"/>
      <c r="B63" s="35" t="s">
        <v>235</v>
      </c>
      <c r="C63" s="34">
        <v>6</v>
      </c>
      <c r="D63" s="33" t="s">
        <v>229</v>
      </c>
      <c r="E63" s="32">
        <v>17.8</v>
      </c>
      <c r="F63" s="31"/>
      <c r="G63" s="23"/>
      <c r="H63" s="23"/>
      <c r="I63" s="23"/>
      <c r="J63" s="35" t="s">
        <v>235</v>
      </c>
      <c r="K63" s="34">
        <v>6</v>
      </c>
      <c r="L63" s="33" t="s">
        <v>229</v>
      </c>
      <c r="M63" s="32">
        <v>19.7</v>
      </c>
      <c r="N63" s="31"/>
      <c r="O63" s="23"/>
      <c r="P63" s="23"/>
      <c r="R63" s="25"/>
      <c r="S63" s="53"/>
      <c r="T63" s="52"/>
      <c r="U63" s="52"/>
      <c r="V63" s="51"/>
      <c r="W63" s="56"/>
    </row>
    <row r="64" spans="1:23" ht="18" customHeight="1" x14ac:dyDescent="0.2">
      <c r="A64" s="25"/>
      <c r="B64" s="35" t="s">
        <v>235</v>
      </c>
      <c r="C64" s="34">
        <v>7</v>
      </c>
      <c r="D64" s="33" t="s">
        <v>229</v>
      </c>
      <c r="E64" s="32">
        <v>14.7</v>
      </c>
      <c r="F64" s="31"/>
      <c r="G64" s="23"/>
      <c r="H64" s="23"/>
      <c r="I64" s="23"/>
      <c r="J64" s="35" t="s">
        <v>235</v>
      </c>
      <c r="K64" s="34">
        <v>7</v>
      </c>
      <c r="L64" s="33" t="s">
        <v>229</v>
      </c>
      <c r="M64" s="32">
        <v>16.399999999999999</v>
      </c>
      <c r="N64" s="31"/>
      <c r="O64" s="23"/>
      <c r="P64" s="23"/>
      <c r="R64" s="25"/>
      <c r="S64" s="53"/>
      <c r="T64" s="52"/>
      <c r="U64" s="52"/>
      <c r="V64" s="51"/>
      <c r="W64" s="56"/>
    </row>
    <row r="65" spans="1:23" ht="18" customHeight="1" x14ac:dyDescent="0.2">
      <c r="A65" s="25"/>
      <c r="B65" s="44" t="s">
        <v>235</v>
      </c>
      <c r="C65" s="43">
        <v>8</v>
      </c>
      <c r="D65" s="42" t="s">
        <v>229</v>
      </c>
      <c r="E65" s="41">
        <v>15.8</v>
      </c>
      <c r="F65" s="31"/>
      <c r="G65" s="23"/>
      <c r="H65" s="23"/>
      <c r="I65" s="23"/>
      <c r="J65" s="40" t="s">
        <v>235</v>
      </c>
      <c r="K65" s="39">
        <v>8</v>
      </c>
      <c r="L65" s="38" t="s">
        <v>229</v>
      </c>
      <c r="M65" s="37">
        <v>19.2</v>
      </c>
      <c r="N65" s="31"/>
      <c r="O65" s="23"/>
      <c r="P65" s="23"/>
      <c r="R65" s="25"/>
      <c r="S65" s="53"/>
      <c r="T65" s="54"/>
      <c r="U65" s="54"/>
      <c r="V65" s="51"/>
      <c r="W65" s="56"/>
    </row>
    <row r="66" spans="1:23" ht="18" customHeight="1" x14ac:dyDescent="0.2">
      <c r="A66" s="25"/>
      <c r="B66" s="35" t="s">
        <v>235</v>
      </c>
      <c r="C66" s="34">
        <v>9</v>
      </c>
      <c r="D66" s="33" t="s">
        <v>229</v>
      </c>
      <c r="E66" s="32">
        <v>18.399999999999999</v>
      </c>
      <c r="F66" s="31"/>
      <c r="G66" s="23"/>
      <c r="H66" s="23"/>
      <c r="I66" s="23"/>
      <c r="J66" s="35" t="s">
        <v>235</v>
      </c>
      <c r="K66" s="34">
        <v>9</v>
      </c>
      <c r="L66" s="33" t="s">
        <v>229</v>
      </c>
      <c r="M66" s="32">
        <v>18.100000000000001</v>
      </c>
      <c r="N66" s="31"/>
      <c r="O66" s="23"/>
      <c r="P66" s="23"/>
      <c r="R66" s="25"/>
      <c r="S66" s="53"/>
      <c r="T66" s="52"/>
      <c r="U66" s="52"/>
      <c r="V66" s="51"/>
      <c r="W66" s="56"/>
    </row>
    <row r="67" spans="1:23" ht="18" customHeight="1" x14ac:dyDescent="0.2">
      <c r="A67" s="25"/>
      <c r="B67" s="35" t="s">
        <v>235</v>
      </c>
      <c r="C67" s="34">
        <v>10</v>
      </c>
      <c r="D67" s="33" t="s">
        <v>229</v>
      </c>
      <c r="E67" s="32">
        <v>15.1</v>
      </c>
      <c r="F67" s="31"/>
      <c r="G67" s="23"/>
      <c r="H67" s="23"/>
      <c r="I67" s="23"/>
      <c r="J67" s="35" t="s">
        <v>235</v>
      </c>
      <c r="K67" s="34">
        <v>10</v>
      </c>
      <c r="L67" s="33" t="s">
        <v>229</v>
      </c>
      <c r="M67" s="32">
        <v>19</v>
      </c>
      <c r="N67" s="31"/>
      <c r="O67" s="23"/>
      <c r="P67" s="23"/>
      <c r="R67" s="25"/>
      <c r="S67" s="53"/>
      <c r="T67" s="52"/>
      <c r="U67" s="52"/>
      <c r="V67" s="51"/>
      <c r="W67" s="56"/>
    </row>
    <row r="68" spans="1:23" ht="18" customHeight="1" x14ac:dyDescent="0.2">
      <c r="A68" s="25"/>
      <c r="B68" s="35" t="s">
        <v>235</v>
      </c>
      <c r="C68" s="34">
        <v>11</v>
      </c>
      <c r="D68" s="33" t="s">
        <v>229</v>
      </c>
      <c r="E68" s="32">
        <v>17.600000000000001</v>
      </c>
      <c r="F68" s="31"/>
      <c r="G68" s="23"/>
      <c r="H68" s="23"/>
      <c r="I68" s="23"/>
      <c r="J68" s="35" t="s">
        <v>235</v>
      </c>
      <c r="K68" s="34">
        <v>11</v>
      </c>
      <c r="L68" s="33" t="s">
        <v>229</v>
      </c>
      <c r="M68" s="32">
        <v>19.8</v>
      </c>
      <c r="N68" s="31"/>
      <c r="O68" s="23"/>
      <c r="P68" s="23"/>
      <c r="R68" s="25"/>
      <c r="S68" s="53"/>
      <c r="T68" s="54"/>
      <c r="U68" s="54"/>
      <c r="V68" s="51"/>
      <c r="W68" s="56"/>
    </row>
    <row r="69" spans="1:23" ht="18" customHeight="1" x14ac:dyDescent="0.2">
      <c r="A69" s="25"/>
      <c r="B69" s="35" t="s">
        <v>235</v>
      </c>
      <c r="C69" s="34">
        <v>12</v>
      </c>
      <c r="D69" s="33" t="s">
        <v>229</v>
      </c>
      <c r="E69" s="32">
        <v>15.6</v>
      </c>
      <c r="F69" s="36"/>
      <c r="G69" s="23"/>
      <c r="H69" s="23"/>
      <c r="I69" s="23"/>
      <c r="J69" s="35" t="s">
        <v>235</v>
      </c>
      <c r="K69" s="34">
        <v>12</v>
      </c>
      <c r="L69" s="33" t="s">
        <v>229</v>
      </c>
      <c r="M69" s="32">
        <v>17.899999999999999</v>
      </c>
      <c r="N69" s="36"/>
      <c r="O69" s="23"/>
      <c r="P69" s="23"/>
      <c r="R69" s="25"/>
      <c r="S69" s="53"/>
      <c r="T69" s="52"/>
      <c r="U69" s="52"/>
      <c r="V69" s="51"/>
      <c r="W69" s="56"/>
    </row>
    <row r="70" spans="1:23" ht="18" customHeight="1" x14ac:dyDescent="0.2">
      <c r="A70" s="25"/>
      <c r="B70" s="35" t="s">
        <v>235</v>
      </c>
      <c r="C70" s="34">
        <v>13</v>
      </c>
      <c r="D70" s="33" t="s">
        <v>229</v>
      </c>
      <c r="E70" s="32">
        <v>16.5</v>
      </c>
      <c r="F70" s="31"/>
      <c r="G70" s="23"/>
      <c r="H70" s="23"/>
      <c r="I70" s="23"/>
      <c r="J70" s="35" t="s">
        <v>235</v>
      </c>
      <c r="K70" s="34">
        <v>13</v>
      </c>
      <c r="L70" s="33" t="s">
        <v>229</v>
      </c>
      <c r="M70" s="32">
        <v>18.100000000000001</v>
      </c>
      <c r="N70" s="31"/>
      <c r="O70" s="23"/>
      <c r="P70" s="23"/>
      <c r="R70" s="25"/>
      <c r="S70" s="53"/>
      <c r="T70" s="52"/>
      <c r="U70" s="52"/>
      <c r="V70" s="51"/>
      <c r="W70" s="56"/>
    </row>
    <row r="71" spans="1:23" ht="18" customHeight="1" x14ac:dyDescent="0.2">
      <c r="A71" s="25"/>
      <c r="B71" s="35" t="s">
        <v>235</v>
      </c>
      <c r="C71" s="34">
        <v>14</v>
      </c>
      <c r="D71" s="33" t="s">
        <v>229</v>
      </c>
      <c r="E71" s="32">
        <v>15.3</v>
      </c>
      <c r="F71" s="31"/>
      <c r="G71" s="23"/>
      <c r="H71" s="23"/>
      <c r="I71" s="23"/>
      <c r="J71" s="35" t="s">
        <v>235</v>
      </c>
      <c r="K71" s="34">
        <v>14</v>
      </c>
      <c r="L71" s="33" t="s">
        <v>229</v>
      </c>
      <c r="M71" s="32">
        <v>16.2</v>
      </c>
      <c r="N71" s="31"/>
      <c r="O71" s="23"/>
      <c r="P71" s="23"/>
      <c r="R71" s="25"/>
      <c r="S71" s="53"/>
      <c r="T71" s="54"/>
      <c r="U71" s="54"/>
      <c r="V71" s="51"/>
      <c r="W71" s="56"/>
    </row>
    <row r="72" spans="1:23" ht="18" customHeight="1" thickBot="1" x14ac:dyDescent="0.25">
      <c r="A72" s="25"/>
      <c r="B72" s="30" t="s">
        <v>235</v>
      </c>
      <c r="C72" s="29">
        <v>15</v>
      </c>
      <c r="D72" s="28" t="s">
        <v>229</v>
      </c>
      <c r="E72" s="27">
        <v>15.4</v>
      </c>
      <c r="F72" s="26">
        <v>19.8</v>
      </c>
      <c r="G72" s="23"/>
      <c r="H72" s="23"/>
      <c r="I72" s="23"/>
      <c r="J72" s="30" t="s">
        <v>235</v>
      </c>
      <c r="K72" s="29">
        <v>15</v>
      </c>
      <c r="L72" s="28" t="s">
        <v>229</v>
      </c>
      <c r="M72" s="27">
        <v>11</v>
      </c>
      <c r="N72" s="26">
        <v>18.600000000000001</v>
      </c>
      <c r="O72" s="23"/>
      <c r="P72" s="23"/>
      <c r="R72" s="25"/>
      <c r="S72" s="53"/>
      <c r="T72" s="52"/>
      <c r="U72" s="52"/>
      <c r="V72" s="51"/>
      <c r="W72" s="56"/>
    </row>
    <row r="73" spans="1:23" ht="18" customHeight="1" x14ac:dyDescent="0.2">
      <c r="A73" s="25"/>
      <c r="B73" s="50" t="s">
        <v>234</v>
      </c>
      <c r="C73" s="49">
        <v>1</v>
      </c>
      <c r="D73" s="48" t="s">
        <v>233</v>
      </c>
      <c r="E73" s="47">
        <v>17.100000000000001</v>
      </c>
      <c r="F73" s="46"/>
      <c r="G73" s="23"/>
      <c r="H73" s="23"/>
      <c r="I73" s="23"/>
      <c r="J73" s="50" t="s">
        <v>234</v>
      </c>
      <c r="K73" s="49">
        <v>1</v>
      </c>
      <c r="L73" s="48" t="s">
        <v>233</v>
      </c>
      <c r="M73" s="47">
        <v>23.3</v>
      </c>
      <c r="N73" s="46"/>
      <c r="O73" s="23"/>
      <c r="P73" s="23"/>
      <c r="R73" s="25"/>
      <c r="S73" s="53"/>
      <c r="T73" s="52"/>
      <c r="U73" s="52"/>
      <c r="V73" s="51"/>
      <c r="W73" s="56"/>
    </row>
    <row r="74" spans="1:23" ht="18" customHeight="1" x14ac:dyDescent="0.2">
      <c r="A74" s="25"/>
      <c r="B74" s="35" t="s">
        <v>234</v>
      </c>
      <c r="C74" s="34">
        <v>2</v>
      </c>
      <c r="D74" s="33" t="s">
        <v>233</v>
      </c>
      <c r="E74" s="32">
        <v>18</v>
      </c>
      <c r="F74" s="31"/>
      <c r="G74" s="23"/>
      <c r="H74" s="23"/>
      <c r="I74" s="23"/>
      <c r="J74" s="35" t="s">
        <v>234</v>
      </c>
      <c r="K74" s="34">
        <v>2</v>
      </c>
      <c r="L74" s="33" t="s">
        <v>233</v>
      </c>
      <c r="M74" s="32">
        <v>23.4</v>
      </c>
      <c r="N74" s="31"/>
      <c r="O74" s="23"/>
      <c r="P74" s="23"/>
      <c r="R74" s="25"/>
      <c r="S74" s="55"/>
      <c r="T74" s="54"/>
      <c r="U74" s="54"/>
      <c r="V74" s="51"/>
      <c r="W74" s="56"/>
    </row>
    <row r="75" spans="1:23" ht="18" customHeight="1" x14ac:dyDescent="0.2">
      <c r="A75" s="25"/>
      <c r="B75" s="35" t="s">
        <v>234</v>
      </c>
      <c r="C75" s="34">
        <v>3</v>
      </c>
      <c r="D75" s="33" t="s">
        <v>233</v>
      </c>
      <c r="E75" s="32">
        <v>16.100000000000001</v>
      </c>
      <c r="F75" s="31"/>
      <c r="G75" s="23"/>
      <c r="H75" s="23"/>
      <c r="I75" s="23"/>
      <c r="J75" s="35" t="s">
        <v>234</v>
      </c>
      <c r="K75" s="34">
        <v>3</v>
      </c>
      <c r="L75" s="33" t="s">
        <v>233</v>
      </c>
      <c r="M75" s="32">
        <v>21.9</v>
      </c>
      <c r="N75" s="31"/>
      <c r="O75" s="23"/>
      <c r="P75" s="23"/>
      <c r="R75" s="25"/>
      <c r="S75" s="53"/>
      <c r="T75" s="52"/>
      <c r="U75" s="52"/>
      <c r="V75" s="51"/>
      <c r="W75" s="56"/>
    </row>
    <row r="76" spans="1:23" ht="18" customHeight="1" x14ac:dyDescent="0.2">
      <c r="A76" s="25"/>
      <c r="B76" s="35" t="s">
        <v>234</v>
      </c>
      <c r="C76" s="34">
        <v>4</v>
      </c>
      <c r="D76" s="33" t="s">
        <v>233</v>
      </c>
      <c r="E76" s="32">
        <v>15.9</v>
      </c>
      <c r="F76" s="31"/>
      <c r="G76" s="23"/>
      <c r="H76" s="23"/>
      <c r="I76" s="23"/>
      <c r="J76" s="35" t="s">
        <v>234</v>
      </c>
      <c r="K76" s="34">
        <v>4</v>
      </c>
      <c r="L76" s="33" t="s">
        <v>233</v>
      </c>
      <c r="M76" s="32">
        <v>20.6</v>
      </c>
      <c r="N76" s="31"/>
      <c r="O76" s="23"/>
      <c r="P76" s="23"/>
      <c r="R76" s="25"/>
      <c r="S76" s="53"/>
      <c r="T76" s="52"/>
      <c r="U76" s="52"/>
      <c r="V76" s="51"/>
      <c r="W76" s="56"/>
    </row>
    <row r="77" spans="1:23" ht="18" customHeight="1" x14ac:dyDescent="0.2">
      <c r="A77" s="25"/>
      <c r="B77" s="35" t="s">
        <v>234</v>
      </c>
      <c r="C77" s="34">
        <v>5</v>
      </c>
      <c r="D77" s="33" t="s">
        <v>233</v>
      </c>
      <c r="E77" s="32">
        <v>23.2</v>
      </c>
      <c r="F77" s="45"/>
      <c r="G77" s="23"/>
      <c r="H77" s="23"/>
      <c r="I77" s="23"/>
      <c r="J77" s="35" t="s">
        <v>234</v>
      </c>
      <c r="K77" s="34">
        <v>5</v>
      </c>
      <c r="L77" s="33" t="s">
        <v>233</v>
      </c>
      <c r="M77" s="32">
        <v>18</v>
      </c>
      <c r="N77" s="45"/>
      <c r="O77" s="23"/>
      <c r="P77" s="23"/>
      <c r="R77" s="25"/>
      <c r="S77" s="53"/>
      <c r="T77" s="54"/>
      <c r="U77" s="54"/>
      <c r="V77" s="51"/>
      <c r="W77" s="56"/>
    </row>
    <row r="78" spans="1:23" ht="18" customHeight="1" x14ac:dyDescent="0.2">
      <c r="A78" s="25"/>
      <c r="B78" s="35" t="s">
        <v>234</v>
      </c>
      <c r="C78" s="34">
        <v>6</v>
      </c>
      <c r="D78" s="33" t="s">
        <v>233</v>
      </c>
      <c r="E78" s="32">
        <v>20.7</v>
      </c>
      <c r="F78" s="31"/>
      <c r="G78" s="23"/>
      <c r="H78" s="23"/>
      <c r="I78" s="23"/>
      <c r="J78" s="35" t="s">
        <v>234</v>
      </c>
      <c r="K78" s="34">
        <v>6</v>
      </c>
      <c r="L78" s="33" t="s">
        <v>233</v>
      </c>
      <c r="M78" s="32">
        <v>22.7</v>
      </c>
      <c r="N78" s="31"/>
      <c r="O78" s="23"/>
      <c r="P78" s="23"/>
      <c r="R78" s="25"/>
      <c r="S78" s="53"/>
      <c r="T78" s="52"/>
      <c r="U78" s="52"/>
      <c r="V78" s="51"/>
      <c r="W78" s="56"/>
    </row>
    <row r="79" spans="1:23" ht="18" customHeight="1" x14ac:dyDescent="0.2">
      <c r="A79" s="25"/>
      <c r="B79" s="35" t="s">
        <v>234</v>
      </c>
      <c r="C79" s="34">
        <v>7</v>
      </c>
      <c r="D79" s="33" t="s">
        <v>233</v>
      </c>
      <c r="E79" s="32">
        <v>15.3</v>
      </c>
      <c r="F79" s="31"/>
      <c r="G79" s="23"/>
      <c r="H79" s="23"/>
      <c r="I79" s="23"/>
      <c r="J79" s="35" t="s">
        <v>234</v>
      </c>
      <c r="K79" s="34">
        <v>7</v>
      </c>
      <c r="L79" s="33" t="s">
        <v>233</v>
      </c>
      <c r="M79" s="32">
        <v>17.3</v>
      </c>
      <c r="N79" s="31"/>
      <c r="O79" s="23"/>
      <c r="P79" s="23"/>
      <c r="R79" s="25"/>
      <c r="S79" s="53"/>
      <c r="T79" s="52"/>
      <c r="U79" s="52"/>
      <c r="V79" s="51"/>
      <c r="W79" s="56"/>
    </row>
    <row r="80" spans="1:23" ht="18" customHeight="1" x14ac:dyDescent="0.2">
      <c r="A80" s="25"/>
      <c r="B80" s="44" t="s">
        <v>234</v>
      </c>
      <c r="C80" s="43">
        <v>8</v>
      </c>
      <c r="D80" s="42" t="s">
        <v>233</v>
      </c>
      <c r="E80" s="41">
        <v>19.899999999999999</v>
      </c>
      <c r="F80" s="31"/>
      <c r="G80" s="23"/>
      <c r="H80" s="23"/>
      <c r="I80" s="23"/>
      <c r="J80" s="40" t="s">
        <v>234</v>
      </c>
      <c r="K80" s="39">
        <v>8</v>
      </c>
      <c r="L80" s="38" t="s">
        <v>233</v>
      </c>
      <c r="M80" s="37">
        <v>23.7</v>
      </c>
      <c r="N80" s="31"/>
      <c r="O80" s="23"/>
      <c r="P80" s="23"/>
      <c r="R80" s="25"/>
      <c r="S80" s="53"/>
      <c r="T80" s="54"/>
      <c r="U80" s="54"/>
      <c r="V80" s="51"/>
      <c r="W80" s="56"/>
    </row>
    <row r="81" spans="1:23" ht="18" customHeight="1" x14ac:dyDescent="0.2">
      <c r="A81" s="25"/>
      <c r="B81" s="35" t="s">
        <v>234</v>
      </c>
      <c r="C81" s="34">
        <v>9</v>
      </c>
      <c r="D81" s="33" t="s">
        <v>233</v>
      </c>
      <c r="E81" s="32">
        <v>16.399999999999999</v>
      </c>
      <c r="F81" s="31"/>
      <c r="G81" s="23"/>
      <c r="H81" s="23"/>
      <c r="I81" s="23"/>
      <c r="J81" s="35" t="s">
        <v>234</v>
      </c>
      <c r="K81" s="34">
        <v>9</v>
      </c>
      <c r="L81" s="33" t="s">
        <v>233</v>
      </c>
      <c r="M81" s="32">
        <v>21.2</v>
      </c>
      <c r="N81" s="31"/>
      <c r="O81" s="23"/>
      <c r="P81" s="23"/>
      <c r="R81" s="25"/>
      <c r="S81" s="53"/>
      <c r="T81" s="52"/>
      <c r="U81" s="52"/>
      <c r="V81" s="51"/>
      <c r="W81" s="56"/>
    </row>
    <row r="82" spans="1:23" ht="18" customHeight="1" x14ac:dyDescent="0.2">
      <c r="A82" s="25"/>
      <c r="B82" s="35" t="s">
        <v>234</v>
      </c>
      <c r="C82" s="34">
        <v>10</v>
      </c>
      <c r="D82" s="33" t="s">
        <v>233</v>
      </c>
      <c r="E82" s="32">
        <v>14.2</v>
      </c>
      <c r="F82" s="31"/>
      <c r="G82" s="23"/>
      <c r="H82" s="23"/>
      <c r="I82" s="23"/>
      <c r="J82" s="35" t="s">
        <v>234</v>
      </c>
      <c r="K82" s="34">
        <v>10</v>
      </c>
      <c r="L82" s="33" t="s">
        <v>233</v>
      </c>
      <c r="M82" s="32">
        <v>14.7</v>
      </c>
      <c r="N82" s="31"/>
      <c r="O82" s="23"/>
      <c r="P82" s="23"/>
      <c r="R82" s="25"/>
      <c r="S82" s="53"/>
      <c r="T82" s="52"/>
      <c r="U82" s="52"/>
      <c r="V82" s="51"/>
      <c r="W82" s="56"/>
    </row>
    <row r="83" spans="1:23" ht="18" customHeight="1" x14ac:dyDescent="0.2">
      <c r="A83" s="25"/>
      <c r="B83" s="35" t="s">
        <v>234</v>
      </c>
      <c r="C83" s="34">
        <v>11</v>
      </c>
      <c r="D83" s="33" t="s">
        <v>233</v>
      </c>
      <c r="E83" s="32">
        <v>16.8</v>
      </c>
      <c r="F83" s="31"/>
      <c r="G83" s="23"/>
      <c r="H83" s="23"/>
      <c r="I83" s="23"/>
      <c r="J83" s="35" t="s">
        <v>234</v>
      </c>
      <c r="K83" s="34">
        <v>11</v>
      </c>
      <c r="L83" s="33" t="s">
        <v>233</v>
      </c>
      <c r="M83" s="32">
        <v>17.8</v>
      </c>
      <c r="N83" s="31"/>
      <c r="O83" s="23"/>
      <c r="P83" s="23"/>
      <c r="R83" s="25"/>
      <c r="S83" s="53"/>
      <c r="T83" s="54"/>
      <c r="U83" s="54"/>
      <c r="V83" s="51"/>
      <c r="W83" s="56"/>
    </row>
    <row r="84" spans="1:23" ht="18" customHeight="1" x14ac:dyDescent="0.2">
      <c r="A84" s="25"/>
      <c r="B84" s="35" t="s">
        <v>234</v>
      </c>
      <c r="C84" s="34">
        <v>12</v>
      </c>
      <c r="D84" s="33" t="s">
        <v>233</v>
      </c>
      <c r="E84" s="32">
        <v>16.8</v>
      </c>
      <c r="F84" s="36"/>
      <c r="G84" s="23"/>
      <c r="H84" s="23"/>
      <c r="I84" s="23"/>
      <c r="J84" s="35" t="s">
        <v>234</v>
      </c>
      <c r="K84" s="34">
        <v>12</v>
      </c>
      <c r="L84" s="33" t="s">
        <v>233</v>
      </c>
      <c r="M84" s="32">
        <v>19.2</v>
      </c>
      <c r="N84" s="36"/>
      <c r="O84" s="23"/>
      <c r="P84" s="23"/>
      <c r="R84" s="25"/>
      <c r="S84" s="53"/>
      <c r="T84" s="52"/>
      <c r="U84" s="52"/>
      <c r="V84" s="51"/>
      <c r="W84" s="56"/>
    </row>
    <row r="85" spans="1:23" ht="18" customHeight="1" x14ac:dyDescent="0.2">
      <c r="A85" s="25"/>
      <c r="B85" s="35" t="s">
        <v>234</v>
      </c>
      <c r="C85" s="34">
        <v>13</v>
      </c>
      <c r="D85" s="33" t="s">
        <v>233</v>
      </c>
      <c r="E85" s="32">
        <v>19.7</v>
      </c>
      <c r="F85" s="31"/>
      <c r="G85" s="23"/>
      <c r="H85" s="23"/>
      <c r="I85" s="23"/>
      <c r="J85" s="35" t="s">
        <v>234</v>
      </c>
      <c r="K85" s="34">
        <v>13</v>
      </c>
      <c r="L85" s="33" t="s">
        <v>233</v>
      </c>
      <c r="M85" s="32">
        <v>17.5</v>
      </c>
      <c r="N85" s="31"/>
      <c r="O85" s="23"/>
      <c r="P85" s="23"/>
      <c r="R85" s="25"/>
      <c r="S85" s="53"/>
      <c r="T85" s="52"/>
      <c r="U85" s="52"/>
      <c r="V85" s="51"/>
      <c r="W85" s="56"/>
    </row>
    <row r="86" spans="1:23" ht="18" customHeight="1" x14ac:dyDescent="0.2">
      <c r="A86" s="25"/>
      <c r="B86" s="35" t="s">
        <v>234</v>
      </c>
      <c r="C86" s="34">
        <v>14</v>
      </c>
      <c r="D86" s="33" t="s">
        <v>233</v>
      </c>
      <c r="E86" s="32">
        <v>15.5</v>
      </c>
      <c r="F86" s="31"/>
      <c r="G86" s="23"/>
      <c r="H86" s="23"/>
      <c r="I86" s="23"/>
      <c r="J86" s="35" t="s">
        <v>234</v>
      </c>
      <c r="K86" s="34">
        <v>14</v>
      </c>
      <c r="L86" s="33" t="s">
        <v>233</v>
      </c>
      <c r="M86" s="32">
        <v>17.399999999999999</v>
      </c>
      <c r="N86" s="31"/>
      <c r="O86" s="23"/>
      <c r="P86" s="23"/>
      <c r="R86" s="25"/>
      <c r="S86" s="55"/>
      <c r="T86" s="54"/>
      <c r="U86" s="54"/>
      <c r="V86" s="51"/>
      <c r="W86" s="56"/>
    </row>
    <row r="87" spans="1:23" ht="18" customHeight="1" thickBot="1" x14ac:dyDescent="0.25">
      <c r="A87" s="25"/>
      <c r="B87" s="30" t="s">
        <v>234</v>
      </c>
      <c r="C87" s="29">
        <v>15</v>
      </c>
      <c r="D87" s="28" t="s">
        <v>233</v>
      </c>
      <c r="E87" s="27">
        <v>13.5</v>
      </c>
      <c r="F87" s="26">
        <v>21.7</v>
      </c>
      <c r="G87" s="23"/>
      <c r="H87" s="23"/>
      <c r="I87" s="23"/>
      <c r="J87" s="30" t="s">
        <v>234</v>
      </c>
      <c r="K87" s="29">
        <v>15</v>
      </c>
      <c r="L87" s="28" t="s">
        <v>233</v>
      </c>
      <c r="M87" s="27">
        <v>15.1</v>
      </c>
      <c r="N87" s="26"/>
      <c r="O87" s="23"/>
      <c r="P87" s="23"/>
      <c r="R87" s="25"/>
      <c r="S87" s="53"/>
      <c r="T87" s="52"/>
      <c r="U87" s="52"/>
      <c r="V87" s="51"/>
      <c r="W87" s="56"/>
    </row>
    <row r="88" spans="1:23" ht="18" customHeight="1" x14ac:dyDescent="0.2">
      <c r="A88" s="25"/>
      <c r="B88" s="50" t="s">
        <v>230</v>
      </c>
      <c r="C88" s="49">
        <v>1</v>
      </c>
      <c r="D88" s="48" t="s">
        <v>229</v>
      </c>
      <c r="E88" s="47">
        <v>15</v>
      </c>
      <c r="F88" s="46"/>
      <c r="G88" s="23"/>
      <c r="H88" s="23"/>
      <c r="I88" s="23"/>
      <c r="J88" s="50" t="s">
        <v>230</v>
      </c>
      <c r="K88" s="49">
        <v>1</v>
      </c>
      <c r="L88" s="48" t="s">
        <v>229</v>
      </c>
      <c r="M88" s="58">
        <v>16</v>
      </c>
      <c r="N88" s="57" t="s">
        <v>232</v>
      </c>
      <c r="O88" s="23"/>
      <c r="P88" s="23"/>
      <c r="R88" s="25"/>
      <c r="S88" s="53"/>
      <c r="T88" s="52"/>
      <c r="U88" s="52"/>
      <c r="V88" s="51"/>
      <c r="W88" s="56"/>
    </row>
    <row r="89" spans="1:23" ht="18" customHeight="1" x14ac:dyDescent="0.2">
      <c r="A89" s="25"/>
      <c r="B89" s="35" t="s">
        <v>230</v>
      </c>
      <c r="C89" s="34">
        <v>2</v>
      </c>
      <c r="D89" s="33" t="s">
        <v>229</v>
      </c>
      <c r="E89" s="32">
        <v>19.399999999999999</v>
      </c>
      <c r="F89" s="31"/>
      <c r="G89" s="23"/>
      <c r="H89" s="23"/>
      <c r="I89" s="23"/>
      <c r="J89" s="35" t="s">
        <v>230</v>
      </c>
      <c r="K89" s="34">
        <v>2</v>
      </c>
      <c r="L89" s="33" t="s">
        <v>229</v>
      </c>
      <c r="M89" s="32">
        <v>20.5</v>
      </c>
      <c r="N89" s="308" t="s">
        <v>231</v>
      </c>
      <c r="O89" s="23"/>
      <c r="P89" s="23"/>
      <c r="R89" s="25"/>
      <c r="S89" s="53"/>
      <c r="T89" s="54"/>
      <c r="U89" s="54"/>
      <c r="V89" s="51"/>
      <c r="W89" s="56"/>
    </row>
    <row r="90" spans="1:23" ht="18" customHeight="1" x14ac:dyDescent="0.2">
      <c r="A90" s="25"/>
      <c r="B90" s="35" t="s">
        <v>230</v>
      </c>
      <c r="C90" s="34">
        <v>3</v>
      </c>
      <c r="D90" s="33" t="s">
        <v>229</v>
      </c>
      <c r="E90" s="32">
        <v>19.5</v>
      </c>
      <c r="F90" s="31"/>
      <c r="G90" s="23"/>
      <c r="H90" s="23"/>
      <c r="I90" s="23"/>
      <c r="J90" s="35" t="s">
        <v>230</v>
      </c>
      <c r="K90" s="34">
        <v>3</v>
      </c>
      <c r="L90" s="33" t="s">
        <v>229</v>
      </c>
      <c r="M90" s="32">
        <v>18.2</v>
      </c>
      <c r="N90" s="309"/>
      <c r="O90" s="23"/>
      <c r="P90" s="23"/>
      <c r="R90" s="25"/>
      <c r="S90" s="53"/>
      <c r="T90" s="52"/>
      <c r="U90" s="52"/>
      <c r="V90" s="51"/>
      <c r="W90" s="56"/>
    </row>
    <row r="91" spans="1:23" ht="18" customHeight="1" x14ac:dyDescent="0.2">
      <c r="A91" s="25"/>
      <c r="B91" s="35" t="s">
        <v>230</v>
      </c>
      <c r="C91" s="34">
        <v>4</v>
      </c>
      <c r="D91" s="33" t="s">
        <v>229</v>
      </c>
      <c r="E91" s="32">
        <v>19.899999999999999</v>
      </c>
      <c r="F91" s="31"/>
      <c r="G91" s="23"/>
      <c r="H91" s="23"/>
      <c r="I91" s="23"/>
      <c r="J91" s="35" t="s">
        <v>230</v>
      </c>
      <c r="K91" s="34">
        <v>4</v>
      </c>
      <c r="L91" s="33" t="s">
        <v>229</v>
      </c>
      <c r="M91" s="32">
        <v>19.8</v>
      </c>
      <c r="N91" s="309"/>
      <c r="O91" s="23"/>
      <c r="P91" s="23"/>
      <c r="R91" s="25"/>
      <c r="S91" s="53"/>
      <c r="T91" s="52"/>
      <c r="U91" s="52"/>
      <c r="V91" s="51"/>
      <c r="W91" s="56"/>
    </row>
    <row r="92" spans="1:23" ht="18" customHeight="1" x14ac:dyDescent="0.2">
      <c r="A92" s="25"/>
      <c r="B92" s="35" t="s">
        <v>230</v>
      </c>
      <c r="C92" s="34">
        <v>5</v>
      </c>
      <c r="D92" s="33" t="s">
        <v>229</v>
      </c>
      <c r="E92" s="32">
        <v>15.9</v>
      </c>
      <c r="F92" s="45"/>
      <c r="G92" s="23"/>
      <c r="H92" s="23"/>
      <c r="I92" s="23"/>
      <c r="J92" s="35" t="s">
        <v>230</v>
      </c>
      <c r="K92" s="34">
        <v>5</v>
      </c>
      <c r="L92" s="33" t="s">
        <v>229</v>
      </c>
      <c r="M92" s="32">
        <v>18.3</v>
      </c>
      <c r="N92" s="45"/>
      <c r="O92" s="23"/>
      <c r="P92" s="23"/>
      <c r="R92" s="25"/>
      <c r="S92" s="53"/>
      <c r="T92" s="54"/>
      <c r="U92" s="54"/>
      <c r="V92" s="51"/>
      <c r="W92" s="56"/>
    </row>
    <row r="93" spans="1:23" ht="18" customHeight="1" x14ac:dyDescent="0.2">
      <c r="A93" s="25"/>
      <c r="B93" s="35" t="s">
        <v>230</v>
      </c>
      <c r="C93" s="34">
        <v>6</v>
      </c>
      <c r="D93" s="33" t="s">
        <v>229</v>
      </c>
      <c r="E93" s="32">
        <v>18.600000000000001</v>
      </c>
      <c r="F93" s="31"/>
      <c r="G93" s="23"/>
      <c r="H93" s="23"/>
      <c r="I93" s="23"/>
      <c r="J93" s="35" t="s">
        <v>230</v>
      </c>
      <c r="K93" s="34">
        <v>6</v>
      </c>
      <c r="L93" s="33" t="s">
        <v>229</v>
      </c>
      <c r="M93" s="32">
        <v>20.9</v>
      </c>
      <c r="N93" s="31"/>
      <c r="O93" s="23"/>
      <c r="P93" s="23"/>
      <c r="R93" s="25"/>
      <c r="S93" s="53"/>
      <c r="T93" s="52"/>
      <c r="U93" s="52"/>
      <c r="V93" s="51"/>
      <c r="W93" s="56"/>
    </row>
    <row r="94" spans="1:23" ht="18" customHeight="1" x14ac:dyDescent="0.2">
      <c r="A94" s="25"/>
      <c r="B94" s="35" t="s">
        <v>230</v>
      </c>
      <c r="C94" s="34">
        <v>7</v>
      </c>
      <c r="D94" s="33" t="s">
        <v>229</v>
      </c>
      <c r="E94" s="32">
        <v>18.8</v>
      </c>
      <c r="F94" s="31"/>
      <c r="G94" s="23"/>
      <c r="H94" s="23"/>
      <c r="I94" s="23"/>
      <c r="J94" s="35" t="s">
        <v>230</v>
      </c>
      <c r="K94" s="34">
        <v>7</v>
      </c>
      <c r="L94" s="33" t="s">
        <v>229</v>
      </c>
      <c r="M94" s="32">
        <v>18.399999999999999</v>
      </c>
      <c r="N94" s="31"/>
      <c r="O94" s="23"/>
      <c r="P94" s="23"/>
      <c r="R94" s="25"/>
      <c r="S94" s="53"/>
      <c r="T94" s="52"/>
      <c r="U94" s="52"/>
      <c r="V94" s="51"/>
      <c r="W94" s="56"/>
    </row>
    <row r="95" spans="1:23" ht="18" customHeight="1" x14ac:dyDescent="0.2">
      <c r="A95" s="25"/>
      <c r="B95" s="44" t="s">
        <v>230</v>
      </c>
      <c r="C95" s="43">
        <v>8</v>
      </c>
      <c r="D95" s="42" t="s">
        <v>229</v>
      </c>
      <c r="E95" s="41">
        <v>17.8</v>
      </c>
      <c r="F95" s="31"/>
      <c r="G95" s="23"/>
      <c r="H95" s="23"/>
      <c r="I95" s="23"/>
      <c r="J95" s="40" t="s">
        <v>230</v>
      </c>
      <c r="K95" s="39">
        <v>8</v>
      </c>
      <c r="L95" s="38" t="s">
        <v>229</v>
      </c>
      <c r="M95" s="37">
        <v>21.1</v>
      </c>
      <c r="N95" s="31"/>
      <c r="O95" s="23"/>
      <c r="P95" s="23"/>
      <c r="R95" s="25"/>
      <c r="S95" s="53"/>
      <c r="T95" s="54"/>
      <c r="U95" s="54"/>
      <c r="V95" s="51"/>
      <c r="W95" s="56"/>
    </row>
    <row r="96" spans="1:23" ht="18" customHeight="1" x14ac:dyDescent="0.2">
      <c r="A96" s="25"/>
      <c r="B96" s="35" t="s">
        <v>230</v>
      </c>
      <c r="C96" s="34">
        <v>9</v>
      </c>
      <c r="D96" s="33" t="s">
        <v>229</v>
      </c>
      <c r="E96" s="32">
        <v>15.6</v>
      </c>
      <c r="F96" s="31"/>
      <c r="G96" s="23"/>
      <c r="H96" s="23"/>
      <c r="I96" s="23"/>
      <c r="J96" s="35" t="s">
        <v>230</v>
      </c>
      <c r="K96" s="34">
        <v>9</v>
      </c>
      <c r="L96" s="33" t="s">
        <v>229</v>
      </c>
      <c r="M96" s="32">
        <v>20.7</v>
      </c>
      <c r="N96" s="31"/>
      <c r="O96" s="23"/>
      <c r="P96" s="23"/>
      <c r="R96" s="25"/>
      <c r="S96" s="53"/>
      <c r="T96" s="52"/>
      <c r="U96" s="52"/>
      <c r="V96" s="51"/>
      <c r="W96" s="56"/>
    </row>
    <row r="97" spans="1:23" ht="18" customHeight="1" x14ac:dyDescent="0.2">
      <c r="A97" s="25"/>
      <c r="B97" s="35" t="s">
        <v>230</v>
      </c>
      <c r="C97" s="34">
        <v>10</v>
      </c>
      <c r="D97" s="33" t="s">
        <v>229</v>
      </c>
      <c r="E97" s="32">
        <v>17</v>
      </c>
      <c r="F97" s="31"/>
      <c r="G97" s="23"/>
      <c r="H97" s="23"/>
      <c r="I97" s="23"/>
      <c r="J97" s="35" t="s">
        <v>230</v>
      </c>
      <c r="K97" s="34">
        <v>10</v>
      </c>
      <c r="L97" s="33" t="s">
        <v>229</v>
      </c>
      <c r="M97" s="32">
        <v>16.5</v>
      </c>
      <c r="N97" s="31"/>
      <c r="O97" s="23"/>
      <c r="P97" s="23"/>
      <c r="R97" s="25"/>
      <c r="S97" s="53"/>
      <c r="T97" s="52"/>
      <c r="U97" s="52"/>
      <c r="V97" s="51"/>
      <c r="W97" s="56"/>
    </row>
    <row r="98" spans="1:23" ht="18" customHeight="1" x14ac:dyDescent="0.2">
      <c r="A98" s="25"/>
      <c r="B98" s="35" t="s">
        <v>230</v>
      </c>
      <c r="C98" s="34">
        <v>11</v>
      </c>
      <c r="D98" s="33" t="s">
        <v>229</v>
      </c>
      <c r="E98" s="32">
        <v>15.8</v>
      </c>
      <c r="F98" s="31"/>
      <c r="G98" s="23"/>
      <c r="H98" s="23"/>
      <c r="I98" s="23"/>
      <c r="J98" s="35" t="s">
        <v>230</v>
      </c>
      <c r="K98" s="34">
        <v>11</v>
      </c>
      <c r="L98" s="33" t="s">
        <v>229</v>
      </c>
      <c r="M98" s="32">
        <v>16.7</v>
      </c>
      <c r="N98" s="31"/>
      <c r="O98" s="23"/>
      <c r="P98" s="23"/>
      <c r="R98" s="25"/>
      <c r="S98" s="55"/>
      <c r="T98" s="54"/>
      <c r="U98" s="54"/>
      <c r="V98" s="51"/>
      <c r="W98" s="56"/>
    </row>
    <row r="99" spans="1:23" ht="18" customHeight="1" x14ac:dyDescent="0.2">
      <c r="A99" s="25"/>
      <c r="B99" s="35" t="s">
        <v>230</v>
      </c>
      <c r="C99" s="34">
        <v>12</v>
      </c>
      <c r="D99" s="33" t="s">
        <v>229</v>
      </c>
      <c r="E99" s="32">
        <v>16.5</v>
      </c>
      <c r="F99" s="36"/>
      <c r="G99" s="23"/>
      <c r="H99" s="23"/>
      <c r="I99" s="23"/>
      <c r="J99" s="35" t="s">
        <v>230</v>
      </c>
      <c r="K99" s="34">
        <v>12</v>
      </c>
      <c r="L99" s="33" t="s">
        <v>229</v>
      </c>
      <c r="M99" s="32">
        <v>19</v>
      </c>
      <c r="N99" s="36"/>
      <c r="O99" s="23"/>
      <c r="P99" s="23"/>
      <c r="R99" s="25"/>
      <c r="S99" s="53"/>
      <c r="T99" s="52"/>
      <c r="U99" s="52"/>
      <c r="V99" s="51"/>
      <c r="W99" s="56"/>
    </row>
    <row r="100" spans="1:23" ht="18" customHeight="1" x14ac:dyDescent="0.2">
      <c r="A100" s="25"/>
      <c r="B100" s="35" t="s">
        <v>230</v>
      </c>
      <c r="C100" s="34">
        <v>13</v>
      </c>
      <c r="D100" s="33" t="s">
        <v>229</v>
      </c>
      <c r="E100" s="32">
        <v>17.5</v>
      </c>
      <c r="F100" s="31"/>
      <c r="G100" s="23"/>
      <c r="H100" s="23"/>
      <c r="I100" s="23"/>
      <c r="J100" s="35" t="s">
        <v>230</v>
      </c>
      <c r="K100" s="34">
        <v>13</v>
      </c>
      <c r="L100" s="33" t="s">
        <v>229</v>
      </c>
      <c r="M100" s="32">
        <v>17.7</v>
      </c>
      <c r="N100" s="31"/>
      <c r="O100" s="23"/>
      <c r="P100" s="23"/>
      <c r="R100" s="25"/>
      <c r="S100" s="53"/>
      <c r="T100" s="52"/>
      <c r="U100" s="52"/>
      <c r="V100" s="51"/>
      <c r="W100" s="56"/>
    </row>
    <row r="101" spans="1:23" ht="18" customHeight="1" x14ac:dyDescent="0.2">
      <c r="A101" s="25"/>
      <c r="B101" s="35" t="s">
        <v>230</v>
      </c>
      <c r="C101" s="34">
        <v>14</v>
      </c>
      <c r="D101" s="33" t="s">
        <v>229</v>
      </c>
      <c r="E101" s="32">
        <v>13.5</v>
      </c>
      <c r="F101" s="31"/>
      <c r="G101" s="23"/>
      <c r="H101" s="23"/>
      <c r="I101" s="23"/>
      <c r="J101" s="35" t="s">
        <v>230</v>
      </c>
      <c r="K101" s="34">
        <v>14</v>
      </c>
      <c r="L101" s="33" t="s">
        <v>229</v>
      </c>
      <c r="M101" s="32">
        <v>16.100000000000001</v>
      </c>
      <c r="N101" s="31"/>
      <c r="O101" s="23"/>
      <c r="P101" s="23"/>
      <c r="R101" s="25"/>
      <c r="S101" s="53"/>
      <c r="T101" s="54"/>
      <c r="U101" s="54"/>
      <c r="V101" s="51"/>
      <c r="W101" s="56"/>
    </row>
    <row r="102" spans="1:23" ht="18" customHeight="1" thickBot="1" x14ac:dyDescent="0.25">
      <c r="A102" s="25"/>
      <c r="B102" s="30" t="s">
        <v>230</v>
      </c>
      <c r="C102" s="29">
        <v>15</v>
      </c>
      <c r="D102" s="28" t="s">
        <v>229</v>
      </c>
      <c r="E102" s="27">
        <v>9.3000000000000007</v>
      </c>
      <c r="F102" s="26">
        <v>28.1</v>
      </c>
      <c r="G102" s="23"/>
      <c r="H102" s="23"/>
      <c r="I102" s="23"/>
      <c r="J102" s="30" t="s">
        <v>230</v>
      </c>
      <c r="K102" s="29">
        <v>15</v>
      </c>
      <c r="L102" s="28" t="s">
        <v>229</v>
      </c>
      <c r="M102" s="27">
        <v>11.2</v>
      </c>
      <c r="N102" s="26">
        <v>18.2</v>
      </c>
      <c r="O102" s="23"/>
      <c r="P102" s="23"/>
      <c r="R102" s="25"/>
      <c r="S102" s="53"/>
      <c r="T102" s="52"/>
      <c r="U102" s="52"/>
      <c r="V102" s="51"/>
      <c r="W102" s="56"/>
    </row>
    <row r="103" spans="1:23" ht="18" customHeight="1" x14ac:dyDescent="0.2">
      <c r="A103" s="25"/>
      <c r="B103" s="50" t="s">
        <v>228</v>
      </c>
      <c r="C103" s="49">
        <v>1</v>
      </c>
      <c r="D103" s="48" t="s">
        <v>219</v>
      </c>
      <c r="E103" s="47">
        <v>7.3</v>
      </c>
      <c r="F103" s="46"/>
      <c r="G103" s="23"/>
      <c r="H103" s="23"/>
      <c r="I103" s="23"/>
      <c r="J103" s="50" t="s">
        <v>228</v>
      </c>
      <c r="K103" s="49">
        <v>1</v>
      </c>
      <c r="L103" s="48" t="s">
        <v>219</v>
      </c>
      <c r="M103" s="47">
        <v>12.7</v>
      </c>
      <c r="N103" s="46"/>
      <c r="O103" s="23"/>
      <c r="P103" s="23"/>
      <c r="R103" s="25"/>
      <c r="S103" s="53"/>
      <c r="T103" s="52"/>
      <c r="U103" s="52"/>
      <c r="V103" s="51"/>
      <c r="W103" s="56"/>
    </row>
    <row r="104" spans="1:23" ht="18" customHeight="1" x14ac:dyDescent="0.2">
      <c r="A104" s="25"/>
      <c r="B104" s="35" t="s">
        <v>228</v>
      </c>
      <c r="C104" s="34">
        <v>2</v>
      </c>
      <c r="D104" s="33" t="s">
        <v>219</v>
      </c>
      <c r="E104" s="32">
        <v>16.8</v>
      </c>
      <c r="F104" s="31"/>
      <c r="G104" s="23"/>
      <c r="H104" s="23"/>
      <c r="I104" s="23"/>
      <c r="J104" s="35" t="s">
        <v>228</v>
      </c>
      <c r="K104" s="34">
        <v>2</v>
      </c>
      <c r="L104" s="33" t="s">
        <v>219</v>
      </c>
      <c r="M104" s="32">
        <v>6.9</v>
      </c>
      <c r="N104" s="31"/>
      <c r="O104" s="23"/>
      <c r="P104" s="23"/>
      <c r="R104" s="25"/>
      <c r="S104" s="53"/>
      <c r="T104" s="54"/>
      <c r="U104" s="54"/>
      <c r="V104" s="51"/>
      <c r="W104" s="56"/>
    </row>
    <row r="105" spans="1:23" ht="18" customHeight="1" x14ac:dyDescent="0.2">
      <c r="A105" s="25"/>
      <c r="B105" s="35" t="s">
        <v>228</v>
      </c>
      <c r="C105" s="34">
        <v>3</v>
      </c>
      <c r="D105" s="33" t="s">
        <v>219</v>
      </c>
      <c r="E105" s="32">
        <v>20.9</v>
      </c>
      <c r="F105" s="31"/>
      <c r="G105" s="23"/>
      <c r="H105" s="23"/>
      <c r="I105" s="23"/>
      <c r="J105" s="35" t="s">
        <v>228</v>
      </c>
      <c r="K105" s="34">
        <v>3</v>
      </c>
      <c r="L105" s="33" t="s">
        <v>219</v>
      </c>
      <c r="M105" s="32">
        <v>8.5</v>
      </c>
      <c r="N105" s="31"/>
      <c r="O105" s="23"/>
      <c r="P105" s="23"/>
      <c r="R105" s="25"/>
      <c r="S105" s="53"/>
      <c r="T105" s="52"/>
      <c r="U105" s="52"/>
      <c r="V105" s="51"/>
      <c r="W105" s="56"/>
    </row>
    <row r="106" spans="1:23" ht="18" customHeight="1" x14ac:dyDescent="0.2">
      <c r="A106" s="25"/>
      <c r="B106" s="35" t="s">
        <v>228</v>
      </c>
      <c r="C106" s="34">
        <v>4</v>
      </c>
      <c r="D106" s="33" t="s">
        <v>219</v>
      </c>
      <c r="E106" s="32">
        <v>19.7</v>
      </c>
      <c r="F106" s="31"/>
      <c r="G106" s="23"/>
      <c r="H106" s="23"/>
      <c r="I106" s="23"/>
      <c r="J106" s="35" t="s">
        <v>228</v>
      </c>
      <c r="K106" s="34">
        <v>4</v>
      </c>
      <c r="L106" s="33" t="s">
        <v>219</v>
      </c>
      <c r="M106" s="32">
        <v>10</v>
      </c>
      <c r="N106" s="31"/>
      <c r="O106" s="23"/>
      <c r="P106" s="23"/>
      <c r="R106" s="25"/>
      <c r="S106" s="53"/>
      <c r="T106" s="52"/>
      <c r="U106" s="52"/>
      <c r="V106" s="51"/>
      <c r="W106" s="56"/>
    </row>
    <row r="107" spans="1:23" ht="18" customHeight="1" x14ac:dyDescent="0.2">
      <c r="A107" s="25"/>
      <c r="B107" s="35" t="s">
        <v>228</v>
      </c>
      <c r="C107" s="34">
        <v>5</v>
      </c>
      <c r="D107" s="33" t="s">
        <v>219</v>
      </c>
      <c r="E107" s="32">
        <v>19.8</v>
      </c>
      <c r="F107" s="45"/>
      <c r="G107" s="23"/>
      <c r="H107" s="23"/>
      <c r="I107" s="23"/>
      <c r="J107" s="35" t="s">
        <v>228</v>
      </c>
      <c r="K107" s="34">
        <v>5</v>
      </c>
      <c r="L107" s="33" t="s">
        <v>219</v>
      </c>
      <c r="M107" s="32">
        <v>17.399999999999999</v>
      </c>
      <c r="N107" s="45"/>
      <c r="O107" s="23"/>
      <c r="P107" s="23"/>
      <c r="R107" s="25"/>
      <c r="S107" s="53"/>
      <c r="T107" s="54"/>
      <c r="U107" s="54"/>
      <c r="V107" s="51"/>
      <c r="W107" s="56"/>
    </row>
    <row r="108" spans="1:23" ht="18" customHeight="1" x14ac:dyDescent="0.2">
      <c r="A108" s="25"/>
      <c r="B108" s="35" t="s">
        <v>228</v>
      </c>
      <c r="C108" s="34">
        <v>6</v>
      </c>
      <c r="D108" s="33" t="s">
        <v>219</v>
      </c>
      <c r="E108" s="32">
        <v>20</v>
      </c>
      <c r="F108" s="31"/>
      <c r="G108" s="23"/>
      <c r="H108" s="23"/>
      <c r="I108" s="23"/>
      <c r="J108" s="35" t="s">
        <v>228</v>
      </c>
      <c r="K108" s="34">
        <v>6</v>
      </c>
      <c r="L108" s="33" t="s">
        <v>219</v>
      </c>
      <c r="M108" s="32">
        <v>25.8</v>
      </c>
      <c r="N108" s="31"/>
      <c r="O108" s="23"/>
      <c r="P108" s="23"/>
      <c r="R108" s="25"/>
      <c r="S108" s="53"/>
      <c r="T108" s="52"/>
      <c r="U108" s="52"/>
      <c r="V108" s="51"/>
      <c r="W108" s="56"/>
    </row>
    <row r="109" spans="1:23" ht="18" customHeight="1" x14ac:dyDescent="0.2">
      <c r="A109" s="25"/>
      <c r="B109" s="35" t="s">
        <v>228</v>
      </c>
      <c r="C109" s="34">
        <v>7</v>
      </c>
      <c r="D109" s="33" t="s">
        <v>219</v>
      </c>
      <c r="E109" s="32">
        <v>16.399999999999999</v>
      </c>
      <c r="F109" s="31"/>
      <c r="G109" s="23"/>
      <c r="H109" s="23"/>
      <c r="I109" s="23"/>
      <c r="J109" s="35" t="s">
        <v>228</v>
      </c>
      <c r="K109" s="34">
        <v>7</v>
      </c>
      <c r="L109" s="33" t="s">
        <v>219</v>
      </c>
      <c r="M109" s="32">
        <v>24.3</v>
      </c>
      <c r="N109" s="31"/>
      <c r="O109" s="23"/>
      <c r="P109" s="23"/>
      <c r="R109" s="25"/>
      <c r="S109" s="53"/>
      <c r="T109" s="52"/>
      <c r="U109" s="52"/>
      <c r="V109" s="51"/>
      <c r="W109" s="56"/>
    </row>
    <row r="110" spans="1:23" ht="18" customHeight="1" x14ac:dyDescent="0.2">
      <c r="A110" s="25"/>
      <c r="B110" s="44" t="s">
        <v>228</v>
      </c>
      <c r="C110" s="43">
        <v>8</v>
      </c>
      <c r="D110" s="42" t="s">
        <v>219</v>
      </c>
      <c r="E110" s="41">
        <v>17.3</v>
      </c>
      <c r="F110" s="31"/>
      <c r="G110" s="23"/>
      <c r="H110" s="23"/>
      <c r="I110" s="23"/>
      <c r="J110" s="40" t="s">
        <v>228</v>
      </c>
      <c r="K110" s="39">
        <v>8</v>
      </c>
      <c r="L110" s="38" t="s">
        <v>219</v>
      </c>
      <c r="M110" s="37">
        <v>22.5</v>
      </c>
      <c r="N110" s="31"/>
      <c r="O110" s="23"/>
      <c r="P110" s="23"/>
      <c r="R110" s="25"/>
      <c r="S110" s="55"/>
      <c r="T110" s="54"/>
      <c r="U110" s="54"/>
      <c r="V110" s="51"/>
      <c r="W110" s="56"/>
    </row>
    <row r="111" spans="1:23" ht="18" customHeight="1" x14ac:dyDescent="0.2">
      <c r="A111" s="25"/>
      <c r="B111" s="35" t="s">
        <v>228</v>
      </c>
      <c r="C111" s="34">
        <v>9</v>
      </c>
      <c r="D111" s="33" t="s">
        <v>219</v>
      </c>
      <c r="E111" s="32">
        <v>20.2</v>
      </c>
      <c r="F111" s="31"/>
      <c r="G111" s="23"/>
      <c r="H111" s="23"/>
      <c r="I111" s="23"/>
      <c r="J111" s="35" t="s">
        <v>228</v>
      </c>
      <c r="K111" s="34">
        <v>9</v>
      </c>
      <c r="L111" s="33" t="s">
        <v>219</v>
      </c>
      <c r="M111" s="32">
        <v>23.1</v>
      </c>
      <c r="N111" s="31"/>
      <c r="O111" s="23"/>
      <c r="P111" s="23"/>
      <c r="R111" s="25"/>
      <c r="S111" s="53"/>
      <c r="T111" s="52"/>
      <c r="U111" s="52"/>
      <c r="V111" s="51"/>
      <c r="W111" s="56"/>
    </row>
    <row r="112" spans="1:23" ht="18" customHeight="1" x14ac:dyDescent="0.2">
      <c r="A112" s="25"/>
      <c r="B112" s="35" t="s">
        <v>228</v>
      </c>
      <c r="C112" s="34">
        <v>10</v>
      </c>
      <c r="D112" s="33" t="s">
        <v>219</v>
      </c>
      <c r="E112" s="32">
        <v>20.3</v>
      </c>
      <c r="F112" s="31"/>
      <c r="G112" s="23"/>
      <c r="H112" s="23"/>
      <c r="I112" s="23"/>
      <c r="J112" s="35" t="s">
        <v>228</v>
      </c>
      <c r="K112" s="34">
        <v>10</v>
      </c>
      <c r="L112" s="33" t="s">
        <v>219</v>
      </c>
      <c r="M112" s="32">
        <v>18.899999999999999</v>
      </c>
      <c r="N112" s="31"/>
      <c r="O112" s="23"/>
      <c r="P112" s="23"/>
      <c r="R112" s="25"/>
      <c r="S112" s="53"/>
      <c r="T112" s="52"/>
      <c r="U112" s="52"/>
      <c r="V112" s="51"/>
      <c r="W112" s="56"/>
    </row>
    <row r="113" spans="1:23" ht="18" customHeight="1" x14ac:dyDescent="0.2">
      <c r="A113" s="25"/>
      <c r="B113" s="35" t="s">
        <v>228</v>
      </c>
      <c r="C113" s="34">
        <v>11</v>
      </c>
      <c r="D113" s="33" t="s">
        <v>219</v>
      </c>
      <c r="E113" s="32">
        <v>20</v>
      </c>
      <c r="F113" s="31"/>
      <c r="G113" s="23"/>
      <c r="H113" s="23"/>
      <c r="I113" s="23"/>
      <c r="J113" s="35" t="s">
        <v>228</v>
      </c>
      <c r="K113" s="34">
        <v>11</v>
      </c>
      <c r="L113" s="33" t="s">
        <v>219</v>
      </c>
      <c r="M113" s="32">
        <v>17.8</v>
      </c>
      <c r="N113" s="31"/>
      <c r="O113" s="23"/>
      <c r="P113" s="23"/>
      <c r="R113" s="25"/>
      <c r="S113" s="53"/>
      <c r="T113" s="54"/>
      <c r="U113" s="54"/>
      <c r="V113" s="51"/>
      <c r="W113" s="56"/>
    </row>
    <row r="114" spans="1:23" ht="18" customHeight="1" x14ac:dyDescent="0.2">
      <c r="A114" s="25"/>
      <c r="B114" s="35" t="s">
        <v>228</v>
      </c>
      <c r="C114" s="34">
        <v>12</v>
      </c>
      <c r="D114" s="33" t="s">
        <v>219</v>
      </c>
      <c r="E114" s="32">
        <v>23.1</v>
      </c>
      <c r="F114" s="36"/>
      <c r="G114" s="23"/>
      <c r="H114" s="23"/>
      <c r="I114" s="23"/>
      <c r="J114" s="35" t="s">
        <v>228</v>
      </c>
      <c r="K114" s="34">
        <v>12</v>
      </c>
      <c r="L114" s="33" t="s">
        <v>219</v>
      </c>
      <c r="M114" s="32">
        <v>25.8</v>
      </c>
      <c r="N114" s="36"/>
      <c r="O114" s="23"/>
      <c r="P114" s="23"/>
      <c r="R114" s="25"/>
      <c r="S114" s="53"/>
      <c r="T114" s="52"/>
      <c r="U114" s="52"/>
      <c r="V114" s="51"/>
      <c r="W114" s="56"/>
    </row>
    <row r="115" spans="1:23" ht="18" customHeight="1" x14ac:dyDescent="0.2">
      <c r="A115" s="25"/>
      <c r="B115" s="35" t="s">
        <v>228</v>
      </c>
      <c r="C115" s="34">
        <v>13</v>
      </c>
      <c r="D115" s="33" t="s">
        <v>219</v>
      </c>
      <c r="E115" s="32">
        <v>23.7</v>
      </c>
      <c r="F115" s="31"/>
      <c r="G115" s="23"/>
      <c r="H115" s="23"/>
      <c r="I115" s="23"/>
      <c r="J115" s="35" t="s">
        <v>228</v>
      </c>
      <c r="K115" s="34">
        <v>13</v>
      </c>
      <c r="L115" s="33" t="s">
        <v>219</v>
      </c>
      <c r="M115" s="32">
        <v>23.2</v>
      </c>
      <c r="N115" s="31"/>
      <c r="O115" s="23"/>
      <c r="P115" s="23"/>
      <c r="R115" s="25"/>
      <c r="S115" s="53"/>
      <c r="T115" s="52"/>
      <c r="U115" s="52"/>
      <c r="V115" s="51"/>
      <c r="W115" s="56"/>
    </row>
    <row r="116" spans="1:23" ht="18" customHeight="1" x14ac:dyDescent="0.2">
      <c r="A116" s="25"/>
      <c r="B116" s="35" t="s">
        <v>228</v>
      </c>
      <c r="C116" s="34">
        <v>14</v>
      </c>
      <c r="D116" s="33" t="s">
        <v>219</v>
      </c>
      <c r="E116" s="32">
        <v>23.9</v>
      </c>
      <c r="F116" s="31"/>
      <c r="G116" s="23"/>
      <c r="H116" s="23"/>
      <c r="I116" s="23"/>
      <c r="J116" s="35" t="s">
        <v>228</v>
      </c>
      <c r="K116" s="34">
        <v>14</v>
      </c>
      <c r="L116" s="33" t="s">
        <v>219</v>
      </c>
      <c r="M116" s="32">
        <v>19.5</v>
      </c>
      <c r="N116" s="31"/>
      <c r="O116" s="23"/>
      <c r="P116" s="23"/>
      <c r="R116" s="25"/>
      <c r="S116" s="53"/>
      <c r="T116" s="54"/>
      <c r="U116" s="54"/>
      <c r="V116" s="51"/>
      <c r="W116" s="56"/>
    </row>
    <row r="117" spans="1:23" ht="18" customHeight="1" thickBot="1" x14ac:dyDescent="0.25">
      <c r="A117" s="25"/>
      <c r="B117" s="30" t="s">
        <v>228</v>
      </c>
      <c r="C117" s="29">
        <v>15</v>
      </c>
      <c r="D117" s="28" t="s">
        <v>219</v>
      </c>
      <c r="E117" s="27">
        <v>11.6</v>
      </c>
      <c r="F117" s="26">
        <v>19</v>
      </c>
      <c r="G117" s="23"/>
      <c r="H117" s="23"/>
      <c r="I117" s="23"/>
      <c r="J117" s="30" t="s">
        <v>228</v>
      </c>
      <c r="K117" s="29">
        <v>15</v>
      </c>
      <c r="L117" s="28" t="s">
        <v>219</v>
      </c>
      <c r="M117" s="27">
        <v>7.2</v>
      </c>
      <c r="N117" s="26">
        <v>13.6</v>
      </c>
      <c r="O117" s="23"/>
      <c r="P117" s="23"/>
      <c r="R117" s="25"/>
      <c r="S117" s="53"/>
      <c r="T117" s="52"/>
      <c r="U117" s="52"/>
      <c r="V117" s="51"/>
      <c r="W117" s="56"/>
    </row>
    <row r="118" spans="1:23" ht="18" customHeight="1" x14ac:dyDescent="0.2">
      <c r="A118" s="25"/>
      <c r="B118" s="50" t="s">
        <v>227</v>
      </c>
      <c r="C118" s="49">
        <v>1</v>
      </c>
      <c r="D118" s="48" t="s">
        <v>221</v>
      </c>
      <c r="E118" s="47">
        <v>21.3</v>
      </c>
      <c r="F118" s="46"/>
      <c r="G118" s="23"/>
      <c r="H118" s="23"/>
      <c r="I118" s="23"/>
      <c r="J118" s="50" t="s">
        <v>227</v>
      </c>
      <c r="K118" s="49">
        <v>1</v>
      </c>
      <c r="L118" s="48" t="s">
        <v>221</v>
      </c>
      <c r="M118" s="47">
        <v>23.8</v>
      </c>
      <c r="N118" s="46"/>
      <c r="O118" s="23"/>
      <c r="P118" s="23"/>
      <c r="R118" s="25"/>
      <c r="S118" s="53"/>
      <c r="T118" s="52"/>
      <c r="U118" s="52"/>
      <c r="V118" s="51"/>
      <c r="W118" s="56"/>
    </row>
    <row r="119" spans="1:23" ht="18" customHeight="1" x14ac:dyDescent="0.2">
      <c r="A119" s="25"/>
      <c r="B119" s="35" t="s">
        <v>227</v>
      </c>
      <c r="C119" s="34">
        <v>2</v>
      </c>
      <c r="D119" s="33" t="s">
        <v>221</v>
      </c>
      <c r="E119" s="32">
        <v>20.100000000000001</v>
      </c>
      <c r="F119" s="31"/>
      <c r="G119" s="23"/>
      <c r="H119" s="23"/>
      <c r="I119" s="23"/>
      <c r="J119" s="35" t="s">
        <v>227</v>
      </c>
      <c r="K119" s="34">
        <v>2</v>
      </c>
      <c r="L119" s="33" t="s">
        <v>221</v>
      </c>
      <c r="M119" s="32">
        <v>19.100000000000001</v>
      </c>
      <c r="N119" s="31"/>
      <c r="O119" s="23"/>
      <c r="P119" s="23"/>
      <c r="R119" s="25"/>
      <c r="S119" s="53"/>
      <c r="T119" s="54"/>
      <c r="U119" s="54"/>
      <c r="V119" s="51"/>
      <c r="W119" s="56"/>
    </row>
    <row r="120" spans="1:23" ht="18" customHeight="1" x14ac:dyDescent="0.2">
      <c r="A120" s="25"/>
      <c r="B120" s="35" t="s">
        <v>227</v>
      </c>
      <c r="C120" s="34">
        <v>3</v>
      </c>
      <c r="D120" s="33" t="s">
        <v>221</v>
      </c>
      <c r="E120" s="32">
        <v>20.6</v>
      </c>
      <c r="F120" s="31"/>
      <c r="G120" s="23"/>
      <c r="H120" s="23"/>
      <c r="I120" s="23"/>
      <c r="J120" s="35" t="s">
        <v>227</v>
      </c>
      <c r="K120" s="34">
        <v>3</v>
      </c>
      <c r="L120" s="33" t="s">
        <v>221</v>
      </c>
      <c r="M120" s="32">
        <v>13.5</v>
      </c>
      <c r="N120" s="31"/>
      <c r="O120" s="23"/>
      <c r="P120" s="23"/>
      <c r="R120" s="25"/>
      <c r="S120" s="53"/>
      <c r="T120" s="52"/>
      <c r="U120" s="52"/>
      <c r="V120" s="51"/>
      <c r="W120" s="56"/>
    </row>
    <row r="121" spans="1:23" ht="18" customHeight="1" x14ac:dyDescent="0.2">
      <c r="A121" s="25"/>
      <c r="B121" s="35" t="s">
        <v>227</v>
      </c>
      <c r="C121" s="34">
        <v>4</v>
      </c>
      <c r="D121" s="33" t="s">
        <v>221</v>
      </c>
      <c r="E121" s="32">
        <v>17.899999999999999</v>
      </c>
      <c r="F121" s="31"/>
      <c r="G121" s="23"/>
      <c r="H121" s="23"/>
      <c r="I121" s="23"/>
      <c r="J121" s="35" t="s">
        <v>227</v>
      </c>
      <c r="K121" s="34">
        <v>4</v>
      </c>
      <c r="L121" s="33" t="s">
        <v>221</v>
      </c>
      <c r="M121" s="32">
        <v>16.5</v>
      </c>
      <c r="N121" s="31"/>
      <c r="O121" s="23"/>
      <c r="P121" s="23"/>
      <c r="R121" s="25"/>
      <c r="S121" s="53"/>
      <c r="T121" s="52"/>
      <c r="U121" s="52"/>
      <c r="V121" s="51"/>
      <c r="W121" s="56"/>
    </row>
    <row r="122" spans="1:23" ht="18" customHeight="1" x14ac:dyDescent="0.2">
      <c r="A122" s="25"/>
      <c r="B122" s="35" t="s">
        <v>227</v>
      </c>
      <c r="C122" s="34">
        <v>5</v>
      </c>
      <c r="D122" s="33" t="s">
        <v>221</v>
      </c>
      <c r="E122" s="32">
        <v>24.5</v>
      </c>
      <c r="F122" s="45"/>
      <c r="G122" s="23"/>
      <c r="H122" s="23"/>
      <c r="I122" s="23"/>
      <c r="J122" s="35" t="s">
        <v>227</v>
      </c>
      <c r="K122" s="34">
        <v>5</v>
      </c>
      <c r="L122" s="33" t="s">
        <v>221</v>
      </c>
      <c r="M122" s="32">
        <v>21.7</v>
      </c>
      <c r="N122" s="45"/>
      <c r="O122" s="23"/>
      <c r="P122" s="23"/>
      <c r="R122" s="25"/>
      <c r="S122" s="55"/>
      <c r="T122" s="54"/>
      <c r="U122" s="54"/>
      <c r="V122" s="51"/>
      <c r="W122" s="56"/>
    </row>
    <row r="123" spans="1:23" ht="18" customHeight="1" x14ac:dyDescent="0.2">
      <c r="A123" s="25"/>
      <c r="B123" s="35" t="s">
        <v>227</v>
      </c>
      <c r="C123" s="34">
        <v>6</v>
      </c>
      <c r="D123" s="33" t="s">
        <v>221</v>
      </c>
      <c r="E123" s="32">
        <v>24.8</v>
      </c>
      <c r="F123" s="31"/>
      <c r="G123" s="23"/>
      <c r="H123" s="23"/>
      <c r="I123" s="23"/>
      <c r="J123" s="35" t="s">
        <v>227</v>
      </c>
      <c r="K123" s="34">
        <v>6</v>
      </c>
      <c r="L123" s="33" t="s">
        <v>221</v>
      </c>
      <c r="M123" s="32">
        <v>24.4</v>
      </c>
      <c r="N123" s="31"/>
      <c r="O123" s="23"/>
      <c r="P123" s="23"/>
      <c r="R123" s="25"/>
      <c r="S123" s="53"/>
      <c r="T123" s="52"/>
      <c r="U123" s="52"/>
      <c r="V123" s="51"/>
      <c r="W123" s="56"/>
    </row>
    <row r="124" spans="1:23" ht="18" customHeight="1" x14ac:dyDescent="0.2">
      <c r="A124" s="25"/>
      <c r="B124" s="35" t="s">
        <v>227</v>
      </c>
      <c r="C124" s="34">
        <v>7</v>
      </c>
      <c r="D124" s="33" t="s">
        <v>221</v>
      </c>
      <c r="E124" s="32">
        <v>24.5</v>
      </c>
      <c r="F124" s="31"/>
      <c r="G124" s="23"/>
      <c r="H124" s="23"/>
      <c r="I124" s="23"/>
      <c r="J124" s="35" t="s">
        <v>227</v>
      </c>
      <c r="K124" s="34">
        <v>7</v>
      </c>
      <c r="L124" s="33" t="s">
        <v>221</v>
      </c>
      <c r="M124" s="32">
        <v>15.7</v>
      </c>
      <c r="N124" s="31"/>
      <c r="O124" s="23"/>
      <c r="P124" s="23"/>
      <c r="R124" s="25"/>
      <c r="S124" s="53"/>
      <c r="T124" s="52"/>
      <c r="U124" s="52"/>
      <c r="V124" s="51"/>
      <c r="W124" s="56"/>
    </row>
    <row r="125" spans="1:23" ht="18" customHeight="1" x14ac:dyDescent="0.2">
      <c r="A125" s="25"/>
      <c r="B125" s="44" t="s">
        <v>227</v>
      </c>
      <c r="C125" s="43">
        <v>8</v>
      </c>
      <c r="D125" s="42" t="s">
        <v>221</v>
      </c>
      <c r="E125" s="41">
        <v>22.3</v>
      </c>
      <c r="F125" s="31"/>
      <c r="G125" s="23"/>
      <c r="H125" s="23"/>
      <c r="I125" s="23"/>
      <c r="J125" s="40" t="s">
        <v>227</v>
      </c>
      <c r="K125" s="39">
        <v>8</v>
      </c>
      <c r="L125" s="38" t="s">
        <v>221</v>
      </c>
      <c r="M125" s="37">
        <v>20.399999999999999</v>
      </c>
      <c r="N125" s="31"/>
      <c r="O125" s="23"/>
      <c r="P125" s="23"/>
      <c r="R125" s="25"/>
      <c r="S125" s="53"/>
      <c r="T125" s="54"/>
      <c r="U125" s="54"/>
      <c r="V125" s="51"/>
      <c r="W125" s="56"/>
    </row>
    <row r="126" spans="1:23" ht="18" customHeight="1" x14ac:dyDescent="0.2">
      <c r="A126" s="25"/>
      <c r="B126" s="35" t="s">
        <v>227</v>
      </c>
      <c r="C126" s="34">
        <v>9</v>
      </c>
      <c r="D126" s="33" t="s">
        <v>221</v>
      </c>
      <c r="E126" s="32">
        <v>19</v>
      </c>
      <c r="F126" s="31"/>
      <c r="G126" s="23"/>
      <c r="H126" s="23"/>
      <c r="I126" s="23"/>
      <c r="J126" s="35" t="s">
        <v>227</v>
      </c>
      <c r="K126" s="34">
        <v>9</v>
      </c>
      <c r="L126" s="33" t="s">
        <v>221</v>
      </c>
      <c r="M126" s="32">
        <v>20</v>
      </c>
      <c r="N126" s="31"/>
      <c r="O126" s="23"/>
      <c r="P126" s="23"/>
      <c r="R126" s="25"/>
      <c r="S126" s="53"/>
      <c r="T126" s="52"/>
      <c r="U126" s="52"/>
      <c r="V126" s="51"/>
      <c r="W126" s="56"/>
    </row>
    <row r="127" spans="1:23" ht="18" customHeight="1" x14ac:dyDescent="0.2">
      <c r="A127" s="25"/>
      <c r="B127" s="35" t="s">
        <v>227</v>
      </c>
      <c r="C127" s="34">
        <v>10</v>
      </c>
      <c r="D127" s="33" t="s">
        <v>221</v>
      </c>
      <c r="E127" s="32">
        <v>23.4</v>
      </c>
      <c r="F127" s="31"/>
      <c r="G127" s="23"/>
      <c r="H127" s="23"/>
      <c r="I127" s="23"/>
      <c r="J127" s="35" t="s">
        <v>227</v>
      </c>
      <c r="K127" s="34">
        <v>10</v>
      </c>
      <c r="L127" s="33" t="s">
        <v>221</v>
      </c>
      <c r="M127" s="32">
        <v>21.1</v>
      </c>
      <c r="N127" s="31"/>
      <c r="O127" s="23"/>
      <c r="P127" s="23"/>
      <c r="R127" s="25"/>
      <c r="S127" s="53"/>
      <c r="T127" s="52"/>
      <c r="U127" s="52"/>
      <c r="V127" s="51"/>
      <c r="W127" s="56"/>
    </row>
    <row r="128" spans="1:23" ht="18" customHeight="1" x14ac:dyDescent="0.2">
      <c r="A128" s="25"/>
      <c r="B128" s="35" t="s">
        <v>227</v>
      </c>
      <c r="C128" s="34">
        <v>11</v>
      </c>
      <c r="D128" s="33" t="s">
        <v>221</v>
      </c>
      <c r="E128" s="32">
        <v>22.1</v>
      </c>
      <c r="F128" s="31"/>
      <c r="G128" s="23"/>
      <c r="H128" s="23"/>
      <c r="I128" s="23"/>
      <c r="J128" s="35" t="s">
        <v>227</v>
      </c>
      <c r="K128" s="34">
        <v>11</v>
      </c>
      <c r="L128" s="33" t="s">
        <v>221</v>
      </c>
      <c r="M128" s="32">
        <v>15.6</v>
      </c>
      <c r="N128" s="31"/>
      <c r="O128" s="23"/>
      <c r="P128" s="23"/>
      <c r="R128" s="25"/>
      <c r="S128" s="53"/>
      <c r="T128" s="54"/>
      <c r="U128" s="54"/>
      <c r="V128" s="51"/>
      <c r="W128" s="20"/>
    </row>
    <row r="129" spans="1:23" ht="18" customHeight="1" x14ac:dyDescent="0.2">
      <c r="A129" s="25"/>
      <c r="B129" s="35" t="s">
        <v>227</v>
      </c>
      <c r="C129" s="34">
        <v>12</v>
      </c>
      <c r="D129" s="33" t="s">
        <v>221</v>
      </c>
      <c r="E129" s="32">
        <v>23.4</v>
      </c>
      <c r="F129" s="36"/>
      <c r="G129" s="23"/>
      <c r="H129" s="23"/>
      <c r="I129" s="23"/>
      <c r="J129" s="35" t="s">
        <v>227</v>
      </c>
      <c r="K129" s="34">
        <v>12</v>
      </c>
      <c r="L129" s="33" t="s">
        <v>221</v>
      </c>
      <c r="M129" s="32">
        <v>13.5</v>
      </c>
      <c r="N129" s="36"/>
      <c r="O129" s="23"/>
      <c r="P129" s="23"/>
      <c r="R129" s="25"/>
      <c r="S129" s="53"/>
      <c r="T129" s="52"/>
      <c r="U129" s="52"/>
      <c r="V129" s="51"/>
      <c r="W129" s="20"/>
    </row>
    <row r="130" spans="1:23" ht="18" customHeight="1" x14ac:dyDescent="0.2">
      <c r="A130" s="25"/>
      <c r="B130" s="35" t="s">
        <v>227</v>
      </c>
      <c r="C130" s="34">
        <v>13</v>
      </c>
      <c r="D130" s="33" t="s">
        <v>221</v>
      </c>
      <c r="E130" s="32">
        <v>23.2</v>
      </c>
      <c r="F130" s="31"/>
      <c r="G130" s="23"/>
      <c r="H130" s="23"/>
      <c r="I130" s="23"/>
      <c r="J130" s="35" t="s">
        <v>227</v>
      </c>
      <c r="K130" s="34">
        <v>13</v>
      </c>
      <c r="L130" s="33" t="s">
        <v>221</v>
      </c>
      <c r="M130" s="32">
        <v>14.9</v>
      </c>
      <c r="N130" s="31"/>
      <c r="O130" s="23"/>
      <c r="P130" s="23"/>
      <c r="R130" s="25"/>
      <c r="S130" s="53"/>
      <c r="T130" s="52"/>
      <c r="U130" s="52"/>
      <c r="V130" s="51"/>
      <c r="W130" s="20"/>
    </row>
    <row r="131" spans="1:23" ht="18" customHeight="1" x14ac:dyDescent="0.2">
      <c r="A131" s="25"/>
      <c r="B131" s="35" t="s">
        <v>227</v>
      </c>
      <c r="C131" s="34">
        <v>14</v>
      </c>
      <c r="D131" s="33" t="s">
        <v>221</v>
      </c>
      <c r="E131" s="32">
        <v>24</v>
      </c>
      <c r="F131" s="31"/>
      <c r="G131" s="23"/>
      <c r="H131" s="23"/>
      <c r="I131" s="23"/>
      <c r="J131" s="35" t="s">
        <v>227</v>
      </c>
      <c r="K131" s="34">
        <v>14</v>
      </c>
      <c r="L131" s="33" t="s">
        <v>221</v>
      </c>
      <c r="M131" s="32">
        <v>13</v>
      </c>
      <c r="N131" s="31"/>
      <c r="O131" s="23"/>
      <c r="P131" s="23"/>
      <c r="R131" s="25"/>
      <c r="S131" s="53"/>
      <c r="T131" s="54"/>
      <c r="U131" s="54"/>
      <c r="V131" s="51"/>
      <c r="W131" s="20"/>
    </row>
    <row r="132" spans="1:23" ht="18" customHeight="1" thickBot="1" x14ac:dyDescent="0.25">
      <c r="A132" s="25"/>
      <c r="B132" s="30" t="s">
        <v>227</v>
      </c>
      <c r="C132" s="29">
        <v>15</v>
      </c>
      <c r="D132" s="28" t="s">
        <v>221</v>
      </c>
      <c r="E132" s="27">
        <v>20.6</v>
      </c>
      <c r="F132" s="26">
        <v>18.7</v>
      </c>
      <c r="G132" s="23"/>
      <c r="H132" s="23"/>
      <c r="I132" s="23"/>
      <c r="J132" s="30" t="s">
        <v>227</v>
      </c>
      <c r="K132" s="29">
        <v>15</v>
      </c>
      <c r="L132" s="28" t="s">
        <v>221</v>
      </c>
      <c r="M132" s="27">
        <v>22.3</v>
      </c>
      <c r="N132" s="26">
        <v>15.5</v>
      </c>
      <c r="O132" s="23"/>
      <c r="P132" s="23"/>
      <c r="R132" s="25"/>
      <c r="S132" s="53"/>
      <c r="T132" s="52"/>
      <c r="U132" s="52"/>
      <c r="V132" s="51"/>
      <c r="W132" s="20"/>
    </row>
    <row r="133" spans="1:23" ht="18" customHeight="1" x14ac:dyDescent="0.2">
      <c r="A133" s="25"/>
      <c r="B133" s="50" t="s">
        <v>226</v>
      </c>
      <c r="C133" s="49">
        <v>1</v>
      </c>
      <c r="D133" s="48" t="s">
        <v>221</v>
      </c>
      <c r="E133" s="47">
        <v>15</v>
      </c>
      <c r="F133" s="46"/>
      <c r="G133" s="23"/>
      <c r="H133" s="23"/>
      <c r="I133" s="23"/>
      <c r="J133" s="50" t="s">
        <v>226</v>
      </c>
      <c r="K133" s="49">
        <v>1</v>
      </c>
      <c r="L133" s="48" t="s">
        <v>221</v>
      </c>
      <c r="M133" s="47">
        <v>15.8</v>
      </c>
      <c r="N133" s="46"/>
      <c r="O133" s="23"/>
      <c r="P133" s="23"/>
      <c r="R133" s="25"/>
      <c r="S133" s="53"/>
      <c r="T133" s="52"/>
      <c r="U133" s="52"/>
      <c r="V133" s="51"/>
      <c r="W133" s="20"/>
    </row>
    <row r="134" spans="1:23" ht="18" customHeight="1" x14ac:dyDescent="0.2">
      <c r="A134" s="25"/>
      <c r="B134" s="35" t="s">
        <v>226</v>
      </c>
      <c r="C134" s="34">
        <v>2</v>
      </c>
      <c r="D134" s="33" t="s">
        <v>221</v>
      </c>
      <c r="E134" s="32">
        <v>18.5</v>
      </c>
      <c r="F134" s="31"/>
      <c r="G134" s="23"/>
      <c r="H134" s="23"/>
      <c r="I134" s="23"/>
      <c r="J134" s="35" t="s">
        <v>226</v>
      </c>
      <c r="K134" s="34">
        <v>2</v>
      </c>
      <c r="L134" s="33" t="s">
        <v>221</v>
      </c>
      <c r="M134" s="32">
        <v>21.7</v>
      </c>
      <c r="N134" s="31"/>
      <c r="O134" s="23"/>
      <c r="P134" s="23"/>
      <c r="R134" s="25"/>
      <c r="S134" s="55"/>
      <c r="T134" s="54"/>
      <c r="U134" s="54"/>
      <c r="V134" s="51"/>
      <c r="W134" s="20"/>
    </row>
    <row r="135" spans="1:23" ht="18" customHeight="1" x14ac:dyDescent="0.2">
      <c r="A135" s="25"/>
      <c r="B135" s="35" t="s">
        <v>226</v>
      </c>
      <c r="C135" s="34">
        <v>3</v>
      </c>
      <c r="D135" s="33" t="s">
        <v>221</v>
      </c>
      <c r="E135" s="32">
        <v>16.2</v>
      </c>
      <c r="F135" s="31"/>
      <c r="G135" s="23"/>
      <c r="H135" s="23"/>
      <c r="I135" s="23"/>
      <c r="J135" s="35" t="s">
        <v>226</v>
      </c>
      <c r="K135" s="34">
        <v>3</v>
      </c>
      <c r="L135" s="33" t="s">
        <v>221</v>
      </c>
      <c r="M135" s="32">
        <v>17.899999999999999</v>
      </c>
      <c r="N135" s="31"/>
      <c r="O135" s="23"/>
      <c r="P135" s="23"/>
      <c r="R135" s="25"/>
      <c r="S135" s="53"/>
      <c r="T135" s="52"/>
      <c r="U135" s="52"/>
      <c r="V135" s="51"/>
      <c r="W135" s="20"/>
    </row>
    <row r="136" spans="1:23" ht="18" customHeight="1" x14ac:dyDescent="0.2">
      <c r="A136" s="25"/>
      <c r="B136" s="35" t="s">
        <v>226</v>
      </c>
      <c r="C136" s="34">
        <v>4</v>
      </c>
      <c r="D136" s="33" t="s">
        <v>221</v>
      </c>
      <c r="E136" s="32">
        <v>19.2</v>
      </c>
      <c r="F136" s="31"/>
      <c r="G136" s="23"/>
      <c r="H136" s="23"/>
      <c r="I136" s="23"/>
      <c r="J136" s="35" t="s">
        <v>226</v>
      </c>
      <c r="K136" s="34">
        <v>4</v>
      </c>
      <c r="L136" s="33" t="s">
        <v>221</v>
      </c>
      <c r="M136" s="32">
        <v>26.4</v>
      </c>
      <c r="N136" s="31"/>
      <c r="O136" s="23"/>
      <c r="P136" s="23"/>
      <c r="R136" s="25"/>
      <c r="S136" s="53"/>
      <c r="T136" s="52"/>
      <c r="U136" s="52"/>
      <c r="V136" s="51"/>
      <c r="W136" s="20"/>
    </row>
    <row r="137" spans="1:23" ht="18" customHeight="1" x14ac:dyDescent="0.2">
      <c r="A137" s="25"/>
      <c r="B137" s="35" t="s">
        <v>226</v>
      </c>
      <c r="C137" s="34">
        <v>5</v>
      </c>
      <c r="D137" s="33" t="s">
        <v>221</v>
      </c>
      <c r="E137" s="32">
        <v>21.1</v>
      </c>
      <c r="F137" s="45"/>
      <c r="G137" s="23"/>
      <c r="H137" s="23"/>
      <c r="I137" s="23"/>
      <c r="J137" s="35" t="s">
        <v>226</v>
      </c>
      <c r="K137" s="34">
        <v>5</v>
      </c>
      <c r="L137" s="33" t="s">
        <v>221</v>
      </c>
      <c r="M137" s="32">
        <v>25.6</v>
      </c>
      <c r="N137" s="45"/>
      <c r="O137" s="23"/>
      <c r="P137" s="23"/>
      <c r="R137" s="25"/>
      <c r="S137" s="53"/>
      <c r="T137" s="54"/>
      <c r="U137" s="54"/>
      <c r="V137" s="51"/>
      <c r="W137" s="20"/>
    </row>
    <row r="138" spans="1:23" ht="18" customHeight="1" x14ac:dyDescent="0.2">
      <c r="A138" s="25"/>
      <c r="B138" s="35" t="s">
        <v>226</v>
      </c>
      <c r="C138" s="34">
        <v>6</v>
      </c>
      <c r="D138" s="33" t="s">
        <v>221</v>
      </c>
      <c r="E138" s="32">
        <v>14.4</v>
      </c>
      <c r="F138" s="31"/>
      <c r="G138" s="23"/>
      <c r="H138" s="23"/>
      <c r="I138" s="23"/>
      <c r="J138" s="35" t="s">
        <v>226</v>
      </c>
      <c r="K138" s="34">
        <v>6</v>
      </c>
      <c r="L138" s="33" t="s">
        <v>221</v>
      </c>
      <c r="M138" s="32">
        <v>25.4</v>
      </c>
      <c r="N138" s="31"/>
      <c r="O138" s="23"/>
      <c r="P138" s="23"/>
      <c r="R138" s="25"/>
      <c r="S138" s="53"/>
      <c r="T138" s="52"/>
      <c r="U138" s="52"/>
      <c r="V138" s="51"/>
      <c r="W138" s="20"/>
    </row>
    <row r="139" spans="1:23" ht="18" customHeight="1" x14ac:dyDescent="0.2">
      <c r="A139" s="25"/>
      <c r="B139" s="35" t="s">
        <v>226</v>
      </c>
      <c r="C139" s="34">
        <v>7</v>
      </c>
      <c r="D139" s="33" t="s">
        <v>221</v>
      </c>
      <c r="E139" s="32">
        <v>18.600000000000001</v>
      </c>
      <c r="F139" s="31"/>
      <c r="G139" s="23"/>
      <c r="H139" s="23"/>
      <c r="I139" s="23"/>
      <c r="J139" s="35" t="s">
        <v>226</v>
      </c>
      <c r="K139" s="34">
        <v>7</v>
      </c>
      <c r="L139" s="33" t="s">
        <v>221</v>
      </c>
      <c r="M139" s="32">
        <v>20.7</v>
      </c>
      <c r="N139" s="31"/>
      <c r="O139" s="23"/>
      <c r="P139" s="23"/>
      <c r="R139" s="25"/>
      <c r="S139" s="53"/>
      <c r="T139" s="52"/>
      <c r="U139" s="52"/>
      <c r="V139" s="51"/>
      <c r="W139" s="20"/>
    </row>
    <row r="140" spans="1:23" ht="18" customHeight="1" x14ac:dyDescent="0.2">
      <c r="A140" s="25"/>
      <c r="B140" s="44" t="s">
        <v>226</v>
      </c>
      <c r="C140" s="43">
        <v>8</v>
      </c>
      <c r="D140" s="42" t="s">
        <v>221</v>
      </c>
      <c r="E140" s="41">
        <v>17.100000000000001</v>
      </c>
      <c r="F140" s="31"/>
      <c r="G140" s="23"/>
      <c r="H140" s="23"/>
      <c r="I140" s="23"/>
      <c r="J140" s="40" t="s">
        <v>226</v>
      </c>
      <c r="K140" s="39">
        <v>8</v>
      </c>
      <c r="L140" s="38" t="s">
        <v>221</v>
      </c>
      <c r="M140" s="37">
        <v>24.4</v>
      </c>
      <c r="N140" s="31"/>
      <c r="O140" s="23"/>
      <c r="P140" s="23"/>
      <c r="R140" s="25"/>
      <c r="S140" s="53"/>
      <c r="T140" s="54"/>
      <c r="U140" s="54"/>
      <c r="V140" s="51"/>
      <c r="W140" s="20"/>
    </row>
    <row r="141" spans="1:23" ht="18" customHeight="1" x14ac:dyDescent="0.2">
      <c r="A141" s="25"/>
      <c r="B141" s="35" t="s">
        <v>226</v>
      </c>
      <c r="C141" s="34">
        <v>9</v>
      </c>
      <c r="D141" s="33" t="s">
        <v>221</v>
      </c>
      <c r="E141" s="32">
        <v>17.2</v>
      </c>
      <c r="F141" s="31"/>
      <c r="G141" s="23"/>
      <c r="H141" s="23"/>
      <c r="I141" s="23"/>
      <c r="J141" s="35" t="s">
        <v>226</v>
      </c>
      <c r="K141" s="34">
        <v>9</v>
      </c>
      <c r="L141" s="33" t="s">
        <v>221</v>
      </c>
      <c r="M141" s="32">
        <v>23.6</v>
      </c>
      <c r="N141" s="31"/>
      <c r="O141" s="23"/>
      <c r="P141" s="23"/>
      <c r="R141" s="25"/>
      <c r="S141" s="53"/>
      <c r="T141" s="52"/>
      <c r="U141" s="52"/>
      <c r="V141" s="51"/>
      <c r="W141" s="20"/>
    </row>
    <row r="142" spans="1:23" ht="18" customHeight="1" x14ac:dyDescent="0.2">
      <c r="A142" s="25"/>
      <c r="B142" s="35" t="s">
        <v>226</v>
      </c>
      <c r="C142" s="34">
        <v>10</v>
      </c>
      <c r="D142" s="33" t="s">
        <v>221</v>
      </c>
      <c r="E142" s="32">
        <v>17.3</v>
      </c>
      <c r="F142" s="31"/>
      <c r="G142" s="23"/>
      <c r="H142" s="23"/>
      <c r="I142" s="23"/>
      <c r="J142" s="35" t="s">
        <v>226</v>
      </c>
      <c r="K142" s="34">
        <v>10</v>
      </c>
      <c r="L142" s="33" t="s">
        <v>221</v>
      </c>
      <c r="M142" s="32">
        <v>25.8</v>
      </c>
      <c r="N142" s="31"/>
      <c r="O142" s="23"/>
      <c r="P142" s="23"/>
      <c r="R142" s="25"/>
      <c r="S142" s="53"/>
      <c r="T142" s="52"/>
      <c r="U142" s="52"/>
      <c r="V142" s="51"/>
      <c r="W142" s="20"/>
    </row>
    <row r="143" spans="1:23" ht="18" customHeight="1" x14ac:dyDescent="0.2">
      <c r="A143" s="25"/>
      <c r="B143" s="35" t="s">
        <v>226</v>
      </c>
      <c r="C143" s="34">
        <v>11</v>
      </c>
      <c r="D143" s="33" t="s">
        <v>221</v>
      </c>
      <c r="E143" s="32">
        <v>17.899999999999999</v>
      </c>
      <c r="F143" s="31"/>
      <c r="G143" s="23"/>
      <c r="H143" s="23"/>
      <c r="I143" s="23"/>
      <c r="J143" s="35" t="s">
        <v>226</v>
      </c>
      <c r="K143" s="34">
        <v>11</v>
      </c>
      <c r="L143" s="33" t="s">
        <v>221</v>
      </c>
      <c r="M143" s="32">
        <v>22.3</v>
      </c>
      <c r="N143" s="31"/>
      <c r="O143" s="23"/>
      <c r="P143" s="23"/>
      <c r="R143" s="25"/>
      <c r="S143" s="53"/>
      <c r="T143" s="54"/>
      <c r="U143" s="54"/>
      <c r="V143" s="51"/>
      <c r="W143" s="20"/>
    </row>
    <row r="144" spans="1:23" ht="18" customHeight="1" x14ac:dyDescent="0.2">
      <c r="A144" s="25"/>
      <c r="B144" s="35" t="s">
        <v>226</v>
      </c>
      <c r="C144" s="34">
        <v>12</v>
      </c>
      <c r="D144" s="33" t="s">
        <v>221</v>
      </c>
      <c r="E144" s="32">
        <v>13.6</v>
      </c>
      <c r="F144" s="36"/>
      <c r="G144" s="23"/>
      <c r="H144" s="23"/>
      <c r="I144" s="23"/>
      <c r="J144" s="35" t="s">
        <v>226</v>
      </c>
      <c r="K144" s="34">
        <v>12</v>
      </c>
      <c r="L144" s="33" t="s">
        <v>221</v>
      </c>
      <c r="M144" s="32">
        <v>24.6</v>
      </c>
      <c r="N144" s="36"/>
      <c r="O144" s="23"/>
      <c r="P144" s="23"/>
      <c r="R144" s="25"/>
      <c r="S144" s="53"/>
      <c r="T144" s="52"/>
      <c r="U144" s="52"/>
      <c r="V144" s="51"/>
      <c r="W144" s="20"/>
    </row>
    <row r="145" spans="1:23" ht="18" customHeight="1" x14ac:dyDescent="0.2">
      <c r="A145" s="25"/>
      <c r="B145" s="35" t="s">
        <v>226</v>
      </c>
      <c r="C145" s="34">
        <v>13</v>
      </c>
      <c r="D145" s="33" t="s">
        <v>221</v>
      </c>
      <c r="E145" s="32">
        <v>16.7</v>
      </c>
      <c r="F145" s="31"/>
      <c r="G145" s="23"/>
      <c r="H145" s="23"/>
      <c r="I145" s="23"/>
      <c r="J145" s="35" t="s">
        <v>226</v>
      </c>
      <c r="K145" s="34">
        <v>13</v>
      </c>
      <c r="L145" s="33" t="s">
        <v>221</v>
      </c>
      <c r="M145" s="32">
        <v>20</v>
      </c>
      <c r="N145" s="31"/>
      <c r="O145" s="23"/>
      <c r="P145" s="23"/>
      <c r="R145" s="25"/>
      <c r="S145" s="53"/>
      <c r="T145" s="52"/>
      <c r="U145" s="52"/>
      <c r="V145" s="51"/>
      <c r="W145" s="20"/>
    </row>
    <row r="146" spans="1:23" ht="18" customHeight="1" x14ac:dyDescent="0.2">
      <c r="A146" s="25"/>
      <c r="B146" s="35" t="s">
        <v>226</v>
      </c>
      <c r="C146" s="34">
        <v>14</v>
      </c>
      <c r="D146" s="33" t="s">
        <v>221</v>
      </c>
      <c r="E146" s="32">
        <v>13.5</v>
      </c>
      <c r="F146" s="31"/>
      <c r="G146" s="23"/>
      <c r="H146" s="23"/>
      <c r="I146" s="23"/>
      <c r="J146" s="35" t="s">
        <v>226</v>
      </c>
      <c r="K146" s="34">
        <v>14</v>
      </c>
      <c r="L146" s="33" t="s">
        <v>221</v>
      </c>
      <c r="M146" s="32">
        <v>24.1</v>
      </c>
      <c r="N146" s="31"/>
      <c r="O146" s="23"/>
      <c r="P146" s="23"/>
      <c r="R146" s="25"/>
      <c r="S146" s="55"/>
      <c r="T146" s="54"/>
      <c r="U146" s="54"/>
      <c r="V146" s="51"/>
      <c r="W146" s="20"/>
    </row>
    <row r="147" spans="1:23" ht="18" customHeight="1" thickBot="1" x14ac:dyDescent="0.25">
      <c r="A147" s="25"/>
      <c r="B147" s="30" t="s">
        <v>226</v>
      </c>
      <c r="C147" s="29">
        <v>15</v>
      </c>
      <c r="D147" s="28" t="s">
        <v>221</v>
      </c>
      <c r="E147" s="27">
        <v>18.2</v>
      </c>
      <c r="F147" s="26">
        <v>20.2</v>
      </c>
      <c r="G147" s="23"/>
      <c r="H147" s="23"/>
      <c r="I147" s="23"/>
      <c r="J147" s="30" t="s">
        <v>226</v>
      </c>
      <c r="K147" s="29">
        <v>15</v>
      </c>
      <c r="L147" s="28" t="s">
        <v>221</v>
      </c>
      <c r="M147" s="27">
        <v>20.7</v>
      </c>
      <c r="N147" s="26" t="s">
        <v>225</v>
      </c>
      <c r="O147" s="23"/>
      <c r="P147" s="23"/>
      <c r="R147" s="25"/>
      <c r="S147" s="53"/>
      <c r="T147" s="52"/>
      <c r="U147" s="52"/>
      <c r="V147" s="51"/>
      <c r="W147" s="20"/>
    </row>
    <row r="148" spans="1:23" ht="18" customHeight="1" x14ac:dyDescent="0.2">
      <c r="A148" s="25"/>
      <c r="B148" s="50" t="s">
        <v>224</v>
      </c>
      <c r="C148" s="49">
        <v>1</v>
      </c>
      <c r="D148" s="48" t="s">
        <v>219</v>
      </c>
      <c r="E148" s="47">
        <v>22.8</v>
      </c>
      <c r="F148" s="46"/>
      <c r="G148" s="23"/>
      <c r="H148" s="23"/>
      <c r="I148" s="23"/>
      <c r="J148" s="50" t="s">
        <v>224</v>
      </c>
      <c r="K148" s="49">
        <v>1</v>
      </c>
      <c r="L148" s="48" t="s">
        <v>219</v>
      </c>
      <c r="M148" s="47">
        <v>20.9</v>
      </c>
      <c r="N148" s="46"/>
      <c r="O148" s="23"/>
      <c r="P148" s="23"/>
      <c r="R148" s="25"/>
      <c r="S148" s="53"/>
      <c r="T148" s="52"/>
      <c r="U148" s="52"/>
      <c r="V148" s="51"/>
      <c r="W148" s="20"/>
    </row>
    <row r="149" spans="1:23" ht="18" customHeight="1" x14ac:dyDescent="0.2">
      <c r="A149" s="25"/>
      <c r="B149" s="35" t="s">
        <v>224</v>
      </c>
      <c r="C149" s="34">
        <v>2</v>
      </c>
      <c r="D149" s="33" t="s">
        <v>219</v>
      </c>
      <c r="E149" s="32">
        <v>21.7</v>
      </c>
      <c r="F149" s="31"/>
      <c r="G149" s="23"/>
      <c r="H149" s="23"/>
      <c r="I149" s="23"/>
      <c r="J149" s="35" t="s">
        <v>224</v>
      </c>
      <c r="K149" s="34">
        <v>2</v>
      </c>
      <c r="L149" s="33" t="s">
        <v>219</v>
      </c>
      <c r="M149" s="32">
        <v>24.5</v>
      </c>
      <c r="N149" s="31"/>
      <c r="O149" s="23"/>
      <c r="P149" s="23"/>
      <c r="R149" s="25"/>
      <c r="S149" s="53"/>
      <c r="T149" s="54"/>
      <c r="U149" s="54"/>
      <c r="V149" s="51"/>
      <c r="W149" s="20"/>
    </row>
    <row r="150" spans="1:23" ht="18" customHeight="1" x14ac:dyDescent="0.2">
      <c r="A150" s="25"/>
      <c r="B150" s="35" t="s">
        <v>224</v>
      </c>
      <c r="C150" s="34">
        <v>3</v>
      </c>
      <c r="D150" s="33" t="s">
        <v>219</v>
      </c>
      <c r="E150" s="32">
        <v>22.9</v>
      </c>
      <c r="F150" s="31"/>
      <c r="G150" s="23"/>
      <c r="H150" s="23"/>
      <c r="I150" s="23"/>
      <c r="J150" s="35" t="s">
        <v>224</v>
      </c>
      <c r="K150" s="34">
        <v>3</v>
      </c>
      <c r="L150" s="33" t="s">
        <v>219</v>
      </c>
      <c r="M150" s="32">
        <v>24.1</v>
      </c>
      <c r="N150" s="31"/>
      <c r="O150" s="23"/>
      <c r="P150" s="23"/>
      <c r="R150" s="25"/>
      <c r="S150" s="53"/>
      <c r="T150" s="52"/>
      <c r="U150" s="52"/>
      <c r="V150" s="51"/>
      <c r="W150" s="20"/>
    </row>
    <row r="151" spans="1:23" ht="18" customHeight="1" x14ac:dyDescent="0.2">
      <c r="A151" s="25"/>
      <c r="B151" s="35" t="s">
        <v>224</v>
      </c>
      <c r="C151" s="34">
        <v>4</v>
      </c>
      <c r="D151" s="33" t="s">
        <v>219</v>
      </c>
      <c r="E151" s="32">
        <v>23.3</v>
      </c>
      <c r="F151" s="31"/>
      <c r="G151" s="23"/>
      <c r="H151" s="23"/>
      <c r="I151" s="23"/>
      <c r="J151" s="35" t="s">
        <v>224</v>
      </c>
      <c r="K151" s="34">
        <v>4</v>
      </c>
      <c r="L151" s="33" t="s">
        <v>219</v>
      </c>
      <c r="M151" s="32">
        <v>25.4</v>
      </c>
      <c r="N151" s="31"/>
      <c r="O151" s="23"/>
      <c r="P151" s="23"/>
      <c r="R151" s="25"/>
      <c r="S151" s="53"/>
      <c r="T151" s="52"/>
      <c r="U151" s="52"/>
      <c r="V151" s="51"/>
      <c r="W151" s="20"/>
    </row>
    <row r="152" spans="1:23" ht="18" customHeight="1" x14ac:dyDescent="0.2">
      <c r="A152" s="25"/>
      <c r="B152" s="35" t="s">
        <v>224</v>
      </c>
      <c r="C152" s="34">
        <v>5</v>
      </c>
      <c r="D152" s="33" t="s">
        <v>219</v>
      </c>
      <c r="E152" s="32">
        <v>26.3</v>
      </c>
      <c r="F152" s="45"/>
      <c r="G152" s="23"/>
      <c r="H152" s="23"/>
      <c r="I152" s="23"/>
      <c r="J152" s="35" t="s">
        <v>224</v>
      </c>
      <c r="K152" s="34">
        <v>5</v>
      </c>
      <c r="L152" s="33" t="s">
        <v>219</v>
      </c>
      <c r="M152" s="32">
        <v>27.4</v>
      </c>
      <c r="N152" s="45"/>
      <c r="O152" s="23"/>
      <c r="P152" s="23"/>
      <c r="R152" s="25"/>
      <c r="S152" s="53"/>
      <c r="T152" s="54"/>
      <c r="U152" s="54"/>
      <c r="V152" s="51"/>
      <c r="W152" s="20"/>
    </row>
    <row r="153" spans="1:23" ht="18" customHeight="1" x14ac:dyDescent="0.2">
      <c r="A153" s="25"/>
      <c r="B153" s="35" t="s">
        <v>224</v>
      </c>
      <c r="C153" s="34">
        <v>6</v>
      </c>
      <c r="D153" s="33" t="s">
        <v>219</v>
      </c>
      <c r="E153" s="32">
        <v>24.4</v>
      </c>
      <c r="F153" s="31"/>
      <c r="G153" s="23"/>
      <c r="H153" s="23"/>
      <c r="I153" s="23"/>
      <c r="J153" s="35" t="s">
        <v>224</v>
      </c>
      <c r="K153" s="34">
        <v>6</v>
      </c>
      <c r="L153" s="33" t="s">
        <v>219</v>
      </c>
      <c r="M153" s="32">
        <v>28.1</v>
      </c>
      <c r="N153" s="31"/>
      <c r="O153" s="23"/>
      <c r="P153" s="23"/>
      <c r="R153" s="25"/>
      <c r="S153" s="53"/>
      <c r="T153" s="52"/>
      <c r="U153" s="52"/>
      <c r="V153" s="51"/>
      <c r="W153" s="20"/>
    </row>
    <row r="154" spans="1:23" ht="18" customHeight="1" x14ac:dyDescent="0.2">
      <c r="A154" s="25"/>
      <c r="B154" s="35" t="s">
        <v>224</v>
      </c>
      <c r="C154" s="34">
        <v>7</v>
      </c>
      <c r="D154" s="33" t="s">
        <v>219</v>
      </c>
      <c r="E154" s="32">
        <v>23.1</v>
      </c>
      <c r="F154" s="31"/>
      <c r="G154" s="23"/>
      <c r="H154" s="23"/>
      <c r="I154" s="23"/>
      <c r="J154" s="35" t="s">
        <v>224</v>
      </c>
      <c r="K154" s="34">
        <v>7</v>
      </c>
      <c r="L154" s="33" t="s">
        <v>219</v>
      </c>
      <c r="M154" s="32">
        <v>23.2</v>
      </c>
      <c r="N154" s="31"/>
      <c r="O154" s="23"/>
      <c r="P154" s="23"/>
      <c r="R154" s="25"/>
      <c r="S154" s="53"/>
      <c r="T154" s="52"/>
      <c r="U154" s="52"/>
      <c r="V154" s="51"/>
      <c r="W154" s="20"/>
    </row>
    <row r="155" spans="1:23" ht="18" customHeight="1" x14ac:dyDescent="0.2">
      <c r="A155" s="25"/>
      <c r="B155" s="44" t="s">
        <v>224</v>
      </c>
      <c r="C155" s="43">
        <v>8</v>
      </c>
      <c r="D155" s="42" t="s">
        <v>219</v>
      </c>
      <c r="E155" s="41">
        <v>22.1</v>
      </c>
      <c r="F155" s="31"/>
      <c r="G155" s="23"/>
      <c r="H155" s="23"/>
      <c r="I155" s="23"/>
      <c r="J155" s="40" t="s">
        <v>224</v>
      </c>
      <c r="K155" s="39">
        <v>8</v>
      </c>
      <c r="L155" s="38" t="s">
        <v>219</v>
      </c>
      <c r="M155" s="37">
        <v>23.5</v>
      </c>
      <c r="N155" s="31"/>
      <c r="O155" s="23"/>
      <c r="P155" s="23"/>
      <c r="R155" s="25"/>
      <c r="S155" s="53"/>
      <c r="T155" s="54"/>
      <c r="U155" s="54"/>
      <c r="V155" s="51"/>
      <c r="W155" s="20"/>
    </row>
    <row r="156" spans="1:23" ht="18" customHeight="1" x14ac:dyDescent="0.2">
      <c r="A156" s="25"/>
      <c r="B156" s="35" t="s">
        <v>224</v>
      </c>
      <c r="C156" s="34">
        <v>9</v>
      </c>
      <c r="D156" s="33" t="s">
        <v>219</v>
      </c>
      <c r="E156" s="32">
        <v>26.4</v>
      </c>
      <c r="F156" s="31"/>
      <c r="G156" s="23"/>
      <c r="H156" s="23"/>
      <c r="I156" s="23"/>
      <c r="J156" s="35" t="s">
        <v>224</v>
      </c>
      <c r="K156" s="34">
        <v>9</v>
      </c>
      <c r="L156" s="33" t="s">
        <v>219</v>
      </c>
      <c r="M156" s="32">
        <v>25.5</v>
      </c>
      <c r="N156" s="31"/>
      <c r="O156" s="23"/>
      <c r="P156" s="23"/>
      <c r="R156" s="25"/>
      <c r="S156" s="53"/>
      <c r="T156" s="52"/>
      <c r="U156" s="52"/>
      <c r="V156" s="51"/>
      <c r="W156" s="20"/>
    </row>
    <row r="157" spans="1:23" ht="18" customHeight="1" x14ac:dyDescent="0.2">
      <c r="A157" s="25"/>
      <c r="B157" s="35" t="s">
        <v>224</v>
      </c>
      <c r="C157" s="34">
        <v>10</v>
      </c>
      <c r="D157" s="33" t="s">
        <v>219</v>
      </c>
      <c r="E157" s="32">
        <v>26.2</v>
      </c>
      <c r="F157" s="31"/>
      <c r="G157" s="23"/>
      <c r="H157" s="23"/>
      <c r="I157" s="23"/>
      <c r="J157" s="35" t="s">
        <v>224</v>
      </c>
      <c r="K157" s="34">
        <v>10</v>
      </c>
      <c r="L157" s="33" t="s">
        <v>219</v>
      </c>
      <c r="M157" s="32">
        <v>26.5</v>
      </c>
      <c r="N157" s="31"/>
      <c r="O157" s="23"/>
      <c r="P157" s="23"/>
    </row>
    <row r="158" spans="1:23" ht="18" customHeight="1" x14ac:dyDescent="0.2">
      <c r="A158" s="25"/>
      <c r="B158" s="35" t="s">
        <v>224</v>
      </c>
      <c r="C158" s="34">
        <v>11</v>
      </c>
      <c r="D158" s="33" t="s">
        <v>219</v>
      </c>
      <c r="E158" s="32">
        <v>23</v>
      </c>
      <c r="F158" s="31"/>
      <c r="G158" s="24"/>
      <c r="H158" s="23"/>
      <c r="J158" s="35" t="s">
        <v>224</v>
      </c>
      <c r="K158" s="34">
        <v>11</v>
      </c>
      <c r="L158" s="33" t="s">
        <v>219</v>
      </c>
      <c r="M158" s="32">
        <v>24.5</v>
      </c>
      <c r="N158" s="31"/>
      <c r="O158" s="24"/>
      <c r="P158" s="23"/>
    </row>
    <row r="159" spans="1:23" ht="18" customHeight="1" x14ac:dyDescent="0.2">
      <c r="A159" s="25"/>
      <c r="B159" s="35" t="s">
        <v>224</v>
      </c>
      <c r="C159" s="34">
        <v>12</v>
      </c>
      <c r="D159" s="33" t="s">
        <v>219</v>
      </c>
      <c r="E159" s="32">
        <v>25.3</v>
      </c>
      <c r="F159" s="36"/>
      <c r="G159" s="24"/>
      <c r="H159" s="23"/>
      <c r="J159" s="35" t="s">
        <v>224</v>
      </c>
      <c r="K159" s="34">
        <v>12</v>
      </c>
      <c r="L159" s="33" t="s">
        <v>219</v>
      </c>
      <c r="M159" s="32">
        <v>22.3</v>
      </c>
      <c r="N159" s="36"/>
      <c r="O159" s="24"/>
      <c r="P159" s="23"/>
    </row>
    <row r="160" spans="1:23" ht="18" customHeight="1" x14ac:dyDescent="0.2">
      <c r="A160" s="25"/>
      <c r="B160" s="35" t="s">
        <v>224</v>
      </c>
      <c r="C160" s="34">
        <v>13</v>
      </c>
      <c r="D160" s="33" t="s">
        <v>219</v>
      </c>
      <c r="E160" s="32">
        <v>23.8</v>
      </c>
      <c r="F160" s="31"/>
      <c r="G160" s="24"/>
      <c r="H160" s="23"/>
      <c r="J160" s="35" t="s">
        <v>224</v>
      </c>
      <c r="K160" s="34">
        <v>13</v>
      </c>
      <c r="L160" s="33" t="s">
        <v>219</v>
      </c>
      <c r="M160" s="32">
        <v>23.6</v>
      </c>
      <c r="N160" s="31"/>
      <c r="O160" s="24"/>
      <c r="P160" s="23"/>
    </row>
    <row r="161" spans="1:16" ht="18" customHeight="1" x14ac:dyDescent="0.2">
      <c r="A161" s="25"/>
      <c r="B161" s="35" t="s">
        <v>224</v>
      </c>
      <c r="C161" s="34">
        <v>14</v>
      </c>
      <c r="D161" s="33" t="s">
        <v>219</v>
      </c>
      <c r="E161" s="32">
        <v>24.2</v>
      </c>
      <c r="F161" s="31"/>
      <c r="G161" s="24"/>
      <c r="H161" s="23"/>
      <c r="J161" s="35" t="s">
        <v>224</v>
      </c>
      <c r="K161" s="34">
        <v>14</v>
      </c>
      <c r="L161" s="33" t="s">
        <v>219</v>
      </c>
      <c r="M161" s="32">
        <v>23.8</v>
      </c>
      <c r="N161" s="31"/>
      <c r="O161" s="24"/>
      <c r="P161" s="23"/>
    </row>
    <row r="162" spans="1:16" ht="18" customHeight="1" thickBot="1" x14ac:dyDescent="0.25">
      <c r="A162" s="25"/>
      <c r="B162" s="30" t="s">
        <v>224</v>
      </c>
      <c r="C162" s="29">
        <v>15</v>
      </c>
      <c r="D162" s="28" t="s">
        <v>219</v>
      </c>
      <c r="E162" s="27">
        <v>16.600000000000001</v>
      </c>
      <c r="F162" s="26">
        <v>22.7</v>
      </c>
      <c r="G162" s="24"/>
      <c r="H162" s="23"/>
      <c r="J162" s="30" t="s">
        <v>224</v>
      </c>
      <c r="K162" s="29">
        <v>15</v>
      </c>
      <c r="L162" s="28" t="s">
        <v>219</v>
      </c>
      <c r="M162" s="27">
        <v>17.5</v>
      </c>
      <c r="N162" s="26">
        <v>23</v>
      </c>
      <c r="O162" s="24"/>
      <c r="P162" s="23"/>
    </row>
    <row r="163" spans="1:16" ht="18" customHeight="1" x14ac:dyDescent="0.2">
      <c r="A163" s="25"/>
      <c r="B163" s="50" t="s">
        <v>222</v>
      </c>
      <c r="C163" s="49">
        <v>1</v>
      </c>
      <c r="D163" s="48" t="s">
        <v>221</v>
      </c>
      <c r="E163" s="47">
        <v>14.4</v>
      </c>
      <c r="F163" s="306" t="s">
        <v>223</v>
      </c>
      <c r="G163" s="24"/>
      <c r="H163" s="23"/>
      <c r="J163" s="50" t="s">
        <v>222</v>
      </c>
      <c r="K163" s="49">
        <v>1</v>
      </c>
      <c r="L163" s="48" t="s">
        <v>221</v>
      </c>
      <c r="M163" s="47">
        <v>9.6999999999999993</v>
      </c>
      <c r="N163" s="46"/>
      <c r="O163" s="24"/>
      <c r="P163" s="23"/>
    </row>
    <row r="164" spans="1:16" ht="18" customHeight="1" x14ac:dyDescent="0.2">
      <c r="A164" s="25"/>
      <c r="B164" s="35" t="s">
        <v>222</v>
      </c>
      <c r="C164" s="34">
        <v>2</v>
      </c>
      <c r="D164" s="33" t="s">
        <v>221</v>
      </c>
      <c r="E164" s="32"/>
      <c r="F164" s="307"/>
      <c r="G164" s="24"/>
      <c r="H164" s="23"/>
      <c r="J164" s="35" t="s">
        <v>222</v>
      </c>
      <c r="K164" s="34">
        <v>2</v>
      </c>
      <c r="L164" s="33" t="s">
        <v>221</v>
      </c>
      <c r="M164" s="32">
        <v>19.600000000000001</v>
      </c>
      <c r="N164" s="31"/>
      <c r="O164" s="24"/>
      <c r="P164" s="23"/>
    </row>
    <row r="165" spans="1:16" ht="18" customHeight="1" x14ac:dyDescent="0.2">
      <c r="A165" s="25"/>
      <c r="B165" s="35" t="s">
        <v>222</v>
      </c>
      <c r="C165" s="34">
        <v>3</v>
      </c>
      <c r="D165" s="33" t="s">
        <v>221</v>
      </c>
      <c r="E165" s="32">
        <v>25.2</v>
      </c>
      <c r="F165" s="307"/>
      <c r="G165" s="24"/>
      <c r="H165" s="23"/>
      <c r="J165" s="35" t="s">
        <v>222</v>
      </c>
      <c r="K165" s="34">
        <v>3</v>
      </c>
      <c r="L165" s="33" t="s">
        <v>221</v>
      </c>
      <c r="M165" s="32">
        <v>21.7</v>
      </c>
      <c r="N165" s="31"/>
      <c r="O165" s="24"/>
      <c r="P165" s="23"/>
    </row>
    <row r="166" spans="1:16" ht="18" customHeight="1" x14ac:dyDescent="0.2">
      <c r="A166" s="25"/>
      <c r="B166" s="35" t="s">
        <v>222</v>
      </c>
      <c r="C166" s="34">
        <v>4</v>
      </c>
      <c r="D166" s="33" t="s">
        <v>221</v>
      </c>
      <c r="E166" s="32"/>
      <c r="F166" s="307"/>
      <c r="G166" s="24"/>
      <c r="H166" s="23"/>
      <c r="J166" s="35" t="s">
        <v>222</v>
      </c>
      <c r="K166" s="34">
        <v>4</v>
      </c>
      <c r="L166" s="33" t="s">
        <v>221</v>
      </c>
      <c r="M166" s="32">
        <v>25.2</v>
      </c>
      <c r="N166" s="31"/>
      <c r="O166" s="24"/>
      <c r="P166" s="23"/>
    </row>
    <row r="167" spans="1:16" ht="18" customHeight="1" x14ac:dyDescent="0.2">
      <c r="A167" s="25"/>
      <c r="B167" s="35" t="s">
        <v>222</v>
      </c>
      <c r="C167" s="34">
        <v>5</v>
      </c>
      <c r="D167" s="33" t="s">
        <v>221</v>
      </c>
      <c r="E167" s="32">
        <v>25.6</v>
      </c>
      <c r="F167" s="45"/>
      <c r="G167" s="24"/>
      <c r="H167" s="23"/>
      <c r="J167" s="35" t="s">
        <v>222</v>
      </c>
      <c r="K167" s="34">
        <v>5</v>
      </c>
      <c r="L167" s="33" t="s">
        <v>221</v>
      </c>
      <c r="M167" s="32">
        <v>25.3</v>
      </c>
      <c r="N167" s="45"/>
      <c r="O167" s="24"/>
      <c r="P167" s="23"/>
    </row>
    <row r="168" spans="1:16" ht="18" customHeight="1" x14ac:dyDescent="0.2">
      <c r="A168" s="25"/>
      <c r="B168" s="35" t="s">
        <v>222</v>
      </c>
      <c r="C168" s="34">
        <v>6</v>
      </c>
      <c r="D168" s="33" t="s">
        <v>221</v>
      </c>
      <c r="E168" s="32">
        <v>17.8</v>
      </c>
      <c r="F168" s="31"/>
      <c r="G168" s="24"/>
      <c r="H168" s="23"/>
      <c r="J168" s="35" t="s">
        <v>222</v>
      </c>
      <c r="K168" s="34">
        <v>6</v>
      </c>
      <c r="L168" s="33" t="s">
        <v>221</v>
      </c>
      <c r="M168" s="32">
        <v>23.5</v>
      </c>
      <c r="N168" s="31"/>
      <c r="O168" s="24"/>
      <c r="P168" s="23"/>
    </row>
    <row r="169" spans="1:16" ht="18" customHeight="1" x14ac:dyDescent="0.2">
      <c r="A169" s="25"/>
      <c r="B169" s="35" t="s">
        <v>222</v>
      </c>
      <c r="C169" s="34">
        <v>7</v>
      </c>
      <c r="D169" s="33" t="s">
        <v>221</v>
      </c>
      <c r="E169" s="32">
        <v>26</v>
      </c>
      <c r="F169" s="31"/>
      <c r="G169" s="24"/>
      <c r="H169" s="23"/>
      <c r="J169" s="35" t="s">
        <v>222</v>
      </c>
      <c r="K169" s="34">
        <v>7</v>
      </c>
      <c r="L169" s="33" t="s">
        <v>221</v>
      </c>
      <c r="M169" s="32">
        <v>21.2</v>
      </c>
      <c r="N169" s="31"/>
      <c r="O169" s="24"/>
      <c r="P169" s="23"/>
    </row>
    <row r="170" spans="1:16" ht="18" customHeight="1" x14ac:dyDescent="0.2">
      <c r="A170" s="25"/>
      <c r="B170" s="44" t="s">
        <v>222</v>
      </c>
      <c r="C170" s="43">
        <v>8</v>
      </c>
      <c r="D170" s="42" t="s">
        <v>221</v>
      </c>
      <c r="E170" s="41">
        <v>20.5</v>
      </c>
      <c r="F170" s="31"/>
      <c r="G170" s="24"/>
      <c r="H170" s="23"/>
      <c r="J170" s="40" t="s">
        <v>222</v>
      </c>
      <c r="K170" s="39">
        <v>8</v>
      </c>
      <c r="L170" s="38" t="s">
        <v>221</v>
      </c>
      <c r="M170" s="37">
        <v>22.5</v>
      </c>
      <c r="N170" s="31"/>
      <c r="O170" s="24"/>
      <c r="P170" s="23"/>
    </row>
    <row r="171" spans="1:16" ht="18" customHeight="1" x14ac:dyDescent="0.2">
      <c r="A171" s="25"/>
      <c r="B171" s="35" t="s">
        <v>222</v>
      </c>
      <c r="C171" s="34">
        <v>9</v>
      </c>
      <c r="D171" s="33" t="s">
        <v>221</v>
      </c>
      <c r="E171" s="32">
        <v>21.1</v>
      </c>
      <c r="F171" s="31"/>
      <c r="G171" s="24"/>
      <c r="H171" s="23"/>
      <c r="J171" s="35" t="s">
        <v>222</v>
      </c>
      <c r="K171" s="34">
        <v>9</v>
      </c>
      <c r="L171" s="33" t="s">
        <v>221</v>
      </c>
      <c r="M171" s="32">
        <v>22.6</v>
      </c>
      <c r="N171" s="31"/>
      <c r="O171" s="24"/>
      <c r="P171" s="23"/>
    </row>
    <row r="172" spans="1:16" ht="18" customHeight="1" x14ac:dyDescent="0.2">
      <c r="A172" s="25"/>
      <c r="B172" s="35" t="s">
        <v>222</v>
      </c>
      <c r="C172" s="34">
        <v>10</v>
      </c>
      <c r="D172" s="33" t="s">
        <v>221</v>
      </c>
      <c r="E172" s="32">
        <v>20.9</v>
      </c>
      <c r="F172" s="31"/>
      <c r="G172" s="24"/>
      <c r="H172" s="23"/>
      <c r="J172" s="35" t="s">
        <v>222</v>
      </c>
      <c r="K172" s="34">
        <v>10</v>
      </c>
      <c r="L172" s="33" t="s">
        <v>221</v>
      </c>
      <c r="M172" s="32">
        <v>24.2</v>
      </c>
      <c r="N172" s="31"/>
      <c r="O172" s="24"/>
      <c r="P172" s="23"/>
    </row>
    <row r="173" spans="1:16" ht="18" customHeight="1" x14ac:dyDescent="0.2">
      <c r="A173" s="25"/>
      <c r="B173" s="35" t="s">
        <v>222</v>
      </c>
      <c r="C173" s="34">
        <v>11</v>
      </c>
      <c r="D173" s="33" t="s">
        <v>221</v>
      </c>
      <c r="E173" s="32"/>
      <c r="F173" s="31"/>
      <c r="G173" s="24"/>
      <c r="H173" s="23"/>
      <c r="J173" s="35" t="s">
        <v>222</v>
      </c>
      <c r="K173" s="34">
        <v>11</v>
      </c>
      <c r="L173" s="33" t="s">
        <v>221</v>
      </c>
      <c r="M173" s="32">
        <v>21.9</v>
      </c>
      <c r="N173" s="31"/>
      <c r="O173" s="24"/>
      <c r="P173" s="23"/>
    </row>
    <row r="174" spans="1:16" ht="18" customHeight="1" x14ac:dyDescent="0.2">
      <c r="A174" s="25"/>
      <c r="B174" s="35" t="s">
        <v>222</v>
      </c>
      <c r="C174" s="34">
        <v>12</v>
      </c>
      <c r="D174" s="33" t="s">
        <v>221</v>
      </c>
      <c r="E174" s="32">
        <v>21</v>
      </c>
      <c r="F174" s="36"/>
      <c r="G174" s="24"/>
      <c r="H174" s="23"/>
      <c r="J174" s="35" t="s">
        <v>222</v>
      </c>
      <c r="K174" s="34">
        <v>12</v>
      </c>
      <c r="L174" s="33" t="s">
        <v>221</v>
      </c>
      <c r="M174" s="32">
        <v>21.5</v>
      </c>
      <c r="N174" s="36"/>
      <c r="O174" s="24"/>
      <c r="P174" s="23"/>
    </row>
    <row r="175" spans="1:16" ht="18" customHeight="1" x14ac:dyDescent="0.2">
      <c r="A175" s="25"/>
      <c r="B175" s="35" t="s">
        <v>222</v>
      </c>
      <c r="C175" s="34">
        <v>13</v>
      </c>
      <c r="D175" s="33" t="s">
        <v>221</v>
      </c>
      <c r="E175" s="32">
        <v>19.100000000000001</v>
      </c>
      <c r="F175" s="31"/>
      <c r="G175" s="24"/>
      <c r="H175" s="23"/>
      <c r="J175" s="35" t="s">
        <v>222</v>
      </c>
      <c r="K175" s="34">
        <v>13</v>
      </c>
      <c r="L175" s="33" t="s">
        <v>221</v>
      </c>
      <c r="M175" s="32">
        <v>21.9</v>
      </c>
      <c r="N175" s="31"/>
      <c r="O175" s="24"/>
      <c r="P175" s="23"/>
    </row>
    <row r="176" spans="1:16" ht="18" customHeight="1" x14ac:dyDescent="0.2">
      <c r="A176" s="25"/>
      <c r="B176" s="35" t="s">
        <v>222</v>
      </c>
      <c r="C176" s="34">
        <v>14</v>
      </c>
      <c r="D176" s="33" t="s">
        <v>221</v>
      </c>
      <c r="E176" s="32">
        <v>23.2</v>
      </c>
      <c r="F176" s="31"/>
      <c r="G176" s="24"/>
      <c r="H176" s="23"/>
      <c r="J176" s="35" t="s">
        <v>222</v>
      </c>
      <c r="K176" s="34">
        <v>14</v>
      </c>
      <c r="L176" s="33" t="s">
        <v>221</v>
      </c>
      <c r="M176" s="32">
        <v>17.3</v>
      </c>
      <c r="N176" s="31"/>
      <c r="O176" s="24"/>
      <c r="P176" s="23"/>
    </row>
    <row r="177" spans="1:16" ht="18" customHeight="1" thickBot="1" x14ac:dyDescent="0.25">
      <c r="A177" s="25"/>
      <c r="B177" s="30" t="s">
        <v>222</v>
      </c>
      <c r="C177" s="29">
        <v>15</v>
      </c>
      <c r="D177" s="28" t="s">
        <v>221</v>
      </c>
      <c r="E177" s="27">
        <v>20.399999999999999</v>
      </c>
      <c r="F177" s="26">
        <v>21.2</v>
      </c>
      <c r="G177" s="24"/>
      <c r="H177" s="23"/>
      <c r="J177" s="30" t="s">
        <v>222</v>
      </c>
      <c r="K177" s="29">
        <v>15</v>
      </c>
      <c r="L177" s="28" t="s">
        <v>221</v>
      </c>
      <c r="M177" s="27">
        <v>21.9</v>
      </c>
      <c r="N177" s="26">
        <v>15.4</v>
      </c>
      <c r="O177" s="24"/>
      <c r="P177" s="23"/>
    </row>
    <row r="178" spans="1:16" ht="18" customHeight="1" x14ac:dyDescent="0.2">
      <c r="A178" s="25"/>
      <c r="B178" s="50" t="s">
        <v>220</v>
      </c>
      <c r="C178" s="49">
        <v>1</v>
      </c>
      <c r="D178" s="48" t="s">
        <v>219</v>
      </c>
      <c r="E178" s="47">
        <v>13.7</v>
      </c>
      <c r="F178" s="46"/>
      <c r="G178" s="24"/>
      <c r="H178" s="23"/>
      <c r="J178" s="50" t="s">
        <v>220</v>
      </c>
      <c r="K178" s="49">
        <v>1</v>
      </c>
      <c r="L178" s="48" t="s">
        <v>219</v>
      </c>
      <c r="M178" s="47">
        <v>7.4</v>
      </c>
      <c r="N178" s="46"/>
      <c r="O178" s="24"/>
      <c r="P178" s="23"/>
    </row>
    <row r="179" spans="1:16" ht="18" customHeight="1" x14ac:dyDescent="0.2">
      <c r="A179" s="25"/>
      <c r="B179" s="35" t="s">
        <v>220</v>
      </c>
      <c r="C179" s="34">
        <v>2</v>
      </c>
      <c r="D179" s="33" t="s">
        <v>219</v>
      </c>
      <c r="E179" s="32">
        <v>19.399999999999999</v>
      </c>
      <c r="F179" s="31"/>
      <c r="G179" s="24"/>
      <c r="H179" s="23"/>
      <c r="J179" s="35" t="s">
        <v>220</v>
      </c>
      <c r="K179" s="34">
        <v>2</v>
      </c>
      <c r="L179" s="33" t="s">
        <v>219</v>
      </c>
      <c r="M179" s="32">
        <v>19.100000000000001</v>
      </c>
      <c r="N179" s="31"/>
      <c r="O179" s="24"/>
      <c r="P179" s="23"/>
    </row>
    <row r="180" spans="1:16" ht="18" customHeight="1" x14ac:dyDescent="0.2">
      <c r="A180" s="25"/>
      <c r="B180" s="35" t="s">
        <v>220</v>
      </c>
      <c r="C180" s="34">
        <v>3</v>
      </c>
      <c r="D180" s="33" t="s">
        <v>219</v>
      </c>
      <c r="E180" s="32">
        <v>20.3</v>
      </c>
      <c r="F180" s="31"/>
      <c r="G180" s="24"/>
      <c r="H180" s="23"/>
      <c r="J180" s="35" t="s">
        <v>220</v>
      </c>
      <c r="K180" s="34">
        <v>3</v>
      </c>
      <c r="L180" s="33" t="s">
        <v>219</v>
      </c>
      <c r="M180" s="32">
        <v>20.8</v>
      </c>
      <c r="N180" s="31"/>
      <c r="O180" s="24"/>
      <c r="P180" s="23"/>
    </row>
    <row r="181" spans="1:16" ht="18" customHeight="1" x14ac:dyDescent="0.2">
      <c r="A181" s="25"/>
      <c r="B181" s="35" t="s">
        <v>220</v>
      </c>
      <c r="C181" s="34">
        <v>4</v>
      </c>
      <c r="D181" s="33" t="s">
        <v>219</v>
      </c>
      <c r="E181" s="32">
        <v>22.6</v>
      </c>
      <c r="F181" s="31"/>
      <c r="G181" s="24"/>
      <c r="H181" s="23"/>
      <c r="J181" s="35" t="s">
        <v>220</v>
      </c>
      <c r="K181" s="34">
        <v>4</v>
      </c>
      <c r="L181" s="33" t="s">
        <v>219</v>
      </c>
      <c r="M181" s="32">
        <v>20.9</v>
      </c>
      <c r="N181" s="31"/>
      <c r="O181" s="24"/>
      <c r="P181" s="23"/>
    </row>
    <row r="182" spans="1:16" ht="18" customHeight="1" x14ac:dyDescent="0.2">
      <c r="A182" s="25"/>
      <c r="B182" s="35" t="s">
        <v>220</v>
      </c>
      <c r="C182" s="34">
        <v>5</v>
      </c>
      <c r="D182" s="33" t="s">
        <v>219</v>
      </c>
      <c r="E182" s="32">
        <v>26</v>
      </c>
      <c r="F182" s="45"/>
      <c r="G182" s="24"/>
      <c r="H182" s="23"/>
      <c r="J182" s="35" t="s">
        <v>220</v>
      </c>
      <c r="K182" s="34">
        <v>5</v>
      </c>
      <c r="L182" s="33" t="s">
        <v>219</v>
      </c>
      <c r="M182" s="32">
        <v>21.9</v>
      </c>
      <c r="N182" s="45"/>
      <c r="O182" s="24"/>
      <c r="P182" s="23"/>
    </row>
    <row r="183" spans="1:16" ht="18" customHeight="1" x14ac:dyDescent="0.2">
      <c r="A183" s="25"/>
      <c r="B183" s="35" t="s">
        <v>220</v>
      </c>
      <c r="C183" s="34">
        <v>6</v>
      </c>
      <c r="D183" s="33" t="s">
        <v>219</v>
      </c>
      <c r="E183" s="32">
        <v>25.8</v>
      </c>
      <c r="F183" s="31"/>
      <c r="G183" s="24"/>
      <c r="H183" s="23"/>
      <c r="J183" s="35" t="s">
        <v>220</v>
      </c>
      <c r="K183" s="34">
        <v>6</v>
      </c>
      <c r="L183" s="33" t="s">
        <v>219</v>
      </c>
      <c r="M183" s="32">
        <v>21.8</v>
      </c>
      <c r="N183" s="31"/>
      <c r="O183" s="24"/>
      <c r="P183" s="23"/>
    </row>
    <row r="184" spans="1:16" ht="18" customHeight="1" x14ac:dyDescent="0.2">
      <c r="A184" s="25"/>
      <c r="B184" s="35" t="s">
        <v>220</v>
      </c>
      <c r="C184" s="34">
        <v>7</v>
      </c>
      <c r="D184" s="33" t="s">
        <v>219</v>
      </c>
      <c r="E184" s="32">
        <v>21.1</v>
      </c>
      <c r="F184" s="31"/>
      <c r="G184" s="24"/>
      <c r="H184" s="23"/>
      <c r="J184" s="35" t="s">
        <v>220</v>
      </c>
      <c r="K184" s="34">
        <v>7</v>
      </c>
      <c r="L184" s="33" t="s">
        <v>219</v>
      </c>
      <c r="M184" s="32">
        <v>17.600000000000001</v>
      </c>
      <c r="N184" s="31"/>
      <c r="O184" s="24"/>
      <c r="P184" s="23"/>
    </row>
    <row r="185" spans="1:16" ht="18" customHeight="1" x14ac:dyDescent="0.2">
      <c r="A185" s="25"/>
      <c r="B185" s="44" t="s">
        <v>220</v>
      </c>
      <c r="C185" s="43">
        <v>8</v>
      </c>
      <c r="D185" s="42" t="s">
        <v>219</v>
      </c>
      <c r="E185" s="41">
        <v>23.1</v>
      </c>
      <c r="F185" s="31"/>
      <c r="G185" s="24"/>
      <c r="H185" s="23"/>
      <c r="J185" s="40" t="s">
        <v>220</v>
      </c>
      <c r="K185" s="39">
        <v>8</v>
      </c>
      <c r="L185" s="38" t="s">
        <v>219</v>
      </c>
      <c r="M185" s="37">
        <v>17.7</v>
      </c>
      <c r="N185" s="31"/>
      <c r="O185" s="24"/>
      <c r="P185" s="23"/>
    </row>
    <row r="186" spans="1:16" ht="18" customHeight="1" x14ac:dyDescent="0.2">
      <c r="A186" s="25"/>
      <c r="B186" s="35" t="s">
        <v>220</v>
      </c>
      <c r="C186" s="34">
        <v>9</v>
      </c>
      <c r="D186" s="33" t="s">
        <v>219</v>
      </c>
      <c r="E186" s="32">
        <v>22.9</v>
      </c>
      <c r="F186" s="31"/>
      <c r="G186" s="24"/>
      <c r="H186" s="23"/>
      <c r="J186" s="35" t="s">
        <v>220</v>
      </c>
      <c r="K186" s="34">
        <v>9</v>
      </c>
      <c r="L186" s="33" t="s">
        <v>219</v>
      </c>
      <c r="M186" s="32">
        <v>21.8</v>
      </c>
      <c r="N186" s="31"/>
      <c r="O186" s="24"/>
      <c r="P186" s="23"/>
    </row>
    <row r="187" spans="1:16" ht="18" customHeight="1" x14ac:dyDescent="0.2">
      <c r="A187" s="25"/>
      <c r="B187" s="35" t="s">
        <v>220</v>
      </c>
      <c r="C187" s="34">
        <v>10</v>
      </c>
      <c r="D187" s="33" t="s">
        <v>219</v>
      </c>
      <c r="E187" s="32">
        <v>24.2</v>
      </c>
      <c r="F187" s="31"/>
      <c r="G187" s="24"/>
      <c r="H187" s="23"/>
      <c r="J187" s="35" t="s">
        <v>220</v>
      </c>
      <c r="K187" s="34">
        <v>10</v>
      </c>
      <c r="L187" s="33" t="s">
        <v>219</v>
      </c>
      <c r="M187" s="32">
        <v>16.5</v>
      </c>
      <c r="N187" s="31"/>
      <c r="O187" s="24"/>
      <c r="P187" s="23"/>
    </row>
    <row r="188" spans="1:16" ht="18" customHeight="1" x14ac:dyDescent="0.2">
      <c r="A188" s="25"/>
      <c r="B188" s="35" t="s">
        <v>220</v>
      </c>
      <c r="C188" s="34">
        <v>11</v>
      </c>
      <c r="D188" s="33" t="s">
        <v>219</v>
      </c>
      <c r="E188" s="32">
        <v>21.3</v>
      </c>
      <c r="F188" s="31"/>
      <c r="G188" s="24"/>
      <c r="H188" s="23"/>
      <c r="J188" s="35" t="s">
        <v>220</v>
      </c>
      <c r="K188" s="34">
        <v>11</v>
      </c>
      <c r="L188" s="33" t="s">
        <v>219</v>
      </c>
      <c r="M188" s="32">
        <v>10.5</v>
      </c>
      <c r="N188" s="31"/>
      <c r="O188" s="24"/>
      <c r="P188" s="23"/>
    </row>
    <row r="189" spans="1:16" ht="18" customHeight="1" x14ac:dyDescent="0.2">
      <c r="A189" s="25"/>
      <c r="B189" s="35" t="s">
        <v>220</v>
      </c>
      <c r="C189" s="34">
        <v>12</v>
      </c>
      <c r="D189" s="33" t="s">
        <v>219</v>
      </c>
      <c r="E189" s="32">
        <v>23.5</v>
      </c>
      <c r="F189" s="36"/>
      <c r="G189" s="24"/>
      <c r="H189" s="23"/>
      <c r="J189" s="35" t="s">
        <v>220</v>
      </c>
      <c r="K189" s="34">
        <v>12</v>
      </c>
      <c r="L189" s="33" t="s">
        <v>219</v>
      </c>
      <c r="M189" s="32">
        <v>18.899999999999999</v>
      </c>
      <c r="N189" s="36"/>
      <c r="O189" s="24"/>
      <c r="P189" s="23"/>
    </row>
    <row r="190" spans="1:16" ht="18" customHeight="1" x14ac:dyDescent="0.2">
      <c r="A190" s="25"/>
      <c r="B190" s="35" t="s">
        <v>220</v>
      </c>
      <c r="C190" s="34">
        <v>13</v>
      </c>
      <c r="D190" s="33" t="s">
        <v>219</v>
      </c>
      <c r="E190" s="32">
        <v>20</v>
      </c>
      <c r="F190" s="31"/>
      <c r="G190" s="24"/>
      <c r="H190" s="23"/>
      <c r="J190" s="35" t="s">
        <v>220</v>
      </c>
      <c r="K190" s="34">
        <v>13</v>
      </c>
      <c r="L190" s="33" t="s">
        <v>219</v>
      </c>
      <c r="M190" s="32">
        <v>14.1</v>
      </c>
      <c r="N190" s="31"/>
      <c r="O190" s="24"/>
      <c r="P190" s="23"/>
    </row>
    <row r="191" spans="1:16" ht="18" customHeight="1" x14ac:dyDescent="0.2">
      <c r="A191" s="25"/>
      <c r="B191" s="35" t="s">
        <v>220</v>
      </c>
      <c r="C191" s="34">
        <v>14</v>
      </c>
      <c r="D191" s="33" t="s">
        <v>219</v>
      </c>
      <c r="E191" s="32">
        <v>18.399999999999999</v>
      </c>
      <c r="F191" s="31"/>
      <c r="G191" s="24"/>
      <c r="H191" s="23"/>
      <c r="J191" s="35" t="s">
        <v>220</v>
      </c>
      <c r="K191" s="34">
        <v>14</v>
      </c>
      <c r="L191" s="33" t="s">
        <v>219</v>
      </c>
      <c r="M191" s="32">
        <v>16.2</v>
      </c>
      <c r="N191" s="31"/>
      <c r="O191" s="24"/>
      <c r="P191" s="23"/>
    </row>
    <row r="192" spans="1:16" ht="18" customHeight="1" thickBot="1" x14ac:dyDescent="0.25">
      <c r="A192" s="25"/>
      <c r="B192" s="30" t="s">
        <v>220</v>
      </c>
      <c r="C192" s="29">
        <v>15</v>
      </c>
      <c r="D192" s="28" t="s">
        <v>219</v>
      </c>
      <c r="E192" s="27">
        <v>17.5</v>
      </c>
      <c r="F192" s="26">
        <v>21.9</v>
      </c>
      <c r="G192" s="24"/>
      <c r="H192" s="23"/>
      <c r="J192" s="30" t="s">
        <v>220</v>
      </c>
      <c r="K192" s="29">
        <v>15</v>
      </c>
      <c r="L192" s="28" t="s">
        <v>219</v>
      </c>
      <c r="M192" s="27">
        <v>15.7</v>
      </c>
      <c r="N192" s="26">
        <v>14.6</v>
      </c>
      <c r="O192" s="24"/>
      <c r="P192" s="23"/>
    </row>
    <row r="193" spans="1:8" x14ac:dyDescent="0.2">
      <c r="A193" s="25"/>
      <c r="G193" s="24"/>
      <c r="H193" s="23"/>
    </row>
    <row r="194" spans="1:8" x14ac:dyDescent="0.2">
      <c r="A194" s="25"/>
      <c r="G194" s="24"/>
      <c r="H194" s="23"/>
    </row>
    <row r="195" spans="1:8" x14ac:dyDescent="0.2">
      <c r="A195" s="25"/>
      <c r="G195" s="24"/>
      <c r="H195" s="23"/>
    </row>
    <row r="196" spans="1:8" x14ac:dyDescent="0.2">
      <c r="A196" s="25"/>
      <c r="G196" s="24"/>
      <c r="H196" s="23"/>
    </row>
    <row r="197" spans="1:8" x14ac:dyDescent="0.2">
      <c r="A197" s="25"/>
      <c r="G197" s="24"/>
      <c r="H197" s="23"/>
    </row>
    <row r="198" spans="1:8" x14ac:dyDescent="0.2">
      <c r="A198" s="25"/>
      <c r="G198" s="24"/>
      <c r="H198" s="23"/>
    </row>
    <row r="199" spans="1:8" x14ac:dyDescent="0.2">
      <c r="A199" s="25"/>
      <c r="G199" s="24"/>
      <c r="H199" s="23"/>
    </row>
    <row r="200" spans="1:8" x14ac:dyDescent="0.2">
      <c r="A200" s="25"/>
      <c r="G200" s="24"/>
      <c r="H200" s="23"/>
    </row>
    <row r="201" spans="1:8" x14ac:dyDescent="0.2">
      <c r="A201" s="25"/>
      <c r="G201" s="24"/>
      <c r="H201" s="23"/>
    </row>
    <row r="202" spans="1:8" x14ac:dyDescent="0.2">
      <c r="A202" s="25"/>
      <c r="G202" s="24"/>
      <c r="H202" s="23"/>
    </row>
    <row r="203" spans="1:8" x14ac:dyDescent="0.2">
      <c r="A203" s="25"/>
      <c r="G203" s="24"/>
      <c r="H203" s="23"/>
    </row>
    <row r="204" spans="1:8" x14ac:dyDescent="0.2">
      <c r="A204" s="25"/>
      <c r="G204" s="24"/>
      <c r="H204" s="23"/>
    </row>
    <row r="205" spans="1:8" x14ac:dyDescent="0.2">
      <c r="G205" s="24"/>
      <c r="H205" s="23"/>
    </row>
  </sheetData>
  <mergeCells count="2">
    <mergeCell ref="F163:F166"/>
    <mergeCell ref="N89:N91"/>
  </mergeCells>
  <pageMargins left="0.7" right="0.7" top="0.25" bottom="0.25" header="0" footer="0.3"/>
  <pageSetup scale="144" orientation="portrait" r:id="rId1"/>
  <rowBreaks count="10" manualBreakCount="10">
    <brk id="28" min="17" max="20" man="1"/>
    <brk id="57" max="16383" man="1"/>
    <brk id="72" max="16383" man="1"/>
    <brk id="87" max="16383" man="1"/>
    <brk id="102" max="16383" man="1"/>
    <brk id="117" max="16383" man="1"/>
    <brk id="132" max="16383" man="1"/>
    <brk id="147" max="16383" man="1"/>
    <brk id="162" max="16383" man="1"/>
    <brk id="17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12506-E58A-40BD-BB21-4E0A3B603372}">
  <dimension ref="A1:T40"/>
  <sheetViews>
    <sheetView zoomScaleNormal="100" zoomScaleSheetLayoutView="100" workbookViewId="0">
      <selection activeCell="S40" sqref="S40"/>
    </sheetView>
  </sheetViews>
  <sheetFormatPr defaultColWidth="10" defaultRowHeight="15" x14ac:dyDescent="0.25"/>
  <cols>
    <col min="1" max="1" width="8.7109375" style="144" customWidth="1"/>
    <col min="2" max="2" width="4.28515625" style="144" customWidth="1"/>
    <col min="3" max="3" width="5" style="144" customWidth="1"/>
    <col min="4" max="4" width="4.85546875" style="146" customWidth="1"/>
    <col min="5" max="5" width="19.140625" style="145" customWidth="1"/>
    <col min="6" max="6" width="7.28515625" style="144" customWidth="1"/>
    <col min="7" max="7" width="4.28515625" style="144" customWidth="1"/>
    <col min="8" max="9" width="3.140625" style="144" customWidth="1"/>
    <col min="10" max="10" width="7.7109375" style="144" customWidth="1"/>
    <col min="11" max="11" width="8.7109375" style="144" customWidth="1"/>
    <col min="12" max="12" width="5.28515625" style="144" customWidth="1"/>
    <col min="13" max="13" width="4.28515625" style="144" customWidth="1"/>
    <col min="14" max="15" width="19.140625" style="144" customWidth="1"/>
    <col min="16" max="16" width="7.28515625" style="144" customWidth="1"/>
    <col min="17" max="17" width="8.7109375" style="144" customWidth="1"/>
    <col min="18" max="18" width="8.42578125" style="144" customWidth="1"/>
    <col min="19" max="20" width="19.140625" style="144" customWidth="1"/>
    <col min="21" max="16384" width="10" style="144"/>
  </cols>
  <sheetData>
    <row r="1" spans="1:20" ht="18.75" x14ac:dyDescent="0.3">
      <c r="A1" s="194">
        <v>2023</v>
      </c>
      <c r="B1" s="190" t="s">
        <v>291</v>
      </c>
      <c r="C1" s="192"/>
      <c r="G1" s="193"/>
      <c r="K1" s="194">
        <v>2023</v>
      </c>
      <c r="L1" s="190" t="s">
        <v>291</v>
      </c>
      <c r="M1" s="192"/>
      <c r="Q1" s="194">
        <v>2023</v>
      </c>
      <c r="R1" s="190" t="s">
        <v>291</v>
      </c>
      <c r="S1" s="146"/>
    </row>
    <row r="2" spans="1:20" ht="18.75" x14ac:dyDescent="0.3">
      <c r="A2" s="191"/>
      <c r="B2" s="190" t="s">
        <v>289</v>
      </c>
      <c r="C2" s="192"/>
      <c r="F2" s="193" t="s">
        <v>290</v>
      </c>
      <c r="K2" s="191"/>
      <c r="L2" s="190" t="s">
        <v>289</v>
      </c>
      <c r="M2" s="192"/>
      <c r="Q2" s="191"/>
      <c r="R2" s="190" t="s">
        <v>289</v>
      </c>
      <c r="S2" s="146"/>
    </row>
    <row r="3" spans="1:20" ht="18.75" x14ac:dyDescent="0.3">
      <c r="A3" s="191"/>
      <c r="B3" s="190"/>
      <c r="C3" s="192" t="s">
        <v>288</v>
      </c>
      <c r="F3" s="193" t="s">
        <v>287</v>
      </c>
      <c r="K3" s="191"/>
      <c r="L3" s="190"/>
      <c r="M3" s="192"/>
      <c r="Q3" s="191"/>
      <c r="R3" s="190"/>
      <c r="S3" s="146"/>
    </row>
    <row r="4" spans="1:20" ht="30" customHeight="1" x14ac:dyDescent="0.25">
      <c r="A4" s="186"/>
      <c r="B4" s="129"/>
      <c r="C4" s="141" t="s">
        <v>276</v>
      </c>
      <c r="D4" s="94"/>
      <c r="E4" s="189"/>
      <c r="F4" s="188" t="s">
        <v>286</v>
      </c>
      <c r="J4" s="145"/>
      <c r="K4" s="186"/>
      <c r="L4" s="129"/>
      <c r="M4" s="135" t="s">
        <v>275</v>
      </c>
      <c r="N4" s="130"/>
      <c r="O4" s="130"/>
      <c r="P4" s="128"/>
      <c r="Q4" s="132" t="s">
        <v>274</v>
      </c>
      <c r="R4" s="129"/>
      <c r="S4" s="94"/>
    </row>
    <row r="5" spans="1:20" s="145" customFormat="1" ht="21" customHeight="1" x14ac:dyDescent="0.25">
      <c r="A5" s="144"/>
      <c r="B5" s="125"/>
      <c r="C5" s="145" t="s">
        <v>285</v>
      </c>
      <c r="T5" s="187"/>
    </row>
    <row r="6" spans="1:20" ht="24" customHeight="1" x14ac:dyDescent="0.25">
      <c r="B6" s="186"/>
      <c r="C6" s="124" t="s">
        <v>284</v>
      </c>
      <c r="D6" s="123"/>
      <c r="E6" s="185"/>
      <c r="F6" s="120"/>
      <c r="G6" s="184"/>
      <c r="H6" s="183"/>
      <c r="I6" s="183"/>
      <c r="J6" s="183"/>
      <c r="L6" s="182"/>
      <c r="M6" s="181" t="s">
        <v>283</v>
      </c>
      <c r="N6" s="180"/>
      <c r="O6" s="180"/>
      <c r="P6" s="116"/>
      <c r="Q6" s="119" t="s">
        <v>282</v>
      </c>
      <c r="R6" s="179"/>
      <c r="S6" s="116"/>
    </row>
    <row r="7" spans="1:20" ht="24" customHeight="1" thickBot="1" x14ac:dyDescent="0.3">
      <c r="C7" s="310" t="s">
        <v>260</v>
      </c>
      <c r="D7" s="310"/>
      <c r="E7" s="176" t="s">
        <v>281</v>
      </c>
      <c r="F7" s="145"/>
      <c r="G7" s="311"/>
      <c r="H7" s="311"/>
      <c r="I7" s="178"/>
      <c r="J7" s="178"/>
      <c r="L7" s="310" t="s">
        <v>260</v>
      </c>
      <c r="M7" s="310"/>
      <c r="N7" s="176" t="s">
        <v>281</v>
      </c>
      <c r="O7" s="176"/>
      <c r="P7" s="145"/>
      <c r="S7" s="176" t="s">
        <v>281</v>
      </c>
    </row>
    <row r="8" spans="1:20" ht="24" customHeight="1" x14ac:dyDescent="0.35">
      <c r="C8" s="175" t="s">
        <v>251</v>
      </c>
      <c r="D8" s="174">
        <v>8</v>
      </c>
      <c r="E8" s="173">
        <v>4.18</v>
      </c>
      <c r="G8" s="165"/>
      <c r="H8" s="164"/>
      <c r="I8" s="164"/>
      <c r="J8" s="163"/>
      <c r="L8" s="175" t="s">
        <v>251</v>
      </c>
      <c r="M8" s="174">
        <v>8</v>
      </c>
      <c r="N8" s="173">
        <v>6.22</v>
      </c>
      <c r="O8" s="159"/>
      <c r="Q8" s="158" t="s">
        <v>248</v>
      </c>
      <c r="R8" s="157" t="s">
        <v>257</v>
      </c>
      <c r="S8" s="156">
        <v>1.2</v>
      </c>
    </row>
    <row r="9" spans="1:20" ht="24" customHeight="1" x14ac:dyDescent="0.35">
      <c r="C9" s="172" t="s">
        <v>242</v>
      </c>
      <c r="D9" s="171">
        <v>8</v>
      </c>
      <c r="E9" s="170">
        <v>6.67</v>
      </c>
      <c r="G9" s="165"/>
      <c r="H9" s="164"/>
      <c r="I9" s="164"/>
      <c r="J9" s="163"/>
      <c r="L9" s="172" t="s">
        <v>242</v>
      </c>
      <c r="M9" s="171">
        <v>8</v>
      </c>
      <c r="N9" s="170">
        <v>9.11</v>
      </c>
      <c r="O9" s="169"/>
      <c r="Q9" s="82" t="s">
        <v>248</v>
      </c>
      <c r="R9" s="151" t="s">
        <v>256</v>
      </c>
      <c r="S9" s="150">
        <v>2.5299999999999998</v>
      </c>
    </row>
    <row r="10" spans="1:20" ht="24" customHeight="1" x14ac:dyDescent="0.35">
      <c r="C10" s="168" t="s">
        <v>236</v>
      </c>
      <c r="D10" s="167">
        <v>8</v>
      </c>
      <c r="E10" s="166">
        <v>7.84</v>
      </c>
      <c r="G10" s="165"/>
      <c r="H10" s="164"/>
      <c r="I10" s="164"/>
      <c r="J10" s="163"/>
      <c r="L10" s="168" t="s">
        <v>236</v>
      </c>
      <c r="M10" s="167">
        <v>8</v>
      </c>
      <c r="N10" s="166">
        <v>8.93</v>
      </c>
      <c r="O10" s="159"/>
      <c r="Q10" s="152" t="s">
        <v>248</v>
      </c>
      <c r="R10" s="151" t="s">
        <v>255</v>
      </c>
      <c r="S10" s="150">
        <v>2.52</v>
      </c>
    </row>
    <row r="11" spans="1:20" ht="24" customHeight="1" x14ac:dyDescent="0.35">
      <c r="C11" s="168" t="s">
        <v>235</v>
      </c>
      <c r="D11" s="167">
        <v>8</v>
      </c>
      <c r="E11" s="166">
        <v>6.88</v>
      </c>
      <c r="G11" s="165"/>
      <c r="H11" s="164"/>
      <c r="I11" s="164"/>
      <c r="J11" s="163"/>
      <c r="L11" s="168" t="s">
        <v>235</v>
      </c>
      <c r="M11" s="167">
        <v>8</v>
      </c>
      <c r="N11" s="166">
        <v>8.51</v>
      </c>
      <c r="O11" s="159"/>
      <c r="Q11" s="152" t="s">
        <v>248</v>
      </c>
      <c r="R11" s="151" t="s">
        <v>254</v>
      </c>
      <c r="S11" s="150">
        <v>2.36</v>
      </c>
    </row>
    <row r="12" spans="1:20" ht="24" customHeight="1" x14ac:dyDescent="0.35">
      <c r="C12" s="168" t="s">
        <v>234</v>
      </c>
      <c r="D12" s="167">
        <v>8</v>
      </c>
      <c r="E12" s="166">
        <v>8.84</v>
      </c>
      <c r="G12" s="165"/>
      <c r="H12" s="164"/>
      <c r="I12" s="164"/>
      <c r="J12" s="163"/>
      <c r="L12" s="168" t="s">
        <v>234</v>
      </c>
      <c r="M12" s="167">
        <v>8</v>
      </c>
      <c r="N12" s="166">
        <v>10.55</v>
      </c>
      <c r="O12" s="159"/>
      <c r="Q12" s="155" t="s">
        <v>248</v>
      </c>
      <c r="R12" s="154" t="s">
        <v>253</v>
      </c>
      <c r="S12" s="153">
        <v>1.48</v>
      </c>
    </row>
    <row r="13" spans="1:20" ht="24" customHeight="1" x14ac:dyDescent="0.35">
      <c r="C13" s="168" t="s">
        <v>230</v>
      </c>
      <c r="D13" s="167">
        <v>8</v>
      </c>
      <c r="E13" s="166">
        <v>7.82</v>
      </c>
      <c r="G13" s="165"/>
      <c r="H13" s="164"/>
      <c r="I13" s="164"/>
      <c r="J13" s="163"/>
      <c r="L13" s="168" t="s">
        <v>230</v>
      </c>
      <c r="M13" s="167">
        <v>8</v>
      </c>
      <c r="N13" s="166">
        <v>9.3000000000000007</v>
      </c>
      <c r="O13" s="159"/>
      <c r="Q13" s="82" t="s">
        <v>248</v>
      </c>
      <c r="R13" s="151" t="s">
        <v>252</v>
      </c>
      <c r="S13" s="150">
        <v>2.2400000000000002</v>
      </c>
    </row>
    <row r="14" spans="1:20" ht="24" customHeight="1" x14ac:dyDescent="0.35">
      <c r="C14" s="168" t="s">
        <v>228</v>
      </c>
      <c r="D14" s="167">
        <v>8</v>
      </c>
      <c r="E14" s="166">
        <v>7.55</v>
      </c>
      <c r="G14" s="165"/>
      <c r="H14" s="164"/>
      <c r="I14" s="164"/>
      <c r="J14" s="163"/>
      <c r="L14" s="168" t="s">
        <v>228</v>
      </c>
      <c r="M14" s="167">
        <v>8</v>
      </c>
      <c r="N14" s="166">
        <v>9.99</v>
      </c>
      <c r="O14" s="159"/>
      <c r="Q14" s="152" t="s">
        <v>248</v>
      </c>
      <c r="R14" s="151" t="s">
        <v>250</v>
      </c>
      <c r="S14" s="150">
        <v>2.94</v>
      </c>
    </row>
    <row r="15" spans="1:20" ht="24" customHeight="1" thickBot="1" x14ac:dyDescent="0.4">
      <c r="C15" s="168" t="s">
        <v>227</v>
      </c>
      <c r="D15" s="167">
        <v>8</v>
      </c>
      <c r="E15" s="166">
        <v>9.9499999999999993</v>
      </c>
      <c r="G15" s="165"/>
      <c r="H15" s="164"/>
      <c r="I15" s="164"/>
      <c r="J15" s="163"/>
      <c r="L15" s="168" t="s">
        <v>227</v>
      </c>
      <c r="M15" s="167">
        <v>8</v>
      </c>
      <c r="N15" s="166">
        <v>9.27</v>
      </c>
      <c r="O15" s="159"/>
      <c r="Q15" s="149" t="s">
        <v>248</v>
      </c>
      <c r="R15" s="148" t="s">
        <v>249</v>
      </c>
      <c r="S15" s="147">
        <v>0.8</v>
      </c>
    </row>
    <row r="16" spans="1:20" ht="24" customHeight="1" thickTop="1" x14ac:dyDescent="0.35">
      <c r="C16" s="168" t="s">
        <v>226</v>
      </c>
      <c r="D16" s="167">
        <v>8</v>
      </c>
      <c r="E16" s="166">
        <v>7.54</v>
      </c>
      <c r="G16" s="165"/>
      <c r="H16" s="164"/>
      <c r="I16" s="164"/>
      <c r="J16" s="163"/>
      <c r="L16" s="168" t="s">
        <v>226</v>
      </c>
      <c r="M16" s="167">
        <v>8</v>
      </c>
      <c r="N16" s="166">
        <v>10.79</v>
      </c>
      <c r="O16" s="159"/>
      <c r="Q16" s="158" t="s">
        <v>239</v>
      </c>
      <c r="R16" s="157" t="s">
        <v>257</v>
      </c>
      <c r="S16" s="156">
        <v>3.51</v>
      </c>
    </row>
    <row r="17" spans="3:19" ht="24" customHeight="1" x14ac:dyDescent="0.35">
      <c r="C17" s="168" t="s">
        <v>224</v>
      </c>
      <c r="D17" s="167">
        <v>8</v>
      </c>
      <c r="E17" s="166">
        <v>9.82</v>
      </c>
      <c r="G17" s="165"/>
      <c r="H17" s="164"/>
      <c r="I17" s="164"/>
      <c r="J17" s="163"/>
      <c r="L17" s="168" t="s">
        <v>224</v>
      </c>
      <c r="M17" s="167">
        <v>8</v>
      </c>
      <c r="N17" s="166">
        <v>10.45</v>
      </c>
      <c r="O17" s="159"/>
      <c r="Q17" s="82" t="s">
        <v>239</v>
      </c>
      <c r="R17" s="151" t="s">
        <v>256</v>
      </c>
      <c r="S17" s="150">
        <v>4.5199999999999996</v>
      </c>
    </row>
    <row r="18" spans="3:19" ht="24" customHeight="1" x14ac:dyDescent="0.35">
      <c r="C18" s="168" t="s">
        <v>222</v>
      </c>
      <c r="D18" s="167">
        <v>8</v>
      </c>
      <c r="E18" s="166">
        <v>8.98</v>
      </c>
      <c r="G18" s="165"/>
      <c r="H18" s="164"/>
      <c r="I18" s="164"/>
      <c r="J18" s="163"/>
      <c r="L18" s="168" t="s">
        <v>222</v>
      </c>
      <c r="M18" s="167">
        <v>8</v>
      </c>
      <c r="N18" s="166">
        <v>10.07</v>
      </c>
      <c r="O18" s="159"/>
      <c r="Q18" s="152" t="s">
        <v>239</v>
      </c>
      <c r="R18" s="151" t="s">
        <v>255</v>
      </c>
      <c r="S18" s="150">
        <v>3.49</v>
      </c>
    </row>
    <row r="19" spans="3:19" ht="24" customHeight="1" thickBot="1" x14ac:dyDescent="0.4">
      <c r="C19" s="162" t="s">
        <v>220</v>
      </c>
      <c r="D19" s="161">
        <v>8</v>
      </c>
      <c r="E19" s="160">
        <v>10.199999999999999</v>
      </c>
      <c r="G19" s="165"/>
      <c r="H19" s="164"/>
      <c r="I19" s="164"/>
      <c r="J19" s="163"/>
      <c r="L19" s="162" t="s">
        <v>220</v>
      </c>
      <c r="M19" s="161">
        <v>8</v>
      </c>
      <c r="N19" s="160">
        <v>7.86</v>
      </c>
      <c r="O19" s="159"/>
      <c r="Q19" s="152" t="s">
        <v>239</v>
      </c>
      <c r="R19" s="151" t="s">
        <v>254</v>
      </c>
      <c r="S19" s="150">
        <v>7.1</v>
      </c>
    </row>
    <row r="20" spans="3:19" ht="24" customHeight="1" x14ac:dyDescent="0.35">
      <c r="Q20" s="155" t="s">
        <v>239</v>
      </c>
      <c r="R20" s="154" t="s">
        <v>253</v>
      </c>
      <c r="S20" s="153">
        <v>3.79</v>
      </c>
    </row>
    <row r="21" spans="3:19" ht="24" customHeight="1" x14ac:dyDescent="0.35">
      <c r="Q21" s="82" t="s">
        <v>239</v>
      </c>
      <c r="R21" s="151" t="s">
        <v>252</v>
      </c>
      <c r="S21" s="150">
        <v>6.12</v>
      </c>
    </row>
    <row r="22" spans="3:19" ht="24" customHeight="1" x14ac:dyDescent="0.35">
      <c r="Q22" s="152" t="s">
        <v>239</v>
      </c>
      <c r="R22" s="151" t="s">
        <v>250</v>
      </c>
      <c r="S22" s="150">
        <v>8.15</v>
      </c>
    </row>
    <row r="23" spans="3:19" ht="24" customHeight="1" thickBot="1" x14ac:dyDescent="0.4">
      <c r="Q23" s="149" t="s">
        <v>239</v>
      </c>
      <c r="R23" s="148" t="s">
        <v>249</v>
      </c>
      <c r="S23" s="147">
        <v>2.0499999999999998</v>
      </c>
    </row>
    <row r="24" spans="3:19" ht="24" customHeight="1" thickTop="1" x14ac:dyDescent="0.35">
      <c r="Q24" s="158" t="s">
        <v>248</v>
      </c>
      <c r="R24" s="157" t="s">
        <v>247</v>
      </c>
      <c r="S24" s="156">
        <v>2.2000000000000002</v>
      </c>
    </row>
    <row r="25" spans="3:19" ht="24" customHeight="1" x14ac:dyDescent="0.35">
      <c r="Q25" s="82" t="s">
        <v>248</v>
      </c>
      <c r="R25" s="151" t="s">
        <v>246</v>
      </c>
      <c r="S25" s="150">
        <v>6.25</v>
      </c>
    </row>
    <row r="26" spans="3:19" ht="24" customHeight="1" x14ac:dyDescent="0.35">
      <c r="Q26" s="152" t="s">
        <v>248</v>
      </c>
      <c r="R26" s="151" t="s">
        <v>245</v>
      </c>
      <c r="S26" s="150">
        <v>6.09</v>
      </c>
    </row>
    <row r="27" spans="3:19" ht="24" customHeight="1" x14ac:dyDescent="0.35">
      <c r="Q27" s="152" t="s">
        <v>248</v>
      </c>
      <c r="R27" s="151" t="s">
        <v>244</v>
      </c>
      <c r="S27" s="150">
        <v>3.04</v>
      </c>
    </row>
    <row r="28" spans="3:19" ht="24" customHeight="1" x14ac:dyDescent="0.35">
      <c r="Q28" s="155" t="s">
        <v>248</v>
      </c>
      <c r="R28" s="154" t="s">
        <v>243</v>
      </c>
      <c r="S28" s="153">
        <v>1.98</v>
      </c>
    </row>
    <row r="29" spans="3:19" ht="24" customHeight="1" x14ac:dyDescent="0.35">
      <c r="Q29" s="82" t="s">
        <v>248</v>
      </c>
      <c r="R29" s="151" t="s">
        <v>241</v>
      </c>
      <c r="S29" s="150">
        <v>3.94</v>
      </c>
    </row>
    <row r="30" spans="3:19" ht="24" customHeight="1" x14ac:dyDescent="0.35">
      <c r="Q30" s="152" t="s">
        <v>248</v>
      </c>
      <c r="R30" s="151" t="s">
        <v>240</v>
      </c>
      <c r="S30" s="150">
        <v>5.38</v>
      </c>
    </row>
    <row r="31" spans="3:19" ht="24" customHeight="1" thickBot="1" x14ac:dyDescent="0.4">
      <c r="Q31" s="149" t="s">
        <v>248</v>
      </c>
      <c r="R31" s="148" t="s">
        <v>238</v>
      </c>
      <c r="S31" s="147">
        <v>1.53</v>
      </c>
    </row>
    <row r="32" spans="3:19" ht="24" customHeight="1" thickTop="1" x14ac:dyDescent="0.35">
      <c r="Q32" s="158" t="s">
        <v>239</v>
      </c>
      <c r="R32" s="157" t="s">
        <v>247</v>
      </c>
      <c r="S32" s="156">
        <v>2.16</v>
      </c>
    </row>
    <row r="33" spans="17:19" ht="24" customHeight="1" x14ac:dyDescent="0.35">
      <c r="Q33" s="82" t="s">
        <v>239</v>
      </c>
      <c r="R33" s="151" t="s">
        <v>246</v>
      </c>
      <c r="S33" s="150">
        <v>3.91</v>
      </c>
    </row>
    <row r="34" spans="17:19" ht="24" customHeight="1" x14ac:dyDescent="0.35">
      <c r="Q34" s="152" t="s">
        <v>239</v>
      </c>
      <c r="R34" s="151" t="s">
        <v>245</v>
      </c>
      <c r="S34" s="150">
        <v>2.25</v>
      </c>
    </row>
    <row r="35" spans="17:19" ht="24" customHeight="1" x14ac:dyDescent="0.35">
      <c r="Q35" s="152" t="s">
        <v>239</v>
      </c>
      <c r="R35" s="151" t="s">
        <v>244</v>
      </c>
      <c r="S35" s="150">
        <v>6.26</v>
      </c>
    </row>
    <row r="36" spans="17:19" ht="24" customHeight="1" x14ac:dyDescent="0.35">
      <c r="Q36" s="155" t="s">
        <v>239</v>
      </c>
      <c r="R36" s="154" t="s">
        <v>243</v>
      </c>
      <c r="S36" s="153">
        <v>2.78</v>
      </c>
    </row>
    <row r="37" spans="17:19" ht="24" customHeight="1" x14ac:dyDescent="0.35">
      <c r="Q37" s="82" t="s">
        <v>239</v>
      </c>
      <c r="R37" s="151" t="s">
        <v>241</v>
      </c>
      <c r="S37" s="150">
        <v>5.51</v>
      </c>
    </row>
    <row r="38" spans="17:19" ht="24" customHeight="1" x14ac:dyDescent="0.35">
      <c r="Q38" s="152" t="s">
        <v>239</v>
      </c>
      <c r="R38" s="151" t="s">
        <v>240</v>
      </c>
      <c r="S38" s="150">
        <v>3.5</v>
      </c>
    </row>
    <row r="39" spans="17:19" ht="24" customHeight="1" thickBot="1" x14ac:dyDescent="0.4">
      <c r="Q39" s="149" t="s">
        <v>239</v>
      </c>
      <c r="R39" s="148" t="s">
        <v>238</v>
      </c>
      <c r="S39" s="147">
        <v>1.1399999999999999</v>
      </c>
    </row>
    <row r="40" spans="17:19" ht="15.75" thickTop="1" x14ac:dyDescent="0.25"/>
  </sheetData>
  <mergeCells count="3">
    <mergeCell ref="C7:D7"/>
    <mergeCell ref="G7:H7"/>
    <mergeCell ref="L7:M7"/>
  </mergeCells>
  <printOptions horizontalCentered="1"/>
  <pageMargins left="0.2" right="0.45" top="0.5" bottom="0.5" header="0" footer="0.3"/>
  <pageSetup fitToHeight="2" pageOrder="overThenDown" orientation="portrait" r:id="rId1"/>
  <rowBreaks count="1" manualBreakCount="1">
    <brk id="23" min="16" max="1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453F6-C26B-42E1-BEB8-35181E675F58}">
  <dimension ref="A1:V43"/>
  <sheetViews>
    <sheetView zoomScale="85" zoomScaleNormal="85" zoomScaleSheetLayoutView="100" workbookViewId="0"/>
  </sheetViews>
  <sheetFormatPr defaultRowHeight="20.25" x14ac:dyDescent="0.2"/>
  <cols>
    <col min="1" max="1" width="8.7109375" style="19" customWidth="1"/>
    <col min="2" max="2" width="4.28515625" style="19" customWidth="1"/>
    <col min="3" max="3" width="3.140625" style="19" hidden="1" customWidth="1"/>
    <col min="4" max="4" width="26" style="19" hidden="1" customWidth="1"/>
    <col min="5" max="5" width="19.140625" style="195" customWidth="1"/>
    <col min="6" max="6" width="19.140625" style="19" customWidth="1"/>
    <col min="7" max="7" width="7.28515625" style="19" customWidth="1"/>
    <col min="8" max="8" width="4.28515625" style="19" customWidth="1"/>
    <col min="9" max="9" width="3.140625" style="19" customWidth="1"/>
    <col min="10" max="11" width="9.140625" style="19"/>
    <col min="12" max="12" width="8.7109375" style="19" customWidth="1"/>
    <col min="13" max="13" width="4.28515625" style="19" customWidth="1"/>
    <col min="14" max="14" width="3.140625" style="19" customWidth="1"/>
    <col min="15" max="16" width="19.140625" style="19" customWidth="1"/>
    <col min="17" max="18" width="9.140625" style="19"/>
    <col min="19" max="19" width="6.7109375" style="19" customWidth="1"/>
    <col min="20" max="20" width="9" style="19" customWidth="1"/>
    <col min="21" max="22" width="19.140625" style="19" customWidth="1"/>
    <col min="23" max="16384" width="9.140625" style="19"/>
  </cols>
  <sheetData>
    <row r="1" spans="1:22" x14ac:dyDescent="0.3">
      <c r="A1" s="241">
        <v>2023</v>
      </c>
      <c r="B1" s="240" t="s">
        <v>291</v>
      </c>
      <c r="C1" s="239"/>
      <c r="D1" s="237"/>
      <c r="L1" s="241">
        <v>2023</v>
      </c>
      <c r="M1" s="240" t="s">
        <v>291</v>
      </c>
      <c r="N1" s="239"/>
      <c r="S1" s="241">
        <v>2023</v>
      </c>
      <c r="T1" s="240" t="s">
        <v>291</v>
      </c>
      <c r="U1" s="239"/>
    </row>
    <row r="2" spans="1:22" ht="21" x14ac:dyDescent="0.3">
      <c r="A2" s="234"/>
      <c r="B2" s="240" t="s">
        <v>299</v>
      </c>
      <c r="C2" s="239"/>
      <c r="D2" s="237"/>
      <c r="E2" s="226"/>
      <c r="F2" s="19" t="s">
        <v>300</v>
      </c>
      <c r="L2" s="234"/>
      <c r="M2" s="240" t="s">
        <v>299</v>
      </c>
      <c r="N2" s="239"/>
      <c r="O2" s="237"/>
      <c r="S2" s="234"/>
      <c r="T2" s="240" t="s">
        <v>299</v>
      </c>
      <c r="U2" s="239"/>
    </row>
    <row r="3" spans="1:22" ht="21" x14ac:dyDescent="0.3">
      <c r="A3" s="234"/>
      <c r="B3" s="240"/>
      <c r="C3" s="239"/>
      <c r="D3" s="237"/>
      <c r="E3" s="226"/>
      <c r="F3" s="19" t="s">
        <v>298</v>
      </c>
      <c r="L3" s="234"/>
      <c r="M3" s="240"/>
      <c r="N3" s="239"/>
      <c r="O3" s="237"/>
      <c r="R3" s="234"/>
      <c r="S3" s="240"/>
      <c r="T3" s="239"/>
      <c r="U3" s="238"/>
    </row>
    <row r="4" spans="1:22" ht="21" x14ac:dyDescent="0.3">
      <c r="A4" s="234"/>
      <c r="B4" s="240"/>
      <c r="C4" s="239"/>
      <c r="D4" s="237"/>
      <c r="E4" s="226"/>
      <c r="F4" s="19" t="s">
        <v>297</v>
      </c>
      <c r="L4" s="234"/>
      <c r="M4" s="240"/>
      <c r="N4" s="239"/>
      <c r="O4" s="237"/>
      <c r="R4" s="234"/>
      <c r="S4" s="240"/>
      <c r="T4" s="239"/>
      <c r="U4" s="238"/>
    </row>
    <row r="5" spans="1:22" ht="21" x14ac:dyDescent="0.3">
      <c r="A5" s="234"/>
      <c r="B5" s="240"/>
      <c r="C5" s="239"/>
      <c r="D5" s="237"/>
      <c r="E5" s="226"/>
      <c r="F5" s="19" t="s">
        <v>296</v>
      </c>
      <c r="L5" s="234"/>
      <c r="M5" s="240"/>
      <c r="N5" s="239"/>
      <c r="O5" s="237"/>
      <c r="R5" s="234"/>
      <c r="S5" s="240"/>
      <c r="T5" s="239"/>
      <c r="U5" s="238"/>
      <c r="V5" s="237"/>
    </row>
    <row r="6" spans="1:22" ht="26.25" x14ac:dyDescent="0.3">
      <c r="A6" s="234"/>
      <c r="B6" s="141" t="s">
        <v>276</v>
      </c>
      <c r="D6" s="94"/>
      <c r="E6" s="189"/>
      <c r="F6" s="188" t="s">
        <v>286</v>
      </c>
      <c r="G6" s="144"/>
      <c r="H6" s="144"/>
      <c r="I6" s="144"/>
      <c r="J6" s="145"/>
      <c r="K6" s="186"/>
      <c r="L6" s="129"/>
      <c r="N6" s="135" t="s">
        <v>275</v>
      </c>
      <c r="O6" s="130"/>
      <c r="P6" s="128"/>
      <c r="R6" s="129"/>
      <c r="T6" s="132" t="s">
        <v>274</v>
      </c>
    </row>
    <row r="7" spans="1:22" ht="21" x14ac:dyDescent="0.3">
      <c r="A7" s="234"/>
      <c r="B7" s="125"/>
      <c r="C7" s="124" t="s">
        <v>295</v>
      </c>
      <c r="D7" s="122"/>
      <c r="E7" s="236"/>
      <c r="F7" s="120"/>
      <c r="G7" s="235"/>
      <c r="H7" s="212"/>
      <c r="I7" s="212"/>
      <c r="J7" s="220"/>
      <c r="M7" s="182"/>
      <c r="N7" s="181" t="s">
        <v>295</v>
      </c>
      <c r="O7" s="180"/>
      <c r="P7" s="230"/>
      <c r="Q7" s="212"/>
      <c r="R7" s="212"/>
      <c r="S7" s="229" t="s">
        <v>294</v>
      </c>
      <c r="T7" s="212"/>
      <c r="U7" s="228"/>
      <c r="V7" s="227"/>
    </row>
    <row r="8" spans="1:22" ht="21" x14ac:dyDescent="0.3">
      <c r="A8" s="234"/>
      <c r="B8" s="125"/>
      <c r="C8" s="124"/>
      <c r="D8" s="122"/>
      <c r="E8" s="236"/>
      <c r="F8" s="120"/>
      <c r="G8" s="235"/>
      <c r="H8" s="212"/>
      <c r="I8" s="212"/>
      <c r="J8" s="220"/>
      <c r="M8" s="232"/>
      <c r="N8" s="231"/>
      <c r="O8" s="227"/>
      <c r="P8" s="230"/>
      <c r="Q8" s="212"/>
      <c r="R8" s="212"/>
      <c r="S8" s="229"/>
      <c r="T8" s="212"/>
      <c r="U8" s="228"/>
      <c r="V8" s="227"/>
    </row>
    <row r="9" spans="1:22" ht="21" x14ac:dyDescent="0.3">
      <c r="A9" s="234"/>
      <c r="B9" s="233"/>
      <c r="C9" s="124"/>
      <c r="D9" s="223"/>
      <c r="E9" s="226"/>
      <c r="F9" s="223"/>
      <c r="J9" s="220"/>
      <c r="M9" s="232"/>
      <c r="N9" s="231"/>
      <c r="O9" s="227"/>
      <c r="P9" s="230"/>
      <c r="Q9" s="212"/>
      <c r="R9" s="212"/>
      <c r="S9" s="229"/>
      <c r="T9" s="212"/>
      <c r="U9" s="228"/>
      <c r="V9" s="227"/>
    </row>
    <row r="10" spans="1:22" ht="21" x14ac:dyDescent="0.2">
      <c r="A10" s="223"/>
      <c r="B10" s="225"/>
      <c r="C10" s="223"/>
      <c r="D10" s="223"/>
      <c r="E10" s="226"/>
      <c r="F10" s="223"/>
      <c r="L10" s="223"/>
      <c r="M10" s="225"/>
      <c r="N10" s="223"/>
      <c r="O10" s="223"/>
      <c r="P10" s="223"/>
      <c r="T10" s="225"/>
      <c r="U10" s="224"/>
      <c r="V10" s="223"/>
    </row>
    <row r="11" spans="1:22" s="220" customFormat="1" ht="21" customHeight="1" thickBot="1" x14ac:dyDescent="0.25">
      <c r="B11" s="310" t="s">
        <v>260</v>
      </c>
      <c r="C11" s="310"/>
      <c r="D11" s="177"/>
      <c r="E11" s="221" t="s">
        <v>293</v>
      </c>
      <c r="F11" s="221" t="s">
        <v>292</v>
      </c>
      <c r="G11" s="222"/>
      <c r="H11" s="311"/>
      <c r="I11" s="311"/>
      <c r="M11" s="311" t="s">
        <v>260</v>
      </c>
      <c r="N11" s="311"/>
      <c r="O11" s="221" t="s">
        <v>293</v>
      </c>
      <c r="P11" s="221" t="s">
        <v>292</v>
      </c>
      <c r="S11" s="19"/>
      <c r="T11" s="19"/>
      <c r="U11" s="221" t="s">
        <v>293</v>
      </c>
      <c r="V11" s="221" t="s">
        <v>292</v>
      </c>
    </row>
    <row r="12" spans="1:22" ht="26.1" customHeight="1" x14ac:dyDescent="0.25">
      <c r="B12" s="175" t="s">
        <v>251</v>
      </c>
      <c r="C12" s="174">
        <v>8</v>
      </c>
      <c r="D12" s="174">
        <v>8</v>
      </c>
      <c r="E12" s="219">
        <v>1.5449999999999999</v>
      </c>
      <c r="F12" s="218">
        <v>3.415</v>
      </c>
      <c r="G12" s="213"/>
      <c r="H12" s="165"/>
      <c r="I12" s="216"/>
      <c r="L12" s="212"/>
      <c r="M12" s="175" t="s">
        <v>251</v>
      </c>
      <c r="N12" s="174">
        <v>8</v>
      </c>
      <c r="O12" s="219">
        <v>2.4649999999999999</v>
      </c>
      <c r="P12" s="218">
        <v>4.55</v>
      </c>
      <c r="S12" s="209" t="s">
        <v>248</v>
      </c>
      <c r="T12" s="157" t="s">
        <v>257</v>
      </c>
      <c r="U12" s="208">
        <v>0.58499999999999996</v>
      </c>
      <c r="V12" s="207">
        <v>2.13</v>
      </c>
    </row>
    <row r="13" spans="1:22" ht="26.1" customHeight="1" x14ac:dyDescent="0.25">
      <c r="B13" s="172" t="s">
        <v>242</v>
      </c>
      <c r="C13" s="171">
        <v>8</v>
      </c>
      <c r="D13" s="171">
        <v>8</v>
      </c>
      <c r="E13" s="215">
        <v>2.6949999999999998</v>
      </c>
      <c r="F13" s="214">
        <v>4.6050000000000004</v>
      </c>
      <c r="G13" s="213"/>
      <c r="H13" s="217"/>
      <c r="I13" s="216"/>
      <c r="L13" s="212"/>
      <c r="M13" s="172" t="s">
        <v>242</v>
      </c>
      <c r="N13" s="171">
        <v>8</v>
      </c>
      <c r="O13" s="215">
        <v>3.58</v>
      </c>
      <c r="P13" s="214">
        <v>5.82</v>
      </c>
      <c r="S13" s="203" t="s">
        <v>248</v>
      </c>
      <c r="T13" s="151" t="s">
        <v>256</v>
      </c>
      <c r="U13" s="201">
        <v>1.0249999999999999</v>
      </c>
      <c r="V13" s="200">
        <v>2.758</v>
      </c>
    </row>
    <row r="14" spans="1:22" ht="26.1" customHeight="1" x14ac:dyDescent="0.25">
      <c r="B14" s="168" t="s">
        <v>236</v>
      </c>
      <c r="C14" s="167">
        <v>8</v>
      </c>
      <c r="D14" s="167">
        <v>8</v>
      </c>
      <c r="E14" s="215">
        <v>3.11</v>
      </c>
      <c r="F14" s="214">
        <v>5.1749999999999998</v>
      </c>
      <c r="G14" s="213"/>
      <c r="H14" s="165"/>
      <c r="I14" s="164"/>
      <c r="L14" s="212"/>
      <c r="M14" s="168" t="s">
        <v>236</v>
      </c>
      <c r="N14" s="167">
        <v>8</v>
      </c>
      <c r="O14" s="215">
        <v>3.5449999999999999</v>
      </c>
      <c r="P14" s="214">
        <v>5.7850000000000001</v>
      </c>
      <c r="S14" s="202" t="s">
        <v>248</v>
      </c>
      <c r="T14" s="151" t="s">
        <v>255</v>
      </c>
      <c r="U14" s="206">
        <v>0.995</v>
      </c>
      <c r="V14" s="205">
        <v>2.83</v>
      </c>
    </row>
    <row r="15" spans="1:22" ht="26.1" customHeight="1" x14ac:dyDescent="0.25">
      <c r="B15" s="168" t="s">
        <v>235</v>
      </c>
      <c r="C15" s="167">
        <v>8</v>
      </c>
      <c r="D15" s="167">
        <v>8</v>
      </c>
      <c r="E15" s="215">
        <v>2.71</v>
      </c>
      <c r="F15" s="214">
        <v>4.7750000000000004</v>
      </c>
      <c r="G15" s="213"/>
      <c r="H15" s="165"/>
      <c r="I15" s="164"/>
      <c r="L15" s="212"/>
      <c r="M15" s="168" t="s">
        <v>235</v>
      </c>
      <c r="N15" s="167">
        <v>8</v>
      </c>
      <c r="O15" s="215">
        <v>3.35</v>
      </c>
      <c r="P15" s="214">
        <v>5.6150000000000002</v>
      </c>
      <c r="S15" s="202" t="s">
        <v>248</v>
      </c>
      <c r="T15" s="151" t="s">
        <v>254</v>
      </c>
      <c r="U15" s="206">
        <v>0.97</v>
      </c>
      <c r="V15" s="205">
        <v>2.6850000000000001</v>
      </c>
    </row>
    <row r="16" spans="1:22" ht="26.1" customHeight="1" x14ac:dyDescent="0.25">
      <c r="B16" s="168" t="s">
        <v>234</v>
      </c>
      <c r="C16" s="167">
        <v>8</v>
      </c>
      <c r="D16" s="167">
        <v>8</v>
      </c>
      <c r="E16" s="215">
        <v>3.51</v>
      </c>
      <c r="F16" s="214">
        <v>5.7450000000000001</v>
      </c>
      <c r="G16" s="213"/>
      <c r="H16" s="165"/>
      <c r="I16" s="164"/>
      <c r="L16" s="212"/>
      <c r="M16" s="168" t="s">
        <v>234</v>
      </c>
      <c r="N16" s="167">
        <v>8</v>
      </c>
      <c r="O16" s="215">
        <v>4.17</v>
      </c>
      <c r="P16" s="214">
        <v>6.5750000000000002</v>
      </c>
      <c r="S16" s="204" t="s">
        <v>248</v>
      </c>
      <c r="T16" s="154" t="s">
        <v>253</v>
      </c>
      <c r="U16" s="201">
        <v>0.69</v>
      </c>
      <c r="V16" s="200">
        <v>2.2549999999999999</v>
      </c>
    </row>
    <row r="17" spans="2:22" ht="26.1" customHeight="1" x14ac:dyDescent="0.25">
      <c r="B17" s="168" t="s">
        <v>230</v>
      </c>
      <c r="C17" s="167">
        <v>8</v>
      </c>
      <c r="D17" s="167">
        <v>8</v>
      </c>
      <c r="E17" s="215">
        <v>3.1</v>
      </c>
      <c r="F17" s="214">
        <v>5.2850000000000001</v>
      </c>
      <c r="G17" s="213"/>
      <c r="H17" s="165"/>
      <c r="I17" s="164"/>
      <c r="L17" s="212"/>
      <c r="M17" s="168" t="s">
        <v>230</v>
      </c>
      <c r="N17" s="167">
        <v>8</v>
      </c>
      <c r="O17" s="215">
        <v>3.6</v>
      </c>
      <c r="P17" s="214">
        <v>6.01</v>
      </c>
      <c r="S17" s="203" t="s">
        <v>248</v>
      </c>
      <c r="T17" s="151" t="s">
        <v>252</v>
      </c>
      <c r="U17" s="201">
        <v>0.93500000000000005</v>
      </c>
      <c r="V17" s="200">
        <v>2.6549999999999998</v>
      </c>
    </row>
    <row r="18" spans="2:22" ht="26.1" customHeight="1" x14ac:dyDescent="0.25">
      <c r="B18" s="168" t="s">
        <v>228</v>
      </c>
      <c r="C18" s="167">
        <v>8</v>
      </c>
      <c r="D18" s="167">
        <v>8</v>
      </c>
      <c r="E18" s="215">
        <v>2.9249999999999998</v>
      </c>
      <c r="F18" s="214">
        <v>5.15</v>
      </c>
      <c r="G18" s="213"/>
      <c r="H18" s="165"/>
      <c r="I18" s="164"/>
      <c r="L18" s="212"/>
      <c r="M18" s="168" t="s">
        <v>228</v>
      </c>
      <c r="N18" s="167">
        <v>8</v>
      </c>
      <c r="O18" s="215">
        <v>3.875</v>
      </c>
      <c r="P18" s="214">
        <v>6.27</v>
      </c>
      <c r="S18" s="202" t="s">
        <v>248</v>
      </c>
      <c r="T18" s="151" t="s">
        <v>250</v>
      </c>
      <c r="U18" s="201">
        <v>1.17</v>
      </c>
      <c r="V18" s="200">
        <v>3.02</v>
      </c>
    </row>
    <row r="19" spans="2:22" ht="26.1" customHeight="1" thickBot="1" x14ac:dyDescent="0.3">
      <c r="B19" s="168" t="s">
        <v>227</v>
      </c>
      <c r="C19" s="167">
        <v>8</v>
      </c>
      <c r="D19" s="167">
        <v>8</v>
      </c>
      <c r="E19" s="215">
        <v>3.8450000000000002</v>
      </c>
      <c r="F19" s="214">
        <v>6.375</v>
      </c>
      <c r="G19" s="213"/>
      <c r="H19" s="165"/>
      <c r="I19" s="164"/>
      <c r="L19" s="212"/>
      <c r="M19" s="168" t="s">
        <v>227</v>
      </c>
      <c r="N19" s="167">
        <v>8</v>
      </c>
      <c r="O19" s="215">
        <v>3.67</v>
      </c>
      <c r="P19" s="214">
        <v>5.98</v>
      </c>
      <c r="S19" s="199" t="s">
        <v>248</v>
      </c>
      <c r="T19" s="198" t="s">
        <v>249</v>
      </c>
      <c r="U19" s="197">
        <v>0.46500000000000002</v>
      </c>
      <c r="V19" s="196">
        <v>1.9750000000000001</v>
      </c>
    </row>
    <row r="20" spans="2:22" ht="26.1" customHeight="1" x14ac:dyDescent="0.25">
      <c r="B20" s="168" t="s">
        <v>226</v>
      </c>
      <c r="C20" s="167">
        <v>8</v>
      </c>
      <c r="D20" s="167">
        <v>8</v>
      </c>
      <c r="E20" s="215">
        <v>3.0449999999999999</v>
      </c>
      <c r="F20" s="214">
        <v>5.1449999999999996</v>
      </c>
      <c r="G20" s="213"/>
      <c r="H20" s="165"/>
      <c r="I20" s="164"/>
      <c r="L20" s="212"/>
      <c r="M20" s="168" t="s">
        <v>226</v>
      </c>
      <c r="N20" s="167">
        <v>8</v>
      </c>
      <c r="O20" s="215">
        <v>4.25</v>
      </c>
      <c r="P20" s="214">
        <v>6.7</v>
      </c>
      <c r="S20" s="209" t="s">
        <v>239</v>
      </c>
      <c r="T20" s="157" t="s">
        <v>257</v>
      </c>
      <c r="U20" s="208">
        <v>1.41</v>
      </c>
      <c r="V20" s="207">
        <v>3.1549999999999998</v>
      </c>
    </row>
    <row r="21" spans="2:22" ht="26.1" customHeight="1" x14ac:dyDescent="0.25">
      <c r="B21" s="168" t="s">
        <v>224</v>
      </c>
      <c r="C21" s="167">
        <v>8</v>
      </c>
      <c r="D21" s="167">
        <v>8</v>
      </c>
      <c r="E21" s="215">
        <v>3.86</v>
      </c>
      <c r="F21" s="214">
        <v>6.2249999999999996</v>
      </c>
      <c r="G21" s="213"/>
      <c r="H21" s="165"/>
      <c r="I21" s="164"/>
      <c r="L21" s="212"/>
      <c r="M21" s="168" t="s">
        <v>224</v>
      </c>
      <c r="N21" s="167">
        <v>8</v>
      </c>
      <c r="O21" s="215">
        <v>4.05</v>
      </c>
      <c r="P21" s="214">
        <v>6.4950000000000001</v>
      </c>
      <c r="S21" s="203" t="s">
        <v>239</v>
      </c>
      <c r="T21" s="151" t="s">
        <v>256</v>
      </c>
      <c r="U21" s="201">
        <v>1.8049999999999999</v>
      </c>
      <c r="V21" s="200">
        <v>3.73</v>
      </c>
    </row>
    <row r="22" spans="2:22" ht="26.1" customHeight="1" x14ac:dyDescent="0.25">
      <c r="B22" s="168" t="s">
        <v>222</v>
      </c>
      <c r="C22" s="167">
        <v>8</v>
      </c>
      <c r="D22" s="167">
        <v>8</v>
      </c>
      <c r="E22" s="215">
        <v>3.5049999999999999</v>
      </c>
      <c r="F22" s="214">
        <v>5.76</v>
      </c>
      <c r="G22" s="213"/>
      <c r="H22" s="165"/>
      <c r="I22" s="164"/>
      <c r="L22" s="212"/>
      <c r="M22" s="168" t="s">
        <v>222</v>
      </c>
      <c r="N22" s="167">
        <v>8</v>
      </c>
      <c r="O22" s="215">
        <v>3.9</v>
      </c>
      <c r="P22" s="214">
        <v>6.53</v>
      </c>
      <c r="S22" s="202" t="s">
        <v>239</v>
      </c>
      <c r="T22" s="151" t="s">
        <v>255</v>
      </c>
      <c r="U22" s="206">
        <v>1.4550000000000001</v>
      </c>
      <c r="V22" s="205">
        <v>3.1949999999999998</v>
      </c>
    </row>
    <row r="23" spans="2:22" ht="25.9" customHeight="1" thickBot="1" x14ac:dyDescent="0.3">
      <c r="B23" s="162" t="s">
        <v>220</v>
      </c>
      <c r="C23" s="161">
        <v>8</v>
      </c>
      <c r="D23" s="161">
        <v>8</v>
      </c>
      <c r="E23" s="211">
        <v>3.96</v>
      </c>
      <c r="F23" s="210">
        <v>6.49</v>
      </c>
      <c r="G23" s="213"/>
      <c r="H23" s="165"/>
      <c r="I23" s="164"/>
      <c r="L23" s="212"/>
      <c r="M23" s="162" t="s">
        <v>220</v>
      </c>
      <c r="N23" s="161">
        <v>8</v>
      </c>
      <c r="O23" s="211">
        <v>3.1150000000000002</v>
      </c>
      <c r="P23" s="210">
        <v>5.41</v>
      </c>
      <c r="S23" s="202" t="s">
        <v>239</v>
      </c>
      <c r="T23" s="151" t="s">
        <v>254</v>
      </c>
      <c r="U23" s="206">
        <v>2.77</v>
      </c>
      <c r="V23" s="205">
        <v>5</v>
      </c>
    </row>
    <row r="24" spans="2:22" ht="25.9" customHeight="1" x14ac:dyDescent="0.25">
      <c r="S24" s="204" t="s">
        <v>239</v>
      </c>
      <c r="T24" s="154" t="s">
        <v>253</v>
      </c>
      <c r="U24" s="201">
        <v>1.53</v>
      </c>
      <c r="V24" s="200">
        <v>3.3</v>
      </c>
    </row>
    <row r="25" spans="2:22" ht="24.95" customHeight="1" x14ac:dyDescent="0.25">
      <c r="S25" s="203" t="s">
        <v>239</v>
      </c>
      <c r="T25" s="151" t="s">
        <v>252</v>
      </c>
      <c r="U25" s="201">
        <v>2.3450000000000002</v>
      </c>
      <c r="V25" s="200">
        <v>4.5</v>
      </c>
    </row>
    <row r="26" spans="2:22" ht="24.95" customHeight="1" x14ac:dyDescent="0.25">
      <c r="S26" s="202" t="s">
        <v>239</v>
      </c>
      <c r="T26" s="151" t="s">
        <v>250</v>
      </c>
      <c r="U26" s="201">
        <v>3.11</v>
      </c>
      <c r="V26" s="200">
        <v>5.4850000000000003</v>
      </c>
    </row>
    <row r="27" spans="2:22" ht="24.95" customHeight="1" thickBot="1" x14ac:dyDescent="0.3">
      <c r="S27" s="199" t="s">
        <v>239</v>
      </c>
      <c r="T27" s="198" t="s">
        <v>249</v>
      </c>
      <c r="U27" s="197">
        <v>0.91</v>
      </c>
      <c r="V27" s="196">
        <v>2.4849999999999999</v>
      </c>
    </row>
    <row r="28" spans="2:22" ht="24.95" customHeight="1" x14ac:dyDescent="0.25">
      <c r="S28" s="209" t="s">
        <v>248</v>
      </c>
      <c r="T28" s="157" t="s">
        <v>247</v>
      </c>
      <c r="U28" s="208">
        <v>1.02</v>
      </c>
      <c r="V28" s="207">
        <v>2.72</v>
      </c>
    </row>
    <row r="29" spans="2:22" ht="24.95" customHeight="1" x14ac:dyDescent="0.25">
      <c r="S29" s="203" t="s">
        <v>248</v>
      </c>
      <c r="T29" s="151" t="s">
        <v>246</v>
      </c>
      <c r="U29" s="201">
        <v>2.48</v>
      </c>
      <c r="V29" s="200">
        <v>4.5449999999999999</v>
      </c>
    </row>
    <row r="30" spans="2:22" ht="24.95" customHeight="1" x14ac:dyDescent="0.25">
      <c r="S30" s="202" t="s">
        <v>248</v>
      </c>
      <c r="T30" s="151" t="s">
        <v>245</v>
      </c>
      <c r="U30" s="206">
        <v>2.39</v>
      </c>
      <c r="V30" s="205">
        <v>4.4749999999999996</v>
      </c>
    </row>
    <row r="31" spans="2:22" ht="24.95" customHeight="1" x14ac:dyDescent="0.25">
      <c r="S31" s="202" t="s">
        <v>248</v>
      </c>
      <c r="T31" s="151" t="s">
        <v>244</v>
      </c>
      <c r="U31" s="206">
        <v>1.3049999999999999</v>
      </c>
      <c r="V31" s="205">
        <v>2.99</v>
      </c>
    </row>
    <row r="32" spans="2:22" ht="24.95" customHeight="1" x14ac:dyDescent="0.25">
      <c r="S32" s="204" t="s">
        <v>248</v>
      </c>
      <c r="T32" s="154" t="s">
        <v>243</v>
      </c>
      <c r="U32" s="201">
        <v>0.92500000000000004</v>
      </c>
      <c r="V32" s="200">
        <v>2.5249999999999999</v>
      </c>
    </row>
    <row r="33" spans="19:22" ht="24.95" customHeight="1" x14ac:dyDescent="0.25">
      <c r="S33" s="203" t="s">
        <v>248</v>
      </c>
      <c r="T33" s="151" t="s">
        <v>241</v>
      </c>
      <c r="U33" s="201">
        <v>1.595</v>
      </c>
      <c r="V33" s="200">
        <v>3.5</v>
      </c>
    </row>
    <row r="34" spans="19:22" ht="24.95" customHeight="1" x14ac:dyDescent="0.25">
      <c r="S34" s="202" t="s">
        <v>248</v>
      </c>
      <c r="T34" s="151" t="s">
        <v>240</v>
      </c>
      <c r="U34" s="201">
        <v>2.125</v>
      </c>
      <c r="V34" s="200">
        <v>4.1449999999999996</v>
      </c>
    </row>
    <row r="35" spans="19:22" ht="24.95" customHeight="1" thickBot="1" x14ac:dyDescent="0.3">
      <c r="S35" s="199" t="s">
        <v>248</v>
      </c>
      <c r="T35" s="198" t="s">
        <v>238</v>
      </c>
      <c r="U35" s="197">
        <v>0.71</v>
      </c>
      <c r="V35" s="196">
        <v>2.3050000000000002</v>
      </c>
    </row>
    <row r="36" spans="19:22" ht="24.95" customHeight="1" x14ac:dyDescent="0.25">
      <c r="S36" s="209" t="s">
        <v>239</v>
      </c>
      <c r="T36" s="157" t="s">
        <v>247</v>
      </c>
      <c r="U36" s="208">
        <v>0.99</v>
      </c>
      <c r="V36" s="207">
        <v>2.585</v>
      </c>
    </row>
    <row r="37" spans="19:22" ht="24.95" customHeight="1" x14ac:dyDescent="0.25">
      <c r="S37" s="203" t="s">
        <v>239</v>
      </c>
      <c r="T37" s="151" t="s">
        <v>246</v>
      </c>
      <c r="U37" s="201">
        <v>1.59</v>
      </c>
      <c r="V37" s="200">
        <v>3.47</v>
      </c>
    </row>
    <row r="38" spans="19:22" ht="24.95" customHeight="1" x14ac:dyDescent="0.25">
      <c r="S38" s="202" t="s">
        <v>239</v>
      </c>
      <c r="T38" s="151" t="s">
        <v>245</v>
      </c>
      <c r="U38" s="206">
        <v>1.05</v>
      </c>
      <c r="V38" s="205">
        <v>2.62</v>
      </c>
    </row>
    <row r="39" spans="19:22" ht="24.95" customHeight="1" x14ac:dyDescent="0.25">
      <c r="S39" s="202" t="s">
        <v>239</v>
      </c>
      <c r="T39" s="151" t="s">
        <v>244</v>
      </c>
      <c r="U39" s="206">
        <v>2.5099999999999998</v>
      </c>
      <c r="V39" s="205">
        <v>4.6749999999999998</v>
      </c>
    </row>
    <row r="40" spans="19:22" ht="24.95" customHeight="1" x14ac:dyDescent="0.25">
      <c r="S40" s="204" t="s">
        <v>239</v>
      </c>
      <c r="T40" s="154" t="s">
        <v>243</v>
      </c>
      <c r="U40" s="201">
        <v>1.1950000000000001</v>
      </c>
      <c r="V40" s="200">
        <v>2.915</v>
      </c>
    </row>
    <row r="41" spans="19:22" ht="24.95" customHeight="1" x14ac:dyDescent="0.25">
      <c r="S41" s="203" t="s">
        <v>239</v>
      </c>
      <c r="T41" s="151" t="s">
        <v>241</v>
      </c>
      <c r="U41" s="201">
        <v>2.2200000000000002</v>
      </c>
      <c r="V41" s="200">
        <v>4.2750000000000004</v>
      </c>
    </row>
    <row r="42" spans="19:22" ht="24.95" customHeight="1" x14ac:dyDescent="0.25">
      <c r="S42" s="202" t="s">
        <v>239</v>
      </c>
      <c r="T42" s="151" t="s">
        <v>240</v>
      </c>
      <c r="U42" s="201">
        <v>1.405</v>
      </c>
      <c r="V42" s="200">
        <v>3.3050000000000002</v>
      </c>
    </row>
    <row r="43" spans="19:22" ht="24.95" customHeight="1" thickBot="1" x14ac:dyDescent="0.3">
      <c r="S43" s="199" t="s">
        <v>239</v>
      </c>
      <c r="T43" s="198" t="s">
        <v>238</v>
      </c>
      <c r="U43" s="197">
        <v>0.59</v>
      </c>
      <c r="V43" s="196">
        <v>2.13</v>
      </c>
    </row>
  </sheetData>
  <mergeCells count="3">
    <mergeCell ref="M11:N11"/>
    <mergeCell ref="B11:C11"/>
    <mergeCell ref="H11:I11"/>
  </mergeCells>
  <printOptions horizontalCentered="1"/>
  <pageMargins left="0.2" right="0.45" top="0.5" bottom="0.5" header="0" footer="0.3"/>
  <pageSetup fitToHeight="2" pageOrder="overThenDown" orientation="portrait" r:id="rId1"/>
  <rowBreaks count="1" manualBreakCount="1">
    <brk id="27" min="18" max="21"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7147D-CC71-4291-9AAD-14017CCF8B1D}">
  <dimension ref="A1:AA51"/>
  <sheetViews>
    <sheetView zoomScaleNormal="100" zoomScaleSheetLayoutView="85" workbookViewId="0">
      <selection activeCell="Z47" sqref="Z47"/>
    </sheetView>
  </sheetViews>
  <sheetFormatPr defaultRowHeight="14.25" x14ac:dyDescent="0.2"/>
  <cols>
    <col min="1" max="1" width="8.7109375" style="19" customWidth="1"/>
    <col min="2" max="3" width="4.28515625" style="19" customWidth="1"/>
    <col min="4" max="4" width="17.5703125" style="114" customWidth="1"/>
    <col min="5" max="5" width="16.85546875" style="114" customWidth="1"/>
    <col min="6" max="6" width="12.28515625" style="114" customWidth="1"/>
    <col min="7" max="7" width="14" style="114" customWidth="1"/>
    <col min="8" max="9" width="12.85546875" style="114" customWidth="1"/>
    <col min="10" max="11" width="4.28515625" style="19" customWidth="1"/>
    <col min="12" max="12" width="17.5703125" style="114" customWidth="1"/>
    <col min="13" max="13" width="16.85546875" style="114" customWidth="1"/>
    <col min="14" max="14" width="12.28515625" style="114" customWidth="1"/>
    <col min="15" max="15" width="14" style="114" customWidth="1"/>
    <col min="16" max="16" width="12.85546875" style="114" customWidth="1"/>
    <col min="17" max="17" width="14" style="19" customWidth="1"/>
    <col min="18" max="18" width="12.85546875" style="19" customWidth="1"/>
    <col min="19" max="20" width="9.140625" style="19"/>
    <col min="21" max="21" width="4.28515625" style="19" customWidth="1"/>
    <col min="22" max="22" width="10.5703125" style="19" customWidth="1"/>
    <col min="23" max="23" width="17.5703125" style="114" customWidth="1"/>
    <col min="24" max="24" width="16.85546875" style="114" customWidth="1"/>
    <col min="25" max="25" width="12.28515625" style="114" customWidth="1"/>
    <col min="26" max="26" width="14" style="114" customWidth="1"/>
    <col min="27" max="27" width="12.85546875" style="114" customWidth="1"/>
    <col min="28" max="16384" width="9.140625" style="19"/>
  </cols>
  <sheetData>
    <row r="1" spans="1:27" ht="18.75" x14ac:dyDescent="0.3">
      <c r="A1" s="241">
        <v>2023</v>
      </c>
      <c r="B1" s="240" t="s">
        <v>321</v>
      </c>
      <c r="C1" s="237"/>
      <c r="D1" s="303"/>
      <c r="E1" s="303"/>
      <c r="F1" s="303"/>
      <c r="G1" s="303"/>
      <c r="H1" s="303"/>
      <c r="I1" s="303"/>
      <c r="J1" s="240"/>
      <c r="K1" s="237"/>
      <c r="L1" s="303"/>
      <c r="M1" s="303"/>
      <c r="N1" s="303"/>
      <c r="O1" s="303"/>
      <c r="P1" s="303"/>
      <c r="V1" s="305">
        <v>2023</v>
      </c>
      <c r="W1" s="240" t="s">
        <v>321</v>
      </c>
      <c r="X1" s="303"/>
      <c r="Y1" s="303"/>
      <c r="Z1" s="303"/>
      <c r="AA1" s="303"/>
    </row>
    <row r="2" spans="1:27" ht="18.75" x14ac:dyDescent="0.3">
      <c r="A2" s="304"/>
      <c r="B2" s="240" t="s">
        <v>320</v>
      </c>
      <c r="C2" s="237"/>
      <c r="D2" s="303"/>
      <c r="E2" s="303"/>
      <c r="F2" s="303"/>
      <c r="G2" s="303"/>
      <c r="H2" s="303"/>
      <c r="I2" s="303"/>
      <c r="J2" s="240"/>
      <c r="K2" s="237"/>
      <c r="L2" s="303"/>
      <c r="M2" s="303"/>
      <c r="N2" s="303"/>
      <c r="O2" s="303"/>
      <c r="P2" s="303"/>
      <c r="U2" s="304"/>
      <c r="V2" s="240" t="s">
        <v>320</v>
      </c>
      <c r="W2" s="303"/>
      <c r="X2" s="303"/>
      <c r="Y2" s="303"/>
      <c r="Z2" s="303"/>
      <c r="AA2" s="303"/>
    </row>
    <row r="3" spans="1:27" ht="15.6" customHeight="1" x14ac:dyDescent="0.3">
      <c r="A3" s="234"/>
      <c r="B3" s="239"/>
      <c r="C3" s="237"/>
      <c r="D3" s="303"/>
      <c r="E3" s="303"/>
      <c r="F3" s="303"/>
      <c r="G3" s="303"/>
      <c r="H3" s="303"/>
      <c r="I3" s="303"/>
      <c r="J3" s="239"/>
      <c r="K3" s="237"/>
      <c r="L3" s="303"/>
      <c r="M3" s="303"/>
      <c r="N3" s="303"/>
      <c r="O3" s="303"/>
      <c r="P3" s="303"/>
      <c r="U3" s="234"/>
      <c r="V3" s="239"/>
      <c r="W3" s="303"/>
      <c r="X3" s="303"/>
      <c r="Y3" s="303"/>
      <c r="Z3" s="303"/>
      <c r="AA3" s="303"/>
    </row>
    <row r="4" spans="1:27" ht="18.75" x14ac:dyDescent="0.3">
      <c r="A4" s="234"/>
      <c r="B4" s="240" t="s">
        <v>319</v>
      </c>
      <c r="C4" s="237"/>
      <c r="D4" s="303"/>
      <c r="E4" s="303"/>
      <c r="F4" s="303"/>
      <c r="G4" s="303"/>
      <c r="H4" s="303"/>
      <c r="I4" s="303"/>
      <c r="J4" s="240"/>
      <c r="K4" s="237"/>
      <c r="L4" s="303"/>
      <c r="M4" s="303"/>
      <c r="N4" s="303"/>
      <c r="O4" s="303"/>
      <c r="P4" s="303"/>
      <c r="U4" s="234"/>
      <c r="V4" s="240" t="s">
        <v>319</v>
      </c>
      <c r="W4" s="303"/>
      <c r="X4" s="303"/>
      <c r="Y4" s="303"/>
      <c r="Z4" s="303"/>
      <c r="AA4" s="303"/>
    </row>
    <row r="5" spans="1:27" ht="7.9" customHeight="1" x14ac:dyDescent="0.25">
      <c r="A5" s="276"/>
      <c r="B5" s="237"/>
      <c r="C5" s="223"/>
      <c r="D5" s="303"/>
      <c r="E5" s="303"/>
      <c r="F5" s="303"/>
      <c r="G5" s="303"/>
      <c r="H5" s="303"/>
      <c r="I5" s="303"/>
      <c r="J5" s="237"/>
      <c r="K5" s="223"/>
      <c r="L5" s="303"/>
      <c r="M5" s="303"/>
      <c r="N5" s="303"/>
      <c r="O5" s="303"/>
      <c r="P5" s="303"/>
      <c r="U5" s="276"/>
      <c r="V5" s="237"/>
      <c r="W5" s="303"/>
      <c r="X5" s="303"/>
      <c r="Y5" s="303"/>
      <c r="Z5" s="303"/>
      <c r="AA5" s="303"/>
    </row>
    <row r="6" spans="1:27" ht="15" x14ac:dyDescent="0.25">
      <c r="A6" s="223" t="s">
        <v>318</v>
      </c>
      <c r="B6" s="223"/>
      <c r="C6" s="223"/>
      <c r="D6" s="301"/>
      <c r="E6" s="301"/>
      <c r="F6" s="301"/>
      <c r="G6" s="303"/>
      <c r="J6" s="223"/>
      <c r="K6" s="223"/>
      <c r="L6" s="301"/>
      <c r="M6" s="301"/>
      <c r="N6" s="301"/>
      <c r="O6" s="303"/>
      <c r="U6" s="223" t="s">
        <v>318</v>
      </c>
      <c r="V6" s="223"/>
      <c r="W6" s="301"/>
      <c r="X6" s="301"/>
      <c r="Y6" s="301"/>
      <c r="Z6" s="303"/>
    </row>
    <row r="7" spans="1:27" ht="15" x14ac:dyDescent="0.25">
      <c r="A7" s="223" t="s">
        <v>317</v>
      </c>
      <c r="B7" s="223"/>
      <c r="C7" s="223"/>
      <c r="D7" s="301"/>
      <c r="E7" s="301"/>
      <c r="F7" s="301"/>
      <c r="G7" s="303"/>
      <c r="J7" s="223"/>
      <c r="K7" s="223"/>
      <c r="L7" s="301"/>
      <c r="M7" s="301"/>
      <c r="N7" s="301"/>
      <c r="O7" s="303"/>
      <c r="U7" s="223" t="s">
        <v>316</v>
      </c>
      <c r="V7" s="223"/>
      <c r="W7" s="301"/>
      <c r="X7" s="301"/>
      <c r="Y7" s="301"/>
      <c r="Z7" s="303"/>
    </row>
    <row r="8" spans="1:27" ht="15" x14ac:dyDescent="0.25">
      <c r="A8" s="223"/>
      <c r="B8" s="223" t="s">
        <v>315</v>
      </c>
      <c r="C8" s="223"/>
      <c r="D8" s="301"/>
      <c r="E8" s="301"/>
      <c r="F8" s="301"/>
      <c r="G8" s="303"/>
      <c r="J8" s="223"/>
      <c r="K8" s="223"/>
      <c r="L8" s="301"/>
      <c r="M8" s="301"/>
      <c r="N8" s="301"/>
      <c r="O8" s="303"/>
      <c r="U8" s="223"/>
      <c r="V8" s="223" t="s">
        <v>315</v>
      </c>
      <c r="W8" s="301"/>
      <c r="X8" s="301"/>
      <c r="Y8" s="301"/>
      <c r="Z8" s="303"/>
    </row>
    <row r="9" spans="1:27" ht="15" x14ac:dyDescent="0.25">
      <c r="A9" s="223" t="s">
        <v>314</v>
      </c>
      <c r="B9" s="223"/>
      <c r="C9" s="223"/>
      <c r="D9" s="301"/>
      <c r="E9" s="301"/>
      <c r="F9" s="301"/>
      <c r="G9" s="303"/>
      <c r="J9" s="223"/>
      <c r="K9" s="223"/>
      <c r="L9" s="301"/>
      <c r="M9" s="301"/>
      <c r="N9" s="301"/>
      <c r="O9" s="303"/>
      <c r="U9" s="223"/>
      <c r="V9" s="223"/>
      <c r="W9" s="301"/>
      <c r="X9" s="301"/>
      <c r="Y9" s="301"/>
      <c r="Z9" s="303"/>
    </row>
    <row r="10" spans="1:27" ht="15" x14ac:dyDescent="0.25">
      <c r="A10" s="223" t="s">
        <v>313</v>
      </c>
      <c r="B10" s="225"/>
      <c r="C10" s="223"/>
      <c r="D10" s="301"/>
      <c r="E10" s="301"/>
      <c r="F10" s="301"/>
      <c r="G10" s="301"/>
      <c r="H10" s="303"/>
      <c r="I10" s="303"/>
      <c r="J10" s="225"/>
      <c r="K10" s="223"/>
      <c r="L10" s="301"/>
      <c r="M10" s="301"/>
      <c r="N10" s="301"/>
      <c r="O10" s="301"/>
      <c r="P10" s="303"/>
      <c r="U10" s="223" t="s">
        <v>313</v>
      </c>
      <c r="V10" s="225"/>
      <c r="W10" s="301"/>
      <c r="X10" s="301"/>
      <c r="Y10" s="301"/>
      <c r="Z10" s="301"/>
      <c r="AA10" s="303"/>
    </row>
    <row r="11" spans="1:27" x14ac:dyDescent="0.2">
      <c r="A11" s="295"/>
      <c r="B11" s="223"/>
      <c r="C11" s="223"/>
      <c r="D11" s="301"/>
      <c r="E11" s="301"/>
      <c r="F11" s="301"/>
      <c r="G11" s="301"/>
      <c r="H11" s="301"/>
      <c r="I11" s="301"/>
      <c r="J11" s="223"/>
      <c r="K11" s="223"/>
      <c r="L11" s="301"/>
      <c r="M11" s="301"/>
      <c r="N11" s="301"/>
      <c r="O11" s="301"/>
      <c r="P11" s="301"/>
      <c r="U11" s="295"/>
      <c r="V11" s="223"/>
      <c r="W11" s="301"/>
      <c r="X11" s="301"/>
      <c r="Y11" s="301"/>
      <c r="Z11" s="301"/>
      <c r="AA11" s="301"/>
    </row>
    <row r="12" spans="1:27" x14ac:dyDescent="0.2">
      <c r="A12" s="295"/>
      <c r="B12" s="223"/>
      <c r="C12" s="223" t="s">
        <v>312</v>
      </c>
      <c r="D12" s="301"/>
      <c r="F12" s="301"/>
      <c r="G12" s="302"/>
      <c r="H12" s="301"/>
      <c r="I12" s="301"/>
      <c r="J12" s="223"/>
      <c r="K12" s="223"/>
      <c r="L12" s="301"/>
      <c r="N12" s="301"/>
      <c r="O12" s="302"/>
      <c r="P12" s="301"/>
      <c r="T12" s="295"/>
      <c r="U12" s="223"/>
      <c r="V12" s="223" t="s">
        <v>312</v>
      </c>
      <c r="W12" s="301"/>
      <c r="Y12" s="301"/>
      <c r="Z12" s="302"/>
      <c r="AA12" s="301"/>
    </row>
    <row r="13" spans="1:27" ht="26.25" x14ac:dyDescent="0.4">
      <c r="A13" s="295"/>
      <c r="B13" s="299" t="s">
        <v>276</v>
      </c>
      <c r="C13" s="123"/>
      <c r="E13" s="183"/>
      <c r="F13" s="183"/>
      <c r="G13" s="297"/>
      <c r="H13" s="296"/>
      <c r="I13" s="296"/>
      <c r="J13" s="300" t="s">
        <v>275</v>
      </c>
      <c r="K13" s="123"/>
      <c r="M13" s="183"/>
      <c r="N13" s="183"/>
      <c r="O13" s="297"/>
      <c r="P13" s="296"/>
      <c r="S13" s="212"/>
      <c r="T13" s="121"/>
      <c r="U13" s="299"/>
      <c r="V13" s="298" t="s">
        <v>274</v>
      </c>
      <c r="X13" s="183"/>
      <c r="Y13" s="183"/>
      <c r="Z13" s="297"/>
      <c r="AA13" s="296"/>
    </row>
    <row r="14" spans="1:27" x14ac:dyDescent="0.2">
      <c r="A14" s="295"/>
      <c r="B14" s="293"/>
      <c r="C14" s="293"/>
      <c r="D14" s="292"/>
      <c r="E14" s="291"/>
      <c r="F14" s="289"/>
      <c r="G14" s="290"/>
      <c r="H14" s="289"/>
      <c r="I14" s="289"/>
      <c r="J14" s="293"/>
      <c r="K14" s="293"/>
      <c r="L14" s="292"/>
      <c r="M14" s="291"/>
      <c r="N14" s="289"/>
      <c r="O14" s="290"/>
      <c r="P14" s="289"/>
      <c r="S14" s="212"/>
      <c r="T14" s="294"/>
      <c r="U14" s="293"/>
      <c r="V14" s="293"/>
      <c r="W14" s="292"/>
      <c r="X14" s="291"/>
      <c r="Y14" s="289"/>
      <c r="Z14" s="290"/>
      <c r="AA14" s="289"/>
    </row>
    <row r="15" spans="1:27" s="283" customFormat="1" ht="22.15" customHeight="1" x14ac:dyDescent="0.2">
      <c r="A15" s="288"/>
      <c r="B15" s="284"/>
      <c r="C15" s="284"/>
      <c r="D15" s="285">
        <v>45243</v>
      </c>
      <c r="E15" s="285">
        <v>45243</v>
      </c>
      <c r="F15" s="284"/>
      <c r="G15" s="285">
        <v>45264</v>
      </c>
      <c r="H15" s="284"/>
      <c r="I15" s="284"/>
      <c r="J15" s="284"/>
      <c r="K15" s="284"/>
      <c r="L15" s="285">
        <v>45243</v>
      </c>
      <c r="M15" s="285">
        <v>45243</v>
      </c>
      <c r="N15" s="284"/>
      <c r="O15" s="285">
        <v>45264</v>
      </c>
      <c r="P15" s="284"/>
      <c r="S15" s="287"/>
      <c r="T15" s="286"/>
      <c r="U15" s="284"/>
      <c r="V15" s="284"/>
      <c r="W15" s="285">
        <v>45243</v>
      </c>
      <c r="X15" s="285">
        <v>45243</v>
      </c>
      <c r="Y15" s="284"/>
      <c r="Z15" s="285">
        <v>45264</v>
      </c>
      <c r="AA15" s="284"/>
    </row>
    <row r="16" spans="1:27" ht="22.9" customHeight="1" x14ac:dyDescent="0.25">
      <c r="B16" s="282"/>
      <c r="C16" s="282"/>
      <c r="D16" s="281" t="s">
        <v>311</v>
      </c>
      <c r="E16" s="281" t="s">
        <v>310</v>
      </c>
      <c r="F16" s="280"/>
      <c r="G16" s="279"/>
      <c r="H16" s="278"/>
      <c r="I16" s="278"/>
      <c r="J16" s="282"/>
      <c r="K16" s="282"/>
      <c r="L16" s="281" t="s">
        <v>311</v>
      </c>
      <c r="M16" s="281" t="s">
        <v>310</v>
      </c>
      <c r="N16" s="280"/>
      <c r="O16" s="279"/>
      <c r="P16" s="278"/>
      <c r="S16" s="277"/>
      <c r="U16" s="282"/>
      <c r="V16" s="282"/>
      <c r="W16" s="281" t="s">
        <v>311</v>
      </c>
      <c r="X16" s="281" t="s">
        <v>310</v>
      </c>
      <c r="Y16" s="280"/>
      <c r="Z16" s="279"/>
      <c r="AA16" s="278"/>
    </row>
    <row r="17" spans="2:27" ht="23.45" customHeight="1" x14ac:dyDescent="0.25">
      <c r="B17" s="237"/>
      <c r="C17" s="276"/>
      <c r="D17" s="275"/>
      <c r="E17" s="272" t="s">
        <v>309</v>
      </c>
      <c r="F17" s="272" t="s">
        <v>308</v>
      </c>
      <c r="G17" s="274" t="s">
        <v>307</v>
      </c>
      <c r="H17" s="271" t="s">
        <v>306</v>
      </c>
      <c r="I17" s="271"/>
      <c r="J17" s="237"/>
      <c r="K17" s="276"/>
      <c r="L17" s="275"/>
      <c r="M17" s="272" t="s">
        <v>309</v>
      </c>
      <c r="N17" s="272" t="s">
        <v>308</v>
      </c>
      <c r="O17" s="274" t="s">
        <v>307</v>
      </c>
      <c r="P17" s="271" t="s">
        <v>306</v>
      </c>
      <c r="S17" s="277"/>
      <c r="U17" s="237"/>
      <c r="V17" s="276"/>
      <c r="W17" s="275"/>
      <c r="X17" s="272" t="s">
        <v>309</v>
      </c>
      <c r="Y17" s="272" t="s">
        <v>308</v>
      </c>
      <c r="Z17" s="274" t="s">
        <v>307</v>
      </c>
      <c r="AA17" s="271" t="s">
        <v>306</v>
      </c>
    </row>
    <row r="18" spans="2:27" ht="42" customHeight="1" thickBot="1" x14ac:dyDescent="0.3">
      <c r="B18" s="312" t="s">
        <v>260</v>
      </c>
      <c r="C18" s="312"/>
      <c r="D18" s="273" t="s">
        <v>305</v>
      </c>
      <c r="E18" s="272" t="s">
        <v>304</v>
      </c>
      <c r="F18" s="272" t="s">
        <v>303</v>
      </c>
      <c r="G18" s="272" t="s">
        <v>302</v>
      </c>
      <c r="H18" s="271" t="s">
        <v>301</v>
      </c>
      <c r="I18" s="271"/>
      <c r="J18" s="312" t="s">
        <v>260</v>
      </c>
      <c r="K18" s="312"/>
      <c r="L18" s="273" t="s">
        <v>305</v>
      </c>
      <c r="M18" s="272" t="s">
        <v>304</v>
      </c>
      <c r="N18" s="272" t="s">
        <v>303</v>
      </c>
      <c r="O18" s="272" t="s">
        <v>302</v>
      </c>
      <c r="P18" s="271" t="s">
        <v>301</v>
      </c>
      <c r="U18" s="312" t="s">
        <v>260</v>
      </c>
      <c r="V18" s="312"/>
      <c r="W18" s="273" t="s">
        <v>305</v>
      </c>
      <c r="X18" s="272" t="s">
        <v>304</v>
      </c>
      <c r="Y18" s="272" t="s">
        <v>303</v>
      </c>
      <c r="Z18" s="272" t="s">
        <v>302</v>
      </c>
      <c r="AA18" s="271" t="s">
        <v>301</v>
      </c>
    </row>
    <row r="19" spans="2:27" ht="20.100000000000001" customHeight="1" x14ac:dyDescent="0.3">
      <c r="B19" s="175" t="s">
        <v>251</v>
      </c>
      <c r="C19" s="174">
        <v>8</v>
      </c>
      <c r="D19" s="263">
        <v>8.76</v>
      </c>
      <c r="E19" s="263">
        <v>199.78</v>
      </c>
      <c r="F19" s="262">
        <f t="shared" ref="F19:F30" si="0">E19-D19</f>
        <v>191.02</v>
      </c>
      <c r="G19" s="261">
        <v>178.56</v>
      </c>
      <c r="H19" s="260">
        <f t="shared" ref="H19:H30" si="1">((F19-G19)/F19)*100</f>
        <v>6.5228771856350161</v>
      </c>
      <c r="I19" s="270"/>
      <c r="J19" s="175" t="s">
        <v>251</v>
      </c>
      <c r="K19" s="174">
        <v>8</v>
      </c>
      <c r="L19" s="263">
        <v>8.89</v>
      </c>
      <c r="M19" s="263">
        <v>189.21</v>
      </c>
      <c r="N19" s="262">
        <f t="shared" ref="N19:N30" si="2">M19-L19</f>
        <v>180.32</v>
      </c>
      <c r="O19" s="261">
        <v>172.71</v>
      </c>
      <c r="P19" s="260">
        <f t="shared" ref="P19:P30" si="3">((N19-O19)/N19)*100</f>
        <v>4.2202750665483508</v>
      </c>
      <c r="U19" s="265" t="s">
        <v>248</v>
      </c>
      <c r="V19" s="264" t="s">
        <v>257</v>
      </c>
      <c r="W19" s="263">
        <v>10.39</v>
      </c>
      <c r="X19" s="263">
        <v>115.91</v>
      </c>
      <c r="Y19" s="262">
        <f t="shared" ref="Y19:Y50" si="4">X19-W19</f>
        <v>105.52</v>
      </c>
      <c r="Z19" s="261">
        <v>102.53</v>
      </c>
      <c r="AA19" s="260">
        <f t="shared" ref="AA19:AA50" si="5">((Y19-Z19)/Y19)*100</f>
        <v>2.8335860500379026</v>
      </c>
    </row>
    <row r="20" spans="2:27" ht="20.100000000000001" customHeight="1" x14ac:dyDescent="0.3">
      <c r="B20" s="172" t="s">
        <v>242</v>
      </c>
      <c r="C20" s="171">
        <v>8</v>
      </c>
      <c r="D20" s="257">
        <v>8.76</v>
      </c>
      <c r="E20" s="257">
        <v>227.85</v>
      </c>
      <c r="F20" s="256">
        <f t="shared" si="0"/>
        <v>219.09</v>
      </c>
      <c r="G20" s="255">
        <v>205.71</v>
      </c>
      <c r="H20" s="254">
        <f t="shared" si="1"/>
        <v>6.1070792824866471</v>
      </c>
      <c r="I20" s="269"/>
      <c r="J20" s="172" t="s">
        <v>242</v>
      </c>
      <c r="K20" s="171">
        <v>8</v>
      </c>
      <c r="L20" s="257">
        <v>8.8800000000000008</v>
      </c>
      <c r="M20" s="257">
        <v>156.44999999999999</v>
      </c>
      <c r="N20" s="256">
        <f t="shared" si="2"/>
        <v>147.57</v>
      </c>
      <c r="O20" s="255">
        <v>140.54</v>
      </c>
      <c r="P20" s="254">
        <f t="shared" si="3"/>
        <v>4.7638408890695949</v>
      </c>
      <c r="U20" s="259" t="s">
        <v>248</v>
      </c>
      <c r="V20" s="258" t="s">
        <v>256</v>
      </c>
      <c r="W20" s="257">
        <v>11.03</v>
      </c>
      <c r="X20" s="257">
        <v>159.97</v>
      </c>
      <c r="Y20" s="256">
        <f t="shared" si="4"/>
        <v>148.94</v>
      </c>
      <c r="Z20" s="255">
        <v>141</v>
      </c>
      <c r="AA20" s="254">
        <f t="shared" si="5"/>
        <v>5.3310057741372354</v>
      </c>
    </row>
    <row r="21" spans="2:27" ht="20.100000000000001" customHeight="1" x14ac:dyDescent="0.3">
      <c r="B21" s="168" t="s">
        <v>236</v>
      </c>
      <c r="C21" s="167">
        <v>8</v>
      </c>
      <c r="D21" s="257">
        <v>8.84</v>
      </c>
      <c r="E21" s="257">
        <v>194.93</v>
      </c>
      <c r="F21" s="256">
        <f t="shared" si="0"/>
        <v>186.09</v>
      </c>
      <c r="G21" s="255">
        <v>174.74</v>
      </c>
      <c r="H21" s="254">
        <f t="shared" si="1"/>
        <v>6.0991993121607795</v>
      </c>
      <c r="I21" s="269"/>
      <c r="J21" s="168" t="s">
        <v>236</v>
      </c>
      <c r="K21" s="167">
        <v>8</v>
      </c>
      <c r="L21" s="257">
        <v>8.81</v>
      </c>
      <c r="M21" s="257">
        <v>194.92</v>
      </c>
      <c r="N21" s="256">
        <f t="shared" si="2"/>
        <v>186.10999999999999</v>
      </c>
      <c r="O21" s="255">
        <v>177.34</v>
      </c>
      <c r="P21" s="254">
        <f t="shared" si="3"/>
        <v>4.7122669389070886</v>
      </c>
      <c r="U21" s="253" t="s">
        <v>248</v>
      </c>
      <c r="V21" s="252" t="s">
        <v>255</v>
      </c>
      <c r="W21" s="257">
        <v>11</v>
      </c>
      <c r="X21" s="257">
        <v>108.14</v>
      </c>
      <c r="Y21" s="256">
        <f t="shared" si="4"/>
        <v>97.14</v>
      </c>
      <c r="Z21" s="255">
        <v>92.73</v>
      </c>
      <c r="AA21" s="254">
        <f t="shared" si="5"/>
        <v>4.5398394070413799</v>
      </c>
    </row>
    <row r="22" spans="2:27" ht="20.100000000000001" customHeight="1" x14ac:dyDescent="0.3">
      <c r="B22" s="168" t="s">
        <v>235</v>
      </c>
      <c r="C22" s="167">
        <v>8</v>
      </c>
      <c r="D22" s="251">
        <v>8.8000000000000007</v>
      </c>
      <c r="E22" s="251">
        <v>242.91</v>
      </c>
      <c r="F22" s="256">
        <f t="shared" si="0"/>
        <v>234.10999999999999</v>
      </c>
      <c r="G22" s="249">
        <v>220.54</v>
      </c>
      <c r="H22" s="248">
        <f t="shared" si="1"/>
        <v>5.7964204860962774</v>
      </c>
      <c r="I22" s="267"/>
      <c r="J22" s="168" t="s">
        <v>235</v>
      </c>
      <c r="K22" s="167">
        <v>8</v>
      </c>
      <c r="L22" s="251">
        <v>8.92</v>
      </c>
      <c r="M22" s="251">
        <v>181.34</v>
      </c>
      <c r="N22" s="250">
        <f t="shared" si="2"/>
        <v>172.42000000000002</v>
      </c>
      <c r="O22" s="249">
        <v>164.2</v>
      </c>
      <c r="P22" s="248">
        <f t="shared" si="3"/>
        <v>4.7674283725786024</v>
      </c>
      <c r="U22" s="253" t="s">
        <v>248</v>
      </c>
      <c r="V22" s="252" t="s">
        <v>254</v>
      </c>
      <c r="W22" s="251">
        <v>11.1</v>
      </c>
      <c r="X22" s="251">
        <v>145.46</v>
      </c>
      <c r="Y22" s="250">
        <f t="shared" si="4"/>
        <v>134.36000000000001</v>
      </c>
      <c r="Z22" s="249">
        <v>127.98</v>
      </c>
      <c r="AA22" s="248">
        <f t="shared" si="5"/>
        <v>4.7484370348318015</v>
      </c>
    </row>
    <row r="23" spans="2:27" ht="20.100000000000001" customHeight="1" x14ac:dyDescent="0.3">
      <c r="B23" s="168" t="s">
        <v>234</v>
      </c>
      <c r="C23" s="167">
        <v>8</v>
      </c>
      <c r="D23" s="251">
        <v>8.83</v>
      </c>
      <c r="E23" s="251">
        <v>194.11</v>
      </c>
      <c r="F23" s="256">
        <f t="shared" si="0"/>
        <v>185.28</v>
      </c>
      <c r="G23" s="249">
        <v>174.48</v>
      </c>
      <c r="H23" s="248">
        <f t="shared" si="1"/>
        <v>5.8290155440414573</v>
      </c>
      <c r="I23" s="267"/>
      <c r="J23" s="168" t="s">
        <v>234</v>
      </c>
      <c r="K23" s="167">
        <v>8</v>
      </c>
      <c r="L23" s="251">
        <v>8.92</v>
      </c>
      <c r="M23" s="251">
        <v>203.39</v>
      </c>
      <c r="N23" s="250">
        <f t="shared" si="2"/>
        <v>194.47</v>
      </c>
      <c r="O23" s="249">
        <v>185.25</v>
      </c>
      <c r="P23" s="248">
        <f t="shared" si="3"/>
        <v>4.741091170874685</v>
      </c>
      <c r="U23" s="253" t="s">
        <v>248</v>
      </c>
      <c r="V23" s="252" t="s">
        <v>253</v>
      </c>
      <c r="W23" s="251">
        <v>11.13</v>
      </c>
      <c r="X23" s="251">
        <v>163.47999999999999</v>
      </c>
      <c r="Y23" s="250">
        <f t="shared" si="4"/>
        <v>152.35</v>
      </c>
      <c r="Z23" s="249">
        <v>148.63</v>
      </c>
      <c r="AA23" s="248">
        <f t="shared" si="5"/>
        <v>2.4417459796521159</v>
      </c>
    </row>
    <row r="24" spans="2:27" ht="20.100000000000001" customHeight="1" x14ac:dyDescent="0.3">
      <c r="B24" s="168" t="s">
        <v>230</v>
      </c>
      <c r="C24" s="167">
        <v>8</v>
      </c>
      <c r="D24" s="251">
        <v>8.8800000000000008</v>
      </c>
      <c r="E24" s="251">
        <v>172.36</v>
      </c>
      <c r="F24" s="256">
        <f t="shared" si="0"/>
        <v>163.48000000000002</v>
      </c>
      <c r="G24" s="249">
        <v>154.27000000000001</v>
      </c>
      <c r="H24" s="248">
        <f t="shared" si="1"/>
        <v>5.6337166625887001</v>
      </c>
      <c r="I24" s="267"/>
      <c r="J24" s="168" t="s">
        <v>230</v>
      </c>
      <c r="K24" s="167">
        <v>8</v>
      </c>
      <c r="L24" s="251">
        <v>10.63</v>
      </c>
      <c r="M24" s="251">
        <v>213.06</v>
      </c>
      <c r="N24" s="250">
        <f t="shared" si="2"/>
        <v>202.43</v>
      </c>
      <c r="O24" s="249">
        <v>193.1</v>
      </c>
      <c r="P24" s="248">
        <f t="shared" si="3"/>
        <v>4.6090006421973095</v>
      </c>
      <c r="U24" s="253" t="s">
        <v>248</v>
      </c>
      <c r="V24" s="252" t="s">
        <v>252</v>
      </c>
      <c r="W24" s="251">
        <v>11.09</v>
      </c>
      <c r="X24" s="251">
        <v>157.31</v>
      </c>
      <c r="Y24" s="250">
        <f t="shared" si="4"/>
        <v>146.22</v>
      </c>
      <c r="Z24" s="249">
        <v>139.01</v>
      </c>
      <c r="AA24" s="248">
        <f t="shared" si="5"/>
        <v>4.9309260019149281</v>
      </c>
    </row>
    <row r="25" spans="2:27" ht="20.100000000000001" customHeight="1" x14ac:dyDescent="0.3">
      <c r="B25" s="168" t="s">
        <v>228</v>
      </c>
      <c r="C25" s="167">
        <v>8</v>
      </c>
      <c r="D25" s="251">
        <v>8.7100000000000009</v>
      </c>
      <c r="E25" s="251">
        <v>163.16</v>
      </c>
      <c r="F25" s="256">
        <f t="shared" si="0"/>
        <v>154.44999999999999</v>
      </c>
      <c r="G25" s="249">
        <v>145.52000000000001</v>
      </c>
      <c r="H25" s="248">
        <f t="shared" si="1"/>
        <v>5.7818064098413595</v>
      </c>
      <c r="I25" s="267"/>
      <c r="J25" s="168" t="s">
        <v>228</v>
      </c>
      <c r="K25" s="167">
        <v>8</v>
      </c>
      <c r="L25" s="251">
        <v>10.7</v>
      </c>
      <c r="M25" s="251">
        <v>223.33</v>
      </c>
      <c r="N25" s="250">
        <f t="shared" si="2"/>
        <v>212.63000000000002</v>
      </c>
      <c r="O25" s="249">
        <v>203.39</v>
      </c>
      <c r="P25" s="248">
        <f t="shared" si="3"/>
        <v>4.3455768235902914</v>
      </c>
      <c r="U25" s="253" t="s">
        <v>248</v>
      </c>
      <c r="V25" s="252" t="s">
        <v>250</v>
      </c>
      <c r="W25" s="251">
        <v>11</v>
      </c>
      <c r="X25" s="251">
        <v>126.73</v>
      </c>
      <c r="Y25" s="250">
        <f t="shared" si="4"/>
        <v>115.73</v>
      </c>
      <c r="Z25" s="249">
        <v>113.16</v>
      </c>
      <c r="AA25" s="248">
        <f t="shared" si="5"/>
        <v>2.2206860796681998</v>
      </c>
    </row>
    <row r="26" spans="2:27" ht="20.100000000000001" customHeight="1" thickBot="1" x14ac:dyDescent="0.35">
      <c r="B26" s="168" t="s">
        <v>227</v>
      </c>
      <c r="C26" s="167">
        <v>8</v>
      </c>
      <c r="D26" s="251">
        <v>8.77</v>
      </c>
      <c r="E26" s="251">
        <v>202.15</v>
      </c>
      <c r="F26" s="256">
        <f t="shared" si="0"/>
        <v>193.38</v>
      </c>
      <c r="G26" s="249">
        <v>183.05</v>
      </c>
      <c r="H26" s="248">
        <f t="shared" si="1"/>
        <v>5.3418140448857097</v>
      </c>
      <c r="I26" s="267"/>
      <c r="J26" s="168" t="s">
        <v>227</v>
      </c>
      <c r="K26" s="167">
        <v>8</v>
      </c>
      <c r="L26" s="251">
        <v>10.69</v>
      </c>
      <c r="M26" s="251">
        <v>184.25</v>
      </c>
      <c r="N26" s="250">
        <f t="shared" si="2"/>
        <v>173.56</v>
      </c>
      <c r="O26" s="249">
        <v>167.25</v>
      </c>
      <c r="P26" s="248">
        <f t="shared" si="3"/>
        <v>3.6356303295690262</v>
      </c>
      <c r="U26" s="247" t="s">
        <v>248</v>
      </c>
      <c r="V26" s="246" t="s">
        <v>249</v>
      </c>
      <c r="W26" s="245">
        <v>11.03</v>
      </c>
      <c r="X26" s="245">
        <v>120.52</v>
      </c>
      <c r="Y26" s="244">
        <f t="shared" si="4"/>
        <v>109.49</v>
      </c>
      <c r="Z26" s="243">
        <v>103.9</v>
      </c>
      <c r="AA26" s="248">
        <f t="shared" si="5"/>
        <v>5.1054890857612474</v>
      </c>
    </row>
    <row r="27" spans="2:27" ht="20.100000000000001" customHeight="1" x14ac:dyDescent="0.3">
      <c r="B27" s="168" t="s">
        <v>226</v>
      </c>
      <c r="C27" s="167">
        <v>8</v>
      </c>
      <c r="D27" s="251">
        <v>8.7799999999999994</v>
      </c>
      <c r="E27" s="251">
        <v>163.98</v>
      </c>
      <c r="F27" s="256">
        <f t="shared" si="0"/>
        <v>155.19999999999999</v>
      </c>
      <c r="G27" s="249">
        <v>145.28</v>
      </c>
      <c r="H27" s="248">
        <f t="shared" si="1"/>
        <v>6.39175257731958</v>
      </c>
      <c r="I27" s="267"/>
      <c r="J27" s="168" t="s">
        <v>226</v>
      </c>
      <c r="K27" s="167">
        <v>8</v>
      </c>
      <c r="L27" s="251">
        <v>10.81</v>
      </c>
      <c r="M27" s="251">
        <v>208.78</v>
      </c>
      <c r="N27" s="250">
        <f t="shared" si="2"/>
        <v>197.97</v>
      </c>
      <c r="O27" s="249">
        <v>188.28</v>
      </c>
      <c r="P27" s="248">
        <f t="shared" si="3"/>
        <v>4.8946810122745861</v>
      </c>
      <c r="U27" s="265" t="s">
        <v>239</v>
      </c>
      <c r="V27" s="264" t="s">
        <v>257</v>
      </c>
      <c r="W27" s="263">
        <v>11.13</v>
      </c>
      <c r="X27" s="263">
        <v>124.67</v>
      </c>
      <c r="Y27" s="262">
        <f t="shared" si="4"/>
        <v>113.54</v>
      </c>
      <c r="Z27" s="261">
        <v>107.89</v>
      </c>
      <c r="AA27" s="248">
        <f t="shared" si="5"/>
        <v>4.9762198344195925</v>
      </c>
    </row>
    <row r="28" spans="2:27" ht="20.100000000000001" customHeight="1" x14ac:dyDescent="0.3">
      <c r="B28" s="168" t="s">
        <v>224</v>
      </c>
      <c r="C28" s="167">
        <v>8</v>
      </c>
      <c r="D28" s="251">
        <v>8.68</v>
      </c>
      <c r="E28" s="251">
        <v>146.43</v>
      </c>
      <c r="F28" s="256">
        <f t="shared" si="0"/>
        <v>137.75</v>
      </c>
      <c r="G28" s="249">
        <v>130.9</v>
      </c>
      <c r="H28" s="248">
        <f t="shared" si="1"/>
        <v>4.9727767695099772</v>
      </c>
      <c r="I28" s="267"/>
      <c r="J28" s="168" t="s">
        <v>224</v>
      </c>
      <c r="K28" s="167">
        <v>8</v>
      </c>
      <c r="L28" s="251">
        <v>10.95</v>
      </c>
      <c r="M28" s="251">
        <v>193.42</v>
      </c>
      <c r="N28" s="250">
        <f t="shared" si="2"/>
        <v>182.47</v>
      </c>
      <c r="O28" s="249">
        <v>174.72</v>
      </c>
      <c r="P28" s="248">
        <f t="shared" si="3"/>
        <v>4.2472735244149726</v>
      </c>
      <c r="U28" s="259" t="s">
        <v>239</v>
      </c>
      <c r="V28" s="258" t="s">
        <v>256</v>
      </c>
      <c r="W28" s="257">
        <v>10.85</v>
      </c>
      <c r="X28" s="257">
        <v>157.33000000000001</v>
      </c>
      <c r="Y28" s="256">
        <f t="shared" si="4"/>
        <v>146.48000000000002</v>
      </c>
      <c r="Z28" s="255">
        <v>139.77000000000001</v>
      </c>
      <c r="AA28" s="248">
        <f t="shared" si="5"/>
        <v>4.580830147460409</v>
      </c>
    </row>
    <row r="29" spans="2:27" ht="20.100000000000001" customHeight="1" x14ac:dyDescent="0.3">
      <c r="B29" s="168" t="s">
        <v>222</v>
      </c>
      <c r="C29" s="167">
        <v>8</v>
      </c>
      <c r="D29" s="251">
        <v>8.8000000000000007</v>
      </c>
      <c r="E29" s="251">
        <v>210.9</v>
      </c>
      <c r="F29" s="256">
        <f t="shared" si="0"/>
        <v>202.1</v>
      </c>
      <c r="G29" s="249">
        <v>191.18</v>
      </c>
      <c r="H29" s="248">
        <f t="shared" si="1"/>
        <v>5.4032657100445265</v>
      </c>
      <c r="I29" s="267"/>
      <c r="J29" s="168" t="s">
        <v>222</v>
      </c>
      <c r="K29" s="167">
        <v>8</v>
      </c>
      <c r="L29" s="251">
        <v>10.98</v>
      </c>
      <c r="M29" s="251">
        <v>168.36</v>
      </c>
      <c r="N29" s="250">
        <f t="shared" si="2"/>
        <v>157.38000000000002</v>
      </c>
      <c r="O29" s="249">
        <v>150.19999999999999</v>
      </c>
      <c r="P29" s="248">
        <f t="shared" si="3"/>
        <v>4.5622061253018389</v>
      </c>
      <c r="U29" s="253" t="s">
        <v>239</v>
      </c>
      <c r="V29" s="252" t="s">
        <v>255</v>
      </c>
      <c r="W29" s="257">
        <v>10.84</v>
      </c>
      <c r="X29" s="257">
        <v>153.27000000000001</v>
      </c>
      <c r="Y29" s="256">
        <f t="shared" si="4"/>
        <v>142.43</v>
      </c>
      <c r="Z29" s="255">
        <v>136.86000000000001</v>
      </c>
      <c r="AA29" s="248">
        <f t="shared" si="5"/>
        <v>3.9106929719862342</v>
      </c>
    </row>
    <row r="30" spans="2:27" ht="20.100000000000001" customHeight="1" thickBot="1" x14ac:dyDescent="0.35">
      <c r="B30" s="162" t="s">
        <v>220</v>
      </c>
      <c r="C30" s="161">
        <v>8</v>
      </c>
      <c r="D30" s="245">
        <v>8.82</v>
      </c>
      <c r="E30" s="245">
        <v>194.13</v>
      </c>
      <c r="F30" s="268">
        <f t="shared" si="0"/>
        <v>185.31</v>
      </c>
      <c r="G30" s="243">
        <v>175.04</v>
      </c>
      <c r="H30" s="242">
        <f t="shared" si="1"/>
        <v>5.5420646484269653</v>
      </c>
      <c r="I30" s="267"/>
      <c r="J30" s="162" t="s">
        <v>220</v>
      </c>
      <c r="K30" s="161">
        <v>8</v>
      </c>
      <c r="L30" s="245">
        <v>10.56</v>
      </c>
      <c r="M30" s="245">
        <v>170.38</v>
      </c>
      <c r="N30" s="244">
        <f t="shared" si="2"/>
        <v>159.82</v>
      </c>
      <c r="O30" s="243">
        <v>152.75</v>
      </c>
      <c r="P30" s="242">
        <f t="shared" si="3"/>
        <v>4.4237266925290912</v>
      </c>
      <c r="U30" s="253" t="s">
        <v>239</v>
      </c>
      <c r="V30" s="252" t="s">
        <v>254</v>
      </c>
      <c r="W30" s="251">
        <v>10.89</v>
      </c>
      <c r="X30" s="251">
        <v>145.96</v>
      </c>
      <c r="Y30" s="250">
        <f t="shared" si="4"/>
        <v>135.07</v>
      </c>
      <c r="Z30" s="249">
        <v>128.82</v>
      </c>
      <c r="AA30" s="248">
        <f t="shared" si="5"/>
        <v>4.627230325016658</v>
      </c>
    </row>
    <row r="31" spans="2:27" ht="20.100000000000001" customHeight="1" x14ac:dyDescent="0.3">
      <c r="U31" s="253" t="s">
        <v>239</v>
      </c>
      <c r="V31" s="252" t="s">
        <v>253</v>
      </c>
      <c r="W31" s="251">
        <v>10.9</v>
      </c>
      <c r="X31" s="251">
        <v>216.57</v>
      </c>
      <c r="Y31" s="250">
        <f t="shared" si="4"/>
        <v>205.67</v>
      </c>
      <c r="Z31" s="249">
        <v>197.32</v>
      </c>
      <c r="AA31" s="266">
        <f t="shared" si="5"/>
        <v>4.0599017844119194</v>
      </c>
    </row>
    <row r="32" spans="2:27" ht="20.100000000000001" customHeight="1" x14ac:dyDescent="0.3">
      <c r="U32" s="253" t="s">
        <v>239</v>
      </c>
      <c r="V32" s="252" t="s">
        <v>252</v>
      </c>
      <c r="W32" s="251">
        <v>11.04</v>
      </c>
      <c r="X32" s="251">
        <v>186.75</v>
      </c>
      <c r="Y32" s="250">
        <f t="shared" si="4"/>
        <v>175.71</v>
      </c>
      <c r="Z32" s="249">
        <v>168.15</v>
      </c>
      <c r="AA32" s="248">
        <f t="shared" si="5"/>
        <v>4.3025439644869401</v>
      </c>
    </row>
    <row r="33" spans="21:27" ht="20.100000000000001" customHeight="1" x14ac:dyDescent="0.3">
      <c r="U33" s="253" t="s">
        <v>239</v>
      </c>
      <c r="V33" s="252" t="s">
        <v>250</v>
      </c>
      <c r="W33" s="251">
        <v>10.97</v>
      </c>
      <c r="X33" s="251">
        <v>162.03</v>
      </c>
      <c r="Y33" s="250">
        <f t="shared" si="4"/>
        <v>151.06</v>
      </c>
      <c r="Z33" s="249">
        <v>144.81</v>
      </c>
      <c r="AA33" s="248">
        <f t="shared" si="5"/>
        <v>4.137428836224017</v>
      </c>
    </row>
    <row r="34" spans="21:27" ht="20.100000000000001" customHeight="1" thickBot="1" x14ac:dyDescent="0.35">
      <c r="U34" s="247" t="s">
        <v>239</v>
      </c>
      <c r="V34" s="246" t="s">
        <v>249</v>
      </c>
      <c r="W34" s="245">
        <v>10.93</v>
      </c>
      <c r="X34" s="245">
        <v>202.56</v>
      </c>
      <c r="Y34" s="244">
        <f t="shared" si="4"/>
        <v>191.63</v>
      </c>
      <c r="Z34" s="243">
        <v>183.13</v>
      </c>
      <c r="AA34" s="242">
        <f t="shared" si="5"/>
        <v>4.4356311642227215</v>
      </c>
    </row>
    <row r="35" spans="21:27" ht="20.100000000000001" customHeight="1" x14ac:dyDescent="0.3">
      <c r="U35" s="265" t="s">
        <v>248</v>
      </c>
      <c r="V35" s="264" t="s">
        <v>247</v>
      </c>
      <c r="W35" s="263">
        <v>11.04</v>
      </c>
      <c r="X35" s="263">
        <v>188.59</v>
      </c>
      <c r="Y35" s="262">
        <f t="shared" si="4"/>
        <v>177.55</v>
      </c>
      <c r="Z35" s="261">
        <v>168.6</v>
      </c>
      <c r="AA35" s="260">
        <f t="shared" si="5"/>
        <v>5.0408335680090204</v>
      </c>
    </row>
    <row r="36" spans="21:27" ht="20.100000000000001" customHeight="1" x14ac:dyDescent="0.3">
      <c r="U36" s="259" t="s">
        <v>248</v>
      </c>
      <c r="V36" s="258" t="s">
        <v>246</v>
      </c>
      <c r="W36" s="257">
        <v>10.96</v>
      </c>
      <c r="X36" s="257">
        <v>144.6</v>
      </c>
      <c r="Y36" s="256">
        <f t="shared" si="4"/>
        <v>133.63999999999999</v>
      </c>
      <c r="Z36" s="255">
        <v>127.86</v>
      </c>
      <c r="AA36" s="254">
        <f t="shared" si="5"/>
        <v>4.3250523795270785</v>
      </c>
    </row>
    <row r="37" spans="21:27" ht="20.100000000000001" customHeight="1" x14ac:dyDescent="0.3">
      <c r="U37" s="253" t="s">
        <v>248</v>
      </c>
      <c r="V37" s="252" t="s">
        <v>245</v>
      </c>
      <c r="W37" s="257">
        <v>11</v>
      </c>
      <c r="X37" s="257">
        <v>138.24</v>
      </c>
      <c r="Y37" s="256">
        <f t="shared" si="4"/>
        <v>127.24000000000001</v>
      </c>
      <c r="Z37" s="255">
        <v>124.29</v>
      </c>
      <c r="AA37" s="254">
        <f t="shared" si="5"/>
        <v>2.3184533165671191</v>
      </c>
    </row>
    <row r="38" spans="21:27" ht="20.100000000000001" customHeight="1" x14ac:dyDescent="0.3">
      <c r="U38" s="253" t="s">
        <v>248</v>
      </c>
      <c r="V38" s="252" t="s">
        <v>244</v>
      </c>
      <c r="W38" s="251">
        <v>10.98</v>
      </c>
      <c r="X38" s="251">
        <v>136.38999999999999</v>
      </c>
      <c r="Y38" s="250">
        <f t="shared" si="4"/>
        <v>125.40999999999998</v>
      </c>
      <c r="Z38" s="249">
        <v>119.84</v>
      </c>
      <c r="AA38" s="248">
        <f t="shared" si="5"/>
        <v>4.4414321027031178</v>
      </c>
    </row>
    <row r="39" spans="21:27" ht="20.100000000000001" customHeight="1" x14ac:dyDescent="0.3">
      <c r="U39" s="253" t="s">
        <v>248</v>
      </c>
      <c r="V39" s="252" t="s">
        <v>243</v>
      </c>
      <c r="W39" s="251">
        <v>10.9</v>
      </c>
      <c r="X39" s="251">
        <v>205.02</v>
      </c>
      <c r="Y39" s="250">
        <f t="shared" si="4"/>
        <v>194.12</v>
      </c>
      <c r="Z39" s="249">
        <v>184.83</v>
      </c>
      <c r="AA39" s="248">
        <f t="shared" si="5"/>
        <v>4.7856995672779679</v>
      </c>
    </row>
    <row r="40" spans="21:27" ht="20.100000000000001" customHeight="1" x14ac:dyDescent="0.3">
      <c r="U40" s="253" t="s">
        <v>248</v>
      </c>
      <c r="V40" s="252" t="s">
        <v>241</v>
      </c>
      <c r="W40" s="251">
        <v>11.01</v>
      </c>
      <c r="X40" s="251">
        <v>191.71</v>
      </c>
      <c r="Y40" s="250">
        <f t="shared" si="4"/>
        <v>180.70000000000002</v>
      </c>
      <c r="Z40" s="249">
        <v>171.82</v>
      </c>
      <c r="AA40" s="248">
        <f t="shared" si="5"/>
        <v>4.9142224681793154</v>
      </c>
    </row>
    <row r="41" spans="21:27" ht="20.100000000000001" customHeight="1" x14ac:dyDescent="0.3">
      <c r="U41" s="253" t="s">
        <v>248</v>
      </c>
      <c r="V41" s="252" t="s">
        <v>240</v>
      </c>
      <c r="W41" s="251">
        <v>11.01</v>
      </c>
      <c r="X41" s="251">
        <v>127.65</v>
      </c>
      <c r="Y41" s="250">
        <f t="shared" si="4"/>
        <v>116.64</v>
      </c>
      <c r="Z41" s="249">
        <v>112.05</v>
      </c>
      <c r="AA41" s="248">
        <f t="shared" si="5"/>
        <v>3.9351851851851882</v>
      </c>
    </row>
    <row r="42" spans="21:27" ht="20.100000000000001" customHeight="1" thickBot="1" x14ac:dyDescent="0.35">
      <c r="U42" s="247" t="s">
        <v>248</v>
      </c>
      <c r="V42" s="246" t="s">
        <v>238</v>
      </c>
      <c r="W42" s="245">
        <v>11.03</v>
      </c>
      <c r="X42" s="245">
        <v>153.06</v>
      </c>
      <c r="Y42" s="244">
        <f t="shared" si="4"/>
        <v>142.03</v>
      </c>
      <c r="Z42" s="243">
        <v>135.76</v>
      </c>
      <c r="AA42" s="242">
        <f t="shared" si="5"/>
        <v>4.4145603041610997</v>
      </c>
    </row>
    <row r="43" spans="21:27" ht="20.100000000000001" customHeight="1" x14ac:dyDescent="0.3">
      <c r="U43" s="265" t="s">
        <v>239</v>
      </c>
      <c r="V43" s="264" t="s">
        <v>247</v>
      </c>
      <c r="W43" s="263">
        <v>10.75</v>
      </c>
      <c r="X43" s="263">
        <v>145.5</v>
      </c>
      <c r="Y43" s="262">
        <f t="shared" si="4"/>
        <v>134.75</v>
      </c>
      <c r="Z43" s="261">
        <v>129.53</v>
      </c>
      <c r="AA43" s="260">
        <f t="shared" si="5"/>
        <v>3.8738404452690158</v>
      </c>
    </row>
    <row r="44" spans="21:27" ht="20.100000000000001" customHeight="1" x14ac:dyDescent="0.3">
      <c r="U44" s="259" t="s">
        <v>239</v>
      </c>
      <c r="V44" s="258" t="s">
        <v>246</v>
      </c>
      <c r="W44" s="257">
        <v>10.74</v>
      </c>
      <c r="X44" s="257">
        <v>137.93</v>
      </c>
      <c r="Y44" s="256">
        <f t="shared" si="4"/>
        <v>127.19000000000001</v>
      </c>
      <c r="Z44" s="255">
        <v>122.36</v>
      </c>
      <c r="AA44" s="254">
        <f t="shared" si="5"/>
        <v>3.7974683544303889</v>
      </c>
    </row>
    <row r="45" spans="21:27" ht="20.100000000000001" customHeight="1" x14ac:dyDescent="0.3">
      <c r="U45" s="253" t="s">
        <v>239</v>
      </c>
      <c r="V45" s="252" t="s">
        <v>245</v>
      </c>
      <c r="W45" s="257">
        <v>10.78</v>
      </c>
      <c r="X45" s="257">
        <v>137.5</v>
      </c>
      <c r="Y45" s="256">
        <f t="shared" si="4"/>
        <v>126.72</v>
      </c>
      <c r="Z45" s="255">
        <v>121.55</v>
      </c>
      <c r="AA45" s="254">
        <f t="shared" si="5"/>
        <v>4.0798611111111125</v>
      </c>
    </row>
    <row r="46" spans="21:27" ht="20.100000000000001" customHeight="1" x14ac:dyDescent="0.3">
      <c r="U46" s="253" t="s">
        <v>239</v>
      </c>
      <c r="V46" s="252" t="s">
        <v>244</v>
      </c>
      <c r="W46" s="251">
        <v>10.7</v>
      </c>
      <c r="X46" s="251">
        <v>173.99</v>
      </c>
      <c r="Y46" s="250">
        <f t="shared" si="4"/>
        <v>163.29000000000002</v>
      </c>
      <c r="Z46" s="249">
        <v>156.31</v>
      </c>
      <c r="AA46" s="248">
        <f t="shared" si="5"/>
        <v>4.2746034662257442</v>
      </c>
    </row>
    <row r="47" spans="21:27" ht="20.100000000000001" customHeight="1" x14ac:dyDescent="0.3">
      <c r="U47" s="253" t="s">
        <v>239</v>
      </c>
      <c r="V47" s="252" t="s">
        <v>243</v>
      </c>
      <c r="W47" s="251">
        <v>11.07</v>
      </c>
      <c r="X47" s="251">
        <v>122.7</v>
      </c>
      <c r="Y47" s="250">
        <f t="shared" si="4"/>
        <v>111.63</v>
      </c>
      <c r="Z47" s="249">
        <v>107.18</v>
      </c>
      <c r="AA47" s="248">
        <f t="shared" si="5"/>
        <v>3.9863835886410364</v>
      </c>
    </row>
    <row r="48" spans="21:27" ht="20.100000000000001" customHeight="1" x14ac:dyDescent="0.3">
      <c r="U48" s="253" t="s">
        <v>239</v>
      </c>
      <c r="V48" s="252" t="s">
        <v>241</v>
      </c>
      <c r="W48" s="251">
        <v>10.95</v>
      </c>
      <c r="X48" s="251">
        <v>143.87</v>
      </c>
      <c r="Y48" s="250">
        <f t="shared" si="4"/>
        <v>132.92000000000002</v>
      </c>
      <c r="Z48" s="249">
        <v>127.26</v>
      </c>
      <c r="AA48" s="248">
        <f t="shared" si="5"/>
        <v>4.2582004213060562</v>
      </c>
    </row>
    <row r="49" spans="21:27" ht="20.100000000000001" customHeight="1" x14ac:dyDescent="0.3">
      <c r="U49" s="253" t="s">
        <v>239</v>
      </c>
      <c r="V49" s="252" t="s">
        <v>240</v>
      </c>
      <c r="W49" s="251">
        <v>11.05</v>
      </c>
      <c r="X49" s="251">
        <v>175.28</v>
      </c>
      <c r="Y49" s="250">
        <f t="shared" si="4"/>
        <v>164.23</v>
      </c>
      <c r="Z49" s="249">
        <v>157.43</v>
      </c>
      <c r="AA49" s="248">
        <f t="shared" si="5"/>
        <v>4.1405346160871845</v>
      </c>
    </row>
    <row r="50" spans="21:27" ht="20.100000000000001" customHeight="1" thickBot="1" x14ac:dyDescent="0.35">
      <c r="U50" s="247" t="s">
        <v>239</v>
      </c>
      <c r="V50" s="246" t="s">
        <v>238</v>
      </c>
      <c r="W50" s="245">
        <v>11.03</v>
      </c>
      <c r="X50" s="245">
        <v>111.73</v>
      </c>
      <c r="Y50" s="244">
        <f t="shared" si="4"/>
        <v>100.7</v>
      </c>
      <c r="Z50" s="243">
        <v>96.71</v>
      </c>
      <c r="AA50" s="242">
        <f t="shared" si="5"/>
        <v>3.9622641509434051</v>
      </c>
    </row>
    <row r="51" spans="21:27" ht="20.100000000000001" customHeight="1" x14ac:dyDescent="0.2"/>
  </sheetData>
  <mergeCells count="3">
    <mergeCell ref="B18:C18"/>
    <mergeCell ref="U18:V18"/>
    <mergeCell ref="J18:K18"/>
  </mergeCells>
  <pageMargins left="0.45" right="0.45" top="0.5" bottom="0.5" header="0" footer="0.3"/>
  <pageSetup fitToHeight="2" orientation="portrait" r:id="rId1"/>
  <rowBreaks count="1" manualBreakCount="1">
    <brk id="34" min="20" max="2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F6BB0-9620-43B5-8777-E88B5D99EFD7}">
  <sheetPr>
    <outlinePr summaryBelow="0"/>
  </sheetPr>
  <dimension ref="A1:O74"/>
  <sheetViews>
    <sheetView showGridLines="0" workbookViewId="0">
      <selection activeCell="B11" sqref="B11:O67"/>
    </sheetView>
  </sheetViews>
  <sheetFormatPr defaultRowHeight="15" x14ac:dyDescent="0.25"/>
  <cols>
    <col min="1" max="1" width="7" customWidth="1"/>
    <col min="2" max="2" width="6" customWidth="1"/>
    <col min="3" max="3" width="11.5703125" customWidth="1"/>
    <col min="4" max="4" width="10.42578125" customWidth="1"/>
    <col min="5" max="5" width="6.85546875" customWidth="1"/>
    <col min="6" max="6" width="7" customWidth="1"/>
    <col min="7" max="7" width="6.85546875" customWidth="1"/>
    <col min="8" max="8" width="7" customWidth="1"/>
    <col min="9" max="10" width="6.85546875" customWidth="1"/>
    <col min="11" max="11" width="7" customWidth="1"/>
    <col min="12" max="12" width="6.85546875" customWidth="1"/>
    <col min="13" max="13" width="7" customWidth="1"/>
    <col min="14" max="14" width="6.85546875" customWidth="1"/>
    <col min="15" max="15" width="7" customWidth="1"/>
  </cols>
  <sheetData>
    <row r="1" spans="1:15" ht="16.5" customHeight="1" x14ac:dyDescent="0.25">
      <c r="A1" s="334" t="s">
        <v>389</v>
      </c>
      <c r="B1" s="334"/>
      <c r="C1" s="334"/>
      <c r="D1" s="332" t="s">
        <v>388</v>
      </c>
      <c r="E1" s="332"/>
      <c r="F1" s="332"/>
      <c r="G1" s="332"/>
      <c r="H1" s="332"/>
      <c r="I1" s="332"/>
      <c r="J1" s="332"/>
      <c r="K1" s="332"/>
      <c r="L1" s="332"/>
      <c r="M1" s="333" t="s">
        <v>387</v>
      </c>
      <c r="N1" s="333"/>
      <c r="O1" s="333"/>
    </row>
    <row r="2" spans="1:15" ht="1.5" customHeight="1" x14ac:dyDescent="0.25">
      <c r="D2" s="332"/>
      <c r="E2" s="332"/>
      <c r="F2" s="332"/>
      <c r="G2" s="332"/>
      <c r="H2" s="332"/>
      <c r="I2" s="332"/>
      <c r="J2" s="332"/>
      <c r="K2" s="332"/>
      <c r="L2" s="332"/>
    </row>
    <row r="3" spans="1:15" ht="18" customHeight="1" x14ac:dyDescent="0.25">
      <c r="D3" s="331" t="s">
        <v>386</v>
      </c>
      <c r="E3" s="331"/>
      <c r="F3" s="331"/>
      <c r="G3" s="331"/>
      <c r="H3" s="331"/>
      <c r="I3" s="331"/>
      <c r="J3" s="331"/>
      <c r="K3" s="331"/>
      <c r="L3" s="331"/>
    </row>
    <row r="4" spans="1:15" ht="3" customHeight="1" x14ac:dyDescent="0.25"/>
    <row r="5" spans="1:15" ht="15.75" customHeight="1" x14ac:dyDescent="0.25">
      <c r="A5" s="330" t="s">
        <v>385</v>
      </c>
      <c r="B5" s="330"/>
      <c r="C5" s="330">
        <v>53339</v>
      </c>
      <c r="D5" s="330"/>
      <c r="E5" s="330"/>
      <c r="F5" s="319" t="s">
        <v>384</v>
      </c>
      <c r="G5" s="319"/>
      <c r="H5" s="322" t="s">
        <v>383</v>
      </c>
      <c r="I5" s="322"/>
      <c r="J5" s="322"/>
      <c r="K5" s="321" t="s">
        <v>382</v>
      </c>
      <c r="L5" s="322" t="s">
        <v>381</v>
      </c>
      <c r="M5" s="322"/>
      <c r="N5" s="322"/>
      <c r="O5" s="322"/>
    </row>
    <row r="6" spans="1:15" ht="15.75" customHeight="1" x14ac:dyDescent="0.25">
      <c r="A6" s="330" t="s">
        <v>380</v>
      </c>
      <c r="B6" s="330"/>
      <c r="C6" s="322" t="s">
        <v>379</v>
      </c>
      <c r="D6" s="322"/>
      <c r="E6" s="322"/>
      <c r="F6" s="319" t="s">
        <v>378</v>
      </c>
      <c r="G6" s="319"/>
      <c r="H6" s="322" t="s">
        <v>377</v>
      </c>
      <c r="I6" s="322"/>
      <c r="J6" s="322"/>
      <c r="K6" s="321" t="s">
        <v>376</v>
      </c>
      <c r="L6" s="322" t="s">
        <v>375</v>
      </c>
      <c r="M6" s="322"/>
      <c r="N6" s="322"/>
      <c r="O6" s="322"/>
    </row>
    <row r="7" spans="1:15" ht="15.75" customHeight="1" x14ac:dyDescent="0.25">
      <c r="A7" s="330" t="s">
        <v>374</v>
      </c>
      <c r="B7" s="330"/>
      <c r="C7" s="322" t="s">
        <v>373</v>
      </c>
      <c r="D7" s="322"/>
      <c r="E7" s="322"/>
      <c r="F7" s="319" t="s">
        <v>372</v>
      </c>
      <c r="G7" s="319"/>
      <c r="H7" s="322" t="s">
        <v>371</v>
      </c>
      <c r="I7" s="322"/>
      <c r="J7" s="322"/>
      <c r="K7" s="321" t="s">
        <v>370</v>
      </c>
      <c r="L7" s="322" t="s">
        <v>369</v>
      </c>
      <c r="M7" s="322"/>
      <c r="N7" s="322"/>
      <c r="O7" s="322"/>
    </row>
    <row r="8" spans="1:15" ht="15.75" customHeight="1" x14ac:dyDescent="0.25">
      <c r="A8" s="330" t="s">
        <v>368</v>
      </c>
      <c r="B8" s="330"/>
      <c r="C8" s="329">
        <v>45295.380704745367</v>
      </c>
      <c r="D8" s="329"/>
      <c r="E8" s="329"/>
      <c r="F8" s="319" t="s">
        <v>367</v>
      </c>
      <c r="G8" s="319"/>
      <c r="H8" s="329">
        <v>45341.64638888889</v>
      </c>
      <c r="I8" s="329"/>
      <c r="J8" s="329"/>
    </row>
    <row r="9" spans="1:15" ht="1.5" customHeight="1" x14ac:dyDescent="0.25"/>
    <row r="10" spans="1:15" ht="18" customHeight="1" x14ac:dyDescent="0.25">
      <c r="A10" s="328" t="s">
        <v>366</v>
      </c>
      <c r="B10" s="328"/>
      <c r="C10" s="328"/>
      <c r="D10" s="328"/>
      <c r="E10" s="328"/>
      <c r="F10" s="328"/>
      <c r="G10" s="328"/>
      <c r="H10" s="327" t="s">
        <v>365</v>
      </c>
      <c r="I10" s="327"/>
      <c r="J10" s="327"/>
      <c r="K10" s="327"/>
      <c r="L10" s="327"/>
      <c r="M10" s="327"/>
      <c r="N10" s="327"/>
      <c r="O10" s="327"/>
    </row>
    <row r="11" spans="1:15" ht="34.5" customHeight="1" x14ac:dyDescent="0.25">
      <c r="A11" s="326" t="s">
        <v>364</v>
      </c>
      <c r="B11" s="325" t="s">
        <v>363</v>
      </c>
      <c r="C11" s="325"/>
      <c r="D11" s="325"/>
      <c r="E11" s="324" t="s">
        <v>362</v>
      </c>
      <c r="F11" s="324" t="s">
        <v>361</v>
      </c>
      <c r="G11" s="324" t="s">
        <v>360</v>
      </c>
      <c r="H11" s="324" t="s">
        <v>359</v>
      </c>
      <c r="I11" s="324" t="s">
        <v>358</v>
      </c>
      <c r="J11" s="324" t="s">
        <v>357</v>
      </c>
      <c r="K11" s="324" t="s">
        <v>356</v>
      </c>
      <c r="L11" s="324" t="s">
        <v>355</v>
      </c>
      <c r="M11" s="324" t="s">
        <v>354</v>
      </c>
      <c r="N11" s="324" t="s">
        <v>353</v>
      </c>
      <c r="O11" s="324" t="s">
        <v>352</v>
      </c>
    </row>
    <row r="12" spans="1:15" ht="13.5" customHeight="1" x14ac:dyDescent="0.25">
      <c r="A12" s="323">
        <v>1</v>
      </c>
      <c r="B12" s="322" t="s">
        <v>351</v>
      </c>
      <c r="C12" s="322"/>
      <c r="D12" s="322"/>
      <c r="E12" s="321">
        <v>4.9000000000000004</v>
      </c>
      <c r="F12" s="317">
        <v>1.1379999999999999</v>
      </c>
      <c r="G12" s="321">
        <v>81.599999999999994</v>
      </c>
      <c r="H12" s="321">
        <v>30.4</v>
      </c>
      <c r="I12" s="321">
        <v>5.3</v>
      </c>
      <c r="J12" s="321">
        <v>81.400000000000006</v>
      </c>
      <c r="K12" s="321">
        <v>8.6999999999999993</v>
      </c>
      <c r="L12" s="316" t="s">
        <v>215</v>
      </c>
      <c r="M12" s="321">
        <v>7</v>
      </c>
      <c r="N12" s="321">
        <v>7.0000000000000007E-2</v>
      </c>
      <c r="O12" s="321">
        <v>8.8000000000000007</v>
      </c>
    </row>
    <row r="13" spans="1:15" ht="13.5" customHeight="1" x14ac:dyDescent="0.25">
      <c r="A13" s="323">
        <v>2</v>
      </c>
      <c r="B13" s="322" t="s">
        <v>350</v>
      </c>
      <c r="C13" s="322"/>
      <c r="D13" s="322"/>
      <c r="E13" s="321">
        <v>4.8499999999999996</v>
      </c>
      <c r="F13" s="317">
        <v>1.1100000000000001</v>
      </c>
      <c r="G13" s="321">
        <v>81.5</v>
      </c>
      <c r="H13" s="321">
        <v>28.7</v>
      </c>
      <c r="I13" s="321">
        <v>5.0999999999999996</v>
      </c>
      <c r="J13" s="321">
        <v>80.7</v>
      </c>
      <c r="K13" s="321">
        <v>8.6</v>
      </c>
      <c r="L13" s="316" t="s">
        <v>215</v>
      </c>
      <c r="M13" s="321">
        <v>16</v>
      </c>
      <c r="N13" s="321">
        <v>0.15</v>
      </c>
      <c r="O13" s="321">
        <v>10.5</v>
      </c>
    </row>
    <row r="14" spans="1:15" ht="13.5" customHeight="1" x14ac:dyDescent="0.25">
      <c r="A14" s="323">
        <v>3</v>
      </c>
      <c r="B14" s="322" t="s">
        <v>349</v>
      </c>
      <c r="C14" s="322"/>
      <c r="D14" s="322"/>
      <c r="E14" s="321">
        <v>4.71</v>
      </c>
      <c r="F14" s="317">
        <v>1.1459999999999999</v>
      </c>
      <c r="G14" s="321">
        <v>82.8</v>
      </c>
      <c r="H14" s="321">
        <v>30.6</v>
      </c>
      <c r="I14" s="321">
        <v>5.2</v>
      </c>
      <c r="J14" s="321">
        <v>80.5</v>
      </c>
      <c r="K14" s="321">
        <v>8.6999999999999993</v>
      </c>
      <c r="L14" s="316" t="s">
        <v>215</v>
      </c>
      <c r="M14" s="321">
        <v>8</v>
      </c>
      <c r="N14" s="321">
        <v>0.15</v>
      </c>
      <c r="O14" s="321">
        <v>8.9</v>
      </c>
    </row>
    <row r="15" spans="1:15" ht="14.25" customHeight="1" x14ac:dyDescent="0.25">
      <c r="A15" s="323">
        <v>4</v>
      </c>
      <c r="B15" s="322" t="s">
        <v>348</v>
      </c>
      <c r="C15" s="322"/>
      <c r="D15" s="322"/>
      <c r="E15" s="321">
        <v>4.8099999999999996</v>
      </c>
      <c r="F15" s="317">
        <v>1.119</v>
      </c>
      <c r="G15" s="321">
        <v>81.5</v>
      </c>
      <c r="H15" s="321">
        <v>29.4</v>
      </c>
      <c r="I15" s="321">
        <v>5</v>
      </c>
      <c r="J15" s="321">
        <v>80.3</v>
      </c>
      <c r="K15" s="321">
        <v>8.8000000000000007</v>
      </c>
      <c r="L15" s="316" t="s">
        <v>215</v>
      </c>
      <c r="M15" s="321">
        <v>9</v>
      </c>
      <c r="N15" s="321">
        <v>0.11</v>
      </c>
      <c r="O15" s="321">
        <v>9.8000000000000007</v>
      </c>
    </row>
    <row r="16" spans="1:15" ht="13.5" customHeight="1" x14ac:dyDescent="0.25">
      <c r="A16" s="323">
        <v>5</v>
      </c>
      <c r="B16" s="322" t="s">
        <v>347</v>
      </c>
      <c r="C16" s="322"/>
      <c r="D16" s="322"/>
      <c r="E16" s="321">
        <v>4.7300000000000004</v>
      </c>
      <c r="F16" s="317">
        <v>1.1220000000000001</v>
      </c>
      <c r="G16" s="321">
        <v>81.8</v>
      </c>
      <c r="H16" s="321">
        <v>29.2</v>
      </c>
      <c r="I16" s="321">
        <v>5.2</v>
      </c>
      <c r="J16" s="321">
        <v>80.7</v>
      </c>
      <c r="K16" s="321">
        <v>8.6999999999999993</v>
      </c>
      <c r="L16" s="316" t="s">
        <v>215</v>
      </c>
      <c r="M16" s="321">
        <v>10</v>
      </c>
      <c r="N16" s="321">
        <v>0.22</v>
      </c>
      <c r="O16" s="321">
        <v>10.3</v>
      </c>
    </row>
    <row r="17" spans="1:15" ht="13.5" customHeight="1" x14ac:dyDescent="0.25">
      <c r="A17" s="323">
        <v>6</v>
      </c>
      <c r="B17" s="322" t="s">
        <v>346</v>
      </c>
      <c r="C17" s="322"/>
      <c r="D17" s="322"/>
      <c r="E17" s="321">
        <v>4.92</v>
      </c>
      <c r="F17" s="317">
        <v>1.1399999999999999</v>
      </c>
      <c r="G17" s="321">
        <v>82.3</v>
      </c>
      <c r="H17" s="321">
        <v>31.5</v>
      </c>
      <c r="I17" s="321">
        <v>5.0999999999999996</v>
      </c>
      <c r="J17" s="321">
        <v>80.599999999999994</v>
      </c>
      <c r="K17" s="321">
        <v>8.6</v>
      </c>
      <c r="L17" s="316" t="s">
        <v>215</v>
      </c>
      <c r="M17" s="321">
        <v>7</v>
      </c>
      <c r="N17" s="321">
        <v>0.1</v>
      </c>
      <c r="O17" s="321">
        <v>9</v>
      </c>
    </row>
    <row r="18" spans="1:15" ht="13.5" customHeight="1" x14ac:dyDescent="0.25">
      <c r="A18" s="323">
        <v>7</v>
      </c>
      <c r="B18" s="322" t="s">
        <v>345</v>
      </c>
      <c r="C18" s="322"/>
      <c r="D18" s="322"/>
      <c r="E18" s="321">
        <v>5.07</v>
      </c>
      <c r="F18" s="317">
        <v>1.026</v>
      </c>
      <c r="G18" s="321">
        <v>77.5</v>
      </c>
      <c r="H18" s="321">
        <v>26</v>
      </c>
      <c r="I18" s="321">
        <v>5.5</v>
      </c>
      <c r="J18" s="321">
        <v>79</v>
      </c>
      <c r="K18" s="321">
        <v>9.6999999999999993</v>
      </c>
      <c r="L18" s="316" t="s">
        <v>344</v>
      </c>
      <c r="M18" s="321">
        <v>8</v>
      </c>
      <c r="N18" s="321">
        <v>0.1</v>
      </c>
      <c r="O18" s="321">
        <v>16.899999999999999</v>
      </c>
    </row>
    <row r="19" spans="1:15" ht="14.25" customHeight="1" x14ac:dyDescent="0.25">
      <c r="A19" s="323">
        <v>8</v>
      </c>
      <c r="B19" s="322" t="s">
        <v>343</v>
      </c>
      <c r="C19" s="322"/>
      <c r="D19" s="322"/>
      <c r="E19" s="321">
        <v>5.0199999999999996</v>
      </c>
      <c r="F19" s="317">
        <v>1.054</v>
      </c>
      <c r="G19" s="321">
        <v>78</v>
      </c>
      <c r="H19" s="321">
        <v>27.2</v>
      </c>
      <c r="I19" s="321">
        <v>5.4</v>
      </c>
      <c r="J19" s="321">
        <v>80.099999999999994</v>
      </c>
      <c r="K19" s="321">
        <v>9.5</v>
      </c>
      <c r="L19" s="316" t="s">
        <v>216</v>
      </c>
      <c r="M19" s="321">
        <v>4</v>
      </c>
      <c r="N19" s="321">
        <v>0.06</v>
      </c>
      <c r="O19" s="321">
        <v>16.399999999999999</v>
      </c>
    </row>
    <row r="20" spans="1:15" ht="13.5" customHeight="1" x14ac:dyDescent="0.25">
      <c r="A20" s="323">
        <v>9</v>
      </c>
      <c r="B20" s="322" t="s">
        <v>342</v>
      </c>
      <c r="C20" s="322"/>
      <c r="D20" s="322"/>
      <c r="E20" s="321">
        <v>4.88</v>
      </c>
      <c r="F20" s="317">
        <v>1.135</v>
      </c>
      <c r="G20" s="321">
        <v>80.7</v>
      </c>
      <c r="H20" s="321">
        <v>29.6</v>
      </c>
      <c r="I20" s="321">
        <v>5.3</v>
      </c>
      <c r="J20" s="321">
        <v>80.599999999999994</v>
      </c>
      <c r="K20" s="321">
        <v>8.8000000000000007</v>
      </c>
      <c r="L20" s="316" t="s">
        <v>216</v>
      </c>
      <c r="M20" s="321">
        <v>12</v>
      </c>
      <c r="N20" s="321">
        <v>0.21</v>
      </c>
      <c r="O20" s="321">
        <v>9.6999999999999993</v>
      </c>
    </row>
    <row r="21" spans="1:15" ht="13.5" customHeight="1" x14ac:dyDescent="0.25">
      <c r="A21" s="323">
        <v>10</v>
      </c>
      <c r="B21" s="322" t="s">
        <v>341</v>
      </c>
      <c r="C21" s="322"/>
      <c r="D21" s="322"/>
      <c r="E21" s="321">
        <v>4.8</v>
      </c>
      <c r="F21" s="317">
        <v>1.155</v>
      </c>
      <c r="G21" s="321">
        <v>81.5</v>
      </c>
      <c r="H21" s="321">
        <v>30</v>
      </c>
      <c r="I21" s="321">
        <v>5.5</v>
      </c>
      <c r="J21" s="321">
        <v>82.2</v>
      </c>
      <c r="K21" s="321">
        <v>9</v>
      </c>
      <c r="L21" s="316" t="s">
        <v>218</v>
      </c>
      <c r="M21" s="321">
        <v>6</v>
      </c>
      <c r="N21" s="321">
        <v>0.08</v>
      </c>
      <c r="O21" s="321">
        <v>9.6</v>
      </c>
    </row>
    <row r="22" spans="1:15" ht="13.5" customHeight="1" x14ac:dyDescent="0.25">
      <c r="A22" s="323">
        <v>11</v>
      </c>
      <c r="B22" s="322" t="s">
        <v>340</v>
      </c>
      <c r="C22" s="322"/>
      <c r="D22" s="322"/>
      <c r="E22" s="321">
        <v>5.18</v>
      </c>
      <c r="F22" s="317">
        <v>1.069</v>
      </c>
      <c r="G22" s="321">
        <v>80.3</v>
      </c>
      <c r="H22" s="321">
        <v>27.1</v>
      </c>
      <c r="I22" s="321">
        <v>5.4</v>
      </c>
      <c r="J22" s="321">
        <v>79.7</v>
      </c>
      <c r="K22" s="321">
        <v>9.1999999999999993</v>
      </c>
      <c r="L22" s="316" t="s">
        <v>215</v>
      </c>
      <c r="M22" s="321">
        <v>7</v>
      </c>
      <c r="N22" s="321">
        <v>0.11</v>
      </c>
      <c r="O22" s="321">
        <v>12.5</v>
      </c>
    </row>
    <row r="23" spans="1:15" ht="14.25" customHeight="1" x14ac:dyDescent="0.25">
      <c r="A23" s="323">
        <v>12</v>
      </c>
      <c r="B23" s="322" t="s">
        <v>339</v>
      </c>
      <c r="C23" s="322"/>
      <c r="D23" s="322"/>
      <c r="E23" s="321">
        <v>4.76</v>
      </c>
      <c r="F23" s="317">
        <v>1.1339999999999999</v>
      </c>
      <c r="G23" s="321">
        <v>82.3</v>
      </c>
      <c r="H23" s="321">
        <v>30</v>
      </c>
      <c r="I23" s="321">
        <v>5.3</v>
      </c>
      <c r="J23" s="321">
        <v>81.8</v>
      </c>
      <c r="K23" s="321">
        <v>8.9</v>
      </c>
      <c r="L23" s="316" t="s">
        <v>218</v>
      </c>
      <c r="M23" s="321">
        <v>9</v>
      </c>
      <c r="N23" s="321">
        <v>0.11</v>
      </c>
      <c r="O23" s="321">
        <v>8.8000000000000007</v>
      </c>
    </row>
    <row r="24" spans="1:15" ht="13.5" customHeight="1" x14ac:dyDescent="0.25">
      <c r="A24" s="323">
        <v>13</v>
      </c>
      <c r="B24" s="322" t="s">
        <v>338</v>
      </c>
      <c r="C24" s="322"/>
      <c r="D24" s="322"/>
      <c r="E24" s="321">
        <v>4.88</v>
      </c>
      <c r="F24" s="317">
        <v>1.133</v>
      </c>
      <c r="G24" s="321">
        <v>81.400000000000006</v>
      </c>
      <c r="H24" s="321">
        <v>30.6</v>
      </c>
      <c r="I24" s="321">
        <v>5.3</v>
      </c>
      <c r="J24" s="321">
        <v>81.599999999999994</v>
      </c>
      <c r="K24" s="321">
        <v>8.9</v>
      </c>
      <c r="L24" s="316" t="s">
        <v>218</v>
      </c>
      <c r="M24" s="321">
        <v>4</v>
      </c>
      <c r="N24" s="321">
        <v>7.0000000000000007E-2</v>
      </c>
      <c r="O24" s="321">
        <v>9.8000000000000007</v>
      </c>
    </row>
    <row r="25" spans="1:15" ht="13.5" customHeight="1" x14ac:dyDescent="0.25">
      <c r="A25" s="323">
        <v>14</v>
      </c>
      <c r="B25" s="322" t="s">
        <v>337</v>
      </c>
      <c r="C25" s="322"/>
      <c r="D25" s="322"/>
      <c r="E25" s="321">
        <v>4.62</v>
      </c>
      <c r="F25" s="317">
        <v>1.1499999999999999</v>
      </c>
      <c r="G25" s="321">
        <v>82.2</v>
      </c>
      <c r="H25" s="321">
        <v>31</v>
      </c>
      <c r="I25" s="321">
        <v>4.9000000000000004</v>
      </c>
      <c r="J25" s="321">
        <v>80</v>
      </c>
      <c r="K25" s="321">
        <v>8.4</v>
      </c>
      <c r="L25" s="316" t="s">
        <v>65</v>
      </c>
      <c r="M25" s="321">
        <v>16</v>
      </c>
      <c r="N25" s="321">
        <v>0.33</v>
      </c>
      <c r="O25" s="321">
        <v>8.5</v>
      </c>
    </row>
    <row r="26" spans="1:15" ht="13.5" customHeight="1" x14ac:dyDescent="0.25">
      <c r="A26" s="323">
        <v>15</v>
      </c>
      <c r="B26" s="322" t="s">
        <v>336</v>
      </c>
      <c r="C26" s="322"/>
      <c r="D26" s="322"/>
      <c r="E26" s="321">
        <v>4.87</v>
      </c>
      <c r="F26" s="317">
        <v>1.097</v>
      </c>
      <c r="G26" s="321">
        <v>79.7</v>
      </c>
      <c r="H26" s="321">
        <v>27.9</v>
      </c>
      <c r="I26" s="321">
        <v>5.6</v>
      </c>
      <c r="J26" s="321">
        <v>80.3</v>
      </c>
      <c r="K26" s="321">
        <v>9.3000000000000007</v>
      </c>
      <c r="L26" s="316" t="s">
        <v>216</v>
      </c>
      <c r="M26" s="321">
        <v>13</v>
      </c>
      <c r="N26" s="321">
        <v>0.16</v>
      </c>
      <c r="O26" s="321">
        <v>13</v>
      </c>
    </row>
    <row r="27" spans="1:15" ht="14.25" customHeight="1" x14ac:dyDescent="0.25">
      <c r="A27" s="323">
        <v>16</v>
      </c>
      <c r="B27" s="322" t="s">
        <v>335</v>
      </c>
      <c r="C27" s="322"/>
      <c r="D27" s="322"/>
      <c r="E27" s="321">
        <v>4.8600000000000003</v>
      </c>
      <c r="F27" s="317">
        <v>1.1299999999999999</v>
      </c>
      <c r="G27" s="321">
        <v>82</v>
      </c>
      <c r="H27" s="321">
        <v>30.6</v>
      </c>
      <c r="I27" s="321">
        <v>5</v>
      </c>
      <c r="J27" s="321">
        <v>80.8</v>
      </c>
      <c r="K27" s="321">
        <v>8.5</v>
      </c>
      <c r="L27" s="316" t="s">
        <v>215</v>
      </c>
      <c r="M27" s="321">
        <v>13</v>
      </c>
      <c r="N27" s="321">
        <v>0.14000000000000001</v>
      </c>
      <c r="O27" s="321">
        <v>10</v>
      </c>
    </row>
    <row r="28" spans="1:15" ht="13.5" customHeight="1" x14ac:dyDescent="0.25">
      <c r="A28" s="323">
        <v>17</v>
      </c>
      <c r="B28" s="322" t="s">
        <v>334</v>
      </c>
      <c r="C28" s="322"/>
      <c r="D28" s="322"/>
      <c r="E28" s="321">
        <v>4.62</v>
      </c>
      <c r="F28" s="317">
        <v>1.1459999999999999</v>
      </c>
      <c r="G28" s="321">
        <v>81.099999999999994</v>
      </c>
      <c r="H28" s="321">
        <v>30.6</v>
      </c>
      <c r="I28" s="321">
        <v>5.2</v>
      </c>
      <c r="J28" s="321">
        <v>80.3</v>
      </c>
      <c r="K28" s="321">
        <v>8.9</v>
      </c>
      <c r="L28" s="316" t="s">
        <v>215</v>
      </c>
      <c r="M28" s="321">
        <v>6</v>
      </c>
      <c r="N28" s="321">
        <v>0.09</v>
      </c>
      <c r="O28" s="321">
        <v>9.8000000000000007</v>
      </c>
    </row>
    <row r="29" spans="1:15" ht="13.5" customHeight="1" x14ac:dyDescent="0.25">
      <c r="A29" s="323">
        <v>18</v>
      </c>
      <c r="B29" s="322" t="s">
        <v>333</v>
      </c>
      <c r="C29" s="322"/>
      <c r="D29" s="322"/>
      <c r="E29" s="321">
        <v>4.8499999999999996</v>
      </c>
      <c r="F29" s="317">
        <v>1.131</v>
      </c>
      <c r="G29" s="321">
        <v>81</v>
      </c>
      <c r="H29" s="321">
        <v>30.2</v>
      </c>
      <c r="I29" s="321">
        <v>5.2</v>
      </c>
      <c r="J29" s="321">
        <v>81.099999999999994</v>
      </c>
      <c r="K29" s="321">
        <v>8.8000000000000007</v>
      </c>
      <c r="L29" s="316" t="s">
        <v>216</v>
      </c>
      <c r="M29" s="321">
        <v>8</v>
      </c>
      <c r="N29" s="321">
        <v>0.09</v>
      </c>
      <c r="O29" s="321">
        <v>10.3</v>
      </c>
    </row>
    <row r="30" spans="1:15" ht="13.5" customHeight="1" x14ac:dyDescent="0.25">
      <c r="A30" s="323">
        <v>19</v>
      </c>
      <c r="B30" s="322" t="s">
        <v>332</v>
      </c>
      <c r="C30" s="322"/>
      <c r="D30" s="322"/>
      <c r="E30" s="321">
        <v>5.04</v>
      </c>
      <c r="F30" s="317">
        <v>1.123</v>
      </c>
      <c r="G30" s="321">
        <v>80.400000000000006</v>
      </c>
      <c r="H30" s="321">
        <v>28.4</v>
      </c>
      <c r="I30" s="321">
        <v>5.6</v>
      </c>
      <c r="J30" s="321">
        <v>80.2</v>
      </c>
      <c r="K30" s="321">
        <v>8.9</v>
      </c>
      <c r="L30" s="316" t="s">
        <v>215</v>
      </c>
      <c r="M30" s="321">
        <v>9</v>
      </c>
      <c r="N30" s="321">
        <v>0.09</v>
      </c>
      <c r="O30" s="321">
        <v>12.1</v>
      </c>
    </row>
    <row r="31" spans="1:15" ht="14.25" customHeight="1" x14ac:dyDescent="0.25">
      <c r="A31" s="323">
        <v>20</v>
      </c>
      <c r="B31" s="322" t="s">
        <v>331</v>
      </c>
      <c r="C31" s="322"/>
      <c r="D31" s="322"/>
      <c r="E31" s="321">
        <v>4.8600000000000003</v>
      </c>
      <c r="F31" s="317">
        <v>1.1379999999999999</v>
      </c>
      <c r="G31" s="321">
        <v>82.3</v>
      </c>
      <c r="H31" s="321">
        <v>31.5</v>
      </c>
      <c r="I31" s="321">
        <v>5.3</v>
      </c>
      <c r="J31" s="321">
        <v>82.1</v>
      </c>
      <c r="K31" s="321">
        <v>8.6</v>
      </c>
      <c r="L31" s="316" t="s">
        <v>216</v>
      </c>
      <c r="M31" s="321">
        <v>10</v>
      </c>
      <c r="N31" s="321">
        <v>0.12</v>
      </c>
      <c r="O31" s="321">
        <v>9.1999999999999993</v>
      </c>
    </row>
    <row r="32" spans="1:15" ht="13.5" customHeight="1" x14ac:dyDescent="0.25">
      <c r="A32" s="323">
        <v>21</v>
      </c>
      <c r="B32" s="322" t="s">
        <v>330</v>
      </c>
      <c r="C32" s="322"/>
      <c r="D32" s="322"/>
      <c r="E32" s="321">
        <v>4.68</v>
      </c>
      <c r="F32" s="317">
        <v>1.151</v>
      </c>
      <c r="G32" s="321">
        <v>81.099999999999994</v>
      </c>
      <c r="H32" s="321">
        <v>29.2</v>
      </c>
      <c r="I32" s="321">
        <v>5.3</v>
      </c>
      <c r="J32" s="321">
        <v>79.599999999999994</v>
      </c>
      <c r="K32" s="321">
        <v>9</v>
      </c>
      <c r="L32" s="316" t="s">
        <v>215</v>
      </c>
      <c r="M32" s="321">
        <v>13</v>
      </c>
      <c r="N32" s="321">
        <v>0.12</v>
      </c>
      <c r="O32" s="321">
        <v>9.1999999999999993</v>
      </c>
    </row>
    <row r="33" spans="1:15" ht="13.5" customHeight="1" x14ac:dyDescent="0.25">
      <c r="A33" s="323">
        <v>22</v>
      </c>
      <c r="B33" s="322" t="s">
        <v>329</v>
      </c>
      <c r="C33" s="322"/>
      <c r="D33" s="322"/>
      <c r="E33" s="321">
        <v>4.8600000000000003</v>
      </c>
      <c r="F33" s="317">
        <v>1.1040000000000001</v>
      </c>
      <c r="G33" s="321">
        <v>81.7</v>
      </c>
      <c r="H33" s="321">
        <v>28.5</v>
      </c>
      <c r="I33" s="321">
        <v>5</v>
      </c>
      <c r="J33" s="321">
        <v>78.2</v>
      </c>
      <c r="K33" s="321">
        <v>8.8000000000000007</v>
      </c>
      <c r="L33" s="316" t="s">
        <v>217</v>
      </c>
      <c r="M33" s="321">
        <v>18</v>
      </c>
      <c r="N33" s="321">
        <v>0.47</v>
      </c>
      <c r="O33" s="321">
        <v>9.6</v>
      </c>
    </row>
    <row r="34" spans="1:15" ht="13.5" customHeight="1" x14ac:dyDescent="0.25">
      <c r="A34" s="323">
        <v>23</v>
      </c>
      <c r="B34" s="322" t="s">
        <v>188</v>
      </c>
      <c r="C34" s="322"/>
      <c r="D34" s="322"/>
      <c r="E34" s="321">
        <v>3.98</v>
      </c>
      <c r="F34" s="317">
        <v>1.032</v>
      </c>
      <c r="G34" s="321">
        <v>79.5</v>
      </c>
      <c r="H34" s="321">
        <v>27.3</v>
      </c>
      <c r="I34" s="321">
        <v>4.9000000000000004</v>
      </c>
      <c r="J34" s="321">
        <v>78.900000000000006</v>
      </c>
      <c r="K34" s="321">
        <v>9</v>
      </c>
      <c r="L34" s="316" t="s">
        <v>215</v>
      </c>
      <c r="M34" s="321">
        <v>12</v>
      </c>
      <c r="N34" s="321">
        <v>0.18</v>
      </c>
      <c r="O34" s="321">
        <v>14.6</v>
      </c>
    </row>
    <row r="35" spans="1:15" ht="14.25" customHeight="1" x14ac:dyDescent="0.25">
      <c r="A35" s="323">
        <v>24</v>
      </c>
      <c r="B35" s="322" t="s">
        <v>198</v>
      </c>
      <c r="C35" s="322"/>
      <c r="D35" s="322"/>
      <c r="E35" s="321">
        <v>4.74</v>
      </c>
      <c r="F35" s="317">
        <v>1.099</v>
      </c>
      <c r="G35" s="321">
        <v>81.8</v>
      </c>
      <c r="H35" s="321">
        <v>30.2</v>
      </c>
      <c r="I35" s="321">
        <v>4.5999999999999996</v>
      </c>
      <c r="J35" s="321">
        <v>78.5</v>
      </c>
      <c r="K35" s="321">
        <v>8.5</v>
      </c>
      <c r="L35" s="316" t="s">
        <v>65</v>
      </c>
      <c r="M35" s="321">
        <v>13</v>
      </c>
      <c r="N35" s="321">
        <v>0.21</v>
      </c>
      <c r="O35" s="321">
        <v>9.9</v>
      </c>
    </row>
    <row r="36" spans="1:15" ht="13.5" customHeight="1" x14ac:dyDescent="0.25">
      <c r="A36" s="323">
        <v>25</v>
      </c>
      <c r="B36" s="322" t="s">
        <v>208</v>
      </c>
      <c r="C36" s="322"/>
      <c r="D36" s="322"/>
      <c r="E36" s="321">
        <v>4.5199999999999996</v>
      </c>
      <c r="F36" s="317">
        <v>1.1519999999999999</v>
      </c>
      <c r="G36" s="321">
        <v>81.3</v>
      </c>
      <c r="H36" s="321">
        <v>28.4</v>
      </c>
      <c r="I36" s="321">
        <v>5.3</v>
      </c>
      <c r="J36" s="321">
        <v>80.599999999999994</v>
      </c>
      <c r="K36" s="321">
        <v>9</v>
      </c>
      <c r="L36" s="316" t="s">
        <v>216</v>
      </c>
      <c r="M36" s="321">
        <v>8</v>
      </c>
      <c r="N36" s="321">
        <v>0.15</v>
      </c>
      <c r="O36" s="321">
        <v>9.5</v>
      </c>
    </row>
    <row r="37" spans="1:15" ht="13.5" customHeight="1" x14ac:dyDescent="0.25">
      <c r="A37" s="323">
        <v>26</v>
      </c>
      <c r="B37" s="322" t="s">
        <v>184</v>
      </c>
      <c r="C37" s="322"/>
      <c r="D37" s="322"/>
      <c r="E37" s="321">
        <v>3.63</v>
      </c>
      <c r="F37" s="317">
        <v>1.115</v>
      </c>
      <c r="G37" s="321">
        <v>81.400000000000006</v>
      </c>
      <c r="H37" s="321">
        <v>29.7</v>
      </c>
      <c r="I37" s="321">
        <v>4.7</v>
      </c>
      <c r="J37" s="321">
        <v>78.5</v>
      </c>
      <c r="K37" s="321">
        <v>9</v>
      </c>
      <c r="L37" s="316" t="s">
        <v>215</v>
      </c>
      <c r="M37" s="321">
        <v>16</v>
      </c>
      <c r="N37" s="321">
        <v>0.11</v>
      </c>
      <c r="O37" s="321">
        <v>9.1999999999999993</v>
      </c>
    </row>
    <row r="38" spans="1:15" ht="13.5" customHeight="1" x14ac:dyDescent="0.25">
      <c r="A38" s="323">
        <v>27</v>
      </c>
      <c r="B38" s="322" t="s">
        <v>185</v>
      </c>
      <c r="C38" s="322"/>
      <c r="D38" s="322"/>
      <c r="E38" s="321">
        <v>4.54</v>
      </c>
      <c r="F38" s="317">
        <v>1.137</v>
      </c>
      <c r="G38" s="321">
        <v>82.3</v>
      </c>
      <c r="H38" s="321">
        <v>31.2</v>
      </c>
      <c r="I38" s="321">
        <v>5.0999999999999996</v>
      </c>
      <c r="J38" s="321">
        <v>80.7</v>
      </c>
      <c r="K38" s="321">
        <v>8.9</v>
      </c>
      <c r="L38" s="316" t="s">
        <v>216</v>
      </c>
      <c r="M38" s="321">
        <v>9</v>
      </c>
      <c r="N38" s="321">
        <v>0.13</v>
      </c>
      <c r="O38" s="321">
        <v>8.1</v>
      </c>
    </row>
    <row r="39" spans="1:15" ht="13.5" customHeight="1" x14ac:dyDescent="0.25">
      <c r="A39" s="323">
        <v>28</v>
      </c>
      <c r="B39" s="322" t="s">
        <v>204</v>
      </c>
      <c r="C39" s="322"/>
      <c r="D39" s="322"/>
      <c r="E39" s="321">
        <v>4.59</v>
      </c>
      <c r="F39" s="317">
        <v>1.1579999999999999</v>
      </c>
      <c r="G39" s="321">
        <v>81.400000000000006</v>
      </c>
      <c r="H39" s="321">
        <v>29.5</v>
      </c>
      <c r="I39" s="321">
        <v>5.2</v>
      </c>
      <c r="J39" s="321">
        <v>80.2</v>
      </c>
      <c r="K39" s="321">
        <v>8.6</v>
      </c>
      <c r="L39" s="316" t="s">
        <v>215</v>
      </c>
      <c r="M39" s="321">
        <v>9</v>
      </c>
      <c r="N39" s="321">
        <v>0.1</v>
      </c>
      <c r="O39" s="321">
        <v>8.9</v>
      </c>
    </row>
    <row r="40" spans="1:15" ht="14.25" customHeight="1" x14ac:dyDescent="0.25">
      <c r="A40" s="323">
        <v>29</v>
      </c>
      <c r="B40" s="322" t="s">
        <v>328</v>
      </c>
      <c r="C40" s="322"/>
      <c r="D40" s="322"/>
      <c r="E40" s="321">
        <v>4.97</v>
      </c>
      <c r="F40" s="317">
        <v>1.161</v>
      </c>
      <c r="G40" s="321">
        <v>81.7</v>
      </c>
      <c r="H40" s="321">
        <v>30.4</v>
      </c>
      <c r="I40" s="321">
        <v>5.3</v>
      </c>
      <c r="J40" s="321">
        <v>80.400000000000006</v>
      </c>
      <c r="K40" s="321">
        <v>9.1999999999999993</v>
      </c>
      <c r="L40" s="316" t="s">
        <v>215</v>
      </c>
      <c r="M40" s="321">
        <v>18</v>
      </c>
      <c r="N40" s="321">
        <v>0.44</v>
      </c>
      <c r="O40" s="321">
        <v>8.3000000000000007</v>
      </c>
    </row>
    <row r="41" spans="1:15" ht="13.5" customHeight="1" x14ac:dyDescent="0.25">
      <c r="A41" s="323">
        <v>30</v>
      </c>
      <c r="B41" s="322" t="s">
        <v>194</v>
      </c>
      <c r="C41" s="322"/>
      <c r="D41" s="322"/>
      <c r="E41" s="321">
        <v>3.75</v>
      </c>
      <c r="F41" s="317">
        <v>1.149</v>
      </c>
      <c r="G41" s="321">
        <v>81.900000000000006</v>
      </c>
      <c r="H41" s="321">
        <v>30</v>
      </c>
      <c r="I41" s="321">
        <v>5.0999999999999996</v>
      </c>
      <c r="J41" s="321">
        <v>78.7</v>
      </c>
      <c r="K41" s="321">
        <v>8.8000000000000007</v>
      </c>
      <c r="L41" s="316" t="s">
        <v>65</v>
      </c>
      <c r="M41" s="321">
        <v>11</v>
      </c>
      <c r="N41" s="321">
        <v>0.11</v>
      </c>
      <c r="O41" s="321">
        <v>9.5</v>
      </c>
    </row>
    <row r="42" spans="1:15" ht="13.5" customHeight="1" x14ac:dyDescent="0.25">
      <c r="A42" s="323">
        <v>31</v>
      </c>
      <c r="B42" s="322" t="s">
        <v>327</v>
      </c>
      <c r="C42" s="322"/>
      <c r="D42" s="322"/>
      <c r="E42" s="321">
        <v>4.6500000000000004</v>
      </c>
      <c r="F42" s="317">
        <v>1.143</v>
      </c>
      <c r="G42" s="321">
        <v>81.5</v>
      </c>
      <c r="H42" s="321">
        <v>29.9</v>
      </c>
      <c r="I42" s="321">
        <v>5.5</v>
      </c>
      <c r="J42" s="321">
        <v>81.400000000000006</v>
      </c>
      <c r="K42" s="321">
        <v>8.8000000000000007</v>
      </c>
      <c r="L42" s="316" t="s">
        <v>216</v>
      </c>
      <c r="M42" s="321">
        <v>12</v>
      </c>
      <c r="N42" s="321">
        <v>0.12</v>
      </c>
      <c r="O42" s="321">
        <v>10.3</v>
      </c>
    </row>
    <row r="43" spans="1:15" ht="13.5" customHeight="1" x14ac:dyDescent="0.25">
      <c r="A43" s="323">
        <v>32</v>
      </c>
      <c r="B43" s="322" t="s">
        <v>182</v>
      </c>
      <c r="C43" s="322"/>
      <c r="D43" s="322"/>
      <c r="E43" s="321">
        <v>3.61</v>
      </c>
      <c r="F43" s="317">
        <v>1.0589999999999999</v>
      </c>
      <c r="G43" s="321">
        <v>80</v>
      </c>
      <c r="H43" s="321">
        <v>26</v>
      </c>
      <c r="I43" s="321">
        <v>4.7</v>
      </c>
      <c r="J43" s="321">
        <v>76.099999999999994</v>
      </c>
      <c r="K43" s="321">
        <v>9</v>
      </c>
      <c r="L43" s="316" t="s">
        <v>214</v>
      </c>
      <c r="M43" s="321">
        <v>26</v>
      </c>
      <c r="N43" s="321">
        <v>0.49</v>
      </c>
      <c r="O43" s="321">
        <v>12.3</v>
      </c>
    </row>
    <row r="44" spans="1:15" ht="14.25" customHeight="1" x14ac:dyDescent="0.25">
      <c r="A44" s="323">
        <v>33</v>
      </c>
      <c r="B44" s="322" t="s">
        <v>213</v>
      </c>
      <c r="C44" s="322"/>
      <c r="D44" s="322"/>
      <c r="E44" s="321">
        <v>4.67</v>
      </c>
      <c r="F44" s="317">
        <v>1.07</v>
      </c>
      <c r="G44" s="321">
        <v>81</v>
      </c>
      <c r="H44" s="321">
        <v>28.3</v>
      </c>
      <c r="I44" s="321">
        <v>5.0999999999999996</v>
      </c>
      <c r="J44" s="321">
        <v>77.2</v>
      </c>
      <c r="K44" s="321">
        <v>9.4</v>
      </c>
      <c r="L44" s="316" t="s">
        <v>79</v>
      </c>
      <c r="M44" s="321">
        <v>26</v>
      </c>
      <c r="N44" s="321">
        <v>0.23</v>
      </c>
      <c r="O44" s="321">
        <v>10.6</v>
      </c>
    </row>
    <row r="45" spans="1:15" ht="13.5" customHeight="1" x14ac:dyDescent="0.25">
      <c r="A45" s="323">
        <v>34</v>
      </c>
      <c r="B45" s="322" t="s">
        <v>193</v>
      </c>
      <c r="C45" s="322"/>
      <c r="D45" s="322"/>
      <c r="E45" s="321">
        <v>4.5999999999999996</v>
      </c>
      <c r="F45" s="317">
        <v>1.1419999999999999</v>
      </c>
      <c r="G45" s="321">
        <v>81.599999999999994</v>
      </c>
      <c r="H45" s="321">
        <v>30</v>
      </c>
      <c r="I45" s="321">
        <v>5</v>
      </c>
      <c r="J45" s="321">
        <v>80.3</v>
      </c>
      <c r="K45" s="321">
        <v>9</v>
      </c>
      <c r="L45" s="316" t="s">
        <v>215</v>
      </c>
      <c r="M45" s="321">
        <v>7</v>
      </c>
      <c r="N45" s="321">
        <v>0.1</v>
      </c>
      <c r="O45" s="321">
        <v>9</v>
      </c>
    </row>
    <row r="46" spans="1:15" ht="13.5" customHeight="1" x14ac:dyDescent="0.25">
      <c r="A46" s="323">
        <v>35</v>
      </c>
      <c r="B46" s="322" t="s">
        <v>207</v>
      </c>
      <c r="C46" s="322"/>
      <c r="D46" s="322"/>
      <c r="E46" s="321">
        <v>4.97</v>
      </c>
      <c r="F46" s="317">
        <v>1.109</v>
      </c>
      <c r="G46" s="321">
        <v>82.9</v>
      </c>
      <c r="H46" s="321">
        <v>31.1</v>
      </c>
      <c r="I46" s="321">
        <v>4.5999999999999996</v>
      </c>
      <c r="J46" s="321">
        <v>78.099999999999994</v>
      </c>
      <c r="K46" s="321">
        <v>8.6999999999999993</v>
      </c>
      <c r="L46" s="316" t="s">
        <v>217</v>
      </c>
      <c r="M46" s="321">
        <v>15</v>
      </c>
      <c r="N46" s="321">
        <v>0.37</v>
      </c>
      <c r="O46" s="321">
        <v>8</v>
      </c>
    </row>
    <row r="47" spans="1:15" ht="13.5" customHeight="1" x14ac:dyDescent="0.25">
      <c r="A47" s="323">
        <v>36</v>
      </c>
      <c r="B47" s="322" t="s">
        <v>205</v>
      </c>
      <c r="C47" s="322"/>
      <c r="D47" s="322"/>
      <c r="E47" s="321">
        <v>4.38</v>
      </c>
      <c r="F47" s="317">
        <v>1.151</v>
      </c>
      <c r="G47" s="321">
        <v>82</v>
      </c>
      <c r="H47" s="321">
        <v>30.1</v>
      </c>
      <c r="I47" s="321">
        <v>5.2</v>
      </c>
      <c r="J47" s="321">
        <v>81.099999999999994</v>
      </c>
      <c r="K47" s="321">
        <v>9.1999999999999993</v>
      </c>
      <c r="L47" s="316" t="s">
        <v>218</v>
      </c>
      <c r="M47" s="321">
        <v>17</v>
      </c>
      <c r="N47" s="321">
        <v>0.11</v>
      </c>
      <c r="O47" s="321">
        <v>9.1</v>
      </c>
    </row>
    <row r="48" spans="1:15" ht="14.25" customHeight="1" x14ac:dyDescent="0.25">
      <c r="A48" s="323">
        <v>37</v>
      </c>
      <c r="B48" s="322" t="s">
        <v>209</v>
      </c>
      <c r="C48" s="322"/>
      <c r="D48" s="322"/>
      <c r="E48" s="321">
        <v>4.3600000000000003</v>
      </c>
      <c r="F48" s="317">
        <v>1.125</v>
      </c>
      <c r="G48" s="321">
        <v>82</v>
      </c>
      <c r="H48" s="321">
        <v>30.7</v>
      </c>
      <c r="I48" s="321">
        <v>5.0999999999999996</v>
      </c>
      <c r="J48" s="321">
        <v>80.7</v>
      </c>
      <c r="K48" s="321">
        <v>9.1</v>
      </c>
      <c r="L48" s="316" t="s">
        <v>216</v>
      </c>
      <c r="M48" s="321">
        <v>10</v>
      </c>
      <c r="N48" s="321">
        <v>0.08</v>
      </c>
      <c r="O48" s="321">
        <v>9.4</v>
      </c>
    </row>
    <row r="49" spans="1:15" ht="13.5" customHeight="1" x14ac:dyDescent="0.25">
      <c r="A49" s="323">
        <v>38</v>
      </c>
      <c r="B49" s="322" t="s">
        <v>186</v>
      </c>
      <c r="C49" s="322"/>
      <c r="D49" s="322"/>
      <c r="E49" s="321">
        <v>4.0199999999999996</v>
      </c>
      <c r="F49" s="317">
        <v>1.083</v>
      </c>
      <c r="G49" s="321">
        <v>80.3</v>
      </c>
      <c r="H49" s="321">
        <v>27</v>
      </c>
      <c r="I49" s="321">
        <v>5</v>
      </c>
      <c r="J49" s="321">
        <v>78.900000000000006</v>
      </c>
      <c r="K49" s="321">
        <v>9</v>
      </c>
      <c r="L49" s="316" t="s">
        <v>215</v>
      </c>
      <c r="M49" s="321">
        <v>10</v>
      </c>
      <c r="N49" s="321">
        <v>0.16</v>
      </c>
      <c r="O49" s="321">
        <v>12.3</v>
      </c>
    </row>
    <row r="50" spans="1:15" ht="13.5" customHeight="1" x14ac:dyDescent="0.25">
      <c r="A50" s="323">
        <v>39</v>
      </c>
      <c r="B50" s="322" t="s">
        <v>201</v>
      </c>
      <c r="C50" s="322"/>
      <c r="D50" s="322"/>
      <c r="E50" s="321">
        <v>4.53</v>
      </c>
      <c r="F50" s="317">
        <v>1.107</v>
      </c>
      <c r="G50" s="321">
        <v>80.8</v>
      </c>
      <c r="H50" s="321">
        <v>29.6</v>
      </c>
      <c r="I50" s="321">
        <v>4.9000000000000004</v>
      </c>
      <c r="J50" s="321">
        <v>79.599999999999994</v>
      </c>
      <c r="K50" s="321">
        <v>9.1</v>
      </c>
      <c r="L50" s="316" t="s">
        <v>215</v>
      </c>
      <c r="M50" s="321">
        <v>16</v>
      </c>
      <c r="N50" s="321">
        <v>0.19</v>
      </c>
      <c r="O50" s="321">
        <v>9.9</v>
      </c>
    </row>
    <row r="51" spans="1:15" ht="13.5" customHeight="1" x14ac:dyDescent="0.25">
      <c r="A51" s="323">
        <v>40</v>
      </c>
      <c r="B51" s="322" t="s">
        <v>189</v>
      </c>
      <c r="C51" s="322"/>
      <c r="D51" s="322"/>
      <c r="E51" s="321">
        <v>4.9000000000000004</v>
      </c>
      <c r="F51" s="317">
        <v>1.085</v>
      </c>
      <c r="G51" s="321">
        <v>81.5</v>
      </c>
      <c r="H51" s="321">
        <v>29.4</v>
      </c>
      <c r="I51" s="321">
        <v>4.8</v>
      </c>
      <c r="J51" s="321">
        <v>77.7</v>
      </c>
      <c r="K51" s="321">
        <v>8.4</v>
      </c>
      <c r="L51" s="316" t="s">
        <v>217</v>
      </c>
      <c r="M51" s="321">
        <v>16</v>
      </c>
      <c r="N51" s="321">
        <v>0.18</v>
      </c>
      <c r="O51" s="321">
        <v>10.5</v>
      </c>
    </row>
    <row r="52" spans="1:15" ht="14.25" customHeight="1" x14ac:dyDescent="0.25">
      <c r="A52" s="323">
        <v>41</v>
      </c>
      <c r="B52" s="322" t="s">
        <v>200</v>
      </c>
      <c r="C52" s="322"/>
      <c r="D52" s="322"/>
      <c r="E52" s="321">
        <v>4.53</v>
      </c>
      <c r="F52" s="317">
        <v>1.097</v>
      </c>
      <c r="G52" s="321">
        <v>80.5</v>
      </c>
      <c r="H52" s="321">
        <v>29.9</v>
      </c>
      <c r="I52" s="321">
        <v>4.9000000000000004</v>
      </c>
      <c r="J52" s="321">
        <v>79.599999999999994</v>
      </c>
      <c r="K52" s="321">
        <v>8.5</v>
      </c>
      <c r="L52" s="316" t="s">
        <v>215</v>
      </c>
      <c r="M52" s="321">
        <v>9</v>
      </c>
      <c r="N52" s="321">
        <v>0.14000000000000001</v>
      </c>
      <c r="O52" s="321">
        <v>10.9</v>
      </c>
    </row>
    <row r="53" spans="1:15" ht="13.5" customHeight="1" x14ac:dyDescent="0.25">
      <c r="A53" s="323">
        <v>42</v>
      </c>
      <c r="B53" s="322" t="s">
        <v>183</v>
      </c>
      <c r="C53" s="322"/>
      <c r="D53" s="322"/>
      <c r="E53" s="321">
        <v>4.38</v>
      </c>
      <c r="F53" s="317">
        <v>1.0569999999999999</v>
      </c>
      <c r="G53" s="321">
        <v>81.7</v>
      </c>
      <c r="H53" s="321">
        <v>27.7</v>
      </c>
      <c r="I53" s="321">
        <v>4.7</v>
      </c>
      <c r="J53" s="321">
        <v>78.5</v>
      </c>
      <c r="K53" s="321">
        <v>8.8000000000000007</v>
      </c>
      <c r="L53" s="316" t="s">
        <v>65</v>
      </c>
      <c r="M53" s="321">
        <v>20</v>
      </c>
      <c r="N53" s="321">
        <v>0.32</v>
      </c>
      <c r="O53" s="321">
        <v>11.3</v>
      </c>
    </row>
    <row r="54" spans="1:15" ht="13.5" customHeight="1" x14ac:dyDescent="0.25">
      <c r="A54" s="323">
        <v>43</v>
      </c>
      <c r="B54" s="322" t="s">
        <v>206</v>
      </c>
      <c r="C54" s="322"/>
      <c r="D54" s="322"/>
      <c r="E54" s="321">
        <v>4.96</v>
      </c>
      <c r="F54" s="317">
        <v>1.111</v>
      </c>
      <c r="G54" s="321">
        <v>82.6</v>
      </c>
      <c r="H54" s="321">
        <v>30.5</v>
      </c>
      <c r="I54" s="321">
        <v>4.9000000000000004</v>
      </c>
      <c r="J54" s="321">
        <v>79.8</v>
      </c>
      <c r="K54" s="321">
        <v>8.4</v>
      </c>
      <c r="L54" s="316" t="s">
        <v>65</v>
      </c>
      <c r="M54" s="321">
        <v>13</v>
      </c>
      <c r="N54" s="321">
        <v>0.2</v>
      </c>
      <c r="O54" s="321">
        <v>9</v>
      </c>
    </row>
    <row r="55" spans="1:15" ht="13.5" customHeight="1" x14ac:dyDescent="0.25">
      <c r="A55" s="323">
        <v>44</v>
      </c>
      <c r="B55" s="322" t="s">
        <v>211</v>
      </c>
      <c r="C55" s="322"/>
      <c r="D55" s="322"/>
      <c r="E55" s="321">
        <v>4.41</v>
      </c>
      <c r="F55" s="317">
        <v>1.107</v>
      </c>
      <c r="G55" s="321">
        <v>81.8</v>
      </c>
      <c r="H55" s="321">
        <v>30.1</v>
      </c>
      <c r="I55" s="321">
        <v>5.0999999999999996</v>
      </c>
      <c r="J55" s="321">
        <v>79.8</v>
      </c>
      <c r="K55" s="321">
        <v>9</v>
      </c>
      <c r="L55" s="316" t="s">
        <v>215</v>
      </c>
      <c r="M55" s="321">
        <v>14</v>
      </c>
      <c r="N55" s="321">
        <v>0.31</v>
      </c>
      <c r="O55" s="321">
        <v>10</v>
      </c>
    </row>
    <row r="56" spans="1:15" ht="14.25" customHeight="1" x14ac:dyDescent="0.25">
      <c r="A56" s="323">
        <v>45</v>
      </c>
      <c r="B56" s="322" t="s">
        <v>210</v>
      </c>
      <c r="C56" s="322"/>
      <c r="D56" s="322"/>
      <c r="E56" s="321">
        <v>4.42</v>
      </c>
      <c r="F56" s="317">
        <v>1.169</v>
      </c>
      <c r="G56" s="321">
        <v>82.1</v>
      </c>
      <c r="H56" s="321">
        <v>30.7</v>
      </c>
      <c r="I56" s="321">
        <v>5.3</v>
      </c>
      <c r="J56" s="321">
        <v>80.599999999999994</v>
      </c>
      <c r="K56" s="321">
        <v>8.8000000000000007</v>
      </c>
      <c r="L56" s="316" t="s">
        <v>216</v>
      </c>
      <c r="M56" s="321">
        <v>8</v>
      </c>
      <c r="N56" s="321">
        <v>0.12</v>
      </c>
      <c r="O56" s="321">
        <v>8.1999999999999993</v>
      </c>
    </row>
    <row r="57" spans="1:15" ht="13.5" customHeight="1" x14ac:dyDescent="0.25">
      <c r="A57" s="323">
        <v>46</v>
      </c>
      <c r="B57" s="322" t="s">
        <v>197</v>
      </c>
      <c r="C57" s="322"/>
      <c r="D57" s="322"/>
      <c r="E57" s="321">
        <v>4.32</v>
      </c>
      <c r="F57" s="317">
        <v>1.107</v>
      </c>
      <c r="G57" s="321">
        <v>81.400000000000006</v>
      </c>
      <c r="H57" s="321">
        <v>29.9</v>
      </c>
      <c r="I57" s="321">
        <v>4.8</v>
      </c>
      <c r="J57" s="321">
        <v>78.2</v>
      </c>
      <c r="K57" s="321">
        <v>9.1</v>
      </c>
      <c r="L57" s="316" t="s">
        <v>65</v>
      </c>
      <c r="M57" s="321">
        <v>25</v>
      </c>
      <c r="N57" s="321">
        <v>0.31</v>
      </c>
      <c r="O57" s="321">
        <v>9.4</v>
      </c>
    </row>
    <row r="58" spans="1:15" ht="13.5" customHeight="1" x14ac:dyDescent="0.25">
      <c r="A58" s="323">
        <v>47</v>
      </c>
      <c r="B58" s="322" t="s">
        <v>203</v>
      </c>
      <c r="C58" s="322"/>
      <c r="D58" s="322"/>
      <c r="E58" s="321">
        <v>4.7699999999999996</v>
      </c>
      <c r="F58" s="317">
        <v>1.0660000000000001</v>
      </c>
      <c r="G58" s="321">
        <v>80.5</v>
      </c>
      <c r="H58" s="321">
        <v>28.3</v>
      </c>
      <c r="I58" s="321">
        <v>4.9000000000000004</v>
      </c>
      <c r="J58" s="321">
        <v>78.3</v>
      </c>
      <c r="K58" s="321">
        <v>8.8000000000000007</v>
      </c>
      <c r="L58" s="316" t="s">
        <v>217</v>
      </c>
      <c r="M58" s="321">
        <v>11</v>
      </c>
      <c r="N58" s="321">
        <v>0.28999999999999998</v>
      </c>
      <c r="O58" s="321">
        <v>10.9</v>
      </c>
    </row>
    <row r="59" spans="1:15" ht="13.5" customHeight="1" x14ac:dyDescent="0.25">
      <c r="A59" s="323">
        <v>48</v>
      </c>
      <c r="B59" s="322" t="s">
        <v>212</v>
      </c>
      <c r="C59" s="322"/>
      <c r="D59" s="322"/>
      <c r="E59" s="321">
        <v>4.54</v>
      </c>
      <c r="F59" s="317">
        <v>1.087</v>
      </c>
      <c r="G59" s="321">
        <v>81.7</v>
      </c>
      <c r="H59" s="321">
        <v>28.6</v>
      </c>
      <c r="I59" s="321">
        <v>4.7</v>
      </c>
      <c r="J59" s="321">
        <v>78.3</v>
      </c>
      <c r="K59" s="321">
        <v>8.9</v>
      </c>
      <c r="L59" s="316" t="s">
        <v>65</v>
      </c>
      <c r="M59" s="321">
        <v>8</v>
      </c>
      <c r="N59" s="321">
        <v>0.08</v>
      </c>
      <c r="O59" s="321">
        <v>9.5</v>
      </c>
    </row>
    <row r="60" spans="1:15" ht="14.25" customHeight="1" x14ac:dyDescent="0.25">
      <c r="A60" s="323">
        <v>49</v>
      </c>
      <c r="B60" s="322" t="s">
        <v>199</v>
      </c>
      <c r="C60" s="322"/>
      <c r="D60" s="322"/>
      <c r="E60" s="321">
        <v>4.75</v>
      </c>
      <c r="F60" s="317">
        <v>1.0669999999999999</v>
      </c>
      <c r="G60" s="321">
        <v>80.7</v>
      </c>
      <c r="H60" s="321">
        <v>27.7</v>
      </c>
      <c r="I60" s="321">
        <v>4.8</v>
      </c>
      <c r="J60" s="321">
        <v>76.8</v>
      </c>
      <c r="K60" s="321">
        <v>8.8000000000000007</v>
      </c>
      <c r="L60" s="316" t="s">
        <v>217</v>
      </c>
      <c r="M60" s="321">
        <v>22</v>
      </c>
      <c r="N60" s="321">
        <v>0.54</v>
      </c>
      <c r="O60" s="321">
        <v>10.9</v>
      </c>
    </row>
    <row r="61" spans="1:15" ht="13.5" customHeight="1" x14ac:dyDescent="0.25">
      <c r="A61" s="323">
        <v>50</v>
      </c>
      <c r="B61" s="322" t="s">
        <v>187</v>
      </c>
      <c r="C61" s="322"/>
      <c r="D61" s="322"/>
      <c r="E61" s="321">
        <v>4.7300000000000004</v>
      </c>
      <c r="F61" s="317">
        <v>1.1359999999999999</v>
      </c>
      <c r="G61" s="321">
        <v>82.4</v>
      </c>
      <c r="H61" s="321">
        <v>29.3</v>
      </c>
      <c r="I61" s="321">
        <v>5.0999999999999996</v>
      </c>
      <c r="J61" s="321">
        <v>80.3</v>
      </c>
      <c r="K61" s="321">
        <v>8.6999999999999993</v>
      </c>
      <c r="L61" s="316" t="s">
        <v>215</v>
      </c>
      <c r="M61" s="321">
        <v>9</v>
      </c>
      <c r="N61" s="321">
        <v>0.15</v>
      </c>
      <c r="O61" s="321">
        <v>9</v>
      </c>
    </row>
    <row r="62" spans="1:15" ht="13.5" customHeight="1" x14ac:dyDescent="0.25">
      <c r="A62" s="323">
        <v>51</v>
      </c>
      <c r="B62" s="322" t="s">
        <v>202</v>
      </c>
      <c r="C62" s="322"/>
      <c r="D62" s="322"/>
      <c r="E62" s="321">
        <v>4.84</v>
      </c>
      <c r="F62" s="317">
        <v>1.071</v>
      </c>
      <c r="G62" s="321">
        <v>81.3</v>
      </c>
      <c r="H62" s="321">
        <v>28.8</v>
      </c>
      <c r="I62" s="321">
        <v>4.7</v>
      </c>
      <c r="J62" s="321">
        <v>78.400000000000006</v>
      </c>
      <c r="K62" s="321">
        <v>8.4</v>
      </c>
      <c r="L62" s="316" t="s">
        <v>217</v>
      </c>
      <c r="M62" s="321">
        <v>20</v>
      </c>
      <c r="N62" s="321">
        <v>0.37</v>
      </c>
      <c r="O62" s="321">
        <v>10.3</v>
      </c>
    </row>
    <row r="63" spans="1:15" ht="13.5" customHeight="1" x14ac:dyDescent="0.25">
      <c r="A63" s="323">
        <v>52</v>
      </c>
      <c r="B63" s="322" t="s">
        <v>191</v>
      </c>
      <c r="C63" s="322"/>
      <c r="D63" s="322"/>
      <c r="E63" s="321">
        <v>4.43</v>
      </c>
      <c r="F63" s="317">
        <v>1.0660000000000001</v>
      </c>
      <c r="G63" s="321">
        <v>81.5</v>
      </c>
      <c r="H63" s="321">
        <v>27</v>
      </c>
      <c r="I63" s="321">
        <v>4.8</v>
      </c>
      <c r="J63" s="321">
        <v>78.099999999999994</v>
      </c>
      <c r="K63" s="321">
        <v>8.8000000000000007</v>
      </c>
      <c r="L63" s="316" t="s">
        <v>217</v>
      </c>
      <c r="M63" s="321">
        <v>21</v>
      </c>
      <c r="N63" s="321">
        <v>0.45</v>
      </c>
      <c r="O63" s="321">
        <v>10.6</v>
      </c>
    </row>
    <row r="64" spans="1:15" ht="13.5" customHeight="1" x14ac:dyDescent="0.25">
      <c r="A64" s="323">
        <v>53</v>
      </c>
      <c r="B64" s="322" t="s">
        <v>192</v>
      </c>
      <c r="C64" s="322"/>
      <c r="D64" s="322"/>
      <c r="E64" s="321">
        <v>3.99</v>
      </c>
      <c r="F64" s="317">
        <v>1.0980000000000001</v>
      </c>
      <c r="G64" s="321">
        <v>80.599999999999994</v>
      </c>
      <c r="H64" s="321">
        <v>27.9</v>
      </c>
      <c r="I64" s="321">
        <v>5</v>
      </c>
      <c r="J64" s="321">
        <v>79</v>
      </c>
      <c r="K64" s="321">
        <v>9.1</v>
      </c>
      <c r="L64" s="316" t="s">
        <v>215</v>
      </c>
      <c r="M64" s="321">
        <v>17</v>
      </c>
      <c r="N64" s="321">
        <v>0.32</v>
      </c>
      <c r="O64" s="321">
        <v>11.2</v>
      </c>
    </row>
    <row r="65" spans="1:15" ht="14.25" customHeight="1" x14ac:dyDescent="0.25">
      <c r="A65" s="323">
        <v>54</v>
      </c>
      <c r="B65" s="322" t="s">
        <v>196</v>
      </c>
      <c r="C65" s="322"/>
      <c r="D65" s="322"/>
      <c r="E65" s="321">
        <v>3.91</v>
      </c>
      <c r="F65" s="317">
        <v>1.056</v>
      </c>
      <c r="G65" s="321">
        <v>79.7</v>
      </c>
      <c r="H65" s="321">
        <v>26.8</v>
      </c>
      <c r="I65" s="321">
        <v>5</v>
      </c>
      <c r="J65" s="321">
        <v>77.099999999999994</v>
      </c>
      <c r="K65" s="321">
        <v>9.1</v>
      </c>
      <c r="L65" s="316" t="s">
        <v>214</v>
      </c>
      <c r="M65" s="321">
        <v>21</v>
      </c>
      <c r="N65" s="321">
        <v>0.44</v>
      </c>
      <c r="O65" s="321">
        <v>12</v>
      </c>
    </row>
    <row r="66" spans="1:15" ht="13.5" customHeight="1" x14ac:dyDescent="0.25">
      <c r="A66" s="323">
        <v>55</v>
      </c>
      <c r="B66" s="322" t="s">
        <v>190</v>
      </c>
      <c r="C66" s="322"/>
      <c r="D66" s="322"/>
      <c r="E66" s="321">
        <v>4.08</v>
      </c>
      <c r="F66" s="317">
        <v>1.0049999999999999</v>
      </c>
      <c r="G66" s="321">
        <v>79.599999999999994</v>
      </c>
      <c r="H66" s="321">
        <v>26.2</v>
      </c>
      <c r="I66" s="321">
        <v>4.7</v>
      </c>
      <c r="J66" s="321">
        <v>78.2</v>
      </c>
      <c r="K66" s="321">
        <v>9.1</v>
      </c>
      <c r="L66" s="316" t="s">
        <v>65</v>
      </c>
      <c r="M66" s="321">
        <v>25</v>
      </c>
      <c r="N66" s="321">
        <v>0.36</v>
      </c>
      <c r="O66" s="321">
        <v>15.5</v>
      </c>
    </row>
    <row r="67" spans="1:15" ht="13.5" customHeight="1" x14ac:dyDescent="0.25">
      <c r="A67" s="323">
        <v>56</v>
      </c>
      <c r="B67" s="322" t="s">
        <v>195</v>
      </c>
      <c r="C67" s="322"/>
      <c r="D67" s="322"/>
      <c r="E67" s="321">
        <v>4.26</v>
      </c>
      <c r="F67" s="317">
        <v>1.1639999999999999</v>
      </c>
      <c r="G67" s="321">
        <v>82.5</v>
      </c>
      <c r="H67" s="321">
        <v>30.7</v>
      </c>
      <c r="I67" s="321">
        <v>5.5</v>
      </c>
      <c r="J67" s="321">
        <v>81.2</v>
      </c>
      <c r="K67" s="321">
        <v>9.3000000000000007</v>
      </c>
      <c r="L67" s="316" t="s">
        <v>218</v>
      </c>
      <c r="M67" s="321">
        <v>11</v>
      </c>
      <c r="N67" s="321">
        <v>0.13</v>
      </c>
      <c r="O67" s="321">
        <v>7.9</v>
      </c>
    </row>
    <row r="68" spans="1:15" ht="1.5" customHeight="1" x14ac:dyDescent="0.25"/>
    <row r="69" spans="1:15" ht="13.5" customHeight="1" x14ac:dyDescent="0.25">
      <c r="A69" s="320">
        <v>56</v>
      </c>
      <c r="B69" s="320"/>
      <c r="C69" s="318" t="s">
        <v>326</v>
      </c>
      <c r="D69" s="318"/>
      <c r="E69" s="314">
        <v>4.5982142857142865</v>
      </c>
      <c r="F69" s="317">
        <v>1.1105714285714288</v>
      </c>
      <c r="G69" s="314">
        <v>81.253571428571419</v>
      </c>
      <c r="H69" s="314">
        <v>29.233928571428571</v>
      </c>
      <c r="I69" s="314">
        <v>5.0839285714285714</v>
      </c>
      <c r="J69" s="314">
        <v>79.671428571428564</v>
      </c>
      <c r="K69" s="314">
        <v>8.8857142857142843</v>
      </c>
      <c r="L69" s="316" t="s">
        <v>323</v>
      </c>
      <c r="M69" s="315">
        <v>12.821428571428571</v>
      </c>
      <c r="N69" s="314">
        <v>0.19892857142857143</v>
      </c>
      <c r="O69" s="314">
        <v>10.33392857142857</v>
      </c>
    </row>
    <row r="70" spans="1:15" ht="14.25" customHeight="1" x14ac:dyDescent="0.25">
      <c r="A70" s="319"/>
      <c r="B70" s="319"/>
      <c r="C70" s="318" t="s">
        <v>325</v>
      </c>
      <c r="D70" s="318"/>
      <c r="E70" s="314">
        <v>0.36733490858470702</v>
      </c>
      <c r="F70" s="317">
        <v>3.8623994964438711E-2</v>
      </c>
      <c r="G70" s="314">
        <v>1.0637778793636277</v>
      </c>
      <c r="H70" s="314">
        <v>1.4641506114423519</v>
      </c>
      <c r="I70" s="314">
        <v>0.26476527217641166</v>
      </c>
      <c r="J70" s="314">
        <v>1.3984035424484835</v>
      </c>
      <c r="K70" s="314">
        <v>0.27988866060929002</v>
      </c>
      <c r="L70" s="316" t="s">
        <v>323</v>
      </c>
      <c r="M70" s="315">
        <v>5.6892470914465001</v>
      </c>
      <c r="N70" s="314">
        <v>0.12730319672382109</v>
      </c>
      <c r="O70" s="314">
        <v>1.9519944845035981</v>
      </c>
    </row>
    <row r="71" spans="1:15" ht="13.5" customHeight="1" x14ac:dyDescent="0.25">
      <c r="A71" s="319"/>
      <c r="B71" s="319"/>
      <c r="C71" s="318" t="s">
        <v>324</v>
      </c>
      <c r="D71" s="318"/>
      <c r="E71" s="314">
        <v>7.9886426721334338</v>
      </c>
      <c r="F71" s="317">
        <v>3.4778487876391941</v>
      </c>
      <c r="G71" s="314">
        <v>1.3092075347097525</v>
      </c>
      <c r="H71" s="314">
        <v>5.0083949814166333</v>
      </c>
      <c r="I71" s="314">
        <v>5.2078873346958394</v>
      </c>
      <c r="J71" s="314">
        <v>1.7552133399927177</v>
      </c>
      <c r="K71" s="314">
        <v>3.1498723862781839</v>
      </c>
      <c r="L71" s="316" t="s">
        <v>323</v>
      </c>
      <c r="M71" s="315">
        <v>44.372957816295823</v>
      </c>
      <c r="N71" s="314">
        <v>63.994425642136278</v>
      </c>
      <c r="O71" s="314">
        <v>18.889181118403577</v>
      </c>
    </row>
    <row r="72" spans="1:15" ht="6" customHeight="1" x14ac:dyDescent="0.25"/>
    <row r="73" spans="1:15" ht="9" customHeight="1" x14ac:dyDescent="0.25"/>
    <row r="74" spans="1:15" ht="59.25" customHeight="1" x14ac:dyDescent="0.25">
      <c r="A74" s="313" t="s">
        <v>322</v>
      </c>
      <c r="B74" s="313"/>
      <c r="C74" s="313"/>
      <c r="D74" s="313"/>
      <c r="E74" s="313"/>
      <c r="F74" s="313"/>
      <c r="G74" s="313"/>
      <c r="H74" s="313"/>
      <c r="I74" s="313"/>
      <c r="J74" s="313"/>
      <c r="K74" s="313"/>
      <c r="L74" s="313"/>
      <c r="M74" s="313"/>
      <c r="N74" s="313"/>
      <c r="O74" s="313"/>
    </row>
  </sheetData>
  <mergeCells count="89">
    <mergeCell ref="B65:D65"/>
    <mergeCell ref="A71:B71"/>
    <mergeCell ref="C71:D71"/>
    <mergeCell ref="A74:O74"/>
    <mergeCell ref="B66:D66"/>
    <mergeCell ref="B67:D67"/>
    <mergeCell ref="A69:B69"/>
    <mergeCell ref="C69:D69"/>
    <mergeCell ref="A70:B70"/>
    <mergeCell ref="C70:D70"/>
    <mergeCell ref="B59:D59"/>
    <mergeCell ref="B60:D60"/>
    <mergeCell ref="B61:D61"/>
    <mergeCell ref="B62:D62"/>
    <mergeCell ref="B63:D63"/>
    <mergeCell ref="B64:D64"/>
    <mergeCell ref="B53:D53"/>
    <mergeCell ref="B54:D54"/>
    <mergeCell ref="B55:D55"/>
    <mergeCell ref="B56:D56"/>
    <mergeCell ref="B57:D57"/>
    <mergeCell ref="B58:D58"/>
    <mergeCell ref="B47:D47"/>
    <mergeCell ref="B48:D48"/>
    <mergeCell ref="B49:D49"/>
    <mergeCell ref="B50:D50"/>
    <mergeCell ref="B51:D51"/>
    <mergeCell ref="B52:D52"/>
    <mergeCell ref="B41:D41"/>
    <mergeCell ref="B42:D42"/>
    <mergeCell ref="B43:D43"/>
    <mergeCell ref="B44:D44"/>
    <mergeCell ref="B45:D45"/>
    <mergeCell ref="B46:D46"/>
    <mergeCell ref="B35:D35"/>
    <mergeCell ref="B36:D36"/>
    <mergeCell ref="B37:D37"/>
    <mergeCell ref="B38:D38"/>
    <mergeCell ref="B39:D39"/>
    <mergeCell ref="B40:D40"/>
    <mergeCell ref="B29:D29"/>
    <mergeCell ref="B30:D30"/>
    <mergeCell ref="B31:D31"/>
    <mergeCell ref="B32:D32"/>
    <mergeCell ref="B33:D33"/>
    <mergeCell ref="B34:D34"/>
    <mergeCell ref="B23:D23"/>
    <mergeCell ref="B24:D24"/>
    <mergeCell ref="B25:D25"/>
    <mergeCell ref="B26:D26"/>
    <mergeCell ref="B27:D27"/>
    <mergeCell ref="B28:D28"/>
    <mergeCell ref="B17:D17"/>
    <mergeCell ref="B18:D18"/>
    <mergeCell ref="B19:D19"/>
    <mergeCell ref="B20:D20"/>
    <mergeCell ref="B21:D21"/>
    <mergeCell ref="B22:D22"/>
    <mergeCell ref="B11:D11"/>
    <mergeCell ref="B12:D12"/>
    <mergeCell ref="B13:D13"/>
    <mergeCell ref="B14:D14"/>
    <mergeCell ref="B15:D15"/>
    <mergeCell ref="B16:D16"/>
    <mergeCell ref="A8:B8"/>
    <mergeCell ref="C8:E8"/>
    <mergeCell ref="F8:G8"/>
    <mergeCell ref="H8:J8"/>
    <mergeCell ref="A10:G10"/>
    <mergeCell ref="H10:O10"/>
    <mergeCell ref="A6:B6"/>
    <mergeCell ref="C6:E6"/>
    <mergeCell ref="F6:G6"/>
    <mergeCell ref="H6:J6"/>
    <mergeCell ref="L6:O6"/>
    <mergeCell ref="A7:B7"/>
    <mergeCell ref="C7:E7"/>
    <mergeCell ref="F7:G7"/>
    <mergeCell ref="H7:J7"/>
    <mergeCell ref="L7:O7"/>
    <mergeCell ref="A1:C1"/>
    <mergeCell ref="D1:L2"/>
    <mergeCell ref="M1:O1"/>
    <mergeCell ref="D3:L3"/>
    <mergeCell ref="A5:B5"/>
    <mergeCell ref="C5:E5"/>
    <mergeCell ref="F5:G5"/>
    <mergeCell ref="H5:J5"/>
    <mergeCell ref="L5:O5"/>
  </mergeCells>
  <pageMargins left="0.20000000298023199" right="0.20000000298023199" top="0.20000000298023199" bottom="0.28999999165535001"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Raw Scale</vt:lpstr>
      <vt:lpstr>Plot Scale</vt:lpstr>
      <vt:lpstr>Harvest</vt:lpstr>
      <vt:lpstr>Ginning - bulk</vt:lpstr>
      <vt:lpstr>Ginning data sheet</vt:lpstr>
      <vt:lpstr>Moisture content</vt:lpstr>
      <vt:lpstr>HVI</vt:lpstr>
      <vt:lpstr>'Ginning - bulk'!Print_Area</vt:lpstr>
      <vt:lpstr>'Ginning data sheet'!Print_Area</vt:lpstr>
      <vt:lpstr>Harvest!Print_Area</vt:lpstr>
      <vt:lpstr>'Moisture content'!Print_Area</vt:lpstr>
      <vt:lpstr>'Ginning - bulk'!Print_Titles</vt:lpstr>
      <vt:lpstr>'Ginning data sheet'!Print_Titles</vt:lpstr>
      <vt:lpstr>Harvest!Print_Titles</vt:lpstr>
      <vt:lpstr>'Moisture content'!Print_Titles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Reviewer</dc:creator>
  <cp:lastModifiedBy>Reviewer</cp:lastModifiedBy>
  <dcterms:created xsi:type="dcterms:W3CDTF">2022-05-13T17:57:34Z</dcterms:created>
  <dcterms:modified xsi:type="dcterms:W3CDTF">2025-05-27T21:31:47Z</dcterms:modified>
</cp:coreProperties>
</file>