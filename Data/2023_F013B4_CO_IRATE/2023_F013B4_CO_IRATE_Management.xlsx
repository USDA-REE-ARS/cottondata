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3_F013B4_CO_IRATE\"/>
    </mc:Choice>
  </mc:AlternateContent>
  <xr:revisionPtr revIDLastSave="0" documentId="13_ncr:1_{3D752A87-0C68-428F-BBB8-7A18421A5DC5}" xr6:coauthVersionLast="47" xr6:coauthVersionMax="47" xr10:uidLastSave="{00000000-0000-0000-0000-000000000000}"/>
  <bookViews>
    <workbookView xWindow="-1515" yWindow="-27180" windowWidth="17850" windowHeight="27180" tabRatio="756" xr2:uid="{00000000-000D-0000-FFFF-FFFF00000000}"/>
  </bookViews>
  <sheets>
    <sheet name="Irrigation" sheetId="4" r:id="rId1"/>
    <sheet name="Fertigation" sheetId="10" r:id="rId2"/>
    <sheet name="Other" sheetId="2" r:id="rId3"/>
    <sheet name="IrrigationDF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62" i="4" l="1"/>
  <c r="N62" i="4"/>
  <c r="O62" i="4"/>
  <c r="L18" i="4" l="1"/>
  <c r="L38" i="4"/>
  <c r="L50" i="4"/>
  <c r="L49" i="4"/>
  <c r="L48" i="4"/>
  <c r="L47" i="4"/>
  <c r="L46" i="4"/>
  <c r="L45" i="4"/>
  <c r="L44" i="4"/>
  <c r="L43" i="4"/>
  <c r="L42" i="4"/>
  <c r="L41" i="4"/>
  <c r="L36" i="4"/>
  <c r="L35" i="4"/>
  <c r="L31" i="4"/>
  <c r="L26" i="4"/>
  <c r="L61" i="4"/>
  <c r="L60" i="4"/>
  <c r="L59" i="4"/>
  <c r="L58" i="4"/>
  <c r="L57" i="4"/>
  <c r="L56" i="4"/>
  <c r="L55" i="4"/>
  <c r="L54" i="4"/>
  <c r="L53" i="4"/>
  <c r="L52" i="4"/>
  <c r="L51" i="4"/>
  <c r="L40" i="4"/>
  <c r="L39" i="4"/>
  <c r="L37" i="4"/>
  <c r="L34" i="4"/>
  <c r="L33" i="4"/>
  <c r="L32" i="4"/>
  <c r="L30" i="4"/>
  <c r="L29" i="4"/>
  <c r="L28" i="4"/>
  <c r="L27" i="4"/>
  <c r="L25" i="4"/>
  <c r="L24" i="4"/>
  <c r="L23" i="4"/>
  <c r="L22" i="4"/>
  <c r="L21" i="4"/>
  <c r="L20" i="4"/>
  <c r="L19" i="4"/>
  <c r="P34" i="4" l="1"/>
  <c r="Q34" i="4"/>
  <c r="R34" i="4"/>
  <c r="P37" i="4"/>
  <c r="Q37" i="4"/>
  <c r="R37" i="4"/>
  <c r="P39" i="4"/>
  <c r="Q39" i="4"/>
  <c r="R39" i="4"/>
  <c r="P40" i="4"/>
  <c r="Q40" i="4"/>
  <c r="R40" i="4"/>
  <c r="P51" i="4"/>
  <c r="Q51" i="4"/>
  <c r="R51" i="4"/>
  <c r="P52" i="4"/>
  <c r="Q52" i="4"/>
  <c r="R52" i="4"/>
  <c r="P53" i="4"/>
  <c r="Q53" i="4"/>
  <c r="R53" i="4"/>
  <c r="P54" i="4"/>
  <c r="Q54" i="4"/>
  <c r="R54" i="4"/>
  <c r="R55" i="4"/>
  <c r="P55" i="4"/>
  <c r="Q55" i="4"/>
  <c r="P56" i="4"/>
  <c r="Q56" i="4"/>
  <c r="R56" i="4"/>
  <c r="R57" i="4"/>
  <c r="P57" i="4"/>
  <c r="Q57" i="4"/>
  <c r="P58" i="4"/>
  <c r="Q58" i="4"/>
  <c r="R58" i="4"/>
  <c r="P59" i="4"/>
  <c r="Q59" i="4"/>
  <c r="R59" i="4"/>
  <c r="P60" i="4"/>
  <c r="Q60" i="4"/>
  <c r="R60" i="4"/>
  <c r="P61" i="4"/>
  <c r="Q61" i="4"/>
  <c r="R61" i="4"/>
  <c r="P26" i="4"/>
  <c r="Q26" i="4"/>
  <c r="R26" i="4"/>
  <c r="P31" i="4"/>
  <c r="Q31" i="4"/>
  <c r="R31" i="4"/>
  <c r="R35" i="4"/>
  <c r="P35" i="4"/>
  <c r="Q35" i="4"/>
  <c r="P36" i="4"/>
  <c r="Q36" i="4"/>
  <c r="R36" i="4"/>
  <c r="P19" i="4"/>
  <c r="Q19" i="4"/>
  <c r="R19" i="4"/>
  <c r="P41" i="4"/>
  <c r="Q41" i="4"/>
  <c r="R41" i="4"/>
  <c r="P20" i="4"/>
  <c r="Q20" i="4"/>
  <c r="R20" i="4"/>
  <c r="P42" i="4"/>
  <c r="Q42" i="4"/>
  <c r="R42" i="4"/>
  <c r="P21" i="4"/>
  <c r="Q21" i="4"/>
  <c r="R21" i="4"/>
  <c r="P43" i="4"/>
  <c r="Q43" i="4"/>
  <c r="R43" i="4"/>
  <c r="P22" i="4"/>
  <c r="Q22" i="4"/>
  <c r="R22" i="4"/>
  <c r="P44" i="4"/>
  <c r="Q44" i="4"/>
  <c r="R44" i="4"/>
  <c r="P23" i="4"/>
  <c r="Q23" i="4"/>
  <c r="R23" i="4"/>
  <c r="P45" i="4"/>
  <c r="Q45" i="4"/>
  <c r="R45" i="4"/>
  <c r="P24" i="4"/>
  <c r="Q24" i="4"/>
  <c r="R24" i="4"/>
  <c r="Q46" i="4"/>
  <c r="R46" i="4"/>
  <c r="P46" i="4"/>
  <c r="P25" i="4"/>
  <c r="Q25" i="4"/>
  <c r="R25" i="4"/>
  <c r="P47" i="4"/>
  <c r="Q47" i="4"/>
  <c r="R47" i="4"/>
  <c r="P27" i="4"/>
  <c r="Q27" i="4"/>
  <c r="R27" i="4"/>
  <c r="P48" i="4"/>
  <c r="Q48" i="4"/>
  <c r="R48" i="4"/>
  <c r="P28" i="4"/>
  <c r="Q28" i="4"/>
  <c r="R28" i="4"/>
  <c r="P49" i="4"/>
  <c r="Q49" i="4"/>
  <c r="R49" i="4"/>
  <c r="P29" i="4"/>
  <c r="Q29" i="4"/>
  <c r="R29" i="4"/>
  <c r="R50" i="4"/>
  <c r="P50" i="4"/>
  <c r="Q50" i="4"/>
  <c r="P30" i="4"/>
  <c r="Q30" i="4"/>
  <c r="R30" i="4"/>
  <c r="P38" i="4"/>
  <c r="Q38" i="4"/>
  <c r="R38" i="4"/>
  <c r="P32" i="4"/>
  <c r="Q32" i="4"/>
  <c r="R32" i="4"/>
  <c r="L62" i="4"/>
  <c r="Q18" i="4"/>
  <c r="R18" i="4"/>
  <c r="P18" i="4"/>
  <c r="P33" i="4"/>
  <c r="Q33" i="4"/>
  <c r="R33" i="4"/>
  <c r="E61" i="4"/>
  <c r="F61" i="4"/>
  <c r="E60" i="4"/>
  <c r="F60" i="4" s="1"/>
  <c r="E59" i="4"/>
  <c r="F59" i="4" s="1"/>
  <c r="E58" i="4"/>
  <c r="F58" i="4" s="1"/>
  <c r="E57" i="4"/>
  <c r="F57" i="4" s="1"/>
  <c r="E56" i="4"/>
  <c r="F56" i="4" s="1"/>
  <c r="E55" i="4"/>
  <c r="F55" i="4" s="1"/>
  <c r="E54" i="4"/>
  <c r="F54" i="4" s="1"/>
  <c r="E52" i="4"/>
  <c r="F52" i="4" s="1"/>
  <c r="E51" i="4"/>
  <c r="F51" i="4" s="1"/>
  <c r="E53" i="4"/>
  <c r="F53" i="4" s="1"/>
  <c r="F50" i="4"/>
  <c r="F49" i="4"/>
  <c r="P62" i="4" l="1"/>
  <c r="R62" i="4"/>
  <c r="Q62" i="4"/>
  <c r="F48" i="4"/>
  <c r="E47" i="4" l="1"/>
  <c r="F47" i="4" s="1"/>
  <c r="F46" i="4" l="1"/>
  <c r="F45" i="4"/>
  <c r="F43" i="4"/>
  <c r="F44" i="4"/>
  <c r="F42" i="4"/>
  <c r="E41" i="4" l="1"/>
  <c r="F41" i="4" s="1"/>
  <c r="E40" i="4" l="1"/>
  <c r="F40" i="4" s="1"/>
  <c r="E39" i="4"/>
  <c r="F39" i="4" s="1"/>
  <c r="F38" i="4"/>
  <c r="F35" i="4"/>
  <c r="F36" i="4"/>
  <c r="E33" i="4"/>
  <c r="F33" i="4" s="1"/>
  <c r="E34" i="4"/>
  <c r="F34" i="4" s="1"/>
  <c r="E37" i="4"/>
  <c r="F37" i="4" s="1"/>
  <c r="E32" i="4" l="1"/>
  <c r="F32" i="4" s="1"/>
  <c r="F31" i="4"/>
  <c r="E30" i="4"/>
  <c r="F30" i="4" s="1"/>
  <c r="E29" i="4"/>
  <c r="F29" i="4" s="1"/>
  <c r="E28" i="4"/>
  <c r="F28" i="4" s="1"/>
  <c r="E27" i="4"/>
  <c r="F27" i="4" s="1"/>
  <c r="F26" i="4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E13" i="4"/>
  <c r="F13" i="4" s="1"/>
  <c r="E14" i="4"/>
  <c r="F14" i="4" s="1"/>
  <c r="E15" i="4"/>
  <c r="F15" i="4" s="1"/>
  <c r="E11" i="4"/>
  <c r="F11" i="4" s="1"/>
  <c r="E12" i="4"/>
  <c r="F12" i="4" s="1"/>
  <c r="E10" i="4"/>
  <c r="E16" i="4" s="1"/>
  <c r="F16" i="4" s="1"/>
  <c r="E62" i="4" l="1"/>
  <c r="F18" i="4"/>
  <c r="F62" i="4" s="1"/>
  <c r="K22" i="10" l="1"/>
  <c r="K17" i="10"/>
  <c r="E23" i="10" l="1"/>
  <c r="E18" i="10"/>
  <c r="E13" i="10"/>
  <c r="E8" i="10"/>
  <c r="G23" i="10" l="1"/>
  <c r="G22" i="10"/>
  <c r="G18" i="10"/>
  <c r="G17" i="10"/>
  <c r="G13" i="10"/>
  <c r="G12" i="10"/>
  <c r="H17" i="10" l="1"/>
  <c r="H12" i="10"/>
  <c r="K12" i="10" s="1"/>
  <c r="H22" i="10"/>
  <c r="I22" i="10" s="1"/>
  <c r="I17" i="10" l="1"/>
  <c r="H25" i="10"/>
  <c r="I12" i="10"/>
  <c r="I25" i="10" l="1"/>
  <c r="G7" i="10"/>
  <c r="G8" i="10"/>
  <c r="H7" i="10" l="1"/>
  <c r="I7" i="10" s="1"/>
  <c r="F10" i="4" l="1"/>
  <c r="C5" i="4"/>
  <c r="C4" i="4"/>
  <c r="C3" i="4"/>
</calcChain>
</file>

<file path=xl/sharedStrings.xml><?xml version="1.0" encoding="utf-8"?>
<sst xmlns="http://schemas.openxmlformats.org/spreadsheetml/2006/main" count="230" uniqueCount="113">
  <si>
    <t>kg/ha</t>
  </si>
  <si>
    <t>DOY</t>
  </si>
  <si>
    <t>mm</t>
  </si>
  <si>
    <t>Speed</t>
  </si>
  <si>
    <t>Depth (mm)</t>
  </si>
  <si>
    <t>Depth (in)</t>
  </si>
  <si>
    <t>Depth</t>
  </si>
  <si>
    <t>Linear</t>
  </si>
  <si>
    <t>Date</t>
  </si>
  <si>
    <t>inch</t>
  </si>
  <si>
    <t>100%*4</t>
  </si>
  <si>
    <t>lb/gal</t>
  </si>
  <si>
    <t>kg/lb</t>
  </si>
  <si>
    <t>Lateral</t>
  </si>
  <si>
    <t>m2/ha</t>
  </si>
  <si>
    <t>Application</t>
  </si>
  <si>
    <t>Rate</t>
  </si>
  <si>
    <t>UAN32</t>
  </si>
  <si>
    <t>Length</t>
  </si>
  <si>
    <t>3.55 lb N</t>
  </si>
  <si>
    <t>1 kg N</t>
  </si>
  <si>
    <t>10000 m2</t>
  </si>
  <si>
    <t>kg</t>
  </si>
  <si>
    <t>1 gal</t>
  </si>
  <si>
    <t>2.20462 lb N</t>
  </si>
  <si>
    <t>ha</t>
  </si>
  <si>
    <t>lb</t>
  </si>
  <si>
    <t>ac</t>
  </si>
  <si>
    <t>155 gal</t>
  </si>
  <si>
    <t>175 m</t>
  </si>
  <si>
    <t>Total</t>
  </si>
  <si>
    <t>Gallons</t>
  </si>
  <si>
    <t>Travel</t>
  </si>
  <si>
    <t>349 nozzles * 1.016 m</t>
  </si>
  <si>
    <t>Fertilizer</t>
  </si>
  <si>
    <t>ug/g</t>
  </si>
  <si>
    <t>In the future, try for three splits of 175 gallons.</t>
  </si>
  <si>
    <t>Try stroke length of #8.</t>
  </si>
  <si>
    <t>Stroke</t>
  </si>
  <si>
    <t>gallons</t>
  </si>
  <si>
    <t>Initial N (Top 120 cm)</t>
  </si>
  <si>
    <t>This is for 2019-2020 generator/intake</t>
  </si>
  <si>
    <t>Seems to output more now.</t>
  </si>
  <si>
    <t>#8 seems to put out 200 gallons now.</t>
  </si>
  <si>
    <t>Plant Span 3</t>
  </si>
  <si>
    <t>From Bronson (2021), optimum rate is 146 kg/ha.</t>
  </si>
  <si>
    <t>Planted barley Span 4-7 (MAC seed drill broke)</t>
  </si>
  <si>
    <t>Broadcasted barley Span 1-3, disked in</t>
  </si>
  <si>
    <t>Planted faba bean in Span 7</t>
  </si>
  <si>
    <t>Barley Cover</t>
  </si>
  <si>
    <t>Terminate the cover crop with glyphosate</t>
  </si>
  <si>
    <t>Disc spans 3 though half of 5</t>
  </si>
  <si>
    <t>Land plane spans 3 through half of 5</t>
  </si>
  <si>
    <t>Apply Acumen (Pendimethalin) to spans 3 through half of 5</t>
  </si>
  <si>
    <t>Strip till spans 1-2, 5-7.</t>
  </si>
  <si>
    <t>Install 25 tubes in Span 5-7.</t>
  </si>
  <si>
    <t>Install 12 tubes in Spans 1-2.</t>
  </si>
  <si>
    <t>Apply Acumen (Pendimethalin) to Spans 1-2, 5-7.</t>
  </si>
  <si>
    <t>Cotton</t>
  </si>
  <si>
    <t>Water in preemergent herbicide</t>
  </si>
  <si>
    <t>Plant Spans 1-2, 4-7, Install 27 tubes in Spans 4-6</t>
  </si>
  <si>
    <t>100%*2</t>
  </si>
  <si>
    <t>100%*5</t>
  </si>
  <si>
    <t>Tower 4 stuck in the mud</t>
  </si>
  <si>
    <t>Apply glyphosate to Spans 1, 5-7</t>
  </si>
  <si>
    <t>81%*4</t>
  </si>
  <si>
    <t>100%*1+25%</t>
  </si>
  <si>
    <t>90%*4</t>
  </si>
  <si>
    <t>79%*4</t>
  </si>
  <si>
    <t>100%*6</t>
  </si>
  <si>
    <t>80%*4</t>
  </si>
  <si>
    <t>Fertigation #2 (6/27/2023) - Main line injection using Inject-O-Meter pump - Stroke Length #8</t>
  </si>
  <si>
    <t>Fertigation #1 (6/7/2023) - Main line injection using Inject-O-Meter pump - Stroke Length #8</t>
  </si>
  <si>
    <t>Switched to bubbler pads and drag hoses</t>
  </si>
  <si>
    <t>83%*3+25%</t>
  </si>
  <si>
    <t>89%*6</t>
  </si>
  <si>
    <t>83%*6</t>
  </si>
  <si>
    <t>69%*6</t>
  </si>
  <si>
    <t>Started with VRI map</t>
  </si>
  <si>
    <t>Fertigation #3 (7/18/2023) - Main line injection using Inject-O-Meter pump - Stroke Length #8</t>
  </si>
  <si>
    <t>62%*3+25%</t>
  </si>
  <si>
    <t>Full field map used all day for consistent 3.0 cfs.</t>
  </si>
  <si>
    <t>VRI rate map</t>
  </si>
  <si>
    <t>68%*6</t>
  </si>
  <si>
    <t>Apply PGR (Mepstar6) to Span 4-7</t>
  </si>
  <si>
    <t>63%*6</t>
  </si>
  <si>
    <t>67%*6</t>
  </si>
  <si>
    <t>100%*8</t>
  </si>
  <si>
    <t>50%*2+100%*4</t>
  </si>
  <si>
    <t>100%*5+50%*1</t>
  </si>
  <si>
    <t>Apply diuron and thidiazuron (Redipik)</t>
  </si>
  <si>
    <t>Apply diuron and thidiazuron (Redipik) and urea sulfate and ethephon (CottonQuik)</t>
  </si>
  <si>
    <t>Harvest Span 4-7</t>
  </si>
  <si>
    <t>Gin Span 4-7 bags</t>
  </si>
  <si>
    <t>Span 4-6</t>
  </si>
  <si>
    <t>Span 7</t>
  </si>
  <si>
    <t>#13.5 nozzles</t>
  </si>
  <si>
    <t>Otherwise</t>
  </si>
  <si>
    <t>(488.72*Speed%^-0.989)</t>
  </si>
  <si>
    <t>(mm)</t>
  </si>
  <si>
    <t>VRI</t>
  </si>
  <si>
    <t>(%)</t>
  </si>
  <si>
    <t>100% all plots</t>
  </si>
  <si>
    <t>100% plots</t>
  </si>
  <si>
    <t>80% plots</t>
  </si>
  <si>
    <t>60% plots</t>
  </si>
  <si>
    <t>40% plots</t>
  </si>
  <si>
    <t>Speed*Passes</t>
  </si>
  <si>
    <t>Year</t>
  </si>
  <si>
    <t>IRVAL100</t>
  </si>
  <si>
    <t>IRVAL080</t>
  </si>
  <si>
    <t>IRVAL060</t>
  </si>
  <si>
    <t>IRVAL040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</si>
</sst>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right"/>
    </xf>
    <xf numFmtId="164" fontId="0" fillId="2" borderId="0" xfId="0" applyNumberFormat="1" applyFill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00000000-0005-0000-0000-000031000000}"/>
    <cellStyle name="60% - Accent2" xfId="25" builtinId="36" customBuiltin="1"/>
    <cellStyle name="60% - Accent2 2" xfId="44" xr:uid="{00000000-0005-0000-0000-000032000000}"/>
    <cellStyle name="60% - Accent3" xfId="29" builtinId="40" customBuiltin="1"/>
    <cellStyle name="60% - Accent3 2" xfId="45" xr:uid="{00000000-0005-0000-0000-000033000000}"/>
    <cellStyle name="60% - Accent4" xfId="33" builtinId="44" customBuiltin="1"/>
    <cellStyle name="60% - Accent4 2" xfId="46" xr:uid="{00000000-0005-0000-0000-000034000000}"/>
    <cellStyle name="60% - Accent5" xfId="37" builtinId="48" customBuiltin="1"/>
    <cellStyle name="60% - Accent5 2" xfId="47" xr:uid="{00000000-0005-0000-0000-000035000000}"/>
    <cellStyle name="60% - Accent6" xfId="41" builtinId="52" customBuiltin="1"/>
    <cellStyle name="60% - Accent6 2" xfId="48" xr:uid="{00000000-0005-0000-0000-000036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00000000-0005-0000-0000-000037000000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4"/>
  <sheetViews>
    <sheetView tabSelected="1" workbookViewId="0"/>
  </sheetViews>
  <sheetFormatPr defaultRowHeight="15" x14ac:dyDescent="0.25"/>
  <cols>
    <col min="1" max="1" width="13.42578125" bestFit="1" customWidth="1"/>
    <col min="2" max="2" width="10.7109375" bestFit="1" customWidth="1"/>
    <col min="4" max="4" width="16.42578125" bestFit="1" customWidth="1"/>
    <col min="5" max="5" width="11.28515625" bestFit="1" customWidth="1"/>
    <col min="8" max="8" width="9.7109375" bestFit="1" customWidth="1"/>
  </cols>
  <sheetData>
    <row r="1" spans="1:18" x14ac:dyDescent="0.25">
      <c r="A1" t="s">
        <v>3</v>
      </c>
      <c r="B1" t="s">
        <v>4</v>
      </c>
      <c r="C1" t="s">
        <v>5</v>
      </c>
    </row>
    <row r="2" spans="1:18" x14ac:dyDescent="0.25">
      <c r="B2" t="s">
        <v>96</v>
      </c>
      <c r="C2" t="s">
        <v>96</v>
      </c>
    </row>
    <row r="3" spans="1:18" x14ac:dyDescent="0.25">
      <c r="A3" s="2">
        <v>1</v>
      </c>
      <c r="B3" s="4">
        <v>5.0999999999999996</v>
      </c>
      <c r="C3" s="3">
        <f>B3/25.4</f>
        <v>0.20078740157480315</v>
      </c>
      <c r="D3" s="3"/>
    </row>
    <row r="4" spans="1:18" x14ac:dyDescent="0.25">
      <c r="A4" s="2">
        <v>0.5</v>
      </c>
      <c r="B4" s="4">
        <v>10.1</v>
      </c>
      <c r="C4" s="3">
        <f>B4/25.4</f>
        <v>0.39763779527559057</v>
      </c>
      <c r="D4" s="3"/>
    </row>
    <row r="5" spans="1:18" x14ac:dyDescent="0.25">
      <c r="A5" s="2">
        <v>0.25</v>
      </c>
      <c r="B5" s="4">
        <v>20.2</v>
      </c>
      <c r="C5" s="3">
        <f>B5/25.4</f>
        <v>0.79527559055118113</v>
      </c>
      <c r="D5" s="3"/>
    </row>
    <row r="6" spans="1:18" x14ac:dyDescent="0.25">
      <c r="A6" t="s">
        <v>97</v>
      </c>
      <c r="B6" t="s">
        <v>98</v>
      </c>
    </row>
    <row r="7" spans="1:18" x14ac:dyDescent="0.25">
      <c r="H7" s="4"/>
    </row>
    <row r="8" spans="1:18" x14ac:dyDescent="0.25">
      <c r="D8" t="s">
        <v>7</v>
      </c>
      <c r="E8" t="s">
        <v>6</v>
      </c>
      <c r="F8" t="s">
        <v>6</v>
      </c>
    </row>
    <row r="9" spans="1:18" x14ac:dyDescent="0.25">
      <c r="B9" t="s">
        <v>8</v>
      </c>
      <c r="C9" t="s">
        <v>1</v>
      </c>
      <c r="D9" t="s">
        <v>107</v>
      </c>
      <c r="E9" t="s">
        <v>2</v>
      </c>
      <c r="F9" t="s">
        <v>9</v>
      </c>
    </row>
    <row r="10" spans="1:18" x14ac:dyDescent="0.25">
      <c r="A10" t="s">
        <v>49</v>
      </c>
      <c r="B10" s="1">
        <v>44951</v>
      </c>
      <c r="C10">
        <v>25</v>
      </c>
      <c r="D10" s="5" t="s">
        <v>10</v>
      </c>
      <c r="E10" s="4">
        <f>5.1*4</f>
        <v>20.399999999999999</v>
      </c>
      <c r="F10" s="4">
        <f t="shared" ref="F10:F12" si="0">E10/25.4</f>
        <v>0.80314960629921262</v>
      </c>
    </row>
    <row r="11" spans="1:18" x14ac:dyDescent="0.25">
      <c r="A11" t="s">
        <v>49</v>
      </c>
      <c r="B11" s="1">
        <v>44958</v>
      </c>
      <c r="C11">
        <v>32</v>
      </c>
      <c r="D11" s="5" t="s">
        <v>10</v>
      </c>
      <c r="E11" s="4">
        <f t="shared" ref="E11:E19" si="1">5.1*4</f>
        <v>20.399999999999999</v>
      </c>
      <c r="F11" s="4">
        <f t="shared" si="0"/>
        <v>0.80314960629921262</v>
      </c>
      <c r="G11" s="4"/>
      <c r="H11" s="4"/>
      <c r="I11" s="8"/>
      <c r="J11" s="4"/>
    </row>
    <row r="12" spans="1:18" x14ac:dyDescent="0.25">
      <c r="A12" t="s">
        <v>49</v>
      </c>
      <c r="B12" s="1">
        <v>44965</v>
      </c>
      <c r="C12">
        <v>39</v>
      </c>
      <c r="D12" s="9" t="s">
        <v>10</v>
      </c>
      <c r="E12" s="4">
        <f t="shared" si="1"/>
        <v>20.399999999999999</v>
      </c>
      <c r="F12" s="4">
        <f t="shared" si="0"/>
        <v>0.80314960629921262</v>
      </c>
      <c r="G12" s="4"/>
      <c r="H12" s="4"/>
      <c r="I12" s="8"/>
      <c r="J12" s="4"/>
      <c r="L12" t="s">
        <v>94</v>
      </c>
    </row>
    <row r="13" spans="1:18" x14ac:dyDescent="0.25">
      <c r="A13" t="s">
        <v>49</v>
      </c>
      <c r="B13" s="1">
        <v>44971</v>
      </c>
      <c r="C13">
        <v>46</v>
      </c>
      <c r="D13" s="9" t="s">
        <v>10</v>
      </c>
      <c r="E13" s="4">
        <f t="shared" si="1"/>
        <v>20.399999999999999</v>
      </c>
      <c r="F13" s="4">
        <f t="shared" ref="F13:F18" si="2">E13/25.4</f>
        <v>0.80314960629921262</v>
      </c>
      <c r="G13" s="4"/>
      <c r="H13" s="4"/>
      <c r="I13" s="8"/>
      <c r="J13" s="4"/>
      <c r="L13" t="s">
        <v>102</v>
      </c>
    </row>
    <row r="14" spans="1:18" x14ac:dyDescent="0.25">
      <c r="A14" t="s">
        <v>49</v>
      </c>
      <c r="B14" s="1">
        <v>44981</v>
      </c>
      <c r="C14">
        <v>55</v>
      </c>
      <c r="D14" s="9" t="s">
        <v>10</v>
      </c>
      <c r="E14" s="4">
        <f t="shared" si="1"/>
        <v>20.399999999999999</v>
      </c>
      <c r="F14" s="4">
        <f t="shared" si="2"/>
        <v>0.80314960629921262</v>
      </c>
      <c r="G14" s="4"/>
      <c r="H14" s="4"/>
      <c r="I14" s="8"/>
      <c r="J14" s="4"/>
      <c r="L14" t="s">
        <v>95</v>
      </c>
      <c r="M14" t="s">
        <v>95</v>
      </c>
      <c r="N14" t="s">
        <v>95</v>
      </c>
      <c r="O14" t="s">
        <v>95</v>
      </c>
      <c r="P14" t="s">
        <v>95</v>
      </c>
      <c r="Q14" t="s">
        <v>95</v>
      </c>
      <c r="R14" t="s">
        <v>95</v>
      </c>
    </row>
    <row r="15" spans="1:18" x14ac:dyDescent="0.25">
      <c r="A15" t="s">
        <v>49</v>
      </c>
      <c r="B15" s="1">
        <v>44992</v>
      </c>
      <c r="C15">
        <v>66</v>
      </c>
      <c r="D15" s="9" t="s">
        <v>10</v>
      </c>
      <c r="E15" s="4">
        <f t="shared" si="1"/>
        <v>20.399999999999999</v>
      </c>
      <c r="F15" s="4">
        <f t="shared" si="2"/>
        <v>0.80314960629921262</v>
      </c>
      <c r="G15" s="4"/>
      <c r="H15" s="4"/>
      <c r="I15" s="8"/>
      <c r="J15" s="4"/>
      <c r="L15" s="2" t="s">
        <v>103</v>
      </c>
      <c r="M15" t="s">
        <v>104</v>
      </c>
      <c r="N15" t="s">
        <v>105</v>
      </c>
      <c r="O15" t="s">
        <v>106</v>
      </c>
      <c r="P15" t="s">
        <v>104</v>
      </c>
      <c r="Q15" t="s">
        <v>105</v>
      </c>
      <c r="R15" t="s">
        <v>106</v>
      </c>
    </row>
    <row r="16" spans="1:18" x14ac:dyDescent="0.25">
      <c r="B16" s="1"/>
      <c r="D16" s="9"/>
      <c r="E16" s="4">
        <f>SUM(E10:E15)</f>
        <v>122.4</v>
      </c>
      <c r="F16" s="4">
        <f>E16/25.4</f>
        <v>4.8188976377952759</v>
      </c>
      <c r="G16" s="4"/>
      <c r="H16" s="4"/>
      <c r="I16" s="8"/>
      <c r="J16" s="4"/>
      <c r="L16" t="s">
        <v>6</v>
      </c>
      <c r="M16" t="s">
        <v>100</v>
      </c>
      <c r="N16" t="s">
        <v>100</v>
      </c>
      <c r="O16" t="s">
        <v>100</v>
      </c>
      <c r="P16" t="s">
        <v>6</v>
      </c>
      <c r="Q16" t="s">
        <v>6</v>
      </c>
      <c r="R16" t="s">
        <v>6</v>
      </c>
    </row>
    <row r="17" spans="1:18" x14ac:dyDescent="0.25">
      <c r="B17" s="1"/>
      <c r="E17" s="4"/>
      <c r="F17" s="4"/>
      <c r="G17" s="4"/>
      <c r="H17" s="4"/>
      <c r="I17" s="4"/>
      <c r="J17" s="4"/>
      <c r="L17" t="s">
        <v>99</v>
      </c>
      <c r="M17" t="s">
        <v>101</v>
      </c>
      <c r="N17" t="s">
        <v>101</v>
      </c>
      <c r="O17" t="s">
        <v>101</v>
      </c>
      <c r="P17" t="s">
        <v>99</v>
      </c>
      <c r="Q17" t="s">
        <v>99</v>
      </c>
      <c r="R17" t="s">
        <v>99</v>
      </c>
    </row>
    <row r="18" spans="1:18" x14ac:dyDescent="0.25">
      <c r="A18" t="s">
        <v>58</v>
      </c>
      <c r="B18" s="1">
        <v>45037</v>
      </c>
      <c r="C18">
        <v>111</v>
      </c>
      <c r="D18" s="9" t="s">
        <v>10</v>
      </c>
      <c r="E18" s="4">
        <f t="shared" si="1"/>
        <v>20.399999999999999</v>
      </c>
      <c r="F18" s="4">
        <f t="shared" si="2"/>
        <v>0.80314960629921262</v>
      </c>
      <c r="G18" s="4" t="s">
        <v>59</v>
      </c>
      <c r="H18" s="4"/>
      <c r="I18" s="4"/>
      <c r="J18" s="4"/>
      <c r="L18" s="6">
        <f>5.1*4</f>
        <v>20.399999999999999</v>
      </c>
      <c r="M18">
        <v>100</v>
      </c>
      <c r="N18">
        <v>100</v>
      </c>
      <c r="O18">
        <v>100</v>
      </c>
      <c r="P18" s="6">
        <f>$L18*M18/100</f>
        <v>20.399999999999999</v>
      </c>
      <c r="Q18" s="6">
        <f t="shared" ref="Q18:R18" si="3">$L18*N18/100</f>
        <v>20.399999999999999</v>
      </c>
      <c r="R18" s="6">
        <f t="shared" si="3"/>
        <v>20.399999999999999</v>
      </c>
    </row>
    <row r="19" spans="1:18" x14ac:dyDescent="0.25">
      <c r="A19" t="s">
        <v>58</v>
      </c>
      <c r="B19" s="1">
        <v>45041</v>
      </c>
      <c r="C19">
        <v>115</v>
      </c>
      <c r="D19" s="9" t="s">
        <v>10</v>
      </c>
      <c r="E19" s="4">
        <f t="shared" si="1"/>
        <v>20.399999999999999</v>
      </c>
      <c r="F19" s="4">
        <f t="shared" ref="F19" si="4">E19/25.4</f>
        <v>0.80314960629921262</v>
      </c>
      <c r="G19" s="4"/>
      <c r="H19" s="4"/>
      <c r="I19" s="4"/>
      <c r="J19" s="4"/>
      <c r="L19" s="6">
        <f t="shared" ref="L19" si="5">5.1*4</f>
        <v>20.399999999999999</v>
      </c>
      <c r="M19">
        <v>100</v>
      </c>
      <c r="N19">
        <v>100</v>
      </c>
      <c r="O19">
        <v>100</v>
      </c>
      <c r="P19" s="6">
        <f t="shared" ref="P19:P61" si="6">$L19*M19/100</f>
        <v>20.399999999999999</v>
      </c>
      <c r="Q19" s="6">
        <f t="shared" ref="Q19:Q61" si="7">$L19*N19/100</f>
        <v>20.399999999999999</v>
      </c>
      <c r="R19" s="6">
        <f t="shared" ref="R19:R59" si="8">$L19*O19/100</f>
        <v>20.399999999999999</v>
      </c>
    </row>
    <row r="20" spans="1:18" x14ac:dyDescent="0.25">
      <c r="A20" t="s">
        <v>58</v>
      </c>
      <c r="B20" s="1">
        <v>45042</v>
      </c>
      <c r="C20">
        <v>116</v>
      </c>
      <c r="D20" s="9" t="s">
        <v>61</v>
      </c>
      <c r="E20" s="4">
        <f>5.1*2</f>
        <v>10.199999999999999</v>
      </c>
      <c r="F20" s="4">
        <f t="shared" ref="F20" si="9">E20/25.4</f>
        <v>0.40157480314960631</v>
      </c>
      <c r="G20" s="4" t="s">
        <v>63</v>
      </c>
      <c r="H20" s="4"/>
      <c r="I20" s="4"/>
      <c r="J20" s="4"/>
      <c r="L20" s="6">
        <f>5.1*2</f>
        <v>10.199999999999999</v>
      </c>
      <c r="M20">
        <v>100</v>
      </c>
      <c r="N20">
        <v>100</v>
      </c>
      <c r="O20">
        <v>100</v>
      </c>
      <c r="P20" s="6">
        <f t="shared" si="6"/>
        <v>10.199999999999999</v>
      </c>
      <c r="Q20" s="6">
        <f t="shared" si="7"/>
        <v>10.199999999999999</v>
      </c>
      <c r="R20" s="6">
        <f t="shared" si="8"/>
        <v>10.199999999999999</v>
      </c>
    </row>
    <row r="21" spans="1:18" x14ac:dyDescent="0.25">
      <c r="A21" t="s">
        <v>58</v>
      </c>
      <c r="B21" s="1">
        <v>45044</v>
      </c>
      <c r="C21">
        <v>118</v>
      </c>
      <c r="D21" s="9" t="s">
        <v>62</v>
      </c>
      <c r="E21" s="4">
        <f>5.1*5</f>
        <v>25.5</v>
      </c>
      <c r="F21" s="4">
        <f t="shared" ref="F21:F22" si="10">E21/25.4</f>
        <v>1.0039370078740157</v>
      </c>
      <c r="G21" s="4"/>
      <c r="H21" s="4"/>
      <c r="I21" s="4"/>
      <c r="J21" s="4"/>
      <c r="L21" s="6">
        <f>5.1*5</f>
        <v>25.5</v>
      </c>
      <c r="M21">
        <v>100</v>
      </c>
      <c r="N21">
        <v>100</v>
      </c>
      <c r="O21">
        <v>100</v>
      </c>
      <c r="P21" s="6">
        <f t="shared" si="6"/>
        <v>25.5</v>
      </c>
      <c r="Q21" s="6">
        <f t="shared" si="7"/>
        <v>25.5</v>
      </c>
      <c r="R21" s="6">
        <f t="shared" si="8"/>
        <v>25.5</v>
      </c>
    </row>
    <row r="22" spans="1:18" x14ac:dyDescent="0.25">
      <c r="A22" t="s">
        <v>58</v>
      </c>
      <c r="B22" s="1">
        <v>45047</v>
      </c>
      <c r="C22">
        <v>121</v>
      </c>
      <c r="D22" s="9" t="s">
        <v>10</v>
      </c>
      <c r="E22" s="4">
        <f t="shared" ref="E22:E33" si="11">5.1*4</f>
        <v>20.399999999999999</v>
      </c>
      <c r="F22" s="4">
        <f t="shared" si="10"/>
        <v>0.80314960629921262</v>
      </c>
      <c r="G22" s="4"/>
      <c r="H22" s="4"/>
      <c r="I22" s="4"/>
      <c r="J22" s="4"/>
      <c r="L22" s="6">
        <f t="shared" ref="L22:L33" si="12">5.1*4</f>
        <v>20.399999999999999</v>
      </c>
      <c r="M22">
        <v>100</v>
      </c>
      <c r="N22">
        <v>100</v>
      </c>
      <c r="O22">
        <v>100</v>
      </c>
      <c r="P22" s="6">
        <f t="shared" si="6"/>
        <v>20.399999999999999</v>
      </c>
      <c r="Q22" s="6">
        <f t="shared" si="7"/>
        <v>20.399999999999999</v>
      </c>
      <c r="R22" s="6">
        <f t="shared" si="8"/>
        <v>20.399999999999999</v>
      </c>
    </row>
    <row r="23" spans="1:18" x14ac:dyDescent="0.25">
      <c r="A23" t="s">
        <v>58</v>
      </c>
      <c r="B23" s="1">
        <v>45049</v>
      </c>
      <c r="C23">
        <v>123</v>
      </c>
      <c r="D23" s="9" t="s">
        <v>10</v>
      </c>
      <c r="E23" s="4">
        <f t="shared" si="11"/>
        <v>20.399999999999999</v>
      </c>
      <c r="F23" s="4">
        <f t="shared" ref="F23" si="13">E23/25.4</f>
        <v>0.80314960629921262</v>
      </c>
      <c r="G23" s="4"/>
      <c r="H23" s="4"/>
      <c r="I23" s="4"/>
      <c r="J23" s="4"/>
      <c r="L23" s="6">
        <f t="shared" si="12"/>
        <v>20.399999999999999</v>
      </c>
      <c r="M23">
        <v>100</v>
      </c>
      <c r="N23">
        <v>100</v>
      </c>
      <c r="O23">
        <v>100</v>
      </c>
      <c r="P23" s="6">
        <f t="shared" si="6"/>
        <v>20.399999999999999</v>
      </c>
      <c r="Q23" s="6">
        <f t="shared" si="7"/>
        <v>20.399999999999999</v>
      </c>
      <c r="R23" s="6">
        <f t="shared" si="8"/>
        <v>20.399999999999999</v>
      </c>
    </row>
    <row r="24" spans="1:18" x14ac:dyDescent="0.25">
      <c r="A24" t="s">
        <v>58</v>
      </c>
      <c r="B24" s="1">
        <v>45051</v>
      </c>
      <c r="C24">
        <v>125</v>
      </c>
      <c r="D24" s="9" t="s">
        <v>10</v>
      </c>
      <c r="E24" s="4">
        <f t="shared" si="11"/>
        <v>20.399999999999999</v>
      </c>
      <c r="F24" s="4">
        <f t="shared" ref="F24" si="14">E24/25.4</f>
        <v>0.80314960629921262</v>
      </c>
      <c r="G24" s="4"/>
      <c r="H24" s="4"/>
      <c r="I24" s="4"/>
      <c r="J24" s="4"/>
      <c r="L24" s="6">
        <f t="shared" si="12"/>
        <v>20.399999999999999</v>
      </c>
      <c r="M24">
        <v>100</v>
      </c>
      <c r="N24">
        <v>100</v>
      </c>
      <c r="O24">
        <v>100</v>
      </c>
      <c r="P24" s="6">
        <f t="shared" si="6"/>
        <v>20.399999999999999</v>
      </c>
      <c r="Q24" s="6">
        <f t="shared" si="7"/>
        <v>20.399999999999999</v>
      </c>
      <c r="R24" s="6">
        <f t="shared" si="8"/>
        <v>20.399999999999999</v>
      </c>
    </row>
    <row r="25" spans="1:18" x14ac:dyDescent="0.25">
      <c r="A25" t="s">
        <v>58</v>
      </c>
      <c r="B25" s="1">
        <v>45054</v>
      </c>
      <c r="C25">
        <v>128</v>
      </c>
      <c r="D25" s="9" t="s">
        <v>10</v>
      </c>
      <c r="E25" s="4">
        <f t="shared" si="11"/>
        <v>20.399999999999999</v>
      </c>
      <c r="F25" s="4">
        <f t="shared" ref="F25:F26" si="15">E25/25.4</f>
        <v>0.80314960629921262</v>
      </c>
      <c r="G25" s="4"/>
      <c r="H25" s="4"/>
      <c r="I25" s="4"/>
      <c r="J25" s="4"/>
      <c r="L25" s="6">
        <f t="shared" si="12"/>
        <v>20.399999999999999</v>
      </c>
      <c r="M25">
        <v>100</v>
      </c>
      <c r="N25">
        <v>100</v>
      </c>
      <c r="O25">
        <v>100</v>
      </c>
      <c r="P25" s="6">
        <f t="shared" si="6"/>
        <v>20.399999999999999</v>
      </c>
      <c r="Q25" s="6">
        <f t="shared" si="7"/>
        <v>20.399999999999999</v>
      </c>
      <c r="R25" s="6">
        <f t="shared" si="8"/>
        <v>20.399999999999999</v>
      </c>
    </row>
    <row r="26" spans="1:18" x14ac:dyDescent="0.25">
      <c r="A26" t="s">
        <v>58</v>
      </c>
      <c r="B26" s="1">
        <v>45056</v>
      </c>
      <c r="C26">
        <v>130</v>
      </c>
      <c r="D26" s="9" t="s">
        <v>61</v>
      </c>
      <c r="E26" s="4">
        <v>10.199999999999999</v>
      </c>
      <c r="F26" s="4">
        <f t="shared" si="15"/>
        <v>0.40157480314960631</v>
      </c>
      <c r="G26" s="4"/>
      <c r="H26" s="4"/>
      <c r="I26" s="4"/>
      <c r="J26" s="4"/>
      <c r="L26" s="6">
        <f>5.1*2</f>
        <v>10.199999999999999</v>
      </c>
      <c r="M26">
        <v>100</v>
      </c>
      <c r="N26">
        <v>100</v>
      </c>
      <c r="O26">
        <v>100</v>
      </c>
      <c r="P26" s="6">
        <f t="shared" si="6"/>
        <v>10.199999999999999</v>
      </c>
      <c r="Q26" s="6">
        <f t="shared" si="7"/>
        <v>10.199999999999999</v>
      </c>
      <c r="R26" s="6">
        <f t="shared" si="8"/>
        <v>10.199999999999999</v>
      </c>
    </row>
    <row r="27" spans="1:18" x14ac:dyDescent="0.25">
      <c r="A27" t="s">
        <v>58</v>
      </c>
      <c r="B27" s="1">
        <v>45058</v>
      </c>
      <c r="C27">
        <v>132</v>
      </c>
      <c r="D27" s="9" t="s">
        <v>10</v>
      </c>
      <c r="E27" s="4">
        <f t="shared" si="11"/>
        <v>20.399999999999999</v>
      </c>
      <c r="F27" s="4">
        <f t="shared" ref="F27" si="16">E27/25.4</f>
        <v>0.80314960629921262</v>
      </c>
      <c r="G27" s="4"/>
      <c r="H27" s="4"/>
      <c r="I27" s="4"/>
      <c r="J27" s="4"/>
      <c r="L27" s="6">
        <f t="shared" si="12"/>
        <v>20.399999999999999</v>
      </c>
      <c r="M27">
        <v>100</v>
      </c>
      <c r="N27">
        <v>100</v>
      </c>
      <c r="O27">
        <v>100</v>
      </c>
      <c r="P27" s="6">
        <f t="shared" si="6"/>
        <v>20.399999999999999</v>
      </c>
      <c r="Q27" s="6">
        <f t="shared" si="7"/>
        <v>20.399999999999999</v>
      </c>
      <c r="R27" s="6">
        <f t="shared" si="8"/>
        <v>20.399999999999999</v>
      </c>
    </row>
    <row r="28" spans="1:18" x14ac:dyDescent="0.25">
      <c r="A28" t="s">
        <v>58</v>
      </c>
      <c r="B28" s="1">
        <v>45062</v>
      </c>
      <c r="C28">
        <v>136</v>
      </c>
      <c r="D28" s="9" t="s">
        <v>10</v>
      </c>
      <c r="E28" s="4">
        <f t="shared" si="11"/>
        <v>20.399999999999999</v>
      </c>
      <c r="F28" s="4">
        <f t="shared" ref="F28" si="17">E28/25.4</f>
        <v>0.80314960629921262</v>
      </c>
      <c r="G28" s="4"/>
      <c r="H28" s="4"/>
      <c r="I28" s="4"/>
      <c r="J28" s="4"/>
      <c r="L28" s="6">
        <f t="shared" si="12"/>
        <v>20.399999999999999</v>
      </c>
      <c r="M28">
        <v>100</v>
      </c>
      <c r="N28">
        <v>100</v>
      </c>
      <c r="O28">
        <v>100</v>
      </c>
      <c r="P28" s="6">
        <f t="shared" si="6"/>
        <v>20.399999999999999</v>
      </c>
      <c r="Q28" s="6">
        <f t="shared" si="7"/>
        <v>20.399999999999999</v>
      </c>
      <c r="R28" s="6">
        <f t="shared" si="8"/>
        <v>20.399999999999999</v>
      </c>
    </row>
    <row r="29" spans="1:18" x14ac:dyDescent="0.25">
      <c r="A29" t="s">
        <v>58</v>
      </c>
      <c r="B29" s="1">
        <v>45065</v>
      </c>
      <c r="C29">
        <v>139</v>
      </c>
      <c r="D29" s="9" t="s">
        <v>10</v>
      </c>
      <c r="E29" s="4">
        <f t="shared" si="11"/>
        <v>20.399999999999999</v>
      </c>
      <c r="F29" s="4">
        <f t="shared" ref="F29" si="18">E29/25.4</f>
        <v>0.80314960629921262</v>
      </c>
      <c r="G29" s="4"/>
      <c r="H29" s="4"/>
      <c r="I29" s="4"/>
      <c r="J29" s="4"/>
      <c r="L29" s="6">
        <f t="shared" si="12"/>
        <v>20.399999999999999</v>
      </c>
      <c r="M29">
        <v>100</v>
      </c>
      <c r="N29">
        <v>100</v>
      </c>
      <c r="O29">
        <v>100</v>
      </c>
      <c r="P29" s="6">
        <f t="shared" si="6"/>
        <v>20.399999999999999</v>
      </c>
      <c r="Q29" s="6">
        <f t="shared" si="7"/>
        <v>20.399999999999999</v>
      </c>
      <c r="R29" s="6">
        <f t="shared" si="8"/>
        <v>20.399999999999999</v>
      </c>
    </row>
    <row r="30" spans="1:18" x14ac:dyDescent="0.25">
      <c r="A30" t="s">
        <v>58</v>
      </c>
      <c r="B30" s="1">
        <v>45070</v>
      </c>
      <c r="C30">
        <v>144</v>
      </c>
      <c r="D30" s="9" t="s">
        <v>10</v>
      </c>
      <c r="E30" s="4">
        <f t="shared" si="11"/>
        <v>20.399999999999999</v>
      </c>
      <c r="F30" s="4">
        <f t="shared" ref="F30:F31" si="19">E30/25.4</f>
        <v>0.80314960629921262</v>
      </c>
      <c r="G30" s="4"/>
      <c r="H30" s="4"/>
      <c r="I30" s="4"/>
      <c r="J30" s="4"/>
      <c r="L30" s="6">
        <f t="shared" si="12"/>
        <v>20.399999999999999</v>
      </c>
      <c r="M30">
        <v>100</v>
      </c>
      <c r="N30">
        <v>100</v>
      </c>
      <c r="O30">
        <v>100</v>
      </c>
      <c r="P30" s="6">
        <f t="shared" si="6"/>
        <v>20.399999999999999</v>
      </c>
      <c r="Q30" s="6">
        <f t="shared" si="7"/>
        <v>20.399999999999999</v>
      </c>
      <c r="R30" s="6">
        <f t="shared" si="8"/>
        <v>20.399999999999999</v>
      </c>
    </row>
    <row r="31" spans="1:18" x14ac:dyDescent="0.25">
      <c r="A31" t="s">
        <v>58</v>
      </c>
      <c r="B31" s="1">
        <v>45072</v>
      </c>
      <c r="C31">
        <v>146</v>
      </c>
      <c r="D31" s="9" t="s">
        <v>65</v>
      </c>
      <c r="E31" s="4">
        <v>25.3</v>
      </c>
      <c r="F31" s="4">
        <f t="shared" si="19"/>
        <v>0.99606299212598437</v>
      </c>
      <c r="G31" s="4"/>
      <c r="H31" s="4"/>
      <c r="I31" s="4"/>
      <c r="J31" s="4"/>
      <c r="L31" s="6">
        <f>(488.72*81^-0.989)*4</f>
        <v>25.329605145784345</v>
      </c>
      <c r="M31">
        <v>100</v>
      </c>
      <c r="N31">
        <v>100</v>
      </c>
      <c r="O31">
        <v>100</v>
      </c>
      <c r="P31" s="6">
        <f t="shared" si="6"/>
        <v>25.329605145784345</v>
      </c>
      <c r="Q31" s="6">
        <f t="shared" si="7"/>
        <v>25.329605145784345</v>
      </c>
      <c r="R31" s="6">
        <f t="shared" si="8"/>
        <v>25.329605145784345</v>
      </c>
    </row>
    <row r="32" spans="1:18" x14ac:dyDescent="0.25">
      <c r="A32" t="s">
        <v>58</v>
      </c>
      <c r="B32" s="1">
        <v>45077</v>
      </c>
      <c r="C32">
        <v>151</v>
      </c>
      <c r="D32" s="9" t="s">
        <v>10</v>
      </c>
      <c r="E32" s="4">
        <f t="shared" si="11"/>
        <v>20.399999999999999</v>
      </c>
      <c r="F32" s="4">
        <f t="shared" ref="F32:F58" si="20">E32/25.4</f>
        <v>0.80314960629921262</v>
      </c>
      <c r="G32" s="4"/>
      <c r="H32" s="4"/>
      <c r="I32" s="4"/>
      <c r="J32" s="4"/>
      <c r="L32" s="6">
        <f t="shared" si="12"/>
        <v>20.399999999999999</v>
      </c>
      <c r="M32">
        <v>100</v>
      </c>
      <c r="N32">
        <v>100</v>
      </c>
      <c r="O32">
        <v>100</v>
      </c>
      <c r="P32" s="6">
        <f t="shared" si="6"/>
        <v>20.399999999999999</v>
      </c>
      <c r="Q32" s="6">
        <f t="shared" si="7"/>
        <v>20.399999999999999</v>
      </c>
      <c r="R32" s="6">
        <f t="shared" si="8"/>
        <v>20.399999999999999</v>
      </c>
    </row>
    <row r="33" spans="1:18" x14ac:dyDescent="0.25">
      <c r="A33" t="s">
        <v>58</v>
      </c>
      <c r="B33" s="1">
        <v>45079</v>
      </c>
      <c r="C33">
        <v>153</v>
      </c>
      <c r="D33" s="9" t="s">
        <v>10</v>
      </c>
      <c r="E33" s="4">
        <f t="shared" si="11"/>
        <v>20.399999999999999</v>
      </c>
      <c r="F33" s="4">
        <f t="shared" si="20"/>
        <v>0.80314960629921262</v>
      </c>
      <c r="G33" s="4"/>
      <c r="H33" s="4"/>
      <c r="I33" s="4"/>
      <c r="J33" s="4"/>
      <c r="L33" s="6">
        <f t="shared" si="12"/>
        <v>20.399999999999999</v>
      </c>
      <c r="M33">
        <v>100</v>
      </c>
      <c r="N33">
        <v>100</v>
      </c>
      <c r="O33">
        <v>100</v>
      </c>
      <c r="P33" s="6">
        <f t="shared" si="6"/>
        <v>20.399999999999999</v>
      </c>
      <c r="Q33" s="6">
        <f t="shared" si="7"/>
        <v>20.399999999999999</v>
      </c>
      <c r="R33" s="6">
        <f t="shared" si="8"/>
        <v>20.399999999999999</v>
      </c>
    </row>
    <row r="34" spans="1:18" x14ac:dyDescent="0.25">
      <c r="A34" t="s">
        <v>58</v>
      </c>
      <c r="B34" s="1">
        <v>45084</v>
      </c>
      <c r="C34">
        <v>158</v>
      </c>
      <c r="D34" s="9" t="s">
        <v>66</v>
      </c>
      <c r="E34" s="4">
        <f>5.1+20.2</f>
        <v>25.299999999999997</v>
      </c>
      <c r="F34" s="4">
        <f t="shared" si="20"/>
        <v>0.99606299212598415</v>
      </c>
      <c r="G34" s="4"/>
      <c r="H34" s="4"/>
      <c r="I34" s="4"/>
      <c r="J34" s="4"/>
      <c r="L34" s="6">
        <f>5.1+20.2</f>
        <v>25.299999999999997</v>
      </c>
      <c r="M34">
        <v>100</v>
      </c>
      <c r="N34">
        <v>100</v>
      </c>
      <c r="O34">
        <v>100</v>
      </c>
      <c r="P34" s="6">
        <f t="shared" si="6"/>
        <v>25.299999999999997</v>
      </c>
      <c r="Q34" s="6">
        <f t="shared" si="7"/>
        <v>25.299999999999997</v>
      </c>
      <c r="R34" s="6">
        <f t="shared" si="8"/>
        <v>25.299999999999997</v>
      </c>
    </row>
    <row r="35" spans="1:18" x14ac:dyDescent="0.25">
      <c r="A35" t="s">
        <v>58</v>
      </c>
      <c r="B35" s="1">
        <v>45086</v>
      </c>
      <c r="C35">
        <v>160</v>
      </c>
      <c r="D35" s="9" t="s">
        <v>67</v>
      </c>
      <c r="E35" s="4">
        <v>22.8</v>
      </c>
      <c r="F35" s="4">
        <f t="shared" si="20"/>
        <v>0.89763779527559062</v>
      </c>
      <c r="G35" s="4"/>
      <c r="H35" s="4"/>
      <c r="I35" s="4"/>
      <c r="J35" s="4"/>
      <c r="L35" s="6">
        <f>(488.72*90^-0.989)*4</f>
        <v>22.823080475934869</v>
      </c>
      <c r="M35">
        <v>100</v>
      </c>
      <c r="N35">
        <v>100</v>
      </c>
      <c r="O35">
        <v>100</v>
      </c>
      <c r="P35" s="6">
        <f t="shared" si="6"/>
        <v>22.823080475934873</v>
      </c>
      <c r="Q35" s="6">
        <f t="shared" si="7"/>
        <v>22.823080475934873</v>
      </c>
      <c r="R35" s="6">
        <f t="shared" si="8"/>
        <v>22.823080475934873</v>
      </c>
    </row>
    <row r="36" spans="1:18" x14ac:dyDescent="0.25">
      <c r="A36" t="s">
        <v>58</v>
      </c>
      <c r="B36" s="1">
        <v>45090</v>
      </c>
      <c r="C36">
        <v>164</v>
      </c>
      <c r="D36" s="9" t="s">
        <v>68</v>
      </c>
      <c r="E36" s="4">
        <v>26</v>
      </c>
      <c r="F36" s="4">
        <f t="shared" si="20"/>
        <v>1.0236220472440944</v>
      </c>
      <c r="G36" s="4"/>
      <c r="H36" s="4"/>
      <c r="I36" s="4"/>
      <c r="J36" s="4"/>
      <c r="L36" s="6">
        <f>(488.72*79^-0.989)*4</f>
        <v>25.96371959551465</v>
      </c>
      <c r="M36">
        <v>100</v>
      </c>
      <c r="N36">
        <v>100</v>
      </c>
      <c r="O36">
        <v>100</v>
      </c>
      <c r="P36" s="6">
        <f t="shared" si="6"/>
        <v>25.96371959551465</v>
      </c>
      <c r="Q36" s="6">
        <f t="shared" si="7"/>
        <v>25.96371959551465</v>
      </c>
      <c r="R36" s="6">
        <f t="shared" si="8"/>
        <v>25.96371959551465</v>
      </c>
    </row>
    <row r="37" spans="1:18" x14ac:dyDescent="0.25">
      <c r="A37" t="s">
        <v>58</v>
      </c>
      <c r="B37" s="1">
        <v>45093</v>
      </c>
      <c r="C37">
        <v>167</v>
      </c>
      <c r="D37" s="9" t="s">
        <v>69</v>
      </c>
      <c r="E37" s="4">
        <f>5.1*6</f>
        <v>30.599999999999998</v>
      </c>
      <c r="F37" s="4">
        <f t="shared" si="20"/>
        <v>1.204724409448819</v>
      </c>
      <c r="G37" s="4"/>
      <c r="H37" s="4"/>
      <c r="I37" s="4"/>
      <c r="J37" s="4"/>
      <c r="L37" s="6">
        <f>5.1*6</f>
        <v>30.599999999999998</v>
      </c>
      <c r="M37">
        <v>100</v>
      </c>
      <c r="N37">
        <v>100</v>
      </c>
      <c r="O37">
        <v>100</v>
      </c>
      <c r="P37" s="6">
        <f t="shared" si="6"/>
        <v>30.6</v>
      </c>
      <c r="Q37" s="6">
        <f t="shared" si="7"/>
        <v>30.6</v>
      </c>
      <c r="R37" s="6">
        <f t="shared" si="8"/>
        <v>30.6</v>
      </c>
    </row>
    <row r="38" spans="1:18" x14ac:dyDescent="0.25">
      <c r="A38" t="s">
        <v>58</v>
      </c>
      <c r="B38" s="1">
        <v>45097</v>
      </c>
      <c r="C38">
        <v>171</v>
      </c>
      <c r="D38" s="9" t="s">
        <v>70</v>
      </c>
      <c r="E38" s="4">
        <v>25.6</v>
      </c>
      <c r="F38" s="4">
        <f t="shared" si="20"/>
        <v>1.0078740157480317</v>
      </c>
      <c r="G38" s="4"/>
      <c r="H38" s="4"/>
      <c r="I38" s="4"/>
      <c r="J38" s="4"/>
      <c r="L38" s="6">
        <f>(488.72*80^-0.989)*4</f>
        <v>25.642720951335434</v>
      </c>
      <c r="M38">
        <v>100</v>
      </c>
      <c r="N38">
        <v>100</v>
      </c>
      <c r="O38">
        <v>100</v>
      </c>
      <c r="P38" s="6">
        <f t="shared" si="6"/>
        <v>25.642720951335431</v>
      </c>
      <c r="Q38" s="6">
        <f t="shared" si="7"/>
        <v>25.642720951335431</v>
      </c>
      <c r="R38" s="6">
        <f t="shared" si="8"/>
        <v>25.642720951335431</v>
      </c>
    </row>
    <row r="39" spans="1:18" x14ac:dyDescent="0.25">
      <c r="A39" t="s">
        <v>58</v>
      </c>
      <c r="B39" s="1">
        <v>45099</v>
      </c>
      <c r="C39">
        <v>173</v>
      </c>
      <c r="D39" s="9" t="s">
        <v>10</v>
      </c>
      <c r="E39" s="4">
        <f t="shared" ref="E39:E40" si="21">5.1*4</f>
        <v>20.399999999999999</v>
      </c>
      <c r="F39" s="4">
        <f t="shared" si="20"/>
        <v>0.80314960629921262</v>
      </c>
      <c r="G39" s="4" t="s">
        <v>73</v>
      </c>
      <c r="H39" s="4"/>
      <c r="I39" s="4"/>
      <c r="J39" s="4"/>
      <c r="L39" s="6">
        <f t="shared" ref="L39:L40" si="22">5.1*4</f>
        <v>20.399999999999999</v>
      </c>
      <c r="M39">
        <v>100</v>
      </c>
      <c r="N39">
        <v>100</v>
      </c>
      <c r="O39">
        <v>100</v>
      </c>
      <c r="P39" s="6">
        <f t="shared" si="6"/>
        <v>20.399999999999999</v>
      </c>
      <c r="Q39" s="6">
        <f t="shared" si="7"/>
        <v>20.399999999999999</v>
      </c>
      <c r="R39" s="6">
        <f t="shared" si="8"/>
        <v>20.399999999999999</v>
      </c>
    </row>
    <row r="40" spans="1:18" x14ac:dyDescent="0.25">
      <c r="A40" t="s">
        <v>58</v>
      </c>
      <c r="B40" s="1">
        <v>45100</v>
      </c>
      <c r="C40">
        <v>174</v>
      </c>
      <c r="D40" s="9" t="s">
        <v>10</v>
      </c>
      <c r="E40" s="4">
        <f t="shared" si="21"/>
        <v>20.399999999999999</v>
      </c>
      <c r="F40" s="4">
        <f>E40/25.4</f>
        <v>0.80314960629921262</v>
      </c>
      <c r="G40" s="4"/>
      <c r="H40" s="4"/>
      <c r="I40" s="4"/>
      <c r="J40" s="4"/>
      <c r="L40" s="6">
        <f t="shared" si="22"/>
        <v>20.399999999999999</v>
      </c>
      <c r="M40">
        <v>100</v>
      </c>
      <c r="N40">
        <v>100</v>
      </c>
      <c r="O40">
        <v>100</v>
      </c>
      <c r="P40" s="6">
        <f t="shared" si="6"/>
        <v>20.399999999999999</v>
      </c>
      <c r="Q40" s="6">
        <f t="shared" si="7"/>
        <v>20.399999999999999</v>
      </c>
      <c r="R40" s="6">
        <f t="shared" si="8"/>
        <v>20.399999999999999</v>
      </c>
    </row>
    <row r="41" spans="1:18" x14ac:dyDescent="0.25">
      <c r="A41" t="s">
        <v>58</v>
      </c>
      <c r="B41" s="1">
        <v>45104</v>
      </c>
      <c r="C41">
        <v>178</v>
      </c>
      <c r="D41" s="9" t="s">
        <v>74</v>
      </c>
      <c r="E41" s="4">
        <f>18.5+20.2</f>
        <v>38.700000000000003</v>
      </c>
      <c r="F41" s="4">
        <f t="shared" si="20"/>
        <v>1.5236220472440947</v>
      </c>
      <c r="G41" s="4"/>
      <c r="H41" s="4"/>
      <c r="I41" s="4"/>
      <c r="J41" s="4"/>
      <c r="L41" s="6">
        <f>(488.72*83^-0.989)*3+20.2</f>
        <v>38.744414820964586</v>
      </c>
      <c r="M41">
        <v>100</v>
      </c>
      <c r="N41">
        <v>100</v>
      </c>
      <c r="O41">
        <v>100</v>
      </c>
      <c r="P41" s="6">
        <f t="shared" si="6"/>
        <v>38.744414820964586</v>
      </c>
      <c r="Q41" s="6">
        <f t="shared" si="7"/>
        <v>38.744414820964586</v>
      </c>
      <c r="R41" s="6">
        <f t="shared" si="8"/>
        <v>38.744414820964586</v>
      </c>
    </row>
    <row r="42" spans="1:18" x14ac:dyDescent="0.25">
      <c r="A42" t="s">
        <v>58</v>
      </c>
      <c r="B42" s="1">
        <v>45107</v>
      </c>
      <c r="C42">
        <v>181</v>
      </c>
      <c r="D42" s="9" t="s">
        <v>75</v>
      </c>
      <c r="E42" s="4">
        <v>34.6</v>
      </c>
      <c r="F42" s="4">
        <f t="shared" si="20"/>
        <v>1.3622047244094488</v>
      </c>
      <c r="G42" s="4"/>
      <c r="H42" s="4"/>
      <c r="I42" s="4"/>
      <c r="J42" s="4"/>
      <c r="L42" s="6">
        <f>(488.72*89^-0.989)*6</f>
        <v>34.615024707312841</v>
      </c>
      <c r="M42">
        <v>100</v>
      </c>
      <c r="N42">
        <v>100</v>
      </c>
      <c r="O42">
        <v>100</v>
      </c>
      <c r="P42" s="6">
        <f t="shared" si="6"/>
        <v>34.615024707312841</v>
      </c>
      <c r="Q42" s="6">
        <f t="shared" si="7"/>
        <v>34.615024707312841</v>
      </c>
      <c r="R42" s="6">
        <f t="shared" si="8"/>
        <v>34.615024707312841</v>
      </c>
    </row>
    <row r="43" spans="1:18" x14ac:dyDescent="0.25">
      <c r="A43" t="s">
        <v>58</v>
      </c>
      <c r="B43" s="1">
        <v>45112</v>
      </c>
      <c r="C43">
        <v>186</v>
      </c>
      <c r="D43" s="9" t="s">
        <v>76</v>
      </c>
      <c r="E43" s="4">
        <v>37.1</v>
      </c>
      <c r="F43" s="4">
        <f t="shared" si="20"/>
        <v>1.4606299212598426</v>
      </c>
      <c r="G43" s="4"/>
      <c r="H43" s="4"/>
      <c r="I43" s="4"/>
      <c r="J43" s="4"/>
      <c r="L43" s="6">
        <f>(488.72*83^-0.989)*6</f>
        <v>37.088829641929173</v>
      </c>
      <c r="M43">
        <v>100</v>
      </c>
      <c r="N43">
        <v>100</v>
      </c>
      <c r="O43">
        <v>100</v>
      </c>
      <c r="P43" s="6">
        <f t="shared" si="6"/>
        <v>37.088829641929173</v>
      </c>
      <c r="Q43" s="6">
        <f t="shared" si="7"/>
        <v>37.088829641929173</v>
      </c>
      <c r="R43" s="6">
        <f t="shared" si="8"/>
        <v>37.088829641929173</v>
      </c>
    </row>
    <row r="44" spans="1:18" x14ac:dyDescent="0.25">
      <c r="A44" t="s">
        <v>58</v>
      </c>
      <c r="B44" s="1">
        <v>45114</v>
      </c>
      <c r="C44">
        <v>188</v>
      </c>
      <c r="D44" s="9" t="s">
        <v>76</v>
      </c>
      <c r="E44" s="4">
        <v>37.1</v>
      </c>
      <c r="F44" s="4">
        <f t="shared" si="20"/>
        <v>1.4606299212598426</v>
      </c>
      <c r="G44" s="4"/>
      <c r="H44" s="4"/>
      <c r="I44" s="4"/>
      <c r="J44" s="4"/>
      <c r="L44" s="6">
        <f>(488.72*83^-0.989)*6</f>
        <v>37.088829641929173</v>
      </c>
      <c r="M44">
        <v>100</v>
      </c>
      <c r="N44">
        <v>100</v>
      </c>
      <c r="O44">
        <v>100</v>
      </c>
      <c r="P44" s="6">
        <f t="shared" si="6"/>
        <v>37.088829641929173</v>
      </c>
      <c r="Q44" s="6">
        <f t="shared" si="7"/>
        <v>37.088829641929173</v>
      </c>
      <c r="R44" s="6">
        <f t="shared" si="8"/>
        <v>37.088829641929173</v>
      </c>
    </row>
    <row r="45" spans="1:18" x14ac:dyDescent="0.25">
      <c r="A45" t="s">
        <v>58</v>
      </c>
      <c r="B45" s="1">
        <v>45118</v>
      </c>
      <c r="C45">
        <v>192</v>
      </c>
      <c r="D45" s="9" t="s">
        <v>77</v>
      </c>
      <c r="E45" s="4">
        <v>44.5</v>
      </c>
      <c r="F45" s="4">
        <f t="shared" si="20"/>
        <v>1.7519685039370079</v>
      </c>
      <c r="G45" s="4"/>
      <c r="H45" s="4"/>
      <c r="I45" s="4"/>
      <c r="J45" s="4"/>
      <c r="L45" s="6">
        <f>(488.72*69^-0.989)*6</f>
        <v>44.523532273023612</v>
      </c>
      <c r="M45">
        <v>100</v>
      </c>
      <c r="N45">
        <v>100</v>
      </c>
      <c r="O45">
        <v>100</v>
      </c>
      <c r="P45" s="6">
        <f t="shared" si="6"/>
        <v>44.523532273023612</v>
      </c>
      <c r="Q45" s="6">
        <f t="shared" si="7"/>
        <v>44.523532273023612</v>
      </c>
      <c r="R45" s="6">
        <f t="shared" si="8"/>
        <v>44.523532273023612</v>
      </c>
    </row>
    <row r="46" spans="1:18" x14ac:dyDescent="0.25">
      <c r="A46" t="s">
        <v>58</v>
      </c>
      <c r="B46" s="1">
        <v>45121</v>
      </c>
      <c r="C46">
        <v>195</v>
      </c>
      <c r="D46" s="9" t="s">
        <v>77</v>
      </c>
      <c r="E46" s="4">
        <v>44.5</v>
      </c>
      <c r="F46" s="4">
        <f t="shared" si="20"/>
        <v>1.7519685039370079</v>
      </c>
      <c r="G46" s="4" t="s">
        <v>78</v>
      </c>
      <c r="H46" s="4"/>
      <c r="I46" s="4"/>
      <c r="J46" s="4"/>
      <c r="L46" s="6">
        <f>(488.72*69^-0.989)*6</f>
        <v>44.523532273023612</v>
      </c>
      <c r="M46">
        <v>80</v>
      </c>
      <c r="N46">
        <v>60</v>
      </c>
      <c r="O46">
        <v>40</v>
      </c>
      <c r="P46" s="6">
        <f t="shared" si="6"/>
        <v>35.618825818418891</v>
      </c>
      <c r="Q46" s="6">
        <f t="shared" si="7"/>
        <v>26.714119363814167</v>
      </c>
      <c r="R46" s="6">
        <f t="shared" si="8"/>
        <v>17.809412909209446</v>
      </c>
    </row>
    <row r="47" spans="1:18" x14ac:dyDescent="0.25">
      <c r="A47" t="s">
        <v>58</v>
      </c>
      <c r="B47" s="1">
        <v>45125</v>
      </c>
      <c r="C47">
        <v>199</v>
      </c>
      <c r="D47" s="9" t="s">
        <v>80</v>
      </c>
      <c r="E47" s="4">
        <f>24.7+20.2</f>
        <v>44.9</v>
      </c>
      <c r="F47" s="4">
        <f t="shared" si="20"/>
        <v>1.7677165354330708</v>
      </c>
      <c r="G47" s="4" t="s">
        <v>81</v>
      </c>
      <c r="H47" s="4"/>
      <c r="I47" s="4"/>
      <c r="J47" s="4"/>
      <c r="L47" s="6">
        <f>(488.72*62^-0.989)*3+20.2</f>
        <v>44.946055688665012</v>
      </c>
      <c r="M47">
        <v>100</v>
      </c>
      <c r="N47">
        <v>100</v>
      </c>
      <c r="O47">
        <v>100</v>
      </c>
      <c r="P47" s="6">
        <f t="shared" si="6"/>
        <v>44.946055688665012</v>
      </c>
      <c r="Q47" s="6">
        <f t="shared" si="7"/>
        <v>44.946055688665012</v>
      </c>
      <c r="R47" s="6">
        <f t="shared" si="8"/>
        <v>44.946055688665012</v>
      </c>
    </row>
    <row r="48" spans="1:18" x14ac:dyDescent="0.25">
      <c r="A48" t="s">
        <v>58</v>
      </c>
      <c r="B48" s="1">
        <v>45128</v>
      </c>
      <c r="C48">
        <v>202</v>
      </c>
      <c r="D48" s="9" t="s">
        <v>83</v>
      </c>
      <c r="E48" s="4">
        <v>45.2</v>
      </c>
      <c r="F48" s="4">
        <f t="shared" si="20"/>
        <v>1.7795275590551183</v>
      </c>
      <c r="G48" s="4" t="s">
        <v>82</v>
      </c>
      <c r="H48" s="4"/>
      <c r="I48" s="4"/>
      <c r="J48" s="4"/>
      <c r="L48" s="6">
        <f>(488.72*68^-0.989)*6</f>
        <v>45.171035646319382</v>
      </c>
      <c r="M48">
        <v>80</v>
      </c>
      <c r="N48">
        <v>60</v>
      </c>
      <c r="O48">
        <v>40</v>
      </c>
      <c r="P48" s="6">
        <f t="shared" si="6"/>
        <v>36.136828517055505</v>
      </c>
      <c r="Q48" s="6">
        <f t="shared" si="7"/>
        <v>27.102621387791629</v>
      </c>
      <c r="R48" s="6">
        <f t="shared" si="8"/>
        <v>18.068414258527753</v>
      </c>
    </row>
    <row r="49" spans="1:18" x14ac:dyDescent="0.25">
      <c r="A49" t="s">
        <v>58</v>
      </c>
      <c r="B49" s="1">
        <v>45132</v>
      </c>
      <c r="C49">
        <v>206</v>
      </c>
      <c r="D49" s="9" t="s">
        <v>85</v>
      </c>
      <c r="E49" s="4">
        <v>48.7</v>
      </c>
      <c r="F49" s="4">
        <f t="shared" si="20"/>
        <v>1.9173228346456694</v>
      </c>
      <c r="G49" s="4"/>
      <c r="H49" s="4"/>
      <c r="I49" s="4"/>
      <c r="J49" s="4"/>
      <c r="L49" s="6">
        <f>(488.72*63^-0.989)*6</f>
        <v>48.715095593101609</v>
      </c>
      <c r="M49">
        <v>80</v>
      </c>
      <c r="N49">
        <v>60</v>
      </c>
      <c r="O49">
        <v>40</v>
      </c>
      <c r="P49" s="6">
        <f t="shared" si="6"/>
        <v>38.972076474481284</v>
      </c>
      <c r="Q49" s="6">
        <f t="shared" si="7"/>
        <v>29.229057355860963</v>
      </c>
      <c r="R49" s="6">
        <f t="shared" si="8"/>
        <v>19.486038237240642</v>
      </c>
    </row>
    <row r="50" spans="1:18" x14ac:dyDescent="0.25">
      <c r="A50" t="s">
        <v>58</v>
      </c>
      <c r="B50" s="1">
        <v>45135</v>
      </c>
      <c r="C50">
        <v>209</v>
      </c>
      <c r="D50" s="9" t="s">
        <v>86</v>
      </c>
      <c r="E50" s="4">
        <v>45.8</v>
      </c>
      <c r="F50" s="4">
        <f t="shared" si="20"/>
        <v>1.8031496062992125</v>
      </c>
      <c r="G50" s="4"/>
      <c r="H50" s="4"/>
      <c r="I50" s="4"/>
      <c r="J50" s="4"/>
      <c r="L50" s="6">
        <f>(488.72*67^-0.989)*6</f>
        <v>45.837759605746086</v>
      </c>
      <c r="M50">
        <v>80</v>
      </c>
      <c r="N50">
        <v>60</v>
      </c>
      <c r="O50">
        <v>40</v>
      </c>
      <c r="P50" s="6">
        <f t="shared" si="6"/>
        <v>36.670207684596875</v>
      </c>
      <c r="Q50" s="6">
        <f t="shared" si="7"/>
        <v>27.502655763447653</v>
      </c>
      <c r="R50" s="6">
        <f>$L50*O50/100</f>
        <v>18.335103842298437</v>
      </c>
    </row>
    <row r="51" spans="1:18" x14ac:dyDescent="0.25">
      <c r="A51" t="s">
        <v>58</v>
      </c>
      <c r="B51" s="1">
        <v>45139</v>
      </c>
      <c r="C51">
        <v>213</v>
      </c>
      <c r="D51" s="9" t="s">
        <v>87</v>
      </c>
      <c r="E51" s="4">
        <f>5.1*8</f>
        <v>40.799999999999997</v>
      </c>
      <c r="F51" s="4">
        <f t="shared" si="20"/>
        <v>1.6062992125984252</v>
      </c>
      <c r="G51" s="4"/>
      <c r="H51" s="4"/>
      <c r="I51" s="4"/>
      <c r="J51" s="4"/>
      <c r="L51" s="6">
        <f>5.1*8</f>
        <v>40.799999999999997</v>
      </c>
      <c r="M51">
        <v>80</v>
      </c>
      <c r="N51">
        <v>60</v>
      </c>
      <c r="O51">
        <v>40</v>
      </c>
      <c r="P51" s="6">
        <f t="shared" si="6"/>
        <v>32.64</v>
      </c>
      <c r="Q51" s="6">
        <f t="shared" si="7"/>
        <v>24.48</v>
      </c>
      <c r="R51" s="6">
        <f t="shared" si="8"/>
        <v>16.32</v>
      </c>
    </row>
    <row r="52" spans="1:18" x14ac:dyDescent="0.25">
      <c r="A52" t="s">
        <v>58</v>
      </c>
      <c r="B52" s="1">
        <v>45142</v>
      </c>
      <c r="C52">
        <v>216</v>
      </c>
      <c r="D52" s="9" t="s">
        <v>88</v>
      </c>
      <c r="E52" s="4">
        <f>10.1*2+5.1*4</f>
        <v>40.599999999999994</v>
      </c>
      <c r="F52" s="4">
        <f t="shared" si="20"/>
        <v>1.5984251968503935</v>
      </c>
      <c r="G52" s="4"/>
      <c r="H52" s="4"/>
      <c r="I52" s="4"/>
      <c r="J52" s="4"/>
      <c r="L52" s="6">
        <f>10.1*2+5.1*4</f>
        <v>40.599999999999994</v>
      </c>
      <c r="M52">
        <v>80</v>
      </c>
      <c r="N52">
        <v>60</v>
      </c>
      <c r="O52">
        <v>40</v>
      </c>
      <c r="P52" s="6">
        <f t="shared" si="6"/>
        <v>32.479999999999997</v>
      </c>
      <c r="Q52" s="6">
        <f t="shared" si="7"/>
        <v>24.359999999999996</v>
      </c>
      <c r="R52" s="6">
        <f t="shared" si="8"/>
        <v>16.239999999999998</v>
      </c>
    </row>
    <row r="53" spans="1:18" x14ac:dyDescent="0.25">
      <c r="A53" t="s">
        <v>58</v>
      </c>
      <c r="B53" s="1">
        <v>45146</v>
      </c>
      <c r="C53">
        <v>220</v>
      </c>
      <c r="D53" s="9" t="s">
        <v>69</v>
      </c>
      <c r="E53" s="4">
        <f>5.1*6</f>
        <v>30.599999999999998</v>
      </c>
      <c r="F53" s="4">
        <f t="shared" si="20"/>
        <v>1.204724409448819</v>
      </c>
      <c r="G53" s="4"/>
      <c r="H53" s="4"/>
      <c r="I53" s="4"/>
      <c r="J53" s="4"/>
      <c r="L53" s="6">
        <f>5.1*6</f>
        <v>30.599999999999998</v>
      </c>
      <c r="M53">
        <v>80</v>
      </c>
      <c r="N53">
        <v>60</v>
      </c>
      <c r="O53">
        <v>40</v>
      </c>
      <c r="P53" s="6">
        <f t="shared" si="6"/>
        <v>24.48</v>
      </c>
      <c r="Q53" s="6">
        <f t="shared" si="7"/>
        <v>18.36</v>
      </c>
      <c r="R53" s="6">
        <f t="shared" si="8"/>
        <v>12.24</v>
      </c>
    </row>
    <row r="54" spans="1:18" x14ac:dyDescent="0.25">
      <c r="A54" t="s">
        <v>58</v>
      </c>
      <c r="B54" s="1">
        <v>45149</v>
      </c>
      <c r="C54">
        <v>223</v>
      </c>
      <c r="D54" s="9" t="s">
        <v>87</v>
      </c>
      <c r="E54" s="4">
        <f>5.1*8</f>
        <v>40.799999999999997</v>
      </c>
      <c r="F54" s="4">
        <f t="shared" si="20"/>
        <v>1.6062992125984252</v>
      </c>
      <c r="G54" s="4"/>
      <c r="H54" s="4"/>
      <c r="I54" s="4"/>
      <c r="J54" s="4"/>
      <c r="L54" s="6">
        <f>5.1*8</f>
        <v>40.799999999999997</v>
      </c>
      <c r="M54">
        <v>80</v>
      </c>
      <c r="N54">
        <v>60</v>
      </c>
      <c r="O54">
        <v>40</v>
      </c>
      <c r="P54" s="6">
        <f t="shared" si="6"/>
        <v>32.64</v>
      </c>
      <c r="Q54" s="6">
        <f t="shared" si="7"/>
        <v>24.48</v>
      </c>
      <c r="R54" s="6">
        <f t="shared" si="8"/>
        <v>16.32</v>
      </c>
    </row>
    <row r="55" spans="1:18" x14ac:dyDescent="0.25">
      <c r="A55" t="s">
        <v>58</v>
      </c>
      <c r="B55" s="1">
        <v>45153</v>
      </c>
      <c r="C55">
        <v>227</v>
      </c>
      <c r="D55" s="9" t="s">
        <v>69</v>
      </c>
      <c r="E55" s="4">
        <f>5.1*6</f>
        <v>30.599999999999998</v>
      </c>
      <c r="F55" s="4">
        <f t="shared" si="20"/>
        <v>1.204724409448819</v>
      </c>
      <c r="G55" s="4"/>
      <c r="H55" s="4"/>
      <c r="I55" s="4"/>
      <c r="J55" s="4"/>
      <c r="L55" s="6">
        <f>5.1*6</f>
        <v>30.599999999999998</v>
      </c>
      <c r="M55">
        <v>80</v>
      </c>
      <c r="N55">
        <v>60</v>
      </c>
      <c r="O55">
        <v>40</v>
      </c>
      <c r="P55" s="6">
        <f t="shared" si="6"/>
        <v>24.48</v>
      </c>
      <c r="Q55" s="6">
        <f t="shared" si="7"/>
        <v>18.36</v>
      </c>
      <c r="R55" s="6">
        <f>$L55*O55/100</f>
        <v>12.24</v>
      </c>
    </row>
    <row r="56" spans="1:18" x14ac:dyDescent="0.25">
      <c r="A56" t="s">
        <v>58</v>
      </c>
      <c r="B56" s="1">
        <v>45156</v>
      </c>
      <c r="C56">
        <v>230</v>
      </c>
      <c r="D56" s="9" t="s">
        <v>87</v>
      </c>
      <c r="E56" s="4">
        <f>5.1*8</f>
        <v>40.799999999999997</v>
      </c>
      <c r="F56" s="4">
        <f t="shared" si="20"/>
        <v>1.6062992125984252</v>
      </c>
      <c r="G56" s="4"/>
      <c r="H56" s="4"/>
      <c r="I56" s="4"/>
      <c r="J56" s="4"/>
      <c r="L56" s="6">
        <f>5.1*8</f>
        <v>40.799999999999997</v>
      </c>
      <c r="M56">
        <v>80</v>
      </c>
      <c r="N56">
        <v>60</v>
      </c>
      <c r="O56">
        <v>40</v>
      </c>
      <c r="P56" s="6">
        <f t="shared" si="6"/>
        <v>32.64</v>
      </c>
      <c r="Q56" s="6">
        <f t="shared" si="7"/>
        <v>24.48</v>
      </c>
      <c r="R56" s="6">
        <f t="shared" si="8"/>
        <v>16.32</v>
      </c>
    </row>
    <row r="57" spans="1:18" x14ac:dyDescent="0.25">
      <c r="A57" t="s">
        <v>58</v>
      </c>
      <c r="B57" s="1">
        <v>45160</v>
      </c>
      <c r="C57">
        <v>234</v>
      </c>
      <c r="D57" s="9" t="s">
        <v>69</v>
      </c>
      <c r="E57" s="4">
        <f>5.1*6</f>
        <v>30.599999999999998</v>
      </c>
      <c r="F57" s="4">
        <f t="shared" si="20"/>
        <v>1.204724409448819</v>
      </c>
      <c r="G57" s="4"/>
      <c r="H57" s="4"/>
      <c r="I57" s="4"/>
      <c r="J57" s="4"/>
      <c r="L57" s="6">
        <f>5.1*6</f>
        <v>30.599999999999998</v>
      </c>
      <c r="M57">
        <v>80</v>
      </c>
      <c r="N57">
        <v>60</v>
      </c>
      <c r="O57">
        <v>40</v>
      </c>
      <c r="P57" s="6">
        <f t="shared" si="6"/>
        <v>24.48</v>
      </c>
      <c r="Q57" s="6">
        <f t="shared" si="7"/>
        <v>18.36</v>
      </c>
      <c r="R57" s="6">
        <f t="shared" si="8"/>
        <v>12.24</v>
      </c>
    </row>
    <row r="58" spans="1:18" x14ac:dyDescent="0.25">
      <c r="A58" t="s">
        <v>58</v>
      </c>
      <c r="B58" s="1">
        <v>45163</v>
      </c>
      <c r="C58">
        <v>237</v>
      </c>
      <c r="D58" s="9" t="s">
        <v>87</v>
      </c>
      <c r="E58" s="4">
        <f>5.1*8</f>
        <v>40.799999999999997</v>
      </c>
      <c r="F58" s="4">
        <f t="shared" si="20"/>
        <v>1.6062992125984252</v>
      </c>
      <c r="G58" s="4"/>
      <c r="H58" s="4"/>
      <c r="I58" s="4"/>
      <c r="J58" s="4"/>
      <c r="L58" s="6">
        <f>5.1*8</f>
        <v>40.799999999999997</v>
      </c>
      <c r="M58">
        <v>80</v>
      </c>
      <c r="N58">
        <v>60</v>
      </c>
      <c r="O58">
        <v>40</v>
      </c>
      <c r="P58" s="6">
        <f t="shared" si="6"/>
        <v>32.64</v>
      </c>
      <c r="Q58" s="6">
        <f t="shared" si="7"/>
        <v>24.48</v>
      </c>
      <c r="R58" s="6">
        <f>$L58*O58/100</f>
        <v>16.32</v>
      </c>
    </row>
    <row r="59" spans="1:18" x14ac:dyDescent="0.25">
      <c r="A59" t="s">
        <v>58</v>
      </c>
      <c r="B59" s="1">
        <v>45167</v>
      </c>
      <c r="C59">
        <v>241</v>
      </c>
      <c r="D59" s="9" t="s">
        <v>69</v>
      </c>
      <c r="E59" s="4">
        <f>5.1*6</f>
        <v>30.599999999999998</v>
      </c>
      <c r="F59" s="4">
        <f t="shared" ref="F59" si="23">E59/25.4</f>
        <v>1.204724409448819</v>
      </c>
      <c r="G59" s="4"/>
      <c r="H59" s="4"/>
      <c r="I59" s="4"/>
      <c r="J59" s="4"/>
      <c r="L59" s="6">
        <f>5.1*6</f>
        <v>30.599999999999998</v>
      </c>
      <c r="M59">
        <v>80</v>
      </c>
      <c r="N59">
        <v>60</v>
      </c>
      <c r="O59">
        <v>40</v>
      </c>
      <c r="P59" s="6">
        <f t="shared" si="6"/>
        <v>24.48</v>
      </c>
      <c r="Q59" s="6">
        <f t="shared" si="7"/>
        <v>18.36</v>
      </c>
      <c r="R59" s="6">
        <f t="shared" si="8"/>
        <v>12.24</v>
      </c>
    </row>
    <row r="60" spans="1:18" x14ac:dyDescent="0.25">
      <c r="A60" t="s">
        <v>58</v>
      </c>
      <c r="B60" s="1">
        <v>45175</v>
      </c>
      <c r="C60">
        <v>249</v>
      </c>
      <c r="D60" s="9" t="s">
        <v>69</v>
      </c>
      <c r="E60" s="4">
        <f>5.1*6</f>
        <v>30.599999999999998</v>
      </c>
      <c r="F60" s="4">
        <f t="shared" ref="F60:F61" si="24">E60/25.4</f>
        <v>1.204724409448819</v>
      </c>
      <c r="G60" s="4"/>
      <c r="H60" s="4"/>
      <c r="I60" s="4"/>
      <c r="J60" s="4"/>
      <c r="L60" s="6">
        <f>5.1*6</f>
        <v>30.599999999999998</v>
      </c>
      <c r="M60">
        <v>80</v>
      </c>
      <c r="N60">
        <v>60</v>
      </c>
      <c r="O60">
        <v>40</v>
      </c>
      <c r="P60" s="6">
        <f t="shared" si="6"/>
        <v>24.48</v>
      </c>
      <c r="Q60" s="6">
        <f t="shared" si="7"/>
        <v>18.36</v>
      </c>
      <c r="R60" s="6">
        <f>$L60*O60/100</f>
        <v>12.24</v>
      </c>
    </row>
    <row r="61" spans="1:18" x14ac:dyDescent="0.25">
      <c r="A61" t="s">
        <v>58</v>
      </c>
      <c r="B61" s="1">
        <v>45177</v>
      </c>
      <c r="C61">
        <v>251</v>
      </c>
      <c r="D61" s="9" t="s">
        <v>89</v>
      </c>
      <c r="E61" s="4">
        <f>5.1*5+10.1</f>
        <v>35.6</v>
      </c>
      <c r="F61" s="4">
        <f t="shared" si="24"/>
        <v>1.4015748031496065</v>
      </c>
      <c r="G61" s="4"/>
      <c r="H61" s="4"/>
      <c r="I61" s="4"/>
      <c r="J61" s="4"/>
      <c r="L61" s="6">
        <f>5.1*5+10.1</f>
        <v>35.6</v>
      </c>
      <c r="M61">
        <v>80</v>
      </c>
      <c r="N61">
        <v>60</v>
      </c>
      <c r="O61">
        <v>40</v>
      </c>
      <c r="P61" s="6">
        <f t="shared" si="6"/>
        <v>28.48</v>
      </c>
      <c r="Q61" s="6">
        <f t="shared" si="7"/>
        <v>21.36</v>
      </c>
      <c r="R61" s="6">
        <f>$L61*O61/100</f>
        <v>14.24</v>
      </c>
    </row>
    <row r="62" spans="1:18" x14ac:dyDescent="0.25">
      <c r="B62" s="1"/>
      <c r="E62" s="4">
        <f>SUM(E18:E61)</f>
        <v>1300.5999999999997</v>
      </c>
      <c r="F62" s="4">
        <f>SUM(F18:F61)</f>
        <v>51.204724409448822</v>
      </c>
      <c r="G62" s="4"/>
      <c r="H62" s="4"/>
      <c r="I62" s="4"/>
      <c r="J62" s="4"/>
      <c r="L62" s="4">
        <f>SUM(L18:L61)</f>
        <v>1300.8132360605839</v>
      </c>
      <c r="M62" s="4">
        <f t="shared" ref="M62:R62" si="25">SUM(M18:M61)</f>
        <v>4100</v>
      </c>
      <c r="N62" s="4">
        <f t="shared" si="25"/>
        <v>3800</v>
      </c>
      <c r="O62" s="4">
        <f t="shared" si="25"/>
        <v>3500</v>
      </c>
      <c r="P62" s="4">
        <f t="shared" si="25"/>
        <v>1185.4837514369465</v>
      </c>
      <c r="Q62" s="4">
        <f t="shared" si="25"/>
        <v>1070.1542668133079</v>
      </c>
      <c r="R62" s="4">
        <f t="shared" si="25"/>
        <v>954.82478218967015</v>
      </c>
    </row>
    <row r="63" spans="1:18" x14ac:dyDescent="0.25">
      <c r="B63" s="1"/>
      <c r="E63" s="4"/>
      <c r="F63" s="4"/>
      <c r="G63" s="4"/>
      <c r="H63" s="4"/>
      <c r="I63" s="4"/>
      <c r="J63" s="4"/>
      <c r="N63" s="7"/>
    </row>
    <row r="64" spans="1:18" x14ac:dyDescent="0.25">
      <c r="B64" s="1"/>
      <c r="E64" s="4"/>
      <c r="F64" s="4"/>
      <c r="G64" s="4"/>
      <c r="H64" s="4"/>
      <c r="I64" s="4"/>
      <c r="J64" s="4"/>
      <c r="N64" s="7"/>
    </row>
    <row r="65" spans="2:14" x14ac:dyDescent="0.25">
      <c r="B65" s="1"/>
      <c r="E65" s="4"/>
      <c r="F65" s="4"/>
      <c r="G65" s="4"/>
      <c r="H65" s="4"/>
      <c r="I65" s="4"/>
      <c r="J65" s="4"/>
      <c r="N65" s="7"/>
    </row>
    <row r="66" spans="2:14" x14ac:dyDescent="0.25">
      <c r="E66" s="4"/>
      <c r="F66" s="4"/>
      <c r="G66" s="4"/>
      <c r="H66" s="4"/>
      <c r="I66" s="4"/>
      <c r="J66" s="4"/>
      <c r="N66" s="7"/>
    </row>
    <row r="67" spans="2:14" x14ac:dyDescent="0.25">
      <c r="E67" s="4"/>
      <c r="F67" s="4"/>
      <c r="G67" s="4"/>
      <c r="H67" s="4"/>
      <c r="I67" s="4"/>
      <c r="J67" s="4"/>
      <c r="N67" s="7"/>
    </row>
    <row r="68" spans="2:14" x14ac:dyDescent="0.25">
      <c r="E68" s="4"/>
      <c r="F68" s="4"/>
      <c r="G68" s="4"/>
      <c r="H68" s="4"/>
      <c r="I68" s="4"/>
      <c r="J68" s="4"/>
      <c r="N68" s="4"/>
    </row>
    <row r="69" spans="2:14" x14ac:dyDescent="0.25">
      <c r="E69" s="4"/>
      <c r="F69" s="4"/>
      <c r="G69" s="4"/>
      <c r="H69" s="4"/>
      <c r="I69" s="4"/>
      <c r="J69" s="4"/>
      <c r="N69" s="7"/>
    </row>
    <row r="70" spans="2:14" x14ac:dyDescent="0.25">
      <c r="E70" s="4"/>
      <c r="F70" s="4"/>
      <c r="G70" s="4"/>
      <c r="H70" s="4"/>
      <c r="I70" s="4"/>
      <c r="J70" s="4"/>
      <c r="N70" s="7"/>
    </row>
    <row r="71" spans="2:14" x14ac:dyDescent="0.25">
      <c r="E71" s="4"/>
      <c r="F71" s="4"/>
      <c r="G71" s="4"/>
      <c r="H71" s="4"/>
      <c r="I71" s="4"/>
      <c r="J71" s="4"/>
      <c r="N71" s="7"/>
    </row>
    <row r="72" spans="2:14" x14ac:dyDescent="0.25">
      <c r="E72" s="4"/>
      <c r="F72" s="4"/>
      <c r="G72" s="4"/>
      <c r="H72" s="4"/>
      <c r="I72" s="4"/>
      <c r="J72" s="4"/>
      <c r="N72" s="7"/>
    </row>
    <row r="73" spans="2:14" x14ac:dyDescent="0.25">
      <c r="E73" s="4"/>
      <c r="F73" s="4"/>
      <c r="G73" s="4"/>
      <c r="H73" s="4"/>
      <c r="I73" s="4"/>
      <c r="J73" s="4"/>
      <c r="N73" s="7"/>
    </row>
    <row r="74" spans="2:14" x14ac:dyDescent="0.25">
      <c r="E74" s="4"/>
      <c r="F74" s="4"/>
      <c r="G74" s="4"/>
      <c r="H74" s="4"/>
      <c r="I74" s="4"/>
      <c r="J74" s="4"/>
      <c r="N74" s="7"/>
    </row>
    <row r="75" spans="2:14" x14ac:dyDescent="0.25">
      <c r="E75" s="4"/>
      <c r="F75" s="4"/>
      <c r="G75" s="4"/>
      <c r="H75" s="4"/>
      <c r="I75" s="4"/>
      <c r="J75" s="4"/>
      <c r="N75" s="7"/>
    </row>
    <row r="76" spans="2:14" x14ac:dyDescent="0.25">
      <c r="E76" s="4"/>
      <c r="F76" s="4"/>
      <c r="G76" s="4"/>
      <c r="H76" s="4"/>
      <c r="I76" s="4"/>
      <c r="J76" s="4"/>
      <c r="N76" s="7"/>
    </row>
    <row r="77" spans="2:14" x14ac:dyDescent="0.25">
      <c r="E77" s="4"/>
      <c r="F77" s="4"/>
      <c r="G77" s="4"/>
      <c r="H77" s="4"/>
      <c r="I77" s="4"/>
      <c r="J77" s="4"/>
      <c r="N77" s="7"/>
    </row>
    <row r="78" spans="2:14" x14ac:dyDescent="0.25">
      <c r="E78" s="4"/>
      <c r="F78" s="4"/>
      <c r="G78" s="4"/>
      <c r="H78" s="4"/>
      <c r="I78" s="4"/>
      <c r="J78" s="4"/>
      <c r="N78" s="7"/>
    </row>
    <row r="79" spans="2:14" x14ac:dyDescent="0.25">
      <c r="E79" s="4"/>
      <c r="F79" s="4"/>
      <c r="G79" s="4"/>
      <c r="H79" s="4"/>
      <c r="I79" s="4"/>
      <c r="J79" s="4"/>
      <c r="N79" s="7"/>
    </row>
    <row r="80" spans="2:14" x14ac:dyDescent="0.25">
      <c r="E80" s="4"/>
      <c r="F80" s="4"/>
      <c r="G80" s="4"/>
      <c r="H80" s="4"/>
      <c r="I80" s="4"/>
      <c r="J80" s="4"/>
      <c r="N80" s="7"/>
    </row>
    <row r="81" spans="5:10" x14ac:dyDescent="0.25">
      <c r="E81" s="4"/>
      <c r="F81" s="4"/>
      <c r="G81" s="4"/>
      <c r="H81" s="4"/>
      <c r="I81" s="4"/>
      <c r="J81" s="4"/>
    </row>
    <row r="82" spans="5:10" x14ac:dyDescent="0.25">
      <c r="E82" s="4"/>
      <c r="F82" s="4"/>
      <c r="G82" s="4"/>
      <c r="H82" s="4"/>
      <c r="I82" s="4"/>
      <c r="J82" s="4"/>
    </row>
    <row r="83" spans="5:10" x14ac:dyDescent="0.25">
      <c r="E83" s="4"/>
      <c r="F83" s="4"/>
      <c r="G83" s="4"/>
      <c r="H83" s="4"/>
      <c r="I83" s="4"/>
      <c r="J83" s="4"/>
    </row>
    <row r="84" spans="5:10" x14ac:dyDescent="0.25">
      <c r="E84" s="4"/>
      <c r="F84" s="4"/>
      <c r="G84" s="4"/>
      <c r="H84" s="4"/>
      <c r="I84" s="4"/>
      <c r="J84" s="4"/>
    </row>
    <row r="85" spans="5:10" x14ac:dyDescent="0.25">
      <c r="E85" s="4"/>
      <c r="F85" s="4"/>
      <c r="G85" s="4"/>
      <c r="H85" s="4"/>
      <c r="I85" s="4"/>
      <c r="J85" s="4"/>
    </row>
    <row r="86" spans="5:10" x14ac:dyDescent="0.25">
      <c r="E86" s="4"/>
      <c r="F86" s="4"/>
      <c r="G86" s="4"/>
      <c r="H86" s="4"/>
      <c r="I86" s="4"/>
      <c r="J86" s="4"/>
    </row>
    <row r="87" spans="5:10" x14ac:dyDescent="0.25">
      <c r="E87" s="4"/>
      <c r="F87" s="4"/>
      <c r="G87" s="4"/>
      <c r="H87" s="4"/>
      <c r="I87" s="4"/>
      <c r="J87" s="4"/>
    </row>
    <row r="88" spans="5:10" x14ac:dyDescent="0.25">
      <c r="F88" s="4"/>
      <c r="G88" s="4"/>
      <c r="H88" s="4"/>
      <c r="I88" s="4"/>
      <c r="J88" s="4"/>
    </row>
    <row r="89" spans="5:10" x14ac:dyDescent="0.25">
      <c r="F89" s="4"/>
      <c r="G89" s="4"/>
      <c r="H89" s="4"/>
      <c r="I89" s="4"/>
      <c r="J89" s="4"/>
    </row>
    <row r="90" spans="5:10" x14ac:dyDescent="0.25">
      <c r="F90" s="4"/>
      <c r="G90" s="4"/>
      <c r="H90" s="4"/>
      <c r="I90" s="4"/>
      <c r="J90" s="4"/>
    </row>
    <row r="91" spans="5:10" x14ac:dyDescent="0.25">
      <c r="F91" s="4"/>
      <c r="G91" s="4"/>
      <c r="H91" s="4"/>
      <c r="I91" s="4"/>
      <c r="J91" s="4"/>
    </row>
    <row r="92" spans="5:10" x14ac:dyDescent="0.25">
      <c r="F92" s="4"/>
      <c r="I92" s="4"/>
      <c r="J92" s="4"/>
    </row>
    <row r="93" spans="5:10" x14ac:dyDescent="0.25">
      <c r="I93" s="4"/>
      <c r="J93" s="4"/>
    </row>
    <row r="94" spans="5:10" x14ac:dyDescent="0.25">
      <c r="I94" s="4"/>
      <c r="J94" s="4"/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2"/>
  <sheetViews>
    <sheetView workbookViewId="0"/>
  </sheetViews>
  <sheetFormatPr defaultRowHeight="15" x14ac:dyDescent="0.25"/>
  <sheetData>
    <row r="1" spans="1:14" x14ac:dyDescent="0.25">
      <c r="A1" t="s">
        <v>30</v>
      </c>
      <c r="B1" t="s">
        <v>11</v>
      </c>
      <c r="C1" t="s">
        <v>12</v>
      </c>
      <c r="D1" t="s">
        <v>32</v>
      </c>
      <c r="E1" t="s">
        <v>13</v>
      </c>
      <c r="F1" t="s">
        <v>14</v>
      </c>
      <c r="H1" t="s">
        <v>15</v>
      </c>
    </row>
    <row r="2" spans="1:14" x14ac:dyDescent="0.25">
      <c r="A2" t="s">
        <v>31</v>
      </c>
      <c r="B2" t="s">
        <v>17</v>
      </c>
      <c r="D2" t="s">
        <v>18</v>
      </c>
      <c r="E2" t="s">
        <v>18</v>
      </c>
      <c r="H2" t="s">
        <v>16</v>
      </c>
    </row>
    <row r="4" spans="1:14" x14ac:dyDescent="0.25">
      <c r="A4" t="s">
        <v>28</v>
      </c>
      <c r="B4" t="s">
        <v>19</v>
      </c>
      <c r="C4" t="s">
        <v>20</v>
      </c>
      <c r="D4">
        <v>1</v>
      </c>
      <c r="E4">
        <v>1</v>
      </c>
      <c r="F4" t="s">
        <v>21</v>
      </c>
      <c r="H4" t="s">
        <v>22</v>
      </c>
      <c r="I4" t="s">
        <v>26</v>
      </c>
    </row>
    <row r="5" spans="1:14" x14ac:dyDescent="0.25">
      <c r="B5" t="s">
        <v>23</v>
      </c>
      <c r="C5" t="s">
        <v>24</v>
      </c>
      <c r="D5" t="s">
        <v>29</v>
      </c>
      <c r="E5" t="s">
        <v>33</v>
      </c>
      <c r="F5" t="s">
        <v>25</v>
      </c>
      <c r="H5" t="s">
        <v>25</v>
      </c>
      <c r="I5" t="s">
        <v>27</v>
      </c>
    </row>
    <row r="6" spans="1:14" x14ac:dyDescent="0.25">
      <c r="I6" s="4"/>
    </row>
    <row r="7" spans="1:14" x14ac:dyDescent="0.25">
      <c r="A7">
        <v>225</v>
      </c>
      <c r="B7">
        <v>3.55</v>
      </c>
      <c r="C7">
        <v>1</v>
      </c>
      <c r="D7">
        <v>1</v>
      </c>
      <c r="E7">
        <v>1</v>
      </c>
      <c r="F7">
        <v>10000</v>
      </c>
      <c r="G7">
        <f>PRODUCT(A7:F7)</f>
        <v>7987500</v>
      </c>
      <c r="H7" s="4">
        <f>G7/G8</f>
        <v>58.387508647834757</v>
      </c>
      <c r="I7">
        <f>H7*0.892179</f>
        <v>52.092109077916568</v>
      </c>
    </row>
    <row r="8" spans="1:14" x14ac:dyDescent="0.25">
      <c r="A8">
        <v>1</v>
      </c>
      <c r="B8">
        <v>1</v>
      </c>
      <c r="C8">
        <v>2.2046199999999998</v>
      </c>
      <c r="D8">
        <v>175</v>
      </c>
      <c r="E8">
        <f>349*1.016</f>
        <v>354.584</v>
      </c>
      <c r="F8">
        <v>1</v>
      </c>
      <c r="G8">
        <f>PRODUCT(A8:F8)</f>
        <v>136801.52116400001</v>
      </c>
    </row>
    <row r="11" spans="1:14" x14ac:dyDescent="0.25">
      <c r="A11" t="s">
        <v>72</v>
      </c>
      <c r="I11" s="4"/>
      <c r="M11" t="s">
        <v>36</v>
      </c>
    </row>
    <row r="12" spans="1:14" x14ac:dyDescent="0.25">
      <c r="A12">
        <v>200</v>
      </c>
      <c r="B12">
        <v>3.55</v>
      </c>
      <c r="C12">
        <v>1</v>
      </c>
      <c r="D12">
        <v>1</v>
      </c>
      <c r="E12">
        <v>1</v>
      </c>
      <c r="F12">
        <v>10000</v>
      </c>
      <c r="G12">
        <f>PRODUCT(A12:F12)</f>
        <v>7100000</v>
      </c>
      <c r="H12" s="6">
        <f>G12/G13</f>
        <v>51.90000768696423</v>
      </c>
      <c r="I12">
        <f>H12*0.892179</f>
        <v>46.304096958148065</v>
      </c>
      <c r="K12" s="4">
        <f>H12+20.2*0.02</f>
        <v>52.304007686964233</v>
      </c>
      <c r="M12" t="s">
        <v>37</v>
      </c>
    </row>
    <row r="13" spans="1:14" x14ac:dyDescent="0.25">
      <c r="A13">
        <v>1</v>
      </c>
      <c r="B13">
        <v>1</v>
      </c>
      <c r="C13">
        <v>2.2046199999999998</v>
      </c>
      <c r="D13">
        <v>175</v>
      </c>
      <c r="E13">
        <f>349*1.016</f>
        <v>354.584</v>
      </c>
      <c r="F13">
        <v>1</v>
      </c>
      <c r="G13">
        <f>PRODUCT(A13:F13)</f>
        <v>136801.52116400001</v>
      </c>
      <c r="M13" t="s">
        <v>43</v>
      </c>
    </row>
    <row r="16" spans="1:14" x14ac:dyDescent="0.25">
      <c r="A16" t="s">
        <v>71</v>
      </c>
      <c r="I16" s="4"/>
      <c r="L16" s="4"/>
      <c r="N16" t="s">
        <v>41</v>
      </c>
    </row>
    <row r="17" spans="1:15" x14ac:dyDescent="0.25">
      <c r="A17">
        <v>200</v>
      </c>
      <c r="B17">
        <v>3.55</v>
      </c>
      <c r="C17">
        <v>1</v>
      </c>
      <c r="D17">
        <v>1</v>
      </c>
      <c r="E17">
        <v>1</v>
      </c>
      <c r="F17">
        <v>10000</v>
      </c>
      <c r="G17">
        <f>PRODUCT(A17:F17)</f>
        <v>7100000</v>
      </c>
      <c r="H17" s="6">
        <f>G17/G18</f>
        <v>51.90000768696423</v>
      </c>
      <c r="I17">
        <f>H17*0.892179</f>
        <v>46.304096958148065</v>
      </c>
      <c r="K17" s="4">
        <f>H17+0.6</f>
        <v>52.500007686964231</v>
      </c>
      <c r="N17" t="s">
        <v>42</v>
      </c>
    </row>
    <row r="18" spans="1:15" x14ac:dyDescent="0.25">
      <c r="A18">
        <v>1</v>
      </c>
      <c r="B18">
        <v>1</v>
      </c>
      <c r="C18">
        <v>2.2046199999999998</v>
      </c>
      <c r="D18">
        <v>175</v>
      </c>
      <c r="E18">
        <f>349*1.016</f>
        <v>354.584</v>
      </c>
      <c r="F18">
        <v>1</v>
      </c>
      <c r="G18">
        <f>PRODUCT(A18:F18)</f>
        <v>136801.52116400001</v>
      </c>
      <c r="N18" t="s">
        <v>38</v>
      </c>
      <c r="O18" t="s">
        <v>39</v>
      </c>
    </row>
    <row r="19" spans="1:15" x14ac:dyDescent="0.25">
      <c r="I19" s="4"/>
      <c r="N19">
        <v>10</v>
      </c>
      <c r="O19">
        <v>225</v>
      </c>
    </row>
    <row r="20" spans="1:15" x14ac:dyDescent="0.25">
      <c r="N20">
        <v>9</v>
      </c>
      <c r="O20">
        <v>200</v>
      </c>
    </row>
    <row r="21" spans="1:15" x14ac:dyDescent="0.25">
      <c r="A21" t="s">
        <v>79</v>
      </c>
      <c r="N21">
        <v>8</v>
      </c>
      <c r="O21">
        <v>175</v>
      </c>
    </row>
    <row r="22" spans="1:15" x14ac:dyDescent="0.25">
      <c r="A22">
        <v>200</v>
      </c>
      <c r="B22">
        <v>3.55</v>
      </c>
      <c r="C22">
        <v>1</v>
      </c>
      <c r="D22">
        <v>1</v>
      </c>
      <c r="E22">
        <v>1</v>
      </c>
      <c r="F22">
        <v>10000</v>
      </c>
      <c r="G22">
        <f>PRODUCT(A22:F22)</f>
        <v>7100000</v>
      </c>
      <c r="H22" s="6">
        <f>G22/G23</f>
        <v>51.90000768696423</v>
      </c>
      <c r="I22">
        <f>H22*0.892179</f>
        <v>46.304096958148065</v>
      </c>
      <c r="K22" s="4">
        <f>H22+0.6</f>
        <v>52.500007686964231</v>
      </c>
      <c r="N22" s="8">
        <v>7</v>
      </c>
      <c r="O22">
        <v>150</v>
      </c>
    </row>
    <row r="23" spans="1:15" x14ac:dyDescent="0.25">
      <c r="A23">
        <v>1</v>
      </c>
      <c r="B23">
        <v>1</v>
      </c>
      <c r="C23">
        <v>2.2046199999999998</v>
      </c>
      <c r="D23">
        <v>175</v>
      </c>
      <c r="E23">
        <f>349*1.016</f>
        <v>354.584</v>
      </c>
      <c r="F23">
        <v>1</v>
      </c>
      <c r="G23">
        <f>PRODUCT(A23:F23)</f>
        <v>136801.52116400001</v>
      </c>
    </row>
    <row r="25" spans="1:15" x14ac:dyDescent="0.25">
      <c r="H25" s="4">
        <f>SUM(H12:H22)</f>
        <v>155.7000230608927</v>
      </c>
      <c r="I25" s="4">
        <f>SUM(I12:I22)</f>
        <v>138.91229087444418</v>
      </c>
    </row>
    <row r="32" spans="1:15" x14ac:dyDescent="0.25">
      <c r="F32" t="s">
        <v>34</v>
      </c>
      <c r="J32" t="s">
        <v>40</v>
      </c>
    </row>
    <row r="33" spans="5:11" x14ac:dyDescent="0.25">
      <c r="E33">
        <v>2015</v>
      </c>
      <c r="F33">
        <v>130.5</v>
      </c>
      <c r="G33" t="s">
        <v>0</v>
      </c>
      <c r="I33">
        <v>2016</v>
      </c>
      <c r="J33">
        <v>4.2</v>
      </c>
      <c r="K33" t="s">
        <v>35</v>
      </c>
    </row>
    <row r="34" spans="5:11" x14ac:dyDescent="0.25">
      <c r="E34">
        <v>2016</v>
      </c>
      <c r="F34">
        <v>111</v>
      </c>
      <c r="G34" t="s">
        <v>0</v>
      </c>
      <c r="I34">
        <v>2017</v>
      </c>
      <c r="J34">
        <v>1</v>
      </c>
      <c r="K34" t="s">
        <v>35</v>
      </c>
    </row>
    <row r="35" spans="5:11" x14ac:dyDescent="0.25">
      <c r="E35">
        <v>2017</v>
      </c>
      <c r="F35">
        <v>148</v>
      </c>
      <c r="G35" t="s">
        <v>0</v>
      </c>
      <c r="I35">
        <v>2018</v>
      </c>
      <c r="J35">
        <v>7.6</v>
      </c>
      <c r="K35" t="s">
        <v>35</v>
      </c>
    </row>
    <row r="36" spans="5:11" x14ac:dyDescent="0.25">
      <c r="E36">
        <v>2018</v>
      </c>
      <c r="F36">
        <v>179.3</v>
      </c>
      <c r="G36" t="s">
        <v>0</v>
      </c>
      <c r="I36">
        <v>2019</v>
      </c>
      <c r="J36">
        <v>8.3000000000000007</v>
      </c>
      <c r="K36" t="s">
        <v>35</v>
      </c>
    </row>
    <row r="37" spans="5:11" x14ac:dyDescent="0.25">
      <c r="E37">
        <v>2019</v>
      </c>
      <c r="F37">
        <v>149.1</v>
      </c>
      <c r="G37" t="s">
        <v>0</v>
      </c>
      <c r="I37">
        <v>2020</v>
      </c>
      <c r="J37">
        <v>5.0999999999999996</v>
      </c>
      <c r="K37" t="s">
        <v>35</v>
      </c>
    </row>
    <row r="38" spans="5:11" x14ac:dyDescent="0.25">
      <c r="E38">
        <v>2020</v>
      </c>
      <c r="F38">
        <v>136.19999999999999</v>
      </c>
      <c r="G38" t="s">
        <v>0</v>
      </c>
      <c r="I38">
        <v>2021</v>
      </c>
      <c r="J38">
        <v>2.59</v>
      </c>
      <c r="K38" t="s">
        <v>35</v>
      </c>
    </row>
    <row r="39" spans="5:11" x14ac:dyDescent="0.25">
      <c r="E39">
        <v>2021</v>
      </c>
      <c r="F39">
        <v>149.19999999999999</v>
      </c>
      <c r="G39" t="s">
        <v>0</v>
      </c>
      <c r="I39">
        <v>2022</v>
      </c>
      <c r="J39">
        <v>7.18</v>
      </c>
      <c r="K39" t="s">
        <v>35</v>
      </c>
    </row>
    <row r="40" spans="5:11" x14ac:dyDescent="0.25">
      <c r="E40">
        <v>2022</v>
      </c>
      <c r="F40">
        <v>149.19999999999999</v>
      </c>
      <c r="I40">
        <v>2023</v>
      </c>
      <c r="J40">
        <v>5.2</v>
      </c>
      <c r="K40" t="s">
        <v>35</v>
      </c>
    </row>
    <row r="42" spans="5:11" x14ac:dyDescent="0.25">
      <c r="E42" t="s"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39"/>
  <sheetViews>
    <sheetView workbookViewId="0"/>
  </sheetViews>
  <sheetFormatPr defaultRowHeight="15" x14ac:dyDescent="0.25"/>
  <cols>
    <col min="1" max="1" width="10.5703125" bestFit="1" customWidth="1"/>
    <col min="8" max="8" width="12.28515625" bestFit="1" customWidth="1"/>
    <col min="15" max="15" width="10.5703125" bestFit="1" customWidth="1"/>
    <col min="22" max="22" width="10.5703125" bestFit="1" customWidth="1"/>
    <col min="29" max="29" width="13.140625" customWidth="1"/>
    <col min="36" max="36" width="10.7109375" bestFit="1" customWidth="1"/>
    <col min="44" max="44" width="10.7109375" bestFit="1" customWidth="1"/>
    <col min="51" max="51" width="10.7109375" bestFit="1" customWidth="1"/>
    <col min="52" max="52" width="24.7109375" bestFit="1" customWidth="1"/>
  </cols>
  <sheetData>
    <row r="1" spans="1:51" x14ac:dyDescent="0.25">
      <c r="A1">
        <v>2023</v>
      </c>
    </row>
    <row r="3" spans="1:51" x14ac:dyDescent="0.25">
      <c r="A3" s="1">
        <v>44950</v>
      </c>
      <c r="B3" t="s">
        <v>46</v>
      </c>
      <c r="H3" s="1"/>
      <c r="O3" s="1"/>
      <c r="V3" s="1"/>
      <c r="AC3" s="1"/>
      <c r="AJ3" s="1"/>
      <c r="AR3" s="1"/>
      <c r="AY3" s="1"/>
    </row>
    <row r="4" spans="1:51" x14ac:dyDescent="0.25">
      <c r="A4" s="1">
        <v>44951</v>
      </c>
      <c r="B4" t="s">
        <v>47</v>
      </c>
      <c r="H4" s="1"/>
      <c r="O4" s="1"/>
      <c r="V4" s="1"/>
      <c r="AC4" s="1"/>
      <c r="AJ4" s="1"/>
      <c r="AR4" s="1"/>
      <c r="AY4" s="1"/>
    </row>
    <row r="5" spans="1:51" x14ac:dyDescent="0.25">
      <c r="A5" s="1">
        <v>44951</v>
      </c>
      <c r="B5" t="s">
        <v>48</v>
      </c>
      <c r="H5" s="1"/>
      <c r="O5" s="1"/>
      <c r="V5" s="1"/>
      <c r="AC5" s="1"/>
      <c r="AJ5" s="1"/>
      <c r="AR5" s="1"/>
      <c r="AY5" s="1"/>
    </row>
    <row r="6" spans="1:51" x14ac:dyDescent="0.25">
      <c r="A6" s="1">
        <v>45012</v>
      </c>
      <c r="B6" t="s">
        <v>50</v>
      </c>
      <c r="H6" s="1"/>
      <c r="O6" s="1"/>
      <c r="V6" s="1"/>
      <c r="AC6" s="1"/>
      <c r="AJ6" s="1"/>
      <c r="AY6" s="1"/>
    </row>
    <row r="7" spans="1:51" x14ac:dyDescent="0.25">
      <c r="A7" s="1">
        <v>45020</v>
      </c>
      <c r="B7" t="s">
        <v>51</v>
      </c>
      <c r="H7" s="1"/>
      <c r="O7" s="1"/>
      <c r="V7" s="1"/>
      <c r="AC7" s="1"/>
      <c r="AJ7" s="1"/>
      <c r="AR7" s="1"/>
      <c r="AY7" s="1"/>
    </row>
    <row r="8" spans="1:51" x14ac:dyDescent="0.25">
      <c r="A8" s="1">
        <v>45027</v>
      </c>
      <c r="B8" t="s">
        <v>52</v>
      </c>
      <c r="H8" s="1"/>
      <c r="O8" s="1"/>
      <c r="V8" s="1"/>
      <c r="AC8" s="1"/>
      <c r="AJ8" s="1"/>
      <c r="AR8" s="1"/>
      <c r="AY8" s="1"/>
    </row>
    <row r="9" spans="1:51" x14ac:dyDescent="0.25">
      <c r="A9" s="1">
        <v>45027</v>
      </c>
      <c r="B9" t="s">
        <v>53</v>
      </c>
      <c r="H9" s="1"/>
      <c r="V9" s="1"/>
      <c r="AC9" s="1"/>
      <c r="AJ9" s="1"/>
      <c r="AR9" s="1"/>
      <c r="AY9" s="1"/>
    </row>
    <row r="10" spans="1:51" x14ac:dyDescent="0.25">
      <c r="A10" s="1">
        <v>45033</v>
      </c>
      <c r="B10" t="s">
        <v>54</v>
      </c>
      <c r="V10" s="1"/>
      <c r="AC10" s="1"/>
      <c r="AJ10" s="1"/>
      <c r="AR10" s="1"/>
      <c r="AY10" s="1"/>
    </row>
    <row r="11" spans="1:51" x14ac:dyDescent="0.25">
      <c r="A11" s="1">
        <v>45033</v>
      </c>
      <c r="B11" t="s">
        <v>55</v>
      </c>
      <c r="O11" s="1"/>
      <c r="V11" s="1"/>
      <c r="AC11" s="1"/>
      <c r="AJ11" s="1"/>
      <c r="AR11" s="1"/>
      <c r="AY11" s="1"/>
    </row>
    <row r="12" spans="1:51" x14ac:dyDescent="0.25">
      <c r="A12" s="1">
        <v>45034</v>
      </c>
      <c r="B12" t="s">
        <v>56</v>
      </c>
      <c r="H12" s="1"/>
      <c r="O12" s="1"/>
      <c r="V12" s="1"/>
      <c r="AC12" s="1"/>
      <c r="AJ12" s="1"/>
      <c r="AR12" s="1"/>
      <c r="AY12" s="1"/>
    </row>
    <row r="13" spans="1:51" x14ac:dyDescent="0.25">
      <c r="A13" s="1">
        <v>45036</v>
      </c>
      <c r="B13" t="s">
        <v>57</v>
      </c>
      <c r="H13" s="1"/>
      <c r="O13" s="1"/>
      <c r="AC13" s="1"/>
      <c r="AJ13" s="1"/>
      <c r="AR13" s="1"/>
      <c r="AY13" s="1"/>
    </row>
    <row r="14" spans="1:51" x14ac:dyDescent="0.25">
      <c r="A14" s="1">
        <v>45040</v>
      </c>
      <c r="B14" t="s">
        <v>60</v>
      </c>
      <c r="H14" s="1"/>
      <c r="O14" s="1"/>
      <c r="V14" s="1"/>
      <c r="AC14" s="1"/>
      <c r="AJ14" s="1"/>
      <c r="AR14" s="1"/>
      <c r="AY14" s="1"/>
    </row>
    <row r="15" spans="1:51" x14ac:dyDescent="0.25">
      <c r="A15" s="1">
        <v>45041</v>
      </c>
      <c r="B15" t="s">
        <v>44</v>
      </c>
      <c r="H15" s="1"/>
      <c r="O15" s="1"/>
      <c r="V15" s="1"/>
      <c r="AC15" s="1"/>
      <c r="AJ15" s="1"/>
      <c r="AR15" s="1"/>
      <c r="AY15" s="1"/>
    </row>
    <row r="16" spans="1:51" x14ac:dyDescent="0.25">
      <c r="A16" s="1">
        <v>45069</v>
      </c>
      <c r="B16" t="s">
        <v>64</v>
      </c>
      <c r="H16" s="1"/>
      <c r="O16" s="1"/>
      <c r="V16" s="1"/>
      <c r="AC16" s="1"/>
      <c r="AJ16" s="1"/>
      <c r="AR16" s="1"/>
      <c r="AY16" s="1"/>
    </row>
    <row r="17" spans="1:51" x14ac:dyDescent="0.25">
      <c r="A17" s="1">
        <v>45083</v>
      </c>
      <c r="B17" t="s">
        <v>64</v>
      </c>
      <c r="H17" s="1"/>
      <c r="O17" s="1"/>
      <c r="V17" s="1"/>
      <c r="AJ17" s="1"/>
      <c r="AR17" s="1"/>
      <c r="AY17" s="1"/>
    </row>
    <row r="18" spans="1:51" x14ac:dyDescent="0.25">
      <c r="A18" s="1">
        <v>45131</v>
      </c>
      <c r="B18" t="s">
        <v>84</v>
      </c>
      <c r="H18" s="1"/>
      <c r="O18" s="1"/>
      <c r="V18" s="1"/>
      <c r="AC18" s="1"/>
      <c r="AJ18" s="1"/>
      <c r="AR18" s="1"/>
      <c r="AY18" s="1"/>
    </row>
    <row r="19" spans="1:51" x14ac:dyDescent="0.25">
      <c r="A19" s="1">
        <v>45208</v>
      </c>
      <c r="B19" t="s">
        <v>90</v>
      </c>
      <c r="H19" s="1"/>
      <c r="AR19" s="1"/>
      <c r="AY19" s="1"/>
    </row>
    <row r="20" spans="1:51" x14ac:dyDescent="0.25">
      <c r="A20" s="1">
        <v>45224</v>
      </c>
      <c r="B20" t="s">
        <v>91</v>
      </c>
      <c r="H20" s="1"/>
      <c r="V20" s="1"/>
      <c r="AC20" s="1"/>
      <c r="AJ20" s="1"/>
      <c r="AR20" s="1"/>
      <c r="AY20" s="1"/>
    </row>
    <row r="21" spans="1:51" x14ac:dyDescent="0.25">
      <c r="A21" s="1">
        <v>45243</v>
      </c>
      <c r="B21" t="s">
        <v>92</v>
      </c>
      <c r="H21" s="1"/>
      <c r="AC21" s="1"/>
      <c r="AJ21" s="1"/>
      <c r="AR21" s="1"/>
      <c r="AY21" s="1"/>
    </row>
    <row r="22" spans="1:51" x14ac:dyDescent="0.25">
      <c r="A22" s="1">
        <v>45244</v>
      </c>
      <c r="B22" t="s">
        <v>93</v>
      </c>
      <c r="H22" s="1"/>
      <c r="AC22" s="1"/>
      <c r="AJ22" s="1"/>
      <c r="AR22" s="1"/>
      <c r="AY22" s="1"/>
    </row>
    <row r="23" spans="1:51" x14ac:dyDescent="0.25">
      <c r="H23" s="1"/>
      <c r="V23" s="1"/>
      <c r="AJ23" s="1"/>
      <c r="AR23" s="1"/>
      <c r="AY23" s="1"/>
    </row>
    <row r="24" spans="1:51" x14ac:dyDescent="0.25">
      <c r="H24" s="1"/>
      <c r="AJ24" s="1"/>
      <c r="AR24" s="1"/>
      <c r="AY24" s="1"/>
    </row>
    <row r="25" spans="1:51" x14ac:dyDescent="0.25">
      <c r="AJ25" s="1"/>
      <c r="AR25" s="1"/>
      <c r="AY25" s="1"/>
    </row>
    <row r="26" spans="1:51" x14ac:dyDescent="0.25">
      <c r="AJ26" s="1"/>
      <c r="AR26" s="1"/>
      <c r="AY26" s="1"/>
    </row>
    <row r="27" spans="1:51" x14ac:dyDescent="0.25">
      <c r="AJ27" s="1"/>
      <c r="AR27" s="1"/>
      <c r="AY27" s="1"/>
    </row>
    <row r="28" spans="1:51" x14ac:dyDescent="0.25">
      <c r="AJ28" s="1"/>
      <c r="AR28" s="1"/>
      <c r="AY28" s="1"/>
    </row>
    <row r="29" spans="1:51" x14ac:dyDescent="0.25">
      <c r="AJ29" s="1"/>
      <c r="AR29" s="1"/>
      <c r="AY29" s="1"/>
    </row>
    <row r="30" spans="1:51" x14ac:dyDescent="0.25">
      <c r="AJ30" s="1"/>
      <c r="AR30" s="1"/>
      <c r="AY30" s="1"/>
    </row>
    <row r="31" spans="1:51" x14ac:dyDescent="0.25">
      <c r="AJ31" s="1"/>
      <c r="AR31" s="1"/>
      <c r="AY31" s="1"/>
    </row>
    <row r="32" spans="1:51" x14ac:dyDescent="0.25">
      <c r="AR32" s="1"/>
      <c r="AY32" s="1"/>
    </row>
    <row r="33" spans="36:51" x14ac:dyDescent="0.25">
      <c r="AJ33" s="1"/>
      <c r="AR33" s="1"/>
      <c r="AY33" s="1"/>
    </row>
    <row r="34" spans="36:51" x14ac:dyDescent="0.25">
      <c r="AJ34" s="1"/>
      <c r="AR34" s="1"/>
      <c r="AY34" s="1"/>
    </row>
    <row r="35" spans="36:51" x14ac:dyDescent="0.25">
      <c r="AR35" s="1"/>
      <c r="AY35" s="1"/>
    </row>
    <row r="36" spans="36:51" x14ac:dyDescent="0.25">
      <c r="AY36" s="1"/>
    </row>
    <row r="37" spans="36:51" x14ac:dyDescent="0.25">
      <c r="AJ37" s="1"/>
      <c r="AY37" s="1"/>
    </row>
    <row r="38" spans="36:51" x14ac:dyDescent="0.25">
      <c r="AJ38" s="1"/>
    </row>
    <row r="39" spans="36:51" x14ac:dyDescent="0.25">
      <c r="AJ39" s="1"/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DBD2-79DF-4926-B59B-6ACC1B1D19F4}">
  <dimension ref="A1:F45"/>
  <sheetViews>
    <sheetView workbookViewId="0"/>
  </sheetViews>
  <sheetFormatPr defaultRowHeight="15" x14ac:dyDescent="0.25"/>
  <sheetData>
    <row r="1" spans="1:6" x14ac:dyDescent="0.25">
      <c r="A1" t="s">
        <v>108</v>
      </c>
      <c r="B1" t="s">
        <v>1</v>
      </c>
      <c r="C1" t="s">
        <v>109</v>
      </c>
      <c r="D1" t="s">
        <v>110</v>
      </c>
      <c r="E1" t="s">
        <v>111</v>
      </c>
      <c r="F1" t="s">
        <v>112</v>
      </c>
    </row>
    <row r="2" spans="1:6" x14ac:dyDescent="0.25">
      <c r="A2">
        <v>2023</v>
      </c>
      <c r="B2">
        <v>111</v>
      </c>
      <c r="C2" s="4">
        <v>20.399999999999999</v>
      </c>
      <c r="D2" s="4">
        <v>20.399999999999999</v>
      </c>
      <c r="E2" s="4">
        <v>20.399999999999999</v>
      </c>
      <c r="F2" s="4">
        <v>20.399999999999999</v>
      </c>
    </row>
    <row r="3" spans="1:6" x14ac:dyDescent="0.25">
      <c r="A3">
        <v>2023</v>
      </c>
      <c r="B3">
        <v>115</v>
      </c>
      <c r="C3" s="4">
        <v>20.399999999999999</v>
      </c>
      <c r="D3" s="4">
        <v>20.399999999999999</v>
      </c>
      <c r="E3" s="4">
        <v>20.399999999999999</v>
      </c>
      <c r="F3" s="4">
        <v>20.399999999999999</v>
      </c>
    </row>
    <row r="4" spans="1:6" x14ac:dyDescent="0.25">
      <c r="A4">
        <v>2023</v>
      </c>
      <c r="B4">
        <v>116</v>
      </c>
      <c r="C4" s="4">
        <v>10.199999999999999</v>
      </c>
      <c r="D4" s="4">
        <v>10.199999999999999</v>
      </c>
      <c r="E4" s="4">
        <v>10.199999999999999</v>
      </c>
      <c r="F4" s="4">
        <v>10.199999999999999</v>
      </c>
    </row>
    <row r="5" spans="1:6" x14ac:dyDescent="0.25">
      <c r="A5">
        <v>2023</v>
      </c>
      <c r="B5">
        <v>118</v>
      </c>
      <c r="C5" s="4">
        <v>25.5</v>
      </c>
      <c r="D5" s="4">
        <v>25.5</v>
      </c>
      <c r="E5" s="4">
        <v>25.5</v>
      </c>
      <c r="F5" s="4">
        <v>25.5</v>
      </c>
    </row>
    <row r="6" spans="1:6" x14ac:dyDescent="0.25">
      <c r="A6">
        <v>2023</v>
      </c>
      <c r="B6">
        <v>121</v>
      </c>
      <c r="C6" s="4">
        <v>20.399999999999999</v>
      </c>
      <c r="D6" s="4">
        <v>20.399999999999999</v>
      </c>
      <c r="E6" s="4">
        <v>20.399999999999999</v>
      </c>
      <c r="F6" s="4">
        <v>20.399999999999999</v>
      </c>
    </row>
    <row r="7" spans="1:6" x14ac:dyDescent="0.25">
      <c r="A7">
        <v>2023</v>
      </c>
      <c r="B7">
        <v>123</v>
      </c>
      <c r="C7" s="4">
        <v>20.399999999999999</v>
      </c>
      <c r="D7" s="4">
        <v>20.399999999999999</v>
      </c>
      <c r="E7" s="4">
        <v>20.399999999999999</v>
      </c>
      <c r="F7" s="4">
        <v>20.399999999999999</v>
      </c>
    </row>
    <row r="8" spans="1:6" x14ac:dyDescent="0.25">
      <c r="A8">
        <v>2023</v>
      </c>
      <c r="B8">
        <v>125</v>
      </c>
      <c r="C8" s="4">
        <v>20.399999999999999</v>
      </c>
      <c r="D8" s="4">
        <v>20.399999999999999</v>
      </c>
      <c r="E8" s="4">
        <v>20.399999999999999</v>
      </c>
      <c r="F8" s="4">
        <v>20.399999999999999</v>
      </c>
    </row>
    <row r="9" spans="1:6" x14ac:dyDescent="0.25">
      <c r="A9">
        <v>2023</v>
      </c>
      <c r="B9">
        <v>128</v>
      </c>
      <c r="C9" s="4">
        <v>20.399999999999999</v>
      </c>
      <c r="D9" s="4">
        <v>20.399999999999999</v>
      </c>
      <c r="E9" s="4">
        <v>20.399999999999999</v>
      </c>
      <c r="F9" s="4">
        <v>20.399999999999999</v>
      </c>
    </row>
    <row r="10" spans="1:6" x14ac:dyDescent="0.25">
      <c r="A10">
        <v>2023</v>
      </c>
      <c r="B10">
        <v>130</v>
      </c>
      <c r="C10" s="4">
        <v>10.199999999999999</v>
      </c>
      <c r="D10" s="4">
        <v>10.199999999999999</v>
      </c>
      <c r="E10" s="4">
        <v>10.199999999999999</v>
      </c>
      <c r="F10" s="4">
        <v>10.199999999999999</v>
      </c>
    </row>
    <row r="11" spans="1:6" x14ac:dyDescent="0.25">
      <c r="A11">
        <v>2023</v>
      </c>
      <c r="B11">
        <v>132</v>
      </c>
      <c r="C11" s="4">
        <v>20.399999999999999</v>
      </c>
      <c r="D11" s="4">
        <v>20.399999999999999</v>
      </c>
      <c r="E11" s="4">
        <v>20.399999999999999</v>
      </c>
      <c r="F11" s="4">
        <v>20.399999999999999</v>
      </c>
    </row>
    <row r="12" spans="1:6" x14ac:dyDescent="0.25">
      <c r="A12">
        <v>2023</v>
      </c>
      <c r="B12">
        <v>136</v>
      </c>
      <c r="C12" s="4">
        <v>20.399999999999999</v>
      </c>
      <c r="D12" s="4">
        <v>20.399999999999999</v>
      </c>
      <c r="E12" s="4">
        <v>20.399999999999999</v>
      </c>
      <c r="F12" s="4">
        <v>20.399999999999999</v>
      </c>
    </row>
    <row r="13" spans="1:6" x14ac:dyDescent="0.25">
      <c r="A13">
        <v>2023</v>
      </c>
      <c r="B13">
        <v>139</v>
      </c>
      <c r="C13" s="4">
        <v>20.399999999999999</v>
      </c>
      <c r="D13" s="4">
        <v>20.399999999999999</v>
      </c>
      <c r="E13" s="4">
        <v>20.399999999999999</v>
      </c>
      <c r="F13" s="4">
        <v>20.399999999999999</v>
      </c>
    </row>
    <row r="14" spans="1:6" x14ac:dyDescent="0.25">
      <c r="A14">
        <v>2023</v>
      </c>
      <c r="B14">
        <v>144</v>
      </c>
      <c r="C14" s="4">
        <v>20.399999999999999</v>
      </c>
      <c r="D14" s="4">
        <v>20.399999999999999</v>
      </c>
      <c r="E14" s="4">
        <v>20.399999999999999</v>
      </c>
      <c r="F14" s="4">
        <v>20.399999999999999</v>
      </c>
    </row>
    <row r="15" spans="1:6" x14ac:dyDescent="0.25">
      <c r="A15">
        <v>2023</v>
      </c>
      <c r="B15">
        <v>146</v>
      </c>
      <c r="C15" s="4">
        <v>25.329605145784345</v>
      </c>
      <c r="D15" s="4">
        <v>25.329605145784345</v>
      </c>
      <c r="E15" s="4">
        <v>25.329605145784345</v>
      </c>
      <c r="F15" s="4">
        <v>25.329605145784345</v>
      </c>
    </row>
    <row r="16" spans="1:6" x14ac:dyDescent="0.25">
      <c r="A16">
        <v>2023</v>
      </c>
      <c r="B16">
        <v>151</v>
      </c>
      <c r="C16" s="4">
        <v>20.399999999999999</v>
      </c>
      <c r="D16" s="4">
        <v>20.399999999999999</v>
      </c>
      <c r="E16" s="4">
        <v>20.399999999999999</v>
      </c>
      <c r="F16" s="4">
        <v>20.399999999999999</v>
      </c>
    </row>
    <row r="17" spans="1:6" x14ac:dyDescent="0.25">
      <c r="A17">
        <v>2023</v>
      </c>
      <c r="B17">
        <v>153</v>
      </c>
      <c r="C17" s="4">
        <v>20.399999999999999</v>
      </c>
      <c r="D17" s="4">
        <v>20.399999999999999</v>
      </c>
      <c r="E17" s="4">
        <v>20.399999999999999</v>
      </c>
      <c r="F17" s="4">
        <v>20.399999999999999</v>
      </c>
    </row>
    <row r="18" spans="1:6" x14ac:dyDescent="0.25">
      <c r="A18">
        <v>2023</v>
      </c>
      <c r="B18">
        <v>158</v>
      </c>
      <c r="C18" s="4">
        <v>25.299999999999997</v>
      </c>
      <c r="D18" s="4">
        <v>25.299999999999997</v>
      </c>
      <c r="E18" s="4">
        <v>25.299999999999997</v>
      </c>
      <c r="F18" s="4">
        <v>25.299999999999997</v>
      </c>
    </row>
    <row r="19" spans="1:6" x14ac:dyDescent="0.25">
      <c r="A19">
        <v>2023</v>
      </c>
      <c r="B19">
        <v>160</v>
      </c>
      <c r="C19" s="4">
        <v>22.823080475934869</v>
      </c>
      <c r="D19" s="4">
        <v>22.823080475934873</v>
      </c>
      <c r="E19" s="4">
        <v>22.823080475934873</v>
      </c>
      <c r="F19" s="4">
        <v>22.823080475934873</v>
      </c>
    </row>
    <row r="20" spans="1:6" x14ac:dyDescent="0.25">
      <c r="A20">
        <v>2023</v>
      </c>
      <c r="B20">
        <v>164</v>
      </c>
      <c r="C20" s="4">
        <v>25.96371959551465</v>
      </c>
      <c r="D20" s="4">
        <v>25.96371959551465</v>
      </c>
      <c r="E20" s="4">
        <v>25.96371959551465</v>
      </c>
      <c r="F20" s="4">
        <v>25.96371959551465</v>
      </c>
    </row>
    <row r="21" spans="1:6" x14ac:dyDescent="0.25">
      <c r="A21">
        <v>2023</v>
      </c>
      <c r="B21">
        <v>167</v>
      </c>
      <c r="C21" s="4">
        <v>30.599999999999998</v>
      </c>
      <c r="D21" s="4">
        <v>30.6</v>
      </c>
      <c r="E21" s="4">
        <v>30.6</v>
      </c>
      <c r="F21" s="4">
        <v>30.6</v>
      </c>
    </row>
    <row r="22" spans="1:6" x14ac:dyDescent="0.25">
      <c r="A22">
        <v>2023</v>
      </c>
      <c r="B22">
        <v>171</v>
      </c>
      <c r="C22" s="4">
        <v>25.642720951335434</v>
      </c>
      <c r="D22" s="4">
        <v>25.642720951335431</v>
      </c>
      <c r="E22" s="4">
        <v>25.642720951335431</v>
      </c>
      <c r="F22" s="4">
        <v>25.642720951335431</v>
      </c>
    </row>
    <row r="23" spans="1:6" x14ac:dyDescent="0.25">
      <c r="A23">
        <v>2023</v>
      </c>
      <c r="B23">
        <v>173</v>
      </c>
      <c r="C23" s="4">
        <v>20.399999999999999</v>
      </c>
      <c r="D23" s="4">
        <v>20.399999999999999</v>
      </c>
      <c r="E23" s="4">
        <v>20.399999999999999</v>
      </c>
      <c r="F23" s="4">
        <v>20.399999999999999</v>
      </c>
    </row>
    <row r="24" spans="1:6" x14ac:dyDescent="0.25">
      <c r="A24">
        <v>2023</v>
      </c>
      <c r="B24">
        <v>174</v>
      </c>
      <c r="C24" s="4">
        <v>20.399999999999999</v>
      </c>
      <c r="D24" s="4">
        <v>20.399999999999999</v>
      </c>
      <c r="E24" s="4">
        <v>20.399999999999999</v>
      </c>
      <c r="F24" s="4">
        <v>20.399999999999999</v>
      </c>
    </row>
    <row r="25" spans="1:6" x14ac:dyDescent="0.25">
      <c r="A25">
        <v>2023</v>
      </c>
      <c r="B25">
        <v>178</v>
      </c>
      <c r="C25" s="4">
        <v>38.744414820964586</v>
      </c>
      <c r="D25" s="4">
        <v>38.744414820964586</v>
      </c>
      <c r="E25" s="4">
        <v>38.744414820964586</v>
      </c>
      <c r="F25" s="4">
        <v>38.744414820964586</v>
      </c>
    </row>
    <row r="26" spans="1:6" x14ac:dyDescent="0.25">
      <c r="A26">
        <v>2023</v>
      </c>
      <c r="B26">
        <v>181</v>
      </c>
      <c r="C26" s="4">
        <v>34.615024707312841</v>
      </c>
      <c r="D26" s="4">
        <v>34.615024707312841</v>
      </c>
      <c r="E26" s="4">
        <v>34.615024707312841</v>
      </c>
      <c r="F26" s="4">
        <v>34.615024707312841</v>
      </c>
    </row>
    <row r="27" spans="1:6" x14ac:dyDescent="0.25">
      <c r="A27">
        <v>2023</v>
      </c>
      <c r="B27">
        <v>186</v>
      </c>
      <c r="C27" s="4">
        <v>37.088829641929173</v>
      </c>
      <c r="D27" s="4">
        <v>37.088829641929173</v>
      </c>
      <c r="E27" s="4">
        <v>37.088829641929173</v>
      </c>
      <c r="F27" s="4">
        <v>37.088829641929173</v>
      </c>
    </row>
    <row r="28" spans="1:6" x14ac:dyDescent="0.25">
      <c r="A28">
        <v>2023</v>
      </c>
      <c r="B28">
        <v>188</v>
      </c>
      <c r="C28" s="4">
        <v>37.088829641929173</v>
      </c>
      <c r="D28" s="4">
        <v>37.088829641929173</v>
      </c>
      <c r="E28" s="4">
        <v>37.088829641929173</v>
      </c>
      <c r="F28" s="4">
        <v>37.088829641929173</v>
      </c>
    </row>
    <row r="29" spans="1:6" x14ac:dyDescent="0.25">
      <c r="A29">
        <v>2023</v>
      </c>
      <c r="B29">
        <v>192</v>
      </c>
      <c r="C29" s="4">
        <v>44.523532273023612</v>
      </c>
      <c r="D29" s="4">
        <v>44.523532273023612</v>
      </c>
      <c r="E29" s="4">
        <v>44.523532273023612</v>
      </c>
      <c r="F29" s="4">
        <v>44.523532273023612</v>
      </c>
    </row>
    <row r="30" spans="1:6" x14ac:dyDescent="0.25">
      <c r="A30">
        <v>2023</v>
      </c>
      <c r="B30">
        <v>195</v>
      </c>
      <c r="C30" s="4">
        <v>44.523532273023612</v>
      </c>
      <c r="D30" s="4">
        <v>35.618825818418891</v>
      </c>
      <c r="E30" s="4">
        <v>26.714119363814167</v>
      </c>
      <c r="F30" s="4">
        <v>17.809412909209446</v>
      </c>
    </row>
    <row r="31" spans="1:6" x14ac:dyDescent="0.25">
      <c r="A31">
        <v>2023</v>
      </c>
      <c r="B31">
        <v>199</v>
      </c>
      <c r="C31" s="4">
        <v>44.946055688665012</v>
      </c>
      <c r="D31" s="4">
        <v>44.946055688665012</v>
      </c>
      <c r="E31" s="4">
        <v>44.946055688665012</v>
      </c>
      <c r="F31" s="4">
        <v>44.946055688665012</v>
      </c>
    </row>
    <row r="32" spans="1:6" x14ac:dyDescent="0.25">
      <c r="A32">
        <v>2023</v>
      </c>
      <c r="B32">
        <v>202</v>
      </c>
      <c r="C32" s="4">
        <v>45.171035646319382</v>
      </c>
      <c r="D32" s="4">
        <v>36.136828517055505</v>
      </c>
      <c r="E32" s="4">
        <v>27.102621387791629</v>
      </c>
      <c r="F32" s="4">
        <v>18.068414258527753</v>
      </c>
    </row>
    <row r="33" spans="1:6" x14ac:dyDescent="0.25">
      <c r="A33">
        <v>2023</v>
      </c>
      <c r="B33">
        <v>206</v>
      </c>
      <c r="C33" s="4">
        <v>48.715095593101609</v>
      </c>
      <c r="D33" s="4">
        <v>38.972076474481284</v>
      </c>
      <c r="E33" s="4">
        <v>29.229057355860963</v>
      </c>
      <c r="F33" s="4">
        <v>19.486038237240642</v>
      </c>
    </row>
    <row r="34" spans="1:6" x14ac:dyDescent="0.25">
      <c r="A34">
        <v>2023</v>
      </c>
      <c r="B34">
        <v>209</v>
      </c>
      <c r="C34" s="4">
        <v>45.837759605746086</v>
      </c>
      <c r="D34" s="4">
        <v>36.670207684596875</v>
      </c>
      <c r="E34" s="4">
        <v>27.502655763447653</v>
      </c>
      <c r="F34" s="4">
        <v>18.335103842298437</v>
      </c>
    </row>
    <row r="35" spans="1:6" x14ac:dyDescent="0.25">
      <c r="A35">
        <v>2023</v>
      </c>
      <c r="B35">
        <v>213</v>
      </c>
      <c r="C35" s="4">
        <v>40.799999999999997</v>
      </c>
      <c r="D35" s="4">
        <v>32.64</v>
      </c>
      <c r="E35" s="4">
        <v>24.48</v>
      </c>
      <c r="F35" s="4">
        <v>16.32</v>
      </c>
    </row>
    <row r="36" spans="1:6" x14ac:dyDescent="0.25">
      <c r="A36">
        <v>2023</v>
      </c>
      <c r="B36">
        <v>216</v>
      </c>
      <c r="C36" s="4">
        <v>40.599999999999994</v>
      </c>
      <c r="D36" s="4">
        <v>32.479999999999997</v>
      </c>
      <c r="E36" s="4">
        <v>24.359999999999996</v>
      </c>
      <c r="F36" s="4">
        <v>16.239999999999998</v>
      </c>
    </row>
    <row r="37" spans="1:6" x14ac:dyDescent="0.25">
      <c r="A37">
        <v>2023</v>
      </c>
      <c r="B37">
        <v>220</v>
      </c>
      <c r="C37" s="4">
        <v>30.599999999999998</v>
      </c>
      <c r="D37" s="4">
        <v>24.48</v>
      </c>
      <c r="E37" s="4">
        <v>18.36</v>
      </c>
      <c r="F37" s="4">
        <v>12.24</v>
      </c>
    </row>
    <row r="38" spans="1:6" x14ac:dyDescent="0.25">
      <c r="A38">
        <v>2023</v>
      </c>
      <c r="B38">
        <v>223</v>
      </c>
      <c r="C38" s="4">
        <v>40.799999999999997</v>
      </c>
      <c r="D38" s="4">
        <v>32.64</v>
      </c>
      <c r="E38" s="4">
        <v>24.48</v>
      </c>
      <c r="F38" s="4">
        <v>16.32</v>
      </c>
    </row>
    <row r="39" spans="1:6" x14ac:dyDescent="0.25">
      <c r="A39">
        <v>2023</v>
      </c>
      <c r="B39">
        <v>227</v>
      </c>
      <c r="C39" s="4">
        <v>30.599999999999998</v>
      </c>
      <c r="D39" s="4">
        <v>24.48</v>
      </c>
      <c r="E39" s="4">
        <v>18.36</v>
      </c>
      <c r="F39" s="4">
        <v>12.24</v>
      </c>
    </row>
    <row r="40" spans="1:6" x14ac:dyDescent="0.25">
      <c r="A40">
        <v>2023</v>
      </c>
      <c r="B40">
        <v>230</v>
      </c>
      <c r="C40" s="4">
        <v>40.799999999999997</v>
      </c>
      <c r="D40" s="4">
        <v>32.64</v>
      </c>
      <c r="E40" s="4">
        <v>24.48</v>
      </c>
      <c r="F40" s="4">
        <v>16.32</v>
      </c>
    </row>
    <row r="41" spans="1:6" x14ac:dyDescent="0.25">
      <c r="A41">
        <v>2023</v>
      </c>
      <c r="B41">
        <v>234</v>
      </c>
      <c r="C41" s="4">
        <v>30.599999999999998</v>
      </c>
      <c r="D41" s="4">
        <v>24.48</v>
      </c>
      <c r="E41" s="4">
        <v>18.36</v>
      </c>
      <c r="F41" s="4">
        <v>12.24</v>
      </c>
    </row>
    <row r="42" spans="1:6" x14ac:dyDescent="0.25">
      <c r="A42">
        <v>2023</v>
      </c>
      <c r="B42">
        <v>237</v>
      </c>
      <c r="C42" s="4">
        <v>40.799999999999997</v>
      </c>
      <c r="D42" s="4">
        <v>32.64</v>
      </c>
      <c r="E42" s="4">
        <v>24.48</v>
      </c>
      <c r="F42" s="4">
        <v>16.32</v>
      </c>
    </row>
    <row r="43" spans="1:6" x14ac:dyDescent="0.25">
      <c r="A43">
        <v>2023</v>
      </c>
      <c r="B43">
        <v>241</v>
      </c>
      <c r="C43" s="4">
        <v>30.599999999999998</v>
      </c>
      <c r="D43" s="4">
        <v>24.48</v>
      </c>
      <c r="E43" s="4">
        <v>18.36</v>
      </c>
      <c r="F43" s="4">
        <v>12.24</v>
      </c>
    </row>
    <row r="44" spans="1:6" x14ac:dyDescent="0.25">
      <c r="A44">
        <v>2023</v>
      </c>
      <c r="B44">
        <v>249</v>
      </c>
      <c r="C44" s="4">
        <v>30.599999999999998</v>
      </c>
      <c r="D44" s="4">
        <v>24.48</v>
      </c>
      <c r="E44" s="4">
        <v>18.36</v>
      </c>
      <c r="F44" s="4">
        <v>12.24</v>
      </c>
    </row>
    <row r="45" spans="1:6" x14ac:dyDescent="0.25">
      <c r="A45">
        <v>2023</v>
      </c>
      <c r="B45">
        <v>251</v>
      </c>
      <c r="C45" s="4">
        <v>35.6</v>
      </c>
      <c r="D45" s="4">
        <v>28.48</v>
      </c>
      <c r="E45" s="4">
        <v>21.36</v>
      </c>
      <c r="F45" s="4">
        <v>14.24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Irrigation</vt:lpstr>
      <vt:lpstr>Fertigation</vt:lpstr>
      <vt:lpstr>Other</vt:lpstr>
      <vt:lpstr>IrrigationDF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Thorp, Kelly</dc:creator>
  <cp:keywords/>
  <dc:description/>
  <cp:lastModifiedBy>Reviewer</cp:lastModifiedBy>
  <cp:revision/>
  <dcterms:created xsi:type="dcterms:W3CDTF">2016-01-29T00:15:18Z</dcterms:created>
  <dcterms:modified xsi:type="dcterms:W3CDTF">2024-12-20T21:05:19Z</dcterms:modified>
  <cp:category/>
  <cp:contentStatus/>
</cp:coreProperties>
</file>