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3543B224-73B3-4548-AFA2-3B056952FA3E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10" r:id="rId1"/>
    <sheet name="Width" sheetId="11" r:id="rId2"/>
    <sheet name="Ordering" sheetId="9" r:id="rId3"/>
    <sheet name="Blank Data Sheet" sheetId="1" r:id="rId4"/>
    <sheet name="Height Summary" sheetId="5" r:id="rId5"/>
    <sheet name="Cover Summary" sheetId="7" r:id="rId6"/>
    <sheet name="Averages" sheetId="8" r:id="rId7"/>
  </sheets>
  <definedNames>
    <definedName name="_xlnm.Print_Area" localSheetId="3">'Blank Data Sheet'!$A$1:$K$56</definedName>
    <definedName name="_xlnm.Print_Area" localSheetId="5">'Cover Summary'!$A$1:$O$60</definedName>
    <definedName name="_xlnm.Print_Area" localSheetId="4">'Height Summary'!$A$1:$AD$60</definedName>
    <definedName name="_xlnm.Print_Titles" localSheetId="3">'Blank Data Sheet'!$8:$8</definedName>
    <definedName name="_xlnm.Print_Titles" localSheetId="5">'Cover Summary'!$12:$12</definedName>
    <definedName name="_xlnm.Print_Titles" localSheetId="4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27" i="8" l="1"/>
  <c r="C25" i="8"/>
  <c r="C23" i="8"/>
  <c r="C21" i="8"/>
  <c r="C13" i="8"/>
  <c r="C11" i="8"/>
  <c r="C9" i="8"/>
  <c r="C7" i="8"/>
</calcChain>
</file>

<file path=xl/sharedStrings.xml><?xml version="1.0" encoding="utf-8"?>
<sst xmlns="http://schemas.openxmlformats.org/spreadsheetml/2006/main" count="854" uniqueCount="130">
  <si>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</si>
  <si>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</si>
  <si>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</si>
  <si>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</si>
  <si>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</si>
  <si>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</si>
  <si>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</si>
  <si>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</si>
  <si>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</si>
  <si>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</si>
  <si>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</si>
  <si>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</si>
  <si>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</si>
  <si>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</si>
  <si>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</si>
  <si>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</si>
  <si>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</si>
  <si>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</si>
  <si>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</si>
  <si>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</si>
  <si>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</si>
  <si>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</si>
  <si>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</si>
  <si>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</si>
  <si>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</si>
  <si>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</si>
  <si>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</si>
  <si>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</si>
  <si>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</si>
  <si>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</si>
  <si>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</si>
  <si>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</si>
  <si>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</si>
  <si>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</si>
  <si>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</si>
  <si>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</si>
  <si>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</si>
  <si>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</si>
  <si>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</si>
  <si>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</si>
  <si>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Ave of all MDL:</t>
  </si>
  <si>
    <t>Ave of all SOL:</t>
  </si>
  <si>
    <t>Ave of all DRN:</t>
  </si>
  <si>
    <t>Ave of all VRI:</t>
  </si>
  <si>
    <t>SMM</t>
  </si>
  <si>
    <t>1030-1125</t>
  </si>
  <si>
    <t>0945-1015</t>
  </si>
  <si>
    <t>1100-1145</t>
  </si>
  <si>
    <t>1010-1130</t>
  </si>
  <si>
    <t>DS</t>
  </si>
  <si>
    <t>D</t>
  </si>
  <si>
    <t>0925-1010</t>
  </si>
  <si>
    <t>1030-1115</t>
  </si>
  <si>
    <t>--</t>
  </si>
  <si>
    <t>1000-1115</t>
  </si>
  <si>
    <t>1100-1155</t>
  </si>
  <si>
    <t>1015-1100</t>
  </si>
  <si>
    <t>1000-1045</t>
  </si>
  <si>
    <t>0930-1030</t>
  </si>
  <si>
    <t>0945-1045</t>
  </si>
  <si>
    <t>0930-1100</t>
  </si>
  <si>
    <t>0930-1045</t>
  </si>
  <si>
    <t>3e</t>
  </si>
  <si>
    <t>N</t>
  </si>
  <si>
    <t>S</t>
  </si>
  <si>
    <t>DOY252</t>
  </si>
  <si>
    <t>DOY244</t>
  </si>
  <si>
    <t>DOY237</t>
  </si>
  <si>
    <t>DOY230</t>
  </si>
  <si>
    <t>DOY223</t>
  </si>
  <si>
    <t>DOY217</t>
  </si>
  <si>
    <t>DOY209</t>
  </si>
  <si>
    <t>DOY203</t>
  </si>
  <si>
    <t>DOY195</t>
  </si>
  <si>
    <t>DOY188</t>
  </si>
  <si>
    <t>DOY181</t>
  </si>
  <si>
    <t>DOY174</t>
  </si>
  <si>
    <t>DOY167</t>
  </si>
  <si>
    <t>DOY160</t>
  </si>
  <si>
    <t>DOY153</t>
  </si>
  <si>
    <t>DOY147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</si>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</sst>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.0"/>
  </numFmts>
  <fonts count="18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7" fillId="0" borderId="2" xfId="0" applyFont="1" applyBorder="1" applyAlignment="1">
      <alignment horizontal="left" vertical="center"/>
    </xf>
    <xf numFmtId="164" fontId="4" fillId="0" borderId="6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6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0" borderId="11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13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1"/>
    <xf numFmtId="0" fontId="2" fillId="0" borderId="0" xfId="1" applyFont="1"/>
    <xf numFmtId="0" fontId="1" fillId="0" borderId="0" xfId="1" applyFont="1"/>
    <xf numFmtId="0" fontId="17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/>
    </xf>
  </cellXfs>
  <cellStyles count="2">
    <cellStyle name="Normal" xfId="0" builtinId="0"/>
    <cellStyle name="Normal 2" xfId="1" xr:uid="{F9036891-1341-4911-A2E7-69DBC81DDBD6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01D0B-D840-41DA-8E8D-471AA1AE1DA2}">
  <dimension ref="A1:Q49"/>
  <sheetViews>
    <sheetView tabSelected="1" workbookViewId="0"/>
  </sheetViews>
  <sheetFormatPr defaultRowHeight="15" x14ac:dyDescent="0.25"/>
  <cols>
    <col min="1" max="16384" width="9.140625" style="62"/>
  </cols>
  <sheetData>
    <row r="1" spans="1:17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66</v>
      </c>
      <c r="Q1" s="62" t="s">
        <v>65</v>
      </c>
    </row>
    <row r="2" spans="1:17" x14ac:dyDescent="0.25">
      <c r="A2" s="64" t="s">
        <v>82</v>
      </c>
      <c r="B2" s="62">
        <v>11</v>
      </c>
      <c r="C2" s="62">
        <v>14</v>
      </c>
      <c r="D2" s="62">
        <v>29</v>
      </c>
      <c r="E2" s="62">
        <v>38</v>
      </c>
      <c r="F2" s="62">
        <v>49</v>
      </c>
      <c r="G2" s="62">
        <v>61</v>
      </c>
      <c r="H2" s="62">
        <v>76</v>
      </c>
      <c r="I2" s="62">
        <v>81</v>
      </c>
      <c r="J2" s="62">
        <v>82</v>
      </c>
      <c r="K2" s="62">
        <v>86</v>
      </c>
      <c r="L2" s="62">
        <v>91</v>
      </c>
      <c r="M2" s="62">
        <v>96</v>
      </c>
      <c r="N2" s="62">
        <v>98</v>
      </c>
      <c r="O2" s="62">
        <v>108</v>
      </c>
      <c r="P2" s="62">
        <v>116</v>
      </c>
      <c r="Q2" s="62">
        <v>121</v>
      </c>
    </row>
    <row r="3" spans="1:17" x14ac:dyDescent="0.25">
      <c r="A3" s="64" t="s">
        <v>83</v>
      </c>
      <c r="B3" s="62">
        <v>16</v>
      </c>
      <c r="C3" s="62">
        <v>21</v>
      </c>
      <c r="D3" s="62">
        <v>33</v>
      </c>
      <c r="E3" s="62">
        <v>48</v>
      </c>
      <c r="F3" s="62">
        <v>58</v>
      </c>
      <c r="G3" s="62">
        <v>64</v>
      </c>
      <c r="H3" s="62">
        <v>74</v>
      </c>
      <c r="I3" s="62">
        <v>80</v>
      </c>
      <c r="J3" s="62">
        <v>84</v>
      </c>
      <c r="K3" s="62">
        <v>84</v>
      </c>
      <c r="L3" s="62">
        <v>88</v>
      </c>
      <c r="M3" s="62">
        <v>93</v>
      </c>
      <c r="N3" s="62">
        <v>99</v>
      </c>
      <c r="O3" s="62">
        <v>113</v>
      </c>
      <c r="P3" s="62">
        <v>122</v>
      </c>
      <c r="Q3" s="62">
        <v>127</v>
      </c>
    </row>
    <row r="4" spans="1:17" x14ac:dyDescent="0.25">
      <c r="A4" s="64" t="s">
        <v>84</v>
      </c>
      <c r="B4" s="62">
        <v>17</v>
      </c>
      <c r="C4" s="62">
        <v>26</v>
      </c>
      <c r="D4" s="62">
        <v>39</v>
      </c>
      <c r="E4" s="62">
        <v>46</v>
      </c>
      <c r="F4" s="62">
        <v>54</v>
      </c>
      <c r="G4" s="62">
        <v>61</v>
      </c>
      <c r="H4" s="62">
        <v>67</v>
      </c>
      <c r="I4" s="62">
        <v>71</v>
      </c>
      <c r="J4" s="62">
        <v>64</v>
      </c>
      <c r="K4" s="62">
        <v>65</v>
      </c>
      <c r="L4" s="62">
        <v>66</v>
      </c>
      <c r="M4" s="62">
        <v>69</v>
      </c>
      <c r="N4" s="62">
        <v>74</v>
      </c>
      <c r="O4" s="62">
        <v>77</v>
      </c>
      <c r="P4" s="62">
        <v>79</v>
      </c>
      <c r="Q4" s="62">
        <v>79</v>
      </c>
    </row>
    <row r="5" spans="1:17" x14ac:dyDescent="0.25">
      <c r="A5" s="64" t="s">
        <v>85</v>
      </c>
      <c r="B5" s="62">
        <v>12</v>
      </c>
      <c r="C5" s="62">
        <v>18</v>
      </c>
      <c r="D5" s="62">
        <v>29</v>
      </c>
      <c r="E5" s="62">
        <v>36</v>
      </c>
      <c r="F5" s="62">
        <v>46</v>
      </c>
      <c r="G5" s="62">
        <v>58</v>
      </c>
      <c r="H5" s="62">
        <v>65</v>
      </c>
      <c r="I5" s="62">
        <v>68</v>
      </c>
      <c r="J5" s="62">
        <v>65</v>
      </c>
      <c r="K5" s="62">
        <v>61</v>
      </c>
      <c r="L5" s="62">
        <v>64</v>
      </c>
      <c r="M5" s="62">
        <v>69</v>
      </c>
      <c r="N5" s="62">
        <v>72</v>
      </c>
      <c r="O5" s="62">
        <v>78</v>
      </c>
      <c r="P5" s="62">
        <v>81</v>
      </c>
      <c r="Q5" s="62">
        <v>83</v>
      </c>
    </row>
    <row r="6" spans="1:17" x14ac:dyDescent="0.25">
      <c r="A6" s="64" t="s">
        <v>86</v>
      </c>
      <c r="B6" s="62">
        <v>15</v>
      </c>
      <c r="C6" s="62">
        <v>23</v>
      </c>
      <c r="D6" s="62">
        <v>39</v>
      </c>
      <c r="E6" s="62">
        <v>46</v>
      </c>
      <c r="F6" s="62">
        <v>51</v>
      </c>
      <c r="G6" s="62">
        <v>55</v>
      </c>
      <c r="H6" s="62">
        <v>59</v>
      </c>
      <c r="I6" s="62">
        <v>65</v>
      </c>
      <c r="J6" s="62">
        <v>69</v>
      </c>
      <c r="K6" s="62">
        <v>58</v>
      </c>
      <c r="L6" s="62">
        <v>63</v>
      </c>
      <c r="M6" s="62">
        <v>68</v>
      </c>
      <c r="N6" s="62">
        <v>71</v>
      </c>
      <c r="O6" s="62">
        <v>80</v>
      </c>
      <c r="P6" s="62">
        <v>84</v>
      </c>
      <c r="Q6" s="62">
        <v>88</v>
      </c>
    </row>
    <row r="7" spans="1:17" x14ac:dyDescent="0.25">
      <c r="A7" s="64" t="s">
        <v>87</v>
      </c>
      <c r="B7" s="62">
        <v>15</v>
      </c>
      <c r="C7" s="62">
        <v>22</v>
      </c>
      <c r="D7" s="62">
        <v>31</v>
      </c>
      <c r="E7" s="62">
        <v>44</v>
      </c>
      <c r="F7" s="62">
        <v>53</v>
      </c>
      <c r="G7" s="62">
        <v>58</v>
      </c>
      <c r="H7" s="62">
        <v>61</v>
      </c>
      <c r="I7" s="62">
        <v>69</v>
      </c>
      <c r="J7" s="62">
        <v>76</v>
      </c>
      <c r="K7" s="62">
        <v>73</v>
      </c>
      <c r="L7" s="62">
        <v>75</v>
      </c>
      <c r="M7" s="62">
        <v>79</v>
      </c>
      <c r="N7" s="62">
        <v>82</v>
      </c>
      <c r="O7" s="62">
        <v>89</v>
      </c>
      <c r="P7" s="62">
        <v>91</v>
      </c>
      <c r="Q7" s="62">
        <v>96</v>
      </c>
    </row>
    <row r="8" spans="1:17" x14ac:dyDescent="0.25">
      <c r="A8" s="64" t="s">
        <v>88</v>
      </c>
      <c r="B8" s="62">
        <v>15</v>
      </c>
      <c r="C8" s="62">
        <v>21</v>
      </c>
      <c r="D8" s="62">
        <v>36</v>
      </c>
      <c r="E8" s="62">
        <v>45</v>
      </c>
      <c r="F8" s="62">
        <v>51</v>
      </c>
      <c r="G8" s="62">
        <v>56</v>
      </c>
      <c r="H8" s="62">
        <v>60</v>
      </c>
      <c r="I8" s="62">
        <v>69</v>
      </c>
      <c r="J8" s="62">
        <v>78</v>
      </c>
      <c r="K8" s="62">
        <v>76</v>
      </c>
      <c r="L8" s="62">
        <v>81</v>
      </c>
      <c r="M8" s="62">
        <v>86</v>
      </c>
      <c r="N8" s="62">
        <v>92</v>
      </c>
      <c r="O8" s="62">
        <v>103</v>
      </c>
      <c r="P8" s="62">
        <v>111</v>
      </c>
      <c r="Q8" s="62">
        <v>113</v>
      </c>
    </row>
    <row r="9" spans="1:17" x14ac:dyDescent="0.25">
      <c r="A9" s="64" t="s">
        <v>89</v>
      </c>
      <c r="B9" s="62">
        <v>14</v>
      </c>
      <c r="C9" s="62">
        <v>19</v>
      </c>
      <c r="D9" s="62">
        <v>33</v>
      </c>
      <c r="E9" s="62">
        <v>48</v>
      </c>
      <c r="F9" s="62">
        <v>55</v>
      </c>
      <c r="G9" s="62">
        <v>57</v>
      </c>
      <c r="H9" s="62">
        <v>62</v>
      </c>
      <c r="I9" s="62">
        <v>73</v>
      </c>
      <c r="J9" s="62">
        <v>80</v>
      </c>
      <c r="K9" s="62">
        <v>75</v>
      </c>
      <c r="L9" s="62">
        <v>80</v>
      </c>
      <c r="M9" s="62">
        <v>82</v>
      </c>
      <c r="N9" s="62">
        <v>86</v>
      </c>
      <c r="O9" s="62">
        <v>91</v>
      </c>
      <c r="P9" s="62">
        <v>98</v>
      </c>
      <c r="Q9" s="62">
        <v>102</v>
      </c>
    </row>
    <row r="10" spans="1:17" x14ac:dyDescent="0.25">
      <c r="A10" s="64" t="s">
        <v>90</v>
      </c>
      <c r="B10" s="62">
        <v>13</v>
      </c>
      <c r="C10" s="62">
        <v>20</v>
      </c>
      <c r="D10" s="62">
        <v>32</v>
      </c>
      <c r="E10" s="62">
        <v>40</v>
      </c>
      <c r="F10" s="62">
        <v>53</v>
      </c>
      <c r="G10" s="62">
        <v>58</v>
      </c>
      <c r="H10" s="62">
        <v>63</v>
      </c>
      <c r="I10" s="62">
        <v>74</v>
      </c>
      <c r="J10" s="62">
        <v>79</v>
      </c>
      <c r="K10" s="62">
        <v>79</v>
      </c>
      <c r="L10" s="62">
        <v>78</v>
      </c>
      <c r="M10" s="62">
        <v>82</v>
      </c>
      <c r="N10" s="62">
        <v>85</v>
      </c>
      <c r="O10" s="62">
        <v>91</v>
      </c>
      <c r="P10" s="62">
        <v>96</v>
      </c>
      <c r="Q10" s="62">
        <v>99</v>
      </c>
    </row>
    <row r="11" spans="1:17" x14ac:dyDescent="0.25">
      <c r="A11" s="64" t="s">
        <v>91</v>
      </c>
      <c r="B11" s="62">
        <v>12</v>
      </c>
      <c r="C11" s="62">
        <v>21</v>
      </c>
      <c r="D11" s="62">
        <v>30</v>
      </c>
      <c r="E11" s="62">
        <v>39</v>
      </c>
      <c r="F11" s="62">
        <v>52</v>
      </c>
      <c r="G11" s="62">
        <v>58</v>
      </c>
      <c r="H11" s="62">
        <v>62</v>
      </c>
      <c r="I11" s="62">
        <v>71</v>
      </c>
      <c r="J11" s="62">
        <v>72</v>
      </c>
      <c r="K11" s="62">
        <v>70</v>
      </c>
      <c r="L11" s="62">
        <v>70</v>
      </c>
      <c r="M11" s="62">
        <v>74</v>
      </c>
      <c r="N11" s="62">
        <v>79</v>
      </c>
      <c r="O11" s="62">
        <v>83</v>
      </c>
      <c r="P11" s="62">
        <v>85</v>
      </c>
      <c r="Q11" s="62">
        <v>86</v>
      </c>
    </row>
    <row r="12" spans="1:17" x14ac:dyDescent="0.25">
      <c r="A12" s="64" t="s">
        <v>92</v>
      </c>
      <c r="B12" s="62">
        <v>14</v>
      </c>
      <c r="C12" s="62">
        <v>21</v>
      </c>
      <c r="D12" s="62">
        <v>33</v>
      </c>
      <c r="E12" s="62">
        <v>41</v>
      </c>
      <c r="F12" s="62">
        <v>55</v>
      </c>
      <c r="G12" s="62">
        <v>61</v>
      </c>
      <c r="H12" s="62">
        <v>66</v>
      </c>
      <c r="I12" s="62">
        <v>75</v>
      </c>
      <c r="J12" s="62">
        <v>77</v>
      </c>
      <c r="K12" s="62">
        <v>77</v>
      </c>
      <c r="L12" s="62">
        <v>79</v>
      </c>
      <c r="M12" s="62">
        <v>85</v>
      </c>
      <c r="N12" s="62">
        <v>92</v>
      </c>
      <c r="O12" s="62">
        <v>104</v>
      </c>
      <c r="P12" s="62">
        <v>113</v>
      </c>
      <c r="Q12" s="62">
        <v>119</v>
      </c>
    </row>
    <row r="13" spans="1:17" x14ac:dyDescent="0.25">
      <c r="A13" s="64" t="s">
        <v>93</v>
      </c>
      <c r="B13" s="62">
        <v>13</v>
      </c>
      <c r="C13" s="62">
        <v>18</v>
      </c>
      <c r="D13" s="62">
        <v>33</v>
      </c>
      <c r="E13" s="62">
        <v>40</v>
      </c>
      <c r="F13" s="62">
        <v>50</v>
      </c>
      <c r="G13" s="62">
        <v>56</v>
      </c>
      <c r="H13" s="62">
        <v>59</v>
      </c>
      <c r="I13" s="62">
        <v>62</v>
      </c>
      <c r="J13" s="62">
        <v>68</v>
      </c>
      <c r="K13" s="62">
        <v>64</v>
      </c>
      <c r="L13" s="62">
        <v>66</v>
      </c>
      <c r="M13" s="62">
        <v>70</v>
      </c>
      <c r="N13" s="62">
        <v>75</v>
      </c>
      <c r="O13" s="62">
        <v>83</v>
      </c>
      <c r="P13" s="62">
        <v>91</v>
      </c>
      <c r="Q13" s="62">
        <v>98</v>
      </c>
    </row>
    <row r="14" spans="1:17" x14ac:dyDescent="0.25">
      <c r="A14" s="64" t="s">
        <v>94</v>
      </c>
      <c r="B14" s="62">
        <v>13</v>
      </c>
      <c r="C14" s="62">
        <v>19</v>
      </c>
      <c r="D14" s="62">
        <v>32</v>
      </c>
      <c r="E14" s="62">
        <v>43</v>
      </c>
      <c r="F14" s="62">
        <v>52</v>
      </c>
      <c r="G14" s="62">
        <v>59</v>
      </c>
      <c r="H14" s="62">
        <v>65</v>
      </c>
      <c r="I14" s="62">
        <v>76</v>
      </c>
      <c r="J14" s="62">
        <v>79</v>
      </c>
      <c r="K14" s="62">
        <v>79</v>
      </c>
      <c r="L14" s="62">
        <v>81</v>
      </c>
      <c r="M14" s="62">
        <v>82</v>
      </c>
      <c r="N14" s="62">
        <v>86</v>
      </c>
      <c r="O14" s="62">
        <v>92</v>
      </c>
      <c r="P14" s="62">
        <v>97</v>
      </c>
      <c r="Q14" s="62">
        <v>101</v>
      </c>
    </row>
    <row r="15" spans="1:17" x14ac:dyDescent="0.25">
      <c r="A15" s="64" t="s">
        <v>95</v>
      </c>
      <c r="B15" s="62">
        <v>10</v>
      </c>
      <c r="C15" s="62">
        <v>21</v>
      </c>
      <c r="D15" s="62">
        <v>32</v>
      </c>
      <c r="E15" s="62">
        <v>40</v>
      </c>
      <c r="F15" s="62">
        <v>48</v>
      </c>
      <c r="G15" s="62">
        <v>54</v>
      </c>
      <c r="H15" s="62">
        <v>61</v>
      </c>
      <c r="I15" s="62">
        <v>64</v>
      </c>
      <c r="J15" s="62">
        <v>65</v>
      </c>
      <c r="K15" s="62">
        <v>62</v>
      </c>
      <c r="L15" s="62">
        <v>63</v>
      </c>
      <c r="M15" s="62">
        <v>64</v>
      </c>
      <c r="N15" s="62">
        <v>67</v>
      </c>
      <c r="O15" s="62">
        <v>70</v>
      </c>
      <c r="P15" s="62">
        <v>69</v>
      </c>
      <c r="Q15" s="62">
        <v>74</v>
      </c>
    </row>
    <row r="16" spans="1:17" x14ac:dyDescent="0.25">
      <c r="A16" s="64" t="s">
        <v>96</v>
      </c>
      <c r="B16" s="62">
        <v>13</v>
      </c>
      <c r="C16" s="62">
        <v>17</v>
      </c>
      <c r="D16" s="62">
        <v>31</v>
      </c>
      <c r="E16" s="62">
        <v>39</v>
      </c>
      <c r="F16" s="62">
        <v>48</v>
      </c>
      <c r="G16" s="62">
        <v>53</v>
      </c>
      <c r="H16" s="62">
        <v>57</v>
      </c>
      <c r="I16" s="62">
        <v>68</v>
      </c>
      <c r="J16" s="62">
        <v>74</v>
      </c>
      <c r="K16" s="62">
        <v>68</v>
      </c>
      <c r="L16" s="62">
        <v>73</v>
      </c>
      <c r="M16" s="62">
        <v>74</v>
      </c>
      <c r="N16" s="62">
        <v>77</v>
      </c>
      <c r="O16" s="62">
        <v>84</v>
      </c>
      <c r="P16" s="62">
        <v>90</v>
      </c>
      <c r="Q16" s="62">
        <v>93</v>
      </c>
    </row>
    <row r="17" spans="1:17" x14ac:dyDescent="0.25">
      <c r="A17" s="64" t="s">
        <v>97</v>
      </c>
      <c r="B17" s="62">
        <v>12</v>
      </c>
      <c r="C17" s="62">
        <v>17</v>
      </c>
      <c r="D17" s="62">
        <v>26</v>
      </c>
      <c r="E17" s="62">
        <v>35</v>
      </c>
      <c r="F17" s="62">
        <v>44</v>
      </c>
      <c r="G17" s="62">
        <v>48</v>
      </c>
      <c r="H17" s="62">
        <v>50</v>
      </c>
      <c r="I17" s="62">
        <v>54</v>
      </c>
      <c r="J17" s="62">
        <v>53</v>
      </c>
      <c r="K17" s="62">
        <v>51</v>
      </c>
      <c r="L17" s="62">
        <v>53</v>
      </c>
      <c r="M17" s="62">
        <v>56</v>
      </c>
      <c r="N17" s="62">
        <v>60</v>
      </c>
      <c r="O17" s="62">
        <v>71</v>
      </c>
      <c r="P17" s="62">
        <v>79</v>
      </c>
      <c r="Q17" s="62">
        <v>84</v>
      </c>
    </row>
    <row r="18" spans="1:17" x14ac:dyDescent="0.25">
      <c r="A18" s="64" t="s">
        <v>98</v>
      </c>
      <c r="B18" s="62">
        <v>13</v>
      </c>
      <c r="C18" s="62">
        <v>20</v>
      </c>
      <c r="D18" s="62">
        <v>28</v>
      </c>
      <c r="E18" s="62">
        <v>38</v>
      </c>
      <c r="F18" s="62">
        <v>53</v>
      </c>
      <c r="G18" s="62">
        <v>62</v>
      </c>
      <c r="H18" s="62">
        <v>69</v>
      </c>
      <c r="I18" s="62">
        <v>78</v>
      </c>
      <c r="J18" s="62">
        <v>78</v>
      </c>
      <c r="K18" s="62">
        <v>79</v>
      </c>
      <c r="L18" s="62">
        <v>80</v>
      </c>
      <c r="M18" s="62">
        <v>82</v>
      </c>
      <c r="N18" s="62">
        <v>86</v>
      </c>
      <c r="O18" s="62">
        <v>94</v>
      </c>
      <c r="P18" s="62">
        <v>100</v>
      </c>
      <c r="Q18" s="62">
        <v>104</v>
      </c>
    </row>
    <row r="19" spans="1:17" x14ac:dyDescent="0.25">
      <c r="A19" s="64" t="s">
        <v>99</v>
      </c>
      <c r="B19" s="62">
        <v>16</v>
      </c>
      <c r="C19" s="62">
        <v>20</v>
      </c>
      <c r="D19" s="62">
        <v>34</v>
      </c>
      <c r="E19" s="62">
        <v>42</v>
      </c>
      <c r="F19" s="62">
        <v>57</v>
      </c>
      <c r="G19" s="62">
        <v>60</v>
      </c>
      <c r="H19" s="62">
        <v>65</v>
      </c>
      <c r="I19" s="62">
        <v>71</v>
      </c>
      <c r="J19" s="62">
        <v>75</v>
      </c>
      <c r="K19" s="62">
        <v>72</v>
      </c>
      <c r="L19" s="62">
        <v>75</v>
      </c>
      <c r="M19" s="62">
        <v>78</v>
      </c>
      <c r="N19" s="62">
        <v>82</v>
      </c>
      <c r="O19" s="62">
        <v>89</v>
      </c>
      <c r="P19" s="62">
        <v>96</v>
      </c>
      <c r="Q19" s="62">
        <v>99</v>
      </c>
    </row>
    <row r="20" spans="1:17" x14ac:dyDescent="0.25">
      <c r="A20" s="64" t="s">
        <v>100</v>
      </c>
      <c r="B20" s="62">
        <v>13</v>
      </c>
      <c r="C20" s="62">
        <v>17</v>
      </c>
      <c r="D20" s="62">
        <v>32</v>
      </c>
      <c r="E20" s="62">
        <v>40</v>
      </c>
      <c r="F20" s="62">
        <v>54</v>
      </c>
      <c r="G20" s="62">
        <v>59</v>
      </c>
      <c r="H20" s="62">
        <v>70</v>
      </c>
      <c r="I20" s="62">
        <v>80</v>
      </c>
      <c r="J20" s="62">
        <v>82</v>
      </c>
      <c r="K20" s="62">
        <v>84</v>
      </c>
      <c r="L20" s="62">
        <v>86</v>
      </c>
      <c r="M20" s="62">
        <v>90</v>
      </c>
      <c r="N20" s="62">
        <v>95</v>
      </c>
      <c r="O20" s="62">
        <v>106</v>
      </c>
      <c r="P20" s="62">
        <v>116</v>
      </c>
      <c r="Q20" s="62">
        <v>120</v>
      </c>
    </row>
    <row r="21" spans="1:17" x14ac:dyDescent="0.25">
      <c r="A21" s="64" t="s">
        <v>101</v>
      </c>
      <c r="B21" s="62">
        <v>13</v>
      </c>
      <c r="C21" s="62">
        <v>18</v>
      </c>
      <c r="D21" s="62">
        <v>31</v>
      </c>
      <c r="E21" s="62">
        <v>38</v>
      </c>
      <c r="F21" s="62">
        <v>52</v>
      </c>
      <c r="G21" s="62">
        <v>60</v>
      </c>
      <c r="H21" s="62">
        <v>72</v>
      </c>
      <c r="I21" s="62">
        <v>80</v>
      </c>
      <c r="J21" s="62">
        <v>77</v>
      </c>
      <c r="K21" s="62">
        <v>75</v>
      </c>
      <c r="L21" s="62">
        <v>78</v>
      </c>
      <c r="M21" s="62">
        <v>83</v>
      </c>
      <c r="N21" s="62">
        <v>89</v>
      </c>
      <c r="O21" s="62">
        <v>103</v>
      </c>
      <c r="P21" s="62">
        <v>112</v>
      </c>
      <c r="Q21" s="62">
        <v>116</v>
      </c>
    </row>
    <row r="22" spans="1:17" x14ac:dyDescent="0.25">
      <c r="A22" s="64" t="s">
        <v>102</v>
      </c>
      <c r="B22" s="62">
        <v>15</v>
      </c>
      <c r="C22" s="62">
        <v>21</v>
      </c>
      <c r="D22" s="62">
        <v>34</v>
      </c>
      <c r="E22" s="62">
        <v>39</v>
      </c>
      <c r="F22" s="62">
        <v>54</v>
      </c>
      <c r="G22" s="62">
        <v>59</v>
      </c>
      <c r="H22" s="62">
        <v>65</v>
      </c>
      <c r="I22" s="62">
        <v>71</v>
      </c>
      <c r="J22" s="62">
        <v>76</v>
      </c>
      <c r="K22" s="62">
        <v>71</v>
      </c>
      <c r="L22" s="62">
        <v>75</v>
      </c>
      <c r="M22" s="62">
        <v>80</v>
      </c>
      <c r="N22" s="62">
        <v>86</v>
      </c>
      <c r="O22" s="62">
        <v>96</v>
      </c>
      <c r="P22" s="62">
        <v>107</v>
      </c>
      <c r="Q22" s="62">
        <v>111</v>
      </c>
    </row>
    <row r="23" spans="1:17" x14ac:dyDescent="0.25">
      <c r="A23" s="64" t="s">
        <v>103</v>
      </c>
      <c r="B23" s="62">
        <v>13</v>
      </c>
      <c r="C23" s="62">
        <v>19</v>
      </c>
      <c r="D23" s="62">
        <v>28</v>
      </c>
      <c r="E23" s="62">
        <v>35</v>
      </c>
      <c r="F23" s="62">
        <v>51</v>
      </c>
      <c r="G23" s="62">
        <v>57</v>
      </c>
      <c r="H23" s="62">
        <v>63</v>
      </c>
      <c r="I23" s="62">
        <v>70</v>
      </c>
      <c r="J23" s="62">
        <v>76</v>
      </c>
      <c r="K23" s="62">
        <v>79</v>
      </c>
      <c r="L23" s="62">
        <v>81</v>
      </c>
      <c r="M23" s="62">
        <v>86</v>
      </c>
      <c r="N23" s="62">
        <v>90</v>
      </c>
      <c r="O23" s="62">
        <v>103</v>
      </c>
      <c r="P23" s="62">
        <v>115</v>
      </c>
      <c r="Q23" s="62">
        <v>123</v>
      </c>
    </row>
    <row r="24" spans="1:17" x14ac:dyDescent="0.25">
      <c r="A24" s="64" t="s">
        <v>104</v>
      </c>
      <c r="B24" s="62">
        <v>14</v>
      </c>
      <c r="C24" s="62">
        <v>17</v>
      </c>
      <c r="D24" s="62">
        <v>29</v>
      </c>
      <c r="E24" s="62">
        <v>34</v>
      </c>
      <c r="F24" s="62">
        <v>47</v>
      </c>
      <c r="G24" s="62">
        <v>54</v>
      </c>
      <c r="H24" s="62">
        <v>59</v>
      </c>
      <c r="I24" s="62">
        <v>64</v>
      </c>
      <c r="J24" s="62">
        <v>65</v>
      </c>
      <c r="K24" s="62">
        <v>67</v>
      </c>
      <c r="L24" s="62">
        <v>68</v>
      </c>
      <c r="M24" s="62">
        <v>71</v>
      </c>
      <c r="N24" s="62">
        <v>76</v>
      </c>
      <c r="O24" s="62">
        <v>84</v>
      </c>
      <c r="P24" s="62">
        <v>93</v>
      </c>
      <c r="Q24" s="62">
        <v>98</v>
      </c>
    </row>
    <row r="25" spans="1:17" x14ac:dyDescent="0.25">
      <c r="A25" s="64" t="s">
        <v>105</v>
      </c>
      <c r="B25" s="62">
        <v>10</v>
      </c>
      <c r="C25" s="62">
        <v>15</v>
      </c>
      <c r="D25" s="62">
        <v>28</v>
      </c>
      <c r="E25" s="62">
        <v>37</v>
      </c>
      <c r="F25" s="62">
        <v>50</v>
      </c>
      <c r="G25" s="62">
        <v>59</v>
      </c>
      <c r="H25" s="62">
        <v>68</v>
      </c>
      <c r="I25" s="62">
        <v>78</v>
      </c>
      <c r="J25" s="62">
        <v>78</v>
      </c>
      <c r="K25" s="62">
        <v>80</v>
      </c>
      <c r="L25" s="62">
        <v>82</v>
      </c>
      <c r="M25" s="62">
        <v>85</v>
      </c>
      <c r="N25" s="62">
        <v>92</v>
      </c>
      <c r="O25" s="62">
        <v>100</v>
      </c>
      <c r="P25" s="62">
        <v>107</v>
      </c>
      <c r="Q25" s="62">
        <v>111</v>
      </c>
    </row>
    <row r="26" spans="1:17" x14ac:dyDescent="0.25">
      <c r="A26" s="64" t="s">
        <v>106</v>
      </c>
      <c r="B26" s="62">
        <v>16</v>
      </c>
      <c r="C26" s="62">
        <v>22</v>
      </c>
      <c r="D26" s="62">
        <v>33</v>
      </c>
      <c r="E26" s="62">
        <v>43</v>
      </c>
      <c r="F26" s="62">
        <v>56</v>
      </c>
      <c r="G26" s="62">
        <v>69</v>
      </c>
      <c r="H26" s="62">
        <v>76</v>
      </c>
      <c r="I26" s="62">
        <v>82</v>
      </c>
      <c r="J26" s="62">
        <v>85</v>
      </c>
      <c r="K26" s="62">
        <v>85</v>
      </c>
      <c r="L26" s="62">
        <v>86</v>
      </c>
      <c r="M26" s="62">
        <v>88</v>
      </c>
      <c r="N26" s="62">
        <v>91</v>
      </c>
      <c r="O26" s="62">
        <v>96</v>
      </c>
      <c r="P26" s="62">
        <v>102</v>
      </c>
      <c r="Q26" s="62">
        <v>108</v>
      </c>
    </row>
    <row r="27" spans="1:17" x14ac:dyDescent="0.25">
      <c r="A27" s="64" t="s">
        <v>107</v>
      </c>
      <c r="B27" s="62">
        <v>14</v>
      </c>
      <c r="C27" s="62">
        <v>23</v>
      </c>
      <c r="D27" s="62">
        <v>36</v>
      </c>
      <c r="E27" s="62">
        <v>46</v>
      </c>
      <c r="F27" s="62">
        <v>57</v>
      </c>
      <c r="G27" s="62">
        <v>69</v>
      </c>
      <c r="H27" s="62">
        <v>75</v>
      </c>
      <c r="I27" s="62">
        <v>79</v>
      </c>
      <c r="J27" s="62">
        <v>77</v>
      </c>
      <c r="K27" s="62">
        <v>75</v>
      </c>
      <c r="L27" s="62">
        <v>77</v>
      </c>
      <c r="M27" s="62">
        <v>80</v>
      </c>
      <c r="N27" s="62">
        <v>82</v>
      </c>
      <c r="O27" s="62">
        <v>89</v>
      </c>
      <c r="P27" s="62">
        <v>98</v>
      </c>
      <c r="Q27" s="62">
        <v>105</v>
      </c>
    </row>
    <row r="28" spans="1:17" x14ac:dyDescent="0.25">
      <c r="A28" s="64" t="s">
        <v>108</v>
      </c>
      <c r="B28" s="62">
        <v>14</v>
      </c>
      <c r="C28" s="62">
        <v>20</v>
      </c>
      <c r="D28" s="62">
        <v>31</v>
      </c>
      <c r="E28" s="62">
        <v>37</v>
      </c>
      <c r="F28" s="62">
        <v>52</v>
      </c>
      <c r="G28" s="62">
        <v>60</v>
      </c>
      <c r="H28" s="62">
        <v>73</v>
      </c>
      <c r="I28" s="62">
        <v>81</v>
      </c>
      <c r="J28" s="62">
        <v>84</v>
      </c>
      <c r="K28" s="62">
        <v>82</v>
      </c>
      <c r="L28" s="62">
        <v>85</v>
      </c>
      <c r="M28" s="62">
        <v>87</v>
      </c>
      <c r="N28" s="62">
        <v>93</v>
      </c>
      <c r="O28" s="62">
        <v>118</v>
      </c>
      <c r="P28" s="62">
        <v>124</v>
      </c>
      <c r="Q28" s="62">
        <v>129</v>
      </c>
    </row>
    <row r="29" spans="1:17" x14ac:dyDescent="0.25">
      <c r="A29" s="64" t="s">
        <v>109</v>
      </c>
      <c r="B29" s="62">
        <v>14</v>
      </c>
      <c r="C29" s="62">
        <v>20</v>
      </c>
      <c r="D29" s="62">
        <v>30</v>
      </c>
      <c r="E29" s="62">
        <v>42</v>
      </c>
      <c r="F29" s="62">
        <v>55</v>
      </c>
      <c r="G29" s="62">
        <v>62</v>
      </c>
      <c r="H29" s="62">
        <v>76</v>
      </c>
      <c r="I29" s="62">
        <v>87</v>
      </c>
      <c r="J29" s="62">
        <v>88</v>
      </c>
      <c r="K29" s="62">
        <v>85</v>
      </c>
      <c r="L29" s="62">
        <v>87</v>
      </c>
      <c r="M29" s="62">
        <v>92</v>
      </c>
      <c r="N29" s="62">
        <v>99</v>
      </c>
      <c r="O29" s="62">
        <v>109</v>
      </c>
      <c r="P29" s="62">
        <v>118</v>
      </c>
      <c r="Q29" s="62">
        <v>123</v>
      </c>
    </row>
    <row r="30" spans="1:17" x14ac:dyDescent="0.25">
      <c r="A30" s="64" t="s">
        <v>110</v>
      </c>
      <c r="B30" s="62">
        <v>15</v>
      </c>
      <c r="C30" s="62">
        <v>22</v>
      </c>
      <c r="D30" s="62">
        <v>32</v>
      </c>
      <c r="E30" s="62">
        <v>45</v>
      </c>
      <c r="F30" s="62">
        <v>50</v>
      </c>
      <c r="G30" s="62">
        <v>54</v>
      </c>
      <c r="H30" s="62">
        <v>56</v>
      </c>
      <c r="I30" s="62">
        <v>58</v>
      </c>
      <c r="J30" s="62">
        <v>64</v>
      </c>
      <c r="K30" s="62">
        <v>66</v>
      </c>
      <c r="L30" s="62">
        <v>64</v>
      </c>
      <c r="M30" s="62">
        <v>71</v>
      </c>
      <c r="N30" s="62">
        <v>79</v>
      </c>
      <c r="O30" s="62">
        <v>88</v>
      </c>
      <c r="P30" s="62">
        <v>95</v>
      </c>
      <c r="Q30" s="62">
        <v>97</v>
      </c>
    </row>
    <row r="31" spans="1:17" x14ac:dyDescent="0.25">
      <c r="A31" s="64" t="s">
        <v>111</v>
      </c>
      <c r="B31" s="62">
        <v>16</v>
      </c>
      <c r="C31" s="62">
        <v>23</v>
      </c>
      <c r="D31" s="62">
        <v>32</v>
      </c>
      <c r="E31" s="62">
        <v>40</v>
      </c>
      <c r="F31" s="62">
        <v>48</v>
      </c>
      <c r="G31" s="62">
        <v>52</v>
      </c>
      <c r="H31" s="62">
        <v>57</v>
      </c>
      <c r="I31" s="62">
        <v>62</v>
      </c>
      <c r="J31" s="62">
        <v>65</v>
      </c>
      <c r="K31" s="62">
        <v>64</v>
      </c>
      <c r="L31" s="62">
        <v>69</v>
      </c>
      <c r="M31" s="62">
        <v>73</v>
      </c>
      <c r="N31" s="62">
        <v>78</v>
      </c>
      <c r="O31" s="62">
        <v>83</v>
      </c>
      <c r="P31" s="62">
        <v>87</v>
      </c>
      <c r="Q31" s="62">
        <v>89</v>
      </c>
    </row>
    <row r="32" spans="1:17" x14ac:dyDescent="0.25">
      <c r="A32" s="64" t="s">
        <v>112</v>
      </c>
      <c r="B32" s="62">
        <v>16</v>
      </c>
      <c r="C32" s="62">
        <v>20</v>
      </c>
      <c r="D32" s="62">
        <v>31</v>
      </c>
      <c r="E32" s="62">
        <v>38</v>
      </c>
      <c r="F32" s="62">
        <v>43</v>
      </c>
      <c r="G32" s="62">
        <v>49</v>
      </c>
      <c r="H32" s="62">
        <v>54</v>
      </c>
      <c r="I32" s="62">
        <v>60</v>
      </c>
      <c r="J32" s="62">
        <v>60</v>
      </c>
      <c r="K32" s="62">
        <v>58</v>
      </c>
      <c r="L32" s="62">
        <v>63</v>
      </c>
      <c r="M32" s="62">
        <v>65</v>
      </c>
      <c r="N32" s="62">
        <v>71</v>
      </c>
      <c r="O32" s="62">
        <v>74</v>
      </c>
      <c r="P32" s="62">
        <v>80</v>
      </c>
      <c r="Q32" s="62">
        <v>84</v>
      </c>
    </row>
    <row r="33" spans="1:17" x14ac:dyDescent="0.25">
      <c r="A33" s="64" t="s">
        <v>113</v>
      </c>
      <c r="B33" s="62">
        <v>13</v>
      </c>
      <c r="C33" s="62">
        <v>19</v>
      </c>
      <c r="D33" s="62">
        <v>30</v>
      </c>
      <c r="E33" s="62">
        <v>41</v>
      </c>
      <c r="F33" s="62">
        <v>56</v>
      </c>
      <c r="G33" s="62">
        <v>59</v>
      </c>
      <c r="H33" s="62">
        <v>62</v>
      </c>
      <c r="I33" s="62">
        <v>65</v>
      </c>
      <c r="J33" s="62">
        <v>66</v>
      </c>
      <c r="K33" s="62">
        <v>65</v>
      </c>
      <c r="L33" s="62">
        <v>65</v>
      </c>
      <c r="M33" s="62">
        <v>67</v>
      </c>
      <c r="N33" s="62">
        <v>70</v>
      </c>
      <c r="O33" s="62">
        <v>76</v>
      </c>
      <c r="P33" s="62">
        <v>82</v>
      </c>
      <c r="Q33" s="62">
        <v>86</v>
      </c>
    </row>
    <row r="34" spans="1:17" x14ac:dyDescent="0.25">
      <c r="A34" s="64" t="s">
        <v>114</v>
      </c>
      <c r="B34" s="62">
        <v>16</v>
      </c>
      <c r="C34" s="62">
        <v>24</v>
      </c>
      <c r="D34" s="62">
        <v>34</v>
      </c>
      <c r="E34" s="62">
        <v>44</v>
      </c>
      <c r="F34" s="62">
        <v>55</v>
      </c>
      <c r="G34" s="62">
        <v>61</v>
      </c>
      <c r="H34" s="62">
        <v>68</v>
      </c>
      <c r="I34" s="62">
        <v>76</v>
      </c>
      <c r="J34" s="62">
        <v>74</v>
      </c>
      <c r="K34" s="62">
        <v>75</v>
      </c>
      <c r="L34" s="62">
        <v>77</v>
      </c>
      <c r="M34" s="62">
        <v>82</v>
      </c>
      <c r="N34" s="62">
        <v>85</v>
      </c>
      <c r="O34" s="62">
        <v>93</v>
      </c>
      <c r="P34" s="62">
        <v>100</v>
      </c>
      <c r="Q34" s="62">
        <v>105</v>
      </c>
    </row>
    <row r="35" spans="1:17" x14ac:dyDescent="0.25">
      <c r="A35" s="64" t="s">
        <v>115</v>
      </c>
      <c r="B35" s="62">
        <v>13</v>
      </c>
      <c r="C35" s="62">
        <v>20</v>
      </c>
      <c r="D35" s="62">
        <v>35</v>
      </c>
      <c r="E35" s="62">
        <v>45</v>
      </c>
      <c r="F35" s="62">
        <v>56</v>
      </c>
      <c r="G35" s="62">
        <v>68</v>
      </c>
      <c r="H35" s="62">
        <v>80</v>
      </c>
      <c r="I35" s="62">
        <v>91</v>
      </c>
      <c r="J35" s="62">
        <v>89</v>
      </c>
      <c r="K35" s="62">
        <v>95</v>
      </c>
      <c r="L35" s="62">
        <v>92</v>
      </c>
      <c r="M35" s="62">
        <v>96</v>
      </c>
      <c r="N35" s="62">
        <v>99</v>
      </c>
      <c r="O35" s="62">
        <v>113</v>
      </c>
      <c r="P35" s="62">
        <v>120</v>
      </c>
      <c r="Q35" s="62">
        <v>126</v>
      </c>
    </row>
    <row r="36" spans="1:17" x14ac:dyDescent="0.25">
      <c r="A36" s="64" t="s">
        <v>116</v>
      </c>
      <c r="B36" s="62">
        <v>14</v>
      </c>
      <c r="C36" s="62">
        <v>20</v>
      </c>
      <c r="D36" s="62">
        <v>33</v>
      </c>
      <c r="E36" s="62">
        <v>47</v>
      </c>
      <c r="F36" s="62">
        <v>60</v>
      </c>
      <c r="G36" s="62">
        <v>70</v>
      </c>
      <c r="H36" s="62">
        <v>78</v>
      </c>
      <c r="I36" s="62">
        <v>88</v>
      </c>
      <c r="J36" s="62">
        <v>91</v>
      </c>
      <c r="K36" s="62">
        <v>94</v>
      </c>
      <c r="L36" s="62">
        <v>91</v>
      </c>
      <c r="M36" s="62">
        <v>93</v>
      </c>
      <c r="N36" s="62">
        <v>98</v>
      </c>
      <c r="O36" s="62">
        <v>108</v>
      </c>
      <c r="P36" s="62">
        <v>118</v>
      </c>
      <c r="Q36" s="62">
        <v>124</v>
      </c>
    </row>
    <row r="37" spans="1:17" x14ac:dyDescent="0.25">
      <c r="A37" s="64" t="s">
        <v>117</v>
      </c>
      <c r="B37" s="62">
        <v>14</v>
      </c>
      <c r="C37" s="62">
        <v>21</v>
      </c>
      <c r="D37" s="62">
        <v>33</v>
      </c>
      <c r="E37" s="62">
        <v>43</v>
      </c>
      <c r="F37" s="62">
        <v>53</v>
      </c>
      <c r="G37" s="62">
        <v>59</v>
      </c>
      <c r="H37" s="62">
        <v>65</v>
      </c>
      <c r="I37" s="62">
        <v>72</v>
      </c>
      <c r="J37" s="62">
        <v>78</v>
      </c>
      <c r="K37" s="62">
        <v>75</v>
      </c>
      <c r="L37" s="62">
        <v>75</v>
      </c>
      <c r="M37" s="62">
        <v>78</v>
      </c>
      <c r="N37" s="62">
        <v>83</v>
      </c>
      <c r="O37" s="62">
        <v>89</v>
      </c>
      <c r="P37" s="62">
        <v>95</v>
      </c>
      <c r="Q37" s="62">
        <v>100</v>
      </c>
    </row>
    <row r="38" spans="1:17" x14ac:dyDescent="0.25">
      <c r="A38" s="64" t="s">
        <v>118</v>
      </c>
      <c r="B38" s="62">
        <v>12</v>
      </c>
      <c r="C38" s="62">
        <v>19</v>
      </c>
      <c r="D38" s="62">
        <v>30</v>
      </c>
      <c r="E38" s="62">
        <v>44</v>
      </c>
      <c r="F38" s="62">
        <v>53</v>
      </c>
      <c r="G38" s="62">
        <v>59</v>
      </c>
      <c r="H38" s="62">
        <v>63</v>
      </c>
      <c r="I38" s="62">
        <v>70</v>
      </c>
      <c r="J38" s="62">
        <v>76</v>
      </c>
      <c r="K38" s="62">
        <v>78</v>
      </c>
      <c r="L38" s="62">
        <v>80</v>
      </c>
      <c r="M38" s="62">
        <v>79</v>
      </c>
      <c r="N38" s="62">
        <v>81</v>
      </c>
      <c r="O38" s="62">
        <v>86</v>
      </c>
      <c r="P38" s="62">
        <v>92</v>
      </c>
      <c r="Q38" s="62">
        <v>93</v>
      </c>
    </row>
    <row r="39" spans="1:17" x14ac:dyDescent="0.25">
      <c r="A39" s="64" t="s">
        <v>119</v>
      </c>
      <c r="B39" s="62">
        <v>15</v>
      </c>
      <c r="C39" s="62">
        <v>24</v>
      </c>
      <c r="D39" s="62">
        <v>37</v>
      </c>
      <c r="E39" s="62">
        <v>47</v>
      </c>
      <c r="F39" s="62">
        <v>58</v>
      </c>
      <c r="G39" s="62">
        <v>61</v>
      </c>
      <c r="H39" s="62">
        <v>72</v>
      </c>
      <c r="I39" s="62">
        <v>81</v>
      </c>
      <c r="J39" s="62">
        <v>81</v>
      </c>
      <c r="K39" s="62">
        <v>79</v>
      </c>
      <c r="L39" s="62">
        <v>77</v>
      </c>
      <c r="M39" s="62">
        <v>78</v>
      </c>
      <c r="N39" s="62">
        <v>79</v>
      </c>
      <c r="O39" s="62">
        <v>85</v>
      </c>
      <c r="P39" s="62">
        <v>93</v>
      </c>
      <c r="Q39" s="62">
        <v>97</v>
      </c>
    </row>
    <row r="40" spans="1:17" x14ac:dyDescent="0.25">
      <c r="A40" s="64" t="s">
        <v>120</v>
      </c>
      <c r="B40" s="62">
        <v>12</v>
      </c>
      <c r="C40" s="62">
        <v>20</v>
      </c>
      <c r="D40" s="62">
        <v>29</v>
      </c>
      <c r="E40" s="62">
        <v>37</v>
      </c>
      <c r="F40" s="62">
        <v>44</v>
      </c>
      <c r="G40" s="62">
        <v>50</v>
      </c>
      <c r="H40" s="62">
        <v>57</v>
      </c>
      <c r="I40" s="62">
        <v>66</v>
      </c>
      <c r="J40" s="62">
        <v>70</v>
      </c>
      <c r="K40" s="62">
        <v>69</v>
      </c>
      <c r="L40" s="62">
        <v>71</v>
      </c>
      <c r="M40" s="62">
        <v>73</v>
      </c>
      <c r="N40" s="62">
        <v>76</v>
      </c>
      <c r="O40" s="62">
        <v>81</v>
      </c>
      <c r="P40" s="62">
        <v>84</v>
      </c>
      <c r="Q40" s="62">
        <v>86</v>
      </c>
    </row>
    <row r="41" spans="1:17" x14ac:dyDescent="0.25">
      <c r="A41" s="64" t="s">
        <v>121</v>
      </c>
      <c r="B41" s="62">
        <v>13</v>
      </c>
      <c r="C41" s="62">
        <v>16</v>
      </c>
      <c r="D41" s="62">
        <v>29</v>
      </c>
      <c r="E41" s="62">
        <v>40</v>
      </c>
      <c r="F41" s="62">
        <v>51</v>
      </c>
      <c r="G41" s="62">
        <v>54</v>
      </c>
      <c r="H41" s="62">
        <v>59</v>
      </c>
      <c r="I41" s="62">
        <v>63</v>
      </c>
      <c r="J41" s="62">
        <v>63</v>
      </c>
      <c r="K41" s="62">
        <v>66</v>
      </c>
      <c r="L41" s="62">
        <v>67</v>
      </c>
      <c r="M41" s="62">
        <v>70</v>
      </c>
      <c r="N41" s="62">
        <v>70</v>
      </c>
      <c r="O41" s="62">
        <v>74</v>
      </c>
      <c r="P41" s="62">
        <v>80</v>
      </c>
      <c r="Q41" s="62">
        <v>84</v>
      </c>
    </row>
    <row r="42" spans="1:17" x14ac:dyDescent="0.25">
      <c r="A42" s="64" t="s">
        <v>122</v>
      </c>
      <c r="B42" s="62">
        <v>14</v>
      </c>
      <c r="C42" s="62">
        <v>21</v>
      </c>
      <c r="D42" s="62">
        <v>31</v>
      </c>
      <c r="E42" s="62">
        <v>46</v>
      </c>
      <c r="F42" s="62">
        <v>55</v>
      </c>
      <c r="G42" s="62">
        <v>69</v>
      </c>
      <c r="H42" s="62">
        <v>75</v>
      </c>
      <c r="I42" s="62">
        <v>77</v>
      </c>
      <c r="J42" s="62">
        <v>78</v>
      </c>
      <c r="K42" s="62">
        <v>78</v>
      </c>
      <c r="L42" s="62">
        <v>79</v>
      </c>
      <c r="M42" s="62">
        <v>81</v>
      </c>
      <c r="N42" s="62">
        <v>83</v>
      </c>
      <c r="O42" s="62">
        <v>84</v>
      </c>
      <c r="P42" s="62">
        <v>91</v>
      </c>
      <c r="Q42" s="62">
        <v>97</v>
      </c>
    </row>
    <row r="43" spans="1:17" x14ac:dyDescent="0.25">
      <c r="A43" s="64" t="s">
        <v>123</v>
      </c>
      <c r="B43" s="62">
        <v>14</v>
      </c>
      <c r="C43" s="62">
        <v>20</v>
      </c>
      <c r="D43" s="62">
        <v>31</v>
      </c>
      <c r="E43" s="62">
        <v>48</v>
      </c>
      <c r="F43" s="62">
        <v>56</v>
      </c>
      <c r="G43" s="62">
        <v>66</v>
      </c>
      <c r="H43" s="62">
        <v>72</v>
      </c>
      <c r="I43" s="62">
        <v>79</v>
      </c>
      <c r="J43" s="62">
        <v>77</v>
      </c>
      <c r="K43" s="62">
        <v>81</v>
      </c>
      <c r="L43" s="62">
        <v>80</v>
      </c>
      <c r="M43" s="62">
        <v>82</v>
      </c>
      <c r="N43" s="62">
        <v>82</v>
      </c>
      <c r="O43" s="62">
        <v>85</v>
      </c>
      <c r="P43" s="62">
        <v>94</v>
      </c>
      <c r="Q43" s="62">
        <v>102</v>
      </c>
    </row>
    <row r="44" spans="1:17" x14ac:dyDescent="0.25">
      <c r="A44" s="64" t="s">
        <v>124</v>
      </c>
      <c r="B44" s="62">
        <v>13</v>
      </c>
      <c r="C44" s="62">
        <v>22</v>
      </c>
      <c r="D44" s="62">
        <v>35</v>
      </c>
      <c r="E44" s="62">
        <v>43</v>
      </c>
      <c r="F44" s="62">
        <v>52</v>
      </c>
      <c r="G44" s="62">
        <v>59</v>
      </c>
      <c r="H44" s="62">
        <v>64</v>
      </c>
      <c r="I44" s="62">
        <v>67</v>
      </c>
      <c r="J44" s="62">
        <v>68</v>
      </c>
      <c r="K44" s="62">
        <v>68</v>
      </c>
      <c r="L44" s="62">
        <v>70</v>
      </c>
      <c r="M44" s="62">
        <v>73</v>
      </c>
      <c r="N44" s="62">
        <v>74</v>
      </c>
      <c r="O44" s="62">
        <v>76</v>
      </c>
      <c r="P44" s="62">
        <v>81</v>
      </c>
      <c r="Q44" s="62">
        <v>88</v>
      </c>
    </row>
    <row r="45" spans="1:17" x14ac:dyDescent="0.25">
      <c r="A45" s="64" t="s">
        <v>125</v>
      </c>
      <c r="B45" s="62">
        <v>14</v>
      </c>
      <c r="C45" s="62">
        <v>22</v>
      </c>
      <c r="D45" s="62">
        <v>35</v>
      </c>
      <c r="E45" s="62">
        <v>45</v>
      </c>
      <c r="F45" s="62">
        <v>55</v>
      </c>
      <c r="G45" s="62">
        <v>58</v>
      </c>
      <c r="H45" s="62">
        <v>64</v>
      </c>
      <c r="I45" s="62">
        <v>70</v>
      </c>
      <c r="J45" s="62">
        <v>72</v>
      </c>
      <c r="K45" s="62">
        <v>69</v>
      </c>
      <c r="L45" s="62">
        <v>72</v>
      </c>
      <c r="M45" s="62">
        <v>74</v>
      </c>
      <c r="N45" s="62">
        <v>75</v>
      </c>
      <c r="O45" s="62">
        <v>78</v>
      </c>
      <c r="P45" s="62">
        <v>82</v>
      </c>
      <c r="Q45" s="62">
        <v>89</v>
      </c>
    </row>
    <row r="46" spans="1:17" x14ac:dyDescent="0.25">
      <c r="A46" s="64" t="s">
        <v>126</v>
      </c>
      <c r="B46" s="62">
        <v>10</v>
      </c>
      <c r="C46" s="62">
        <v>16</v>
      </c>
      <c r="D46" s="62">
        <v>30</v>
      </c>
      <c r="E46" s="62">
        <v>38</v>
      </c>
      <c r="F46" s="62">
        <v>48</v>
      </c>
      <c r="G46" s="62">
        <v>57</v>
      </c>
      <c r="H46" s="62">
        <v>64</v>
      </c>
      <c r="I46" s="62">
        <v>73</v>
      </c>
      <c r="J46" s="62">
        <v>75</v>
      </c>
      <c r="K46" s="62">
        <v>76</v>
      </c>
      <c r="L46" s="62">
        <v>79</v>
      </c>
      <c r="M46" s="62">
        <v>84</v>
      </c>
      <c r="N46" s="62">
        <v>88</v>
      </c>
      <c r="O46" s="62">
        <v>94</v>
      </c>
      <c r="P46" s="62">
        <v>97</v>
      </c>
      <c r="Q46" s="62">
        <v>97</v>
      </c>
    </row>
    <row r="47" spans="1:17" x14ac:dyDescent="0.25">
      <c r="A47" s="64" t="s">
        <v>127</v>
      </c>
      <c r="B47" s="62">
        <v>12</v>
      </c>
      <c r="C47" s="62">
        <v>18</v>
      </c>
      <c r="D47" s="62">
        <v>29</v>
      </c>
      <c r="E47" s="62">
        <v>37</v>
      </c>
      <c r="F47" s="62">
        <v>47</v>
      </c>
      <c r="G47" s="62">
        <v>53</v>
      </c>
      <c r="H47" s="62">
        <v>57</v>
      </c>
      <c r="I47" s="62">
        <v>63</v>
      </c>
      <c r="J47" s="62">
        <v>71</v>
      </c>
      <c r="K47" s="62">
        <v>64</v>
      </c>
      <c r="L47" s="62">
        <v>70</v>
      </c>
      <c r="M47" s="62">
        <v>71</v>
      </c>
      <c r="N47" s="62">
        <v>72</v>
      </c>
      <c r="O47" s="62">
        <v>76</v>
      </c>
      <c r="P47" s="62">
        <v>81</v>
      </c>
      <c r="Q47" s="62">
        <v>87</v>
      </c>
    </row>
    <row r="48" spans="1:17" x14ac:dyDescent="0.25">
      <c r="A48" s="64" t="s">
        <v>128</v>
      </c>
      <c r="B48" s="62">
        <v>15</v>
      </c>
      <c r="C48" s="62">
        <v>17</v>
      </c>
      <c r="D48" s="62">
        <v>32</v>
      </c>
      <c r="E48" s="62">
        <v>40</v>
      </c>
      <c r="F48" s="62">
        <v>43</v>
      </c>
      <c r="G48" s="62">
        <v>47</v>
      </c>
      <c r="H48" s="62">
        <v>51</v>
      </c>
      <c r="I48" s="62">
        <v>55</v>
      </c>
      <c r="J48" s="62">
        <v>58</v>
      </c>
      <c r="K48" s="62">
        <v>59</v>
      </c>
      <c r="L48" s="62">
        <v>57</v>
      </c>
      <c r="M48" s="62">
        <v>60</v>
      </c>
      <c r="N48" s="62">
        <v>62</v>
      </c>
      <c r="O48" s="62">
        <v>67</v>
      </c>
      <c r="P48" s="62">
        <v>76</v>
      </c>
      <c r="Q48" s="62">
        <v>82</v>
      </c>
    </row>
    <row r="49" spans="1:17" x14ac:dyDescent="0.25">
      <c r="A49" s="64" t="s">
        <v>129</v>
      </c>
      <c r="B49" s="62">
        <v>11</v>
      </c>
      <c r="C49" s="62">
        <v>17</v>
      </c>
      <c r="D49" s="62">
        <v>29</v>
      </c>
      <c r="E49" s="62">
        <v>39</v>
      </c>
      <c r="F49" s="62">
        <v>48</v>
      </c>
      <c r="G49" s="62">
        <v>51</v>
      </c>
      <c r="H49" s="62">
        <v>54</v>
      </c>
      <c r="I49" s="62">
        <v>58</v>
      </c>
      <c r="J49" s="62">
        <v>62</v>
      </c>
      <c r="K49" s="62">
        <v>65</v>
      </c>
      <c r="L49" s="62">
        <v>66</v>
      </c>
      <c r="M49" s="62">
        <v>68</v>
      </c>
      <c r="N49" s="62">
        <v>71</v>
      </c>
      <c r="O49" s="62">
        <v>76</v>
      </c>
      <c r="P49" s="62">
        <v>82</v>
      </c>
      <c r="Q49" s="62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4D7F-8BC9-4C95-9E0E-E5D5258C02F7}">
  <dimension ref="A1:P49"/>
  <sheetViews>
    <sheetView workbookViewId="0"/>
  </sheetViews>
  <sheetFormatPr defaultRowHeight="15" x14ac:dyDescent="0.25"/>
  <cols>
    <col min="1" max="16384" width="9.140625" style="62"/>
  </cols>
  <sheetData>
    <row r="1" spans="1:16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65</v>
      </c>
    </row>
    <row r="2" spans="1:16" x14ac:dyDescent="0.25">
      <c r="A2" s="64" t="s">
        <v>82</v>
      </c>
      <c r="B2" s="62">
        <v>9</v>
      </c>
      <c r="C2" s="62">
        <v>16</v>
      </c>
      <c r="D2" s="62">
        <v>29</v>
      </c>
      <c r="E2" s="62">
        <v>33</v>
      </c>
      <c r="F2" s="62">
        <v>44</v>
      </c>
      <c r="G2" s="62">
        <v>50</v>
      </c>
      <c r="H2" s="62">
        <v>55</v>
      </c>
      <c r="I2" s="62">
        <v>60</v>
      </c>
      <c r="J2" s="62">
        <v>73</v>
      </c>
      <c r="K2" s="62">
        <v>74</v>
      </c>
      <c r="L2" s="62">
        <v>78</v>
      </c>
      <c r="M2" s="62">
        <v>83</v>
      </c>
      <c r="N2" s="62">
        <v>89</v>
      </c>
      <c r="O2" s="62">
        <v>102</v>
      </c>
      <c r="P2" s="62">
        <v>102</v>
      </c>
    </row>
    <row r="3" spans="1:16" x14ac:dyDescent="0.25">
      <c r="A3" s="64" t="s">
        <v>83</v>
      </c>
      <c r="B3" s="62">
        <v>13</v>
      </c>
      <c r="C3" s="62">
        <v>21</v>
      </c>
      <c r="D3" s="62">
        <v>30</v>
      </c>
      <c r="E3" s="62">
        <v>39</v>
      </c>
      <c r="F3" s="62">
        <v>50</v>
      </c>
      <c r="G3" s="62">
        <v>56</v>
      </c>
      <c r="H3" s="62">
        <v>60</v>
      </c>
      <c r="I3" s="62">
        <v>65</v>
      </c>
      <c r="J3" s="62">
        <v>77</v>
      </c>
      <c r="K3" s="62">
        <v>73</v>
      </c>
      <c r="L3" s="62">
        <v>80</v>
      </c>
      <c r="M3" s="62">
        <v>84</v>
      </c>
      <c r="N3" s="62">
        <v>87</v>
      </c>
      <c r="O3" s="62">
        <v>102</v>
      </c>
      <c r="P3" s="62">
        <v>102</v>
      </c>
    </row>
    <row r="4" spans="1:16" x14ac:dyDescent="0.25">
      <c r="A4" s="64" t="s">
        <v>84</v>
      </c>
      <c r="B4" s="62">
        <v>15</v>
      </c>
      <c r="C4" s="62">
        <v>25</v>
      </c>
      <c r="D4" s="62">
        <v>32</v>
      </c>
      <c r="E4" s="62">
        <v>40</v>
      </c>
      <c r="F4" s="62">
        <v>48</v>
      </c>
      <c r="G4" s="62">
        <v>53</v>
      </c>
      <c r="H4" s="62">
        <v>55</v>
      </c>
      <c r="I4" s="62">
        <v>57</v>
      </c>
      <c r="J4" s="62">
        <v>57</v>
      </c>
      <c r="K4" s="62">
        <v>59</v>
      </c>
      <c r="L4" s="62">
        <v>61</v>
      </c>
      <c r="M4" s="62">
        <v>62</v>
      </c>
      <c r="N4" s="62">
        <v>65</v>
      </c>
      <c r="O4" s="62">
        <v>72</v>
      </c>
      <c r="P4" s="62">
        <v>71</v>
      </c>
    </row>
    <row r="5" spans="1:16" x14ac:dyDescent="0.25">
      <c r="A5" s="64" t="s">
        <v>85</v>
      </c>
      <c r="B5" s="62">
        <v>9</v>
      </c>
      <c r="C5" s="62">
        <v>17</v>
      </c>
      <c r="D5" s="62">
        <v>24</v>
      </c>
      <c r="E5" s="62">
        <v>31</v>
      </c>
      <c r="F5" s="62">
        <v>37</v>
      </c>
      <c r="G5" s="62">
        <v>41</v>
      </c>
      <c r="H5" s="62">
        <v>44</v>
      </c>
      <c r="I5" s="62">
        <v>47</v>
      </c>
      <c r="J5" s="62">
        <v>53</v>
      </c>
      <c r="K5" s="62">
        <v>50</v>
      </c>
      <c r="L5" s="62">
        <v>52</v>
      </c>
      <c r="M5" s="62">
        <v>55</v>
      </c>
      <c r="N5" s="62">
        <v>58</v>
      </c>
      <c r="O5" s="62">
        <v>63</v>
      </c>
      <c r="P5" s="62">
        <v>72</v>
      </c>
    </row>
    <row r="6" spans="1:16" x14ac:dyDescent="0.25">
      <c r="A6" s="64" t="s">
        <v>86</v>
      </c>
      <c r="B6" s="62">
        <v>15</v>
      </c>
      <c r="C6" s="62">
        <v>23</v>
      </c>
      <c r="D6" s="62">
        <v>32</v>
      </c>
      <c r="E6" s="62">
        <v>38</v>
      </c>
      <c r="F6" s="62">
        <v>48</v>
      </c>
      <c r="G6" s="62">
        <v>53</v>
      </c>
      <c r="H6" s="62">
        <v>55</v>
      </c>
      <c r="I6" s="62">
        <v>57</v>
      </c>
      <c r="J6" s="62">
        <v>58</v>
      </c>
      <c r="K6" s="62">
        <v>52</v>
      </c>
      <c r="L6" s="62">
        <v>54</v>
      </c>
      <c r="M6" s="62">
        <v>53</v>
      </c>
      <c r="N6" s="62">
        <v>54</v>
      </c>
      <c r="O6" s="62">
        <v>61</v>
      </c>
      <c r="P6" s="62">
        <v>73</v>
      </c>
    </row>
    <row r="7" spans="1:16" x14ac:dyDescent="0.25">
      <c r="A7" s="64" t="s">
        <v>87</v>
      </c>
      <c r="B7" s="62">
        <v>11</v>
      </c>
      <c r="C7" s="62">
        <v>21</v>
      </c>
      <c r="D7" s="62">
        <v>32</v>
      </c>
      <c r="E7" s="62">
        <v>40</v>
      </c>
      <c r="F7" s="62">
        <v>48</v>
      </c>
      <c r="G7" s="62">
        <v>53</v>
      </c>
      <c r="H7" s="62">
        <v>57</v>
      </c>
      <c r="I7" s="62">
        <v>62</v>
      </c>
      <c r="J7" s="62">
        <v>71</v>
      </c>
      <c r="K7" s="62">
        <v>63</v>
      </c>
      <c r="L7" s="62">
        <v>70</v>
      </c>
      <c r="M7" s="62">
        <v>72</v>
      </c>
      <c r="N7" s="62">
        <v>76</v>
      </c>
      <c r="O7" s="62">
        <v>79</v>
      </c>
      <c r="P7" s="62">
        <v>84</v>
      </c>
    </row>
    <row r="8" spans="1:16" x14ac:dyDescent="0.25">
      <c r="A8" s="64" t="s">
        <v>88</v>
      </c>
      <c r="B8" s="62">
        <v>12</v>
      </c>
      <c r="C8" s="62">
        <v>21</v>
      </c>
      <c r="D8" s="62">
        <v>28</v>
      </c>
      <c r="E8" s="62">
        <v>36</v>
      </c>
      <c r="F8" s="62">
        <v>46</v>
      </c>
      <c r="G8" s="62">
        <v>52</v>
      </c>
      <c r="H8" s="62">
        <v>55</v>
      </c>
      <c r="I8" s="62">
        <v>61</v>
      </c>
      <c r="J8" s="62">
        <v>74</v>
      </c>
      <c r="K8" s="62">
        <v>66</v>
      </c>
      <c r="L8" s="62">
        <v>72</v>
      </c>
      <c r="M8" s="62">
        <v>75</v>
      </c>
      <c r="N8" s="62">
        <v>79</v>
      </c>
      <c r="O8" s="62">
        <v>86</v>
      </c>
      <c r="P8" s="62">
        <v>102</v>
      </c>
    </row>
    <row r="9" spans="1:16" x14ac:dyDescent="0.25">
      <c r="A9" s="64" t="s">
        <v>89</v>
      </c>
      <c r="B9" s="62">
        <v>9</v>
      </c>
      <c r="C9" s="62">
        <v>20</v>
      </c>
      <c r="D9" s="62">
        <v>26</v>
      </c>
      <c r="E9" s="62">
        <v>38</v>
      </c>
      <c r="F9" s="62">
        <v>47</v>
      </c>
      <c r="G9" s="62">
        <v>55</v>
      </c>
      <c r="H9" s="62">
        <v>61</v>
      </c>
      <c r="I9" s="62">
        <v>66</v>
      </c>
      <c r="J9" s="62">
        <v>68</v>
      </c>
      <c r="K9" s="62">
        <v>61</v>
      </c>
      <c r="L9" s="62">
        <v>66</v>
      </c>
      <c r="M9" s="62">
        <v>71</v>
      </c>
      <c r="N9" s="62">
        <v>77</v>
      </c>
      <c r="O9" s="62">
        <v>85</v>
      </c>
      <c r="P9" s="62">
        <v>91</v>
      </c>
    </row>
    <row r="10" spans="1:16" x14ac:dyDescent="0.25">
      <c r="A10" s="64" t="s">
        <v>90</v>
      </c>
      <c r="B10" s="62">
        <v>10</v>
      </c>
      <c r="C10" s="62">
        <v>19</v>
      </c>
      <c r="D10" s="62">
        <v>29</v>
      </c>
      <c r="E10" s="62">
        <v>37</v>
      </c>
      <c r="F10" s="62">
        <v>49</v>
      </c>
      <c r="G10" s="62">
        <v>58</v>
      </c>
      <c r="H10" s="62">
        <v>62</v>
      </c>
      <c r="I10" s="62">
        <v>67</v>
      </c>
      <c r="J10" s="62">
        <v>73</v>
      </c>
      <c r="K10" s="62">
        <v>68</v>
      </c>
      <c r="L10" s="62">
        <v>70</v>
      </c>
      <c r="M10" s="62">
        <v>74</v>
      </c>
      <c r="N10" s="62">
        <v>78</v>
      </c>
      <c r="O10" s="62">
        <v>89</v>
      </c>
      <c r="P10" s="62">
        <v>102</v>
      </c>
    </row>
    <row r="11" spans="1:16" x14ac:dyDescent="0.25">
      <c r="A11" s="64" t="s">
        <v>91</v>
      </c>
      <c r="B11" s="62">
        <v>9</v>
      </c>
      <c r="C11" s="62">
        <v>19</v>
      </c>
      <c r="D11" s="62">
        <v>27</v>
      </c>
      <c r="E11" s="62">
        <v>35</v>
      </c>
      <c r="F11" s="62">
        <v>47</v>
      </c>
      <c r="G11" s="62">
        <v>49</v>
      </c>
      <c r="H11" s="62">
        <v>54</v>
      </c>
      <c r="I11" s="62">
        <v>56</v>
      </c>
      <c r="J11" s="62">
        <v>64</v>
      </c>
      <c r="K11" s="62">
        <v>62</v>
      </c>
      <c r="L11" s="62">
        <v>65</v>
      </c>
      <c r="M11" s="62">
        <v>69</v>
      </c>
      <c r="N11" s="62">
        <v>72</v>
      </c>
      <c r="O11" s="62">
        <v>76</v>
      </c>
      <c r="P11" s="62">
        <v>85</v>
      </c>
    </row>
    <row r="12" spans="1:16" x14ac:dyDescent="0.25">
      <c r="A12" s="64" t="s">
        <v>92</v>
      </c>
      <c r="B12" s="62">
        <v>10</v>
      </c>
      <c r="C12" s="62">
        <v>19</v>
      </c>
      <c r="D12" s="62">
        <v>31</v>
      </c>
      <c r="E12" s="62">
        <v>38</v>
      </c>
      <c r="F12" s="62">
        <v>47</v>
      </c>
      <c r="G12" s="62">
        <v>53</v>
      </c>
      <c r="H12" s="62">
        <v>58</v>
      </c>
      <c r="I12" s="62">
        <v>64</v>
      </c>
      <c r="J12" s="62">
        <v>71</v>
      </c>
      <c r="K12" s="62">
        <v>68</v>
      </c>
      <c r="L12" s="62">
        <v>76</v>
      </c>
      <c r="M12" s="62">
        <v>83</v>
      </c>
      <c r="N12" s="62">
        <v>88</v>
      </c>
      <c r="O12" s="62">
        <v>102</v>
      </c>
      <c r="P12" s="62">
        <v>102</v>
      </c>
    </row>
    <row r="13" spans="1:16" x14ac:dyDescent="0.25">
      <c r="A13" s="64" t="s">
        <v>93</v>
      </c>
      <c r="B13" s="62">
        <v>11</v>
      </c>
      <c r="C13" s="62">
        <v>17</v>
      </c>
      <c r="D13" s="62">
        <v>29</v>
      </c>
      <c r="E13" s="62">
        <v>36</v>
      </c>
      <c r="F13" s="62">
        <v>47</v>
      </c>
      <c r="G13" s="62">
        <v>50</v>
      </c>
      <c r="H13" s="62">
        <v>53</v>
      </c>
      <c r="I13" s="62">
        <v>52</v>
      </c>
      <c r="J13" s="62">
        <v>56</v>
      </c>
      <c r="K13" s="62">
        <v>53</v>
      </c>
      <c r="L13" s="62">
        <v>55</v>
      </c>
      <c r="M13" s="62">
        <v>59</v>
      </c>
      <c r="N13" s="62">
        <v>66</v>
      </c>
      <c r="O13" s="62">
        <v>87</v>
      </c>
      <c r="P13" s="62">
        <v>102</v>
      </c>
    </row>
    <row r="14" spans="1:16" x14ac:dyDescent="0.25">
      <c r="A14" s="64" t="s">
        <v>94</v>
      </c>
      <c r="B14" s="62">
        <v>8</v>
      </c>
      <c r="C14" s="62">
        <v>19</v>
      </c>
      <c r="D14" s="62">
        <v>29</v>
      </c>
      <c r="E14" s="62">
        <v>36</v>
      </c>
      <c r="F14" s="62">
        <v>44</v>
      </c>
      <c r="G14" s="62">
        <v>53</v>
      </c>
      <c r="H14" s="62">
        <v>60</v>
      </c>
      <c r="I14" s="62">
        <v>69</v>
      </c>
      <c r="J14" s="62">
        <v>66</v>
      </c>
      <c r="K14" s="62">
        <v>61</v>
      </c>
      <c r="L14" s="62">
        <v>65</v>
      </c>
      <c r="M14" s="62">
        <v>69</v>
      </c>
      <c r="N14" s="62">
        <v>73</v>
      </c>
      <c r="O14" s="62">
        <v>83</v>
      </c>
      <c r="P14" s="62">
        <v>93</v>
      </c>
    </row>
    <row r="15" spans="1:16" x14ac:dyDescent="0.25">
      <c r="A15" s="64" t="s">
        <v>95</v>
      </c>
      <c r="B15" s="62">
        <v>6</v>
      </c>
      <c r="C15" s="62">
        <v>22</v>
      </c>
      <c r="D15" s="62">
        <v>27</v>
      </c>
      <c r="E15" s="62">
        <v>35</v>
      </c>
      <c r="F15" s="62">
        <v>43</v>
      </c>
      <c r="G15" s="62">
        <v>44</v>
      </c>
      <c r="H15" s="62">
        <v>45</v>
      </c>
      <c r="I15" s="62">
        <v>46</v>
      </c>
      <c r="J15" s="62">
        <v>52</v>
      </c>
      <c r="K15" s="62">
        <v>48</v>
      </c>
      <c r="L15" s="62">
        <v>50</v>
      </c>
      <c r="M15" s="62">
        <v>51</v>
      </c>
      <c r="N15" s="62">
        <v>55</v>
      </c>
      <c r="O15" s="62">
        <v>62</v>
      </c>
      <c r="P15" s="62">
        <v>72</v>
      </c>
    </row>
    <row r="16" spans="1:16" x14ac:dyDescent="0.25">
      <c r="A16" s="64" t="s">
        <v>96</v>
      </c>
      <c r="B16" s="62">
        <v>11</v>
      </c>
      <c r="C16" s="62">
        <v>14</v>
      </c>
      <c r="D16" s="62">
        <v>27</v>
      </c>
      <c r="E16" s="62">
        <v>33</v>
      </c>
      <c r="F16" s="62">
        <v>43</v>
      </c>
      <c r="G16" s="62">
        <v>49</v>
      </c>
      <c r="H16" s="62">
        <v>55</v>
      </c>
      <c r="I16" s="62">
        <v>54</v>
      </c>
      <c r="J16" s="62">
        <v>61</v>
      </c>
      <c r="K16" s="62">
        <v>59</v>
      </c>
      <c r="L16" s="62">
        <v>60</v>
      </c>
      <c r="M16" s="62">
        <v>64</v>
      </c>
      <c r="N16" s="62">
        <v>68</v>
      </c>
      <c r="O16" s="62">
        <v>76</v>
      </c>
      <c r="P16" s="62">
        <v>88</v>
      </c>
    </row>
    <row r="17" spans="1:16" x14ac:dyDescent="0.25">
      <c r="A17" s="64" t="s">
        <v>97</v>
      </c>
      <c r="B17" s="62">
        <v>8</v>
      </c>
      <c r="C17" s="62">
        <v>16</v>
      </c>
      <c r="D17" s="62">
        <v>23</v>
      </c>
      <c r="E17" s="62">
        <v>30</v>
      </c>
      <c r="F17" s="62">
        <v>38</v>
      </c>
      <c r="G17" s="62">
        <v>40</v>
      </c>
      <c r="H17" s="62">
        <v>42</v>
      </c>
      <c r="I17" s="62">
        <v>42</v>
      </c>
      <c r="J17" s="62">
        <v>48</v>
      </c>
      <c r="K17" s="62">
        <v>43</v>
      </c>
      <c r="L17" s="62">
        <v>45</v>
      </c>
      <c r="M17" s="62">
        <v>46</v>
      </c>
      <c r="N17" s="62">
        <v>44</v>
      </c>
      <c r="O17" s="62">
        <v>59</v>
      </c>
      <c r="P17" s="62">
        <v>78</v>
      </c>
    </row>
    <row r="18" spans="1:16" x14ac:dyDescent="0.25">
      <c r="A18" s="64" t="s">
        <v>98</v>
      </c>
      <c r="B18" s="62">
        <v>11</v>
      </c>
      <c r="C18" s="62">
        <v>21</v>
      </c>
      <c r="D18" s="62">
        <v>27</v>
      </c>
      <c r="E18" s="62">
        <v>40</v>
      </c>
      <c r="F18" s="62">
        <v>46</v>
      </c>
      <c r="G18" s="62">
        <v>54</v>
      </c>
      <c r="H18" s="62">
        <v>61</v>
      </c>
      <c r="I18" s="62">
        <v>64</v>
      </c>
      <c r="J18" s="62">
        <v>68</v>
      </c>
      <c r="K18" s="62">
        <v>68</v>
      </c>
      <c r="L18" s="62">
        <v>71</v>
      </c>
      <c r="M18" s="62">
        <v>77</v>
      </c>
      <c r="N18" s="62">
        <v>83</v>
      </c>
      <c r="O18" s="62">
        <v>92</v>
      </c>
      <c r="P18" s="62">
        <v>102</v>
      </c>
    </row>
    <row r="19" spans="1:16" x14ac:dyDescent="0.25">
      <c r="A19" s="64" t="s">
        <v>99</v>
      </c>
      <c r="B19" s="62">
        <v>13</v>
      </c>
      <c r="C19" s="62">
        <v>21</v>
      </c>
      <c r="D19" s="62">
        <v>30</v>
      </c>
      <c r="E19" s="62">
        <v>37</v>
      </c>
      <c r="F19" s="62">
        <v>51</v>
      </c>
      <c r="G19" s="62">
        <v>59</v>
      </c>
      <c r="H19" s="62">
        <v>63</v>
      </c>
      <c r="I19" s="62">
        <v>66</v>
      </c>
      <c r="J19" s="62">
        <v>68</v>
      </c>
      <c r="K19" s="62">
        <v>62</v>
      </c>
      <c r="L19" s="62">
        <v>64</v>
      </c>
      <c r="M19" s="62">
        <v>69</v>
      </c>
      <c r="N19" s="62">
        <v>73</v>
      </c>
      <c r="O19" s="62">
        <v>82</v>
      </c>
      <c r="P19" s="62">
        <v>94</v>
      </c>
    </row>
    <row r="20" spans="1:16" x14ac:dyDescent="0.25">
      <c r="A20" s="64" t="s">
        <v>100</v>
      </c>
      <c r="B20" s="62">
        <v>11</v>
      </c>
      <c r="C20" s="62">
        <v>18</v>
      </c>
      <c r="D20" s="62">
        <v>27</v>
      </c>
      <c r="E20" s="62">
        <v>33</v>
      </c>
      <c r="F20" s="62">
        <v>47</v>
      </c>
      <c r="G20" s="62">
        <v>55</v>
      </c>
      <c r="H20" s="62">
        <v>64</v>
      </c>
      <c r="I20" s="62">
        <v>67</v>
      </c>
      <c r="J20" s="62">
        <v>75</v>
      </c>
      <c r="K20" s="62">
        <v>68</v>
      </c>
      <c r="L20" s="62">
        <v>73</v>
      </c>
      <c r="M20" s="62">
        <v>82</v>
      </c>
      <c r="N20" s="62">
        <v>96</v>
      </c>
      <c r="O20" s="62">
        <v>102</v>
      </c>
      <c r="P20" s="62">
        <v>102</v>
      </c>
    </row>
    <row r="21" spans="1:16" x14ac:dyDescent="0.25">
      <c r="A21" s="64" t="s">
        <v>101</v>
      </c>
      <c r="B21" s="62">
        <v>11</v>
      </c>
      <c r="C21" s="62">
        <v>18</v>
      </c>
      <c r="D21" s="62">
        <v>28</v>
      </c>
      <c r="E21" s="62">
        <v>32</v>
      </c>
      <c r="F21" s="62">
        <v>47</v>
      </c>
      <c r="G21" s="62">
        <v>56</v>
      </c>
      <c r="H21" s="62">
        <v>61</v>
      </c>
      <c r="I21" s="62">
        <v>66</v>
      </c>
      <c r="J21" s="62">
        <v>70</v>
      </c>
      <c r="K21" s="62">
        <v>67</v>
      </c>
      <c r="L21" s="62">
        <v>71</v>
      </c>
      <c r="M21" s="62">
        <v>73</v>
      </c>
      <c r="N21" s="62">
        <v>75</v>
      </c>
      <c r="O21" s="62">
        <v>84</v>
      </c>
      <c r="P21" s="62">
        <v>102</v>
      </c>
    </row>
    <row r="22" spans="1:16" x14ac:dyDescent="0.25">
      <c r="A22" s="64" t="s">
        <v>102</v>
      </c>
      <c r="B22" s="62">
        <v>12</v>
      </c>
      <c r="C22" s="62">
        <v>20</v>
      </c>
      <c r="D22" s="62">
        <v>29</v>
      </c>
      <c r="E22" s="62">
        <v>35</v>
      </c>
      <c r="F22" s="62">
        <v>45</v>
      </c>
      <c r="G22" s="62">
        <v>49</v>
      </c>
      <c r="H22" s="62">
        <v>50</v>
      </c>
      <c r="I22" s="62">
        <v>55</v>
      </c>
      <c r="J22" s="62">
        <v>64</v>
      </c>
      <c r="K22" s="62">
        <v>63</v>
      </c>
      <c r="L22" s="62">
        <v>67</v>
      </c>
      <c r="M22" s="62">
        <v>73</v>
      </c>
      <c r="N22" s="62">
        <v>80</v>
      </c>
      <c r="O22" s="62">
        <v>88</v>
      </c>
      <c r="P22" s="62">
        <v>102</v>
      </c>
    </row>
    <row r="23" spans="1:16" x14ac:dyDescent="0.25">
      <c r="A23" s="64" t="s">
        <v>103</v>
      </c>
      <c r="B23" s="62">
        <v>10</v>
      </c>
      <c r="C23" s="62">
        <v>18</v>
      </c>
      <c r="D23" s="62">
        <v>25</v>
      </c>
      <c r="E23" s="62">
        <v>40</v>
      </c>
      <c r="F23" s="62">
        <v>47</v>
      </c>
      <c r="G23" s="62">
        <v>52</v>
      </c>
      <c r="H23" s="62">
        <v>58</v>
      </c>
      <c r="I23" s="62">
        <v>60</v>
      </c>
      <c r="J23" s="62">
        <v>69</v>
      </c>
      <c r="K23" s="62">
        <v>62</v>
      </c>
      <c r="L23" s="62">
        <v>67</v>
      </c>
      <c r="M23" s="62">
        <v>71</v>
      </c>
      <c r="N23" s="62">
        <v>78</v>
      </c>
      <c r="O23" s="62">
        <v>102</v>
      </c>
      <c r="P23" s="62">
        <v>102</v>
      </c>
    </row>
    <row r="24" spans="1:16" x14ac:dyDescent="0.25">
      <c r="A24" s="64" t="s">
        <v>104</v>
      </c>
      <c r="B24" s="62">
        <v>10</v>
      </c>
      <c r="C24" s="62">
        <v>14</v>
      </c>
      <c r="D24" s="62">
        <v>25</v>
      </c>
      <c r="E24" s="62">
        <v>31</v>
      </c>
      <c r="F24" s="62">
        <v>39</v>
      </c>
      <c r="G24" s="62">
        <v>42</v>
      </c>
      <c r="H24" s="62">
        <v>44</v>
      </c>
      <c r="I24" s="62">
        <v>47</v>
      </c>
      <c r="J24" s="62">
        <v>56</v>
      </c>
      <c r="K24" s="62">
        <v>53</v>
      </c>
      <c r="L24" s="62">
        <v>59</v>
      </c>
      <c r="M24" s="62">
        <v>64</v>
      </c>
      <c r="N24" s="62">
        <v>73</v>
      </c>
      <c r="O24" s="62">
        <v>97</v>
      </c>
      <c r="P24" s="62">
        <v>99</v>
      </c>
    </row>
    <row r="25" spans="1:16" x14ac:dyDescent="0.25">
      <c r="A25" s="64" t="s">
        <v>105</v>
      </c>
      <c r="B25" s="62">
        <v>10</v>
      </c>
      <c r="C25" s="62">
        <v>17</v>
      </c>
      <c r="D25" s="62">
        <v>23</v>
      </c>
      <c r="E25" s="62">
        <v>32</v>
      </c>
      <c r="F25" s="62">
        <v>40</v>
      </c>
      <c r="G25" s="62">
        <v>49</v>
      </c>
      <c r="H25" s="62">
        <v>58</v>
      </c>
      <c r="I25" s="62">
        <v>69</v>
      </c>
      <c r="J25" s="62">
        <v>73</v>
      </c>
      <c r="K25" s="62">
        <v>64</v>
      </c>
      <c r="L25" s="62">
        <v>71</v>
      </c>
      <c r="M25" s="62">
        <v>79</v>
      </c>
      <c r="N25" s="62">
        <v>87</v>
      </c>
      <c r="O25" s="62">
        <v>102</v>
      </c>
      <c r="P25" s="62">
        <v>102</v>
      </c>
    </row>
    <row r="26" spans="1:16" x14ac:dyDescent="0.25">
      <c r="A26" s="64" t="s">
        <v>106</v>
      </c>
      <c r="B26" s="62">
        <v>12</v>
      </c>
      <c r="C26" s="62">
        <v>23</v>
      </c>
      <c r="D26" s="62">
        <v>28</v>
      </c>
      <c r="E26" s="62">
        <v>35</v>
      </c>
      <c r="F26" s="62">
        <v>50</v>
      </c>
      <c r="G26" s="62">
        <v>57</v>
      </c>
      <c r="H26" s="62">
        <v>61</v>
      </c>
      <c r="I26" s="62">
        <v>65</v>
      </c>
      <c r="J26" s="62">
        <v>72</v>
      </c>
      <c r="K26" s="62">
        <v>67</v>
      </c>
      <c r="L26" s="62">
        <v>72</v>
      </c>
      <c r="M26" s="62">
        <v>77</v>
      </c>
      <c r="N26" s="62">
        <v>84</v>
      </c>
      <c r="O26" s="62">
        <v>95</v>
      </c>
      <c r="P26" s="62">
        <v>102</v>
      </c>
    </row>
    <row r="27" spans="1:16" x14ac:dyDescent="0.25">
      <c r="A27" s="64" t="s">
        <v>107</v>
      </c>
      <c r="B27" s="62">
        <v>12</v>
      </c>
      <c r="C27" s="62">
        <v>22</v>
      </c>
      <c r="D27" s="62">
        <v>33</v>
      </c>
      <c r="E27" s="62">
        <v>40</v>
      </c>
      <c r="F27" s="62">
        <v>48</v>
      </c>
      <c r="G27" s="62">
        <v>55</v>
      </c>
      <c r="H27" s="62">
        <v>62</v>
      </c>
      <c r="I27" s="62">
        <v>68</v>
      </c>
      <c r="J27" s="62">
        <v>73</v>
      </c>
      <c r="K27" s="62">
        <v>65</v>
      </c>
      <c r="L27" s="62">
        <v>70</v>
      </c>
      <c r="M27" s="62">
        <v>76</v>
      </c>
      <c r="N27" s="62">
        <v>81</v>
      </c>
      <c r="O27" s="62">
        <v>92</v>
      </c>
      <c r="P27" s="62">
        <v>102</v>
      </c>
    </row>
    <row r="28" spans="1:16" x14ac:dyDescent="0.25">
      <c r="A28" s="64" t="s">
        <v>108</v>
      </c>
      <c r="B28" s="62">
        <v>11</v>
      </c>
      <c r="C28" s="62">
        <v>19</v>
      </c>
      <c r="D28" s="62">
        <v>27</v>
      </c>
      <c r="E28" s="62">
        <v>30</v>
      </c>
      <c r="F28" s="62">
        <v>47</v>
      </c>
      <c r="G28" s="62">
        <v>57</v>
      </c>
      <c r="H28" s="62">
        <v>67</v>
      </c>
      <c r="I28" s="62">
        <v>70</v>
      </c>
      <c r="J28" s="62">
        <v>72</v>
      </c>
      <c r="K28" s="62">
        <v>69</v>
      </c>
      <c r="L28" s="62">
        <v>74</v>
      </c>
      <c r="M28" s="62">
        <v>80</v>
      </c>
      <c r="N28" s="62">
        <v>89</v>
      </c>
      <c r="O28" s="62">
        <v>102</v>
      </c>
      <c r="P28" s="62">
        <v>102</v>
      </c>
    </row>
    <row r="29" spans="1:16" x14ac:dyDescent="0.25">
      <c r="A29" s="64" t="s">
        <v>109</v>
      </c>
      <c r="B29" s="62">
        <v>10</v>
      </c>
      <c r="C29" s="62">
        <v>19</v>
      </c>
      <c r="D29" s="62">
        <v>27</v>
      </c>
      <c r="E29" s="62">
        <v>35</v>
      </c>
      <c r="F29" s="62">
        <v>48</v>
      </c>
      <c r="G29" s="62">
        <v>58</v>
      </c>
      <c r="H29" s="62">
        <v>66</v>
      </c>
      <c r="I29" s="62">
        <v>72</v>
      </c>
      <c r="J29" s="62">
        <v>79</v>
      </c>
      <c r="K29" s="62">
        <v>79</v>
      </c>
      <c r="L29" s="62">
        <v>86</v>
      </c>
      <c r="M29" s="62">
        <v>95</v>
      </c>
      <c r="N29" s="62">
        <v>102</v>
      </c>
      <c r="O29" s="62">
        <v>102</v>
      </c>
      <c r="P29" s="62">
        <v>102</v>
      </c>
    </row>
    <row r="30" spans="1:16" x14ac:dyDescent="0.25">
      <c r="A30" s="64" t="s">
        <v>110</v>
      </c>
      <c r="B30" s="62">
        <v>11</v>
      </c>
      <c r="C30" s="62">
        <v>18</v>
      </c>
      <c r="D30" s="62">
        <v>28</v>
      </c>
      <c r="E30" s="62">
        <v>37</v>
      </c>
      <c r="F30" s="62">
        <v>41</v>
      </c>
      <c r="G30" s="62">
        <v>43</v>
      </c>
      <c r="H30" s="62">
        <v>45</v>
      </c>
      <c r="I30" s="62">
        <v>45</v>
      </c>
      <c r="J30" s="62">
        <v>56</v>
      </c>
      <c r="K30" s="62">
        <v>55</v>
      </c>
      <c r="L30" s="62">
        <v>59</v>
      </c>
      <c r="M30" s="62">
        <v>63</v>
      </c>
      <c r="N30" s="62">
        <v>70</v>
      </c>
      <c r="O30" s="62">
        <v>87</v>
      </c>
      <c r="P30" s="62">
        <v>102</v>
      </c>
    </row>
    <row r="31" spans="1:16" x14ac:dyDescent="0.25">
      <c r="A31" s="64" t="s">
        <v>111</v>
      </c>
      <c r="B31" s="62">
        <v>12</v>
      </c>
      <c r="C31" s="62">
        <v>20</v>
      </c>
      <c r="D31" s="62">
        <v>27</v>
      </c>
      <c r="E31" s="62">
        <v>34</v>
      </c>
      <c r="F31" s="62">
        <v>41</v>
      </c>
      <c r="G31" s="62">
        <v>43</v>
      </c>
      <c r="H31" s="62">
        <v>46</v>
      </c>
      <c r="I31" s="62">
        <v>47</v>
      </c>
      <c r="J31" s="62">
        <v>59</v>
      </c>
      <c r="K31" s="62">
        <v>58</v>
      </c>
      <c r="L31" s="62">
        <v>60</v>
      </c>
      <c r="M31" s="62">
        <v>66</v>
      </c>
      <c r="N31" s="62">
        <v>71</v>
      </c>
      <c r="O31" s="62">
        <v>85</v>
      </c>
      <c r="P31" s="62">
        <v>102</v>
      </c>
    </row>
    <row r="32" spans="1:16" x14ac:dyDescent="0.25">
      <c r="A32" s="64" t="s">
        <v>112</v>
      </c>
      <c r="B32" s="62">
        <v>12</v>
      </c>
      <c r="C32" s="62">
        <v>18</v>
      </c>
      <c r="D32" s="62">
        <v>27</v>
      </c>
      <c r="E32" s="62">
        <v>30</v>
      </c>
      <c r="F32" s="62">
        <v>38</v>
      </c>
      <c r="G32" s="62">
        <v>45</v>
      </c>
      <c r="H32" s="62">
        <v>47</v>
      </c>
      <c r="I32" s="62">
        <v>46</v>
      </c>
      <c r="J32" s="62">
        <v>51</v>
      </c>
      <c r="K32" s="62">
        <v>53</v>
      </c>
      <c r="L32" s="62">
        <v>56</v>
      </c>
      <c r="M32" s="62">
        <v>61</v>
      </c>
      <c r="N32" s="62">
        <v>66</v>
      </c>
      <c r="O32" s="62">
        <v>76</v>
      </c>
      <c r="P32" s="62">
        <v>84</v>
      </c>
    </row>
    <row r="33" spans="1:16" x14ac:dyDescent="0.25">
      <c r="A33" s="64" t="s">
        <v>113</v>
      </c>
      <c r="B33" s="62">
        <v>11</v>
      </c>
      <c r="C33" s="62">
        <v>21</v>
      </c>
      <c r="D33" s="62">
        <v>28</v>
      </c>
      <c r="E33" s="62">
        <v>35</v>
      </c>
      <c r="F33" s="62">
        <v>43</v>
      </c>
      <c r="G33" s="62">
        <v>48</v>
      </c>
      <c r="H33" s="62">
        <v>51</v>
      </c>
      <c r="I33" s="62">
        <v>53</v>
      </c>
      <c r="J33" s="62">
        <v>57</v>
      </c>
      <c r="K33" s="62">
        <v>60</v>
      </c>
      <c r="L33" s="62">
        <v>62</v>
      </c>
      <c r="M33" s="62">
        <v>64</v>
      </c>
      <c r="N33" s="62">
        <v>65</v>
      </c>
      <c r="O33" s="62">
        <v>78</v>
      </c>
      <c r="P33" s="62">
        <v>85</v>
      </c>
    </row>
    <row r="34" spans="1:16" x14ac:dyDescent="0.25">
      <c r="A34" s="64" t="s">
        <v>114</v>
      </c>
      <c r="B34" s="62">
        <v>12</v>
      </c>
      <c r="C34" s="62">
        <v>22</v>
      </c>
      <c r="D34" s="62">
        <v>32</v>
      </c>
      <c r="E34" s="62">
        <v>40</v>
      </c>
      <c r="F34" s="62">
        <v>47</v>
      </c>
      <c r="G34" s="62">
        <v>53</v>
      </c>
      <c r="H34" s="62">
        <v>58</v>
      </c>
      <c r="I34" s="62">
        <v>64</v>
      </c>
      <c r="J34" s="62">
        <v>69</v>
      </c>
      <c r="K34" s="62">
        <v>64</v>
      </c>
      <c r="L34" s="62">
        <v>69</v>
      </c>
      <c r="M34" s="62">
        <v>75</v>
      </c>
      <c r="N34" s="62">
        <v>81</v>
      </c>
      <c r="O34" s="62">
        <v>90</v>
      </c>
      <c r="P34" s="62">
        <v>102</v>
      </c>
    </row>
    <row r="35" spans="1:16" x14ac:dyDescent="0.25">
      <c r="A35" s="64" t="s">
        <v>115</v>
      </c>
      <c r="B35" s="62">
        <v>11</v>
      </c>
      <c r="C35" s="62">
        <v>18</v>
      </c>
      <c r="D35" s="62">
        <v>30</v>
      </c>
      <c r="E35" s="62">
        <v>40</v>
      </c>
      <c r="F35" s="62">
        <v>50</v>
      </c>
      <c r="G35" s="62">
        <v>61</v>
      </c>
      <c r="H35" s="62">
        <v>74</v>
      </c>
      <c r="I35" s="62">
        <v>84</v>
      </c>
      <c r="J35" s="62">
        <v>88</v>
      </c>
      <c r="K35" s="62">
        <v>89</v>
      </c>
      <c r="L35" s="62">
        <v>92</v>
      </c>
      <c r="M35" s="62">
        <v>98</v>
      </c>
      <c r="N35" s="62">
        <v>102</v>
      </c>
      <c r="O35" s="62">
        <v>102</v>
      </c>
      <c r="P35" s="62">
        <v>102</v>
      </c>
    </row>
    <row r="36" spans="1:16" x14ac:dyDescent="0.25">
      <c r="A36" s="64" t="s">
        <v>116</v>
      </c>
      <c r="B36" s="62">
        <v>10</v>
      </c>
      <c r="C36" s="62">
        <v>21</v>
      </c>
      <c r="D36" s="62">
        <v>29</v>
      </c>
      <c r="E36" s="62">
        <v>41</v>
      </c>
      <c r="F36" s="62">
        <v>55</v>
      </c>
      <c r="G36" s="62">
        <v>61</v>
      </c>
      <c r="H36" s="62">
        <v>68</v>
      </c>
      <c r="I36" s="62">
        <v>76</v>
      </c>
      <c r="J36" s="62">
        <v>86</v>
      </c>
      <c r="K36" s="62">
        <v>102</v>
      </c>
      <c r="L36" s="62">
        <v>102</v>
      </c>
      <c r="M36" s="62">
        <v>102</v>
      </c>
      <c r="N36" s="62">
        <v>102</v>
      </c>
      <c r="O36" s="62">
        <v>102</v>
      </c>
      <c r="P36" s="62">
        <v>102</v>
      </c>
    </row>
    <row r="37" spans="1:16" x14ac:dyDescent="0.25">
      <c r="A37" s="64" t="s">
        <v>117</v>
      </c>
      <c r="B37" s="62">
        <v>12</v>
      </c>
      <c r="C37" s="62">
        <v>20</v>
      </c>
      <c r="D37" s="62">
        <v>33</v>
      </c>
      <c r="E37" s="62">
        <v>37</v>
      </c>
      <c r="F37" s="62">
        <v>46</v>
      </c>
      <c r="G37" s="62">
        <v>51</v>
      </c>
      <c r="H37" s="62">
        <v>59</v>
      </c>
      <c r="I37" s="62">
        <v>65</v>
      </c>
      <c r="J37" s="62">
        <v>70</v>
      </c>
      <c r="K37" s="62">
        <v>67</v>
      </c>
      <c r="L37" s="62">
        <v>69</v>
      </c>
      <c r="M37" s="62">
        <v>73</v>
      </c>
      <c r="N37" s="62">
        <v>78</v>
      </c>
      <c r="O37" s="62">
        <v>102</v>
      </c>
      <c r="P37" s="62">
        <v>102</v>
      </c>
    </row>
    <row r="38" spans="1:16" x14ac:dyDescent="0.25">
      <c r="A38" s="64" t="s">
        <v>118</v>
      </c>
      <c r="B38" s="62">
        <v>9</v>
      </c>
      <c r="C38" s="62">
        <v>18</v>
      </c>
      <c r="D38" s="62">
        <v>29</v>
      </c>
      <c r="E38" s="62">
        <v>42</v>
      </c>
      <c r="F38" s="62">
        <v>49</v>
      </c>
      <c r="G38" s="62">
        <v>54</v>
      </c>
      <c r="H38" s="62">
        <v>57</v>
      </c>
      <c r="I38" s="62">
        <v>58</v>
      </c>
      <c r="J38" s="62">
        <v>64</v>
      </c>
      <c r="K38" s="62">
        <v>68</v>
      </c>
      <c r="L38" s="62">
        <v>70</v>
      </c>
      <c r="M38" s="62">
        <v>71</v>
      </c>
      <c r="N38" s="62">
        <v>73</v>
      </c>
      <c r="O38" s="62">
        <v>84</v>
      </c>
      <c r="P38" s="62">
        <v>100</v>
      </c>
    </row>
    <row r="39" spans="1:16" x14ac:dyDescent="0.25">
      <c r="A39" s="64" t="s">
        <v>119</v>
      </c>
      <c r="B39" s="62">
        <v>12</v>
      </c>
      <c r="C39" s="62">
        <v>23</v>
      </c>
      <c r="D39" s="62">
        <v>32</v>
      </c>
      <c r="E39" s="62">
        <v>42</v>
      </c>
      <c r="F39" s="62">
        <v>49</v>
      </c>
      <c r="G39" s="62">
        <v>58</v>
      </c>
      <c r="H39" s="62">
        <v>64</v>
      </c>
      <c r="I39" s="62">
        <v>72</v>
      </c>
      <c r="J39" s="62">
        <v>65</v>
      </c>
      <c r="K39" s="62">
        <v>64</v>
      </c>
      <c r="L39" s="62">
        <v>69</v>
      </c>
      <c r="M39" s="62">
        <v>72</v>
      </c>
      <c r="N39" s="62">
        <v>74</v>
      </c>
      <c r="O39" s="62">
        <v>82</v>
      </c>
      <c r="P39" s="62">
        <v>91</v>
      </c>
    </row>
    <row r="40" spans="1:16" x14ac:dyDescent="0.25">
      <c r="A40" s="64" t="s">
        <v>120</v>
      </c>
      <c r="B40" s="62">
        <v>9</v>
      </c>
      <c r="C40" s="62">
        <v>20</v>
      </c>
      <c r="D40" s="62">
        <v>28</v>
      </c>
      <c r="E40" s="62">
        <v>33</v>
      </c>
      <c r="F40" s="62">
        <v>38</v>
      </c>
      <c r="G40" s="62">
        <v>43</v>
      </c>
      <c r="H40" s="62">
        <v>49</v>
      </c>
      <c r="I40" s="62">
        <v>55</v>
      </c>
      <c r="J40" s="62">
        <v>58</v>
      </c>
      <c r="K40" s="62">
        <v>61</v>
      </c>
      <c r="L40" s="62">
        <v>60</v>
      </c>
      <c r="M40" s="62">
        <v>62</v>
      </c>
      <c r="N40" s="62">
        <v>62</v>
      </c>
      <c r="O40" s="62">
        <v>73</v>
      </c>
      <c r="P40" s="62">
        <v>87</v>
      </c>
    </row>
    <row r="41" spans="1:16" x14ac:dyDescent="0.25">
      <c r="A41" s="64" t="s">
        <v>121</v>
      </c>
      <c r="B41" s="62">
        <v>10</v>
      </c>
      <c r="C41" s="62">
        <v>19</v>
      </c>
      <c r="D41" s="62">
        <v>26</v>
      </c>
      <c r="E41" s="62">
        <v>35</v>
      </c>
      <c r="F41" s="62">
        <v>42</v>
      </c>
      <c r="G41" s="62">
        <v>47</v>
      </c>
      <c r="H41" s="62">
        <v>49</v>
      </c>
      <c r="I41" s="62">
        <v>52</v>
      </c>
      <c r="J41" s="62">
        <v>52</v>
      </c>
      <c r="K41" s="62">
        <v>51</v>
      </c>
      <c r="L41" s="62">
        <v>52</v>
      </c>
      <c r="M41" s="62">
        <v>52</v>
      </c>
      <c r="N41" s="62">
        <v>54</v>
      </c>
      <c r="O41" s="62">
        <v>65</v>
      </c>
      <c r="P41" s="62">
        <v>72</v>
      </c>
    </row>
    <row r="42" spans="1:16" x14ac:dyDescent="0.25">
      <c r="A42" s="64" t="s">
        <v>122</v>
      </c>
      <c r="B42" s="62">
        <v>9</v>
      </c>
      <c r="C42" s="62">
        <v>19</v>
      </c>
      <c r="D42" s="62">
        <v>26</v>
      </c>
      <c r="E42" s="62">
        <v>39</v>
      </c>
      <c r="F42" s="62">
        <v>44</v>
      </c>
      <c r="G42" s="62">
        <v>52</v>
      </c>
      <c r="H42" s="62">
        <v>59</v>
      </c>
      <c r="I42" s="62">
        <v>66</v>
      </c>
      <c r="J42" s="62">
        <v>63</v>
      </c>
      <c r="K42" s="62">
        <v>62</v>
      </c>
      <c r="L42" s="62">
        <v>64</v>
      </c>
      <c r="M42" s="62">
        <v>69</v>
      </c>
      <c r="N42" s="62">
        <v>72</v>
      </c>
      <c r="O42" s="62">
        <v>84</v>
      </c>
      <c r="P42" s="62">
        <v>92</v>
      </c>
    </row>
    <row r="43" spans="1:16" x14ac:dyDescent="0.25">
      <c r="A43" s="64" t="s">
        <v>123</v>
      </c>
      <c r="B43" s="62">
        <v>10</v>
      </c>
      <c r="C43" s="62">
        <v>19</v>
      </c>
      <c r="D43" s="62">
        <v>27</v>
      </c>
      <c r="E43" s="62">
        <v>40</v>
      </c>
      <c r="F43" s="62">
        <v>46</v>
      </c>
      <c r="G43" s="62">
        <v>53</v>
      </c>
      <c r="H43" s="62">
        <v>62</v>
      </c>
      <c r="I43" s="62">
        <v>70</v>
      </c>
      <c r="J43" s="62">
        <v>70</v>
      </c>
      <c r="K43" s="62">
        <v>74</v>
      </c>
      <c r="L43" s="62">
        <v>77</v>
      </c>
      <c r="M43" s="62">
        <v>81</v>
      </c>
      <c r="N43" s="62">
        <v>85</v>
      </c>
      <c r="O43" s="62">
        <v>102</v>
      </c>
      <c r="P43" s="62">
        <v>102</v>
      </c>
    </row>
    <row r="44" spans="1:16" x14ac:dyDescent="0.25">
      <c r="A44" s="64" t="s">
        <v>124</v>
      </c>
      <c r="B44" s="62">
        <v>9</v>
      </c>
      <c r="C44" s="62">
        <v>22</v>
      </c>
      <c r="D44" s="62">
        <v>31</v>
      </c>
      <c r="E44" s="62">
        <v>34</v>
      </c>
      <c r="F44" s="62">
        <v>45</v>
      </c>
      <c r="G44" s="62">
        <v>51</v>
      </c>
      <c r="H44" s="62">
        <v>56</v>
      </c>
      <c r="I44" s="62">
        <v>58</v>
      </c>
      <c r="J44" s="62">
        <v>64</v>
      </c>
      <c r="K44" s="62">
        <v>65</v>
      </c>
      <c r="L44" s="62">
        <v>67</v>
      </c>
      <c r="M44" s="62">
        <v>71</v>
      </c>
      <c r="N44" s="62">
        <v>74</v>
      </c>
      <c r="O44" s="62">
        <v>86</v>
      </c>
      <c r="P44" s="62">
        <v>97</v>
      </c>
    </row>
    <row r="45" spans="1:16" x14ac:dyDescent="0.25">
      <c r="A45" s="64" t="s">
        <v>125</v>
      </c>
      <c r="B45" s="62">
        <v>10</v>
      </c>
      <c r="C45" s="62">
        <v>22</v>
      </c>
      <c r="D45" s="62">
        <v>28</v>
      </c>
      <c r="E45" s="62">
        <v>37</v>
      </c>
      <c r="F45" s="62">
        <v>46</v>
      </c>
      <c r="G45" s="62">
        <v>51</v>
      </c>
      <c r="H45" s="62">
        <v>55</v>
      </c>
      <c r="I45" s="62">
        <v>57</v>
      </c>
      <c r="J45" s="62">
        <v>62</v>
      </c>
      <c r="K45" s="62">
        <v>59</v>
      </c>
      <c r="L45" s="62">
        <v>61</v>
      </c>
      <c r="M45" s="62">
        <v>63</v>
      </c>
      <c r="N45" s="62">
        <v>66</v>
      </c>
      <c r="O45" s="62">
        <v>80</v>
      </c>
      <c r="P45" s="62">
        <v>88</v>
      </c>
    </row>
    <row r="46" spans="1:16" x14ac:dyDescent="0.25">
      <c r="A46" s="64" t="s">
        <v>126</v>
      </c>
      <c r="B46" s="62">
        <v>6</v>
      </c>
      <c r="C46" s="62">
        <v>14</v>
      </c>
      <c r="D46" s="62">
        <v>26</v>
      </c>
      <c r="E46" s="62">
        <v>34</v>
      </c>
      <c r="F46" s="62">
        <v>41</v>
      </c>
      <c r="G46" s="62">
        <v>49</v>
      </c>
      <c r="H46" s="62">
        <v>56</v>
      </c>
      <c r="I46" s="62">
        <v>63</v>
      </c>
      <c r="J46" s="62">
        <v>65</v>
      </c>
      <c r="K46" s="62">
        <v>65</v>
      </c>
      <c r="L46" s="62">
        <v>71</v>
      </c>
      <c r="M46" s="62">
        <v>79</v>
      </c>
      <c r="N46" s="62">
        <v>87</v>
      </c>
      <c r="O46" s="62">
        <v>97</v>
      </c>
      <c r="P46" s="62">
        <v>102</v>
      </c>
    </row>
    <row r="47" spans="1:16" x14ac:dyDescent="0.25">
      <c r="A47" s="64" t="s">
        <v>127</v>
      </c>
      <c r="B47" s="62">
        <v>10</v>
      </c>
      <c r="C47" s="62">
        <v>16</v>
      </c>
      <c r="D47" s="62">
        <v>28</v>
      </c>
      <c r="E47" s="62">
        <v>33</v>
      </c>
      <c r="F47" s="62">
        <v>43</v>
      </c>
      <c r="G47" s="62">
        <v>48</v>
      </c>
      <c r="H47" s="62">
        <v>51</v>
      </c>
      <c r="I47" s="62">
        <v>54</v>
      </c>
      <c r="J47" s="62">
        <v>58</v>
      </c>
      <c r="K47" s="62">
        <v>55</v>
      </c>
      <c r="L47" s="62">
        <v>60</v>
      </c>
      <c r="M47" s="62">
        <v>65</v>
      </c>
      <c r="N47" s="62">
        <v>72</v>
      </c>
      <c r="O47" s="62">
        <v>79</v>
      </c>
      <c r="P47" s="62">
        <v>82</v>
      </c>
    </row>
    <row r="48" spans="1:16" x14ac:dyDescent="0.25">
      <c r="A48" s="64" t="s">
        <v>128</v>
      </c>
      <c r="B48" s="62">
        <v>13</v>
      </c>
      <c r="C48" s="62">
        <v>17</v>
      </c>
      <c r="D48" s="62">
        <v>28</v>
      </c>
      <c r="E48" s="62">
        <v>35</v>
      </c>
      <c r="F48" s="62">
        <v>36</v>
      </c>
      <c r="G48" s="62">
        <v>36</v>
      </c>
      <c r="H48" s="62">
        <v>38</v>
      </c>
      <c r="I48" s="62">
        <v>39</v>
      </c>
      <c r="J48" s="62">
        <v>51</v>
      </c>
      <c r="K48" s="62">
        <v>46</v>
      </c>
      <c r="L48" s="62">
        <v>52</v>
      </c>
      <c r="M48" s="62">
        <v>54</v>
      </c>
      <c r="N48" s="62">
        <v>58</v>
      </c>
      <c r="O48" s="62">
        <v>64</v>
      </c>
      <c r="P48" s="62">
        <v>71</v>
      </c>
    </row>
    <row r="49" spans="1:16" x14ac:dyDescent="0.25">
      <c r="A49" s="64" t="s">
        <v>129</v>
      </c>
      <c r="B49" s="62">
        <v>7</v>
      </c>
      <c r="C49" s="62">
        <v>18</v>
      </c>
      <c r="D49" s="62">
        <v>24</v>
      </c>
      <c r="E49" s="62">
        <v>36</v>
      </c>
      <c r="F49" s="62">
        <v>42</v>
      </c>
      <c r="G49" s="62">
        <v>45</v>
      </c>
      <c r="H49" s="62">
        <v>47</v>
      </c>
      <c r="I49" s="62">
        <v>43</v>
      </c>
      <c r="J49" s="62">
        <v>51</v>
      </c>
      <c r="K49" s="62">
        <v>52</v>
      </c>
      <c r="L49" s="62">
        <v>53</v>
      </c>
      <c r="M49" s="62">
        <v>55</v>
      </c>
      <c r="N49" s="62">
        <v>57</v>
      </c>
      <c r="O49" s="62">
        <v>67</v>
      </c>
      <c r="P49" s="62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74C5-88CE-4452-BD09-666E3AE03008}">
  <dimension ref="A1:D48"/>
  <sheetViews>
    <sheetView workbookViewId="0">
      <selection activeCell="D67" sqref="D67"/>
    </sheetView>
  </sheetViews>
  <sheetFormatPr defaultRowHeight="15" x14ac:dyDescent="0.25"/>
  <cols>
    <col min="1" max="16384" width="9.140625" style="62"/>
  </cols>
  <sheetData>
    <row r="1" spans="1:4" x14ac:dyDescent="0.25">
      <c r="A1" s="62">
        <v>1</v>
      </c>
      <c r="B1" s="62">
        <v>1</v>
      </c>
      <c r="C1" s="62" t="s">
        <v>63</v>
      </c>
      <c r="D1" s="62" t="str">
        <f t="shared" ref="D1:D48" si="0">_xlfn.CONCAT("p",TEXT(A1,"00"),"-",TEXT(B1,"0"),C1)</f>
        <v>p01-1N</v>
      </c>
    </row>
    <row r="2" spans="1:4" x14ac:dyDescent="0.25">
      <c r="A2" s="62">
        <v>1</v>
      </c>
      <c r="B2" s="62">
        <v>1</v>
      </c>
      <c r="C2" s="62" t="s">
        <v>64</v>
      </c>
      <c r="D2" s="62" t="str">
        <f t="shared" si="0"/>
        <v>p01-1S</v>
      </c>
    </row>
    <row r="3" spans="1:4" x14ac:dyDescent="0.25">
      <c r="A3" s="62">
        <v>1</v>
      </c>
      <c r="B3" s="62">
        <v>2</v>
      </c>
      <c r="C3" s="62" t="s">
        <v>63</v>
      </c>
      <c r="D3" s="62" t="str">
        <f t="shared" si="0"/>
        <v>p01-2N</v>
      </c>
    </row>
    <row r="4" spans="1:4" x14ac:dyDescent="0.25">
      <c r="A4" s="62">
        <v>1</v>
      </c>
      <c r="B4" s="62">
        <v>2</v>
      </c>
      <c r="C4" s="62" t="s">
        <v>64</v>
      </c>
      <c r="D4" s="62" t="str">
        <f t="shared" si="0"/>
        <v>p01-2S</v>
      </c>
    </row>
    <row r="5" spans="1:4" x14ac:dyDescent="0.25">
      <c r="A5" s="62">
        <v>1</v>
      </c>
      <c r="B5" s="62">
        <v>3</v>
      </c>
      <c r="C5" s="62" t="s">
        <v>63</v>
      </c>
      <c r="D5" s="62" t="str">
        <f t="shared" si="0"/>
        <v>p01-3N</v>
      </c>
    </row>
    <row r="6" spans="1:4" x14ac:dyDescent="0.25">
      <c r="A6" s="62">
        <v>1</v>
      </c>
      <c r="B6" s="62">
        <v>3</v>
      </c>
      <c r="C6" s="62" t="s">
        <v>64</v>
      </c>
      <c r="D6" s="62" t="str">
        <f t="shared" si="0"/>
        <v>p01-3S</v>
      </c>
    </row>
    <row r="7" spans="1:4" x14ac:dyDescent="0.25">
      <c r="A7" s="62">
        <v>1</v>
      </c>
      <c r="B7" s="62">
        <v>4</v>
      </c>
      <c r="C7" s="62" t="s">
        <v>63</v>
      </c>
      <c r="D7" s="62" t="str">
        <f t="shared" si="0"/>
        <v>p01-4N</v>
      </c>
    </row>
    <row r="8" spans="1:4" x14ac:dyDescent="0.25">
      <c r="A8" s="62">
        <v>1</v>
      </c>
      <c r="B8" s="62">
        <v>4</v>
      </c>
      <c r="C8" s="62" t="s">
        <v>64</v>
      </c>
      <c r="D8" s="62" t="str">
        <f t="shared" si="0"/>
        <v>p01-4S</v>
      </c>
    </row>
    <row r="9" spans="1:4" x14ac:dyDescent="0.25">
      <c r="A9" s="62">
        <v>2</v>
      </c>
      <c r="B9" s="62">
        <v>4</v>
      </c>
      <c r="C9" s="62" t="s">
        <v>64</v>
      </c>
      <c r="D9" s="62" t="str">
        <f t="shared" si="0"/>
        <v>p02-4S</v>
      </c>
    </row>
    <row r="10" spans="1:4" x14ac:dyDescent="0.25">
      <c r="A10" s="62">
        <v>2</v>
      </c>
      <c r="B10" s="62">
        <v>4</v>
      </c>
      <c r="C10" s="62" t="s">
        <v>63</v>
      </c>
      <c r="D10" s="62" t="str">
        <f t="shared" si="0"/>
        <v>p02-4N</v>
      </c>
    </row>
    <row r="11" spans="1:4" x14ac:dyDescent="0.25">
      <c r="A11" s="62">
        <v>2</v>
      </c>
      <c r="B11" s="62">
        <v>3</v>
      </c>
      <c r="C11" s="62" t="s">
        <v>64</v>
      </c>
      <c r="D11" s="62" t="str">
        <f t="shared" si="0"/>
        <v>p02-3S</v>
      </c>
    </row>
    <row r="12" spans="1:4" x14ac:dyDescent="0.25">
      <c r="A12" s="62">
        <v>2</v>
      </c>
      <c r="B12" s="62">
        <v>3</v>
      </c>
      <c r="C12" s="62" t="s">
        <v>63</v>
      </c>
      <c r="D12" s="62" t="str">
        <f t="shared" si="0"/>
        <v>p02-3N</v>
      </c>
    </row>
    <row r="13" spans="1:4" x14ac:dyDescent="0.25">
      <c r="A13" s="62">
        <v>2</v>
      </c>
      <c r="B13" s="62">
        <v>2</v>
      </c>
      <c r="C13" s="62" t="s">
        <v>64</v>
      </c>
      <c r="D13" s="62" t="str">
        <f t="shared" si="0"/>
        <v>p02-2S</v>
      </c>
    </row>
    <row r="14" spans="1:4" x14ac:dyDescent="0.25">
      <c r="A14" s="62">
        <v>2</v>
      </c>
      <c r="B14" s="62">
        <v>2</v>
      </c>
      <c r="C14" s="62" t="s">
        <v>63</v>
      </c>
      <c r="D14" s="62" t="str">
        <f t="shared" si="0"/>
        <v>p02-2N</v>
      </c>
    </row>
    <row r="15" spans="1:4" x14ac:dyDescent="0.25">
      <c r="A15" s="62">
        <v>2</v>
      </c>
      <c r="B15" s="62">
        <v>1</v>
      </c>
      <c r="C15" s="62" t="s">
        <v>64</v>
      </c>
      <c r="D15" s="62" t="str">
        <f t="shared" si="0"/>
        <v>p02-1S</v>
      </c>
    </row>
    <row r="16" spans="1:4" x14ac:dyDescent="0.25">
      <c r="A16" s="62">
        <v>2</v>
      </c>
      <c r="B16" s="62">
        <v>1</v>
      </c>
      <c r="C16" s="62" t="s">
        <v>63</v>
      </c>
      <c r="D16" s="62" t="str">
        <f t="shared" si="0"/>
        <v>p02-1N</v>
      </c>
    </row>
    <row r="17" spans="1:4" x14ac:dyDescent="0.25">
      <c r="A17" s="62">
        <v>3</v>
      </c>
      <c r="B17" s="62">
        <v>1</v>
      </c>
      <c r="C17" s="62" t="s">
        <v>63</v>
      </c>
      <c r="D17" s="62" t="str">
        <f t="shared" si="0"/>
        <v>p03-1N</v>
      </c>
    </row>
    <row r="18" spans="1:4" x14ac:dyDescent="0.25">
      <c r="A18" s="62">
        <v>3</v>
      </c>
      <c r="B18" s="62">
        <v>1</v>
      </c>
      <c r="C18" s="62" t="s">
        <v>64</v>
      </c>
      <c r="D18" s="62" t="str">
        <f t="shared" si="0"/>
        <v>p03-1S</v>
      </c>
    </row>
    <row r="19" spans="1:4" x14ac:dyDescent="0.25">
      <c r="A19" s="62">
        <v>3</v>
      </c>
      <c r="B19" s="62">
        <v>2</v>
      </c>
      <c r="C19" s="62" t="s">
        <v>63</v>
      </c>
      <c r="D19" s="62" t="str">
        <f t="shared" si="0"/>
        <v>p03-2N</v>
      </c>
    </row>
    <row r="20" spans="1:4" x14ac:dyDescent="0.25">
      <c r="A20" s="62">
        <v>3</v>
      </c>
      <c r="B20" s="62">
        <v>2</v>
      </c>
      <c r="C20" s="62" t="s">
        <v>64</v>
      </c>
      <c r="D20" s="62" t="str">
        <f t="shared" si="0"/>
        <v>p03-2S</v>
      </c>
    </row>
    <row r="21" spans="1:4" x14ac:dyDescent="0.25">
      <c r="A21" s="62">
        <v>3</v>
      </c>
      <c r="B21" s="62">
        <v>3</v>
      </c>
      <c r="C21" s="62" t="s">
        <v>63</v>
      </c>
      <c r="D21" s="62" t="str">
        <f t="shared" si="0"/>
        <v>p03-3N</v>
      </c>
    </row>
    <row r="22" spans="1:4" x14ac:dyDescent="0.25">
      <c r="A22" s="62">
        <v>3</v>
      </c>
      <c r="B22" s="62">
        <v>3</v>
      </c>
      <c r="C22" s="62" t="s">
        <v>64</v>
      </c>
      <c r="D22" s="62" t="str">
        <f t="shared" si="0"/>
        <v>p03-3S</v>
      </c>
    </row>
    <row r="23" spans="1:4" x14ac:dyDescent="0.25">
      <c r="A23" s="62">
        <v>3</v>
      </c>
      <c r="B23" s="62">
        <v>4</v>
      </c>
      <c r="C23" s="62" t="s">
        <v>63</v>
      </c>
      <c r="D23" s="62" t="str">
        <f t="shared" si="0"/>
        <v>p03-4N</v>
      </c>
    </row>
    <row r="24" spans="1:4" x14ac:dyDescent="0.25">
      <c r="A24" s="62">
        <v>3</v>
      </c>
      <c r="B24" s="62">
        <v>4</v>
      </c>
      <c r="C24" s="62" t="s">
        <v>64</v>
      </c>
      <c r="D24" s="62" t="str">
        <f t="shared" si="0"/>
        <v>p03-4S</v>
      </c>
    </row>
    <row r="25" spans="1:4" x14ac:dyDescent="0.25">
      <c r="A25" s="62">
        <v>4</v>
      </c>
      <c r="B25" s="62">
        <v>4</v>
      </c>
      <c r="C25" s="62" t="s">
        <v>64</v>
      </c>
      <c r="D25" s="62" t="str">
        <f t="shared" si="0"/>
        <v>p04-4S</v>
      </c>
    </row>
    <row r="26" spans="1:4" x14ac:dyDescent="0.25">
      <c r="A26" s="62">
        <v>4</v>
      </c>
      <c r="B26" s="62">
        <v>4</v>
      </c>
      <c r="C26" s="62" t="s">
        <v>63</v>
      </c>
      <c r="D26" s="62" t="str">
        <f t="shared" si="0"/>
        <v>p04-4N</v>
      </c>
    </row>
    <row r="27" spans="1:4" x14ac:dyDescent="0.25">
      <c r="A27" s="62">
        <v>4</v>
      </c>
      <c r="B27" s="62">
        <v>3</v>
      </c>
      <c r="C27" s="62" t="s">
        <v>64</v>
      </c>
      <c r="D27" s="62" t="str">
        <f t="shared" si="0"/>
        <v>p04-3S</v>
      </c>
    </row>
    <row r="28" spans="1:4" x14ac:dyDescent="0.25">
      <c r="A28" s="62">
        <v>4</v>
      </c>
      <c r="B28" s="62">
        <v>3</v>
      </c>
      <c r="C28" s="62" t="s">
        <v>63</v>
      </c>
      <c r="D28" s="62" t="str">
        <f t="shared" si="0"/>
        <v>p04-3N</v>
      </c>
    </row>
    <row r="29" spans="1:4" x14ac:dyDescent="0.25">
      <c r="A29" s="62">
        <v>4</v>
      </c>
      <c r="B29" s="62">
        <v>2</v>
      </c>
      <c r="C29" s="62" t="s">
        <v>64</v>
      </c>
      <c r="D29" s="62" t="str">
        <f t="shared" si="0"/>
        <v>p04-2S</v>
      </c>
    </row>
    <row r="30" spans="1:4" x14ac:dyDescent="0.25">
      <c r="A30" s="62">
        <v>4</v>
      </c>
      <c r="B30" s="62">
        <v>2</v>
      </c>
      <c r="C30" s="62" t="s">
        <v>63</v>
      </c>
      <c r="D30" s="62" t="str">
        <f t="shared" si="0"/>
        <v>p04-2N</v>
      </c>
    </row>
    <row r="31" spans="1:4" x14ac:dyDescent="0.25">
      <c r="A31" s="62">
        <v>4</v>
      </c>
      <c r="B31" s="62">
        <v>1</v>
      </c>
      <c r="C31" s="62" t="s">
        <v>64</v>
      </c>
      <c r="D31" s="62" t="str">
        <f t="shared" si="0"/>
        <v>p04-1S</v>
      </c>
    </row>
    <row r="32" spans="1:4" x14ac:dyDescent="0.25">
      <c r="A32" s="62">
        <v>4</v>
      </c>
      <c r="B32" s="62">
        <v>1</v>
      </c>
      <c r="C32" s="62" t="s">
        <v>63</v>
      </c>
      <c r="D32" s="62" t="str">
        <f t="shared" si="0"/>
        <v>p04-1N</v>
      </c>
    </row>
    <row r="33" spans="1:4" x14ac:dyDescent="0.25">
      <c r="A33" s="62">
        <v>5</v>
      </c>
      <c r="B33" s="62">
        <v>1</v>
      </c>
      <c r="C33" s="62" t="s">
        <v>63</v>
      </c>
      <c r="D33" s="62" t="str">
        <f t="shared" si="0"/>
        <v>p05-1N</v>
      </c>
    </row>
    <row r="34" spans="1:4" x14ac:dyDescent="0.25">
      <c r="A34" s="62">
        <v>5</v>
      </c>
      <c r="B34" s="62">
        <v>1</v>
      </c>
      <c r="C34" s="62" t="s">
        <v>64</v>
      </c>
      <c r="D34" s="62" t="str">
        <f t="shared" si="0"/>
        <v>p05-1S</v>
      </c>
    </row>
    <row r="35" spans="1:4" x14ac:dyDescent="0.25">
      <c r="A35" s="62">
        <v>5</v>
      </c>
      <c r="B35" s="62">
        <v>2</v>
      </c>
      <c r="C35" s="62" t="s">
        <v>63</v>
      </c>
      <c r="D35" s="62" t="str">
        <f t="shared" si="0"/>
        <v>p05-2N</v>
      </c>
    </row>
    <row r="36" spans="1:4" x14ac:dyDescent="0.25">
      <c r="A36" s="62">
        <v>5</v>
      </c>
      <c r="B36" s="62">
        <v>2</v>
      </c>
      <c r="C36" s="62" t="s">
        <v>64</v>
      </c>
      <c r="D36" s="62" t="str">
        <f t="shared" si="0"/>
        <v>p05-2S</v>
      </c>
    </row>
    <row r="37" spans="1:4" x14ac:dyDescent="0.25">
      <c r="A37" s="62">
        <v>5</v>
      </c>
      <c r="B37" s="62">
        <v>3</v>
      </c>
      <c r="C37" s="62" t="s">
        <v>63</v>
      </c>
      <c r="D37" s="62" t="str">
        <f t="shared" si="0"/>
        <v>p05-3N</v>
      </c>
    </row>
    <row r="38" spans="1:4" x14ac:dyDescent="0.25">
      <c r="A38" s="62">
        <v>5</v>
      </c>
      <c r="B38" s="62">
        <v>3</v>
      </c>
      <c r="C38" s="62" t="s">
        <v>64</v>
      </c>
      <c r="D38" s="62" t="str">
        <f t="shared" si="0"/>
        <v>p05-3S</v>
      </c>
    </row>
    <row r="39" spans="1:4" x14ac:dyDescent="0.25">
      <c r="A39" s="62">
        <v>5</v>
      </c>
      <c r="B39" s="62">
        <v>4</v>
      </c>
      <c r="C39" s="62" t="s">
        <v>63</v>
      </c>
      <c r="D39" s="62" t="str">
        <f t="shared" si="0"/>
        <v>p05-4N</v>
      </c>
    </row>
    <row r="40" spans="1:4" x14ac:dyDescent="0.25">
      <c r="A40" s="62">
        <v>5</v>
      </c>
      <c r="B40" s="62">
        <v>4</v>
      </c>
      <c r="C40" s="62" t="s">
        <v>64</v>
      </c>
      <c r="D40" s="62" t="str">
        <f t="shared" si="0"/>
        <v>p05-4S</v>
      </c>
    </row>
    <row r="41" spans="1:4" x14ac:dyDescent="0.25">
      <c r="A41" s="62">
        <v>6</v>
      </c>
      <c r="B41" s="62">
        <v>4</v>
      </c>
      <c r="C41" s="62" t="s">
        <v>64</v>
      </c>
      <c r="D41" s="62" t="str">
        <f t="shared" si="0"/>
        <v>p06-4S</v>
      </c>
    </row>
    <row r="42" spans="1:4" x14ac:dyDescent="0.25">
      <c r="A42" s="62">
        <v>6</v>
      </c>
      <c r="B42" s="62">
        <v>4</v>
      </c>
      <c r="C42" s="62" t="s">
        <v>63</v>
      </c>
      <c r="D42" s="62" t="str">
        <f t="shared" si="0"/>
        <v>p06-4N</v>
      </c>
    </row>
    <row r="43" spans="1:4" x14ac:dyDescent="0.25">
      <c r="A43" s="62">
        <v>6</v>
      </c>
      <c r="B43" s="62">
        <v>3</v>
      </c>
      <c r="C43" s="62" t="s">
        <v>64</v>
      </c>
      <c r="D43" s="62" t="str">
        <f t="shared" si="0"/>
        <v>p06-3S</v>
      </c>
    </row>
    <row r="44" spans="1:4" x14ac:dyDescent="0.25">
      <c r="A44" s="62">
        <v>6</v>
      </c>
      <c r="B44" s="62">
        <v>3</v>
      </c>
      <c r="C44" s="62" t="s">
        <v>63</v>
      </c>
      <c r="D44" s="62" t="str">
        <f t="shared" si="0"/>
        <v>p06-3N</v>
      </c>
    </row>
    <row r="45" spans="1:4" x14ac:dyDescent="0.25">
      <c r="A45" s="62">
        <v>6</v>
      </c>
      <c r="B45" s="62">
        <v>2</v>
      </c>
      <c r="C45" s="62" t="s">
        <v>64</v>
      </c>
      <c r="D45" s="62" t="str">
        <f t="shared" si="0"/>
        <v>p06-2S</v>
      </c>
    </row>
    <row r="46" spans="1:4" x14ac:dyDescent="0.25">
      <c r="A46" s="62">
        <v>6</v>
      </c>
      <c r="B46" s="62">
        <v>2</v>
      </c>
      <c r="C46" s="62" t="s">
        <v>63</v>
      </c>
      <c r="D46" s="62" t="str">
        <f t="shared" si="0"/>
        <v>p06-2N</v>
      </c>
    </row>
    <row r="47" spans="1:4" x14ac:dyDescent="0.25">
      <c r="A47" s="62">
        <v>6</v>
      </c>
      <c r="B47" s="62">
        <v>1</v>
      </c>
      <c r="C47" s="62" t="s">
        <v>64</v>
      </c>
      <c r="D47" s="62" t="str">
        <f t="shared" si="0"/>
        <v>p06-1S</v>
      </c>
    </row>
    <row r="48" spans="1:4" x14ac:dyDescent="0.25">
      <c r="A48" s="62">
        <v>6</v>
      </c>
      <c r="B48" s="62">
        <v>1</v>
      </c>
      <c r="C48" s="62" t="s">
        <v>63</v>
      </c>
      <c r="D48" s="62" t="str">
        <f t="shared" si="0"/>
        <v>p06-1N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B9" sqref="B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2020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65" t="s">
        <v>39</v>
      </c>
      <c r="C7" s="66"/>
      <c r="D7" s="66"/>
      <c r="E7" s="66"/>
      <c r="F7" s="66"/>
      <c r="G7" s="66"/>
      <c r="H7" s="66"/>
    </row>
    <row r="8" spans="1:11" ht="24" customHeight="1" thickBot="1" x14ac:dyDescent="0.25">
      <c r="B8" s="67" t="s">
        <v>7</v>
      </c>
      <c r="C8" s="67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4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30" width="11.140625" customWidth="1"/>
  </cols>
  <sheetData>
    <row r="1" spans="1:30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s="8"/>
    </row>
    <row r="2" spans="1:30" ht="14.45" customHeight="1" x14ac:dyDescent="0.25">
      <c r="A2" s="6"/>
      <c r="B2" s="7"/>
      <c r="C2" s="8"/>
      <c r="D2" s="8"/>
      <c r="E2" s="45"/>
    </row>
    <row r="3" spans="1:30" ht="15" x14ac:dyDescent="0.25">
      <c r="B3" s="30" t="s">
        <v>19</v>
      </c>
    </row>
    <row r="4" spans="1:30" ht="7.9" customHeight="1" x14ac:dyDescent="0.2">
      <c r="B4" s="5"/>
      <c r="U4" s="4"/>
      <c r="V4" s="4"/>
      <c r="W4" s="4"/>
      <c r="X4" s="4"/>
      <c r="Y4" s="4"/>
      <c r="Z4" s="4"/>
      <c r="AA4" s="4"/>
      <c r="AB4" s="4"/>
      <c r="AC4" s="4"/>
    </row>
    <row r="5" spans="1:30" x14ac:dyDescent="0.2">
      <c r="B5" s="2"/>
      <c r="U5" s="4"/>
      <c r="V5" s="4"/>
      <c r="W5" s="4"/>
      <c r="X5" s="4"/>
      <c r="Y5" s="4"/>
      <c r="Z5" s="4"/>
      <c r="AA5" s="4"/>
      <c r="AB5" s="4"/>
      <c r="AC5" s="4"/>
    </row>
    <row r="6" spans="1:30" x14ac:dyDescent="0.2">
      <c r="B6" s="2"/>
      <c r="U6" s="4"/>
      <c r="V6" s="4"/>
      <c r="W6" s="4"/>
      <c r="X6" s="4"/>
      <c r="Y6" s="4"/>
      <c r="Z6" s="4"/>
      <c r="AA6" s="4"/>
      <c r="AB6" s="4"/>
      <c r="AC6" s="4"/>
    </row>
    <row r="7" spans="1:30" ht="12" customHeight="1" x14ac:dyDescent="0.2">
      <c r="B7" s="2"/>
      <c r="H7" s="54"/>
      <c r="I7" s="54"/>
      <c r="J7" s="54"/>
      <c r="K7" s="54"/>
      <c r="L7" s="54"/>
      <c r="M7" s="41"/>
      <c r="U7" s="4"/>
      <c r="V7" s="4"/>
      <c r="W7" s="54"/>
      <c r="X7" s="54"/>
      <c r="Y7" s="54"/>
      <c r="Z7" s="4"/>
      <c r="AA7" s="4"/>
      <c r="AB7" s="4"/>
      <c r="AC7" s="4"/>
    </row>
    <row r="8" spans="1:30" s="39" customFormat="1" x14ac:dyDescent="0.2">
      <c r="D8" s="49" t="s">
        <v>26</v>
      </c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 t="s">
        <v>44</v>
      </c>
    </row>
    <row r="9" spans="1:30" x14ac:dyDescent="0.2">
      <c r="B9" s="2"/>
      <c r="D9" s="49" t="s">
        <v>27</v>
      </c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44074</v>
      </c>
      <c r="U9" s="22">
        <v>44082</v>
      </c>
      <c r="V9" s="22"/>
      <c r="W9" s="22"/>
      <c r="X9" s="22"/>
      <c r="Y9" s="22"/>
      <c r="Z9" s="22"/>
      <c r="AA9" s="22"/>
      <c r="AB9" s="22"/>
      <c r="AC9" s="22"/>
      <c r="AD9" s="22"/>
    </row>
    <row r="10" spans="1:30" ht="15.6" customHeight="1" x14ac:dyDescent="0.2">
      <c r="B10" s="5"/>
      <c r="D10" s="49" t="s">
        <v>29</v>
      </c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244</v>
      </c>
      <c r="U10" s="18">
        <v>252</v>
      </c>
      <c r="V10" s="18"/>
      <c r="W10" s="18"/>
      <c r="X10" s="18"/>
      <c r="Y10" s="18"/>
      <c r="Z10" s="18"/>
      <c r="AA10" s="18"/>
      <c r="AB10" s="18"/>
      <c r="AC10" s="18"/>
      <c r="AD10" s="18"/>
    </row>
    <row r="11" spans="1:30" s="56" customFormat="1" ht="22.15" customHeight="1" x14ac:dyDescent="0.2">
      <c r="B11" s="37"/>
      <c r="D11" s="55" t="s">
        <v>28</v>
      </c>
      <c r="E11" s="55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60</v>
      </c>
      <c r="U11" s="57" t="s">
        <v>54</v>
      </c>
      <c r="V11" s="57"/>
      <c r="W11" s="40"/>
      <c r="X11" s="40"/>
      <c r="Y11" s="40"/>
      <c r="Z11" s="40"/>
      <c r="AA11" s="40"/>
      <c r="AB11" s="57"/>
      <c r="AC11" s="57"/>
      <c r="AD11" s="57"/>
    </row>
    <row r="12" spans="1:30" ht="20.45" customHeight="1" thickBot="1" x14ac:dyDescent="0.25">
      <c r="B12" s="67" t="s">
        <v>7</v>
      </c>
      <c r="C12" s="67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  <c r="Y12" s="18" t="s">
        <v>20</v>
      </c>
      <c r="Z12" s="18" t="s">
        <v>20</v>
      </c>
      <c r="AA12" s="18" t="s">
        <v>20</v>
      </c>
      <c r="AB12" s="18" t="s">
        <v>20</v>
      </c>
      <c r="AC12" s="18" t="s">
        <v>20</v>
      </c>
      <c r="AD12" s="18" t="s">
        <v>20</v>
      </c>
    </row>
    <row r="13" spans="1:30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38</v>
      </c>
      <c r="F13" s="34">
        <v>11</v>
      </c>
      <c r="G13" s="9">
        <v>14</v>
      </c>
      <c r="H13" s="9">
        <v>29</v>
      </c>
      <c r="I13" s="34">
        <v>38</v>
      </c>
      <c r="J13" s="34">
        <v>49</v>
      </c>
      <c r="K13" s="34">
        <v>61</v>
      </c>
      <c r="L13" s="34">
        <v>76</v>
      </c>
      <c r="M13" s="23">
        <v>81</v>
      </c>
      <c r="N13" s="9">
        <v>82</v>
      </c>
      <c r="O13" s="9">
        <v>86</v>
      </c>
      <c r="P13" s="9">
        <v>91</v>
      </c>
      <c r="Q13" s="9">
        <v>96</v>
      </c>
      <c r="R13" s="9">
        <v>98</v>
      </c>
      <c r="S13" s="9">
        <v>108</v>
      </c>
      <c r="T13" s="9">
        <v>116</v>
      </c>
      <c r="U13" s="9">
        <v>121</v>
      </c>
      <c r="V13" s="9"/>
      <c r="W13" s="42"/>
      <c r="X13" s="59"/>
      <c r="Y13" s="59"/>
      <c r="Z13" s="9"/>
      <c r="AA13" s="9"/>
      <c r="AB13" s="9"/>
      <c r="AC13" s="9"/>
      <c r="AD13" s="9"/>
    </row>
    <row r="14" spans="1:30" ht="19.899999999999999" customHeight="1" thickBot="1" x14ac:dyDescent="0.25">
      <c r="A14" s="31"/>
      <c r="B14" s="14"/>
      <c r="C14" s="16"/>
      <c r="D14" s="33" t="s">
        <v>11</v>
      </c>
      <c r="E14" s="47" t="s">
        <v>38</v>
      </c>
      <c r="F14" s="35">
        <v>16</v>
      </c>
      <c r="G14" s="10">
        <v>21</v>
      </c>
      <c r="H14" s="10">
        <v>33</v>
      </c>
      <c r="I14" s="35">
        <v>48</v>
      </c>
      <c r="J14" s="35">
        <v>58</v>
      </c>
      <c r="K14" s="35">
        <v>64</v>
      </c>
      <c r="L14" s="35">
        <v>74</v>
      </c>
      <c r="M14" s="24">
        <v>80</v>
      </c>
      <c r="N14" s="10">
        <v>84</v>
      </c>
      <c r="O14" s="10">
        <v>84</v>
      </c>
      <c r="P14" s="10">
        <v>88</v>
      </c>
      <c r="Q14" s="10">
        <v>93</v>
      </c>
      <c r="R14" s="10">
        <v>99</v>
      </c>
      <c r="S14" s="10">
        <v>113</v>
      </c>
      <c r="T14" s="10">
        <v>122</v>
      </c>
      <c r="U14" s="10">
        <v>127</v>
      </c>
      <c r="V14" s="10"/>
      <c r="W14" s="24"/>
      <c r="X14" s="35"/>
      <c r="Y14" s="35"/>
      <c r="Z14" s="10"/>
      <c r="AA14" s="10"/>
      <c r="AB14" s="10"/>
      <c r="AC14" s="10"/>
      <c r="AD14" s="10"/>
    </row>
    <row r="15" spans="1:30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35</v>
      </c>
      <c r="F15" s="9">
        <v>17</v>
      </c>
      <c r="G15" s="9">
        <v>26</v>
      </c>
      <c r="H15" s="9">
        <v>39</v>
      </c>
      <c r="I15" s="34">
        <v>46</v>
      </c>
      <c r="J15" s="34">
        <v>54</v>
      </c>
      <c r="K15" s="34">
        <v>61</v>
      </c>
      <c r="L15" s="34">
        <v>67</v>
      </c>
      <c r="M15" s="23">
        <v>71</v>
      </c>
      <c r="N15" s="9">
        <v>64</v>
      </c>
      <c r="O15" s="9">
        <v>65</v>
      </c>
      <c r="P15" s="9">
        <v>66</v>
      </c>
      <c r="Q15" s="9">
        <v>69</v>
      </c>
      <c r="R15" s="9">
        <v>74</v>
      </c>
      <c r="S15" s="9">
        <v>77</v>
      </c>
      <c r="T15" s="9">
        <v>79</v>
      </c>
      <c r="U15" s="9">
        <v>79</v>
      </c>
      <c r="V15" s="9"/>
      <c r="W15" s="23"/>
      <c r="X15" s="34"/>
      <c r="Y15" s="34"/>
      <c r="Z15" s="9"/>
      <c r="AA15" s="9"/>
      <c r="AB15" s="9"/>
      <c r="AC15" s="9"/>
      <c r="AD15" s="9"/>
    </row>
    <row r="16" spans="1:30" ht="19.899999999999999" customHeight="1" thickBot="1" x14ac:dyDescent="0.25">
      <c r="A16" s="31"/>
      <c r="B16" s="14"/>
      <c r="C16" s="16"/>
      <c r="D16" s="17" t="s">
        <v>11</v>
      </c>
      <c r="E16" s="47" t="s">
        <v>35</v>
      </c>
      <c r="F16" s="10">
        <v>12</v>
      </c>
      <c r="G16" s="10">
        <v>18</v>
      </c>
      <c r="H16" s="10">
        <v>29</v>
      </c>
      <c r="I16" s="35">
        <v>36</v>
      </c>
      <c r="J16" s="35">
        <v>46</v>
      </c>
      <c r="K16" s="35">
        <v>58</v>
      </c>
      <c r="L16" s="35">
        <v>65</v>
      </c>
      <c r="M16" s="24">
        <v>68</v>
      </c>
      <c r="N16" s="10">
        <v>65</v>
      </c>
      <c r="O16" s="10">
        <v>61</v>
      </c>
      <c r="P16" s="10">
        <v>64</v>
      </c>
      <c r="Q16" s="10">
        <v>69</v>
      </c>
      <c r="R16" s="10">
        <v>72</v>
      </c>
      <c r="S16" s="10">
        <v>78</v>
      </c>
      <c r="T16" s="10">
        <v>81</v>
      </c>
      <c r="U16" s="10">
        <v>83</v>
      </c>
      <c r="V16" s="10"/>
      <c r="W16" s="24"/>
      <c r="X16" s="35"/>
      <c r="Y16" s="35"/>
      <c r="Z16" s="10"/>
      <c r="AA16" s="10"/>
      <c r="AB16" s="10"/>
      <c r="AC16" s="10"/>
      <c r="AD16" s="10"/>
    </row>
    <row r="17" spans="1:30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15</v>
      </c>
      <c r="G17" s="9">
        <v>23</v>
      </c>
      <c r="H17" s="9">
        <v>39</v>
      </c>
      <c r="I17" s="34">
        <v>46</v>
      </c>
      <c r="J17" s="34">
        <v>51</v>
      </c>
      <c r="K17" s="34">
        <v>55</v>
      </c>
      <c r="L17" s="34">
        <v>59</v>
      </c>
      <c r="M17" s="23">
        <v>65</v>
      </c>
      <c r="N17" s="9">
        <v>69</v>
      </c>
      <c r="O17" s="9">
        <v>58</v>
      </c>
      <c r="P17" s="9">
        <v>63</v>
      </c>
      <c r="Q17" s="9">
        <v>68</v>
      </c>
      <c r="R17" s="9">
        <v>71</v>
      </c>
      <c r="S17" s="9">
        <v>80</v>
      </c>
      <c r="T17" s="9">
        <v>84</v>
      </c>
      <c r="U17" s="9">
        <v>88</v>
      </c>
      <c r="V17" s="9"/>
      <c r="W17" s="23"/>
      <c r="X17" s="34"/>
      <c r="Y17" s="34"/>
      <c r="Z17" s="9"/>
      <c r="AA17" s="9"/>
      <c r="AB17" s="9"/>
      <c r="AC17" s="9"/>
      <c r="AD17" s="9"/>
    </row>
    <row r="18" spans="1:30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15</v>
      </c>
      <c r="G18" s="10">
        <v>22</v>
      </c>
      <c r="H18" s="10">
        <v>31</v>
      </c>
      <c r="I18" s="35">
        <v>44</v>
      </c>
      <c r="J18" s="35">
        <v>53</v>
      </c>
      <c r="K18" s="35">
        <v>58</v>
      </c>
      <c r="L18" s="35">
        <v>61</v>
      </c>
      <c r="M18" s="24">
        <v>69</v>
      </c>
      <c r="N18" s="10">
        <v>76</v>
      </c>
      <c r="O18" s="10">
        <v>73</v>
      </c>
      <c r="P18" s="10">
        <v>75</v>
      </c>
      <c r="Q18" s="10">
        <v>79</v>
      </c>
      <c r="R18" s="10">
        <v>82</v>
      </c>
      <c r="S18" s="10">
        <v>89</v>
      </c>
      <c r="T18" s="10">
        <v>91</v>
      </c>
      <c r="U18" s="10">
        <v>96</v>
      </c>
      <c r="V18" s="10"/>
      <c r="W18" s="24"/>
      <c r="X18" s="35"/>
      <c r="Y18" s="35"/>
      <c r="Z18" s="10"/>
      <c r="AA18" s="10"/>
      <c r="AB18" s="10"/>
      <c r="AC18" s="10"/>
      <c r="AD18" s="10"/>
    </row>
    <row r="19" spans="1:30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38</v>
      </c>
      <c r="F19" s="9">
        <v>15</v>
      </c>
      <c r="G19" s="9">
        <v>21</v>
      </c>
      <c r="H19" s="9">
        <v>36</v>
      </c>
      <c r="I19" s="34">
        <v>45</v>
      </c>
      <c r="J19" s="34">
        <v>51</v>
      </c>
      <c r="K19" s="34">
        <v>56</v>
      </c>
      <c r="L19" s="34">
        <v>60</v>
      </c>
      <c r="M19" s="23">
        <v>69</v>
      </c>
      <c r="N19" s="9">
        <v>78</v>
      </c>
      <c r="O19" s="9">
        <v>76</v>
      </c>
      <c r="P19" s="9">
        <v>81</v>
      </c>
      <c r="Q19" s="9">
        <v>86</v>
      </c>
      <c r="R19" s="9">
        <v>92</v>
      </c>
      <c r="S19" s="9">
        <v>103</v>
      </c>
      <c r="T19" s="9">
        <v>111</v>
      </c>
      <c r="U19" s="9">
        <v>113</v>
      </c>
      <c r="V19" s="9"/>
      <c r="W19" s="23"/>
      <c r="X19" s="34"/>
      <c r="Y19" s="34"/>
      <c r="Z19" s="9"/>
      <c r="AA19" s="9"/>
      <c r="AB19" s="9"/>
      <c r="AC19" s="9"/>
      <c r="AD19" s="9"/>
    </row>
    <row r="20" spans="1:30" ht="19.899999999999999" customHeight="1" thickBot="1" x14ac:dyDescent="0.25">
      <c r="A20" s="31"/>
      <c r="B20" s="14"/>
      <c r="C20" s="16"/>
      <c r="D20" s="17" t="s">
        <v>11</v>
      </c>
      <c r="E20" s="47" t="s">
        <v>38</v>
      </c>
      <c r="F20" s="10">
        <v>14</v>
      </c>
      <c r="G20" s="10">
        <v>19</v>
      </c>
      <c r="H20" s="10">
        <v>33</v>
      </c>
      <c r="I20" s="35">
        <v>48</v>
      </c>
      <c r="J20" s="35">
        <v>55</v>
      </c>
      <c r="K20" s="35">
        <v>57</v>
      </c>
      <c r="L20" s="35">
        <v>62</v>
      </c>
      <c r="M20" s="24">
        <v>73</v>
      </c>
      <c r="N20" s="10">
        <v>80</v>
      </c>
      <c r="O20" s="10">
        <v>75</v>
      </c>
      <c r="P20" s="10">
        <v>80</v>
      </c>
      <c r="Q20" s="10">
        <v>82</v>
      </c>
      <c r="R20" s="10">
        <v>86</v>
      </c>
      <c r="S20" s="10">
        <v>91</v>
      </c>
      <c r="T20" s="10">
        <v>98</v>
      </c>
      <c r="U20" s="10">
        <v>102</v>
      </c>
      <c r="V20" s="10"/>
      <c r="W20" s="24"/>
      <c r="X20" s="35"/>
      <c r="Y20" s="35"/>
      <c r="Z20" s="10"/>
      <c r="AA20" s="10"/>
      <c r="AB20" s="10"/>
      <c r="AC20" s="10"/>
      <c r="AD20" s="10"/>
    </row>
    <row r="21" spans="1:30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37</v>
      </c>
      <c r="F21" s="9">
        <v>12</v>
      </c>
      <c r="G21" s="9">
        <v>17</v>
      </c>
      <c r="H21" s="9">
        <v>26</v>
      </c>
      <c r="I21" s="34">
        <v>35</v>
      </c>
      <c r="J21" s="34">
        <v>44</v>
      </c>
      <c r="K21" s="34">
        <v>48</v>
      </c>
      <c r="L21" s="34">
        <v>50</v>
      </c>
      <c r="M21" s="23">
        <v>54</v>
      </c>
      <c r="N21" s="9">
        <v>53</v>
      </c>
      <c r="O21" s="9">
        <v>51</v>
      </c>
      <c r="P21" s="9">
        <v>53</v>
      </c>
      <c r="Q21" s="9">
        <v>56</v>
      </c>
      <c r="R21" s="9">
        <v>60</v>
      </c>
      <c r="S21" s="9">
        <v>71</v>
      </c>
      <c r="T21" s="9">
        <v>79</v>
      </c>
      <c r="U21" s="9">
        <v>84</v>
      </c>
      <c r="V21" s="9"/>
      <c r="W21" s="23"/>
      <c r="X21" s="34"/>
      <c r="Y21" s="34"/>
      <c r="Z21" s="9"/>
      <c r="AA21" s="9"/>
      <c r="AB21" s="9"/>
      <c r="AC21" s="9"/>
      <c r="AD21" s="9"/>
    </row>
    <row r="22" spans="1:30" ht="19.899999999999999" customHeight="1" thickBot="1" x14ac:dyDescent="0.25">
      <c r="A22" s="31"/>
      <c r="B22" s="14"/>
      <c r="C22" s="16"/>
      <c r="D22" s="17" t="s">
        <v>10</v>
      </c>
      <c r="E22" s="47" t="s">
        <v>37</v>
      </c>
      <c r="F22" s="10">
        <v>13</v>
      </c>
      <c r="G22" s="10">
        <v>17</v>
      </c>
      <c r="H22" s="10">
        <v>31</v>
      </c>
      <c r="I22" s="35">
        <v>39</v>
      </c>
      <c r="J22" s="35">
        <v>48</v>
      </c>
      <c r="K22" s="35">
        <v>53</v>
      </c>
      <c r="L22" s="35">
        <v>57</v>
      </c>
      <c r="M22" s="24">
        <v>68</v>
      </c>
      <c r="N22" s="10">
        <v>74</v>
      </c>
      <c r="O22" s="10">
        <v>68</v>
      </c>
      <c r="P22" s="10">
        <v>73</v>
      </c>
      <c r="Q22" s="10">
        <v>74</v>
      </c>
      <c r="R22" s="10">
        <v>77</v>
      </c>
      <c r="S22" s="10">
        <v>84</v>
      </c>
      <c r="T22" s="10">
        <v>90</v>
      </c>
      <c r="U22" s="10">
        <v>93</v>
      </c>
      <c r="V22" s="10"/>
      <c r="W22" s="24"/>
      <c r="X22" s="35"/>
      <c r="Y22" s="35"/>
      <c r="Z22" s="10"/>
      <c r="AA22" s="10"/>
      <c r="AB22" s="10"/>
      <c r="AC22" s="10"/>
      <c r="AD22" s="10"/>
    </row>
    <row r="23" spans="1:30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38</v>
      </c>
      <c r="F23" s="9">
        <v>10</v>
      </c>
      <c r="G23" s="9">
        <v>21</v>
      </c>
      <c r="H23" s="9">
        <v>32</v>
      </c>
      <c r="I23" s="34">
        <v>40</v>
      </c>
      <c r="J23" s="34">
        <v>48</v>
      </c>
      <c r="K23" s="34">
        <v>54</v>
      </c>
      <c r="L23" s="34">
        <v>61</v>
      </c>
      <c r="M23" s="23">
        <v>64</v>
      </c>
      <c r="N23" s="9">
        <v>65</v>
      </c>
      <c r="O23" s="9">
        <v>62</v>
      </c>
      <c r="P23" s="9">
        <v>63</v>
      </c>
      <c r="Q23" s="9">
        <v>64</v>
      </c>
      <c r="R23" s="9">
        <v>67</v>
      </c>
      <c r="S23" s="9">
        <v>70</v>
      </c>
      <c r="T23" s="9">
        <v>69</v>
      </c>
      <c r="U23" s="9">
        <v>74</v>
      </c>
      <c r="V23" s="9"/>
      <c r="W23" s="23"/>
      <c r="X23" s="34"/>
      <c r="Y23" s="34"/>
      <c r="Z23" s="9"/>
      <c r="AA23" s="9"/>
      <c r="AB23" s="9"/>
      <c r="AC23" s="9"/>
      <c r="AD23" s="9"/>
    </row>
    <row r="24" spans="1:30" ht="19.899999999999999" customHeight="1" thickBot="1" x14ac:dyDescent="0.25">
      <c r="A24" s="31"/>
      <c r="B24" s="14"/>
      <c r="C24" s="16"/>
      <c r="D24" s="17" t="s">
        <v>10</v>
      </c>
      <c r="E24" s="47" t="s">
        <v>38</v>
      </c>
      <c r="F24" s="10">
        <v>13</v>
      </c>
      <c r="G24" s="10">
        <v>19</v>
      </c>
      <c r="H24" s="10">
        <v>32</v>
      </c>
      <c r="I24" s="35">
        <v>43</v>
      </c>
      <c r="J24" s="35">
        <v>52</v>
      </c>
      <c r="K24" s="35">
        <v>59</v>
      </c>
      <c r="L24" s="35">
        <v>65</v>
      </c>
      <c r="M24" s="24">
        <v>76</v>
      </c>
      <c r="N24" s="10">
        <v>79</v>
      </c>
      <c r="O24" s="10">
        <v>79</v>
      </c>
      <c r="P24" s="10">
        <v>81</v>
      </c>
      <c r="Q24" s="10">
        <v>82</v>
      </c>
      <c r="R24" s="10">
        <v>86</v>
      </c>
      <c r="S24" s="10">
        <v>92</v>
      </c>
      <c r="T24" s="10">
        <v>97</v>
      </c>
      <c r="U24" s="10">
        <v>101</v>
      </c>
      <c r="V24" s="10"/>
      <c r="W24" s="24"/>
      <c r="X24" s="35"/>
      <c r="Y24" s="35"/>
      <c r="Z24" s="10"/>
      <c r="AA24" s="10"/>
      <c r="AB24" s="10"/>
      <c r="AC24" s="10"/>
      <c r="AD24" s="10"/>
    </row>
    <row r="25" spans="1:30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13</v>
      </c>
      <c r="G25" s="9">
        <v>18</v>
      </c>
      <c r="H25" s="9">
        <v>33</v>
      </c>
      <c r="I25" s="34">
        <v>40</v>
      </c>
      <c r="J25" s="34">
        <v>50</v>
      </c>
      <c r="K25" s="34">
        <v>56</v>
      </c>
      <c r="L25" s="34">
        <v>59</v>
      </c>
      <c r="M25" s="23">
        <v>62</v>
      </c>
      <c r="N25" s="9">
        <v>68</v>
      </c>
      <c r="O25" s="9">
        <v>64</v>
      </c>
      <c r="P25" s="9">
        <v>66</v>
      </c>
      <c r="Q25" s="9">
        <v>70</v>
      </c>
      <c r="R25" s="9">
        <v>75</v>
      </c>
      <c r="S25" s="9">
        <v>83</v>
      </c>
      <c r="T25" s="9">
        <v>91</v>
      </c>
      <c r="U25" s="9">
        <v>98</v>
      </c>
      <c r="V25" s="9"/>
      <c r="W25" s="23"/>
      <c r="X25" s="34"/>
      <c r="Y25" s="34"/>
      <c r="Z25" s="9"/>
      <c r="AA25" s="9"/>
      <c r="AB25" s="9"/>
      <c r="AC25" s="9"/>
      <c r="AD25" s="9"/>
    </row>
    <row r="26" spans="1:30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14</v>
      </c>
      <c r="G26" s="10">
        <v>21</v>
      </c>
      <c r="H26" s="10">
        <v>33</v>
      </c>
      <c r="I26" s="35">
        <v>41</v>
      </c>
      <c r="J26" s="35">
        <v>55</v>
      </c>
      <c r="K26" s="35">
        <v>61</v>
      </c>
      <c r="L26" s="35">
        <v>66</v>
      </c>
      <c r="M26" s="24">
        <v>75</v>
      </c>
      <c r="N26" s="10">
        <v>77</v>
      </c>
      <c r="O26" s="10">
        <v>77</v>
      </c>
      <c r="P26" s="10">
        <v>79</v>
      </c>
      <c r="Q26" s="10">
        <v>85</v>
      </c>
      <c r="R26" s="10">
        <v>92</v>
      </c>
      <c r="S26" s="10">
        <v>104</v>
      </c>
      <c r="T26" s="10">
        <v>113</v>
      </c>
      <c r="U26" s="10">
        <v>119</v>
      </c>
      <c r="V26" s="10"/>
      <c r="W26" s="24"/>
      <c r="X26" s="35"/>
      <c r="Y26" s="35"/>
      <c r="Z26" s="10"/>
      <c r="AA26" s="10"/>
      <c r="AB26" s="10"/>
      <c r="AC26" s="10"/>
      <c r="AD26" s="10"/>
    </row>
    <row r="27" spans="1:30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36</v>
      </c>
      <c r="F27" s="9">
        <v>12</v>
      </c>
      <c r="G27" s="9">
        <v>21</v>
      </c>
      <c r="H27" s="9">
        <v>30</v>
      </c>
      <c r="I27" s="34">
        <v>39</v>
      </c>
      <c r="J27" s="34">
        <v>52</v>
      </c>
      <c r="K27" s="34">
        <v>58</v>
      </c>
      <c r="L27" s="34">
        <v>62</v>
      </c>
      <c r="M27" s="23">
        <v>71</v>
      </c>
      <c r="N27" s="9">
        <v>72</v>
      </c>
      <c r="O27" s="9">
        <v>70</v>
      </c>
      <c r="P27" s="9">
        <v>70</v>
      </c>
      <c r="Q27" s="9">
        <v>74</v>
      </c>
      <c r="R27" s="9">
        <v>79</v>
      </c>
      <c r="S27" s="9">
        <v>83</v>
      </c>
      <c r="T27" s="9">
        <v>85</v>
      </c>
      <c r="U27" s="9">
        <v>86</v>
      </c>
      <c r="V27" s="9"/>
      <c r="W27" s="42"/>
      <c r="X27" s="59"/>
      <c r="Y27" s="59"/>
      <c r="Z27" s="9"/>
      <c r="AA27" s="9"/>
      <c r="AB27" s="9"/>
      <c r="AC27" s="9"/>
      <c r="AD27" s="9"/>
    </row>
    <row r="28" spans="1:30" ht="19.899999999999999" customHeight="1" thickBot="1" x14ac:dyDescent="0.25">
      <c r="A28" s="31"/>
      <c r="B28" s="14"/>
      <c r="C28" s="16"/>
      <c r="D28" s="17" t="s">
        <v>10</v>
      </c>
      <c r="E28" s="47" t="s">
        <v>36</v>
      </c>
      <c r="F28" s="10">
        <v>13</v>
      </c>
      <c r="G28" s="10">
        <v>20</v>
      </c>
      <c r="H28" s="10">
        <v>32</v>
      </c>
      <c r="I28" s="35">
        <v>40</v>
      </c>
      <c r="J28" s="35">
        <v>53</v>
      </c>
      <c r="K28" s="35">
        <v>58</v>
      </c>
      <c r="L28" s="35">
        <v>63</v>
      </c>
      <c r="M28" s="24">
        <v>74</v>
      </c>
      <c r="N28" s="10">
        <v>79</v>
      </c>
      <c r="O28" s="10">
        <v>79</v>
      </c>
      <c r="P28" s="10">
        <v>78</v>
      </c>
      <c r="Q28" s="10">
        <v>82</v>
      </c>
      <c r="R28" s="10">
        <v>85</v>
      </c>
      <c r="S28" s="10">
        <v>91</v>
      </c>
      <c r="T28" s="10">
        <v>96</v>
      </c>
      <c r="U28" s="10">
        <v>99</v>
      </c>
      <c r="V28" s="10"/>
      <c r="W28" s="24"/>
      <c r="X28" s="35"/>
      <c r="Y28" s="35"/>
      <c r="Z28" s="10"/>
      <c r="AA28" s="10"/>
      <c r="AB28" s="10"/>
      <c r="AC28" s="10"/>
      <c r="AD28" s="10"/>
    </row>
    <row r="29" spans="1:30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36</v>
      </c>
      <c r="F29" s="9">
        <v>13</v>
      </c>
      <c r="G29" s="9">
        <v>20</v>
      </c>
      <c r="H29" s="9">
        <v>28</v>
      </c>
      <c r="I29" s="34">
        <v>38</v>
      </c>
      <c r="J29" s="34">
        <v>53</v>
      </c>
      <c r="K29" s="34">
        <v>62</v>
      </c>
      <c r="L29" s="34">
        <v>69</v>
      </c>
      <c r="M29" s="23">
        <v>78</v>
      </c>
      <c r="N29" s="9">
        <v>78</v>
      </c>
      <c r="O29" s="9">
        <v>79</v>
      </c>
      <c r="P29" s="9">
        <v>80</v>
      </c>
      <c r="Q29" s="9">
        <v>82</v>
      </c>
      <c r="R29" s="9">
        <v>86</v>
      </c>
      <c r="S29" s="9">
        <v>94</v>
      </c>
      <c r="T29" s="9">
        <v>100</v>
      </c>
      <c r="U29" s="9">
        <v>104</v>
      </c>
      <c r="V29" s="9"/>
      <c r="W29" s="42"/>
      <c r="X29" s="59"/>
      <c r="Y29" s="59"/>
      <c r="Z29" s="9"/>
      <c r="AA29" s="9"/>
      <c r="AB29" s="9"/>
      <c r="AC29" s="9"/>
      <c r="AD29" s="9"/>
    </row>
    <row r="30" spans="1:30" ht="19.899999999999999" customHeight="1" thickBot="1" x14ac:dyDescent="0.25">
      <c r="A30" s="31"/>
      <c r="B30" s="14"/>
      <c r="C30" s="16"/>
      <c r="D30" s="17" t="s">
        <v>11</v>
      </c>
      <c r="E30" s="47" t="s">
        <v>36</v>
      </c>
      <c r="F30" s="10">
        <v>16</v>
      </c>
      <c r="G30" s="10">
        <v>20</v>
      </c>
      <c r="H30" s="10">
        <v>34</v>
      </c>
      <c r="I30" s="35">
        <v>42</v>
      </c>
      <c r="J30" s="35">
        <v>57</v>
      </c>
      <c r="K30" s="35">
        <v>60</v>
      </c>
      <c r="L30" s="35">
        <v>65</v>
      </c>
      <c r="M30" s="24">
        <v>71</v>
      </c>
      <c r="N30" s="10">
        <v>75</v>
      </c>
      <c r="O30" s="10">
        <v>72</v>
      </c>
      <c r="P30" s="10">
        <v>75</v>
      </c>
      <c r="Q30" s="10">
        <v>78</v>
      </c>
      <c r="R30" s="10">
        <v>82</v>
      </c>
      <c r="S30" s="10">
        <v>89</v>
      </c>
      <c r="T30" s="10">
        <v>96</v>
      </c>
      <c r="U30" s="10">
        <v>99</v>
      </c>
      <c r="V30" s="10"/>
      <c r="W30" s="24"/>
      <c r="X30" s="35"/>
      <c r="Y30" s="35"/>
      <c r="Z30" s="10"/>
      <c r="AA30" s="10"/>
      <c r="AB30" s="10"/>
      <c r="AC30" s="10"/>
      <c r="AD30" s="10"/>
    </row>
    <row r="31" spans="1:30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13</v>
      </c>
      <c r="G31" s="9">
        <v>17</v>
      </c>
      <c r="H31" s="9">
        <v>32</v>
      </c>
      <c r="I31" s="34">
        <v>40</v>
      </c>
      <c r="J31" s="34">
        <v>54</v>
      </c>
      <c r="K31" s="34">
        <v>59</v>
      </c>
      <c r="L31" s="34">
        <v>70</v>
      </c>
      <c r="M31" s="23">
        <v>80</v>
      </c>
      <c r="N31" s="9">
        <v>82</v>
      </c>
      <c r="O31" s="9">
        <v>84</v>
      </c>
      <c r="P31" s="9">
        <v>86</v>
      </c>
      <c r="Q31" s="9">
        <v>90</v>
      </c>
      <c r="R31" s="9">
        <v>95</v>
      </c>
      <c r="S31" s="9">
        <v>106</v>
      </c>
      <c r="T31" s="9">
        <v>116</v>
      </c>
      <c r="U31" s="9">
        <v>120</v>
      </c>
      <c r="V31" s="9"/>
      <c r="W31" s="23"/>
      <c r="X31" s="34"/>
      <c r="Y31" s="34"/>
      <c r="Z31" s="9"/>
      <c r="AA31" s="9"/>
      <c r="AB31" s="9"/>
      <c r="AC31" s="9"/>
      <c r="AD31" s="9"/>
    </row>
    <row r="32" spans="1:30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13</v>
      </c>
      <c r="G32" s="10">
        <v>18</v>
      </c>
      <c r="H32" s="10">
        <v>31</v>
      </c>
      <c r="I32" s="35">
        <v>38</v>
      </c>
      <c r="J32" s="35">
        <v>52</v>
      </c>
      <c r="K32" s="35">
        <v>60</v>
      </c>
      <c r="L32" s="35">
        <v>72</v>
      </c>
      <c r="M32" s="24">
        <v>80</v>
      </c>
      <c r="N32" s="10">
        <v>77</v>
      </c>
      <c r="O32" s="10">
        <v>75</v>
      </c>
      <c r="P32" s="10">
        <v>78</v>
      </c>
      <c r="Q32" s="10">
        <v>83</v>
      </c>
      <c r="R32" s="10">
        <v>89</v>
      </c>
      <c r="S32" s="10">
        <v>103</v>
      </c>
      <c r="T32" s="10">
        <v>112</v>
      </c>
      <c r="U32" s="10">
        <v>116</v>
      </c>
      <c r="V32" s="10"/>
      <c r="W32" s="24"/>
      <c r="X32" s="35"/>
      <c r="Y32" s="35"/>
      <c r="Z32" s="10"/>
      <c r="AA32" s="10"/>
      <c r="AB32" s="10"/>
      <c r="AC32" s="10"/>
      <c r="AD32" s="10"/>
    </row>
    <row r="33" spans="1:30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38</v>
      </c>
      <c r="F33" s="9">
        <v>15</v>
      </c>
      <c r="G33" s="9">
        <v>21</v>
      </c>
      <c r="H33" s="9">
        <v>34</v>
      </c>
      <c r="I33" s="34">
        <v>39</v>
      </c>
      <c r="J33" s="34">
        <v>54</v>
      </c>
      <c r="K33" s="34">
        <v>59</v>
      </c>
      <c r="L33" s="34">
        <v>65</v>
      </c>
      <c r="M33" s="23">
        <v>71</v>
      </c>
      <c r="N33" s="9">
        <v>76</v>
      </c>
      <c r="O33" s="9">
        <v>71</v>
      </c>
      <c r="P33" s="9">
        <v>75</v>
      </c>
      <c r="Q33" s="9">
        <v>80</v>
      </c>
      <c r="R33" s="9">
        <v>86</v>
      </c>
      <c r="S33" s="9">
        <v>96</v>
      </c>
      <c r="T33" s="9">
        <v>107</v>
      </c>
      <c r="U33" s="9">
        <v>111</v>
      </c>
      <c r="V33" s="9"/>
      <c r="W33" s="23"/>
      <c r="X33" s="34"/>
      <c r="Y33" s="34"/>
      <c r="Z33" s="9"/>
      <c r="AA33" s="9"/>
      <c r="AB33" s="9"/>
      <c r="AC33" s="9"/>
      <c r="AD33" s="9"/>
    </row>
    <row r="34" spans="1:30" ht="19.899999999999999" customHeight="1" thickBot="1" x14ac:dyDescent="0.25">
      <c r="A34" s="31"/>
      <c r="B34" s="14"/>
      <c r="C34" s="16"/>
      <c r="D34" s="17" t="s">
        <v>11</v>
      </c>
      <c r="E34" s="47" t="s">
        <v>38</v>
      </c>
      <c r="F34" s="10">
        <v>13</v>
      </c>
      <c r="G34" s="10">
        <v>19</v>
      </c>
      <c r="H34" s="10">
        <v>28</v>
      </c>
      <c r="I34" s="35">
        <v>35</v>
      </c>
      <c r="J34" s="35">
        <v>51</v>
      </c>
      <c r="K34" s="35">
        <v>57</v>
      </c>
      <c r="L34" s="35">
        <v>63</v>
      </c>
      <c r="M34" s="24">
        <v>70</v>
      </c>
      <c r="N34" s="10">
        <v>76</v>
      </c>
      <c r="O34" s="10">
        <v>79</v>
      </c>
      <c r="P34" s="10">
        <v>81</v>
      </c>
      <c r="Q34" s="10">
        <v>86</v>
      </c>
      <c r="R34" s="10">
        <v>90</v>
      </c>
      <c r="S34" s="10">
        <v>103</v>
      </c>
      <c r="T34" s="10">
        <v>115</v>
      </c>
      <c r="U34" s="10">
        <v>123</v>
      </c>
      <c r="V34" s="10"/>
      <c r="W34" s="24"/>
      <c r="X34" s="35"/>
      <c r="Y34" s="35"/>
      <c r="Z34" s="10"/>
      <c r="AA34" s="10"/>
      <c r="AB34" s="10"/>
      <c r="AC34" s="10"/>
      <c r="AD34" s="10"/>
    </row>
    <row r="35" spans="1:30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14</v>
      </c>
      <c r="G35" s="9">
        <v>17</v>
      </c>
      <c r="H35" s="9">
        <v>29</v>
      </c>
      <c r="I35" s="34">
        <v>34</v>
      </c>
      <c r="J35" s="34">
        <v>47</v>
      </c>
      <c r="K35" s="34">
        <v>54</v>
      </c>
      <c r="L35" s="34">
        <v>59</v>
      </c>
      <c r="M35" s="23">
        <v>64</v>
      </c>
      <c r="N35" s="9">
        <v>65</v>
      </c>
      <c r="O35" s="9">
        <v>67</v>
      </c>
      <c r="P35" s="9">
        <v>68</v>
      </c>
      <c r="Q35" s="9">
        <v>71</v>
      </c>
      <c r="R35" s="9">
        <v>76</v>
      </c>
      <c r="S35" s="9">
        <v>84</v>
      </c>
      <c r="T35" s="9">
        <v>93</v>
      </c>
      <c r="U35" s="9">
        <v>98</v>
      </c>
      <c r="V35" s="9"/>
      <c r="W35" s="23"/>
      <c r="X35" s="34"/>
      <c r="Y35" s="34"/>
      <c r="Z35" s="9"/>
      <c r="AA35" s="9"/>
      <c r="AB35" s="9"/>
      <c r="AC35" s="9"/>
      <c r="AD35" s="9"/>
    </row>
    <row r="36" spans="1:30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10</v>
      </c>
      <c r="G36" s="10">
        <v>15</v>
      </c>
      <c r="H36" s="10">
        <v>28</v>
      </c>
      <c r="I36" s="35">
        <v>37</v>
      </c>
      <c r="J36" s="35">
        <v>50</v>
      </c>
      <c r="K36" s="35">
        <v>59</v>
      </c>
      <c r="L36" s="35">
        <v>68</v>
      </c>
      <c r="M36" s="24">
        <v>78</v>
      </c>
      <c r="N36" s="10">
        <v>78</v>
      </c>
      <c r="O36" s="10">
        <v>80</v>
      </c>
      <c r="P36" s="10">
        <v>82</v>
      </c>
      <c r="Q36" s="10">
        <v>85</v>
      </c>
      <c r="R36" s="10">
        <v>92</v>
      </c>
      <c r="S36" s="10">
        <v>100</v>
      </c>
      <c r="T36" s="10">
        <v>107</v>
      </c>
      <c r="U36" s="10">
        <v>111</v>
      </c>
      <c r="V36" s="10"/>
      <c r="W36" s="24"/>
      <c r="X36" s="35"/>
      <c r="Y36" s="35"/>
      <c r="Z36" s="10"/>
      <c r="AA36" s="10"/>
      <c r="AB36" s="10"/>
      <c r="AC36" s="10"/>
      <c r="AD36" s="10"/>
    </row>
    <row r="37" spans="1:30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13</v>
      </c>
      <c r="G37" s="9">
        <v>19</v>
      </c>
      <c r="H37" s="9">
        <v>30</v>
      </c>
      <c r="I37" s="34">
        <v>41</v>
      </c>
      <c r="J37" s="34">
        <v>56</v>
      </c>
      <c r="K37" s="34">
        <v>59</v>
      </c>
      <c r="L37" s="34">
        <v>62</v>
      </c>
      <c r="M37" s="23">
        <v>65</v>
      </c>
      <c r="N37" s="9">
        <v>66</v>
      </c>
      <c r="O37" s="9">
        <v>65</v>
      </c>
      <c r="P37" s="9">
        <v>65</v>
      </c>
      <c r="Q37" s="9">
        <v>67</v>
      </c>
      <c r="R37" s="9">
        <v>70</v>
      </c>
      <c r="S37" s="9">
        <v>76</v>
      </c>
      <c r="T37" s="9">
        <v>82</v>
      </c>
      <c r="U37" s="9">
        <v>86</v>
      </c>
      <c r="V37" s="9"/>
      <c r="W37" s="23"/>
      <c r="X37" s="34"/>
      <c r="Y37" s="34"/>
      <c r="Z37" s="9"/>
      <c r="AA37" s="9"/>
      <c r="AB37" s="9"/>
      <c r="AC37" s="9"/>
      <c r="AD37" s="9"/>
    </row>
    <row r="38" spans="1:30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16</v>
      </c>
      <c r="G38" s="10">
        <v>20</v>
      </c>
      <c r="H38" s="10">
        <v>31</v>
      </c>
      <c r="I38" s="35">
        <v>38</v>
      </c>
      <c r="J38" s="35">
        <v>43</v>
      </c>
      <c r="K38" s="35">
        <v>49</v>
      </c>
      <c r="L38" s="35">
        <v>54</v>
      </c>
      <c r="M38" s="24">
        <v>60</v>
      </c>
      <c r="N38" s="10">
        <v>60</v>
      </c>
      <c r="O38" s="10">
        <v>58</v>
      </c>
      <c r="P38" s="10">
        <v>63</v>
      </c>
      <c r="Q38" s="10">
        <v>65</v>
      </c>
      <c r="R38" s="10">
        <v>71</v>
      </c>
      <c r="S38" s="10">
        <v>74</v>
      </c>
      <c r="T38" s="10">
        <v>80</v>
      </c>
      <c r="U38" s="10">
        <v>84</v>
      </c>
      <c r="V38" s="10"/>
      <c r="W38" s="24"/>
      <c r="X38" s="35"/>
      <c r="Y38" s="35"/>
      <c r="Z38" s="10"/>
      <c r="AA38" s="10"/>
      <c r="AB38" s="10"/>
      <c r="AC38" s="10"/>
      <c r="AD38" s="10"/>
    </row>
    <row r="39" spans="1:30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35</v>
      </c>
      <c r="F39" s="9">
        <v>16</v>
      </c>
      <c r="G39" s="9">
        <v>23</v>
      </c>
      <c r="H39" s="9">
        <v>32</v>
      </c>
      <c r="I39" s="34">
        <v>40</v>
      </c>
      <c r="J39" s="34">
        <v>48</v>
      </c>
      <c r="K39" s="34">
        <v>52</v>
      </c>
      <c r="L39" s="34">
        <v>57</v>
      </c>
      <c r="M39" s="23">
        <v>62</v>
      </c>
      <c r="N39" s="9">
        <v>65</v>
      </c>
      <c r="O39" s="9">
        <v>64</v>
      </c>
      <c r="P39" s="9">
        <v>69</v>
      </c>
      <c r="Q39" s="9">
        <v>73</v>
      </c>
      <c r="R39" s="9">
        <v>78</v>
      </c>
      <c r="S39" s="9">
        <v>83</v>
      </c>
      <c r="T39" s="9">
        <v>87</v>
      </c>
      <c r="U39" s="9">
        <v>89</v>
      </c>
      <c r="V39" s="9"/>
      <c r="W39" s="23"/>
      <c r="X39" s="34"/>
      <c r="Y39" s="34"/>
      <c r="Z39" s="9"/>
      <c r="AA39" s="9"/>
      <c r="AB39" s="9"/>
      <c r="AC39" s="9"/>
      <c r="AD39" s="9"/>
    </row>
    <row r="40" spans="1:30" ht="19.899999999999999" customHeight="1" thickBot="1" x14ac:dyDescent="0.25">
      <c r="A40" s="31"/>
      <c r="B40" s="14"/>
      <c r="C40" s="16"/>
      <c r="D40" s="17" t="s">
        <v>10</v>
      </c>
      <c r="E40" s="47" t="s">
        <v>35</v>
      </c>
      <c r="F40" s="10">
        <v>15</v>
      </c>
      <c r="G40" s="10">
        <v>22</v>
      </c>
      <c r="H40" s="10">
        <v>32</v>
      </c>
      <c r="I40" s="35">
        <v>45</v>
      </c>
      <c r="J40" s="35">
        <v>50</v>
      </c>
      <c r="K40" s="35">
        <v>54</v>
      </c>
      <c r="L40" s="35">
        <v>56</v>
      </c>
      <c r="M40" s="24">
        <v>58</v>
      </c>
      <c r="N40" s="10">
        <v>64</v>
      </c>
      <c r="O40" s="10">
        <v>66</v>
      </c>
      <c r="P40" s="10">
        <v>64</v>
      </c>
      <c r="Q40" s="10">
        <v>71</v>
      </c>
      <c r="R40" s="10">
        <v>79</v>
      </c>
      <c r="S40" s="10">
        <v>88</v>
      </c>
      <c r="T40" s="10">
        <v>95</v>
      </c>
      <c r="U40" s="10">
        <v>97</v>
      </c>
      <c r="V40" s="10"/>
      <c r="W40" s="24"/>
      <c r="X40" s="35"/>
      <c r="Y40" s="35"/>
      <c r="Z40" s="10"/>
      <c r="AA40" s="10"/>
      <c r="AB40" s="10"/>
      <c r="AC40" s="10"/>
      <c r="AD40" s="10"/>
    </row>
    <row r="41" spans="1:30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38</v>
      </c>
      <c r="F41" s="9">
        <v>14</v>
      </c>
      <c r="G41" s="9">
        <v>20</v>
      </c>
      <c r="H41" s="9">
        <v>30</v>
      </c>
      <c r="I41" s="34">
        <v>42</v>
      </c>
      <c r="J41" s="34">
        <v>55</v>
      </c>
      <c r="K41" s="34">
        <v>62</v>
      </c>
      <c r="L41" s="34">
        <v>76</v>
      </c>
      <c r="M41" s="23">
        <v>87</v>
      </c>
      <c r="N41" s="9">
        <v>88</v>
      </c>
      <c r="O41" s="9">
        <v>85</v>
      </c>
      <c r="P41" s="9">
        <v>87</v>
      </c>
      <c r="Q41" s="9">
        <v>92</v>
      </c>
      <c r="R41" s="9">
        <v>99</v>
      </c>
      <c r="S41" s="9">
        <v>109</v>
      </c>
      <c r="T41" s="9">
        <v>118</v>
      </c>
      <c r="U41" s="9">
        <v>123</v>
      </c>
      <c r="V41" s="9"/>
      <c r="W41" s="23"/>
      <c r="X41" s="34"/>
      <c r="Y41" s="34"/>
      <c r="Z41" s="9"/>
      <c r="AA41" s="9"/>
      <c r="AB41" s="9"/>
      <c r="AC41" s="9"/>
      <c r="AD41" s="9"/>
    </row>
    <row r="42" spans="1:30" ht="19.899999999999999" customHeight="1" thickBot="1" x14ac:dyDescent="0.25">
      <c r="A42" s="31"/>
      <c r="B42" s="14"/>
      <c r="C42" s="16"/>
      <c r="D42" s="17" t="s">
        <v>10</v>
      </c>
      <c r="E42" s="47" t="s">
        <v>38</v>
      </c>
      <c r="F42" s="10">
        <v>14</v>
      </c>
      <c r="G42" s="10">
        <v>20</v>
      </c>
      <c r="H42" s="10">
        <v>31</v>
      </c>
      <c r="I42" s="35">
        <v>37</v>
      </c>
      <c r="J42" s="35">
        <v>52</v>
      </c>
      <c r="K42" s="35">
        <v>60</v>
      </c>
      <c r="L42" s="35">
        <v>73</v>
      </c>
      <c r="M42" s="24">
        <v>81</v>
      </c>
      <c r="N42" s="10">
        <v>84</v>
      </c>
      <c r="O42" s="10">
        <v>82</v>
      </c>
      <c r="P42" s="10">
        <v>85</v>
      </c>
      <c r="Q42" s="10">
        <v>87</v>
      </c>
      <c r="R42" s="10">
        <v>93</v>
      </c>
      <c r="S42" s="10">
        <v>118</v>
      </c>
      <c r="T42" s="10">
        <v>124</v>
      </c>
      <c r="U42" s="10">
        <v>129</v>
      </c>
      <c r="V42" s="10"/>
      <c r="W42" s="24"/>
      <c r="X42" s="35"/>
      <c r="Y42" s="35"/>
      <c r="Z42" s="10"/>
      <c r="AA42" s="10"/>
      <c r="AB42" s="10"/>
      <c r="AC42" s="10"/>
      <c r="AD42" s="10"/>
    </row>
    <row r="43" spans="1:30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14</v>
      </c>
      <c r="G43" s="9">
        <v>23</v>
      </c>
      <c r="H43" s="9">
        <v>36</v>
      </c>
      <c r="I43" s="34">
        <v>46</v>
      </c>
      <c r="J43" s="34">
        <v>57</v>
      </c>
      <c r="K43" s="34">
        <v>69</v>
      </c>
      <c r="L43" s="34">
        <v>75</v>
      </c>
      <c r="M43" s="23">
        <v>79</v>
      </c>
      <c r="N43" s="9">
        <v>77</v>
      </c>
      <c r="O43" s="9">
        <v>75</v>
      </c>
      <c r="P43" s="9">
        <v>77</v>
      </c>
      <c r="Q43" s="9">
        <v>80</v>
      </c>
      <c r="R43" s="9">
        <v>82</v>
      </c>
      <c r="S43" s="9">
        <v>89</v>
      </c>
      <c r="T43" s="9">
        <v>98</v>
      </c>
      <c r="U43" s="9">
        <v>105</v>
      </c>
      <c r="V43" s="9"/>
      <c r="W43" s="23"/>
      <c r="X43" s="34"/>
      <c r="Y43" s="34"/>
      <c r="Z43" s="9"/>
      <c r="AA43" s="9"/>
      <c r="AB43" s="9"/>
      <c r="AC43" s="9"/>
      <c r="AD43" s="9"/>
    </row>
    <row r="44" spans="1:30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16</v>
      </c>
      <c r="G44" s="10">
        <v>22</v>
      </c>
      <c r="H44" s="10">
        <v>33</v>
      </c>
      <c r="I44" s="35">
        <v>43</v>
      </c>
      <c r="J44" s="35">
        <v>56</v>
      </c>
      <c r="K44" s="35">
        <v>69</v>
      </c>
      <c r="L44" s="35">
        <v>76</v>
      </c>
      <c r="M44" s="24">
        <v>82</v>
      </c>
      <c r="N44" s="10">
        <v>85</v>
      </c>
      <c r="O44" s="10">
        <v>85</v>
      </c>
      <c r="P44" s="10">
        <v>86</v>
      </c>
      <c r="Q44" s="10">
        <v>88</v>
      </c>
      <c r="R44" s="10">
        <v>91</v>
      </c>
      <c r="S44" s="10">
        <v>96</v>
      </c>
      <c r="T44" s="10">
        <v>102</v>
      </c>
      <c r="U44" s="10">
        <v>108</v>
      </c>
      <c r="V44" s="10"/>
      <c r="W44" s="24"/>
      <c r="X44" s="35"/>
      <c r="Y44" s="35"/>
      <c r="Z44" s="10"/>
      <c r="AA44" s="10"/>
      <c r="AB44" s="10"/>
      <c r="AC44" s="10"/>
      <c r="AD44" s="10"/>
    </row>
    <row r="45" spans="1:30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37</v>
      </c>
      <c r="F45" s="9">
        <v>16</v>
      </c>
      <c r="G45" s="9">
        <v>24</v>
      </c>
      <c r="H45" s="9">
        <v>34</v>
      </c>
      <c r="I45" s="34">
        <v>44</v>
      </c>
      <c r="J45" s="34">
        <v>55</v>
      </c>
      <c r="K45" s="34">
        <v>61</v>
      </c>
      <c r="L45" s="34">
        <v>68</v>
      </c>
      <c r="M45" s="23">
        <v>76</v>
      </c>
      <c r="N45" s="9">
        <v>74</v>
      </c>
      <c r="O45" s="9">
        <v>75</v>
      </c>
      <c r="P45" s="9">
        <v>77</v>
      </c>
      <c r="Q45" s="9">
        <v>82</v>
      </c>
      <c r="R45" s="9">
        <v>85</v>
      </c>
      <c r="S45" s="9">
        <v>93</v>
      </c>
      <c r="T45" s="9">
        <v>100</v>
      </c>
      <c r="U45" s="9">
        <v>105</v>
      </c>
      <c r="V45" s="9"/>
      <c r="W45" s="23"/>
      <c r="X45" s="34"/>
      <c r="Y45" s="34"/>
      <c r="Z45" s="9"/>
      <c r="AA45" s="9"/>
      <c r="AB45" s="9"/>
      <c r="AC45" s="9"/>
      <c r="AD45" s="9"/>
    </row>
    <row r="46" spans="1:30" ht="19.899999999999999" customHeight="1" thickBot="1" x14ac:dyDescent="0.25">
      <c r="A46" s="31"/>
      <c r="B46" s="14"/>
      <c r="C46" s="16"/>
      <c r="D46" s="17" t="s">
        <v>11</v>
      </c>
      <c r="E46" s="47" t="s">
        <v>37</v>
      </c>
      <c r="F46" s="10">
        <v>13</v>
      </c>
      <c r="G46" s="10">
        <v>20</v>
      </c>
      <c r="H46" s="10">
        <v>35</v>
      </c>
      <c r="I46" s="35">
        <v>45</v>
      </c>
      <c r="J46" s="35">
        <v>56</v>
      </c>
      <c r="K46" s="35">
        <v>68</v>
      </c>
      <c r="L46" s="35">
        <v>80</v>
      </c>
      <c r="M46" s="24">
        <v>91</v>
      </c>
      <c r="N46" s="10">
        <v>89</v>
      </c>
      <c r="O46" s="10">
        <v>95</v>
      </c>
      <c r="P46" s="10">
        <v>92</v>
      </c>
      <c r="Q46" s="10">
        <v>96</v>
      </c>
      <c r="R46" s="10">
        <v>99</v>
      </c>
      <c r="S46" s="10">
        <v>113</v>
      </c>
      <c r="T46" s="10">
        <v>120</v>
      </c>
      <c r="U46" s="10">
        <v>126</v>
      </c>
      <c r="V46" s="10"/>
      <c r="W46" s="24"/>
      <c r="X46" s="35"/>
      <c r="Y46" s="35"/>
      <c r="Z46" s="10"/>
      <c r="AA46" s="10"/>
      <c r="AB46" s="10"/>
      <c r="AC46" s="10"/>
      <c r="AD46" s="10"/>
    </row>
    <row r="47" spans="1:30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14</v>
      </c>
      <c r="G47" s="9">
        <v>20</v>
      </c>
      <c r="H47" s="9">
        <v>33</v>
      </c>
      <c r="I47" s="34">
        <v>47</v>
      </c>
      <c r="J47" s="34">
        <v>60</v>
      </c>
      <c r="K47" s="34">
        <v>70</v>
      </c>
      <c r="L47" s="34">
        <v>78</v>
      </c>
      <c r="M47" s="23">
        <v>88</v>
      </c>
      <c r="N47" s="9">
        <v>91</v>
      </c>
      <c r="O47" s="9">
        <v>94</v>
      </c>
      <c r="P47" s="9">
        <v>91</v>
      </c>
      <c r="Q47" s="9">
        <v>93</v>
      </c>
      <c r="R47" s="9">
        <v>98</v>
      </c>
      <c r="S47" s="9">
        <v>108</v>
      </c>
      <c r="T47" s="9">
        <v>118</v>
      </c>
      <c r="U47" s="9">
        <v>124</v>
      </c>
      <c r="V47" s="9"/>
      <c r="W47" s="42"/>
      <c r="X47" s="59"/>
      <c r="Y47" s="59"/>
      <c r="Z47" s="9"/>
      <c r="AA47" s="9"/>
      <c r="AB47" s="9"/>
      <c r="AC47" s="9"/>
      <c r="AD47" s="9"/>
    </row>
    <row r="48" spans="1:30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14</v>
      </c>
      <c r="G48" s="10">
        <v>21</v>
      </c>
      <c r="H48" s="10">
        <v>33</v>
      </c>
      <c r="I48" s="35">
        <v>43</v>
      </c>
      <c r="J48" s="35">
        <v>53</v>
      </c>
      <c r="K48" s="35">
        <v>59</v>
      </c>
      <c r="L48" s="35">
        <v>65</v>
      </c>
      <c r="M48" s="24">
        <v>72</v>
      </c>
      <c r="N48" s="10">
        <v>78</v>
      </c>
      <c r="O48" s="10">
        <v>75</v>
      </c>
      <c r="P48" s="10">
        <v>75</v>
      </c>
      <c r="Q48" s="10">
        <v>78</v>
      </c>
      <c r="R48" s="10">
        <v>83</v>
      </c>
      <c r="S48" s="10">
        <v>89</v>
      </c>
      <c r="T48" s="53">
        <v>95</v>
      </c>
      <c r="U48" s="10">
        <v>100</v>
      </c>
      <c r="V48" s="10"/>
      <c r="W48" s="24"/>
      <c r="X48" s="35"/>
      <c r="Y48" s="35"/>
      <c r="Z48" s="10"/>
      <c r="AA48" s="10"/>
      <c r="AB48" s="10"/>
      <c r="AC48" s="10"/>
      <c r="AD48" s="10"/>
    </row>
    <row r="49" spans="1:30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36</v>
      </c>
      <c r="F49" s="9">
        <v>12</v>
      </c>
      <c r="G49" s="9">
        <v>19</v>
      </c>
      <c r="H49" s="9">
        <v>30</v>
      </c>
      <c r="I49" s="34">
        <v>44</v>
      </c>
      <c r="J49" s="34">
        <v>53</v>
      </c>
      <c r="K49" s="34">
        <v>59</v>
      </c>
      <c r="L49" s="34">
        <v>63</v>
      </c>
      <c r="M49" s="23">
        <v>70</v>
      </c>
      <c r="N49" s="9">
        <v>76</v>
      </c>
      <c r="O49" s="9">
        <v>78</v>
      </c>
      <c r="P49" s="9">
        <v>80</v>
      </c>
      <c r="Q49" s="9">
        <v>79</v>
      </c>
      <c r="R49" s="9">
        <v>81</v>
      </c>
      <c r="S49" s="9">
        <v>86</v>
      </c>
      <c r="T49" s="9">
        <v>92</v>
      </c>
      <c r="U49" s="9">
        <v>93</v>
      </c>
      <c r="V49" s="9"/>
      <c r="W49" s="42"/>
      <c r="X49" s="59"/>
      <c r="Y49" s="59"/>
      <c r="Z49" s="9"/>
      <c r="AA49" s="9"/>
      <c r="AB49" s="9"/>
      <c r="AC49" s="9"/>
      <c r="AD49" s="9"/>
    </row>
    <row r="50" spans="1:30" ht="19.899999999999999" customHeight="1" thickBot="1" x14ac:dyDescent="0.25">
      <c r="A50" s="31"/>
      <c r="B50" s="14"/>
      <c r="C50" s="16"/>
      <c r="D50" s="17" t="s">
        <v>11</v>
      </c>
      <c r="E50" s="47" t="s">
        <v>36</v>
      </c>
      <c r="F50" s="10">
        <v>15</v>
      </c>
      <c r="G50" s="10">
        <v>24</v>
      </c>
      <c r="H50" s="10">
        <v>37</v>
      </c>
      <c r="I50" s="35">
        <v>47</v>
      </c>
      <c r="J50" s="35">
        <v>58</v>
      </c>
      <c r="K50" s="35">
        <v>61</v>
      </c>
      <c r="L50" s="35">
        <v>72</v>
      </c>
      <c r="M50" s="24">
        <v>81</v>
      </c>
      <c r="N50" s="10">
        <v>81</v>
      </c>
      <c r="O50" s="10">
        <v>79</v>
      </c>
      <c r="P50" s="10">
        <v>77</v>
      </c>
      <c r="Q50" s="10">
        <v>78</v>
      </c>
      <c r="R50" s="10">
        <v>79</v>
      </c>
      <c r="S50" s="10">
        <v>85</v>
      </c>
      <c r="T50" s="10">
        <v>93</v>
      </c>
      <c r="U50" s="10">
        <v>97</v>
      </c>
      <c r="V50" s="10"/>
      <c r="W50" s="52"/>
      <c r="X50" s="60"/>
      <c r="Y50" s="60"/>
      <c r="Z50" s="10"/>
      <c r="AA50" s="10"/>
      <c r="AB50" s="10"/>
      <c r="AC50" s="10"/>
      <c r="AD50" s="10"/>
    </row>
    <row r="51" spans="1:30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12</v>
      </c>
      <c r="G51" s="9">
        <v>20</v>
      </c>
      <c r="H51" s="9">
        <v>29</v>
      </c>
      <c r="I51" s="34">
        <v>37</v>
      </c>
      <c r="J51" s="34">
        <v>44</v>
      </c>
      <c r="K51" s="34">
        <v>50</v>
      </c>
      <c r="L51" s="34">
        <v>57</v>
      </c>
      <c r="M51" s="23">
        <v>66</v>
      </c>
      <c r="N51" s="9">
        <v>70</v>
      </c>
      <c r="O51" s="9">
        <v>69</v>
      </c>
      <c r="P51" s="9">
        <v>71</v>
      </c>
      <c r="Q51" s="9">
        <v>73</v>
      </c>
      <c r="R51" s="9">
        <v>76</v>
      </c>
      <c r="S51" s="9">
        <v>81</v>
      </c>
      <c r="T51" s="9">
        <v>84</v>
      </c>
      <c r="U51" s="9">
        <v>86</v>
      </c>
      <c r="V51" s="9"/>
      <c r="W51" s="23"/>
      <c r="X51" s="34"/>
      <c r="Y51" s="34"/>
      <c r="Z51" s="9"/>
      <c r="AA51" s="9"/>
      <c r="AB51" s="9"/>
      <c r="AC51" s="9"/>
      <c r="AD51" s="9"/>
    </row>
    <row r="52" spans="1:30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13</v>
      </c>
      <c r="G52" s="10">
        <v>16</v>
      </c>
      <c r="H52" s="10">
        <v>29</v>
      </c>
      <c r="I52" s="35">
        <v>40</v>
      </c>
      <c r="J52" s="35">
        <v>51</v>
      </c>
      <c r="K52" s="35">
        <v>54</v>
      </c>
      <c r="L52" s="35">
        <v>59</v>
      </c>
      <c r="M52" s="24">
        <v>63</v>
      </c>
      <c r="N52" s="10">
        <v>63</v>
      </c>
      <c r="O52" s="10">
        <v>66</v>
      </c>
      <c r="P52" s="10">
        <v>67</v>
      </c>
      <c r="Q52" s="10">
        <v>70</v>
      </c>
      <c r="R52" s="10">
        <v>70</v>
      </c>
      <c r="S52" s="10">
        <v>74</v>
      </c>
      <c r="T52" s="10">
        <v>80</v>
      </c>
      <c r="U52" s="10">
        <v>84</v>
      </c>
      <c r="V52" s="10"/>
      <c r="W52" s="24"/>
      <c r="X52" s="35"/>
      <c r="Y52" s="35"/>
      <c r="Z52" s="10"/>
      <c r="AA52" s="10"/>
      <c r="AB52" s="10"/>
      <c r="AC52" s="10"/>
      <c r="AD52" s="10"/>
    </row>
    <row r="53" spans="1:30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38</v>
      </c>
      <c r="F53" s="9">
        <v>11</v>
      </c>
      <c r="G53" s="9">
        <v>17</v>
      </c>
      <c r="H53" s="9">
        <v>29</v>
      </c>
      <c r="I53" s="34">
        <v>39</v>
      </c>
      <c r="J53" s="34">
        <v>48</v>
      </c>
      <c r="K53" s="34">
        <v>51</v>
      </c>
      <c r="L53" s="34">
        <v>54</v>
      </c>
      <c r="M53" s="23">
        <v>58</v>
      </c>
      <c r="N53" s="9">
        <v>62</v>
      </c>
      <c r="O53" s="9">
        <v>65</v>
      </c>
      <c r="P53" s="9">
        <v>66</v>
      </c>
      <c r="Q53" s="9">
        <v>68</v>
      </c>
      <c r="R53" s="9">
        <v>71</v>
      </c>
      <c r="S53" s="9">
        <v>76</v>
      </c>
      <c r="T53" s="9">
        <v>82</v>
      </c>
      <c r="U53" s="9">
        <v>85</v>
      </c>
      <c r="V53" s="9"/>
      <c r="W53" s="23"/>
      <c r="X53" s="34"/>
      <c r="Y53" s="34"/>
      <c r="Z53" s="9"/>
      <c r="AA53" s="9"/>
      <c r="AB53" s="9"/>
      <c r="AC53" s="9"/>
      <c r="AD53" s="9"/>
    </row>
    <row r="54" spans="1:30" ht="19.899999999999999" customHeight="1" thickBot="1" x14ac:dyDescent="0.25">
      <c r="A54" s="31"/>
      <c r="B54" s="14"/>
      <c r="C54" s="16"/>
      <c r="D54" s="17" t="s">
        <v>10</v>
      </c>
      <c r="E54" s="47" t="s">
        <v>38</v>
      </c>
      <c r="F54" s="10">
        <v>15</v>
      </c>
      <c r="G54" s="10">
        <v>17</v>
      </c>
      <c r="H54" s="10">
        <v>32</v>
      </c>
      <c r="I54" s="35">
        <v>40</v>
      </c>
      <c r="J54" s="35">
        <v>43</v>
      </c>
      <c r="K54" s="35">
        <v>47</v>
      </c>
      <c r="L54" s="35">
        <v>51</v>
      </c>
      <c r="M54" s="24">
        <v>55</v>
      </c>
      <c r="N54" s="10">
        <v>58</v>
      </c>
      <c r="O54" s="10">
        <v>59</v>
      </c>
      <c r="P54" s="10">
        <v>57</v>
      </c>
      <c r="Q54" s="10">
        <v>60</v>
      </c>
      <c r="R54" s="10">
        <v>62</v>
      </c>
      <c r="S54" s="10">
        <v>67</v>
      </c>
      <c r="T54" s="10">
        <v>76</v>
      </c>
      <c r="U54" s="10">
        <v>82</v>
      </c>
      <c r="V54" s="10"/>
      <c r="W54" s="24"/>
      <c r="X54" s="35"/>
      <c r="Y54" s="35"/>
      <c r="Z54" s="10"/>
      <c r="AA54" s="10"/>
      <c r="AB54" s="10"/>
      <c r="AC54" s="10"/>
      <c r="AD54" s="10"/>
    </row>
    <row r="55" spans="1:30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49</v>
      </c>
      <c r="F55" s="9">
        <v>12</v>
      </c>
      <c r="G55" s="9">
        <v>18</v>
      </c>
      <c r="H55" s="9">
        <v>29</v>
      </c>
      <c r="I55" s="34">
        <v>37</v>
      </c>
      <c r="J55" s="34">
        <v>47</v>
      </c>
      <c r="K55" s="34">
        <v>53</v>
      </c>
      <c r="L55" s="34">
        <v>57</v>
      </c>
      <c r="M55" s="23">
        <v>63</v>
      </c>
      <c r="N55" s="9">
        <v>71</v>
      </c>
      <c r="O55" s="9">
        <v>64</v>
      </c>
      <c r="P55" s="9">
        <v>70</v>
      </c>
      <c r="Q55" s="9">
        <v>71</v>
      </c>
      <c r="R55" s="9">
        <v>72</v>
      </c>
      <c r="S55" s="9">
        <v>76</v>
      </c>
      <c r="T55" s="9">
        <v>81</v>
      </c>
      <c r="U55" s="9">
        <v>87</v>
      </c>
      <c r="V55" s="9"/>
      <c r="W55" s="23"/>
      <c r="X55" s="34"/>
      <c r="Y55" s="34"/>
      <c r="Z55" s="9"/>
      <c r="AA55" s="9"/>
      <c r="AB55" s="9"/>
      <c r="AC55" s="9"/>
      <c r="AD55" s="9"/>
    </row>
    <row r="56" spans="1:30" ht="19.899999999999999" customHeight="1" thickBot="1" x14ac:dyDescent="0.25">
      <c r="A56" s="31"/>
      <c r="B56" s="14"/>
      <c r="C56" s="16"/>
      <c r="D56" s="17" t="s">
        <v>10</v>
      </c>
      <c r="E56" s="47" t="s">
        <v>37</v>
      </c>
      <c r="F56" s="10">
        <v>10</v>
      </c>
      <c r="G56" s="10">
        <v>16</v>
      </c>
      <c r="H56" s="10">
        <v>30</v>
      </c>
      <c r="I56" s="35">
        <v>38</v>
      </c>
      <c r="J56" s="35">
        <v>48</v>
      </c>
      <c r="K56" s="35">
        <v>57</v>
      </c>
      <c r="L56" s="35">
        <v>64</v>
      </c>
      <c r="M56" s="24">
        <v>73</v>
      </c>
      <c r="N56" s="10">
        <v>75</v>
      </c>
      <c r="O56" s="10">
        <v>76</v>
      </c>
      <c r="P56" s="10">
        <v>79</v>
      </c>
      <c r="Q56" s="10">
        <v>84</v>
      </c>
      <c r="R56" s="10">
        <v>88</v>
      </c>
      <c r="S56" s="10">
        <v>94</v>
      </c>
      <c r="T56" s="10">
        <v>97</v>
      </c>
      <c r="U56" s="10">
        <v>97</v>
      </c>
      <c r="V56" s="10"/>
      <c r="W56" s="24"/>
      <c r="X56" s="35"/>
      <c r="Y56" s="35"/>
      <c r="Z56" s="10"/>
      <c r="AA56" s="10"/>
      <c r="AB56" s="10"/>
      <c r="AC56" s="10"/>
      <c r="AD56" s="10"/>
    </row>
    <row r="57" spans="1:30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50</v>
      </c>
      <c r="F57" s="9">
        <v>14</v>
      </c>
      <c r="G57" s="9">
        <v>22</v>
      </c>
      <c r="H57" s="9">
        <v>35</v>
      </c>
      <c r="I57" s="34">
        <v>45</v>
      </c>
      <c r="J57" s="34">
        <v>55</v>
      </c>
      <c r="K57" s="34">
        <v>58</v>
      </c>
      <c r="L57" s="34">
        <v>64</v>
      </c>
      <c r="M57" s="23">
        <v>70</v>
      </c>
      <c r="N57" s="9">
        <v>72</v>
      </c>
      <c r="O57" s="9">
        <v>69</v>
      </c>
      <c r="P57" s="9">
        <v>72</v>
      </c>
      <c r="Q57" s="9">
        <v>74</v>
      </c>
      <c r="R57" s="9">
        <v>75</v>
      </c>
      <c r="S57" s="9">
        <v>78</v>
      </c>
      <c r="T57" s="9">
        <v>82</v>
      </c>
      <c r="U57" s="9">
        <v>89</v>
      </c>
      <c r="V57" s="9"/>
      <c r="W57" s="23"/>
      <c r="X57" s="34"/>
      <c r="Y57" s="34"/>
      <c r="Z57" s="9"/>
      <c r="AA57" s="9"/>
      <c r="AB57" s="9"/>
      <c r="AC57" s="9"/>
      <c r="AD57" s="9"/>
    </row>
    <row r="58" spans="1:30" ht="19.899999999999999" customHeight="1" thickBot="1" x14ac:dyDescent="0.25">
      <c r="A58" s="31"/>
      <c r="B58" s="14"/>
      <c r="C58" s="16"/>
      <c r="D58" s="17" t="s">
        <v>10</v>
      </c>
      <c r="E58" s="47" t="s">
        <v>50</v>
      </c>
      <c r="F58" s="10">
        <v>13</v>
      </c>
      <c r="G58" s="10">
        <v>22</v>
      </c>
      <c r="H58" s="10">
        <v>35</v>
      </c>
      <c r="I58" s="35">
        <v>43</v>
      </c>
      <c r="J58" s="35">
        <v>52</v>
      </c>
      <c r="K58" s="35">
        <v>59</v>
      </c>
      <c r="L58" s="35">
        <v>64</v>
      </c>
      <c r="M58" s="24">
        <v>67</v>
      </c>
      <c r="N58" s="10">
        <v>68</v>
      </c>
      <c r="O58" s="10">
        <v>68</v>
      </c>
      <c r="P58" s="10">
        <v>70</v>
      </c>
      <c r="Q58" s="10">
        <v>73</v>
      </c>
      <c r="R58" s="10">
        <v>74</v>
      </c>
      <c r="S58" s="10">
        <v>76</v>
      </c>
      <c r="T58" s="10">
        <v>81</v>
      </c>
      <c r="U58" s="10">
        <v>88</v>
      </c>
      <c r="V58" s="10"/>
      <c r="W58" s="24"/>
      <c r="X58" s="35"/>
      <c r="Y58" s="35"/>
      <c r="Z58" s="10"/>
      <c r="AA58" s="10"/>
      <c r="AB58" s="10"/>
      <c r="AC58" s="10"/>
      <c r="AD58" s="10"/>
    </row>
    <row r="59" spans="1:30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36</v>
      </c>
      <c r="F59" s="9">
        <v>14</v>
      </c>
      <c r="G59" s="9">
        <v>20</v>
      </c>
      <c r="H59" s="9">
        <v>31</v>
      </c>
      <c r="I59" s="34">
        <v>48</v>
      </c>
      <c r="J59" s="34">
        <v>56</v>
      </c>
      <c r="K59" s="34">
        <v>66</v>
      </c>
      <c r="L59" s="34">
        <v>72</v>
      </c>
      <c r="M59" s="23">
        <v>79</v>
      </c>
      <c r="N59" s="9">
        <v>77</v>
      </c>
      <c r="O59" s="9">
        <v>81</v>
      </c>
      <c r="P59" s="9">
        <v>80</v>
      </c>
      <c r="Q59" s="9">
        <v>82</v>
      </c>
      <c r="R59" s="9">
        <v>82</v>
      </c>
      <c r="S59" s="9">
        <v>85</v>
      </c>
      <c r="T59" s="9">
        <v>94</v>
      </c>
      <c r="U59" s="9">
        <v>102</v>
      </c>
      <c r="V59" s="9"/>
      <c r="W59" s="23"/>
      <c r="X59" s="34"/>
      <c r="Y59" s="34"/>
      <c r="Z59" s="9"/>
      <c r="AA59" s="9"/>
      <c r="AB59" s="9"/>
      <c r="AC59" s="9"/>
      <c r="AD59" s="9"/>
    </row>
    <row r="60" spans="1:30" ht="19.899999999999999" customHeight="1" thickBot="1" x14ac:dyDescent="0.25">
      <c r="A60" s="31"/>
      <c r="B60" s="14"/>
      <c r="C60" s="16"/>
      <c r="D60" s="17" t="s">
        <v>10</v>
      </c>
      <c r="E60" s="47" t="s">
        <v>36</v>
      </c>
      <c r="F60" s="10">
        <v>14</v>
      </c>
      <c r="G60" s="10">
        <v>21</v>
      </c>
      <c r="H60" s="10">
        <v>31</v>
      </c>
      <c r="I60" s="35">
        <v>46</v>
      </c>
      <c r="J60" s="35">
        <v>55</v>
      </c>
      <c r="K60" s="35">
        <v>69</v>
      </c>
      <c r="L60" s="35">
        <v>75</v>
      </c>
      <c r="M60" s="24" t="s">
        <v>62</v>
      </c>
      <c r="N60" s="10">
        <v>78</v>
      </c>
      <c r="O60" s="10">
        <v>78</v>
      </c>
      <c r="P60" s="10">
        <v>79</v>
      </c>
      <c r="Q60" s="10">
        <v>81</v>
      </c>
      <c r="R60" s="10">
        <v>83</v>
      </c>
      <c r="S60" s="10">
        <v>84</v>
      </c>
      <c r="T60" s="10">
        <v>91</v>
      </c>
      <c r="U60" s="10">
        <v>97</v>
      </c>
      <c r="V60" s="10"/>
      <c r="W60" s="24"/>
      <c r="X60" s="35"/>
      <c r="Y60" s="35"/>
      <c r="Z60" s="10"/>
      <c r="AA60" s="10"/>
      <c r="AB60" s="10"/>
      <c r="AC60" s="10"/>
      <c r="AD60" s="10"/>
    </row>
    <row r="61" spans="1:30" x14ac:dyDescent="0.2">
      <c r="Z61" s="53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12" width="11.140625" customWidth="1"/>
    <col min="13" max="17" width="12.7109375" customWidth="1"/>
    <col min="18" max="29" width="11.140625" customWidth="1"/>
  </cols>
  <sheetData>
    <row r="1" spans="1:29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M1" t="s">
        <v>32</v>
      </c>
      <c r="N1" t="s">
        <v>32</v>
      </c>
      <c r="R1" t="s">
        <v>32</v>
      </c>
      <c r="T1" t="s">
        <v>32</v>
      </c>
      <c r="U1" t="s">
        <v>32</v>
      </c>
      <c r="V1" t="s">
        <v>32</v>
      </c>
      <c r="Y1" t="s">
        <v>32</v>
      </c>
      <c r="Z1" t="s">
        <v>32</v>
      </c>
      <c r="AA1" t="s">
        <v>32</v>
      </c>
      <c r="AB1" t="s">
        <v>32</v>
      </c>
      <c r="AC1" t="s">
        <v>32</v>
      </c>
    </row>
    <row r="2" spans="1:29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M2" t="s">
        <v>32</v>
      </c>
      <c r="N2" t="s">
        <v>32</v>
      </c>
      <c r="R2" t="s">
        <v>32</v>
      </c>
      <c r="T2" t="s">
        <v>32</v>
      </c>
      <c r="U2" t="s">
        <v>32</v>
      </c>
      <c r="V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32</v>
      </c>
    </row>
    <row r="3" spans="1:29" ht="15" x14ac:dyDescent="0.25">
      <c r="A3" t="s">
        <v>32</v>
      </c>
      <c r="B3" s="30" t="s">
        <v>19</v>
      </c>
      <c r="E3" s="44"/>
      <c r="H3" s="3" t="s">
        <v>31</v>
      </c>
      <c r="I3" s="3"/>
      <c r="J3" s="3"/>
      <c r="K3" s="3"/>
      <c r="L3" s="3"/>
      <c r="N3" t="s">
        <v>32</v>
      </c>
      <c r="R3" t="s">
        <v>32</v>
      </c>
      <c r="T3" t="s">
        <v>32</v>
      </c>
      <c r="U3" t="s">
        <v>32</v>
      </c>
      <c r="V3" t="s">
        <v>32</v>
      </c>
      <c r="Y3" t="s">
        <v>32</v>
      </c>
      <c r="Z3" t="s">
        <v>32</v>
      </c>
      <c r="AA3" t="s">
        <v>32</v>
      </c>
      <c r="AB3" t="s">
        <v>32</v>
      </c>
      <c r="AC3" t="s">
        <v>32</v>
      </c>
    </row>
    <row r="4" spans="1:29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M4" t="s">
        <v>32</v>
      </c>
      <c r="N4" t="s">
        <v>32</v>
      </c>
      <c r="O4" t="s">
        <v>32</v>
      </c>
      <c r="R4" t="s">
        <v>32</v>
      </c>
      <c r="T4" t="s">
        <v>32</v>
      </c>
      <c r="U4" t="s">
        <v>32</v>
      </c>
      <c r="V4" t="s">
        <v>32</v>
      </c>
      <c r="Y4" t="s">
        <v>32</v>
      </c>
      <c r="Z4" t="s">
        <v>32</v>
      </c>
      <c r="AA4" t="s">
        <v>32</v>
      </c>
      <c r="AB4" t="s">
        <v>32</v>
      </c>
      <c r="AC4" t="s">
        <v>32</v>
      </c>
    </row>
    <row r="5" spans="1:29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9" x14ac:dyDescent="0.2">
      <c r="B6" s="2"/>
      <c r="E6" s="44"/>
    </row>
    <row r="7" spans="1:29" x14ac:dyDescent="0.2">
      <c r="A7" s="39"/>
      <c r="B7" s="39"/>
      <c r="C7" s="39"/>
      <c r="D7" s="39"/>
      <c r="E7" s="48"/>
      <c r="F7" s="39"/>
      <c r="G7" s="39"/>
      <c r="H7" s="54"/>
      <c r="I7" s="54"/>
      <c r="J7" s="54"/>
      <c r="K7" s="54"/>
      <c r="L7" s="54"/>
      <c r="M7" s="41"/>
      <c r="U7" s="39"/>
      <c r="V7" s="54"/>
      <c r="W7" s="54"/>
      <c r="X7" s="54"/>
      <c r="Y7" s="39"/>
      <c r="Z7" s="39"/>
      <c r="AA7" s="39"/>
    </row>
    <row r="8" spans="1:29" x14ac:dyDescent="0.2">
      <c r="B8" s="2"/>
      <c r="D8" s="49" t="s">
        <v>26</v>
      </c>
      <c r="E8" s="48"/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/>
      <c r="V8" s="39"/>
      <c r="W8" s="39"/>
      <c r="X8" s="39"/>
      <c r="Y8" s="39"/>
      <c r="Z8" s="39"/>
      <c r="AA8" s="39"/>
      <c r="AB8" s="39"/>
      <c r="AC8" s="39"/>
    </row>
    <row r="9" spans="1:29" x14ac:dyDescent="0.2">
      <c r="B9" s="2"/>
      <c r="D9" s="49" t="s">
        <v>27</v>
      </c>
      <c r="E9" s="48"/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44082</v>
      </c>
      <c r="U9" s="22"/>
      <c r="V9" s="22"/>
      <c r="W9" s="22"/>
      <c r="X9" s="22"/>
      <c r="Y9" s="22"/>
      <c r="Z9" s="22"/>
      <c r="AA9" s="22"/>
      <c r="AB9" s="22"/>
      <c r="AC9" s="22"/>
    </row>
    <row r="10" spans="1:29" ht="15.6" customHeight="1" x14ac:dyDescent="0.2">
      <c r="B10" s="5"/>
      <c r="D10" s="49" t="s">
        <v>29</v>
      </c>
      <c r="E10" s="48"/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252</v>
      </c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8.600000000000001" customHeight="1" x14ac:dyDescent="0.2">
      <c r="B11" s="5"/>
      <c r="D11" s="49" t="s">
        <v>28</v>
      </c>
      <c r="E11" s="48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54</v>
      </c>
      <c r="U11" s="57"/>
      <c r="V11" s="40"/>
      <c r="W11" s="40"/>
      <c r="X11" s="40"/>
      <c r="Y11" s="40"/>
      <c r="Z11" s="40"/>
      <c r="AA11" s="57"/>
      <c r="AB11" s="57"/>
      <c r="AC11" s="57"/>
    </row>
    <row r="12" spans="1:29" ht="27.6" customHeight="1" thickBot="1" x14ac:dyDescent="0.25">
      <c r="B12" s="67" t="s">
        <v>7</v>
      </c>
      <c r="C12" s="67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25" t="s">
        <v>16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  <c r="W12" s="25" t="s">
        <v>16</v>
      </c>
      <c r="X12" s="25" t="s">
        <v>16</v>
      </c>
      <c r="Y12" s="25" t="s">
        <v>16</v>
      </c>
      <c r="Z12" s="25" t="s">
        <v>16</v>
      </c>
      <c r="AA12" s="25" t="s">
        <v>16</v>
      </c>
      <c r="AB12" s="25" t="s">
        <v>16</v>
      </c>
      <c r="AC12" s="25" t="s">
        <v>16</v>
      </c>
    </row>
    <row r="13" spans="1:29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38</v>
      </c>
      <c r="F13" s="23">
        <v>9</v>
      </c>
      <c r="G13" s="23">
        <v>16</v>
      </c>
      <c r="H13" s="23">
        <v>29</v>
      </c>
      <c r="I13" s="23">
        <v>33</v>
      </c>
      <c r="J13" s="23">
        <v>44</v>
      </c>
      <c r="K13" s="23">
        <v>50</v>
      </c>
      <c r="L13" s="23">
        <v>55</v>
      </c>
      <c r="M13" s="23">
        <v>60</v>
      </c>
      <c r="N13" s="23">
        <v>73</v>
      </c>
      <c r="O13" s="23">
        <v>74</v>
      </c>
      <c r="P13" s="23">
        <v>78</v>
      </c>
      <c r="Q13" s="23">
        <v>83</v>
      </c>
      <c r="R13" s="23">
        <v>89</v>
      </c>
      <c r="S13" s="23" t="s">
        <v>53</v>
      </c>
      <c r="T13" s="42" t="s">
        <v>53</v>
      </c>
      <c r="U13" s="23"/>
      <c r="V13" s="23"/>
      <c r="W13" s="23"/>
      <c r="X13" s="42"/>
      <c r="Y13" s="42"/>
      <c r="Z13" s="42"/>
      <c r="AA13" s="42"/>
      <c r="AB13" s="42"/>
      <c r="AC13" s="23"/>
    </row>
    <row r="14" spans="1:29" ht="19.899999999999999" customHeight="1" thickBot="1" x14ac:dyDescent="0.25">
      <c r="B14" s="14"/>
      <c r="C14" s="16"/>
      <c r="D14" s="17" t="s">
        <v>11</v>
      </c>
      <c r="E14" s="47" t="s">
        <v>38</v>
      </c>
      <c r="F14" s="24">
        <v>13</v>
      </c>
      <c r="G14" s="24">
        <v>21</v>
      </c>
      <c r="H14" s="24">
        <v>30</v>
      </c>
      <c r="I14" s="24">
        <v>39</v>
      </c>
      <c r="J14" s="24">
        <v>50</v>
      </c>
      <c r="K14" s="24">
        <v>56</v>
      </c>
      <c r="L14" s="24">
        <v>60</v>
      </c>
      <c r="M14" s="24">
        <v>65</v>
      </c>
      <c r="N14" s="24">
        <v>77</v>
      </c>
      <c r="O14" s="24">
        <v>73</v>
      </c>
      <c r="P14" s="24">
        <v>80</v>
      </c>
      <c r="Q14" s="24">
        <v>84</v>
      </c>
      <c r="R14" s="24">
        <v>87</v>
      </c>
      <c r="S14" s="24" t="s">
        <v>53</v>
      </c>
      <c r="T14" s="24" t="s">
        <v>53</v>
      </c>
      <c r="U14" s="24"/>
      <c r="V14" s="24"/>
      <c r="W14" s="24"/>
      <c r="X14" s="24"/>
      <c r="Y14" s="24"/>
      <c r="Z14" s="24"/>
      <c r="AA14" s="24"/>
      <c r="AB14" s="24"/>
      <c r="AC14" s="24"/>
    </row>
    <row r="15" spans="1:29" ht="19.899999999999999" customHeight="1" thickBot="1" x14ac:dyDescent="0.25">
      <c r="B15" s="11" t="s">
        <v>0</v>
      </c>
      <c r="C15" s="15">
        <v>2</v>
      </c>
      <c r="D15" s="13" t="s">
        <v>10</v>
      </c>
      <c r="E15" s="46" t="s">
        <v>35</v>
      </c>
      <c r="F15" s="23">
        <v>15</v>
      </c>
      <c r="G15" s="23">
        <v>25</v>
      </c>
      <c r="H15" s="23">
        <v>32</v>
      </c>
      <c r="I15" s="23">
        <v>40</v>
      </c>
      <c r="J15" s="23">
        <v>48</v>
      </c>
      <c r="K15" s="23">
        <v>53</v>
      </c>
      <c r="L15" s="23">
        <v>55</v>
      </c>
      <c r="M15" s="23">
        <v>57</v>
      </c>
      <c r="N15" s="23">
        <v>57</v>
      </c>
      <c r="O15" s="23">
        <v>59</v>
      </c>
      <c r="P15" s="23">
        <v>61</v>
      </c>
      <c r="Q15" s="23">
        <v>62</v>
      </c>
      <c r="R15" s="23">
        <v>65</v>
      </c>
      <c r="S15" s="23">
        <v>72</v>
      </c>
      <c r="T15" s="24">
        <v>71</v>
      </c>
      <c r="U15" s="23"/>
      <c r="V15" s="23"/>
      <c r="W15" s="23"/>
      <c r="X15" s="42"/>
      <c r="Y15" s="23"/>
      <c r="Z15" s="23"/>
      <c r="AA15" s="23"/>
      <c r="AB15" s="23"/>
      <c r="AC15" s="23"/>
    </row>
    <row r="16" spans="1:29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35</v>
      </c>
      <c r="F16" s="24">
        <v>9</v>
      </c>
      <c r="G16" s="24">
        <v>17</v>
      </c>
      <c r="H16" s="24">
        <v>24</v>
      </c>
      <c r="I16" s="24">
        <v>31</v>
      </c>
      <c r="J16" s="24">
        <v>37</v>
      </c>
      <c r="K16" s="24">
        <v>41</v>
      </c>
      <c r="L16" s="24">
        <v>44</v>
      </c>
      <c r="M16" s="24">
        <v>47</v>
      </c>
      <c r="N16" s="24">
        <v>53</v>
      </c>
      <c r="O16" s="24">
        <v>50</v>
      </c>
      <c r="P16" s="24">
        <v>52</v>
      </c>
      <c r="Q16" s="24">
        <v>55</v>
      </c>
      <c r="R16" s="24">
        <v>58</v>
      </c>
      <c r="S16" s="24">
        <v>63</v>
      </c>
      <c r="T16" s="24">
        <v>72</v>
      </c>
      <c r="U16" s="24"/>
      <c r="V16" s="24"/>
      <c r="W16" s="52"/>
      <c r="X16" s="52"/>
      <c r="Y16" s="24"/>
      <c r="Z16" s="24"/>
      <c r="AA16" s="24"/>
      <c r="AB16" s="24"/>
      <c r="AC16" s="24"/>
    </row>
    <row r="17" spans="1:29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15</v>
      </c>
      <c r="G17" s="23">
        <v>23</v>
      </c>
      <c r="H17" s="23">
        <v>32</v>
      </c>
      <c r="I17" s="23">
        <v>38</v>
      </c>
      <c r="J17" s="23">
        <v>48</v>
      </c>
      <c r="K17" s="23">
        <v>53</v>
      </c>
      <c r="L17" s="23">
        <v>55</v>
      </c>
      <c r="M17" s="23">
        <v>57</v>
      </c>
      <c r="N17" s="23">
        <v>58</v>
      </c>
      <c r="O17" s="23">
        <v>52</v>
      </c>
      <c r="P17" s="23">
        <v>54</v>
      </c>
      <c r="Q17" s="23">
        <v>53</v>
      </c>
      <c r="R17" s="23">
        <v>54</v>
      </c>
      <c r="S17" s="23">
        <v>61</v>
      </c>
      <c r="T17" s="23">
        <v>73</v>
      </c>
      <c r="U17" s="23"/>
      <c r="V17" s="23"/>
      <c r="W17" s="23"/>
      <c r="X17" s="23"/>
      <c r="Y17" s="23"/>
      <c r="Z17" s="23"/>
      <c r="AA17" s="23"/>
      <c r="AB17" s="23"/>
      <c r="AC17" s="23"/>
    </row>
    <row r="18" spans="1:29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11</v>
      </c>
      <c r="G18" s="24">
        <v>21</v>
      </c>
      <c r="H18" s="24">
        <v>32</v>
      </c>
      <c r="I18" s="24">
        <v>40</v>
      </c>
      <c r="J18" s="24">
        <v>48</v>
      </c>
      <c r="K18" s="24">
        <v>53</v>
      </c>
      <c r="L18" s="24">
        <v>57</v>
      </c>
      <c r="M18" s="24">
        <v>62</v>
      </c>
      <c r="N18" s="24">
        <v>71</v>
      </c>
      <c r="O18" s="24">
        <v>63</v>
      </c>
      <c r="P18" s="24">
        <v>70</v>
      </c>
      <c r="Q18" s="24">
        <v>72</v>
      </c>
      <c r="R18" s="24">
        <v>76</v>
      </c>
      <c r="S18" s="24">
        <v>79</v>
      </c>
      <c r="T18" s="24">
        <v>84</v>
      </c>
      <c r="U18" s="24"/>
      <c r="V18" s="24"/>
      <c r="W18" s="24"/>
      <c r="X18" s="52"/>
      <c r="Y18" s="24"/>
      <c r="Z18" s="24"/>
      <c r="AA18" s="24"/>
      <c r="AB18" s="24"/>
      <c r="AC18" s="24"/>
    </row>
    <row r="19" spans="1:29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38</v>
      </c>
      <c r="F19" s="23">
        <v>12</v>
      </c>
      <c r="G19" s="23">
        <v>21</v>
      </c>
      <c r="H19" s="23">
        <v>28</v>
      </c>
      <c r="I19" s="23">
        <v>36</v>
      </c>
      <c r="J19" s="23">
        <v>46</v>
      </c>
      <c r="K19" s="23">
        <v>52</v>
      </c>
      <c r="L19" s="23">
        <v>55</v>
      </c>
      <c r="M19" s="23">
        <v>61</v>
      </c>
      <c r="N19" s="23">
        <v>74</v>
      </c>
      <c r="O19" s="23">
        <v>66</v>
      </c>
      <c r="P19" s="23">
        <v>72</v>
      </c>
      <c r="Q19" s="23">
        <v>75</v>
      </c>
      <c r="R19" s="23">
        <v>79</v>
      </c>
      <c r="S19" s="23">
        <v>86</v>
      </c>
      <c r="T19" s="23" t="s">
        <v>53</v>
      </c>
      <c r="U19" s="23"/>
      <c r="V19" s="23"/>
      <c r="W19" s="23"/>
      <c r="X19" s="42"/>
      <c r="Y19" s="23"/>
      <c r="Z19" s="23"/>
      <c r="AA19" s="23"/>
      <c r="AB19" s="23"/>
      <c r="AC19" s="23"/>
    </row>
    <row r="20" spans="1:29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38</v>
      </c>
      <c r="F20" s="24">
        <v>9</v>
      </c>
      <c r="G20" s="24">
        <v>20</v>
      </c>
      <c r="H20" s="24">
        <v>26</v>
      </c>
      <c r="I20" s="24">
        <v>38</v>
      </c>
      <c r="J20" s="24">
        <v>47</v>
      </c>
      <c r="K20" s="24">
        <v>55</v>
      </c>
      <c r="L20" s="24">
        <v>61</v>
      </c>
      <c r="M20" s="24">
        <v>66</v>
      </c>
      <c r="N20" s="24">
        <v>68</v>
      </c>
      <c r="O20" s="24">
        <v>61</v>
      </c>
      <c r="P20" s="24">
        <v>66</v>
      </c>
      <c r="Q20" s="24">
        <v>71</v>
      </c>
      <c r="R20" s="24">
        <v>77</v>
      </c>
      <c r="S20" s="24">
        <v>85</v>
      </c>
      <c r="T20" s="24">
        <v>91</v>
      </c>
      <c r="U20" s="24"/>
      <c r="V20" s="24"/>
      <c r="W20" s="24"/>
      <c r="X20" s="52"/>
      <c r="Y20" s="24"/>
      <c r="Z20" s="24"/>
      <c r="AA20" s="24"/>
      <c r="AB20" s="24"/>
      <c r="AC20" s="24"/>
    </row>
    <row r="21" spans="1:29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37</v>
      </c>
      <c r="F21" s="23">
        <v>8</v>
      </c>
      <c r="G21" s="23">
        <v>16</v>
      </c>
      <c r="H21" s="23">
        <v>23</v>
      </c>
      <c r="I21" s="23">
        <v>30</v>
      </c>
      <c r="J21" s="23">
        <v>38</v>
      </c>
      <c r="K21" s="23">
        <v>40</v>
      </c>
      <c r="L21" s="23">
        <v>42</v>
      </c>
      <c r="M21" s="23">
        <v>42</v>
      </c>
      <c r="N21" s="23">
        <v>48</v>
      </c>
      <c r="O21" s="23">
        <v>43</v>
      </c>
      <c r="P21" s="23">
        <v>45</v>
      </c>
      <c r="Q21" s="23">
        <v>46</v>
      </c>
      <c r="R21" s="23">
        <v>44</v>
      </c>
      <c r="S21" s="23">
        <v>59</v>
      </c>
      <c r="T21" s="23">
        <v>78</v>
      </c>
      <c r="U21" s="23"/>
      <c r="V21" s="23"/>
      <c r="W21" s="42"/>
      <c r="X21" s="42"/>
      <c r="Y21" s="23"/>
      <c r="Z21" s="23"/>
      <c r="AA21" s="23"/>
      <c r="AB21" s="23"/>
      <c r="AC21" s="23"/>
    </row>
    <row r="22" spans="1:29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37</v>
      </c>
      <c r="F22" s="24">
        <v>11</v>
      </c>
      <c r="G22" s="24">
        <v>14</v>
      </c>
      <c r="H22" s="24">
        <v>27</v>
      </c>
      <c r="I22" s="24">
        <v>33</v>
      </c>
      <c r="J22" s="24">
        <v>43</v>
      </c>
      <c r="K22" s="24">
        <v>49</v>
      </c>
      <c r="L22" s="24">
        <v>55</v>
      </c>
      <c r="M22" s="24">
        <v>54</v>
      </c>
      <c r="N22" s="24">
        <v>61</v>
      </c>
      <c r="O22" s="24">
        <v>59</v>
      </c>
      <c r="P22" s="24">
        <v>60</v>
      </c>
      <c r="Q22" s="24">
        <v>64</v>
      </c>
      <c r="R22" s="24">
        <v>68</v>
      </c>
      <c r="S22" s="24">
        <v>76</v>
      </c>
      <c r="T22" s="24">
        <v>88</v>
      </c>
      <c r="U22" s="24"/>
      <c r="V22" s="24"/>
      <c r="W22" s="24"/>
      <c r="X22" s="52"/>
      <c r="Y22" s="24"/>
      <c r="Z22" s="24"/>
      <c r="AA22" s="24"/>
      <c r="AB22" s="24"/>
      <c r="AC22" s="24"/>
    </row>
    <row r="23" spans="1:29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38</v>
      </c>
      <c r="F23" s="23">
        <v>6</v>
      </c>
      <c r="G23" s="23">
        <v>22</v>
      </c>
      <c r="H23" s="23">
        <v>27</v>
      </c>
      <c r="I23" s="23">
        <v>35</v>
      </c>
      <c r="J23" s="23">
        <v>43</v>
      </c>
      <c r="K23" s="23">
        <v>44</v>
      </c>
      <c r="L23" s="23">
        <v>45</v>
      </c>
      <c r="M23" s="23">
        <v>46</v>
      </c>
      <c r="N23" s="23">
        <v>52</v>
      </c>
      <c r="O23" s="23">
        <v>48</v>
      </c>
      <c r="P23" s="23">
        <v>50</v>
      </c>
      <c r="Q23" s="23">
        <v>51</v>
      </c>
      <c r="R23" s="23">
        <v>55</v>
      </c>
      <c r="S23" s="23">
        <v>62</v>
      </c>
      <c r="T23" s="23">
        <v>72</v>
      </c>
      <c r="U23" s="23"/>
      <c r="V23" s="23"/>
      <c r="W23" s="23"/>
      <c r="X23" s="23"/>
      <c r="Y23" s="23"/>
      <c r="Z23" s="23"/>
      <c r="AA23" s="23"/>
      <c r="AB23" s="23"/>
      <c r="AC23" s="23"/>
    </row>
    <row r="24" spans="1:29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38</v>
      </c>
      <c r="F24" s="24">
        <v>8</v>
      </c>
      <c r="G24" s="24">
        <v>19</v>
      </c>
      <c r="H24" s="24">
        <v>29</v>
      </c>
      <c r="I24" s="24">
        <v>36</v>
      </c>
      <c r="J24" s="24">
        <v>44</v>
      </c>
      <c r="K24" s="24">
        <v>53</v>
      </c>
      <c r="L24" s="24">
        <v>60</v>
      </c>
      <c r="M24" s="24">
        <v>69</v>
      </c>
      <c r="N24" s="24">
        <v>66</v>
      </c>
      <c r="O24" s="24">
        <v>61</v>
      </c>
      <c r="P24" s="24">
        <v>65</v>
      </c>
      <c r="Q24" s="24">
        <v>69</v>
      </c>
      <c r="R24" s="24">
        <v>73</v>
      </c>
      <c r="S24" s="24">
        <v>83</v>
      </c>
      <c r="T24" s="24">
        <v>93</v>
      </c>
      <c r="U24" s="24"/>
      <c r="V24" s="24"/>
      <c r="W24" s="52"/>
      <c r="X24" s="52"/>
      <c r="Y24" s="24"/>
      <c r="Z24" s="24"/>
      <c r="AA24" s="24"/>
      <c r="AB24" s="24"/>
      <c r="AC24" s="24"/>
    </row>
    <row r="25" spans="1:29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11</v>
      </c>
      <c r="G25" s="23">
        <v>17</v>
      </c>
      <c r="H25" s="23">
        <v>29</v>
      </c>
      <c r="I25" s="23">
        <v>36</v>
      </c>
      <c r="J25" s="23">
        <v>47</v>
      </c>
      <c r="K25" s="23">
        <v>50</v>
      </c>
      <c r="L25" s="23">
        <v>53</v>
      </c>
      <c r="M25" s="23">
        <v>52</v>
      </c>
      <c r="N25" s="23">
        <v>56</v>
      </c>
      <c r="O25" s="23">
        <v>53</v>
      </c>
      <c r="P25" s="23">
        <v>55</v>
      </c>
      <c r="Q25" s="23">
        <v>59</v>
      </c>
      <c r="R25" s="23">
        <v>66</v>
      </c>
      <c r="S25" s="23">
        <v>87</v>
      </c>
      <c r="T25" s="23" t="s">
        <v>53</v>
      </c>
      <c r="U25" s="23"/>
      <c r="V25" s="23"/>
      <c r="W25" s="42"/>
      <c r="X25" s="42"/>
      <c r="Y25" s="23"/>
      <c r="Z25" s="23"/>
      <c r="AA25" s="23"/>
      <c r="AB25" s="23"/>
      <c r="AC25" s="23"/>
    </row>
    <row r="26" spans="1:29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10</v>
      </c>
      <c r="G26" s="24">
        <v>19</v>
      </c>
      <c r="H26" s="24">
        <v>31</v>
      </c>
      <c r="I26" s="24">
        <v>38</v>
      </c>
      <c r="J26" s="24">
        <v>47</v>
      </c>
      <c r="K26" s="24">
        <v>53</v>
      </c>
      <c r="L26" s="24">
        <v>58</v>
      </c>
      <c r="M26" s="24">
        <v>64</v>
      </c>
      <c r="N26" s="24">
        <v>71</v>
      </c>
      <c r="O26" s="24">
        <v>68</v>
      </c>
      <c r="P26" s="24">
        <v>76</v>
      </c>
      <c r="Q26" s="24">
        <v>83</v>
      </c>
      <c r="R26" s="24">
        <v>88</v>
      </c>
      <c r="S26" s="24" t="s">
        <v>53</v>
      </c>
      <c r="T26" s="24" t="s">
        <v>53</v>
      </c>
      <c r="U26" s="24"/>
      <c r="V26" s="24"/>
      <c r="W26" s="52"/>
      <c r="X26" s="52"/>
      <c r="Y26" s="24"/>
      <c r="Z26" s="24"/>
      <c r="AA26" s="24"/>
      <c r="AB26" s="24"/>
      <c r="AC26" s="24"/>
    </row>
    <row r="27" spans="1:29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36</v>
      </c>
      <c r="F27" s="23">
        <v>9</v>
      </c>
      <c r="G27" s="23">
        <v>19</v>
      </c>
      <c r="H27" s="23">
        <v>27</v>
      </c>
      <c r="I27" s="23">
        <v>35</v>
      </c>
      <c r="J27" s="23">
        <v>47</v>
      </c>
      <c r="K27" s="23">
        <v>49</v>
      </c>
      <c r="L27" s="23">
        <v>54</v>
      </c>
      <c r="M27" s="23">
        <v>56</v>
      </c>
      <c r="N27" s="23">
        <v>64</v>
      </c>
      <c r="O27" s="23">
        <v>62</v>
      </c>
      <c r="P27" s="23">
        <v>65</v>
      </c>
      <c r="Q27" s="23">
        <v>69</v>
      </c>
      <c r="R27" s="23">
        <v>72</v>
      </c>
      <c r="S27" s="23">
        <v>76</v>
      </c>
      <c r="T27" s="23">
        <v>85</v>
      </c>
      <c r="U27" s="23"/>
      <c r="V27" s="23"/>
      <c r="W27" s="42"/>
      <c r="X27" s="42"/>
      <c r="Y27" s="23"/>
      <c r="Z27" s="23"/>
      <c r="AA27" s="23"/>
      <c r="AB27" s="23"/>
      <c r="AC27" s="23"/>
    </row>
    <row r="28" spans="1:29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36</v>
      </c>
      <c r="F28" s="24">
        <v>10</v>
      </c>
      <c r="G28" s="24">
        <v>19</v>
      </c>
      <c r="H28" s="24">
        <v>29</v>
      </c>
      <c r="I28" s="24">
        <v>37</v>
      </c>
      <c r="J28" s="24">
        <v>49</v>
      </c>
      <c r="K28" s="24">
        <v>58</v>
      </c>
      <c r="L28" s="24">
        <v>62</v>
      </c>
      <c r="M28" s="24">
        <v>67</v>
      </c>
      <c r="N28" s="24">
        <v>73</v>
      </c>
      <c r="O28" s="24">
        <v>68</v>
      </c>
      <c r="P28" s="24">
        <v>70</v>
      </c>
      <c r="Q28" s="24">
        <v>74</v>
      </c>
      <c r="R28" s="24">
        <v>78</v>
      </c>
      <c r="S28" s="24">
        <v>89</v>
      </c>
      <c r="T28" s="24" t="s">
        <v>53</v>
      </c>
      <c r="U28" s="24"/>
      <c r="V28" s="24"/>
      <c r="W28" s="52"/>
      <c r="X28" s="52"/>
      <c r="Y28" s="24"/>
      <c r="Z28" s="24"/>
      <c r="AA28" s="24"/>
      <c r="AB28" s="24"/>
      <c r="AC28" s="24"/>
    </row>
    <row r="29" spans="1:29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36</v>
      </c>
      <c r="F29" s="23">
        <v>11</v>
      </c>
      <c r="G29" s="23">
        <v>21</v>
      </c>
      <c r="H29" s="23">
        <v>27</v>
      </c>
      <c r="I29" s="23">
        <v>40</v>
      </c>
      <c r="J29" s="23">
        <v>46</v>
      </c>
      <c r="K29" s="23">
        <v>54</v>
      </c>
      <c r="L29" s="23">
        <v>61</v>
      </c>
      <c r="M29" s="23">
        <v>64</v>
      </c>
      <c r="N29" s="23">
        <v>68</v>
      </c>
      <c r="O29" s="23">
        <v>68</v>
      </c>
      <c r="P29" s="23">
        <v>71</v>
      </c>
      <c r="Q29" s="23">
        <v>77</v>
      </c>
      <c r="R29" s="23">
        <v>83</v>
      </c>
      <c r="S29" s="23">
        <v>92</v>
      </c>
      <c r="T29" s="23" t="s">
        <v>53</v>
      </c>
      <c r="U29" s="23"/>
      <c r="V29" s="23"/>
      <c r="W29" s="42"/>
      <c r="X29" s="42"/>
      <c r="Y29" s="23"/>
      <c r="Z29" s="23"/>
      <c r="AA29" s="23"/>
      <c r="AB29" s="23"/>
      <c r="AC29" s="23"/>
    </row>
    <row r="30" spans="1:29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36</v>
      </c>
      <c r="F30" s="24">
        <v>13</v>
      </c>
      <c r="G30" s="24">
        <v>21</v>
      </c>
      <c r="H30" s="24">
        <v>30</v>
      </c>
      <c r="I30" s="24">
        <v>37</v>
      </c>
      <c r="J30" s="24">
        <v>51</v>
      </c>
      <c r="K30" s="24">
        <v>59</v>
      </c>
      <c r="L30" s="24">
        <v>63</v>
      </c>
      <c r="M30" s="24">
        <v>66</v>
      </c>
      <c r="N30" s="24">
        <v>68</v>
      </c>
      <c r="O30" s="24">
        <v>62</v>
      </c>
      <c r="P30" s="24">
        <v>64</v>
      </c>
      <c r="Q30" s="24">
        <v>69</v>
      </c>
      <c r="R30" s="24">
        <v>73</v>
      </c>
      <c r="S30" s="24">
        <v>82</v>
      </c>
      <c r="T30" s="24">
        <v>94</v>
      </c>
      <c r="U30" s="24"/>
      <c r="V30" s="24"/>
      <c r="W30" s="24"/>
      <c r="X30" s="52"/>
      <c r="Y30" s="24"/>
      <c r="Z30" s="24"/>
      <c r="AA30" s="24"/>
      <c r="AB30" s="24"/>
      <c r="AC30" s="24"/>
    </row>
    <row r="31" spans="1:29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11</v>
      </c>
      <c r="G31" s="23">
        <v>18</v>
      </c>
      <c r="H31" s="23">
        <v>27</v>
      </c>
      <c r="I31" s="23">
        <v>33</v>
      </c>
      <c r="J31" s="23">
        <v>47</v>
      </c>
      <c r="K31" s="23">
        <v>55</v>
      </c>
      <c r="L31" s="23">
        <v>64</v>
      </c>
      <c r="M31" s="23">
        <v>67</v>
      </c>
      <c r="N31" s="23">
        <v>75</v>
      </c>
      <c r="O31" s="23">
        <v>68</v>
      </c>
      <c r="P31" s="23">
        <v>73</v>
      </c>
      <c r="Q31" s="23">
        <v>82</v>
      </c>
      <c r="R31" s="23">
        <v>96</v>
      </c>
      <c r="S31" s="23" t="s">
        <v>53</v>
      </c>
      <c r="T31" s="23" t="s">
        <v>53</v>
      </c>
      <c r="U31" s="23"/>
      <c r="V31" s="23"/>
      <c r="W31" s="23"/>
      <c r="X31" s="42"/>
      <c r="Y31" s="23"/>
      <c r="Z31" s="23"/>
      <c r="AA31" s="23"/>
      <c r="AB31" s="23"/>
      <c r="AC31" s="23"/>
    </row>
    <row r="32" spans="1:29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11</v>
      </c>
      <c r="G32" s="24">
        <v>18</v>
      </c>
      <c r="H32" s="24">
        <v>28</v>
      </c>
      <c r="I32" s="24">
        <v>32</v>
      </c>
      <c r="J32" s="24">
        <v>47</v>
      </c>
      <c r="K32" s="24">
        <v>56</v>
      </c>
      <c r="L32" s="24">
        <v>61</v>
      </c>
      <c r="M32" s="24">
        <v>66</v>
      </c>
      <c r="N32" s="24">
        <v>70</v>
      </c>
      <c r="O32" s="24">
        <v>67</v>
      </c>
      <c r="P32" s="24">
        <v>71</v>
      </c>
      <c r="Q32" s="24">
        <v>73</v>
      </c>
      <c r="R32" s="24">
        <v>75</v>
      </c>
      <c r="S32" s="24">
        <v>84</v>
      </c>
      <c r="T32" s="24" t="s">
        <v>53</v>
      </c>
      <c r="U32" s="24"/>
      <c r="V32" s="24"/>
      <c r="W32" s="52"/>
      <c r="X32" s="52"/>
      <c r="Y32" s="24"/>
      <c r="Z32" s="24"/>
      <c r="AA32" s="24"/>
      <c r="AB32" s="24"/>
      <c r="AC32" s="24"/>
    </row>
    <row r="33" spans="1:29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38</v>
      </c>
      <c r="F33" s="23">
        <v>12</v>
      </c>
      <c r="G33" s="23">
        <v>20</v>
      </c>
      <c r="H33" s="23">
        <v>29</v>
      </c>
      <c r="I33" s="23">
        <v>35</v>
      </c>
      <c r="J33" s="23">
        <v>45</v>
      </c>
      <c r="K33" s="23">
        <v>49</v>
      </c>
      <c r="L33" s="23">
        <v>50</v>
      </c>
      <c r="M33" s="23">
        <v>55</v>
      </c>
      <c r="N33" s="23">
        <v>64</v>
      </c>
      <c r="O33" s="23">
        <v>63</v>
      </c>
      <c r="P33" s="23">
        <v>67</v>
      </c>
      <c r="Q33" s="23">
        <v>73</v>
      </c>
      <c r="R33" s="23">
        <v>80</v>
      </c>
      <c r="S33" s="23">
        <v>88</v>
      </c>
      <c r="T33" s="23" t="s">
        <v>53</v>
      </c>
      <c r="U33" s="23"/>
      <c r="V33" s="23"/>
      <c r="W33" s="23"/>
      <c r="X33" s="42"/>
      <c r="Y33" s="23"/>
      <c r="Z33" s="23"/>
      <c r="AA33" s="23"/>
      <c r="AB33" s="23"/>
      <c r="AC33" s="23"/>
    </row>
    <row r="34" spans="1:29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38</v>
      </c>
      <c r="F34" s="24">
        <v>10</v>
      </c>
      <c r="G34" s="24">
        <v>18</v>
      </c>
      <c r="H34" s="24">
        <v>25</v>
      </c>
      <c r="I34" s="24">
        <v>40</v>
      </c>
      <c r="J34" s="24">
        <v>47</v>
      </c>
      <c r="K34" s="24">
        <v>52</v>
      </c>
      <c r="L34" s="24">
        <v>58</v>
      </c>
      <c r="M34" s="24">
        <v>60</v>
      </c>
      <c r="N34" s="24">
        <v>69</v>
      </c>
      <c r="O34" s="24">
        <v>62</v>
      </c>
      <c r="P34" s="24">
        <v>67</v>
      </c>
      <c r="Q34" s="24">
        <v>71</v>
      </c>
      <c r="R34" s="24">
        <v>78</v>
      </c>
      <c r="S34" s="24"/>
      <c r="T34" s="24" t="s">
        <v>53</v>
      </c>
      <c r="U34" s="24"/>
      <c r="V34" s="24"/>
      <c r="W34" s="24"/>
      <c r="X34" s="52"/>
      <c r="Y34" s="24"/>
      <c r="Z34" s="24"/>
      <c r="AA34" s="24"/>
      <c r="AB34" s="24"/>
      <c r="AC34" s="24"/>
    </row>
    <row r="35" spans="1:29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10</v>
      </c>
      <c r="G35" s="23">
        <v>14</v>
      </c>
      <c r="H35" s="23">
        <v>25</v>
      </c>
      <c r="I35" s="23">
        <v>31</v>
      </c>
      <c r="J35" s="23">
        <v>39</v>
      </c>
      <c r="K35" s="23">
        <v>42</v>
      </c>
      <c r="L35" s="23">
        <v>44</v>
      </c>
      <c r="M35" s="23">
        <v>47</v>
      </c>
      <c r="N35" s="23">
        <v>56</v>
      </c>
      <c r="O35" s="23">
        <v>53</v>
      </c>
      <c r="P35" s="23">
        <v>59</v>
      </c>
      <c r="Q35" s="23">
        <v>64</v>
      </c>
      <c r="R35" s="23">
        <v>73</v>
      </c>
      <c r="S35" s="23">
        <v>97</v>
      </c>
      <c r="T35" s="23">
        <v>99</v>
      </c>
      <c r="U35" s="23"/>
      <c r="V35" s="23"/>
      <c r="W35" s="42"/>
      <c r="X35" s="42"/>
      <c r="Y35" s="23"/>
      <c r="Z35" s="23"/>
      <c r="AA35" s="23"/>
      <c r="AB35" s="23"/>
      <c r="AC35" s="23"/>
    </row>
    <row r="36" spans="1:29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10</v>
      </c>
      <c r="G36" s="24">
        <v>17</v>
      </c>
      <c r="H36" s="24">
        <v>23</v>
      </c>
      <c r="I36" s="24">
        <v>32</v>
      </c>
      <c r="J36" s="24">
        <v>40</v>
      </c>
      <c r="K36" s="24">
        <v>49</v>
      </c>
      <c r="L36" s="24">
        <v>58</v>
      </c>
      <c r="M36" s="24">
        <v>69</v>
      </c>
      <c r="N36" s="24">
        <v>73</v>
      </c>
      <c r="O36" s="24">
        <v>64</v>
      </c>
      <c r="P36" s="24">
        <v>71</v>
      </c>
      <c r="Q36" s="24">
        <v>79</v>
      </c>
      <c r="R36" s="24">
        <v>87</v>
      </c>
      <c r="S36" s="24" t="s">
        <v>53</v>
      </c>
      <c r="T36" s="24" t="s">
        <v>53</v>
      </c>
      <c r="U36" s="24"/>
      <c r="V36" s="24"/>
      <c r="W36" s="52"/>
      <c r="X36" s="52"/>
      <c r="Y36" s="24"/>
      <c r="Z36" s="24"/>
      <c r="AA36" s="24"/>
      <c r="AB36" s="24"/>
      <c r="AC36" s="24"/>
    </row>
    <row r="37" spans="1:29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11</v>
      </c>
      <c r="G37" s="23">
        <v>21</v>
      </c>
      <c r="H37" s="23">
        <v>28</v>
      </c>
      <c r="I37" s="23">
        <v>35</v>
      </c>
      <c r="J37" s="23">
        <v>43</v>
      </c>
      <c r="K37" s="23">
        <v>48</v>
      </c>
      <c r="L37" s="23">
        <v>51</v>
      </c>
      <c r="M37" s="23">
        <v>53</v>
      </c>
      <c r="N37" s="23">
        <v>57</v>
      </c>
      <c r="O37" s="23">
        <v>60</v>
      </c>
      <c r="P37" s="23">
        <v>62</v>
      </c>
      <c r="Q37" s="23">
        <v>64</v>
      </c>
      <c r="R37" s="23">
        <v>65</v>
      </c>
      <c r="S37" s="23">
        <v>78</v>
      </c>
      <c r="T37" s="23">
        <v>85</v>
      </c>
      <c r="U37" s="23"/>
      <c r="V37" s="23"/>
      <c r="W37" s="23"/>
      <c r="X37" s="42"/>
      <c r="Y37" s="23"/>
      <c r="Z37" s="23"/>
      <c r="AA37" s="23"/>
      <c r="AB37" s="23"/>
      <c r="AC37" s="23"/>
    </row>
    <row r="38" spans="1:29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12</v>
      </c>
      <c r="G38" s="24">
        <v>18</v>
      </c>
      <c r="H38" s="24">
        <v>27</v>
      </c>
      <c r="I38" s="24">
        <v>30</v>
      </c>
      <c r="J38" s="24">
        <v>38</v>
      </c>
      <c r="K38" s="24">
        <v>45</v>
      </c>
      <c r="L38" s="24">
        <v>47</v>
      </c>
      <c r="M38" s="24">
        <v>46</v>
      </c>
      <c r="N38" s="24">
        <v>51</v>
      </c>
      <c r="O38" s="24">
        <v>53</v>
      </c>
      <c r="P38" s="24">
        <v>56</v>
      </c>
      <c r="Q38" s="24">
        <v>61</v>
      </c>
      <c r="R38" s="24">
        <v>66</v>
      </c>
      <c r="S38" s="24">
        <v>76</v>
      </c>
      <c r="T38" s="24">
        <v>84</v>
      </c>
      <c r="U38" s="24"/>
      <c r="V38" s="24"/>
      <c r="W38" s="24"/>
      <c r="X38" s="24"/>
      <c r="Y38" s="24"/>
      <c r="Z38" s="24"/>
      <c r="AA38" s="24"/>
      <c r="AB38" s="24"/>
      <c r="AC38" s="24"/>
    </row>
    <row r="39" spans="1:29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35</v>
      </c>
      <c r="F39" s="23">
        <v>12</v>
      </c>
      <c r="G39" s="23">
        <v>20</v>
      </c>
      <c r="H39" s="23">
        <v>27</v>
      </c>
      <c r="I39" s="23">
        <v>34</v>
      </c>
      <c r="J39" s="23">
        <v>41</v>
      </c>
      <c r="K39" s="23">
        <v>43</v>
      </c>
      <c r="L39" s="23">
        <v>46</v>
      </c>
      <c r="M39" s="23">
        <v>47</v>
      </c>
      <c r="N39" s="23">
        <v>59</v>
      </c>
      <c r="O39" s="23">
        <v>58</v>
      </c>
      <c r="P39" s="23">
        <v>60</v>
      </c>
      <c r="Q39" s="23">
        <v>66</v>
      </c>
      <c r="R39" s="23">
        <v>71</v>
      </c>
      <c r="S39" s="23">
        <v>85</v>
      </c>
      <c r="T39" s="23" t="s">
        <v>53</v>
      </c>
      <c r="U39" s="23"/>
      <c r="V39" s="23"/>
      <c r="W39" s="23"/>
      <c r="X39" s="23"/>
      <c r="Y39" s="23"/>
      <c r="Z39" s="23"/>
      <c r="AA39" s="23"/>
      <c r="AB39" s="23"/>
      <c r="AC39" s="23"/>
    </row>
    <row r="40" spans="1:29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35</v>
      </c>
      <c r="F40" s="24">
        <v>11</v>
      </c>
      <c r="G40" s="24">
        <v>18</v>
      </c>
      <c r="H40" s="24">
        <v>28</v>
      </c>
      <c r="I40" s="24">
        <v>37</v>
      </c>
      <c r="J40" s="24">
        <v>41</v>
      </c>
      <c r="K40" s="24">
        <v>43</v>
      </c>
      <c r="L40" s="24">
        <v>45</v>
      </c>
      <c r="M40" s="24">
        <v>45</v>
      </c>
      <c r="N40" s="24">
        <v>56</v>
      </c>
      <c r="O40" s="24">
        <v>55</v>
      </c>
      <c r="P40" s="24">
        <v>59</v>
      </c>
      <c r="Q40" s="24">
        <v>63</v>
      </c>
      <c r="R40" s="24">
        <v>70</v>
      </c>
      <c r="S40" s="24">
        <v>87</v>
      </c>
      <c r="T40" s="24" t="s">
        <v>53</v>
      </c>
      <c r="U40" s="24"/>
      <c r="V40" s="24"/>
      <c r="W40" s="52"/>
      <c r="X40" s="52"/>
      <c r="Y40" s="24"/>
      <c r="Z40" s="24"/>
      <c r="AA40" s="24"/>
      <c r="AB40" s="24"/>
      <c r="AC40" s="24"/>
    </row>
    <row r="41" spans="1:29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38</v>
      </c>
      <c r="F41" s="23">
        <v>10</v>
      </c>
      <c r="G41" s="23">
        <v>19</v>
      </c>
      <c r="H41" s="23">
        <v>27</v>
      </c>
      <c r="I41" s="23">
        <v>35</v>
      </c>
      <c r="J41" s="23">
        <v>48</v>
      </c>
      <c r="K41" s="23">
        <v>58</v>
      </c>
      <c r="L41" s="23">
        <v>66</v>
      </c>
      <c r="M41" s="23">
        <v>72</v>
      </c>
      <c r="N41" s="23">
        <v>79</v>
      </c>
      <c r="O41" s="23">
        <v>79</v>
      </c>
      <c r="P41" s="23">
        <v>86</v>
      </c>
      <c r="Q41" s="23">
        <v>95</v>
      </c>
      <c r="R41" s="23" t="s">
        <v>53</v>
      </c>
      <c r="S41" s="23" t="s">
        <v>53</v>
      </c>
      <c r="T41" s="23" t="s">
        <v>53</v>
      </c>
      <c r="U41" s="23"/>
      <c r="V41" s="23"/>
      <c r="W41" s="23"/>
      <c r="X41" s="42"/>
      <c r="Y41" s="23"/>
      <c r="Z41" s="23"/>
      <c r="AA41" s="23"/>
      <c r="AB41" s="23"/>
      <c r="AC41" s="23"/>
    </row>
    <row r="42" spans="1:29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38</v>
      </c>
      <c r="F42" s="24">
        <v>11</v>
      </c>
      <c r="G42" s="24">
        <v>19</v>
      </c>
      <c r="H42" s="24">
        <v>27</v>
      </c>
      <c r="I42" s="24">
        <v>30</v>
      </c>
      <c r="J42" s="24">
        <v>47</v>
      </c>
      <c r="K42" s="24">
        <v>57</v>
      </c>
      <c r="L42" s="24">
        <v>67</v>
      </c>
      <c r="M42" s="24">
        <v>70</v>
      </c>
      <c r="N42" s="24">
        <v>72</v>
      </c>
      <c r="O42" s="24">
        <v>69</v>
      </c>
      <c r="P42" s="24">
        <v>74</v>
      </c>
      <c r="Q42" s="24">
        <v>80</v>
      </c>
      <c r="R42" s="24">
        <v>89</v>
      </c>
      <c r="S42" s="24" t="s">
        <v>53</v>
      </c>
      <c r="T42" s="24" t="s">
        <v>53</v>
      </c>
      <c r="U42" s="24"/>
      <c r="V42" s="24"/>
      <c r="W42" s="52"/>
      <c r="X42" s="52"/>
      <c r="Y42" s="24"/>
      <c r="Z42" s="24"/>
      <c r="AA42" s="24"/>
      <c r="AB42" s="24"/>
      <c r="AC42" s="24"/>
    </row>
    <row r="43" spans="1:29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12</v>
      </c>
      <c r="G43" s="23">
        <v>22</v>
      </c>
      <c r="H43" s="23">
        <v>33</v>
      </c>
      <c r="I43" s="23">
        <v>40</v>
      </c>
      <c r="J43" s="23">
        <v>48</v>
      </c>
      <c r="K43" s="23">
        <v>55</v>
      </c>
      <c r="L43" s="23">
        <v>62</v>
      </c>
      <c r="M43" s="23">
        <v>68</v>
      </c>
      <c r="N43" s="23">
        <v>73</v>
      </c>
      <c r="O43" s="23">
        <v>65</v>
      </c>
      <c r="P43" s="23">
        <v>70</v>
      </c>
      <c r="Q43" s="23">
        <v>76</v>
      </c>
      <c r="R43" s="23">
        <v>81</v>
      </c>
      <c r="S43" s="23">
        <v>92</v>
      </c>
      <c r="T43" s="23" t="s">
        <v>53</v>
      </c>
      <c r="U43" s="23"/>
      <c r="V43" s="23"/>
      <c r="W43" s="23"/>
      <c r="X43" s="42"/>
      <c r="Y43" s="23"/>
      <c r="Z43" s="23"/>
      <c r="AA43" s="23"/>
      <c r="AB43" s="23"/>
      <c r="AC43" s="23"/>
    </row>
    <row r="44" spans="1:29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12</v>
      </c>
      <c r="G44" s="24">
        <v>23</v>
      </c>
      <c r="H44" s="24">
        <v>28</v>
      </c>
      <c r="I44" s="24">
        <v>35</v>
      </c>
      <c r="J44" s="24">
        <v>50</v>
      </c>
      <c r="K44" s="24">
        <v>57</v>
      </c>
      <c r="L44" s="24">
        <v>61</v>
      </c>
      <c r="M44" s="24">
        <v>65</v>
      </c>
      <c r="N44" s="24">
        <v>72</v>
      </c>
      <c r="O44" s="24">
        <v>67</v>
      </c>
      <c r="P44" s="24">
        <v>72</v>
      </c>
      <c r="Q44" s="24">
        <v>77</v>
      </c>
      <c r="R44" s="24">
        <v>84</v>
      </c>
      <c r="S44" s="24">
        <v>95</v>
      </c>
      <c r="T44" s="24" t="s">
        <v>53</v>
      </c>
      <c r="U44" s="24"/>
      <c r="V44" s="24"/>
      <c r="W44" s="24"/>
      <c r="X44" s="52"/>
      <c r="Y44" s="24"/>
      <c r="Z44" s="24"/>
      <c r="AA44" s="24"/>
      <c r="AB44" s="24"/>
      <c r="AC44" s="24"/>
    </row>
    <row r="45" spans="1:29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37</v>
      </c>
      <c r="F45" s="23">
        <v>12</v>
      </c>
      <c r="G45" s="23">
        <v>22</v>
      </c>
      <c r="H45" s="23">
        <v>32</v>
      </c>
      <c r="I45" s="23">
        <v>40</v>
      </c>
      <c r="J45" s="23">
        <v>47</v>
      </c>
      <c r="K45" s="23">
        <v>53</v>
      </c>
      <c r="L45" s="23">
        <v>58</v>
      </c>
      <c r="M45" s="23">
        <v>64</v>
      </c>
      <c r="N45" s="23">
        <v>69</v>
      </c>
      <c r="O45" s="23">
        <v>64</v>
      </c>
      <c r="P45" s="23">
        <v>69</v>
      </c>
      <c r="Q45" s="23">
        <v>75</v>
      </c>
      <c r="R45" s="23">
        <v>81</v>
      </c>
      <c r="S45" s="23">
        <v>90</v>
      </c>
      <c r="T45" s="23" t="s">
        <v>53</v>
      </c>
      <c r="U45" s="23"/>
      <c r="V45" s="23"/>
      <c r="W45" s="23"/>
      <c r="X45" s="42"/>
      <c r="Y45" s="23"/>
      <c r="Z45" s="23"/>
      <c r="AA45" s="23"/>
      <c r="AB45" s="23"/>
      <c r="AC45" s="23"/>
    </row>
    <row r="46" spans="1:29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37</v>
      </c>
      <c r="F46" s="24">
        <v>11</v>
      </c>
      <c r="G46" s="24">
        <v>18</v>
      </c>
      <c r="H46" s="24">
        <v>30</v>
      </c>
      <c r="I46" s="24">
        <v>40</v>
      </c>
      <c r="J46" s="24">
        <v>50</v>
      </c>
      <c r="K46" s="24">
        <v>61</v>
      </c>
      <c r="L46" s="24">
        <v>74</v>
      </c>
      <c r="M46" s="24">
        <v>84</v>
      </c>
      <c r="N46" s="24">
        <v>88</v>
      </c>
      <c r="O46" s="24">
        <v>89</v>
      </c>
      <c r="P46" s="24">
        <v>92</v>
      </c>
      <c r="Q46" s="24">
        <v>98</v>
      </c>
      <c r="R46" s="24" t="s">
        <v>53</v>
      </c>
      <c r="S46" s="24" t="s">
        <v>53</v>
      </c>
      <c r="T46" s="24" t="s">
        <v>53</v>
      </c>
      <c r="U46" s="24"/>
      <c r="V46" s="24"/>
      <c r="W46" s="24"/>
      <c r="X46" s="52"/>
      <c r="Y46" s="24"/>
      <c r="Z46" s="24"/>
      <c r="AA46" s="24"/>
      <c r="AB46" s="24"/>
      <c r="AC46" s="24"/>
    </row>
    <row r="47" spans="1:29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10</v>
      </c>
      <c r="G47" s="23">
        <v>21</v>
      </c>
      <c r="H47" s="23">
        <v>29</v>
      </c>
      <c r="I47" s="23">
        <v>41</v>
      </c>
      <c r="J47" s="23">
        <v>55</v>
      </c>
      <c r="K47" s="23">
        <v>61</v>
      </c>
      <c r="L47" s="23">
        <v>68</v>
      </c>
      <c r="M47" s="23">
        <v>76</v>
      </c>
      <c r="N47" s="23">
        <v>86</v>
      </c>
      <c r="O47" s="42" t="s">
        <v>53</v>
      </c>
      <c r="P47" s="42" t="s">
        <v>53</v>
      </c>
      <c r="Q47" s="42" t="s">
        <v>53</v>
      </c>
      <c r="R47" s="23" t="s">
        <v>53</v>
      </c>
      <c r="S47" s="23" t="s">
        <v>53</v>
      </c>
      <c r="T47" s="23" t="s">
        <v>53</v>
      </c>
      <c r="U47" s="23"/>
      <c r="V47" s="23"/>
      <c r="W47" s="42"/>
      <c r="X47" s="42"/>
      <c r="Y47" s="23"/>
      <c r="Z47" s="23"/>
      <c r="AA47" s="23"/>
      <c r="AB47" s="23"/>
      <c r="AC47" s="23"/>
    </row>
    <row r="48" spans="1:29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12</v>
      </c>
      <c r="G48" s="24">
        <v>20</v>
      </c>
      <c r="H48" s="24">
        <v>33</v>
      </c>
      <c r="I48" s="24">
        <v>37</v>
      </c>
      <c r="J48" s="24">
        <v>46</v>
      </c>
      <c r="K48" s="24">
        <v>51</v>
      </c>
      <c r="L48" s="24">
        <v>59</v>
      </c>
      <c r="M48" s="24">
        <v>65</v>
      </c>
      <c r="N48" s="24">
        <v>70</v>
      </c>
      <c r="O48" s="24">
        <v>67</v>
      </c>
      <c r="P48" s="24">
        <v>69</v>
      </c>
      <c r="Q48" s="24">
        <v>73</v>
      </c>
      <c r="R48" s="24">
        <v>78</v>
      </c>
      <c r="S48" s="24"/>
      <c r="T48" s="24" t="s">
        <v>53</v>
      </c>
      <c r="U48" s="24"/>
      <c r="V48" s="24"/>
      <c r="W48" s="24"/>
      <c r="X48" s="52"/>
      <c r="Y48" s="24"/>
      <c r="Z48" s="24"/>
      <c r="AA48" s="24"/>
      <c r="AB48" s="24"/>
      <c r="AC48" s="24"/>
    </row>
    <row r="49" spans="1:29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36</v>
      </c>
      <c r="F49" s="23">
        <v>9</v>
      </c>
      <c r="G49" s="23">
        <v>18</v>
      </c>
      <c r="H49" s="23">
        <v>29</v>
      </c>
      <c r="I49" s="23">
        <v>42</v>
      </c>
      <c r="J49" s="23">
        <v>49</v>
      </c>
      <c r="K49" s="23">
        <v>54</v>
      </c>
      <c r="L49" s="23">
        <v>57</v>
      </c>
      <c r="M49" s="23">
        <v>58</v>
      </c>
      <c r="N49" s="23">
        <v>64</v>
      </c>
      <c r="O49" s="23">
        <v>68</v>
      </c>
      <c r="P49" s="23">
        <v>70</v>
      </c>
      <c r="Q49" s="23">
        <v>71</v>
      </c>
      <c r="R49" s="23">
        <v>73</v>
      </c>
      <c r="S49" s="23">
        <v>84</v>
      </c>
      <c r="T49" s="23">
        <v>100</v>
      </c>
      <c r="U49" s="23"/>
      <c r="V49" s="23"/>
      <c r="W49" s="42"/>
      <c r="X49" s="42"/>
      <c r="Y49" s="23"/>
      <c r="Z49" s="23"/>
      <c r="AA49" s="23"/>
      <c r="AB49" s="23"/>
      <c r="AC49" s="23"/>
    </row>
    <row r="50" spans="1:29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36</v>
      </c>
      <c r="F50" s="24">
        <v>12</v>
      </c>
      <c r="G50" s="24">
        <v>23</v>
      </c>
      <c r="H50" s="24">
        <v>32</v>
      </c>
      <c r="I50" s="24">
        <v>42</v>
      </c>
      <c r="J50" s="24">
        <v>49</v>
      </c>
      <c r="K50" s="24">
        <v>58</v>
      </c>
      <c r="L50" s="24">
        <v>64</v>
      </c>
      <c r="M50" s="24">
        <v>72</v>
      </c>
      <c r="N50" s="24">
        <v>65</v>
      </c>
      <c r="O50" s="24">
        <v>64</v>
      </c>
      <c r="P50" s="24">
        <v>69</v>
      </c>
      <c r="Q50" s="24">
        <v>72</v>
      </c>
      <c r="R50" s="24">
        <v>74</v>
      </c>
      <c r="S50" s="24">
        <v>82</v>
      </c>
      <c r="T50" s="24">
        <v>91</v>
      </c>
      <c r="U50" s="24"/>
      <c r="V50" s="24"/>
      <c r="W50" s="24"/>
      <c r="X50" s="24"/>
      <c r="Y50" s="24"/>
      <c r="Z50" s="24"/>
      <c r="AA50" s="24"/>
      <c r="AB50" s="24"/>
      <c r="AC50" s="24"/>
    </row>
    <row r="51" spans="1:29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20</v>
      </c>
      <c r="H51" s="23">
        <v>28</v>
      </c>
      <c r="I51" s="23">
        <v>33</v>
      </c>
      <c r="J51" s="23">
        <v>38</v>
      </c>
      <c r="K51" s="23">
        <v>43</v>
      </c>
      <c r="L51" s="23">
        <v>49</v>
      </c>
      <c r="M51" s="23">
        <v>55</v>
      </c>
      <c r="N51" s="23">
        <v>58</v>
      </c>
      <c r="O51" s="23">
        <v>61</v>
      </c>
      <c r="P51" s="23">
        <v>60</v>
      </c>
      <c r="Q51" s="23">
        <v>62</v>
      </c>
      <c r="R51" s="23">
        <v>62</v>
      </c>
      <c r="S51" s="23">
        <v>73</v>
      </c>
      <c r="T51" s="23">
        <v>87</v>
      </c>
      <c r="U51" s="23"/>
      <c r="V51" s="23"/>
      <c r="W51" s="23"/>
      <c r="X51" s="42"/>
      <c r="Y51" s="23"/>
      <c r="Z51" s="23"/>
      <c r="AA51" s="23"/>
      <c r="AB51" s="23"/>
      <c r="AC51" s="23"/>
    </row>
    <row r="52" spans="1:29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10</v>
      </c>
      <c r="G52" s="24">
        <v>19</v>
      </c>
      <c r="H52" s="24">
        <v>26</v>
      </c>
      <c r="I52" s="24">
        <v>35</v>
      </c>
      <c r="J52" s="24">
        <v>42</v>
      </c>
      <c r="K52" s="24">
        <v>47</v>
      </c>
      <c r="L52" s="24">
        <v>49</v>
      </c>
      <c r="M52" s="24">
        <v>52</v>
      </c>
      <c r="N52" s="24">
        <v>52</v>
      </c>
      <c r="O52" s="24">
        <v>51</v>
      </c>
      <c r="P52" s="24">
        <v>52</v>
      </c>
      <c r="Q52" s="24">
        <v>52</v>
      </c>
      <c r="R52" s="24">
        <v>54</v>
      </c>
      <c r="S52" s="24">
        <v>65</v>
      </c>
      <c r="T52" s="24">
        <v>72</v>
      </c>
      <c r="U52" s="24"/>
      <c r="V52" s="24"/>
      <c r="W52" s="24"/>
      <c r="X52" s="24"/>
      <c r="Y52" s="24"/>
      <c r="Z52" s="24"/>
      <c r="AA52" s="24"/>
      <c r="AB52" s="24"/>
      <c r="AC52" s="24"/>
    </row>
    <row r="53" spans="1:29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38</v>
      </c>
      <c r="F53" s="23">
        <v>7</v>
      </c>
      <c r="G53" s="23">
        <v>18</v>
      </c>
      <c r="H53" s="23">
        <v>24</v>
      </c>
      <c r="I53" s="23">
        <v>36</v>
      </c>
      <c r="J53" s="23">
        <v>42</v>
      </c>
      <c r="K53" s="23">
        <v>45</v>
      </c>
      <c r="L53" s="23">
        <v>47</v>
      </c>
      <c r="M53" s="23">
        <v>43</v>
      </c>
      <c r="N53" s="23">
        <v>51</v>
      </c>
      <c r="O53" s="23">
        <v>52</v>
      </c>
      <c r="P53" s="23">
        <v>53</v>
      </c>
      <c r="Q53" s="23">
        <v>55</v>
      </c>
      <c r="R53" s="23">
        <v>57</v>
      </c>
      <c r="S53" s="23">
        <v>67</v>
      </c>
      <c r="T53" s="23">
        <v>73</v>
      </c>
      <c r="U53" s="23"/>
      <c r="V53" s="23"/>
      <c r="W53" s="23"/>
      <c r="X53" s="23"/>
      <c r="Y53" s="23"/>
      <c r="Z53" s="23"/>
      <c r="AA53" s="23"/>
      <c r="AB53" s="23"/>
      <c r="AC53" s="23"/>
    </row>
    <row r="54" spans="1:29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38</v>
      </c>
      <c r="F54" s="24">
        <v>13</v>
      </c>
      <c r="G54" s="24">
        <v>17</v>
      </c>
      <c r="H54" s="24">
        <v>28</v>
      </c>
      <c r="I54" s="24">
        <v>35</v>
      </c>
      <c r="J54" s="24">
        <v>36</v>
      </c>
      <c r="K54" s="24">
        <v>36</v>
      </c>
      <c r="L54" s="24">
        <v>38</v>
      </c>
      <c r="M54" s="24">
        <v>39</v>
      </c>
      <c r="N54" s="24">
        <v>51</v>
      </c>
      <c r="O54" s="24">
        <v>46</v>
      </c>
      <c r="P54" s="24">
        <v>52</v>
      </c>
      <c r="Q54" s="24">
        <v>54</v>
      </c>
      <c r="R54" s="24">
        <v>58</v>
      </c>
      <c r="S54" s="24">
        <v>64</v>
      </c>
      <c r="T54" s="24">
        <v>71</v>
      </c>
      <c r="U54" s="24"/>
      <c r="V54" s="24"/>
      <c r="W54" s="52"/>
      <c r="X54" s="52"/>
      <c r="Y54" s="24"/>
      <c r="Z54" s="24"/>
      <c r="AA54" s="24"/>
      <c r="AB54" s="24"/>
      <c r="AC54" s="24"/>
    </row>
    <row r="55" spans="1:29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49</v>
      </c>
      <c r="F55" s="23">
        <v>10</v>
      </c>
      <c r="G55" s="23">
        <v>16</v>
      </c>
      <c r="H55" s="23">
        <v>28</v>
      </c>
      <c r="I55" s="23">
        <v>33</v>
      </c>
      <c r="J55" s="23">
        <v>43</v>
      </c>
      <c r="K55" s="23">
        <v>48</v>
      </c>
      <c r="L55" s="23">
        <v>51</v>
      </c>
      <c r="M55" s="23">
        <v>54</v>
      </c>
      <c r="N55" s="23">
        <v>58</v>
      </c>
      <c r="O55" s="23">
        <v>55</v>
      </c>
      <c r="P55" s="23">
        <v>60</v>
      </c>
      <c r="Q55" s="23">
        <v>65</v>
      </c>
      <c r="R55" s="23">
        <v>72</v>
      </c>
      <c r="S55" s="23">
        <v>79</v>
      </c>
      <c r="T55" s="23">
        <v>82</v>
      </c>
      <c r="U55" s="23"/>
      <c r="V55" s="23"/>
      <c r="W55" s="42"/>
      <c r="X55" s="42"/>
      <c r="Y55" s="23"/>
      <c r="Z55" s="23"/>
      <c r="AA55" s="23"/>
      <c r="AB55" s="23"/>
      <c r="AC55" s="23"/>
    </row>
    <row r="56" spans="1:29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37</v>
      </c>
      <c r="F56" s="24">
        <v>6</v>
      </c>
      <c r="G56" s="24">
        <v>14</v>
      </c>
      <c r="H56" s="24">
        <v>26</v>
      </c>
      <c r="I56" s="24">
        <v>34</v>
      </c>
      <c r="J56" s="24">
        <v>41</v>
      </c>
      <c r="K56" s="24">
        <v>49</v>
      </c>
      <c r="L56" s="24">
        <v>56</v>
      </c>
      <c r="M56" s="24">
        <v>63</v>
      </c>
      <c r="N56" s="24">
        <v>65</v>
      </c>
      <c r="O56" s="24">
        <v>65</v>
      </c>
      <c r="P56" s="24">
        <v>71</v>
      </c>
      <c r="Q56" s="24">
        <v>79</v>
      </c>
      <c r="R56" s="24">
        <v>87</v>
      </c>
      <c r="S56" s="24">
        <v>97</v>
      </c>
      <c r="T56" s="24" t="s">
        <v>53</v>
      </c>
      <c r="U56" s="24"/>
      <c r="V56" s="24"/>
      <c r="W56" s="52"/>
      <c r="X56" s="52"/>
      <c r="Y56" s="24"/>
      <c r="Z56" s="24"/>
      <c r="AA56" s="24"/>
      <c r="AB56" s="24"/>
      <c r="AC56" s="24"/>
    </row>
    <row r="57" spans="1:29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50</v>
      </c>
      <c r="F57" s="23">
        <v>10</v>
      </c>
      <c r="G57" s="23">
        <v>22</v>
      </c>
      <c r="H57" s="23">
        <v>28</v>
      </c>
      <c r="I57" s="23">
        <v>37</v>
      </c>
      <c r="J57" s="23">
        <v>46</v>
      </c>
      <c r="K57" s="23">
        <v>51</v>
      </c>
      <c r="L57" s="23">
        <v>55</v>
      </c>
      <c r="M57" s="23">
        <v>57</v>
      </c>
      <c r="N57" s="23">
        <v>62</v>
      </c>
      <c r="O57" s="23">
        <v>59</v>
      </c>
      <c r="P57" s="23">
        <v>61</v>
      </c>
      <c r="Q57" s="23">
        <v>63</v>
      </c>
      <c r="R57" s="23">
        <v>66</v>
      </c>
      <c r="S57" s="23">
        <v>80</v>
      </c>
      <c r="T57" s="23">
        <v>88</v>
      </c>
      <c r="U57" s="23"/>
      <c r="V57" s="23"/>
      <c r="W57" s="42"/>
      <c r="X57" s="42"/>
      <c r="Y57" s="23"/>
      <c r="Z57" s="23"/>
      <c r="AA57" s="23"/>
      <c r="AB57" s="23"/>
      <c r="AC57" s="23"/>
    </row>
    <row r="58" spans="1:29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50</v>
      </c>
      <c r="F58" s="24">
        <v>9</v>
      </c>
      <c r="G58" s="24">
        <v>22</v>
      </c>
      <c r="H58" s="24">
        <v>31</v>
      </c>
      <c r="I58" s="24">
        <v>34</v>
      </c>
      <c r="J58" s="24">
        <v>45</v>
      </c>
      <c r="K58" s="24">
        <v>51</v>
      </c>
      <c r="L58" s="24">
        <v>56</v>
      </c>
      <c r="M58" s="24">
        <v>58</v>
      </c>
      <c r="N58" s="24">
        <v>64</v>
      </c>
      <c r="O58" s="24">
        <v>65</v>
      </c>
      <c r="P58" s="24">
        <v>67</v>
      </c>
      <c r="Q58" s="24">
        <v>71</v>
      </c>
      <c r="R58" s="24">
        <v>74</v>
      </c>
      <c r="S58" s="24">
        <v>86</v>
      </c>
      <c r="T58" s="24">
        <v>97</v>
      </c>
      <c r="U58" s="24"/>
      <c r="V58" s="24"/>
      <c r="W58" s="52"/>
      <c r="X58" s="52"/>
      <c r="Y58" s="24"/>
      <c r="Z58" s="24"/>
      <c r="AA58" s="24"/>
      <c r="AB58" s="24"/>
      <c r="AC58" s="24"/>
    </row>
    <row r="59" spans="1:29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36</v>
      </c>
      <c r="F59" s="23">
        <v>10</v>
      </c>
      <c r="G59" s="23">
        <v>19</v>
      </c>
      <c r="H59" s="23">
        <v>27</v>
      </c>
      <c r="I59" s="23">
        <v>40</v>
      </c>
      <c r="J59" s="23">
        <v>46</v>
      </c>
      <c r="K59" s="23">
        <v>53</v>
      </c>
      <c r="L59" s="23">
        <v>62</v>
      </c>
      <c r="M59" s="23">
        <v>70</v>
      </c>
      <c r="N59" s="23">
        <v>70</v>
      </c>
      <c r="O59" s="23">
        <v>74</v>
      </c>
      <c r="P59" s="23">
        <v>77</v>
      </c>
      <c r="Q59" s="23">
        <v>81</v>
      </c>
      <c r="R59" s="23">
        <v>85</v>
      </c>
      <c r="S59" s="23" t="s">
        <v>53</v>
      </c>
      <c r="T59" s="23" t="s">
        <v>53</v>
      </c>
      <c r="U59" s="23"/>
      <c r="V59" s="23"/>
      <c r="W59" s="42"/>
      <c r="X59" s="42"/>
      <c r="Y59" s="23"/>
      <c r="Z59" s="23"/>
      <c r="AA59" s="23"/>
      <c r="AB59" s="23"/>
      <c r="AC59" s="23"/>
    </row>
    <row r="60" spans="1:29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36</v>
      </c>
      <c r="F60" s="24">
        <v>9</v>
      </c>
      <c r="G60" s="24">
        <v>19</v>
      </c>
      <c r="H60" s="24">
        <v>26</v>
      </c>
      <c r="I60" s="24">
        <v>39</v>
      </c>
      <c r="J60" s="24">
        <v>44</v>
      </c>
      <c r="K60" s="24">
        <v>52</v>
      </c>
      <c r="L60" s="24">
        <v>59</v>
      </c>
      <c r="M60" s="24">
        <v>66</v>
      </c>
      <c r="N60" s="24">
        <v>63</v>
      </c>
      <c r="O60" s="24">
        <v>62</v>
      </c>
      <c r="P60" s="24">
        <v>64</v>
      </c>
      <c r="Q60" s="24">
        <v>69</v>
      </c>
      <c r="R60" s="24">
        <v>72</v>
      </c>
      <c r="S60" s="24">
        <v>84</v>
      </c>
      <c r="T60" s="24">
        <v>92</v>
      </c>
      <c r="U60" s="24"/>
      <c r="V60" s="24"/>
      <c r="W60" s="24"/>
      <c r="X60" s="52"/>
      <c r="Y60" s="24"/>
      <c r="Z60" s="24"/>
      <c r="AA60" s="24"/>
      <c r="AB60" s="24"/>
      <c r="AC60" s="24"/>
    </row>
    <row r="61" spans="1:29" x14ac:dyDescent="0.2">
      <c r="A61" s="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41"/>
      <c r="S61" s="41"/>
      <c r="T61" s="2"/>
      <c r="U61" s="41" t="s">
        <v>31</v>
      </c>
      <c r="V61" s="2"/>
      <c r="W61" s="2"/>
      <c r="X61" s="2"/>
      <c r="Y61" s="56"/>
      <c r="AA61" s="58"/>
      <c r="AC61" s="56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9"/>
  <sheetViews>
    <sheetView zoomScale="85" zoomScaleNormal="85" workbookViewId="0"/>
  </sheetViews>
  <sheetFormatPr defaultRowHeight="12.75" x14ac:dyDescent="0.2"/>
  <cols>
    <col min="3" max="3" width="10.42578125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x14ac:dyDescent="0.2">
      <c r="B5" s="51"/>
      <c r="C5" s="22">
        <v>43977</v>
      </c>
      <c r="D5" s="22">
        <v>43983</v>
      </c>
      <c r="E5" s="22">
        <v>43990</v>
      </c>
      <c r="F5" s="22">
        <v>43997</v>
      </c>
      <c r="G5" s="22">
        <v>44004</v>
      </c>
      <c r="H5" s="22">
        <v>44011</v>
      </c>
      <c r="I5" s="22">
        <v>44018</v>
      </c>
      <c r="J5" s="22">
        <v>44025</v>
      </c>
      <c r="K5" s="22">
        <v>44033</v>
      </c>
      <c r="L5" s="22">
        <v>44039</v>
      </c>
      <c r="M5" s="22">
        <v>44047</v>
      </c>
      <c r="N5" s="22">
        <v>44053</v>
      </c>
      <c r="O5" s="22">
        <v>44060</v>
      </c>
      <c r="P5" s="22">
        <v>44074</v>
      </c>
      <c r="Q5" s="22">
        <v>44082</v>
      </c>
    </row>
    <row r="6" spans="1:17" x14ac:dyDescent="0.2">
      <c r="C6" s="18">
        <v>147</v>
      </c>
      <c r="D6" s="18">
        <v>153</v>
      </c>
      <c r="E6" s="18">
        <v>160</v>
      </c>
      <c r="F6" s="18">
        <v>167</v>
      </c>
      <c r="G6" s="18">
        <v>174</v>
      </c>
      <c r="H6" s="18">
        <v>181</v>
      </c>
      <c r="I6" s="18">
        <v>188</v>
      </c>
      <c r="J6" s="18">
        <v>195</v>
      </c>
      <c r="K6" s="18">
        <v>203</v>
      </c>
      <c r="L6" s="18">
        <v>209</v>
      </c>
      <c r="M6" s="18">
        <v>217</v>
      </c>
      <c r="N6" s="18">
        <v>223</v>
      </c>
      <c r="O6" s="18">
        <v>230</v>
      </c>
      <c r="P6" s="18">
        <v>244</v>
      </c>
      <c r="Q6" s="18">
        <v>252</v>
      </c>
    </row>
    <row r="7" spans="1:17" x14ac:dyDescent="0.2">
      <c r="B7" s="4" t="s">
        <v>40</v>
      </c>
      <c r="C7" s="43">
        <f>AVERAGEIFS('Height Summary'!F$13:F$60,'Height Summary'!$E$13:$E$60, "MDL")</f>
        <v>13.5</v>
      </c>
      <c r="D7" s="43">
        <f>AVERAGEIFS('Height Summary'!G$13:G$60,'Height Summary'!$E$13:$E$60, "MDL")</f>
        <v>19.285714285714285</v>
      </c>
      <c r="E7" s="43">
        <f>AVERAGEIFS('Height Summary'!H$13:H$60,'Height Summary'!$E$13:$E$60, "MDL")</f>
        <v>31.785714285714285</v>
      </c>
      <c r="F7" s="43">
        <f>AVERAGEIFS('Height Summary'!I$13:I$60,'Height Summary'!$E$13:$E$60, "MDL")</f>
        <v>41.714285714285715</v>
      </c>
      <c r="G7" s="43">
        <f>AVERAGEIFS('Height Summary'!J$13:J$60,'Height Summary'!$E$13:$E$60, "MDL")</f>
        <v>52.071428571428569</v>
      </c>
      <c r="H7" s="43">
        <f>AVERAGEIFS('Height Summary'!K$13:K$60,'Height Summary'!$E$13:$E$60, "MDL")</f>
        <v>58.285714285714285</v>
      </c>
      <c r="I7" s="43">
        <f>AVERAGEIFS('Height Summary'!L$13:L$60,'Height Summary'!$E$13:$E$60, "MDL")</f>
        <v>65.928571428571431</v>
      </c>
      <c r="J7" s="43">
        <f>AVERAGEIFS('Height Summary'!M$13:M$60,'Height Summary'!$E$13:$E$60, "MDL")</f>
        <v>73.214285714285708</v>
      </c>
      <c r="K7" s="43">
        <f>AVERAGEIFS('Height Summary'!N$13:N$60,'Height Summary'!$E$13:$E$60, "MDL")</f>
        <v>77.214285714285708</v>
      </c>
      <c r="L7" s="43">
        <f>AVERAGEIFS('Height Summary'!O$13:O$60,'Height Summary'!$E$13:$E$60, "MDL")</f>
        <v>76.571428571428569</v>
      </c>
      <c r="M7" s="43">
        <f>AVERAGEIFS('Height Summary'!P$13:P$60,'Height Summary'!$E$13:$E$60, "MDL")</f>
        <v>78.642857142857139</v>
      </c>
      <c r="N7" s="43">
        <f>AVERAGEIFS('Height Summary'!Q$13:Q$60,'Height Summary'!$E$13:$E$60, "MDL")</f>
        <v>81.928571428571431</v>
      </c>
      <c r="O7" s="43">
        <f>AVERAGEIFS('Height Summary'!R$13:R$60,'Height Summary'!$E$13:$E$60, "MDL")</f>
        <v>86.428571428571431</v>
      </c>
      <c r="P7" s="43">
        <f>AVERAGEIFS('Height Summary'!T$13:T$60,'Height Summary'!$E$13:$E$60, "MDL")</f>
        <v>103.42857142857143</v>
      </c>
      <c r="Q7" s="43">
        <f>AVERAGEIFS('Height Summary'!U$13:U$60,'Height Summary'!$E$13:$E$60, "MDL")</f>
        <v>108.21428571428571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41</v>
      </c>
      <c r="C9" s="27">
        <f>AVERAGEIFS('Height Summary'!F$13:F$60,'Height Summary'!$E$13:$E$60, "SOL")</f>
        <v>12.818181818181818</v>
      </c>
      <c r="D9" s="27">
        <f>AVERAGEIFS('Height Summary'!G$13:G$60,'Height Summary'!$E$13:$E$60, "SOL")</f>
        <v>18.181818181818183</v>
      </c>
      <c r="E9" s="27">
        <f>AVERAGEIFS('Height Summary'!H$13:H$60,'Height Summary'!$E$13:$E$60, "SOL")</f>
        <v>31.09090909090909</v>
      </c>
      <c r="F9" s="27">
        <f>AVERAGEIFS('Height Summary'!I$13:I$60,'Height Summary'!$E$13:$E$60, "SOL")</f>
        <v>39.18181818181818</v>
      </c>
      <c r="G9" s="27">
        <f>AVERAGEIFS('Height Summary'!J$13:J$60,'Height Summary'!$E$13:$E$60, "SOL")</f>
        <v>50.81818181818182</v>
      </c>
      <c r="H9" s="27">
        <f>AVERAGEIFS('Height Summary'!K$13:K$60,'Height Summary'!$E$13:$E$60, "SOL")</f>
        <v>57.81818181818182</v>
      </c>
      <c r="I9" s="27">
        <f>AVERAGEIFS('Height Summary'!L$13:L$60,'Height Summary'!$E$13:$E$60, "SOL")</f>
        <v>64.818181818181813</v>
      </c>
      <c r="J9" s="27">
        <f>AVERAGEIFS('Height Summary'!M$13:M$60,'Height Summary'!$E$13:$E$60, "SOL")</f>
        <v>72.818181818181813</v>
      </c>
      <c r="K9" s="27">
        <f>AVERAGEIFS('Height Summary'!N$13:N$60,'Height Summary'!$E$13:$E$60, "SOL")</f>
        <v>73.818181818181813</v>
      </c>
      <c r="L9" s="27">
        <f>AVERAGEIFS('Height Summary'!O$13:O$60,'Height Summary'!$E$13:$E$60, "SOL")</f>
        <v>73.818181818181813</v>
      </c>
      <c r="M9" s="27">
        <f>AVERAGEIFS('Height Summary'!P$13:P$60,'Height Summary'!$E$13:$E$60, "SOL")</f>
        <v>75.727272727272734</v>
      </c>
      <c r="N9" s="27">
        <f>AVERAGEIFS('Height Summary'!Q$13:Q$60,'Height Summary'!$E$13:$E$60, "SOL")</f>
        <v>79.63636363636364</v>
      </c>
      <c r="O9" s="27">
        <f>AVERAGEIFS('Height Summary'!R$13:R$60,'Height Summary'!$E$13:$E$60, "SOL")</f>
        <v>84.36363636363636</v>
      </c>
      <c r="P9" s="27">
        <f>AVERAGEIFS('Height Summary'!T$13:T$60,'Height Summary'!$E$13:$E$60, "SOL")</f>
        <v>101.63636363636364</v>
      </c>
      <c r="Q9" s="27">
        <f>AVERAGEIFS('Height Summary'!U$13:U$60,'Height Summary'!$E$13:$E$60, "SOL")</f>
        <v>106.09090909090909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42</v>
      </c>
      <c r="C11" s="27">
        <f>AVERAGEIFS('Height Summary'!F$13:F$60,'Height Summary'!$E$13:$E$60, "DRN")</f>
        <v>14.5</v>
      </c>
      <c r="D11" s="27">
        <f>AVERAGEIFS('Height Summary'!G$13:G$60,'Height Summary'!$E$13:$E$60, "DRN")</f>
        <v>21.5</v>
      </c>
      <c r="E11" s="27">
        <f>AVERAGEIFS('Height Summary'!H$13:H$60,'Height Summary'!$E$13:$E$60, "DRN")</f>
        <v>32.9</v>
      </c>
      <c r="F11" s="27">
        <f>AVERAGEIFS('Height Summary'!I$13:I$60,'Height Summary'!$E$13:$E$60, "DRN")</f>
        <v>42.3</v>
      </c>
      <c r="G11" s="27">
        <f>AVERAGEIFS('Height Summary'!J$13:J$60,'Height Summary'!$E$13:$E$60, "DRN")</f>
        <v>51</v>
      </c>
      <c r="H11" s="27">
        <f>AVERAGEIFS('Height Summary'!K$13:K$60,'Height Summary'!$E$13:$E$60, "DRN")</f>
        <v>58</v>
      </c>
      <c r="I11" s="27">
        <f>AVERAGEIFS('Height Summary'!L$13:L$60,'Height Summary'!$E$13:$E$60, "DRN")</f>
        <v>63.2</v>
      </c>
      <c r="J11" s="27">
        <f>AVERAGEIFS('Height Summary'!M$13:M$60,'Height Summary'!$E$13:$E$60, "DRN")</f>
        <v>68.3</v>
      </c>
      <c r="K11" s="27">
        <f>AVERAGEIFS('Height Summary'!N$13:N$60,'Height Summary'!$E$13:$E$60, "DRN")</f>
        <v>69.8</v>
      </c>
      <c r="L11" s="27">
        <f>AVERAGEIFS('Height Summary'!O$13:O$60,'Height Summary'!$E$13:$E$60, "DRN")</f>
        <v>68.2</v>
      </c>
      <c r="M11" s="27">
        <f>AVERAGEIFS('Height Summary'!P$13:P$60,'Height Summary'!$E$13:$E$60, "DRN")</f>
        <v>70.2</v>
      </c>
      <c r="N11" s="27">
        <f>AVERAGEIFS('Height Summary'!Q$13:Q$60,'Height Summary'!$E$13:$E$60, "DRN")</f>
        <v>74</v>
      </c>
      <c r="O11" s="27">
        <f>AVERAGEIFS('Height Summary'!R$13:R$60,'Height Summary'!$E$13:$E$60, "DRN")</f>
        <v>77.5</v>
      </c>
      <c r="P11" s="27">
        <f>AVERAGEIFS('Height Summary'!T$13:T$60,'Height Summary'!$E$13:$E$60, "DRN")</f>
        <v>88.1</v>
      </c>
      <c r="Q11" s="27">
        <f>AVERAGEIFS('Height Summary'!U$13:U$60,'Height Summary'!$E$13:$E$60, "DRN")</f>
        <v>91.5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43</v>
      </c>
      <c r="C13" s="27">
        <f>AVERAGEIFS('Height Summary'!F$13:F$60,'Height Summary'!$E$13:$E$60, "VRI")</f>
        <v>13.8</v>
      </c>
      <c r="D13" s="27">
        <f>AVERAGEIFS('Height Summary'!G$13:G$60,'Height Summary'!$E$13:$E$60, "VRI")</f>
        <v>20.399999999999999</v>
      </c>
      <c r="E13" s="27">
        <f>AVERAGEIFS('Height Summary'!H$13:H$60,'Height Summary'!$E$13:$E$60, "VRI")</f>
        <v>31.4</v>
      </c>
      <c r="F13" s="27">
        <f>AVERAGEIFS('Height Summary'!I$13:I$60,'Height Summary'!$E$13:$E$60, "VRI")</f>
        <v>42.3</v>
      </c>
      <c r="G13" s="27">
        <f>AVERAGEIFS('Height Summary'!J$13:J$60,'Height Summary'!$E$13:$E$60, "VRI")</f>
        <v>53.6</v>
      </c>
      <c r="H13" s="27">
        <f>AVERAGEIFS('Height Summary'!K$13:K$60,'Height Summary'!$E$13:$E$60, "VRI")</f>
        <v>60.1</v>
      </c>
      <c r="I13" s="27">
        <f>AVERAGEIFS('Height Summary'!L$13:L$60,'Height Summary'!$E$13:$E$60, "VRI")</f>
        <v>65.7</v>
      </c>
      <c r="J13" s="27">
        <f>AVERAGEIFS('Height Summary'!M$13:M$60,'Height Summary'!$E$13:$E$60, "VRI")</f>
        <v>72.111111111111114</v>
      </c>
      <c r="K13" s="27">
        <f>AVERAGEIFS('Height Summary'!N$13:N$60,'Height Summary'!$E$13:$E$60, "VRI")</f>
        <v>74.2</v>
      </c>
      <c r="L13" s="27">
        <f>AVERAGEIFS('Height Summary'!O$13:O$60,'Height Summary'!$E$13:$E$60, "VRI")</f>
        <v>73.900000000000006</v>
      </c>
      <c r="M13" s="27">
        <f>AVERAGEIFS('Height Summary'!P$13:P$60,'Height Summary'!$E$13:$E$60, "VRI")</f>
        <v>74.7</v>
      </c>
      <c r="N13" s="27">
        <f>AVERAGEIFS('Height Summary'!Q$13:Q$60,'Height Summary'!$E$13:$E$60, "VRI")</f>
        <v>76.8</v>
      </c>
      <c r="O13" s="27">
        <f>AVERAGEIFS('Height Summary'!R$13:R$60,'Height Summary'!$E$13:$E$60, "VRI")</f>
        <v>79.8</v>
      </c>
      <c r="P13" s="27">
        <f>AVERAGEIFS('Height Summary'!T$13:T$60,'Height Summary'!$E$13:$E$60, "VRI")</f>
        <v>90.9</v>
      </c>
      <c r="Q13" s="27">
        <f>AVERAGEIFS('Height Summary'!U$13:U$60,'Height Summary'!$E$13:$E$60, "VRI")</f>
        <v>94.7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8" ht="18.75" x14ac:dyDescent="0.3">
      <c r="C17" s="38" t="s">
        <v>23</v>
      </c>
    </row>
    <row r="19" spans="2:18" s="50" customFormat="1" x14ac:dyDescent="0.2">
      <c r="C19" s="22">
        <v>43977</v>
      </c>
      <c r="D19" s="22">
        <v>43983</v>
      </c>
      <c r="E19" s="22">
        <v>43990</v>
      </c>
      <c r="F19" s="22">
        <v>43997</v>
      </c>
      <c r="G19" s="22">
        <v>44004</v>
      </c>
      <c r="H19" s="22">
        <v>44011</v>
      </c>
      <c r="I19" s="22">
        <v>44018</v>
      </c>
      <c r="J19" s="22">
        <v>44025</v>
      </c>
      <c r="K19" s="22">
        <v>44033</v>
      </c>
      <c r="L19" s="22">
        <v>44039</v>
      </c>
      <c r="M19" s="22">
        <v>44047</v>
      </c>
      <c r="N19" s="22">
        <v>44053</v>
      </c>
      <c r="O19" s="22">
        <v>44060</v>
      </c>
      <c r="P19" s="22">
        <v>44074</v>
      </c>
      <c r="Q19" s="22">
        <v>44082</v>
      </c>
    </row>
    <row r="20" spans="2:18" s="50" customFormat="1" x14ac:dyDescent="0.2">
      <c r="C20" s="18">
        <v>147</v>
      </c>
      <c r="D20" s="18">
        <v>153</v>
      </c>
      <c r="E20" s="18">
        <v>160</v>
      </c>
      <c r="F20" s="18">
        <v>167</v>
      </c>
      <c r="G20" s="18">
        <v>174</v>
      </c>
      <c r="H20" s="18">
        <v>181</v>
      </c>
      <c r="I20" s="18">
        <v>188</v>
      </c>
      <c r="J20" s="18">
        <v>195</v>
      </c>
      <c r="K20" s="18">
        <v>203</v>
      </c>
      <c r="L20" s="18">
        <v>209</v>
      </c>
      <c r="M20" s="18">
        <v>217</v>
      </c>
      <c r="N20" s="18">
        <v>223</v>
      </c>
      <c r="O20" s="18">
        <v>230</v>
      </c>
      <c r="P20" s="18">
        <v>244</v>
      </c>
      <c r="Q20" s="18">
        <v>252</v>
      </c>
    </row>
    <row r="21" spans="2:18" x14ac:dyDescent="0.2">
      <c r="B21" s="4" t="s">
        <v>40</v>
      </c>
      <c r="C21" s="27">
        <f>AVERAGEIFS('Cover Summary'!F$13:F$60,'Cover Summary'!$E$13:$E$60, "MDL")</f>
        <v>10.142857142857142</v>
      </c>
      <c r="D21" s="27">
        <f>AVERAGEIFS('Cover Summary'!G$13:G$60,'Cover Summary'!$E$13:$E$60, "MDL")</f>
        <v>19.357142857142858</v>
      </c>
      <c r="E21" s="27">
        <f>AVERAGEIFS('Cover Summary'!H$13:H$60,'Cover Summary'!$E$13:$E$60, "MDL")</f>
        <v>27.928571428571427</v>
      </c>
      <c r="F21" s="27">
        <f>AVERAGEIFS('Cover Summary'!I$13:I$60,'Cover Summary'!$E$13:$E$60, "MDL")</f>
        <v>36.142857142857146</v>
      </c>
      <c r="G21" s="27">
        <f>AVERAGEIFS('Cover Summary'!J$13:J$60,'Cover Summary'!$E$13:$E$60, "MDL")</f>
        <v>45.714285714285715</v>
      </c>
      <c r="H21" s="27">
        <f>AVERAGEIFS('Cover Summary'!K$13:K$60,'Cover Summary'!$E$13:$E$60, "MDL")</f>
        <v>51.357142857142854</v>
      </c>
      <c r="I21" s="27">
        <f>AVERAGEIFS('Cover Summary'!L$13:L$60,'Cover Summary'!$E$13:$E$60, "MDL")</f>
        <v>56.357142857142854</v>
      </c>
      <c r="J21" s="27">
        <f>AVERAGEIFS('Cover Summary'!M$13:M$60,'Cover Summary'!$E$13:$E$60, "MDL")</f>
        <v>60.5</v>
      </c>
      <c r="K21" s="27">
        <f>AVERAGEIFS('Cover Summary'!N$13:N$60,'Cover Summary'!$E$13:$E$60, "MDL")</f>
        <v>68</v>
      </c>
      <c r="L21" s="27">
        <f>AVERAGEIFS('Cover Summary'!O$13:O$60,'Cover Summary'!$E$13:$E$60, "MDL")</f>
        <v>63.153846153846153</v>
      </c>
      <c r="M21" s="27">
        <f>AVERAGEIFS('Cover Summary'!P$13:P$60,'Cover Summary'!$E$13:$E$60, "MDL")</f>
        <v>67.615384615384613</v>
      </c>
      <c r="N21" s="27">
        <f>AVERAGEIFS('Cover Summary'!Q$13:Q$60,'Cover Summary'!$E$13:$E$60, "MDL")</f>
        <v>71.84615384615384</v>
      </c>
      <c r="O21" s="27">
        <f>AVERAGEIFS('Cover Summary'!R$13:R$60,'Cover Summary'!$E$13:$E$60, "MDL")</f>
        <v>75</v>
      </c>
      <c r="P21" s="27">
        <f>AVERAGEIFS('Cover Summary'!S$13:S$60,'Cover Summary'!$E$13:$E$60, "MDL")</f>
        <v>76.428571428571431</v>
      </c>
      <c r="Q21" s="27">
        <f>AVERAGEIFS('Cover Summary'!T$13:T$60,'Cover Summary'!$E$13:$E$60, "MDL")</f>
        <v>80</v>
      </c>
      <c r="R21" s="27"/>
    </row>
    <row r="22" spans="2:18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</row>
    <row r="23" spans="2:18" x14ac:dyDescent="0.2">
      <c r="B23" s="4" t="s">
        <v>41</v>
      </c>
      <c r="C23" s="27">
        <f>AVERAGEIFS('Cover Summary'!F$13:F$60,'Cover Summary'!$E$13:$E$60, "SOL")</f>
        <v>10.090909090909092</v>
      </c>
      <c r="D23" s="27">
        <f>AVERAGEIFS('Cover Summary'!G$13:G$60,'Cover Summary'!$E$13:$E$60, "SOL")</f>
        <v>17</v>
      </c>
      <c r="E23" s="27">
        <f>AVERAGEIFS('Cover Summary'!H$13:H$60,'Cover Summary'!$E$13:$E$60, "SOL")</f>
        <v>27.363636363636363</v>
      </c>
      <c r="F23" s="27">
        <f>AVERAGEIFS('Cover Summary'!I$13:I$60,'Cover Summary'!$E$13:$E$60, "SOL")</f>
        <v>34.454545454545453</v>
      </c>
      <c r="G23" s="27">
        <f>AVERAGEIFS('Cover Summary'!J$13:J$60,'Cover Summary'!$E$13:$E$60, "SOL")</f>
        <v>44.18181818181818</v>
      </c>
      <c r="H23" s="27">
        <f>AVERAGEIFS('Cover Summary'!K$13:K$60,'Cover Summary'!$E$13:$E$60, "SOL")</f>
        <v>50.636363636363633</v>
      </c>
      <c r="I23" s="27">
        <f>AVERAGEIFS('Cover Summary'!L$13:L$60,'Cover Summary'!$E$13:$E$60, "SOL")</f>
        <v>56.636363636363633</v>
      </c>
      <c r="J23" s="27">
        <f>AVERAGEIFS('Cover Summary'!M$13:M$60,'Cover Summary'!$E$13:$E$60, "SOL")</f>
        <v>61.090909090909093</v>
      </c>
      <c r="K23" s="27">
        <f>AVERAGEIFS('Cover Summary'!N$13:N$60,'Cover Summary'!$E$13:$E$60, "SOL")</f>
        <v>66.545454545454547</v>
      </c>
      <c r="L23" s="27">
        <f>AVERAGEIFS('Cover Summary'!O$13:O$60,'Cover Summary'!$E$13:$E$60, "SOL")</f>
        <v>63</v>
      </c>
      <c r="M23" s="27">
        <f>AVERAGEIFS('Cover Summary'!P$13:P$60,'Cover Summary'!$E$13:$E$60, "SOL")</f>
        <v>67.454545454545453</v>
      </c>
      <c r="N23" s="27">
        <f>AVERAGEIFS('Cover Summary'!Q$13:Q$60,'Cover Summary'!$E$13:$E$60, "SOL")</f>
        <v>72.909090909090907</v>
      </c>
      <c r="O23" s="27">
        <f>AVERAGEIFS('Cover Summary'!R$13:R$60,'Cover Summary'!$E$13:$E$60, "SOL")</f>
        <v>76.5</v>
      </c>
      <c r="P23" s="27">
        <f>AVERAGEIFS('Cover Summary'!S$13:S$60,'Cover Summary'!$E$13:$E$60, "SOL")</f>
        <v>84.285714285714292</v>
      </c>
      <c r="Q23" s="27">
        <f>AVERAGEIFS('Cover Summary'!T$13:T$60,'Cover Summary'!$E$13:$E$60, "SOL")</f>
        <v>88.333333333333329</v>
      </c>
      <c r="R23" s="27"/>
    </row>
    <row r="24" spans="2:18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</row>
    <row r="25" spans="2:18" x14ac:dyDescent="0.2">
      <c r="B25" s="4" t="s">
        <v>42</v>
      </c>
      <c r="C25" s="27">
        <f>AVERAGEIFS('Cover Summary'!F$13:F$60,'Cover Summary'!$E$13:$E$60, "DRN")</f>
        <v>11.6</v>
      </c>
      <c r="D25" s="27">
        <f>AVERAGEIFS('Cover Summary'!G$13:G$60,'Cover Summary'!$E$13:$E$60, "DRN")</f>
        <v>20.8</v>
      </c>
      <c r="E25" s="27">
        <f>AVERAGEIFS('Cover Summary'!H$13:H$60,'Cover Summary'!$E$13:$E$60, "DRN")</f>
        <v>29</v>
      </c>
      <c r="F25" s="27">
        <f>AVERAGEIFS('Cover Summary'!I$13:I$60,'Cover Summary'!$E$13:$E$60, "DRN")</f>
        <v>36.299999999999997</v>
      </c>
      <c r="G25" s="27">
        <f>AVERAGEIFS('Cover Summary'!J$13:J$60,'Cover Summary'!$E$13:$E$60, "DRN")</f>
        <v>44.1</v>
      </c>
      <c r="H25" s="27">
        <f>AVERAGEIFS('Cover Summary'!K$13:K$60,'Cover Summary'!$E$13:$E$60, "DRN")</f>
        <v>48.8</v>
      </c>
      <c r="I25" s="27">
        <f>AVERAGEIFS('Cover Summary'!L$13:L$60,'Cover Summary'!$E$13:$E$60, "DRN")</f>
        <v>52.3</v>
      </c>
      <c r="J25" s="27">
        <f>AVERAGEIFS('Cover Summary'!M$13:M$60,'Cover Summary'!$E$13:$E$60, "DRN")</f>
        <v>55.5</v>
      </c>
      <c r="K25" s="27">
        <f>AVERAGEIFS('Cover Summary'!N$13:N$60,'Cover Summary'!$E$13:$E$60, "DRN")</f>
        <v>60.9</v>
      </c>
      <c r="L25" s="27">
        <f>AVERAGEIFS('Cover Summary'!O$13:O$60,'Cover Summary'!$E$13:$E$60, "DRN")</f>
        <v>58.1</v>
      </c>
      <c r="M25" s="27">
        <f>AVERAGEIFS('Cover Summary'!P$13:P$60,'Cover Summary'!$E$13:$E$60, "DRN")</f>
        <v>61</v>
      </c>
      <c r="N25" s="27">
        <f>AVERAGEIFS('Cover Summary'!Q$13:Q$60,'Cover Summary'!$E$13:$E$60, "DRN")</f>
        <v>63.8</v>
      </c>
      <c r="O25" s="27">
        <f>AVERAGEIFS('Cover Summary'!R$13:R$60,'Cover Summary'!$E$13:$E$60, "DRN")</f>
        <v>67.5</v>
      </c>
      <c r="P25" s="27">
        <f>AVERAGEIFS('Cover Summary'!S$13:S$60,'Cover Summary'!$E$13:$E$60, "DRN")</f>
        <v>77.2</v>
      </c>
      <c r="Q25" s="27">
        <f>AVERAGEIFS('Cover Summary'!T$13:T$60,'Cover Summary'!$E$13:$E$60, "DRN")</f>
        <v>76.5</v>
      </c>
      <c r="R25" s="27"/>
    </row>
    <row r="26" spans="2:18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</row>
    <row r="27" spans="2:18" x14ac:dyDescent="0.2">
      <c r="B27" s="4" t="s">
        <v>43</v>
      </c>
      <c r="C27" s="27">
        <f>AVERAGEIFS('Cover Summary'!F$13:F$60,'Cover Summary'!$E$13:$E$60, "VRI")</f>
        <v>10.6</v>
      </c>
      <c r="D27" s="27">
        <f>AVERAGEIFS('Cover Summary'!G$13:G$60,'Cover Summary'!$E$13:$E$60, "VRI")</f>
        <v>19.8</v>
      </c>
      <c r="E27" s="27">
        <f>AVERAGEIFS('Cover Summary'!H$13:H$60,'Cover Summary'!$E$13:$E$60, "VRI")</f>
        <v>28.2</v>
      </c>
      <c r="F27" s="27">
        <f>AVERAGEIFS('Cover Summary'!I$13:I$60,'Cover Summary'!$E$13:$E$60, "VRI")</f>
        <v>37.700000000000003</v>
      </c>
      <c r="G27" s="27">
        <f>AVERAGEIFS('Cover Summary'!J$13:J$60,'Cover Summary'!$E$13:$E$60, "VRI")</f>
        <v>46.2</v>
      </c>
      <c r="H27" s="27">
        <f>AVERAGEIFS('Cover Summary'!K$13:K$60,'Cover Summary'!$E$13:$E$60, "VRI")</f>
        <v>53</v>
      </c>
      <c r="I27" s="27">
        <f>AVERAGEIFS('Cover Summary'!L$13:L$60,'Cover Summary'!$E$13:$E$60, "VRI")</f>
        <v>58</v>
      </c>
      <c r="J27" s="27">
        <f>AVERAGEIFS('Cover Summary'!M$13:M$60,'Cover Summary'!$E$13:$E$60, "VRI")</f>
        <v>61.8</v>
      </c>
      <c r="K27" s="27">
        <f>AVERAGEIFS('Cover Summary'!N$13:N$60,'Cover Summary'!$E$13:$E$60, "VRI")</f>
        <v>64.3</v>
      </c>
      <c r="L27" s="27">
        <f>AVERAGEIFS('Cover Summary'!O$13:O$60,'Cover Summary'!$E$13:$E$60, "VRI")</f>
        <v>64.099999999999994</v>
      </c>
      <c r="M27" s="27">
        <f>AVERAGEIFS('Cover Summary'!P$13:P$60,'Cover Summary'!$E$13:$E$60, "VRI")</f>
        <v>66.8</v>
      </c>
      <c r="N27" s="27">
        <f>AVERAGEIFS('Cover Summary'!Q$13:Q$60,'Cover Summary'!$E$13:$E$60, "VRI")</f>
        <v>70.7</v>
      </c>
      <c r="O27" s="27">
        <f>AVERAGEIFS('Cover Summary'!R$13:R$60,'Cover Summary'!$E$13:$E$60, "VRI")</f>
        <v>74.099999999999994</v>
      </c>
      <c r="P27" s="27">
        <f>AVERAGEIFS('Cover Summary'!S$13:S$60,'Cover Summary'!$E$13:$E$60, "VRI")</f>
        <v>82.555555555555557</v>
      </c>
      <c r="Q27" s="27">
        <f>AVERAGEIFS('Cover Summary'!T$13:T$60,'Cover Summary'!$E$13:$E$60, "VRI")</f>
        <v>90.142857142857139</v>
      </c>
      <c r="R27" s="27"/>
    </row>
    <row r="28" spans="2:18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8" x14ac:dyDescent="0.2">
      <c r="B29" s="27"/>
      <c r="C29" s="27"/>
    </row>
    <row r="30" spans="2:18" x14ac:dyDescent="0.2">
      <c r="B30" s="27"/>
      <c r="C30" s="27"/>
    </row>
    <row r="31" spans="2:18" x14ac:dyDescent="0.2">
      <c r="B31" s="27"/>
      <c r="C31" s="27"/>
    </row>
    <row r="32" spans="2:18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Height</vt:lpstr>
      <vt:lpstr>Width</vt:lpstr>
      <vt:lpstr>Ordering</vt:lpstr>
      <vt:lpstr>Blank Data Sheet</vt:lpstr>
      <vt:lpstr>Height Summary</vt:lpstr>
      <vt:lpstr>Cover Summary</vt:lpstr>
      <vt:lpstr>Averages</vt:lpstr>
      <vt:lpstr>'Blank Data Sheet'!Print_Area</vt:lpstr>
      <vt:lpstr>'Cover Summary'!Print_Area</vt:lpstr>
      <vt:lpstr>'Height Summary'!Print_Area</vt:lpstr>
      <vt:lpstr>'Blank Data Sheet'!Print_Titles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2021-10-23T14:51:32Z</cp:lastPrinted>
  <dcterms:created xsi:type="dcterms:W3CDTF">2016-05-31T16:53:28Z</dcterms:created>
  <dcterms:modified xsi:type="dcterms:W3CDTF">2024-09-24T13:29:04Z</dcterms:modified>
</cp:coreProperties>
</file>