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0_F013B4_CO_PIT\"/>
    </mc:Choice>
  </mc:AlternateContent>
  <xr:revisionPtr revIDLastSave="0" documentId="13_ncr:1_{2604DA9F-4398-480B-B59F-293587EC9719}" xr6:coauthVersionLast="47" xr6:coauthVersionMax="47" xr10:uidLastSave="{00000000-0000-0000-0000-000000000000}"/>
  <bookViews>
    <workbookView xWindow="7890" yWindow="-555" windowWidth="20175" windowHeight="16230" activeTab="3" xr2:uid="{00000000-000D-0000-FFFF-FFFF00000000}"/>
  </bookViews>
  <sheets>
    <sheet name="Height" sheetId="10" r:id="rId1"/>
    <sheet name="Width" sheetId="11" r:id="rId2"/>
    <sheet name="LAImeter" sheetId="12" r:id="rId3"/>
    <sheet name="Density" sheetId="25" r:id="rId4"/>
    <sheet name="Develop" sheetId="20" r:id="rId5"/>
    <sheet name="Ordering" sheetId="9" r:id="rId6"/>
    <sheet name="Blank Data Sheet" sheetId="1" r:id="rId7"/>
    <sheet name="Height Summary" sheetId="5" r:id="rId8"/>
    <sheet name="Cover Summary" sheetId="7" r:id="rId9"/>
    <sheet name="Averages" sheetId="8" r:id="rId10"/>
    <sheet name="Emergence" sheetId="26" r:id="rId11"/>
    <sheet name="1stLeaf" sheetId="27" r:id="rId12"/>
    <sheet name="Counts1" sheetId="22" r:id="rId13"/>
    <sheet name="Counts2" sheetId="23" r:id="rId14"/>
    <sheet name="Flowering" sheetId="21" r:id="rId15"/>
    <sheet name="NAWFd209" sheetId="19" r:id="rId16"/>
    <sheet name="NAWFd217" sheetId="18" r:id="rId17"/>
    <sheet name="NAWFd223" sheetId="17" r:id="rId18"/>
    <sheet name="NAWFd230" sheetId="16" r:id="rId19"/>
    <sheet name="NAWFd237" sheetId="15" r:id="rId20"/>
    <sheet name="NAWFd244" sheetId="14" r:id="rId21"/>
    <sheet name="NAWFd252" sheetId="13" r:id="rId22"/>
  </sheets>
  <definedNames>
    <definedName name="_xlnm.Print_Area" localSheetId="11">'1stLeaf'!$A$1:$I$36</definedName>
    <definedName name="_xlnm.Print_Area" localSheetId="6">'Blank Data Sheet'!$A$1:$K$56</definedName>
    <definedName name="_xlnm.Print_Area" localSheetId="12">Counts1!$A$1:$N$18</definedName>
    <definedName name="_xlnm.Print_Area" localSheetId="8">'Cover Summary'!$A$1:$O$60</definedName>
    <definedName name="_xlnm.Print_Area" localSheetId="7">'Height Summary'!$A$1:$AD$60</definedName>
    <definedName name="_xlnm.Print_Area" localSheetId="15">NAWFd209!$A$1:$I$30</definedName>
    <definedName name="_xlnm.Print_Area" localSheetId="16">NAWFd217!$A$1:$I$30</definedName>
    <definedName name="_xlnm.Print_Area" localSheetId="17">NAWFd223!$A$1:$I$30</definedName>
    <definedName name="_xlnm.Print_Area" localSheetId="18">NAWFd230!$A$1:$I$30</definedName>
    <definedName name="_xlnm.Print_Area" localSheetId="19">NAWFd237!$A$1:$I$30</definedName>
    <definedName name="_xlnm.Print_Area" localSheetId="20">NAWFd244!$A$1:$I$30</definedName>
    <definedName name="_xlnm.Print_Area" localSheetId="21">NAWFd252!$A$1:$I$30</definedName>
    <definedName name="_xlnm.Print_Titles" localSheetId="6">'Blank Data Sheet'!$8:$8</definedName>
    <definedName name="_xlnm.Print_Titles" localSheetId="12">Counts1!$5:$6</definedName>
    <definedName name="_xlnm.Print_Titles" localSheetId="8">'Cover Summary'!$12:$12</definedName>
    <definedName name="_xlnm.Print_Titles" localSheetId="7">'Height Summary'!$12:$12</definedName>
    <definedName name="_xlnm.Print_Titles" localSheetId="15">NAWFd209!$6:$6</definedName>
    <definedName name="_xlnm.Print_Titles" localSheetId="16">NAWFd217!$6:$6</definedName>
    <definedName name="_xlnm.Print_Titles" localSheetId="17">NAWFd223!$6:$6</definedName>
    <definedName name="_xlnm.Print_Titles" localSheetId="18">NAWFd230!$6:$6</definedName>
    <definedName name="_xlnm.Print_Titles" localSheetId="19">NAWFd237!$6:$6</definedName>
    <definedName name="_xlnm.Print_Titles" localSheetId="20">NAWFd244!$6:$6</definedName>
    <definedName name="_xlnm.Print_Titles" localSheetId="21">NAWFd252!$6:$6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3" i="27" l="1"/>
  <c r="L13" i="27"/>
  <c r="K14" i="27"/>
  <c r="L14" i="27"/>
  <c r="K15" i="27"/>
  <c r="L15" i="27"/>
  <c r="K16" i="27"/>
  <c r="L16" i="27"/>
  <c r="K17" i="27"/>
  <c r="L17" i="27"/>
  <c r="K18" i="27"/>
  <c r="L18" i="27"/>
  <c r="K19" i="27"/>
  <c r="L19" i="27"/>
  <c r="K20" i="27"/>
  <c r="L20" i="27"/>
  <c r="K21" i="27"/>
  <c r="L21" i="27"/>
  <c r="K22" i="27"/>
  <c r="L22" i="27"/>
  <c r="K23" i="27"/>
  <c r="L23" i="27"/>
  <c r="K24" i="27"/>
  <c r="L24" i="27"/>
  <c r="K25" i="27"/>
  <c r="L25" i="27"/>
  <c r="K26" i="27"/>
  <c r="L26" i="27"/>
  <c r="K27" i="27"/>
  <c r="L27" i="27"/>
  <c r="K28" i="27"/>
  <c r="L28" i="27"/>
  <c r="K29" i="27"/>
  <c r="L29" i="27"/>
  <c r="K30" i="27"/>
  <c r="L30" i="27"/>
  <c r="K31" i="27"/>
  <c r="L31" i="27"/>
  <c r="K32" i="27"/>
  <c r="L32" i="27"/>
  <c r="K33" i="27"/>
  <c r="L33" i="27"/>
  <c r="K34" i="27"/>
  <c r="L34" i="27"/>
  <c r="K35" i="27"/>
  <c r="L35" i="27"/>
  <c r="K36" i="27"/>
  <c r="L36" i="27"/>
  <c r="I41" i="26" l="1"/>
  <c r="J41" i="26"/>
  <c r="I42" i="26"/>
  <c r="J42" i="26"/>
  <c r="I43" i="26"/>
  <c r="J43" i="26"/>
  <c r="I44" i="26"/>
  <c r="J44" i="26"/>
  <c r="I45" i="26"/>
  <c r="J45" i="26"/>
  <c r="I46" i="26"/>
  <c r="J46" i="26"/>
  <c r="I47" i="26"/>
  <c r="J47" i="26"/>
  <c r="I48" i="26"/>
  <c r="J48" i="26"/>
  <c r="I49" i="26"/>
  <c r="J49" i="26"/>
  <c r="I50" i="26"/>
  <c r="J50" i="26"/>
  <c r="I51" i="26"/>
  <c r="J51" i="26"/>
  <c r="I52" i="26"/>
  <c r="J52" i="26"/>
  <c r="I53" i="26"/>
  <c r="J53" i="26"/>
  <c r="I54" i="26"/>
  <c r="J54" i="26"/>
  <c r="I55" i="26"/>
  <c r="J55" i="26"/>
  <c r="I56" i="26"/>
  <c r="J56" i="26"/>
  <c r="I57" i="26"/>
  <c r="J57" i="26"/>
  <c r="I58" i="26"/>
  <c r="J58" i="26"/>
  <c r="I59" i="26"/>
  <c r="J59" i="26"/>
  <c r="I60" i="26"/>
  <c r="J60" i="26"/>
  <c r="I61" i="26"/>
  <c r="J61" i="26"/>
  <c r="I62" i="26"/>
  <c r="J62" i="26"/>
  <c r="I63" i="26"/>
  <c r="J63" i="26"/>
  <c r="I64" i="26"/>
  <c r="J64" i="26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3" i="23"/>
  <c r="G7" i="22" l="1"/>
  <c r="N7" i="22"/>
  <c r="G8" i="22"/>
  <c r="N8" i="22"/>
  <c r="G9" i="22"/>
  <c r="N9" i="22"/>
  <c r="G10" i="22"/>
  <c r="N10" i="22"/>
  <c r="G11" i="22"/>
  <c r="N11" i="22"/>
  <c r="G12" i="22"/>
  <c r="N12" i="22"/>
  <c r="G13" i="22"/>
  <c r="N13" i="22"/>
  <c r="G14" i="22"/>
  <c r="N14" i="22"/>
  <c r="G15" i="22"/>
  <c r="N15" i="22"/>
  <c r="G16" i="22"/>
  <c r="N16" i="22"/>
  <c r="G17" i="22"/>
  <c r="N17" i="22"/>
  <c r="G18" i="22"/>
  <c r="N18" i="22"/>
  <c r="K21" i="22"/>
  <c r="J13" i="21"/>
  <c r="J14" i="21"/>
  <c r="J15" i="21"/>
  <c r="J21" i="21"/>
  <c r="J22" i="21"/>
  <c r="J25" i="21"/>
  <c r="J27" i="21"/>
  <c r="J28" i="21"/>
  <c r="J29" i="21"/>
  <c r="J30" i="21"/>
  <c r="J31" i="21"/>
  <c r="J32" i="21"/>
  <c r="J33" i="21"/>
  <c r="J34" i="21"/>
  <c r="J35" i="21"/>
  <c r="J36" i="21"/>
  <c r="J39" i="21"/>
  <c r="J40" i="21"/>
  <c r="J41" i="21"/>
  <c r="J46" i="21"/>
  <c r="J47" i="21"/>
  <c r="J48" i="21"/>
  <c r="J49" i="21"/>
  <c r="J50" i="21"/>
  <c r="J52" i="21"/>
  <c r="J53" i="21"/>
  <c r="J55" i="21"/>
  <c r="J56" i="21"/>
  <c r="J57" i="21"/>
  <c r="J58" i="21"/>
  <c r="J59" i="21"/>
  <c r="J60" i="21"/>
  <c r="J7" i="19" l="1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D1" i="9" l="1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27" i="8" l="1"/>
  <c r="C25" i="8"/>
  <c r="C23" i="8"/>
  <c r="C21" i="8"/>
  <c r="C13" i="8"/>
  <c r="C11" i="8"/>
  <c r="C9" i="8"/>
  <c r="C7" i="8"/>
</calcChain>
</file>

<file path=xl/sharedStrings.xml><?xml version="1.0" encoding="utf-8"?>
<sst xmlns="http://schemas.openxmlformats.org/spreadsheetml/2006/main" count="1716" uniqueCount="267">
  <si>
    <t>01-</t>
  </si>
  <si>
    <t>02-</t>
  </si>
  <si>
    <t>03-</t>
  </si>
  <si>
    <t>04-</t>
  </si>
  <si>
    <t>05-</t>
  </si>
  <si>
    <t>06-</t>
  </si>
  <si>
    <t>Cotton</t>
  </si>
  <si>
    <t>Plot</t>
  </si>
  <si>
    <t>date:</t>
  </si>
  <si>
    <t>Canopy Heights &amp; Widths</t>
  </si>
  <si>
    <t>North</t>
  </si>
  <si>
    <t>South</t>
  </si>
  <si>
    <t>Flag</t>
  </si>
  <si>
    <t>by:</t>
  </si>
  <si>
    <t>time:</t>
  </si>
  <si>
    <t>Canopy Height (cm)</t>
  </si>
  <si>
    <t>Canopy Width (cm)</t>
  </si>
  <si>
    <t>doy:</t>
  </si>
  <si>
    <t>Summary</t>
  </si>
  <si>
    <t>Canopy Heights - Summary</t>
  </si>
  <si>
    <t>Height (cm)</t>
  </si>
  <si>
    <t>Averages by treatments</t>
  </si>
  <si>
    <t>Average Canopy Heights</t>
  </si>
  <si>
    <t>Average Canopy Widths</t>
  </si>
  <si>
    <t>TRT</t>
  </si>
  <si>
    <t>F13b4</t>
  </si>
  <si>
    <t>Initials:</t>
  </si>
  <si>
    <t>Date:</t>
  </si>
  <si>
    <t>Time:</t>
  </si>
  <si>
    <t>DOY:</t>
  </si>
  <si>
    <t>NAWF</t>
  </si>
  <si>
    <t>"--" = closed canopy</t>
  </si>
  <si>
    <t xml:space="preserve"> </t>
  </si>
  <si>
    <t xml:space="preserve">Canopy Heights flags are Pink and in row 11. Two measurements per plot. </t>
  </si>
  <si>
    <t>Canopy Measurement points are separate from the LAI measurement point.</t>
  </si>
  <si>
    <t>DRN</t>
  </si>
  <si>
    <t>VRI</t>
  </si>
  <si>
    <t>SOL</t>
  </si>
  <si>
    <t>MDL</t>
  </si>
  <si>
    <t>Canopy Height &amp; LAI flags may not be exactly at the GPS points - I adjusted depending on skips in rows. SMM</t>
  </si>
  <si>
    <t>Ave of all MDL:</t>
  </si>
  <si>
    <t>Ave of all SOL:</t>
  </si>
  <si>
    <t>Ave of all DRN:</t>
  </si>
  <si>
    <t>Ave of all VRI:</t>
  </si>
  <si>
    <t>SMM</t>
  </si>
  <si>
    <t>1030-1125</t>
  </si>
  <si>
    <t>0945-1015</t>
  </si>
  <si>
    <t>1100-1145</t>
  </si>
  <si>
    <t>1010-1130</t>
  </si>
  <si>
    <t>DS</t>
  </si>
  <si>
    <t>D</t>
  </si>
  <si>
    <t>0925-1010</t>
  </si>
  <si>
    <t>1030-1115</t>
  </si>
  <si>
    <t>--</t>
  </si>
  <si>
    <t>1000-1115</t>
  </si>
  <si>
    <t>1100-1155</t>
  </si>
  <si>
    <t>1015-1100</t>
  </si>
  <si>
    <t>1000-1045</t>
  </si>
  <si>
    <t>0930-1030</t>
  </si>
  <si>
    <t>0945-1045</t>
  </si>
  <si>
    <t>0930-1100</t>
  </si>
  <si>
    <t>0930-1045</t>
  </si>
  <si>
    <t>3e</t>
  </si>
  <si>
    <t>N</t>
  </si>
  <si>
    <t>S</t>
  </si>
  <si>
    <t>DOY252</t>
  </si>
  <si>
    <t>DOY244</t>
  </si>
  <si>
    <t>DOY237</t>
  </si>
  <si>
    <t>DOY230</t>
  </si>
  <si>
    <t>DOY223</t>
  </si>
  <si>
    <t>DOY217</t>
  </si>
  <si>
    <t>DOY209</t>
  </si>
  <si>
    <t>DOY203</t>
  </si>
  <si>
    <t>DOY195</t>
  </si>
  <si>
    <t>DOY188</t>
  </si>
  <si>
    <t>DOY181</t>
  </si>
  <si>
    <t>DOY174</t>
  </si>
  <si>
    <t>DOY167</t>
  </si>
  <si>
    <t>DOY160</t>
  </si>
  <si>
    <t>DOY153</t>
  </si>
  <si>
    <t>DOY147</t>
  </si>
  <si>
    <t>CCID</t>
  </si>
  <si>
    <t>11N</t>
  </si>
  <si>
    <t>11S</t>
  </si>
  <si>
    <t>12N</t>
  </si>
  <si>
    <t>12S</t>
  </si>
  <si>
    <t>13N</t>
  </si>
  <si>
    <t>13S</t>
  </si>
  <si>
    <t>14N</t>
  </si>
  <si>
    <t>14S</t>
  </si>
  <si>
    <t>21N</t>
  </si>
  <si>
    <t>21S</t>
  </si>
  <si>
    <t>22N</t>
  </si>
  <si>
    <t>22S</t>
  </si>
  <si>
    <t>23N</t>
  </si>
  <si>
    <t>23S</t>
  </si>
  <si>
    <t>24N</t>
  </si>
  <si>
    <t>24S</t>
  </si>
  <si>
    <t>31N</t>
  </si>
  <si>
    <t>31S</t>
  </si>
  <si>
    <t>32N</t>
  </si>
  <si>
    <t>32S</t>
  </si>
  <si>
    <t>33N</t>
  </si>
  <si>
    <t>33S</t>
  </si>
  <si>
    <t>34N</t>
  </si>
  <si>
    <t>34S</t>
  </si>
  <si>
    <t>41N</t>
  </si>
  <si>
    <t>41S</t>
  </si>
  <si>
    <t>42N</t>
  </si>
  <si>
    <t>42S</t>
  </si>
  <si>
    <t>43N</t>
  </si>
  <si>
    <t>43S</t>
  </si>
  <si>
    <t>44N</t>
  </si>
  <si>
    <t>44S</t>
  </si>
  <si>
    <t>51N</t>
  </si>
  <si>
    <t>51S</t>
  </si>
  <si>
    <t>52N</t>
  </si>
  <si>
    <t>52S</t>
  </si>
  <si>
    <t>53N</t>
  </si>
  <si>
    <t>53S</t>
  </si>
  <si>
    <t>54N</t>
  </si>
  <si>
    <t>54S</t>
  </si>
  <si>
    <t>61N</t>
  </si>
  <si>
    <t>61S</t>
  </si>
  <si>
    <t>62N</t>
  </si>
  <si>
    <t>62S</t>
  </si>
  <si>
    <t>63N</t>
  </si>
  <si>
    <t>63S</t>
  </si>
  <si>
    <t>64N</t>
  </si>
  <si>
    <t>64S</t>
  </si>
  <si>
    <t>11M</t>
  </si>
  <si>
    <t>12M</t>
  </si>
  <si>
    <t>13M</t>
  </si>
  <si>
    <t>14M</t>
  </si>
  <si>
    <t>21M</t>
  </si>
  <si>
    <t>22M</t>
  </si>
  <si>
    <t>23M</t>
  </si>
  <si>
    <t>24M</t>
  </si>
  <si>
    <t>31M</t>
  </si>
  <si>
    <t>32M</t>
  </si>
  <si>
    <t>33M</t>
  </si>
  <si>
    <t>34M</t>
  </si>
  <si>
    <t>41M</t>
  </si>
  <si>
    <t>42M</t>
  </si>
  <si>
    <t>43M</t>
  </si>
  <si>
    <t>44M</t>
  </si>
  <si>
    <t>51M</t>
  </si>
  <si>
    <t>52M</t>
  </si>
  <si>
    <t>53M</t>
  </si>
  <si>
    <t>54M</t>
  </si>
  <si>
    <t>61M</t>
  </si>
  <si>
    <t>62M</t>
  </si>
  <si>
    <t>63M</t>
  </si>
  <si>
    <t>64M</t>
  </si>
  <si>
    <t>DOY168</t>
  </si>
  <si>
    <t>DOY211</t>
  </si>
  <si>
    <t>DOY202</t>
  </si>
  <si>
    <t>DOY182</t>
  </si>
  <si>
    <t>Average</t>
  </si>
  <si>
    <t>Counting the nodes of the upermost white flower in the 1st position of 6 plants per plot - between the 2 pink flags that mark the location for the Northern and Southern plant heights in a plot.</t>
  </si>
  <si>
    <t>Nodes Above White Flower</t>
  </si>
  <si>
    <t>d252</t>
  </si>
  <si>
    <t>d244</t>
  </si>
  <si>
    <t>d237</t>
  </si>
  <si>
    <r>
      <t>"</t>
    </r>
    <r>
      <rPr>
        <sz val="12"/>
        <color rgb="FFFF0000"/>
        <rFont val="Calibri"/>
        <family val="2"/>
      </rPr>
      <t>--</t>
    </r>
    <r>
      <rPr>
        <sz val="12"/>
        <color theme="1"/>
        <rFont val="Calibri"/>
        <family val="2"/>
      </rPr>
      <t xml:space="preserve">" </t>
    </r>
    <r>
      <rPr>
        <sz val="12"/>
        <color rgb="FFFF0000"/>
        <rFont val="Calibri"/>
        <family val="2"/>
      </rPr>
      <t>= couldn’t find enough white flowers in the 1st position on a branch</t>
    </r>
  </si>
  <si>
    <t>d230</t>
  </si>
  <si>
    <t>Starting to have a hard time finding enough white flowers in the 1st position.</t>
  </si>
  <si>
    <t>d223</t>
  </si>
  <si>
    <t>d232</t>
  </si>
  <si>
    <t>d209</t>
  </si>
  <si>
    <t>NAWF195</t>
  </si>
  <si>
    <t>NAWF203</t>
  </si>
  <si>
    <t>NAWF209</t>
  </si>
  <si>
    <t>NAWF217</t>
  </si>
  <si>
    <t>NAWF223</t>
  </si>
  <si>
    <t>NAWF230</t>
  </si>
  <si>
    <t>NAWF237</t>
  </si>
  <si>
    <t>NAWF244</t>
  </si>
  <si>
    <t>NAWF252</t>
  </si>
  <si>
    <t>50% DOY</t>
  </si>
  <si>
    <t># plants flowering/ 10 plants</t>
  </si>
  <si>
    <t>29 June 202</t>
  </si>
  <si>
    <t>Flowering</t>
  </si>
  <si>
    <t>ADOY</t>
  </si>
  <si>
    <t>ADAT</t>
  </si>
  <si>
    <t>Ave plants/meter</t>
  </si>
  <si>
    <t># plants /1.5 m</t>
  </si>
  <si>
    <t>1 row West of flag</t>
  </si>
  <si>
    <t>At  flag</t>
  </si>
  <si>
    <t>1 row East of flag</t>
  </si>
  <si>
    <t>Counted plants in 1.5 meter North of orange "LAI" flag (&amp; same relative location in the rows to the East and West of the flagged row).</t>
  </si>
  <si>
    <t>Final density counts</t>
  </si>
  <si>
    <t>PLPD</t>
  </si>
  <si>
    <t>6-1</t>
  </si>
  <si>
    <t>6-2</t>
  </si>
  <si>
    <t>6-3</t>
  </si>
  <si>
    <t>6-4</t>
  </si>
  <si>
    <t>5-4</t>
  </si>
  <si>
    <t>5-3</t>
  </si>
  <si>
    <t>5-2</t>
  </si>
  <si>
    <t>5-1</t>
  </si>
  <si>
    <t>4-1</t>
  </si>
  <si>
    <t>4-2</t>
  </si>
  <si>
    <t>4-3</t>
  </si>
  <si>
    <t>4-4</t>
  </si>
  <si>
    <t>3-4</t>
  </si>
  <si>
    <t>3-3</t>
  </si>
  <si>
    <t>3-2</t>
  </si>
  <si>
    <t>3-1</t>
  </si>
  <si>
    <t>2-1</t>
  </si>
  <si>
    <t>2-2</t>
  </si>
  <si>
    <t>2-3</t>
  </si>
  <si>
    <t>2-4</t>
  </si>
  <si>
    <t>1-4</t>
  </si>
  <si>
    <t>1-3</t>
  </si>
  <si>
    <t>1-2</t>
  </si>
  <si>
    <t>1-1</t>
  </si>
  <si>
    <t>Northeast corner  span 4</t>
  </si>
  <si>
    <t>Northwest  corner   span 6</t>
  </si>
  <si>
    <t>plants/1 m</t>
  </si>
  <si>
    <t>plants w/ dirt on their leaves (recently emerged)</t>
  </si>
  <si>
    <t>1115-1200h</t>
  </si>
  <si>
    <t>1000-1040</t>
  </si>
  <si>
    <t>1115-1145h</t>
  </si>
  <si>
    <t>1200-1220h</t>
  </si>
  <si>
    <t>0915-0940h</t>
  </si>
  <si>
    <t>1015-1040h</t>
  </si>
  <si>
    <t>flag point</t>
  </si>
  <si>
    <t># plants per 1 meter (1 meter North of each flag)</t>
  </si>
  <si>
    <t>Emergence counts taken at the first Plant Sampling flag location in each plot</t>
  </si>
  <si>
    <t>Emergence</t>
  </si>
  <si>
    <t>F13 b4</t>
  </si>
  <si>
    <t>11E</t>
  </si>
  <si>
    <t>12E</t>
  </si>
  <si>
    <t>13E</t>
  </si>
  <si>
    <t>14E</t>
  </si>
  <si>
    <t>24E</t>
  </si>
  <si>
    <t>31E</t>
  </si>
  <si>
    <t>32E</t>
  </si>
  <si>
    <t>33E</t>
  </si>
  <si>
    <t>34E</t>
  </si>
  <si>
    <t>44E</t>
  </si>
  <si>
    <t>43E</t>
  </si>
  <si>
    <t>42E</t>
  </si>
  <si>
    <t>41E</t>
  </si>
  <si>
    <t>51E</t>
  </si>
  <si>
    <t>52E</t>
  </si>
  <si>
    <t>53E</t>
  </si>
  <si>
    <t>54E</t>
  </si>
  <si>
    <t>64E</t>
  </si>
  <si>
    <t>63E</t>
  </si>
  <si>
    <t>62E</t>
  </si>
  <si>
    <t>61E</t>
  </si>
  <si>
    <t>23E</t>
  </si>
  <si>
    <t>22E</t>
  </si>
  <si>
    <t>21E</t>
  </si>
  <si>
    <t>PLDOE</t>
  </si>
  <si>
    <t>PLYRE</t>
  </si>
  <si>
    <t>EDATE</t>
  </si>
  <si>
    <t>plants w/ 1st true leaf</t>
  </si>
  <si>
    <t>plants with 1st tru leaf not yet unfurled</t>
  </si>
  <si>
    <t>Total # plants/1 m</t>
  </si>
  <si>
    <t>03-2 and 04-1. Then back from plot 05-1 to 08-4. And repeated again from plots 09-4 to 16-4.</t>
  </si>
  <si>
    <t>Flags placed in a zig-zag pattern from North to South, with flags placed approx in plot 01-4, then 02-3,</t>
  </si>
  <si>
    <t>Flags scattered over field, placed 1 per each of the 16 experimental strips (East to West).</t>
  </si>
  <si>
    <t>First true leaf</t>
  </si>
  <si>
    <t>LF1D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</si>
</sst>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.0"/>
    <numFmt numFmtId="166" formatCode="[$-409]d\-mmm\-yy;@"/>
    <numFmt numFmtId="167" formatCode="mm/dd/yyyy"/>
  </numFmts>
  <fonts count="35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8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Calibri Light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0"/>
      <color rgb="FFFF0000"/>
      <name val="Calibri"/>
      <family val="2"/>
    </font>
    <font>
      <b/>
      <sz val="7"/>
      <color theme="1"/>
      <name val="Calibri"/>
      <family val="2"/>
    </font>
    <font>
      <sz val="7"/>
      <color theme="1"/>
      <name val="Calibri"/>
      <family val="2"/>
    </font>
    <font>
      <sz val="7"/>
      <color theme="1"/>
      <name val="Calibri Light"/>
      <family val="2"/>
    </font>
    <font>
      <b/>
      <sz val="8"/>
      <color rgb="FFFF0000"/>
      <name val="Calibri"/>
      <family val="2"/>
    </font>
    <font>
      <b/>
      <i/>
      <sz val="10"/>
      <color theme="1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8"/>
      <name val="Calibri"/>
      <family val="2"/>
    </font>
    <font>
      <sz val="11"/>
      <color theme="4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5"/>
      <color theme="4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theme="2" tint="-0.499984740745262"/>
      </left>
      <right style="thin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/>
      <bottom/>
      <diagonal/>
    </border>
    <border>
      <left/>
      <right/>
      <top style="thin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 style="thick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/>
      <bottom style="medium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1" fillId="0" borderId="0"/>
  </cellStyleXfs>
  <cellXfs count="20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top"/>
    </xf>
    <xf numFmtId="0" fontId="8" fillId="0" borderId="2" xfId="0" applyFont="1" applyBorder="1" applyAlignment="1">
      <alignment horizontal="left" vertical="center"/>
    </xf>
    <xf numFmtId="164" fontId="5" fillId="0" borderId="6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0" fillId="0" borderId="7" xfId="0" applyBorder="1"/>
    <xf numFmtId="0" fontId="0" fillId="0" borderId="8" xfId="0" applyBorder="1"/>
    <xf numFmtId="0" fontId="7" fillId="0" borderId="0" xfId="0" applyFont="1" applyAlignment="1">
      <alignment horizontal="center" wrapText="1"/>
    </xf>
    <xf numFmtId="15" fontId="5" fillId="0" borderId="0" xfId="0" applyNumberFormat="1" applyFont="1" applyAlignment="1">
      <alignment horizont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11" xfId="0" applyFont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Continuous"/>
    </xf>
    <xf numFmtId="0" fontId="12" fillId="0" borderId="0" xfId="0" applyFont="1" applyAlignment="1">
      <alignment horizontal="left"/>
    </xf>
    <xf numFmtId="164" fontId="11" fillId="0" borderId="0" xfId="0" applyNumberFormat="1" applyFont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0" xfId="0" applyNumberFormat="1" applyAlignment="1">
      <alignment horizontal="left"/>
    </xf>
    <xf numFmtId="0" fontId="5" fillId="0" borderId="0" xfId="0" applyFont="1" applyAlignment="1">
      <alignment horizontal="center" vertical="center"/>
    </xf>
    <xf numFmtId="0" fontId="13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/>
    <xf numFmtId="0" fontId="0" fillId="0" borderId="9" xfId="0" quotePrefix="1" applyBorder="1" applyAlignment="1">
      <alignment horizontal="center" vertical="center"/>
    </xf>
    <xf numFmtId="165" fontId="0" fillId="0" borderId="0" xfId="0" quotePrefix="1" applyNumberFormat="1" applyAlignment="1">
      <alignment horizontal="center" vertic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64" fontId="17" fillId="0" borderId="13" xfId="0" applyNumberFormat="1" applyFont="1" applyBorder="1" applyAlignment="1">
      <alignment horizontal="center" vertical="center"/>
    </xf>
    <xf numFmtId="164" fontId="17" fillId="0" borderId="1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0" fillId="0" borderId="10" xfId="0" quotePrefix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" xfId="0" quotePrefix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1"/>
    <xf numFmtId="0" fontId="3" fillId="0" borderId="0" xfId="1" applyFont="1"/>
    <xf numFmtId="0" fontId="2" fillId="0" borderId="0" xfId="1" applyFont="1"/>
    <xf numFmtId="2" fontId="0" fillId="0" borderId="0" xfId="0" applyNumberFormat="1"/>
    <xf numFmtId="165" fontId="5" fillId="0" borderId="16" xfId="0" applyNumberFormat="1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64" fontId="5" fillId="0" borderId="12" xfId="0" applyNumberFormat="1" applyFont="1" applyBorder="1" applyAlignment="1">
      <alignment horizontal="right" vertical="center"/>
    </xf>
    <xf numFmtId="1" fontId="0" fillId="0" borderId="17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164" fontId="5" fillId="0" borderId="19" xfId="0" applyNumberFormat="1" applyFont="1" applyBorder="1" applyAlignment="1">
      <alignment horizontal="right" vertical="center"/>
    </xf>
    <xf numFmtId="1" fontId="0" fillId="0" borderId="3" xfId="0" applyNumberForma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19" fillId="0" borderId="20" xfId="0" applyFont="1" applyBorder="1" applyAlignment="1">
      <alignment horizontal="center" wrapText="1"/>
    </xf>
    <xf numFmtId="0" fontId="7" fillId="0" borderId="21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8" fillId="0" borderId="0" xfId="0" applyFont="1" applyAlignment="1">
      <alignment horizontal="left" vertical="center" wrapText="1"/>
    </xf>
    <xf numFmtId="166" fontId="0" fillId="0" borderId="0" xfId="0" applyNumberFormat="1"/>
    <xf numFmtId="15" fontId="5" fillId="0" borderId="0" xfId="0" applyNumberFormat="1" applyFont="1" applyAlignment="1">
      <alignment horizontal="right"/>
    </xf>
    <xf numFmtId="0" fontId="20" fillId="0" borderId="0" xfId="0" quotePrefix="1" applyFont="1"/>
    <xf numFmtId="1" fontId="0" fillId="0" borderId="17" xfId="0" quotePrefix="1" applyNumberFormat="1" applyBorder="1" applyAlignment="1">
      <alignment horizontal="center" vertical="center"/>
    </xf>
    <xf numFmtId="165" fontId="0" fillId="0" borderId="0" xfId="0" applyNumberFormat="1"/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2"/>
    <xf numFmtId="1" fontId="1" fillId="0" borderId="0" xfId="3" applyNumberFormat="1" applyAlignment="1">
      <alignment horizontal="center" vertical="center"/>
    </xf>
    <xf numFmtId="0" fontId="1" fillId="0" borderId="5" xfId="2" applyBorder="1" applyAlignment="1">
      <alignment horizontal="center" vertical="center"/>
    </xf>
    <xf numFmtId="164" fontId="17" fillId="0" borderId="14" xfId="2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left" vertical="center"/>
    </xf>
    <xf numFmtId="0" fontId="5" fillId="0" borderId="6" xfId="2" applyFont="1" applyBorder="1" applyAlignment="1">
      <alignment horizontal="left" vertical="center"/>
    </xf>
    <xf numFmtId="164" fontId="5" fillId="0" borderId="6" xfId="2" applyNumberFormat="1" applyFont="1" applyBorder="1" applyAlignment="1">
      <alignment horizontal="right" vertical="center"/>
    </xf>
    <xf numFmtId="164" fontId="11" fillId="0" borderId="0" xfId="2" applyNumberFormat="1" applyFont="1" applyAlignment="1">
      <alignment horizontal="right" vertical="center"/>
    </xf>
    <xf numFmtId="0" fontId="1" fillId="0" borderId="3" xfId="2" applyBorder="1" applyAlignment="1">
      <alignment horizontal="center" vertical="center"/>
    </xf>
    <xf numFmtId="164" fontId="17" fillId="0" borderId="13" xfId="2" applyNumberFormat="1" applyFont="1" applyBorder="1" applyAlignment="1">
      <alignment horizontal="center" vertical="center"/>
    </xf>
    <xf numFmtId="0" fontId="8" fillId="0" borderId="2" xfId="2" applyFont="1" applyBorder="1" applyAlignment="1">
      <alignment horizontal="left" vertical="center"/>
    </xf>
    <xf numFmtId="0" fontId="5" fillId="0" borderId="1" xfId="2" applyFont="1" applyBorder="1" applyAlignment="1">
      <alignment horizontal="left" vertical="center"/>
    </xf>
    <xf numFmtId="164" fontId="5" fillId="0" borderId="1" xfId="2" applyNumberFormat="1" applyFont="1" applyBorder="1" applyAlignment="1">
      <alignment horizontal="right" vertical="center"/>
    </xf>
    <xf numFmtId="0" fontId="1" fillId="0" borderId="4" xfId="2" applyBorder="1" applyAlignment="1">
      <alignment horizontal="center" vertical="center"/>
    </xf>
    <xf numFmtId="0" fontId="8" fillId="0" borderId="12" xfId="2" applyFont="1" applyBorder="1" applyAlignment="1">
      <alignment horizontal="left" vertical="center"/>
    </xf>
    <xf numFmtId="0" fontId="1" fillId="0" borderId="2" xfId="2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5" fillId="0" borderId="0" xfId="2" applyFont="1" applyAlignment="1">
      <alignment horizontal="center" wrapText="1"/>
    </xf>
    <xf numFmtId="0" fontId="15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8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" fillId="0" borderId="0" xfId="2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16" fillId="0" borderId="0" xfId="2" applyFont="1" applyAlignment="1">
      <alignment horizontal="center"/>
    </xf>
    <xf numFmtId="0" fontId="16" fillId="0" borderId="0" xfId="2" applyFont="1" applyAlignment="1">
      <alignment horizontal="right" vertical="center"/>
    </xf>
    <xf numFmtId="0" fontId="1" fillId="0" borderId="0" xfId="2" applyAlignment="1">
      <alignment horizontal="left"/>
    </xf>
    <xf numFmtId="0" fontId="5" fillId="0" borderId="0" xfId="2" applyFont="1" applyAlignment="1">
      <alignment horizontal="left"/>
    </xf>
    <xf numFmtId="15" fontId="5" fillId="0" borderId="0" xfId="2" applyNumberFormat="1" applyFont="1" applyAlignment="1">
      <alignment horizontal="center" wrapText="1"/>
    </xf>
    <xf numFmtId="0" fontId="1" fillId="0" borderId="0" xfId="2" applyAlignment="1">
      <alignment horizontal="center"/>
    </xf>
    <xf numFmtId="0" fontId="12" fillId="0" borderId="0" xfId="2" applyFont="1" applyAlignment="1">
      <alignment horizontal="left"/>
    </xf>
    <xf numFmtId="0" fontId="6" fillId="0" borderId="0" xfId="2" applyFont="1" applyAlignment="1">
      <alignment horizontal="left"/>
    </xf>
    <xf numFmtId="0" fontId="6" fillId="0" borderId="0" xfId="2" applyFont="1" applyAlignment="1">
      <alignment horizontal="right"/>
    </xf>
    <xf numFmtId="0" fontId="6" fillId="0" borderId="0" xfId="2" applyFont="1"/>
    <xf numFmtId="0" fontId="6" fillId="0" borderId="0" xfId="2" applyFont="1" applyAlignment="1">
      <alignment horizontal="centerContinuous"/>
    </xf>
    <xf numFmtId="0" fontId="6" fillId="0" borderId="0" xfId="2" applyFont="1" applyAlignment="1">
      <alignment horizontal="centerContinuous" vertical="center"/>
    </xf>
    <xf numFmtId="1" fontId="0" fillId="0" borderId="0" xfId="0" applyNumberFormat="1"/>
    <xf numFmtId="165" fontId="0" fillId="0" borderId="5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23" fillId="0" borderId="3" xfId="0" applyNumberFormat="1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15" fontId="10" fillId="0" borderId="0" xfId="0" quotePrefix="1" applyNumberFormat="1" applyFont="1" applyAlignment="1">
      <alignment horizontal="centerContinuous"/>
    </xf>
    <xf numFmtId="15" fontId="0" fillId="0" borderId="0" xfId="0" applyNumberFormat="1" applyAlignment="1">
      <alignment horizontal="centerContinuous"/>
    </xf>
    <xf numFmtId="0" fontId="1" fillId="0" borderId="0" xfId="2" applyAlignment="1">
      <alignment horizontal="right"/>
    </xf>
    <xf numFmtId="1" fontId="1" fillId="0" borderId="0" xfId="3" applyNumberFormat="1"/>
    <xf numFmtId="9" fontId="1" fillId="0" borderId="0" xfId="2" applyNumberFormat="1"/>
    <xf numFmtId="16" fontId="1" fillId="0" borderId="0" xfId="2" applyNumberFormat="1"/>
    <xf numFmtId="0" fontId="25" fillId="0" borderId="5" xfId="2" applyFont="1" applyBorder="1" applyAlignment="1">
      <alignment horizontal="center" vertical="center"/>
    </xf>
    <xf numFmtId="49" fontId="22" fillId="0" borderId="5" xfId="2" applyNumberFormat="1" applyFont="1" applyBorder="1" applyAlignment="1">
      <alignment horizontal="center" vertical="center"/>
    </xf>
    <xf numFmtId="0" fontId="26" fillId="0" borderId="23" xfId="2" applyFont="1" applyBorder="1" applyAlignment="1">
      <alignment horizontal="right" wrapText="1"/>
    </xf>
    <xf numFmtId="0" fontId="1" fillId="0" borderId="17" xfId="2" applyBorder="1" applyAlignment="1">
      <alignment horizontal="center" vertical="center"/>
    </xf>
    <xf numFmtId="0" fontId="1" fillId="0" borderId="17" xfId="2" quotePrefix="1" applyBorder="1" applyAlignment="1">
      <alignment horizontal="center" vertical="center"/>
    </xf>
    <xf numFmtId="0" fontId="25" fillId="0" borderId="17" xfId="2" applyFont="1" applyBorder="1" applyAlignment="1">
      <alignment horizontal="center" vertical="center"/>
    </xf>
    <xf numFmtId="49" fontId="22" fillId="0" borderId="17" xfId="2" applyNumberFormat="1" applyFont="1" applyBorder="1" applyAlignment="1">
      <alignment horizontal="center" vertical="center"/>
    </xf>
    <xf numFmtId="0" fontId="25" fillId="0" borderId="3" xfId="2" applyFont="1" applyBorder="1" applyAlignment="1">
      <alignment horizontal="center" vertical="center"/>
    </xf>
    <xf numFmtId="49" fontId="22" fillId="0" borderId="3" xfId="2" applyNumberFormat="1" applyFont="1" applyBorder="1" applyAlignment="1">
      <alignment horizontal="center" vertical="center"/>
    </xf>
    <xf numFmtId="0" fontId="1" fillId="0" borderId="23" xfId="2" applyBorder="1" applyAlignment="1">
      <alignment horizontal="right"/>
    </xf>
    <xf numFmtId="0" fontId="1" fillId="0" borderId="3" xfId="2" quotePrefix="1" applyBorder="1" applyAlignment="1">
      <alignment horizontal="center" vertical="center"/>
    </xf>
    <xf numFmtId="0" fontId="27" fillId="0" borderId="23" xfId="2" applyFont="1" applyBorder="1" applyAlignment="1">
      <alignment horizontal="right" vertical="top" wrapText="1"/>
    </xf>
    <xf numFmtId="0" fontId="1" fillId="0" borderId="5" xfId="2" quotePrefix="1" applyBorder="1" applyAlignment="1">
      <alignment horizontal="center" vertical="center"/>
    </xf>
    <xf numFmtId="0" fontId="28" fillId="0" borderId="3" xfId="2" applyFont="1" applyBorder="1" applyAlignment="1">
      <alignment horizontal="center" vertical="center"/>
    </xf>
    <xf numFmtId="0" fontId="26" fillId="0" borderId="23" xfId="2" applyFont="1" applyBorder="1" applyAlignment="1">
      <alignment horizontal="right" vertical="top" wrapText="1"/>
    </xf>
    <xf numFmtId="20" fontId="29" fillId="0" borderId="24" xfId="2" applyNumberFormat="1" applyFont="1" applyBorder="1" applyAlignment="1">
      <alignment horizontal="center" wrapText="1"/>
    </xf>
    <xf numFmtId="20" fontId="30" fillId="0" borderId="21" xfId="2" applyNumberFormat="1" applyFont="1" applyBorder="1" applyAlignment="1">
      <alignment horizontal="center" vertical="center" wrapText="1"/>
    </xf>
    <xf numFmtId="0" fontId="22" fillId="0" borderId="0" xfId="2" applyFont="1" applyAlignment="1">
      <alignment horizontal="center" wrapText="1"/>
    </xf>
    <xf numFmtId="0" fontId="31" fillId="0" borderId="0" xfId="2" applyFont="1" applyAlignment="1">
      <alignment horizontal="right" wrapText="1"/>
    </xf>
    <xf numFmtId="20" fontId="31" fillId="0" borderId="15" xfId="2" applyNumberFormat="1" applyFont="1" applyBorder="1" applyAlignment="1">
      <alignment horizontal="center"/>
    </xf>
    <xf numFmtId="20" fontId="31" fillId="0" borderId="25" xfId="2" applyNumberFormat="1" applyFont="1" applyBorder="1" applyAlignment="1">
      <alignment horizontal="centerContinuous"/>
    </xf>
    <xf numFmtId="20" fontId="31" fillId="0" borderId="26" xfId="2" applyNumberFormat="1" applyFont="1" applyBorder="1" applyAlignment="1">
      <alignment horizontal="centerContinuous"/>
    </xf>
    <xf numFmtId="0" fontId="31" fillId="0" borderId="0" xfId="2" applyFont="1"/>
    <xf numFmtId="0" fontId="31" fillId="0" borderId="17" xfId="2" applyFont="1" applyBorder="1" applyAlignment="1">
      <alignment horizontal="center"/>
    </xf>
    <xf numFmtId="0" fontId="31" fillId="0" borderId="18" xfId="2" applyFont="1" applyBorder="1" applyAlignment="1">
      <alignment horizontal="centerContinuous"/>
    </xf>
    <xf numFmtId="0" fontId="31" fillId="0" borderId="19" xfId="2" applyFont="1" applyBorder="1" applyAlignment="1">
      <alignment horizontal="centerContinuous"/>
    </xf>
    <xf numFmtId="0" fontId="31" fillId="0" borderId="19" xfId="2" applyFont="1" applyBorder="1" applyAlignment="1">
      <alignment horizontal="right"/>
    </xf>
    <xf numFmtId="0" fontId="31" fillId="0" borderId="0" xfId="2" applyFont="1" applyAlignment="1">
      <alignment horizontal="right"/>
    </xf>
    <xf numFmtId="0" fontId="22" fillId="0" borderId="17" xfId="2" applyFont="1" applyBorder="1" applyAlignment="1">
      <alignment horizontal="center"/>
    </xf>
    <xf numFmtId="0" fontId="22" fillId="0" borderId="18" xfId="2" applyFont="1" applyBorder="1" applyAlignment="1">
      <alignment horizontal="centerContinuous"/>
    </xf>
    <xf numFmtId="0" fontId="22" fillId="0" borderId="19" xfId="2" applyFont="1" applyBorder="1" applyAlignment="1">
      <alignment horizontal="centerContinuous"/>
    </xf>
    <xf numFmtId="0" fontId="1" fillId="0" borderId="19" xfId="2" applyBorder="1" applyAlignment="1">
      <alignment horizontal="right"/>
    </xf>
    <xf numFmtId="16" fontId="22" fillId="0" borderId="27" xfId="2" applyNumberFormat="1" applyFont="1" applyBorder="1" applyAlignment="1">
      <alignment horizontal="center"/>
    </xf>
    <xf numFmtId="16" fontId="22" fillId="0" borderId="28" xfId="2" applyNumberFormat="1" applyFont="1" applyBorder="1" applyAlignment="1">
      <alignment horizontal="centerContinuous"/>
    </xf>
    <xf numFmtId="16" fontId="22" fillId="0" borderId="29" xfId="2" applyNumberFormat="1" applyFont="1" applyBorder="1" applyAlignment="1">
      <alignment horizontal="centerContinuous"/>
    </xf>
    <xf numFmtId="0" fontId="1" fillId="0" borderId="29" xfId="2" applyBorder="1" applyAlignment="1">
      <alignment horizontal="right"/>
    </xf>
    <xf numFmtId="0" fontId="22" fillId="0" borderId="0" xfId="2" applyFont="1"/>
    <xf numFmtId="0" fontId="32" fillId="0" borderId="0" xfId="2" applyFont="1" applyAlignment="1">
      <alignment horizontal="center"/>
    </xf>
    <xf numFmtId="0" fontId="32" fillId="0" borderId="0" xfId="2" applyFont="1" applyAlignment="1">
      <alignment horizontal="right"/>
    </xf>
    <xf numFmtId="167" fontId="0" fillId="0" borderId="0" xfId="0" applyNumberFormat="1"/>
    <xf numFmtId="0" fontId="33" fillId="0" borderId="0" xfId="2" applyFont="1" applyAlignment="1">
      <alignment horizontal="center" vertical="top" wrapText="1"/>
    </xf>
    <xf numFmtId="0" fontId="33" fillId="0" borderId="26" xfId="2" applyFont="1" applyBorder="1" applyAlignment="1">
      <alignment horizontal="center" vertical="top" wrapText="1"/>
    </xf>
    <xf numFmtId="0" fontId="22" fillId="2" borderId="17" xfId="2" applyFont="1" applyFill="1" applyBorder="1" applyAlignment="1">
      <alignment horizontal="center" vertical="center"/>
    </xf>
    <xf numFmtId="49" fontId="22" fillId="0" borderId="17" xfId="2" applyNumberFormat="1" applyFont="1" applyBorder="1" applyAlignment="1">
      <alignment horizontal="center"/>
    </xf>
    <xf numFmtId="0" fontId="1" fillId="0" borderId="27" xfId="2" applyBorder="1" applyAlignment="1">
      <alignment horizontal="center" vertical="center"/>
    </xf>
    <xf numFmtId="0" fontId="25" fillId="0" borderId="27" xfId="2" applyFont="1" applyBorder="1" applyAlignment="1">
      <alignment horizontal="center" vertical="center"/>
    </xf>
    <xf numFmtId="0" fontId="22" fillId="2" borderId="27" xfId="2" applyFont="1" applyFill="1" applyBorder="1" applyAlignment="1">
      <alignment horizontal="center" vertical="center"/>
    </xf>
    <xf numFmtId="49" fontId="22" fillId="0" borderId="27" xfId="2" applyNumberFormat="1" applyFont="1" applyBorder="1" applyAlignment="1">
      <alignment horizontal="center"/>
    </xf>
    <xf numFmtId="0" fontId="22" fillId="2" borderId="5" xfId="2" applyFont="1" applyFill="1" applyBorder="1" applyAlignment="1">
      <alignment horizontal="center" vertical="center"/>
    </xf>
    <xf numFmtId="49" fontId="22" fillId="0" borderId="5" xfId="2" applyNumberFormat="1" applyFont="1" applyBorder="1" applyAlignment="1">
      <alignment horizontal="center"/>
    </xf>
    <xf numFmtId="9" fontId="1" fillId="0" borderId="0" xfId="2" applyNumberFormat="1" applyAlignment="1">
      <alignment horizontal="center"/>
    </xf>
    <xf numFmtId="20" fontId="31" fillId="0" borderId="27" xfId="2" applyNumberFormat="1" applyFont="1" applyBorder="1" applyAlignment="1">
      <alignment horizontal="center"/>
    </xf>
    <xf numFmtId="0" fontId="27" fillId="2" borderId="17" xfId="2" applyFont="1" applyFill="1" applyBorder="1" applyAlignment="1">
      <alignment horizontal="center" vertical="center" wrapText="1"/>
    </xf>
    <xf numFmtId="20" fontId="34" fillId="0" borderId="27" xfId="2" applyNumberFormat="1" applyFont="1" applyBorder="1" applyAlignment="1">
      <alignment horizontal="center" vertical="center" wrapText="1"/>
    </xf>
    <xf numFmtId="0" fontId="27" fillId="2" borderId="0" xfId="2" applyFont="1" applyFill="1" applyAlignment="1">
      <alignment horizontal="center" vertical="center" wrapText="1"/>
    </xf>
    <xf numFmtId="0" fontId="27" fillId="3" borderId="0" xfId="2" applyFont="1" applyFill="1" applyAlignment="1">
      <alignment horizontal="center" wrapText="1"/>
    </xf>
    <xf numFmtId="0" fontId="31" fillId="0" borderId="17" xfId="2" applyFont="1" applyBorder="1" applyAlignment="1">
      <alignment horizontal="centerContinuous"/>
    </xf>
    <xf numFmtId="0" fontId="22" fillId="0" borderId="17" xfId="2" applyFont="1" applyBorder="1" applyAlignment="1">
      <alignment horizontal="centerContinuous"/>
    </xf>
    <xf numFmtId="16" fontId="22" fillId="0" borderId="27" xfId="2" applyNumberFormat="1" applyFont="1" applyBorder="1" applyAlignment="1">
      <alignment horizontal="centerContinuous"/>
    </xf>
    <xf numFmtId="16" fontId="1" fillId="0" borderId="29" xfId="2" applyNumberFormat="1" applyBorder="1" applyAlignment="1">
      <alignment horizontal="right"/>
    </xf>
    <xf numFmtId="0" fontId="22" fillId="0" borderId="0" xfId="2" applyFont="1" applyAlignment="1">
      <alignment horizontal="center"/>
    </xf>
    <xf numFmtId="3" fontId="0" fillId="0" borderId="0" xfId="0" applyNumberFormat="1"/>
  </cellXfs>
  <cellStyles count="4">
    <cellStyle name="Normal" xfId="0" builtinId="0"/>
    <cellStyle name="Normal 2" xfId="1" xr:uid="{F9036891-1341-4911-A2E7-69DBC81DDBD6}"/>
    <cellStyle name="Normal 3" xfId="2" xr:uid="{9F7BAAB8-B03A-4776-A95D-A99EE44F65F8}"/>
    <cellStyle name="Normal 4" xfId="3" xr:uid="{D9B325F4-DFEC-4DF4-A15B-08830CC67679}"/>
  </cellStyles>
  <dxfs count="0"/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01D0B-D840-41DA-8E8D-471AA1AE1DA2}">
  <dimension ref="A1:Q49"/>
  <sheetViews>
    <sheetView workbookViewId="0"/>
  </sheetViews>
  <sheetFormatPr defaultRowHeight="15" x14ac:dyDescent="0.25"/>
  <cols>
    <col min="1" max="16384" width="9.140625" style="62"/>
  </cols>
  <sheetData>
    <row r="1" spans="1:17" x14ac:dyDescent="0.25">
      <c r="A1" s="63" t="s">
        <v>81</v>
      </c>
      <c r="B1" s="62" t="s">
        <v>80</v>
      </c>
      <c r="C1" s="62" t="s">
        <v>79</v>
      </c>
      <c r="D1" s="62" t="s">
        <v>78</v>
      </c>
      <c r="E1" s="62" t="s">
        <v>77</v>
      </c>
      <c r="F1" s="62" t="s">
        <v>76</v>
      </c>
      <c r="G1" s="62" t="s">
        <v>75</v>
      </c>
      <c r="H1" s="62" t="s">
        <v>74</v>
      </c>
      <c r="I1" s="62" t="s">
        <v>73</v>
      </c>
      <c r="J1" s="62" t="s">
        <v>72</v>
      </c>
      <c r="K1" s="62" t="s">
        <v>71</v>
      </c>
      <c r="L1" s="62" t="s">
        <v>70</v>
      </c>
      <c r="M1" s="62" t="s">
        <v>69</v>
      </c>
      <c r="N1" s="62" t="s">
        <v>68</v>
      </c>
      <c r="O1" s="62" t="s">
        <v>67</v>
      </c>
      <c r="P1" s="62" t="s">
        <v>66</v>
      </c>
      <c r="Q1" s="62" t="s">
        <v>65</v>
      </c>
    </row>
    <row r="2" spans="1:17" x14ac:dyDescent="0.25">
      <c r="A2" s="64" t="s">
        <v>82</v>
      </c>
      <c r="B2" s="62">
        <v>11</v>
      </c>
      <c r="C2" s="62">
        <v>14</v>
      </c>
      <c r="D2" s="62">
        <v>29</v>
      </c>
      <c r="E2" s="62">
        <v>38</v>
      </c>
      <c r="F2" s="62">
        <v>49</v>
      </c>
      <c r="G2" s="62">
        <v>61</v>
      </c>
      <c r="H2" s="62">
        <v>76</v>
      </c>
      <c r="I2" s="62">
        <v>81</v>
      </c>
      <c r="J2" s="62">
        <v>82</v>
      </c>
      <c r="K2" s="62">
        <v>86</v>
      </c>
      <c r="L2" s="62">
        <v>91</v>
      </c>
      <c r="M2" s="62">
        <v>96</v>
      </c>
      <c r="N2" s="62">
        <v>98</v>
      </c>
      <c r="O2" s="62">
        <v>108</v>
      </c>
      <c r="P2" s="62">
        <v>116</v>
      </c>
      <c r="Q2" s="62">
        <v>121</v>
      </c>
    </row>
    <row r="3" spans="1:17" x14ac:dyDescent="0.25">
      <c r="A3" s="64" t="s">
        <v>83</v>
      </c>
      <c r="B3" s="62">
        <v>16</v>
      </c>
      <c r="C3" s="62">
        <v>21</v>
      </c>
      <c r="D3" s="62">
        <v>33</v>
      </c>
      <c r="E3" s="62">
        <v>48</v>
      </c>
      <c r="F3" s="62">
        <v>58</v>
      </c>
      <c r="G3" s="62">
        <v>64</v>
      </c>
      <c r="H3" s="62">
        <v>74</v>
      </c>
      <c r="I3" s="62">
        <v>80</v>
      </c>
      <c r="J3" s="62">
        <v>84</v>
      </c>
      <c r="K3" s="62">
        <v>84</v>
      </c>
      <c r="L3" s="62">
        <v>88</v>
      </c>
      <c r="M3" s="62">
        <v>93</v>
      </c>
      <c r="N3" s="62">
        <v>99</v>
      </c>
      <c r="O3" s="62">
        <v>113</v>
      </c>
      <c r="P3" s="62">
        <v>122</v>
      </c>
      <c r="Q3" s="62">
        <v>127</v>
      </c>
    </row>
    <row r="4" spans="1:17" x14ac:dyDescent="0.25">
      <c r="A4" s="64" t="s">
        <v>84</v>
      </c>
      <c r="B4" s="62">
        <v>17</v>
      </c>
      <c r="C4" s="62">
        <v>26</v>
      </c>
      <c r="D4" s="62">
        <v>39</v>
      </c>
      <c r="E4" s="62">
        <v>46</v>
      </c>
      <c r="F4" s="62">
        <v>54</v>
      </c>
      <c r="G4" s="62">
        <v>61</v>
      </c>
      <c r="H4" s="62">
        <v>67</v>
      </c>
      <c r="I4" s="62">
        <v>71</v>
      </c>
      <c r="J4" s="62">
        <v>64</v>
      </c>
      <c r="K4" s="62">
        <v>65</v>
      </c>
      <c r="L4" s="62">
        <v>66</v>
      </c>
      <c r="M4" s="62">
        <v>69</v>
      </c>
      <c r="N4" s="62">
        <v>74</v>
      </c>
      <c r="O4" s="62">
        <v>77</v>
      </c>
      <c r="P4" s="62">
        <v>79</v>
      </c>
      <c r="Q4" s="62">
        <v>79</v>
      </c>
    </row>
    <row r="5" spans="1:17" x14ac:dyDescent="0.25">
      <c r="A5" s="64" t="s">
        <v>85</v>
      </c>
      <c r="B5" s="62">
        <v>12</v>
      </c>
      <c r="C5" s="62">
        <v>18</v>
      </c>
      <c r="D5" s="62">
        <v>29</v>
      </c>
      <c r="E5" s="62">
        <v>36</v>
      </c>
      <c r="F5" s="62">
        <v>46</v>
      </c>
      <c r="G5" s="62">
        <v>58</v>
      </c>
      <c r="H5" s="62">
        <v>65</v>
      </c>
      <c r="I5" s="62">
        <v>68</v>
      </c>
      <c r="J5" s="62">
        <v>65</v>
      </c>
      <c r="K5" s="62">
        <v>61</v>
      </c>
      <c r="L5" s="62">
        <v>64</v>
      </c>
      <c r="M5" s="62">
        <v>69</v>
      </c>
      <c r="N5" s="62">
        <v>72</v>
      </c>
      <c r="O5" s="62">
        <v>78</v>
      </c>
      <c r="P5" s="62">
        <v>81</v>
      </c>
      <c r="Q5" s="62">
        <v>83</v>
      </c>
    </row>
    <row r="6" spans="1:17" x14ac:dyDescent="0.25">
      <c r="A6" s="64" t="s">
        <v>86</v>
      </c>
      <c r="B6" s="62">
        <v>15</v>
      </c>
      <c r="C6" s="62">
        <v>23</v>
      </c>
      <c r="D6" s="62">
        <v>39</v>
      </c>
      <c r="E6" s="62">
        <v>46</v>
      </c>
      <c r="F6" s="62">
        <v>51</v>
      </c>
      <c r="G6" s="62">
        <v>55</v>
      </c>
      <c r="H6" s="62">
        <v>59</v>
      </c>
      <c r="I6" s="62">
        <v>65</v>
      </c>
      <c r="J6" s="62">
        <v>69</v>
      </c>
      <c r="K6" s="62">
        <v>58</v>
      </c>
      <c r="L6" s="62">
        <v>63</v>
      </c>
      <c r="M6" s="62">
        <v>68</v>
      </c>
      <c r="N6" s="62">
        <v>71</v>
      </c>
      <c r="O6" s="62">
        <v>80</v>
      </c>
      <c r="P6" s="62">
        <v>84</v>
      </c>
      <c r="Q6" s="62">
        <v>88</v>
      </c>
    </row>
    <row r="7" spans="1:17" x14ac:dyDescent="0.25">
      <c r="A7" s="64" t="s">
        <v>87</v>
      </c>
      <c r="B7" s="62">
        <v>15</v>
      </c>
      <c r="C7" s="62">
        <v>22</v>
      </c>
      <c r="D7" s="62">
        <v>31</v>
      </c>
      <c r="E7" s="62">
        <v>44</v>
      </c>
      <c r="F7" s="62">
        <v>53</v>
      </c>
      <c r="G7" s="62">
        <v>58</v>
      </c>
      <c r="H7" s="62">
        <v>61</v>
      </c>
      <c r="I7" s="62">
        <v>69</v>
      </c>
      <c r="J7" s="62">
        <v>76</v>
      </c>
      <c r="K7" s="62">
        <v>73</v>
      </c>
      <c r="L7" s="62">
        <v>75</v>
      </c>
      <c r="M7" s="62">
        <v>79</v>
      </c>
      <c r="N7" s="62">
        <v>82</v>
      </c>
      <c r="O7" s="62">
        <v>89</v>
      </c>
      <c r="P7" s="62">
        <v>91</v>
      </c>
      <c r="Q7" s="62">
        <v>96</v>
      </c>
    </row>
    <row r="8" spans="1:17" x14ac:dyDescent="0.25">
      <c r="A8" s="64" t="s">
        <v>88</v>
      </c>
      <c r="B8" s="62">
        <v>15</v>
      </c>
      <c r="C8" s="62">
        <v>21</v>
      </c>
      <c r="D8" s="62">
        <v>36</v>
      </c>
      <c r="E8" s="62">
        <v>45</v>
      </c>
      <c r="F8" s="62">
        <v>51</v>
      </c>
      <c r="G8" s="62">
        <v>56</v>
      </c>
      <c r="H8" s="62">
        <v>60</v>
      </c>
      <c r="I8" s="62">
        <v>69</v>
      </c>
      <c r="J8" s="62">
        <v>78</v>
      </c>
      <c r="K8" s="62">
        <v>76</v>
      </c>
      <c r="L8" s="62">
        <v>81</v>
      </c>
      <c r="M8" s="62">
        <v>86</v>
      </c>
      <c r="N8" s="62">
        <v>92</v>
      </c>
      <c r="O8" s="62">
        <v>103</v>
      </c>
      <c r="P8" s="62">
        <v>111</v>
      </c>
      <c r="Q8" s="62">
        <v>113</v>
      </c>
    </row>
    <row r="9" spans="1:17" x14ac:dyDescent="0.25">
      <c r="A9" s="64" t="s">
        <v>89</v>
      </c>
      <c r="B9" s="62">
        <v>14</v>
      </c>
      <c r="C9" s="62">
        <v>19</v>
      </c>
      <c r="D9" s="62">
        <v>33</v>
      </c>
      <c r="E9" s="62">
        <v>48</v>
      </c>
      <c r="F9" s="62">
        <v>55</v>
      </c>
      <c r="G9" s="62">
        <v>57</v>
      </c>
      <c r="H9" s="62">
        <v>62</v>
      </c>
      <c r="I9" s="62">
        <v>73</v>
      </c>
      <c r="J9" s="62">
        <v>80</v>
      </c>
      <c r="K9" s="62">
        <v>75</v>
      </c>
      <c r="L9" s="62">
        <v>80</v>
      </c>
      <c r="M9" s="62">
        <v>82</v>
      </c>
      <c r="N9" s="62">
        <v>86</v>
      </c>
      <c r="O9" s="62">
        <v>91</v>
      </c>
      <c r="P9" s="62">
        <v>98</v>
      </c>
      <c r="Q9" s="62">
        <v>102</v>
      </c>
    </row>
    <row r="10" spans="1:17" x14ac:dyDescent="0.25">
      <c r="A10" s="64" t="s">
        <v>90</v>
      </c>
      <c r="B10" s="62">
        <v>13</v>
      </c>
      <c r="C10" s="62">
        <v>20</v>
      </c>
      <c r="D10" s="62">
        <v>32</v>
      </c>
      <c r="E10" s="62">
        <v>40</v>
      </c>
      <c r="F10" s="62">
        <v>53</v>
      </c>
      <c r="G10" s="62">
        <v>58</v>
      </c>
      <c r="H10" s="62">
        <v>63</v>
      </c>
      <c r="I10" s="62">
        <v>74</v>
      </c>
      <c r="J10" s="62">
        <v>79</v>
      </c>
      <c r="K10" s="62">
        <v>79</v>
      </c>
      <c r="L10" s="62">
        <v>78</v>
      </c>
      <c r="M10" s="62">
        <v>82</v>
      </c>
      <c r="N10" s="62">
        <v>85</v>
      </c>
      <c r="O10" s="62">
        <v>91</v>
      </c>
      <c r="P10" s="62">
        <v>96</v>
      </c>
      <c r="Q10" s="62">
        <v>99</v>
      </c>
    </row>
    <row r="11" spans="1:17" x14ac:dyDescent="0.25">
      <c r="A11" s="64" t="s">
        <v>91</v>
      </c>
      <c r="B11" s="62">
        <v>12</v>
      </c>
      <c r="C11" s="62">
        <v>21</v>
      </c>
      <c r="D11" s="62">
        <v>30</v>
      </c>
      <c r="E11" s="62">
        <v>39</v>
      </c>
      <c r="F11" s="62">
        <v>52</v>
      </c>
      <c r="G11" s="62">
        <v>58</v>
      </c>
      <c r="H11" s="62">
        <v>62</v>
      </c>
      <c r="I11" s="62">
        <v>71</v>
      </c>
      <c r="J11" s="62">
        <v>72</v>
      </c>
      <c r="K11" s="62">
        <v>70</v>
      </c>
      <c r="L11" s="62">
        <v>70</v>
      </c>
      <c r="M11" s="62">
        <v>74</v>
      </c>
      <c r="N11" s="62">
        <v>79</v>
      </c>
      <c r="O11" s="62">
        <v>83</v>
      </c>
      <c r="P11" s="62">
        <v>85</v>
      </c>
      <c r="Q11" s="62">
        <v>86</v>
      </c>
    </row>
    <row r="12" spans="1:17" x14ac:dyDescent="0.25">
      <c r="A12" s="64" t="s">
        <v>92</v>
      </c>
      <c r="B12" s="62">
        <v>14</v>
      </c>
      <c r="C12" s="62">
        <v>21</v>
      </c>
      <c r="D12" s="62">
        <v>33</v>
      </c>
      <c r="E12" s="62">
        <v>41</v>
      </c>
      <c r="F12" s="62">
        <v>55</v>
      </c>
      <c r="G12" s="62">
        <v>61</v>
      </c>
      <c r="H12" s="62">
        <v>66</v>
      </c>
      <c r="I12" s="62">
        <v>75</v>
      </c>
      <c r="J12" s="62">
        <v>77</v>
      </c>
      <c r="K12" s="62">
        <v>77</v>
      </c>
      <c r="L12" s="62">
        <v>79</v>
      </c>
      <c r="M12" s="62">
        <v>85</v>
      </c>
      <c r="N12" s="62">
        <v>92</v>
      </c>
      <c r="O12" s="62">
        <v>104</v>
      </c>
      <c r="P12" s="62">
        <v>113</v>
      </c>
      <c r="Q12" s="62">
        <v>119</v>
      </c>
    </row>
    <row r="13" spans="1:17" x14ac:dyDescent="0.25">
      <c r="A13" s="64" t="s">
        <v>93</v>
      </c>
      <c r="B13" s="62">
        <v>13</v>
      </c>
      <c r="C13" s="62">
        <v>18</v>
      </c>
      <c r="D13" s="62">
        <v>33</v>
      </c>
      <c r="E13" s="62">
        <v>40</v>
      </c>
      <c r="F13" s="62">
        <v>50</v>
      </c>
      <c r="G13" s="62">
        <v>56</v>
      </c>
      <c r="H13" s="62">
        <v>59</v>
      </c>
      <c r="I13" s="62">
        <v>62</v>
      </c>
      <c r="J13" s="62">
        <v>68</v>
      </c>
      <c r="K13" s="62">
        <v>64</v>
      </c>
      <c r="L13" s="62">
        <v>66</v>
      </c>
      <c r="M13" s="62">
        <v>70</v>
      </c>
      <c r="N13" s="62">
        <v>75</v>
      </c>
      <c r="O13" s="62">
        <v>83</v>
      </c>
      <c r="P13" s="62">
        <v>91</v>
      </c>
      <c r="Q13" s="62">
        <v>98</v>
      </c>
    </row>
    <row r="14" spans="1:17" x14ac:dyDescent="0.25">
      <c r="A14" s="64" t="s">
        <v>94</v>
      </c>
      <c r="B14" s="62">
        <v>13</v>
      </c>
      <c r="C14" s="62">
        <v>19</v>
      </c>
      <c r="D14" s="62">
        <v>32</v>
      </c>
      <c r="E14" s="62">
        <v>43</v>
      </c>
      <c r="F14" s="62">
        <v>52</v>
      </c>
      <c r="G14" s="62">
        <v>59</v>
      </c>
      <c r="H14" s="62">
        <v>65</v>
      </c>
      <c r="I14" s="62">
        <v>76</v>
      </c>
      <c r="J14" s="62">
        <v>79</v>
      </c>
      <c r="K14" s="62">
        <v>79</v>
      </c>
      <c r="L14" s="62">
        <v>81</v>
      </c>
      <c r="M14" s="62">
        <v>82</v>
      </c>
      <c r="N14" s="62">
        <v>86</v>
      </c>
      <c r="O14" s="62">
        <v>92</v>
      </c>
      <c r="P14" s="62">
        <v>97</v>
      </c>
      <c r="Q14" s="62">
        <v>101</v>
      </c>
    </row>
    <row r="15" spans="1:17" x14ac:dyDescent="0.25">
      <c r="A15" s="64" t="s">
        <v>95</v>
      </c>
      <c r="B15" s="62">
        <v>10</v>
      </c>
      <c r="C15" s="62">
        <v>21</v>
      </c>
      <c r="D15" s="62">
        <v>32</v>
      </c>
      <c r="E15" s="62">
        <v>40</v>
      </c>
      <c r="F15" s="62">
        <v>48</v>
      </c>
      <c r="G15" s="62">
        <v>54</v>
      </c>
      <c r="H15" s="62">
        <v>61</v>
      </c>
      <c r="I15" s="62">
        <v>64</v>
      </c>
      <c r="J15" s="62">
        <v>65</v>
      </c>
      <c r="K15" s="62">
        <v>62</v>
      </c>
      <c r="L15" s="62">
        <v>63</v>
      </c>
      <c r="M15" s="62">
        <v>64</v>
      </c>
      <c r="N15" s="62">
        <v>67</v>
      </c>
      <c r="O15" s="62">
        <v>70</v>
      </c>
      <c r="P15" s="62">
        <v>69</v>
      </c>
      <c r="Q15" s="62">
        <v>74</v>
      </c>
    </row>
    <row r="16" spans="1:17" x14ac:dyDescent="0.25">
      <c r="A16" s="64" t="s">
        <v>96</v>
      </c>
      <c r="B16" s="62">
        <v>13</v>
      </c>
      <c r="C16" s="62">
        <v>17</v>
      </c>
      <c r="D16" s="62">
        <v>31</v>
      </c>
      <c r="E16" s="62">
        <v>39</v>
      </c>
      <c r="F16" s="62">
        <v>48</v>
      </c>
      <c r="G16" s="62">
        <v>53</v>
      </c>
      <c r="H16" s="62">
        <v>57</v>
      </c>
      <c r="I16" s="62">
        <v>68</v>
      </c>
      <c r="J16" s="62">
        <v>74</v>
      </c>
      <c r="K16" s="62">
        <v>68</v>
      </c>
      <c r="L16" s="62">
        <v>73</v>
      </c>
      <c r="M16" s="62">
        <v>74</v>
      </c>
      <c r="N16" s="62">
        <v>77</v>
      </c>
      <c r="O16" s="62">
        <v>84</v>
      </c>
      <c r="P16" s="62">
        <v>90</v>
      </c>
      <c r="Q16" s="62">
        <v>93</v>
      </c>
    </row>
    <row r="17" spans="1:17" x14ac:dyDescent="0.25">
      <c r="A17" s="64" t="s">
        <v>97</v>
      </c>
      <c r="B17" s="62">
        <v>12</v>
      </c>
      <c r="C17" s="62">
        <v>17</v>
      </c>
      <c r="D17" s="62">
        <v>26</v>
      </c>
      <c r="E17" s="62">
        <v>35</v>
      </c>
      <c r="F17" s="62">
        <v>44</v>
      </c>
      <c r="G17" s="62">
        <v>48</v>
      </c>
      <c r="H17" s="62">
        <v>50</v>
      </c>
      <c r="I17" s="62">
        <v>54</v>
      </c>
      <c r="J17" s="62">
        <v>53</v>
      </c>
      <c r="K17" s="62">
        <v>51</v>
      </c>
      <c r="L17" s="62">
        <v>53</v>
      </c>
      <c r="M17" s="62">
        <v>56</v>
      </c>
      <c r="N17" s="62">
        <v>60</v>
      </c>
      <c r="O17" s="62">
        <v>71</v>
      </c>
      <c r="P17" s="62">
        <v>79</v>
      </c>
      <c r="Q17" s="62">
        <v>84</v>
      </c>
    </row>
    <row r="18" spans="1:17" x14ac:dyDescent="0.25">
      <c r="A18" s="64" t="s">
        <v>98</v>
      </c>
      <c r="B18" s="62">
        <v>13</v>
      </c>
      <c r="C18" s="62">
        <v>20</v>
      </c>
      <c r="D18" s="62">
        <v>28</v>
      </c>
      <c r="E18" s="62">
        <v>38</v>
      </c>
      <c r="F18" s="62">
        <v>53</v>
      </c>
      <c r="G18" s="62">
        <v>62</v>
      </c>
      <c r="H18" s="62">
        <v>69</v>
      </c>
      <c r="I18" s="62">
        <v>78</v>
      </c>
      <c r="J18" s="62">
        <v>78</v>
      </c>
      <c r="K18" s="62">
        <v>79</v>
      </c>
      <c r="L18" s="62">
        <v>80</v>
      </c>
      <c r="M18" s="62">
        <v>82</v>
      </c>
      <c r="N18" s="62">
        <v>86</v>
      </c>
      <c r="O18" s="62">
        <v>94</v>
      </c>
      <c r="P18" s="62">
        <v>100</v>
      </c>
      <c r="Q18" s="62">
        <v>104</v>
      </c>
    </row>
    <row r="19" spans="1:17" x14ac:dyDescent="0.25">
      <c r="A19" s="64" t="s">
        <v>99</v>
      </c>
      <c r="B19" s="62">
        <v>16</v>
      </c>
      <c r="C19" s="62">
        <v>20</v>
      </c>
      <c r="D19" s="62">
        <v>34</v>
      </c>
      <c r="E19" s="62">
        <v>42</v>
      </c>
      <c r="F19" s="62">
        <v>57</v>
      </c>
      <c r="G19" s="62">
        <v>60</v>
      </c>
      <c r="H19" s="62">
        <v>65</v>
      </c>
      <c r="I19" s="62">
        <v>71</v>
      </c>
      <c r="J19" s="62">
        <v>75</v>
      </c>
      <c r="K19" s="62">
        <v>72</v>
      </c>
      <c r="L19" s="62">
        <v>75</v>
      </c>
      <c r="M19" s="62">
        <v>78</v>
      </c>
      <c r="N19" s="62">
        <v>82</v>
      </c>
      <c r="O19" s="62">
        <v>89</v>
      </c>
      <c r="P19" s="62">
        <v>96</v>
      </c>
      <c r="Q19" s="62">
        <v>99</v>
      </c>
    </row>
    <row r="20" spans="1:17" x14ac:dyDescent="0.25">
      <c r="A20" s="64" t="s">
        <v>100</v>
      </c>
      <c r="B20" s="62">
        <v>13</v>
      </c>
      <c r="C20" s="62">
        <v>17</v>
      </c>
      <c r="D20" s="62">
        <v>32</v>
      </c>
      <c r="E20" s="62">
        <v>40</v>
      </c>
      <c r="F20" s="62">
        <v>54</v>
      </c>
      <c r="G20" s="62">
        <v>59</v>
      </c>
      <c r="H20" s="62">
        <v>70</v>
      </c>
      <c r="I20" s="62">
        <v>80</v>
      </c>
      <c r="J20" s="62">
        <v>82</v>
      </c>
      <c r="K20" s="62">
        <v>84</v>
      </c>
      <c r="L20" s="62">
        <v>86</v>
      </c>
      <c r="M20" s="62">
        <v>90</v>
      </c>
      <c r="N20" s="62">
        <v>95</v>
      </c>
      <c r="O20" s="62">
        <v>106</v>
      </c>
      <c r="P20" s="62">
        <v>116</v>
      </c>
      <c r="Q20" s="62">
        <v>120</v>
      </c>
    </row>
    <row r="21" spans="1:17" x14ac:dyDescent="0.25">
      <c r="A21" s="64" t="s">
        <v>101</v>
      </c>
      <c r="B21" s="62">
        <v>13</v>
      </c>
      <c r="C21" s="62">
        <v>18</v>
      </c>
      <c r="D21" s="62">
        <v>31</v>
      </c>
      <c r="E21" s="62">
        <v>38</v>
      </c>
      <c r="F21" s="62">
        <v>52</v>
      </c>
      <c r="G21" s="62">
        <v>60</v>
      </c>
      <c r="H21" s="62">
        <v>72</v>
      </c>
      <c r="I21" s="62">
        <v>80</v>
      </c>
      <c r="J21" s="62">
        <v>77</v>
      </c>
      <c r="K21" s="62">
        <v>75</v>
      </c>
      <c r="L21" s="62">
        <v>78</v>
      </c>
      <c r="M21" s="62">
        <v>83</v>
      </c>
      <c r="N21" s="62">
        <v>89</v>
      </c>
      <c r="O21" s="62">
        <v>103</v>
      </c>
      <c r="P21" s="62">
        <v>112</v>
      </c>
      <c r="Q21" s="62">
        <v>116</v>
      </c>
    </row>
    <row r="22" spans="1:17" x14ac:dyDescent="0.25">
      <c r="A22" s="64" t="s">
        <v>102</v>
      </c>
      <c r="B22" s="62">
        <v>15</v>
      </c>
      <c r="C22" s="62">
        <v>21</v>
      </c>
      <c r="D22" s="62">
        <v>34</v>
      </c>
      <c r="E22" s="62">
        <v>39</v>
      </c>
      <c r="F22" s="62">
        <v>54</v>
      </c>
      <c r="G22" s="62">
        <v>59</v>
      </c>
      <c r="H22" s="62">
        <v>65</v>
      </c>
      <c r="I22" s="62">
        <v>71</v>
      </c>
      <c r="J22" s="62">
        <v>76</v>
      </c>
      <c r="K22" s="62">
        <v>71</v>
      </c>
      <c r="L22" s="62">
        <v>75</v>
      </c>
      <c r="M22" s="62">
        <v>80</v>
      </c>
      <c r="N22" s="62">
        <v>86</v>
      </c>
      <c r="O22" s="62">
        <v>96</v>
      </c>
      <c r="P22" s="62">
        <v>107</v>
      </c>
      <c r="Q22" s="62">
        <v>111</v>
      </c>
    </row>
    <row r="23" spans="1:17" x14ac:dyDescent="0.25">
      <c r="A23" s="64" t="s">
        <v>103</v>
      </c>
      <c r="B23" s="62">
        <v>13</v>
      </c>
      <c r="C23" s="62">
        <v>19</v>
      </c>
      <c r="D23" s="62">
        <v>28</v>
      </c>
      <c r="E23" s="62">
        <v>35</v>
      </c>
      <c r="F23" s="62">
        <v>51</v>
      </c>
      <c r="G23" s="62">
        <v>57</v>
      </c>
      <c r="H23" s="62">
        <v>63</v>
      </c>
      <c r="I23" s="62">
        <v>70</v>
      </c>
      <c r="J23" s="62">
        <v>76</v>
      </c>
      <c r="K23" s="62">
        <v>79</v>
      </c>
      <c r="L23" s="62">
        <v>81</v>
      </c>
      <c r="M23" s="62">
        <v>86</v>
      </c>
      <c r="N23" s="62">
        <v>90</v>
      </c>
      <c r="O23" s="62">
        <v>103</v>
      </c>
      <c r="P23" s="62">
        <v>115</v>
      </c>
      <c r="Q23" s="62">
        <v>123</v>
      </c>
    </row>
    <row r="24" spans="1:17" x14ac:dyDescent="0.25">
      <c r="A24" s="64" t="s">
        <v>104</v>
      </c>
      <c r="B24" s="62">
        <v>14</v>
      </c>
      <c r="C24" s="62">
        <v>17</v>
      </c>
      <c r="D24" s="62">
        <v>29</v>
      </c>
      <c r="E24" s="62">
        <v>34</v>
      </c>
      <c r="F24" s="62">
        <v>47</v>
      </c>
      <c r="G24" s="62">
        <v>54</v>
      </c>
      <c r="H24" s="62">
        <v>59</v>
      </c>
      <c r="I24" s="62">
        <v>64</v>
      </c>
      <c r="J24" s="62">
        <v>65</v>
      </c>
      <c r="K24" s="62">
        <v>67</v>
      </c>
      <c r="L24" s="62">
        <v>68</v>
      </c>
      <c r="M24" s="62">
        <v>71</v>
      </c>
      <c r="N24" s="62">
        <v>76</v>
      </c>
      <c r="O24" s="62">
        <v>84</v>
      </c>
      <c r="P24" s="62">
        <v>93</v>
      </c>
      <c r="Q24" s="62">
        <v>98</v>
      </c>
    </row>
    <row r="25" spans="1:17" x14ac:dyDescent="0.25">
      <c r="A25" s="64" t="s">
        <v>105</v>
      </c>
      <c r="B25" s="62">
        <v>10</v>
      </c>
      <c r="C25" s="62">
        <v>15</v>
      </c>
      <c r="D25" s="62">
        <v>28</v>
      </c>
      <c r="E25" s="62">
        <v>37</v>
      </c>
      <c r="F25" s="62">
        <v>50</v>
      </c>
      <c r="G25" s="62">
        <v>59</v>
      </c>
      <c r="H25" s="62">
        <v>68</v>
      </c>
      <c r="I25" s="62">
        <v>78</v>
      </c>
      <c r="J25" s="62">
        <v>78</v>
      </c>
      <c r="K25" s="62">
        <v>80</v>
      </c>
      <c r="L25" s="62">
        <v>82</v>
      </c>
      <c r="M25" s="62">
        <v>85</v>
      </c>
      <c r="N25" s="62">
        <v>92</v>
      </c>
      <c r="O25" s="62">
        <v>100</v>
      </c>
      <c r="P25" s="62">
        <v>107</v>
      </c>
      <c r="Q25" s="62">
        <v>111</v>
      </c>
    </row>
    <row r="26" spans="1:17" x14ac:dyDescent="0.25">
      <c r="A26" s="64" t="s">
        <v>106</v>
      </c>
      <c r="B26" s="62">
        <v>16</v>
      </c>
      <c r="C26" s="62">
        <v>22</v>
      </c>
      <c r="D26" s="62">
        <v>33</v>
      </c>
      <c r="E26" s="62">
        <v>43</v>
      </c>
      <c r="F26" s="62">
        <v>56</v>
      </c>
      <c r="G26" s="62">
        <v>69</v>
      </c>
      <c r="H26" s="62">
        <v>76</v>
      </c>
      <c r="I26" s="62">
        <v>82</v>
      </c>
      <c r="J26" s="62">
        <v>85</v>
      </c>
      <c r="K26" s="62">
        <v>85</v>
      </c>
      <c r="L26" s="62">
        <v>86</v>
      </c>
      <c r="M26" s="62">
        <v>88</v>
      </c>
      <c r="N26" s="62">
        <v>91</v>
      </c>
      <c r="O26" s="62">
        <v>96</v>
      </c>
      <c r="P26" s="62">
        <v>102</v>
      </c>
      <c r="Q26" s="62">
        <v>108</v>
      </c>
    </row>
    <row r="27" spans="1:17" x14ac:dyDescent="0.25">
      <c r="A27" s="64" t="s">
        <v>107</v>
      </c>
      <c r="B27" s="62">
        <v>14</v>
      </c>
      <c r="C27" s="62">
        <v>23</v>
      </c>
      <c r="D27" s="62">
        <v>36</v>
      </c>
      <c r="E27" s="62">
        <v>46</v>
      </c>
      <c r="F27" s="62">
        <v>57</v>
      </c>
      <c r="G27" s="62">
        <v>69</v>
      </c>
      <c r="H27" s="62">
        <v>75</v>
      </c>
      <c r="I27" s="62">
        <v>79</v>
      </c>
      <c r="J27" s="62">
        <v>77</v>
      </c>
      <c r="K27" s="62">
        <v>75</v>
      </c>
      <c r="L27" s="62">
        <v>77</v>
      </c>
      <c r="M27" s="62">
        <v>80</v>
      </c>
      <c r="N27" s="62">
        <v>82</v>
      </c>
      <c r="O27" s="62">
        <v>89</v>
      </c>
      <c r="P27" s="62">
        <v>98</v>
      </c>
      <c r="Q27" s="62">
        <v>105</v>
      </c>
    </row>
    <row r="28" spans="1:17" x14ac:dyDescent="0.25">
      <c r="A28" s="64" t="s">
        <v>108</v>
      </c>
      <c r="B28" s="62">
        <v>14</v>
      </c>
      <c r="C28" s="62">
        <v>20</v>
      </c>
      <c r="D28" s="62">
        <v>31</v>
      </c>
      <c r="E28" s="62">
        <v>37</v>
      </c>
      <c r="F28" s="62">
        <v>52</v>
      </c>
      <c r="G28" s="62">
        <v>60</v>
      </c>
      <c r="H28" s="62">
        <v>73</v>
      </c>
      <c r="I28" s="62">
        <v>81</v>
      </c>
      <c r="J28" s="62">
        <v>84</v>
      </c>
      <c r="K28" s="62">
        <v>82</v>
      </c>
      <c r="L28" s="62">
        <v>85</v>
      </c>
      <c r="M28" s="62">
        <v>87</v>
      </c>
      <c r="N28" s="62">
        <v>93</v>
      </c>
      <c r="O28" s="62">
        <v>118</v>
      </c>
      <c r="P28" s="62">
        <v>124</v>
      </c>
      <c r="Q28" s="62">
        <v>129</v>
      </c>
    </row>
    <row r="29" spans="1:17" x14ac:dyDescent="0.25">
      <c r="A29" s="64" t="s">
        <v>109</v>
      </c>
      <c r="B29" s="62">
        <v>14</v>
      </c>
      <c r="C29" s="62">
        <v>20</v>
      </c>
      <c r="D29" s="62">
        <v>30</v>
      </c>
      <c r="E29" s="62">
        <v>42</v>
      </c>
      <c r="F29" s="62">
        <v>55</v>
      </c>
      <c r="G29" s="62">
        <v>62</v>
      </c>
      <c r="H29" s="62">
        <v>76</v>
      </c>
      <c r="I29" s="62">
        <v>87</v>
      </c>
      <c r="J29" s="62">
        <v>88</v>
      </c>
      <c r="K29" s="62">
        <v>85</v>
      </c>
      <c r="L29" s="62">
        <v>87</v>
      </c>
      <c r="M29" s="62">
        <v>92</v>
      </c>
      <c r="N29" s="62">
        <v>99</v>
      </c>
      <c r="O29" s="62">
        <v>109</v>
      </c>
      <c r="P29" s="62">
        <v>118</v>
      </c>
      <c r="Q29" s="62">
        <v>123</v>
      </c>
    </row>
    <row r="30" spans="1:17" x14ac:dyDescent="0.25">
      <c r="A30" s="64" t="s">
        <v>110</v>
      </c>
      <c r="B30" s="62">
        <v>15</v>
      </c>
      <c r="C30" s="62">
        <v>22</v>
      </c>
      <c r="D30" s="62">
        <v>32</v>
      </c>
      <c r="E30" s="62">
        <v>45</v>
      </c>
      <c r="F30" s="62">
        <v>50</v>
      </c>
      <c r="G30" s="62">
        <v>54</v>
      </c>
      <c r="H30" s="62">
        <v>56</v>
      </c>
      <c r="I30" s="62">
        <v>58</v>
      </c>
      <c r="J30" s="62">
        <v>64</v>
      </c>
      <c r="K30" s="62">
        <v>66</v>
      </c>
      <c r="L30" s="62">
        <v>64</v>
      </c>
      <c r="M30" s="62">
        <v>71</v>
      </c>
      <c r="N30" s="62">
        <v>79</v>
      </c>
      <c r="O30" s="62">
        <v>88</v>
      </c>
      <c r="P30" s="62">
        <v>95</v>
      </c>
      <c r="Q30" s="62">
        <v>97</v>
      </c>
    </row>
    <row r="31" spans="1:17" x14ac:dyDescent="0.25">
      <c r="A31" s="64" t="s">
        <v>111</v>
      </c>
      <c r="B31" s="62">
        <v>16</v>
      </c>
      <c r="C31" s="62">
        <v>23</v>
      </c>
      <c r="D31" s="62">
        <v>32</v>
      </c>
      <c r="E31" s="62">
        <v>40</v>
      </c>
      <c r="F31" s="62">
        <v>48</v>
      </c>
      <c r="G31" s="62">
        <v>52</v>
      </c>
      <c r="H31" s="62">
        <v>57</v>
      </c>
      <c r="I31" s="62">
        <v>62</v>
      </c>
      <c r="J31" s="62">
        <v>65</v>
      </c>
      <c r="K31" s="62">
        <v>64</v>
      </c>
      <c r="L31" s="62">
        <v>69</v>
      </c>
      <c r="M31" s="62">
        <v>73</v>
      </c>
      <c r="N31" s="62">
        <v>78</v>
      </c>
      <c r="O31" s="62">
        <v>83</v>
      </c>
      <c r="P31" s="62">
        <v>87</v>
      </c>
      <c r="Q31" s="62">
        <v>89</v>
      </c>
    </row>
    <row r="32" spans="1:17" x14ac:dyDescent="0.25">
      <c r="A32" s="64" t="s">
        <v>112</v>
      </c>
      <c r="B32" s="62">
        <v>16</v>
      </c>
      <c r="C32" s="62">
        <v>20</v>
      </c>
      <c r="D32" s="62">
        <v>31</v>
      </c>
      <c r="E32" s="62">
        <v>38</v>
      </c>
      <c r="F32" s="62">
        <v>43</v>
      </c>
      <c r="G32" s="62">
        <v>49</v>
      </c>
      <c r="H32" s="62">
        <v>54</v>
      </c>
      <c r="I32" s="62">
        <v>60</v>
      </c>
      <c r="J32" s="62">
        <v>60</v>
      </c>
      <c r="K32" s="62">
        <v>58</v>
      </c>
      <c r="L32" s="62">
        <v>63</v>
      </c>
      <c r="M32" s="62">
        <v>65</v>
      </c>
      <c r="N32" s="62">
        <v>71</v>
      </c>
      <c r="O32" s="62">
        <v>74</v>
      </c>
      <c r="P32" s="62">
        <v>80</v>
      </c>
      <c r="Q32" s="62">
        <v>84</v>
      </c>
    </row>
    <row r="33" spans="1:17" x14ac:dyDescent="0.25">
      <c r="A33" s="64" t="s">
        <v>113</v>
      </c>
      <c r="B33" s="62">
        <v>13</v>
      </c>
      <c r="C33" s="62">
        <v>19</v>
      </c>
      <c r="D33" s="62">
        <v>30</v>
      </c>
      <c r="E33" s="62">
        <v>41</v>
      </c>
      <c r="F33" s="62">
        <v>56</v>
      </c>
      <c r="G33" s="62">
        <v>59</v>
      </c>
      <c r="H33" s="62">
        <v>62</v>
      </c>
      <c r="I33" s="62">
        <v>65</v>
      </c>
      <c r="J33" s="62">
        <v>66</v>
      </c>
      <c r="K33" s="62">
        <v>65</v>
      </c>
      <c r="L33" s="62">
        <v>65</v>
      </c>
      <c r="M33" s="62">
        <v>67</v>
      </c>
      <c r="N33" s="62">
        <v>70</v>
      </c>
      <c r="O33" s="62">
        <v>76</v>
      </c>
      <c r="P33" s="62">
        <v>82</v>
      </c>
      <c r="Q33" s="62">
        <v>86</v>
      </c>
    </row>
    <row r="34" spans="1:17" x14ac:dyDescent="0.25">
      <c r="A34" s="64" t="s">
        <v>114</v>
      </c>
      <c r="B34" s="62">
        <v>16</v>
      </c>
      <c r="C34" s="62">
        <v>24</v>
      </c>
      <c r="D34" s="62">
        <v>34</v>
      </c>
      <c r="E34" s="62">
        <v>44</v>
      </c>
      <c r="F34" s="62">
        <v>55</v>
      </c>
      <c r="G34" s="62">
        <v>61</v>
      </c>
      <c r="H34" s="62">
        <v>68</v>
      </c>
      <c r="I34" s="62">
        <v>76</v>
      </c>
      <c r="J34" s="62">
        <v>74</v>
      </c>
      <c r="K34" s="62">
        <v>75</v>
      </c>
      <c r="L34" s="62">
        <v>77</v>
      </c>
      <c r="M34" s="62">
        <v>82</v>
      </c>
      <c r="N34" s="62">
        <v>85</v>
      </c>
      <c r="O34" s="62">
        <v>93</v>
      </c>
      <c r="P34" s="62">
        <v>100</v>
      </c>
      <c r="Q34" s="62">
        <v>105</v>
      </c>
    </row>
    <row r="35" spans="1:17" x14ac:dyDescent="0.25">
      <c r="A35" s="64" t="s">
        <v>115</v>
      </c>
      <c r="B35" s="62">
        <v>13</v>
      </c>
      <c r="C35" s="62">
        <v>20</v>
      </c>
      <c r="D35" s="62">
        <v>35</v>
      </c>
      <c r="E35" s="62">
        <v>45</v>
      </c>
      <c r="F35" s="62">
        <v>56</v>
      </c>
      <c r="G35" s="62">
        <v>68</v>
      </c>
      <c r="H35" s="62">
        <v>80</v>
      </c>
      <c r="I35" s="62">
        <v>91</v>
      </c>
      <c r="J35" s="62">
        <v>89</v>
      </c>
      <c r="K35" s="62">
        <v>95</v>
      </c>
      <c r="L35" s="62">
        <v>92</v>
      </c>
      <c r="M35" s="62">
        <v>96</v>
      </c>
      <c r="N35" s="62">
        <v>99</v>
      </c>
      <c r="O35" s="62">
        <v>113</v>
      </c>
      <c r="P35" s="62">
        <v>120</v>
      </c>
      <c r="Q35" s="62">
        <v>126</v>
      </c>
    </row>
    <row r="36" spans="1:17" x14ac:dyDescent="0.25">
      <c r="A36" s="64" t="s">
        <v>116</v>
      </c>
      <c r="B36" s="62">
        <v>14</v>
      </c>
      <c r="C36" s="62">
        <v>20</v>
      </c>
      <c r="D36" s="62">
        <v>33</v>
      </c>
      <c r="E36" s="62">
        <v>47</v>
      </c>
      <c r="F36" s="62">
        <v>60</v>
      </c>
      <c r="G36" s="62">
        <v>70</v>
      </c>
      <c r="H36" s="62">
        <v>78</v>
      </c>
      <c r="I36" s="62">
        <v>88</v>
      </c>
      <c r="J36" s="62">
        <v>91</v>
      </c>
      <c r="K36" s="62">
        <v>94</v>
      </c>
      <c r="L36" s="62">
        <v>91</v>
      </c>
      <c r="M36" s="62">
        <v>93</v>
      </c>
      <c r="N36" s="62">
        <v>98</v>
      </c>
      <c r="O36" s="62">
        <v>108</v>
      </c>
      <c r="P36" s="62">
        <v>118</v>
      </c>
      <c r="Q36" s="62">
        <v>124</v>
      </c>
    </row>
    <row r="37" spans="1:17" x14ac:dyDescent="0.25">
      <c r="A37" s="64" t="s">
        <v>117</v>
      </c>
      <c r="B37" s="62">
        <v>14</v>
      </c>
      <c r="C37" s="62">
        <v>21</v>
      </c>
      <c r="D37" s="62">
        <v>33</v>
      </c>
      <c r="E37" s="62">
        <v>43</v>
      </c>
      <c r="F37" s="62">
        <v>53</v>
      </c>
      <c r="G37" s="62">
        <v>59</v>
      </c>
      <c r="H37" s="62">
        <v>65</v>
      </c>
      <c r="I37" s="62">
        <v>72</v>
      </c>
      <c r="J37" s="62">
        <v>78</v>
      </c>
      <c r="K37" s="62">
        <v>75</v>
      </c>
      <c r="L37" s="62">
        <v>75</v>
      </c>
      <c r="M37" s="62">
        <v>78</v>
      </c>
      <c r="N37" s="62">
        <v>83</v>
      </c>
      <c r="O37" s="62">
        <v>89</v>
      </c>
      <c r="P37" s="62">
        <v>95</v>
      </c>
      <c r="Q37" s="62">
        <v>100</v>
      </c>
    </row>
    <row r="38" spans="1:17" x14ac:dyDescent="0.25">
      <c r="A38" s="64" t="s">
        <v>118</v>
      </c>
      <c r="B38" s="62">
        <v>12</v>
      </c>
      <c r="C38" s="62">
        <v>19</v>
      </c>
      <c r="D38" s="62">
        <v>30</v>
      </c>
      <c r="E38" s="62">
        <v>44</v>
      </c>
      <c r="F38" s="62">
        <v>53</v>
      </c>
      <c r="G38" s="62">
        <v>59</v>
      </c>
      <c r="H38" s="62">
        <v>63</v>
      </c>
      <c r="I38" s="62">
        <v>70</v>
      </c>
      <c r="J38" s="62">
        <v>76</v>
      </c>
      <c r="K38" s="62">
        <v>78</v>
      </c>
      <c r="L38" s="62">
        <v>80</v>
      </c>
      <c r="M38" s="62">
        <v>79</v>
      </c>
      <c r="N38" s="62">
        <v>81</v>
      </c>
      <c r="O38" s="62">
        <v>86</v>
      </c>
      <c r="P38" s="62">
        <v>92</v>
      </c>
      <c r="Q38" s="62">
        <v>93</v>
      </c>
    </row>
    <row r="39" spans="1:17" x14ac:dyDescent="0.25">
      <c r="A39" s="64" t="s">
        <v>119</v>
      </c>
      <c r="B39" s="62">
        <v>15</v>
      </c>
      <c r="C39" s="62">
        <v>24</v>
      </c>
      <c r="D39" s="62">
        <v>37</v>
      </c>
      <c r="E39" s="62">
        <v>47</v>
      </c>
      <c r="F39" s="62">
        <v>58</v>
      </c>
      <c r="G39" s="62">
        <v>61</v>
      </c>
      <c r="H39" s="62">
        <v>72</v>
      </c>
      <c r="I39" s="62">
        <v>81</v>
      </c>
      <c r="J39" s="62">
        <v>81</v>
      </c>
      <c r="K39" s="62">
        <v>79</v>
      </c>
      <c r="L39" s="62">
        <v>77</v>
      </c>
      <c r="M39" s="62">
        <v>78</v>
      </c>
      <c r="N39" s="62">
        <v>79</v>
      </c>
      <c r="O39" s="62">
        <v>85</v>
      </c>
      <c r="P39" s="62">
        <v>93</v>
      </c>
      <c r="Q39" s="62">
        <v>97</v>
      </c>
    </row>
    <row r="40" spans="1:17" x14ac:dyDescent="0.25">
      <c r="A40" s="64" t="s">
        <v>120</v>
      </c>
      <c r="B40" s="62">
        <v>12</v>
      </c>
      <c r="C40" s="62">
        <v>20</v>
      </c>
      <c r="D40" s="62">
        <v>29</v>
      </c>
      <c r="E40" s="62">
        <v>37</v>
      </c>
      <c r="F40" s="62">
        <v>44</v>
      </c>
      <c r="G40" s="62">
        <v>50</v>
      </c>
      <c r="H40" s="62">
        <v>57</v>
      </c>
      <c r="I40" s="62">
        <v>66</v>
      </c>
      <c r="J40" s="62">
        <v>70</v>
      </c>
      <c r="K40" s="62">
        <v>69</v>
      </c>
      <c r="L40" s="62">
        <v>71</v>
      </c>
      <c r="M40" s="62">
        <v>73</v>
      </c>
      <c r="N40" s="62">
        <v>76</v>
      </c>
      <c r="O40" s="62">
        <v>81</v>
      </c>
      <c r="P40" s="62">
        <v>84</v>
      </c>
      <c r="Q40" s="62">
        <v>86</v>
      </c>
    </row>
    <row r="41" spans="1:17" x14ac:dyDescent="0.25">
      <c r="A41" s="64" t="s">
        <v>121</v>
      </c>
      <c r="B41" s="62">
        <v>13</v>
      </c>
      <c r="C41" s="62">
        <v>16</v>
      </c>
      <c r="D41" s="62">
        <v>29</v>
      </c>
      <c r="E41" s="62">
        <v>40</v>
      </c>
      <c r="F41" s="62">
        <v>51</v>
      </c>
      <c r="G41" s="62">
        <v>54</v>
      </c>
      <c r="H41" s="62">
        <v>59</v>
      </c>
      <c r="I41" s="62">
        <v>63</v>
      </c>
      <c r="J41" s="62">
        <v>63</v>
      </c>
      <c r="K41" s="62">
        <v>66</v>
      </c>
      <c r="L41" s="62">
        <v>67</v>
      </c>
      <c r="M41" s="62">
        <v>70</v>
      </c>
      <c r="N41" s="62">
        <v>70</v>
      </c>
      <c r="O41" s="62">
        <v>74</v>
      </c>
      <c r="P41" s="62">
        <v>80</v>
      </c>
      <c r="Q41" s="62">
        <v>84</v>
      </c>
    </row>
    <row r="42" spans="1:17" x14ac:dyDescent="0.25">
      <c r="A42" s="64" t="s">
        <v>122</v>
      </c>
      <c r="B42" s="62">
        <v>14</v>
      </c>
      <c r="C42" s="62">
        <v>21</v>
      </c>
      <c r="D42" s="62">
        <v>31</v>
      </c>
      <c r="E42" s="62">
        <v>46</v>
      </c>
      <c r="F42" s="62">
        <v>55</v>
      </c>
      <c r="G42" s="62">
        <v>69</v>
      </c>
      <c r="H42" s="62">
        <v>75</v>
      </c>
      <c r="I42" s="62">
        <v>77</v>
      </c>
      <c r="J42" s="62">
        <v>78</v>
      </c>
      <c r="K42" s="62">
        <v>78</v>
      </c>
      <c r="L42" s="62">
        <v>79</v>
      </c>
      <c r="M42" s="62">
        <v>81</v>
      </c>
      <c r="N42" s="62">
        <v>83</v>
      </c>
      <c r="O42" s="62">
        <v>84</v>
      </c>
      <c r="P42" s="62">
        <v>91</v>
      </c>
      <c r="Q42" s="62">
        <v>97</v>
      </c>
    </row>
    <row r="43" spans="1:17" x14ac:dyDescent="0.25">
      <c r="A43" s="64" t="s">
        <v>123</v>
      </c>
      <c r="B43" s="62">
        <v>14</v>
      </c>
      <c r="C43" s="62">
        <v>20</v>
      </c>
      <c r="D43" s="62">
        <v>31</v>
      </c>
      <c r="E43" s="62">
        <v>48</v>
      </c>
      <c r="F43" s="62">
        <v>56</v>
      </c>
      <c r="G43" s="62">
        <v>66</v>
      </c>
      <c r="H43" s="62">
        <v>72</v>
      </c>
      <c r="I43" s="62">
        <v>79</v>
      </c>
      <c r="J43" s="62">
        <v>77</v>
      </c>
      <c r="K43" s="62">
        <v>81</v>
      </c>
      <c r="L43" s="62">
        <v>80</v>
      </c>
      <c r="M43" s="62">
        <v>82</v>
      </c>
      <c r="N43" s="62">
        <v>82</v>
      </c>
      <c r="O43" s="62">
        <v>85</v>
      </c>
      <c r="P43" s="62">
        <v>94</v>
      </c>
      <c r="Q43" s="62">
        <v>102</v>
      </c>
    </row>
    <row r="44" spans="1:17" x14ac:dyDescent="0.25">
      <c r="A44" s="64" t="s">
        <v>124</v>
      </c>
      <c r="B44" s="62">
        <v>13</v>
      </c>
      <c r="C44" s="62">
        <v>22</v>
      </c>
      <c r="D44" s="62">
        <v>35</v>
      </c>
      <c r="E44" s="62">
        <v>43</v>
      </c>
      <c r="F44" s="62">
        <v>52</v>
      </c>
      <c r="G44" s="62">
        <v>59</v>
      </c>
      <c r="H44" s="62">
        <v>64</v>
      </c>
      <c r="I44" s="62">
        <v>67</v>
      </c>
      <c r="J44" s="62">
        <v>68</v>
      </c>
      <c r="K44" s="62">
        <v>68</v>
      </c>
      <c r="L44" s="62">
        <v>70</v>
      </c>
      <c r="M44" s="62">
        <v>73</v>
      </c>
      <c r="N44" s="62">
        <v>74</v>
      </c>
      <c r="O44" s="62">
        <v>76</v>
      </c>
      <c r="P44" s="62">
        <v>81</v>
      </c>
      <c r="Q44" s="62">
        <v>88</v>
      </c>
    </row>
    <row r="45" spans="1:17" x14ac:dyDescent="0.25">
      <c r="A45" s="64" t="s">
        <v>125</v>
      </c>
      <c r="B45" s="62">
        <v>14</v>
      </c>
      <c r="C45" s="62">
        <v>22</v>
      </c>
      <c r="D45" s="62">
        <v>35</v>
      </c>
      <c r="E45" s="62">
        <v>45</v>
      </c>
      <c r="F45" s="62">
        <v>55</v>
      </c>
      <c r="G45" s="62">
        <v>58</v>
      </c>
      <c r="H45" s="62">
        <v>64</v>
      </c>
      <c r="I45" s="62">
        <v>70</v>
      </c>
      <c r="J45" s="62">
        <v>72</v>
      </c>
      <c r="K45" s="62">
        <v>69</v>
      </c>
      <c r="L45" s="62">
        <v>72</v>
      </c>
      <c r="M45" s="62">
        <v>74</v>
      </c>
      <c r="N45" s="62">
        <v>75</v>
      </c>
      <c r="O45" s="62">
        <v>78</v>
      </c>
      <c r="P45" s="62">
        <v>82</v>
      </c>
      <c r="Q45" s="62">
        <v>89</v>
      </c>
    </row>
    <row r="46" spans="1:17" x14ac:dyDescent="0.25">
      <c r="A46" s="64" t="s">
        <v>126</v>
      </c>
      <c r="B46" s="62">
        <v>10</v>
      </c>
      <c r="C46" s="62">
        <v>16</v>
      </c>
      <c r="D46" s="62">
        <v>30</v>
      </c>
      <c r="E46" s="62">
        <v>38</v>
      </c>
      <c r="F46" s="62">
        <v>48</v>
      </c>
      <c r="G46" s="62">
        <v>57</v>
      </c>
      <c r="H46" s="62">
        <v>64</v>
      </c>
      <c r="I46" s="62">
        <v>73</v>
      </c>
      <c r="J46" s="62">
        <v>75</v>
      </c>
      <c r="K46" s="62">
        <v>76</v>
      </c>
      <c r="L46" s="62">
        <v>79</v>
      </c>
      <c r="M46" s="62">
        <v>84</v>
      </c>
      <c r="N46" s="62">
        <v>88</v>
      </c>
      <c r="O46" s="62">
        <v>94</v>
      </c>
      <c r="P46" s="62">
        <v>97</v>
      </c>
      <c r="Q46" s="62">
        <v>97</v>
      </c>
    </row>
    <row r="47" spans="1:17" x14ac:dyDescent="0.25">
      <c r="A47" s="64" t="s">
        <v>127</v>
      </c>
      <c r="B47" s="62">
        <v>12</v>
      </c>
      <c r="C47" s="62">
        <v>18</v>
      </c>
      <c r="D47" s="62">
        <v>29</v>
      </c>
      <c r="E47" s="62">
        <v>37</v>
      </c>
      <c r="F47" s="62">
        <v>47</v>
      </c>
      <c r="G47" s="62">
        <v>53</v>
      </c>
      <c r="H47" s="62">
        <v>57</v>
      </c>
      <c r="I47" s="62">
        <v>63</v>
      </c>
      <c r="J47" s="62">
        <v>71</v>
      </c>
      <c r="K47" s="62">
        <v>64</v>
      </c>
      <c r="L47" s="62">
        <v>70</v>
      </c>
      <c r="M47" s="62">
        <v>71</v>
      </c>
      <c r="N47" s="62">
        <v>72</v>
      </c>
      <c r="O47" s="62">
        <v>76</v>
      </c>
      <c r="P47" s="62">
        <v>81</v>
      </c>
      <c r="Q47" s="62">
        <v>87</v>
      </c>
    </row>
    <row r="48" spans="1:17" x14ac:dyDescent="0.25">
      <c r="A48" s="64" t="s">
        <v>128</v>
      </c>
      <c r="B48" s="62">
        <v>15</v>
      </c>
      <c r="C48" s="62">
        <v>17</v>
      </c>
      <c r="D48" s="62">
        <v>32</v>
      </c>
      <c r="E48" s="62">
        <v>40</v>
      </c>
      <c r="F48" s="62">
        <v>43</v>
      </c>
      <c r="G48" s="62">
        <v>47</v>
      </c>
      <c r="H48" s="62">
        <v>51</v>
      </c>
      <c r="I48" s="62">
        <v>55</v>
      </c>
      <c r="J48" s="62">
        <v>58</v>
      </c>
      <c r="K48" s="62">
        <v>59</v>
      </c>
      <c r="L48" s="62">
        <v>57</v>
      </c>
      <c r="M48" s="62">
        <v>60</v>
      </c>
      <c r="N48" s="62">
        <v>62</v>
      </c>
      <c r="O48" s="62">
        <v>67</v>
      </c>
      <c r="P48" s="62">
        <v>76</v>
      </c>
      <c r="Q48" s="62">
        <v>82</v>
      </c>
    </row>
    <row r="49" spans="1:17" x14ac:dyDescent="0.25">
      <c r="A49" s="64" t="s">
        <v>129</v>
      </c>
      <c r="B49" s="62">
        <v>11</v>
      </c>
      <c r="C49" s="62">
        <v>17</v>
      </c>
      <c r="D49" s="62">
        <v>29</v>
      </c>
      <c r="E49" s="62">
        <v>39</v>
      </c>
      <c r="F49" s="62">
        <v>48</v>
      </c>
      <c r="G49" s="62">
        <v>51</v>
      </c>
      <c r="H49" s="62">
        <v>54</v>
      </c>
      <c r="I49" s="62">
        <v>58</v>
      </c>
      <c r="J49" s="62">
        <v>62</v>
      </c>
      <c r="K49" s="62">
        <v>65</v>
      </c>
      <c r="L49" s="62">
        <v>66</v>
      </c>
      <c r="M49" s="62">
        <v>68</v>
      </c>
      <c r="N49" s="62">
        <v>71</v>
      </c>
      <c r="O49" s="62">
        <v>76</v>
      </c>
      <c r="P49" s="62">
        <v>82</v>
      </c>
      <c r="Q49" s="62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4D7F-8BC9-4C95-9E0E-E5D5258C02F7}">
  <dimension ref="A1:P49"/>
  <sheetViews>
    <sheetView workbookViewId="0"/>
  </sheetViews>
  <sheetFormatPr defaultRowHeight="15" x14ac:dyDescent="0.25"/>
  <cols>
    <col min="1" max="16384" width="9.140625" style="62"/>
  </cols>
  <sheetData>
    <row r="1" spans="1:16" x14ac:dyDescent="0.25">
      <c r="A1" s="63" t="s">
        <v>81</v>
      </c>
      <c r="B1" s="62" t="s">
        <v>80</v>
      </c>
      <c r="C1" s="62" t="s">
        <v>79</v>
      </c>
      <c r="D1" s="62" t="s">
        <v>78</v>
      </c>
      <c r="E1" s="62" t="s">
        <v>77</v>
      </c>
      <c r="F1" s="62" t="s">
        <v>76</v>
      </c>
      <c r="G1" s="62" t="s">
        <v>75</v>
      </c>
      <c r="H1" s="62" t="s">
        <v>74</v>
      </c>
      <c r="I1" s="62" t="s">
        <v>73</v>
      </c>
      <c r="J1" s="62" t="s">
        <v>72</v>
      </c>
      <c r="K1" s="62" t="s">
        <v>71</v>
      </c>
      <c r="L1" s="62" t="s">
        <v>70</v>
      </c>
      <c r="M1" s="62" t="s">
        <v>69</v>
      </c>
      <c r="N1" s="62" t="s">
        <v>68</v>
      </c>
      <c r="O1" s="62" t="s">
        <v>67</v>
      </c>
      <c r="P1" s="62" t="s">
        <v>65</v>
      </c>
    </row>
    <row r="2" spans="1:16" x14ac:dyDescent="0.25">
      <c r="A2" s="64" t="s">
        <v>82</v>
      </c>
      <c r="B2" s="62">
        <v>9</v>
      </c>
      <c r="C2" s="62">
        <v>16</v>
      </c>
      <c r="D2" s="62">
        <v>29</v>
      </c>
      <c r="E2" s="62">
        <v>33</v>
      </c>
      <c r="F2" s="62">
        <v>44</v>
      </c>
      <c r="G2" s="62">
        <v>50</v>
      </c>
      <c r="H2" s="62">
        <v>55</v>
      </c>
      <c r="I2" s="62">
        <v>60</v>
      </c>
      <c r="J2" s="62">
        <v>73</v>
      </c>
      <c r="K2" s="62">
        <v>74</v>
      </c>
      <c r="L2" s="62">
        <v>78</v>
      </c>
      <c r="M2" s="62">
        <v>83</v>
      </c>
      <c r="N2" s="62">
        <v>89</v>
      </c>
      <c r="O2" s="62">
        <v>102</v>
      </c>
      <c r="P2" s="62">
        <v>102</v>
      </c>
    </row>
    <row r="3" spans="1:16" x14ac:dyDescent="0.25">
      <c r="A3" s="64" t="s">
        <v>83</v>
      </c>
      <c r="B3" s="62">
        <v>13</v>
      </c>
      <c r="C3" s="62">
        <v>21</v>
      </c>
      <c r="D3" s="62">
        <v>30</v>
      </c>
      <c r="E3" s="62">
        <v>39</v>
      </c>
      <c r="F3" s="62">
        <v>50</v>
      </c>
      <c r="G3" s="62">
        <v>56</v>
      </c>
      <c r="H3" s="62">
        <v>60</v>
      </c>
      <c r="I3" s="62">
        <v>65</v>
      </c>
      <c r="J3" s="62">
        <v>77</v>
      </c>
      <c r="K3" s="62">
        <v>73</v>
      </c>
      <c r="L3" s="62">
        <v>80</v>
      </c>
      <c r="M3" s="62">
        <v>84</v>
      </c>
      <c r="N3" s="62">
        <v>87</v>
      </c>
      <c r="O3" s="62">
        <v>102</v>
      </c>
      <c r="P3" s="62">
        <v>102</v>
      </c>
    </row>
    <row r="4" spans="1:16" x14ac:dyDescent="0.25">
      <c r="A4" s="64" t="s">
        <v>84</v>
      </c>
      <c r="B4" s="62">
        <v>15</v>
      </c>
      <c r="C4" s="62">
        <v>25</v>
      </c>
      <c r="D4" s="62">
        <v>32</v>
      </c>
      <c r="E4" s="62">
        <v>40</v>
      </c>
      <c r="F4" s="62">
        <v>48</v>
      </c>
      <c r="G4" s="62">
        <v>53</v>
      </c>
      <c r="H4" s="62">
        <v>55</v>
      </c>
      <c r="I4" s="62">
        <v>57</v>
      </c>
      <c r="J4" s="62">
        <v>57</v>
      </c>
      <c r="K4" s="62">
        <v>59</v>
      </c>
      <c r="L4" s="62">
        <v>61</v>
      </c>
      <c r="M4" s="62">
        <v>62</v>
      </c>
      <c r="N4" s="62">
        <v>65</v>
      </c>
      <c r="O4" s="62">
        <v>72</v>
      </c>
      <c r="P4" s="62">
        <v>71</v>
      </c>
    </row>
    <row r="5" spans="1:16" x14ac:dyDescent="0.25">
      <c r="A5" s="64" t="s">
        <v>85</v>
      </c>
      <c r="B5" s="62">
        <v>9</v>
      </c>
      <c r="C5" s="62">
        <v>17</v>
      </c>
      <c r="D5" s="62">
        <v>24</v>
      </c>
      <c r="E5" s="62">
        <v>31</v>
      </c>
      <c r="F5" s="62">
        <v>37</v>
      </c>
      <c r="G5" s="62">
        <v>41</v>
      </c>
      <c r="H5" s="62">
        <v>44</v>
      </c>
      <c r="I5" s="62">
        <v>47</v>
      </c>
      <c r="J5" s="62">
        <v>53</v>
      </c>
      <c r="K5" s="62">
        <v>50</v>
      </c>
      <c r="L5" s="62">
        <v>52</v>
      </c>
      <c r="M5" s="62">
        <v>55</v>
      </c>
      <c r="N5" s="62">
        <v>58</v>
      </c>
      <c r="O5" s="62">
        <v>63</v>
      </c>
      <c r="P5" s="62">
        <v>72</v>
      </c>
    </row>
    <row r="6" spans="1:16" x14ac:dyDescent="0.25">
      <c r="A6" s="64" t="s">
        <v>86</v>
      </c>
      <c r="B6" s="62">
        <v>15</v>
      </c>
      <c r="C6" s="62">
        <v>23</v>
      </c>
      <c r="D6" s="62">
        <v>32</v>
      </c>
      <c r="E6" s="62">
        <v>38</v>
      </c>
      <c r="F6" s="62">
        <v>48</v>
      </c>
      <c r="G6" s="62">
        <v>53</v>
      </c>
      <c r="H6" s="62">
        <v>55</v>
      </c>
      <c r="I6" s="62">
        <v>57</v>
      </c>
      <c r="J6" s="62">
        <v>58</v>
      </c>
      <c r="K6" s="62">
        <v>52</v>
      </c>
      <c r="L6" s="62">
        <v>54</v>
      </c>
      <c r="M6" s="62">
        <v>53</v>
      </c>
      <c r="N6" s="62">
        <v>54</v>
      </c>
      <c r="O6" s="62">
        <v>61</v>
      </c>
      <c r="P6" s="62">
        <v>73</v>
      </c>
    </row>
    <row r="7" spans="1:16" x14ac:dyDescent="0.25">
      <c r="A7" s="64" t="s">
        <v>87</v>
      </c>
      <c r="B7" s="62">
        <v>11</v>
      </c>
      <c r="C7" s="62">
        <v>21</v>
      </c>
      <c r="D7" s="62">
        <v>32</v>
      </c>
      <c r="E7" s="62">
        <v>40</v>
      </c>
      <c r="F7" s="62">
        <v>48</v>
      </c>
      <c r="G7" s="62">
        <v>53</v>
      </c>
      <c r="H7" s="62">
        <v>57</v>
      </c>
      <c r="I7" s="62">
        <v>62</v>
      </c>
      <c r="J7" s="62">
        <v>71</v>
      </c>
      <c r="K7" s="62">
        <v>63</v>
      </c>
      <c r="L7" s="62">
        <v>70</v>
      </c>
      <c r="M7" s="62">
        <v>72</v>
      </c>
      <c r="N7" s="62">
        <v>76</v>
      </c>
      <c r="O7" s="62">
        <v>79</v>
      </c>
      <c r="P7" s="62">
        <v>84</v>
      </c>
    </row>
    <row r="8" spans="1:16" x14ac:dyDescent="0.25">
      <c r="A8" s="64" t="s">
        <v>88</v>
      </c>
      <c r="B8" s="62">
        <v>12</v>
      </c>
      <c r="C8" s="62">
        <v>21</v>
      </c>
      <c r="D8" s="62">
        <v>28</v>
      </c>
      <c r="E8" s="62">
        <v>36</v>
      </c>
      <c r="F8" s="62">
        <v>46</v>
      </c>
      <c r="G8" s="62">
        <v>52</v>
      </c>
      <c r="H8" s="62">
        <v>55</v>
      </c>
      <c r="I8" s="62">
        <v>61</v>
      </c>
      <c r="J8" s="62">
        <v>74</v>
      </c>
      <c r="K8" s="62">
        <v>66</v>
      </c>
      <c r="L8" s="62">
        <v>72</v>
      </c>
      <c r="M8" s="62">
        <v>75</v>
      </c>
      <c r="N8" s="62">
        <v>79</v>
      </c>
      <c r="O8" s="62">
        <v>86</v>
      </c>
      <c r="P8" s="62">
        <v>102</v>
      </c>
    </row>
    <row r="9" spans="1:16" x14ac:dyDescent="0.25">
      <c r="A9" s="64" t="s">
        <v>89</v>
      </c>
      <c r="B9" s="62">
        <v>9</v>
      </c>
      <c r="C9" s="62">
        <v>20</v>
      </c>
      <c r="D9" s="62">
        <v>26</v>
      </c>
      <c r="E9" s="62">
        <v>38</v>
      </c>
      <c r="F9" s="62">
        <v>47</v>
      </c>
      <c r="G9" s="62">
        <v>55</v>
      </c>
      <c r="H9" s="62">
        <v>61</v>
      </c>
      <c r="I9" s="62">
        <v>66</v>
      </c>
      <c r="J9" s="62">
        <v>68</v>
      </c>
      <c r="K9" s="62">
        <v>61</v>
      </c>
      <c r="L9" s="62">
        <v>66</v>
      </c>
      <c r="M9" s="62">
        <v>71</v>
      </c>
      <c r="N9" s="62">
        <v>77</v>
      </c>
      <c r="O9" s="62">
        <v>85</v>
      </c>
      <c r="P9" s="62">
        <v>91</v>
      </c>
    </row>
    <row r="10" spans="1:16" x14ac:dyDescent="0.25">
      <c r="A10" s="64" t="s">
        <v>90</v>
      </c>
      <c r="B10" s="62">
        <v>10</v>
      </c>
      <c r="C10" s="62">
        <v>19</v>
      </c>
      <c r="D10" s="62">
        <v>29</v>
      </c>
      <c r="E10" s="62">
        <v>37</v>
      </c>
      <c r="F10" s="62">
        <v>49</v>
      </c>
      <c r="G10" s="62">
        <v>58</v>
      </c>
      <c r="H10" s="62">
        <v>62</v>
      </c>
      <c r="I10" s="62">
        <v>67</v>
      </c>
      <c r="J10" s="62">
        <v>73</v>
      </c>
      <c r="K10" s="62">
        <v>68</v>
      </c>
      <c r="L10" s="62">
        <v>70</v>
      </c>
      <c r="M10" s="62">
        <v>74</v>
      </c>
      <c r="N10" s="62">
        <v>78</v>
      </c>
      <c r="O10" s="62">
        <v>89</v>
      </c>
      <c r="P10" s="62">
        <v>102</v>
      </c>
    </row>
    <row r="11" spans="1:16" x14ac:dyDescent="0.25">
      <c r="A11" s="64" t="s">
        <v>91</v>
      </c>
      <c r="B11" s="62">
        <v>9</v>
      </c>
      <c r="C11" s="62">
        <v>19</v>
      </c>
      <c r="D11" s="62">
        <v>27</v>
      </c>
      <c r="E11" s="62">
        <v>35</v>
      </c>
      <c r="F11" s="62">
        <v>47</v>
      </c>
      <c r="G11" s="62">
        <v>49</v>
      </c>
      <c r="H11" s="62">
        <v>54</v>
      </c>
      <c r="I11" s="62">
        <v>56</v>
      </c>
      <c r="J11" s="62">
        <v>64</v>
      </c>
      <c r="K11" s="62">
        <v>62</v>
      </c>
      <c r="L11" s="62">
        <v>65</v>
      </c>
      <c r="M11" s="62">
        <v>69</v>
      </c>
      <c r="N11" s="62">
        <v>72</v>
      </c>
      <c r="O11" s="62">
        <v>76</v>
      </c>
      <c r="P11" s="62">
        <v>85</v>
      </c>
    </row>
    <row r="12" spans="1:16" x14ac:dyDescent="0.25">
      <c r="A12" s="64" t="s">
        <v>92</v>
      </c>
      <c r="B12" s="62">
        <v>10</v>
      </c>
      <c r="C12" s="62">
        <v>19</v>
      </c>
      <c r="D12" s="62">
        <v>31</v>
      </c>
      <c r="E12" s="62">
        <v>38</v>
      </c>
      <c r="F12" s="62">
        <v>47</v>
      </c>
      <c r="G12" s="62">
        <v>53</v>
      </c>
      <c r="H12" s="62">
        <v>58</v>
      </c>
      <c r="I12" s="62">
        <v>64</v>
      </c>
      <c r="J12" s="62">
        <v>71</v>
      </c>
      <c r="K12" s="62">
        <v>68</v>
      </c>
      <c r="L12" s="62">
        <v>76</v>
      </c>
      <c r="M12" s="62">
        <v>83</v>
      </c>
      <c r="N12" s="62">
        <v>88</v>
      </c>
      <c r="O12" s="62">
        <v>102</v>
      </c>
      <c r="P12" s="62">
        <v>102</v>
      </c>
    </row>
    <row r="13" spans="1:16" x14ac:dyDescent="0.25">
      <c r="A13" s="64" t="s">
        <v>93</v>
      </c>
      <c r="B13" s="62">
        <v>11</v>
      </c>
      <c r="C13" s="62">
        <v>17</v>
      </c>
      <c r="D13" s="62">
        <v>29</v>
      </c>
      <c r="E13" s="62">
        <v>36</v>
      </c>
      <c r="F13" s="62">
        <v>47</v>
      </c>
      <c r="G13" s="62">
        <v>50</v>
      </c>
      <c r="H13" s="62">
        <v>53</v>
      </c>
      <c r="I13" s="62">
        <v>52</v>
      </c>
      <c r="J13" s="62">
        <v>56</v>
      </c>
      <c r="K13" s="62">
        <v>53</v>
      </c>
      <c r="L13" s="62">
        <v>55</v>
      </c>
      <c r="M13" s="62">
        <v>59</v>
      </c>
      <c r="N13" s="62">
        <v>66</v>
      </c>
      <c r="O13" s="62">
        <v>87</v>
      </c>
      <c r="P13" s="62">
        <v>102</v>
      </c>
    </row>
    <row r="14" spans="1:16" x14ac:dyDescent="0.25">
      <c r="A14" s="64" t="s">
        <v>94</v>
      </c>
      <c r="B14" s="62">
        <v>8</v>
      </c>
      <c r="C14" s="62">
        <v>19</v>
      </c>
      <c r="D14" s="62">
        <v>29</v>
      </c>
      <c r="E14" s="62">
        <v>36</v>
      </c>
      <c r="F14" s="62">
        <v>44</v>
      </c>
      <c r="G14" s="62">
        <v>53</v>
      </c>
      <c r="H14" s="62">
        <v>60</v>
      </c>
      <c r="I14" s="62">
        <v>69</v>
      </c>
      <c r="J14" s="62">
        <v>66</v>
      </c>
      <c r="K14" s="62">
        <v>61</v>
      </c>
      <c r="L14" s="62">
        <v>65</v>
      </c>
      <c r="M14" s="62">
        <v>69</v>
      </c>
      <c r="N14" s="62">
        <v>73</v>
      </c>
      <c r="O14" s="62">
        <v>83</v>
      </c>
      <c r="P14" s="62">
        <v>93</v>
      </c>
    </row>
    <row r="15" spans="1:16" x14ac:dyDescent="0.25">
      <c r="A15" s="64" t="s">
        <v>95</v>
      </c>
      <c r="B15" s="62">
        <v>6</v>
      </c>
      <c r="C15" s="62">
        <v>22</v>
      </c>
      <c r="D15" s="62">
        <v>27</v>
      </c>
      <c r="E15" s="62">
        <v>35</v>
      </c>
      <c r="F15" s="62">
        <v>43</v>
      </c>
      <c r="G15" s="62">
        <v>44</v>
      </c>
      <c r="H15" s="62">
        <v>45</v>
      </c>
      <c r="I15" s="62">
        <v>46</v>
      </c>
      <c r="J15" s="62">
        <v>52</v>
      </c>
      <c r="K15" s="62">
        <v>48</v>
      </c>
      <c r="L15" s="62">
        <v>50</v>
      </c>
      <c r="M15" s="62">
        <v>51</v>
      </c>
      <c r="N15" s="62">
        <v>55</v>
      </c>
      <c r="O15" s="62">
        <v>62</v>
      </c>
      <c r="P15" s="62">
        <v>72</v>
      </c>
    </row>
    <row r="16" spans="1:16" x14ac:dyDescent="0.25">
      <c r="A16" s="64" t="s">
        <v>96</v>
      </c>
      <c r="B16" s="62">
        <v>11</v>
      </c>
      <c r="C16" s="62">
        <v>14</v>
      </c>
      <c r="D16" s="62">
        <v>27</v>
      </c>
      <c r="E16" s="62">
        <v>33</v>
      </c>
      <c r="F16" s="62">
        <v>43</v>
      </c>
      <c r="G16" s="62">
        <v>49</v>
      </c>
      <c r="H16" s="62">
        <v>55</v>
      </c>
      <c r="I16" s="62">
        <v>54</v>
      </c>
      <c r="J16" s="62">
        <v>61</v>
      </c>
      <c r="K16" s="62">
        <v>59</v>
      </c>
      <c r="L16" s="62">
        <v>60</v>
      </c>
      <c r="M16" s="62">
        <v>64</v>
      </c>
      <c r="N16" s="62">
        <v>68</v>
      </c>
      <c r="O16" s="62">
        <v>76</v>
      </c>
      <c r="P16" s="62">
        <v>88</v>
      </c>
    </row>
    <row r="17" spans="1:16" x14ac:dyDescent="0.25">
      <c r="A17" s="64" t="s">
        <v>97</v>
      </c>
      <c r="B17" s="62">
        <v>8</v>
      </c>
      <c r="C17" s="62">
        <v>16</v>
      </c>
      <c r="D17" s="62">
        <v>23</v>
      </c>
      <c r="E17" s="62">
        <v>30</v>
      </c>
      <c r="F17" s="62">
        <v>38</v>
      </c>
      <c r="G17" s="62">
        <v>40</v>
      </c>
      <c r="H17" s="62">
        <v>42</v>
      </c>
      <c r="I17" s="62">
        <v>42</v>
      </c>
      <c r="J17" s="62">
        <v>48</v>
      </c>
      <c r="K17" s="62">
        <v>43</v>
      </c>
      <c r="L17" s="62">
        <v>45</v>
      </c>
      <c r="M17" s="62">
        <v>46</v>
      </c>
      <c r="N17" s="62">
        <v>44</v>
      </c>
      <c r="O17" s="62">
        <v>59</v>
      </c>
      <c r="P17" s="62">
        <v>78</v>
      </c>
    </row>
    <row r="18" spans="1:16" x14ac:dyDescent="0.25">
      <c r="A18" s="64" t="s">
        <v>98</v>
      </c>
      <c r="B18" s="62">
        <v>11</v>
      </c>
      <c r="C18" s="62">
        <v>21</v>
      </c>
      <c r="D18" s="62">
        <v>27</v>
      </c>
      <c r="E18" s="62">
        <v>40</v>
      </c>
      <c r="F18" s="62">
        <v>46</v>
      </c>
      <c r="G18" s="62">
        <v>54</v>
      </c>
      <c r="H18" s="62">
        <v>61</v>
      </c>
      <c r="I18" s="62">
        <v>64</v>
      </c>
      <c r="J18" s="62">
        <v>68</v>
      </c>
      <c r="K18" s="62">
        <v>68</v>
      </c>
      <c r="L18" s="62">
        <v>71</v>
      </c>
      <c r="M18" s="62">
        <v>77</v>
      </c>
      <c r="N18" s="62">
        <v>83</v>
      </c>
      <c r="O18" s="62">
        <v>92</v>
      </c>
      <c r="P18" s="62">
        <v>102</v>
      </c>
    </row>
    <row r="19" spans="1:16" x14ac:dyDescent="0.25">
      <c r="A19" s="64" t="s">
        <v>99</v>
      </c>
      <c r="B19" s="62">
        <v>13</v>
      </c>
      <c r="C19" s="62">
        <v>21</v>
      </c>
      <c r="D19" s="62">
        <v>30</v>
      </c>
      <c r="E19" s="62">
        <v>37</v>
      </c>
      <c r="F19" s="62">
        <v>51</v>
      </c>
      <c r="G19" s="62">
        <v>59</v>
      </c>
      <c r="H19" s="62">
        <v>63</v>
      </c>
      <c r="I19" s="62">
        <v>66</v>
      </c>
      <c r="J19" s="62">
        <v>68</v>
      </c>
      <c r="K19" s="62">
        <v>62</v>
      </c>
      <c r="L19" s="62">
        <v>64</v>
      </c>
      <c r="M19" s="62">
        <v>69</v>
      </c>
      <c r="N19" s="62">
        <v>73</v>
      </c>
      <c r="O19" s="62">
        <v>82</v>
      </c>
      <c r="P19" s="62">
        <v>94</v>
      </c>
    </row>
    <row r="20" spans="1:16" x14ac:dyDescent="0.25">
      <c r="A20" s="64" t="s">
        <v>100</v>
      </c>
      <c r="B20" s="62">
        <v>11</v>
      </c>
      <c r="C20" s="62">
        <v>18</v>
      </c>
      <c r="D20" s="62">
        <v>27</v>
      </c>
      <c r="E20" s="62">
        <v>33</v>
      </c>
      <c r="F20" s="62">
        <v>47</v>
      </c>
      <c r="G20" s="62">
        <v>55</v>
      </c>
      <c r="H20" s="62">
        <v>64</v>
      </c>
      <c r="I20" s="62">
        <v>67</v>
      </c>
      <c r="J20" s="62">
        <v>75</v>
      </c>
      <c r="K20" s="62">
        <v>68</v>
      </c>
      <c r="L20" s="62">
        <v>73</v>
      </c>
      <c r="M20" s="62">
        <v>82</v>
      </c>
      <c r="N20" s="62">
        <v>96</v>
      </c>
      <c r="O20" s="62">
        <v>102</v>
      </c>
      <c r="P20" s="62">
        <v>102</v>
      </c>
    </row>
    <row r="21" spans="1:16" x14ac:dyDescent="0.25">
      <c r="A21" s="64" t="s">
        <v>101</v>
      </c>
      <c r="B21" s="62">
        <v>11</v>
      </c>
      <c r="C21" s="62">
        <v>18</v>
      </c>
      <c r="D21" s="62">
        <v>28</v>
      </c>
      <c r="E21" s="62">
        <v>32</v>
      </c>
      <c r="F21" s="62">
        <v>47</v>
      </c>
      <c r="G21" s="62">
        <v>56</v>
      </c>
      <c r="H21" s="62">
        <v>61</v>
      </c>
      <c r="I21" s="62">
        <v>66</v>
      </c>
      <c r="J21" s="62">
        <v>70</v>
      </c>
      <c r="K21" s="62">
        <v>67</v>
      </c>
      <c r="L21" s="62">
        <v>71</v>
      </c>
      <c r="M21" s="62">
        <v>73</v>
      </c>
      <c r="N21" s="62">
        <v>75</v>
      </c>
      <c r="O21" s="62">
        <v>84</v>
      </c>
      <c r="P21" s="62">
        <v>102</v>
      </c>
    </row>
    <row r="22" spans="1:16" x14ac:dyDescent="0.25">
      <c r="A22" s="64" t="s">
        <v>102</v>
      </c>
      <c r="B22" s="62">
        <v>12</v>
      </c>
      <c r="C22" s="62">
        <v>20</v>
      </c>
      <c r="D22" s="62">
        <v>29</v>
      </c>
      <c r="E22" s="62">
        <v>35</v>
      </c>
      <c r="F22" s="62">
        <v>45</v>
      </c>
      <c r="G22" s="62">
        <v>49</v>
      </c>
      <c r="H22" s="62">
        <v>50</v>
      </c>
      <c r="I22" s="62">
        <v>55</v>
      </c>
      <c r="J22" s="62">
        <v>64</v>
      </c>
      <c r="K22" s="62">
        <v>63</v>
      </c>
      <c r="L22" s="62">
        <v>67</v>
      </c>
      <c r="M22" s="62">
        <v>73</v>
      </c>
      <c r="N22" s="62">
        <v>80</v>
      </c>
      <c r="O22" s="62">
        <v>88</v>
      </c>
      <c r="P22" s="62">
        <v>102</v>
      </c>
    </row>
    <row r="23" spans="1:16" x14ac:dyDescent="0.25">
      <c r="A23" s="64" t="s">
        <v>103</v>
      </c>
      <c r="B23" s="62">
        <v>10</v>
      </c>
      <c r="C23" s="62">
        <v>18</v>
      </c>
      <c r="D23" s="62">
        <v>25</v>
      </c>
      <c r="E23" s="62">
        <v>40</v>
      </c>
      <c r="F23" s="62">
        <v>47</v>
      </c>
      <c r="G23" s="62">
        <v>52</v>
      </c>
      <c r="H23" s="62">
        <v>58</v>
      </c>
      <c r="I23" s="62">
        <v>60</v>
      </c>
      <c r="J23" s="62">
        <v>69</v>
      </c>
      <c r="K23" s="62">
        <v>62</v>
      </c>
      <c r="L23" s="62">
        <v>67</v>
      </c>
      <c r="M23" s="62">
        <v>71</v>
      </c>
      <c r="N23" s="62">
        <v>78</v>
      </c>
      <c r="O23" s="62">
        <v>102</v>
      </c>
      <c r="P23" s="62">
        <v>102</v>
      </c>
    </row>
    <row r="24" spans="1:16" x14ac:dyDescent="0.25">
      <c r="A24" s="64" t="s">
        <v>104</v>
      </c>
      <c r="B24" s="62">
        <v>10</v>
      </c>
      <c r="C24" s="62">
        <v>14</v>
      </c>
      <c r="D24" s="62">
        <v>25</v>
      </c>
      <c r="E24" s="62">
        <v>31</v>
      </c>
      <c r="F24" s="62">
        <v>39</v>
      </c>
      <c r="G24" s="62">
        <v>42</v>
      </c>
      <c r="H24" s="62">
        <v>44</v>
      </c>
      <c r="I24" s="62">
        <v>47</v>
      </c>
      <c r="J24" s="62">
        <v>56</v>
      </c>
      <c r="K24" s="62">
        <v>53</v>
      </c>
      <c r="L24" s="62">
        <v>59</v>
      </c>
      <c r="M24" s="62">
        <v>64</v>
      </c>
      <c r="N24" s="62">
        <v>73</v>
      </c>
      <c r="O24" s="62">
        <v>97</v>
      </c>
      <c r="P24" s="62">
        <v>99</v>
      </c>
    </row>
    <row r="25" spans="1:16" x14ac:dyDescent="0.25">
      <c r="A25" s="64" t="s">
        <v>105</v>
      </c>
      <c r="B25" s="62">
        <v>10</v>
      </c>
      <c r="C25" s="62">
        <v>17</v>
      </c>
      <c r="D25" s="62">
        <v>23</v>
      </c>
      <c r="E25" s="62">
        <v>32</v>
      </c>
      <c r="F25" s="62">
        <v>40</v>
      </c>
      <c r="G25" s="62">
        <v>49</v>
      </c>
      <c r="H25" s="62">
        <v>58</v>
      </c>
      <c r="I25" s="62">
        <v>69</v>
      </c>
      <c r="J25" s="62">
        <v>73</v>
      </c>
      <c r="K25" s="62">
        <v>64</v>
      </c>
      <c r="L25" s="62">
        <v>71</v>
      </c>
      <c r="M25" s="62">
        <v>79</v>
      </c>
      <c r="N25" s="62">
        <v>87</v>
      </c>
      <c r="O25" s="62">
        <v>102</v>
      </c>
      <c r="P25" s="62">
        <v>102</v>
      </c>
    </row>
    <row r="26" spans="1:16" x14ac:dyDescent="0.25">
      <c r="A26" s="64" t="s">
        <v>106</v>
      </c>
      <c r="B26" s="62">
        <v>12</v>
      </c>
      <c r="C26" s="62">
        <v>23</v>
      </c>
      <c r="D26" s="62">
        <v>28</v>
      </c>
      <c r="E26" s="62">
        <v>35</v>
      </c>
      <c r="F26" s="62">
        <v>50</v>
      </c>
      <c r="G26" s="62">
        <v>57</v>
      </c>
      <c r="H26" s="62">
        <v>61</v>
      </c>
      <c r="I26" s="62">
        <v>65</v>
      </c>
      <c r="J26" s="62">
        <v>72</v>
      </c>
      <c r="K26" s="62">
        <v>67</v>
      </c>
      <c r="L26" s="62">
        <v>72</v>
      </c>
      <c r="M26" s="62">
        <v>77</v>
      </c>
      <c r="N26" s="62">
        <v>84</v>
      </c>
      <c r="O26" s="62">
        <v>95</v>
      </c>
      <c r="P26" s="62">
        <v>102</v>
      </c>
    </row>
    <row r="27" spans="1:16" x14ac:dyDescent="0.25">
      <c r="A27" s="64" t="s">
        <v>107</v>
      </c>
      <c r="B27" s="62">
        <v>12</v>
      </c>
      <c r="C27" s="62">
        <v>22</v>
      </c>
      <c r="D27" s="62">
        <v>33</v>
      </c>
      <c r="E27" s="62">
        <v>40</v>
      </c>
      <c r="F27" s="62">
        <v>48</v>
      </c>
      <c r="G27" s="62">
        <v>55</v>
      </c>
      <c r="H27" s="62">
        <v>62</v>
      </c>
      <c r="I27" s="62">
        <v>68</v>
      </c>
      <c r="J27" s="62">
        <v>73</v>
      </c>
      <c r="K27" s="62">
        <v>65</v>
      </c>
      <c r="L27" s="62">
        <v>70</v>
      </c>
      <c r="M27" s="62">
        <v>76</v>
      </c>
      <c r="N27" s="62">
        <v>81</v>
      </c>
      <c r="O27" s="62">
        <v>92</v>
      </c>
      <c r="P27" s="62">
        <v>102</v>
      </c>
    </row>
    <row r="28" spans="1:16" x14ac:dyDescent="0.25">
      <c r="A28" s="64" t="s">
        <v>108</v>
      </c>
      <c r="B28" s="62">
        <v>11</v>
      </c>
      <c r="C28" s="62">
        <v>19</v>
      </c>
      <c r="D28" s="62">
        <v>27</v>
      </c>
      <c r="E28" s="62">
        <v>30</v>
      </c>
      <c r="F28" s="62">
        <v>47</v>
      </c>
      <c r="G28" s="62">
        <v>57</v>
      </c>
      <c r="H28" s="62">
        <v>67</v>
      </c>
      <c r="I28" s="62">
        <v>70</v>
      </c>
      <c r="J28" s="62">
        <v>72</v>
      </c>
      <c r="K28" s="62">
        <v>69</v>
      </c>
      <c r="L28" s="62">
        <v>74</v>
      </c>
      <c r="M28" s="62">
        <v>80</v>
      </c>
      <c r="N28" s="62">
        <v>89</v>
      </c>
      <c r="O28" s="62">
        <v>102</v>
      </c>
      <c r="P28" s="62">
        <v>102</v>
      </c>
    </row>
    <row r="29" spans="1:16" x14ac:dyDescent="0.25">
      <c r="A29" s="64" t="s">
        <v>109</v>
      </c>
      <c r="B29" s="62">
        <v>10</v>
      </c>
      <c r="C29" s="62">
        <v>19</v>
      </c>
      <c r="D29" s="62">
        <v>27</v>
      </c>
      <c r="E29" s="62">
        <v>35</v>
      </c>
      <c r="F29" s="62">
        <v>48</v>
      </c>
      <c r="G29" s="62">
        <v>58</v>
      </c>
      <c r="H29" s="62">
        <v>66</v>
      </c>
      <c r="I29" s="62">
        <v>72</v>
      </c>
      <c r="J29" s="62">
        <v>79</v>
      </c>
      <c r="K29" s="62">
        <v>79</v>
      </c>
      <c r="L29" s="62">
        <v>86</v>
      </c>
      <c r="M29" s="62">
        <v>95</v>
      </c>
      <c r="N29" s="62">
        <v>102</v>
      </c>
      <c r="O29" s="62">
        <v>102</v>
      </c>
      <c r="P29" s="62">
        <v>102</v>
      </c>
    </row>
    <row r="30" spans="1:16" x14ac:dyDescent="0.25">
      <c r="A30" s="64" t="s">
        <v>110</v>
      </c>
      <c r="B30" s="62">
        <v>11</v>
      </c>
      <c r="C30" s="62">
        <v>18</v>
      </c>
      <c r="D30" s="62">
        <v>28</v>
      </c>
      <c r="E30" s="62">
        <v>37</v>
      </c>
      <c r="F30" s="62">
        <v>41</v>
      </c>
      <c r="G30" s="62">
        <v>43</v>
      </c>
      <c r="H30" s="62">
        <v>45</v>
      </c>
      <c r="I30" s="62">
        <v>45</v>
      </c>
      <c r="J30" s="62">
        <v>56</v>
      </c>
      <c r="K30" s="62">
        <v>55</v>
      </c>
      <c r="L30" s="62">
        <v>59</v>
      </c>
      <c r="M30" s="62">
        <v>63</v>
      </c>
      <c r="N30" s="62">
        <v>70</v>
      </c>
      <c r="O30" s="62">
        <v>87</v>
      </c>
      <c r="P30" s="62">
        <v>102</v>
      </c>
    </row>
    <row r="31" spans="1:16" x14ac:dyDescent="0.25">
      <c r="A31" s="64" t="s">
        <v>111</v>
      </c>
      <c r="B31" s="62">
        <v>12</v>
      </c>
      <c r="C31" s="62">
        <v>20</v>
      </c>
      <c r="D31" s="62">
        <v>27</v>
      </c>
      <c r="E31" s="62">
        <v>34</v>
      </c>
      <c r="F31" s="62">
        <v>41</v>
      </c>
      <c r="G31" s="62">
        <v>43</v>
      </c>
      <c r="H31" s="62">
        <v>46</v>
      </c>
      <c r="I31" s="62">
        <v>47</v>
      </c>
      <c r="J31" s="62">
        <v>59</v>
      </c>
      <c r="K31" s="62">
        <v>58</v>
      </c>
      <c r="L31" s="62">
        <v>60</v>
      </c>
      <c r="M31" s="62">
        <v>66</v>
      </c>
      <c r="N31" s="62">
        <v>71</v>
      </c>
      <c r="O31" s="62">
        <v>85</v>
      </c>
      <c r="P31" s="62">
        <v>102</v>
      </c>
    </row>
    <row r="32" spans="1:16" x14ac:dyDescent="0.25">
      <c r="A32" s="64" t="s">
        <v>112</v>
      </c>
      <c r="B32" s="62">
        <v>12</v>
      </c>
      <c r="C32" s="62">
        <v>18</v>
      </c>
      <c r="D32" s="62">
        <v>27</v>
      </c>
      <c r="E32" s="62">
        <v>30</v>
      </c>
      <c r="F32" s="62">
        <v>38</v>
      </c>
      <c r="G32" s="62">
        <v>45</v>
      </c>
      <c r="H32" s="62">
        <v>47</v>
      </c>
      <c r="I32" s="62">
        <v>46</v>
      </c>
      <c r="J32" s="62">
        <v>51</v>
      </c>
      <c r="K32" s="62">
        <v>53</v>
      </c>
      <c r="L32" s="62">
        <v>56</v>
      </c>
      <c r="M32" s="62">
        <v>61</v>
      </c>
      <c r="N32" s="62">
        <v>66</v>
      </c>
      <c r="O32" s="62">
        <v>76</v>
      </c>
      <c r="P32" s="62">
        <v>84</v>
      </c>
    </row>
    <row r="33" spans="1:16" x14ac:dyDescent="0.25">
      <c r="A33" s="64" t="s">
        <v>113</v>
      </c>
      <c r="B33" s="62">
        <v>11</v>
      </c>
      <c r="C33" s="62">
        <v>21</v>
      </c>
      <c r="D33" s="62">
        <v>28</v>
      </c>
      <c r="E33" s="62">
        <v>35</v>
      </c>
      <c r="F33" s="62">
        <v>43</v>
      </c>
      <c r="G33" s="62">
        <v>48</v>
      </c>
      <c r="H33" s="62">
        <v>51</v>
      </c>
      <c r="I33" s="62">
        <v>53</v>
      </c>
      <c r="J33" s="62">
        <v>57</v>
      </c>
      <c r="K33" s="62">
        <v>60</v>
      </c>
      <c r="L33" s="62">
        <v>62</v>
      </c>
      <c r="M33" s="62">
        <v>64</v>
      </c>
      <c r="N33" s="62">
        <v>65</v>
      </c>
      <c r="O33" s="62">
        <v>78</v>
      </c>
      <c r="P33" s="62">
        <v>85</v>
      </c>
    </row>
    <row r="34" spans="1:16" x14ac:dyDescent="0.25">
      <c r="A34" s="64" t="s">
        <v>114</v>
      </c>
      <c r="B34" s="62">
        <v>12</v>
      </c>
      <c r="C34" s="62">
        <v>22</v>
      </c>
      <c r="D34" s="62">
        <v>32</v>
      </c>
      <c r="E34" s="62">
        <v>40</v>
      </c>
      <c r="F34" s="62">
        <v>47</v>
      </c>
      <c r="G34" s="62">
        <v>53</v>
      </c>
      <c r="H34" s="62">
        <v>58</v>
      </c>
      <c r="I34" s="62">
        <v>64</v>
      </c>
      <c r="J34" s="62">
        <v>69</v>
      </c>
      <c r="K34" s="62">
        <v>64</v>
      </c>
      <c r="L34" s="62">
        <v>69</v>
      </c>
      <c r="M34" s="62">
        <v>75</v>
      </c>
      <c r="N34" s="62">
        <v>81</v>
      </c>
      <c r="O34" s="62">
        <v>90</v>
      </c>
      <c r="P34" s="62">
        <v>102</v>
      </c>
    </row>
    <row r="35" spans="1:16" x14ac:dyDescent="0.25">
      <c r="A35" s="64" t="s">
        <v>115</v>
      </c>
      <c r="B35" s="62">
        <v>11</v>
      </c>
      <c r="C35" s="62">
        <v>18</v>
      </c>
      <c r="D35" s="62">
        <v>30</v>
      </c>
      <c r="E35" s="62">
        <v>40</v>
      </c>
      <c r="F35" s="62">
        <v>50</v>
      </c>
      <c r="G35" s="62">
        <v>61</v>
      </c>
      <c r="H35" s="62">
        <v>74</v>
      </c>
      <c r="I35" s="62">
        <v>84</v>
      </c>
      <c r="J35" s="62">
        <v>88</v>
      </c>
      <c r="K35" s="62">
        <v>89</v>
      </c>
      <c r="L35" s="62">
        <v>92</v>
      </c>
      <c r="M35" s="62">
        <v>98</v>
      </c>
      <c r="N35" s="62">
        <v>102</v>
      </c>
      <c r="O35" s="62">
        <v>102</v>
      </c>
      <c r="P35" s="62">
        <v>102</v>
      </c>
    </row>
    <row r="36" spans="1:16" x14ac:dyDescent="0.25">
      <c r="A36" s="64" t="s">
        <v>116</v>
      </c>
      <c r="B36" s="62">
        <v>10</v>
      </c>
      <c r="C36" s="62">
        <v>21</v>
      </c>
      <c r="D36" s="62">
        <v>29</v>
      </c>
      <c r="E36" s="62">
        <v>41</v>
      </c>
      <c r="F36" s="62">
        <v>55</v>
      </c>
      <c r="G36" s="62">
        <v>61</v>
      </c>
      <c r="H36" s="62">
        <v>68</v>
      </c>
      <c r="I36" s="62">
        <v>76</v>
      </c>
      <c r="J36" s="62">
        <v>86</v>
      </c>
      <c r="K36" s="62">
        <v>102</v>
      </c>
      <c r="L36" s="62">
        <v>102</v>
      </c>
      <c r="M36" s="62">
        <v>102</v>
      </c>
      <c r="N36" s="62">
        <v>102</v>
      </c>
      <c r="O36" s="62">
        <v>102</v>
      </c>
      <c r="P36" s="62">
        <v>102</v>
      </c>
    </row>
    <row r="37" spans="1:16" x14ac:dyDescent="0.25">
      <c r="A37" s="64" t="s">
        <v>117</v>
      </c>
      <c r="B37" s="62">
        <v>12</v>
      </c>
      <c r="C37" s="62">
        <v>20</v>
      </c>
      <c r="D37" s="62">
        <v>33</v>
      </c>
      <c r="E37" s="62">
        <v>37</v>
      </c>
      <c r="F37" s="62">
        <v>46</v>
      </c>
      <c r="G37" s="62">
        <v>51</v>
      </c>
      <c r="H37" s="62">
        <v>59</v>
      </c>
      <c r="I37" s="62">
        <v>65</v>
      </c>
      <c r="J37" s="62">
        <v>70</v>
      </c>
      <c r="K37" s="62">
        <v>67</v>
      </c>
      <c r="L37" s="62">
        <v>69</v>
      </c>
      <c r="M37" s="62">
        <v>73</v>
      </c>
      <c r="N37" s="62">
        <v>78</v>
      </c>
      <c r="O37" s="62">
        <v>102</v>
      </c>
      <c r="P37" s="62">
        <v>102</v>
      </c>
    </row>
    <row r="38" spans="1:16" x14ac:dyDescent="0.25">
      <c r="A38" s="64" t="s">
        <v>118</v>
      </c>
      <c r="B38" s="62">
        <v>9</v>
      </c>
      <c r="C38" s="62">
        <v>18</v>
      </c>
      <c r="D38" s="62">
        <v>29</v>
      </c>
      <c r="E38" s="62">
        <v>42</v>
      </c>
      <c r="F38" s="62">
        <v>49</v>
      </c>
      <c r="G38" s="62">
        <v>54</v>
      </c>
      <c r="H38" s="62">
        <v>57</v>
      </c>
      <c r="I38" s="62">
        <v>58</v>
      </c>
      <c r="J38" s="62">
        <v>64</v>
      </c>
      <c r="K38" s="62">
        <v>68</v>
      </c>
      <c r="L38" s="62">
        <v>70</v>
      </c>
      <c r="M38" s="62">
        <v>71</v>
      </c>
      <c r="N38" s="62">
        <v>73</v>
      </c>
      <c r="O38" s="62">
        <v>84</v>
      </c>
      <c r="P38" s="62">
        <v>100</v>
      </c>
    </row>
    <row r="39" spans="1:16" x14ac:dyDescent="0.25">
      <c r="A39" s="64" t="s">
        <v>119</v>
      </c>
      <c r="B39" s="62">
        <v>12</v>
      </c>
      <c r="C39" s="62">
        <v>23</v>
      </c>
      <c r="D39" s="62">
        <v>32</v>
      </c>
      <c r="E39" s="62">
        <v>42</v>
      </c>
      <c r="F39" s="62">
        <v>49</v>
      </c>
      <c r="G39" s="62">
        <v>58</v>
      </c>
      <c r="H39" s="62">
        <v>64</v>
      </c>
      <c r="I39" s="62">
        <v>72</v>
      </c>
      <c r="J39" s="62">
        <v>65</v>
      </c>
      <c r="K39" s="62">
        <v>64</v>
      </c>
      <c r="L39" s="62">
        <v>69</v>
      </c>
      <c r="M39" s="62">
        <v>72</v>
      </c>
      <c r="N39" s="62">
        <v>74</v>
      </c>
      <c r="O39" s="62">
        <v>82</v>
      </c>
      <c r="P39" s="62">
        <v>91</v>
      </c>
    </row>
    <row r="40" spans="1:16" x14ac:dyDescent="0.25">
      <c r="A40" s="64" t="s">
        <v>120</v>
      </c>
      <c r="B40" s="62">
        <v>9</v>
      </c>
      <c r="C40" s="62">
        <v>20</v>
      </c>
      <c r="D40" s="62">
        <v>28</v>
      </c>
      <c r="E40" s="62">
        <v>33</v>
      </c>
      <c r="F40" s="62">
        <v>38</v>
      </c>
      <c r="G40" s="62">
        <v>43</v>
      </c>
      <c r="H40" s="62">
        <v>49</v>
      </c>
      <c r="I40" s="62">
        <v>55</v>
      </c>
      <c r="J40" s="62">
        <v>58</v>
      </c>
      <c r="K40" s="62">
        <v>61</v>
      </c>
      <c r="L40" s="62">
        <v>60</v>
      </c>
      <c r="M40" s="62">
        <v>62</v>
      </c>
      <c r="N40" s="62">
        <v>62</v>
      </c>
      <c r="O40" s="62">
        <v>73</v>
      </c>
      <c r="P40" s="62">
        <v>87</v>
      </c>
    </row>
    <row r="41" spans="1:16" x14ac:dyDescent="0.25">
      <c r="A41" s="64" t="s">
        <v>121</v>
      </c>
      <c r="B41" s="62">
        <v>10</v>
      </c>
      <c r="C41" s="62">
        <v>19</v>
      </c>
      <c r="D41" s="62">
        <v>26</v>
      </c>
      <c r="E41" s="62">
        <v>35</v>
      </c>
      <c r="F41" s="62">
        <v>42</v>
      </c>
      <c r="G41" s="62">
        <v>47</v>
      </c>
      <c r="H41" s="62">
        <v>49</v>
      </c>
      <c r="I41" s="62">
        <v>52</v>
      </c>
      <c r="J41" s="62">
        <v>52</v>
      </c>
      <c r="K41" s="62">
        <v>51</v>
      </c>
      <c r="L41" s="62">
        <v>52</v>
      </c>
      <c r="M41" s="62">
        <v>52</v>
      </c>
      <c r="N41" s="62">
        <v>54</v>
      </c>
      <c r="O41" s="62">
        <v>65</v>
      </c>
      <c r="P41" s="62">
        <v>72</v>
      </c>
    </row>
    <row r="42" spans="1:16" x14ac:dyDescent="0.25">
      <c r="A42" s="64" t="s">
        <v>122</v>
      </c>
      <c r="B42" s="62">
        <v>9</v>
      </c>
      <c r="C42" s="62">
        <v>19</v>
      </c>
      <c r="D42" s="62">
        <v>26</v>
      </c>
      <c r="E42" s="62">
        <v>39</v>
      </c>
      <c r="F42" s="62">
        <v>44</v>
      </c>
      <c r="G42" s="62">
        <v>52</v>
      </c>
      <c r="H42" s="62">
        <v>59</v>
      </c>
      <c r="I42" s="62">
        <v>66</v>
      </c>
      <c r="J42" s="62">
        <v>63</v>
      </c>
      <c r="K42" s="62">
        <v>62</v>
      </c>
      <c r="L42" s="62">
        <v>64</v>
      </c>
      <c r="M42" s="62">
        <v>69</v>
      </c>
      <c r="N42" s="62">
        <v>72</v>
      </c>
      <c r="O42" s="62">
        <v>84</v>
      </c>
      <c r="P42" s="62">
        <v>92</v>
      </c>
    </row>
    <row r="43" spans="1:16" x14ac:dyDescent="0.25">
      <c r="A43" s="64" t="s">
        <v>123</v>
      </c>
      <c r="B43" s="62">
        <v>10</v>
      </c>
      <c r="C43" s="62">
        <v>19</v>
      </c>
      <c r="D43" s="62">
        <v>27</v>
      </c>
      <c r="E43" s="62">
        <v>40</v>
      </c>
      <c r="F43" s="62">
        <v>46</v>
      </c>
      <c r="G43" s="62">
        <v>53</v>
      </c>
      <c r="H43" s="62">
        <v>62</v>
      </c>
      <c r="I43" s="62">
        <v>70</v>
      </c>
      <c r="J43" s="62">
        <v>70</v>
      </c>
      <c r="K43" s="62">
        <v>74</v>
      </c>
      <c r="L43" s="62">
        <v>77</v>
      </c>
      <c r="M43" s="62">
        <v>81</v>
      </c>
      <c r="N43" s="62">
        <v>85</v>
      </c>
      <c r="O43" s="62">
        <v>102</v>
      </c>
      <c r="P43" s="62">
        <v>102</v>
      </c>
    </row>
    <row r="44" spans="1:16" x14ac:dyDescent="0.25">
      <c r="A44" s="64" t="s">
        <v>124</v>
      </c>
      <c r="B44" s="62">
        <v>9</v>
      </c>
      <c r="C44" s="62">
        <v>22</v>
      </c>
      <c r="D44" s="62">
        <v>31</v>
      </c>
      <c r="E44" s="62">
        <v>34</v>
      </c>
      <c r="F44" s="62">
        <v>45</v>
      </c>
      <c r="G44" s="62">
        <v>51</v>
      </c>
      <c r="H44" s="62">
        <v>56</v>
      </c>
      <c r="I44" s="62">
        <v>58</v>
      </c>
      <c r="J44" s="62">
        <v>64</v>
      </c>
      <c r="K44" s="62">
        <v>65</v>
      </c>
      <c r="L44" s="62">
        <v>67</v>
      </c>
      <c r="M44" s="62">
        <v>71</v>
      </c>
      <c r="N44" s="62">
        <v>74</v>
      </c>
      <c r="O44" s="62">
        <v>86</v>
      </c>
      <c r="P44" s="62">
        <v>97</v>
      </c>
    </row>
    <row r="45" spans="1:16" x14ac:dyDescent="0.25">
      <c r="A45" s="64" t="s">
        <v>125</v>
      </c>
      <c r="B45" s="62">
        <v>10</v>
      </c>
      <c r="C45" s="62">
        <v>22</v>
      </c>
      <c r="D45" s="62">
        <v>28</v>
      </c>
      <c r="E45" s="62">
        <v>37</v>
      </c>
      <c r="F45" s="62">
        <v>46</v>
      </c>
      <c r="G45" s="62">
        <v>51</v>
      </c>
      <c r="H45" s="62">
        <v>55</v>
      </c>
      <c r="I45" s="62">
        <v>57</v>
      </c>
      <c r="J45" s="62">
        <v>62</v>
      </c>
      <c r="K45" s="62">
        <v>59</v>
      </c>
      <c r="L45" s="62">
        <v>61</v>
      </c>
      <c r="M45" s="62">
        <v>63</v>
      </c>
      <c r="N45" s="62">
        <v>66</v>
      </c>
      <c r="O45" s="62">
        <v>80</v>
      </c>
      <c r="P45" s="62">
        <v>88</v>
      </c>
    </row>
    <row r="46" spans="1:16" x14ac:dyDescent="0.25">
      <c r="A46" s="64" t="s">
        <v>126</v>
      </c>
      <c r="B46" s="62">
        <v>6</v>
      </c>
      <c r="C46" s="62">
        <v>14</v>
      </c>
      <c r="D46" s="62">
        <v>26</v>
      </c>
      <c r="E46" s="62">
        <v>34</v>
      </c>
      <c r="F46" s="62">
        <v>41</v>
      </c>
      <c r="G46" s="62">
        <v>49</v>
      </c>
      <c r="H46" s="62">
        <v>56</v>
      </c>
      <c r="I46" s="62">
        <v>63</v>
      </c>
      <c r="J46" s="62">
        <v>65</v>
      </c>
      <c r="K46" s="62">
        <v>65</v>
      </c>
      <c r="L46" s="62">
        <v>71</v>
      </c>
      <c r="M46" s="62">
        <v>79</v>
      </c>
      <c r="N46" s="62">
        <v>87</v>
      </c>
      <c r="O46" s="62">
        <v>97</v>
      </c>
      <c r="P46" s="62">
        <v>102</v>
      </c>
    </row>
    <row r="47" spans="1:16" x14ac:dyDescent="0.25">
      <c r="A47" s="64" t="s">
        <v>127</v>
      </c>
      <c r="B47" s="62">
        <v>10</v>
      </c>
      <c r="C47" s="62">
        <v>16</v>
      </c>
      <c r="D47" s="62">
        <v>28</v>
      </c>
      <c r="E47" s="62">
        <v>33</v>
      </c>
      <c r="F47" s="62">
        <v>43</v>
      </c>
      <c r="G47" s="62">
        <v>48</v>
      </c>
      <c r="H47" s="62">
        <v>51</v>
      </c>
      <c r="I47" s="62">
        <v>54</v>
      </c>
      <c r="J47" s="62">
        <v>58</v>
      </c>
      <c r="K47" s="62">
        <v>55</v>
      </c>
      <c r="L47" s="62">
        <v>60</v>
      </c>
      <c r="M47" s="62">
        <v>65</v>
      </c>
      <c r="N47" s="62">
        <v>72</v>
      </c>
      <c r="O47" s="62">
        <v>79</v>
      </c>
      <c r="P47" s="62">
        <v>82</v>
      </c>
    </row>
    <row r="48" spans="1:16" x14ac:dyDescent="0.25">
      <c r="A48" s="64" t="s">
        <v>128</v>
      </c>
      <c r="B48" s="62">
        <v>13</v>
      </c>
      <c r="C48" s="62">
        <v>17</v>
      </c>
      <c r="D48" s="62">
        <v>28</v>
      </c>
      <c r="E48" s="62">
        <v>35</v>
      </c>
      <c r="F48" s="62">
        <v>36</v>
      </c>
      <c r="G48" s="62">
        <v>36</v>
      </c>
      <c r="H48" s="62">
        <v>38</v>
      </c>
      <c r="I48" s="62">
        <v>39</v>
      </c>
      <c r="J48" s="62">
        <v>51</v>
      </c>
      <c r="K48" s="62">
        <v>46</v>
      </c>
      <c r="L48" s="62">
        <v>52</v>
      </c>
      <c r="M48" s="62">
        <v>54</v>
      </c>
      <c r="N48" s="62">
        <v>58</v>
      </c>
      <c r="O48" s="62">
        <v>64</v>
      </c>
      <c r="P48" s="62">
        <v>71</v>
      </c>
    </row>
    <row r="49" spans="1:16" x14ac:dyDescent="0.25">
      <c r="A49" s="64" t="s">
        <v>129</v>
      </c>
      <c r="B49" s="62">
        <v>7</v>
      </c>
      <c r="C49" s="62">
        <v>18</v>
      </c>
      <c r="D49" s="62">
        <v>24</v>
      </c>
      <c r="E49" s="62">
        <v>36</v>
      </c>
      <c r="F49" s="62">
        <v>42</v>
      </c>
      <c r="G49" s="62">
        <v>45</v>
      </c>
      <c r="H49" s="62">
        <v>47</v>
      </c>
      <c r="I49" s="62">
        <v>43</v>
      </c>
      <c r="J49" s="62">
        <v>51</v>
      </c>
      <c r="K49" s="62">
        <v>52</v>
      </c>
      <c r="L49" s="62">
        <v>53</v>
      </c>
      <c r="M49" s="62">
        <v>55</v>
      </c>
      <c r="N49" s="62">
        <v>57</v>
      </c>
      <c r="O49" s="62">
        <v>67</v>
      </c>
      <c r="P49" s="62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F40F9-F35A-4759-A19B-42FC226BB5EE}">
  <dimension ref="A1:K25"/>
  <sheetViews>
    <sheetView workbookViewId="0"/>
  </sheetViews>
  <sheetFormatPr defaultRowHeight="12.75" x14ac:dyDescent="0.2"/>
  <sheetData>
    <row r="1" spans="1:11" x14ac:dyDescent="0.2">
      <c r="A1" t="s">
        <v>81</v>
      </c>
      <c r="B1" t="s">
        <v>79</v>
      </c>
      <c r="C1" t="s">
        <v>78</v>
      </c>
      <c r="D1" t="s">
        <v>154</v>
      </c>
      <c r="E1" t="s">
        <v>76</v>
      </c>
      <c r="F1" t="s">
        <v>157</v>
      </c>
      <c r="G1" t="s">
        <v>74</v>
      </c>
      <c r="H1" t="s">
        <v>73</v>
      </c>
      <c r="I1" t="s">
        <v>156</v>
      </c>
      <c r="J1" t="s">
        <v>155</v>
      </c>
      <c r="K1" t="s">
        <v>70</v>
      </c>
    </row>
    <row r="2" spans="1:11" x14ac:dyDescent="0.2">
      <c r="A2" t="s">
        <v>130</v>
      </c>
      <c r="B2" s="65">
        <v>0.4</v>
      </c>
      <c r="C2" s="65">
        <v>0.8</v>
      </c>
      <c r="D2" s="65">
        <v>0.78</v>
      </c>
      <c r="E2" s="65">
        <v>0.9</v>
      </c>
      <c r="F2" s="65">
        <v>1.1399999999999999</v>
      </c>
      <c r="G2" s="65">
        <v>1.22</v>
      </c>
      <c r="H2" s="65">
        <v>1.58</v>
      </c>
      <c r="I2" s="65">
        <v>1.37</v>
      </c>
      <c r="J2" s="65">
        <v>1.49</v>
      </c>
      <c r="K2" s="65">
        <v>2.12</v>
      </c>
    </row>
    <row r="3" spans="1:11" x14ac:dyDescent="0.2">
      <c r="A3" t="s">
        <v>131</v>
      </c>
      <c r="B3" s="65">
        <v>0.42</v>
      </c>
      <c r="C3" s="65">
        <v>0.5</v>
      </c>
      <c r="D3" s="65">
        <v>0.65</v>
      </c>
      <c r="E3" s="65">
        <v>0.86</v>
      </c>
      <c r="F3" s="65">
        <v>1.03</v>
      </c>
      <c r="G3" s="65">
        <v>1.18</v>
      </c>
      <c r="H3" s="65">
        <v>1.42</v>
      </c>
      <c r="I3" s="65">
        <v>1.46</v>
      </c>
      <c r="J3" s="65">
        <v>1.41</v>
      </c>
      <c r="K3" s="65">
        <v>1.85</v>
      </c>
    </row>
    <row r="4" spans="1:11" x14ac:dyDescent="0.2">
      <c r="A4" t="s">
        <v>132</v>
      </c>
      <c r="B4" s="65">
        <v>0.31</v>
      </c>
      <c r="C4" s="65">
        <v>1.08</v>
      </c>
      <c r="D4" s="65">
        <v>0.81</v>
      </c>
      <c r="E4" s="65">
        <v>0.94</v>
      </c>
      <c r="F4" s="65">
        <v>1.43</v>
      </c>
      <c r="G4" s="65">
        <v>1.64</v>
      </c>
      <c r="H4" s="65">
        <v>2.04</v>
      </c>
      <c r="I4" s="65">
        <v>2.17</v>
      </c>
      <c r="J4" s="65">
        <v>2.08</v>
      </c>
      <c r="K4" s="65">
        <v>2.13</v>
      </c>
    </row>
    <row r="5" spans="1:11" x14ac:dyDescent="0.2">
      <c r="A5" t="s">
        <v>133</v>
      </c>
      <c r="B5" s="65">
        <v>0.26</v>
      </c>
      <c r="C5" s="65">
        <v>0.33</v>
      </c>
      <c r="D5" s="65">
        <v>0.47</v>
      </c>
      <c r="E5" s="65">
        <v>0.61</v>
      </c>
      <c r="F5" s="65">
        <v>0.7</v>
      </c>
      <c r="G5" s="65">
        <v>0.92</v>
      </c>
      <c r="H5" s="65">
        <v>1.22</v>
      </c>
      <c r="I5" s="65">
        <v>1.36</v>
      </c>
      <c r="J5" s="65">
        <v>1.4</v>
      </c>
      <c r="K5" s="65">
        <v>2.0499999999999998</v>
      </c>
    </row>
    <row r="6" spans="1:11" x14ac:dyDescent="0.2">
      <c r="A6" t="s">
        <v>134</v>
      </c>
      <c r="B6" s="65">
        <v>0.15</v>
      </c>
      <c r="C6" s="65">
        <v>1.1000000000000001</v>
      </c>
      <c r="D6" s="65">
        <v>0.39</v>
      </c>
      <c r="E6" s="65">
        <v>0.59</v>
      </c>
      <c r="F6" s="65">
        <v>0.85</v>
      </c>
      <c r="G6" s="65">
        <v>0.95</v>
      </c>
      <c r="H6" s="65">
        <v>1.06</v>
      </c>
      <c r="I6" s="65">
        <v>1.1499999999999999</v>
      </c>
      <c r="J6" s="65">
        <v>1.1100000000000001</v>
      </c>
      <c r="K6" s="65">
        <v>1.35</v>
      </c>
    </row>
    <row r="7" spans="1:11" x14ac:dyDescent="0.2">
      <c r="A7" t="s">
        <v>135</v>
      </c>
      <c r="B7" s="65">
        <v>0.23</v>
      </c>
      <c r="C7" s="65">
        <v>1.04</v>
      </c>
      <c r="D7" s="65">
        <v>0.74</v>
      </c>
      <c r="E7" s="65">
        <v>0.84</v>
      </c>
      <c r="F7" s="65">
        <v>1.31</v>
      </c>
      <c r="G7" s="65">
        <v>1.72</v>
      </c>
      <c r="H7" s="65">
        <v>1.99</v>
      </c>
      <c r="I7" s="65">
        <v>2.2200000000000002</v>
      </c>
      <c r="J7" s="65">
        <v>2.2400000000000002</v>
      </c>
      <c r="K7" s="65">
        <v>3.06</v>
      </c>
    </row>
    <row r="8" spans="1:11" x14ac:dyDescent="0.2">
      <c r="A8" t="s">
        <v>136</v>
      </c>
      <c r="B8" s="65">
        <v>0.19</v>
      </c>
      <c r="C8" s="65">
        <v>0.87</v>
      </c>
      <c r="D8" s="65">
        <v>0.59</v>
      </c>
      <c r="E8" s="65">
        <v>0.75</v>
      </c>
      <c r="F8" s="65">
        <v>1.1000000000000001</v>
      </c>
      <c r="G8" s="65">
        <v>1.22</v>
      </c>
      <c r="H8" s="65">
        <v>1.37</v>
      </c>
      <c r="I8" s="65">
        <v>1.44</v>
      </c>
      <c r="J8" s="65">
        <v>1.49</v>
      </c>
      <c r="K8" s="65">
        <v>1.84</v>
      </c>
    </row>
    <row r="9" spans="1:11" x14ac:dyDescent="0.2">
      <c r="A9" t="s">
        <v>137</v>
      </c>
      <c r="B9" s="65">
        <v>0.04</v>
      </c>
      <c r="C9" s="65">
        <v>0.56999999999999995</v>
      </c>
      <c r="D9" s="65">
        <v>0.56999999999999995</v>
      </c>
      <c r="E9" s="65">
        <v>0.75</v>
      </c>
      <c r="F9" s="65">
        <v>1.23</v>
      </c>
      <c r="G9" s="65">
        <v>1.78</v>
      </c>
      <c r="H9" s="65">
        <v>2.0499999999999998</v>
      </c>
      <c r="I9" s="65">
        <v>2.34</v>
      </c>
      <c r="J9" s="65">
        <v>2.68</v>
      </c>
      <c r="K9" s="65">
        <v>2.98</v>
      </c>
    </row>
    <row r="10" spans="1:11" x14ac:dyDescent="0.2">
      <c r="A10" t="s">
        <v>138</v>
      </c>
      <c r="B10" s="65">
        <v>0.11</v>
      </c>
      <c r="C10" s="65">
        <v>0.38</v>
      </c>
      <c r="D10" s="65">
        <v>0.66</v>
      </c>
      <c r="E10" s="65">
        <v>0.84</v>
      </c>
      <c r="F10" s="65">
        <v>1.32</v>
      </c>
      <c r="G10" s="65">
        <v>1.51</v>
      </c>
      <c r="H10" s="65">
        <v>2.0699999999999998</v>
      </c>
      <c r="I10" s="65">
        <v>2.2000000000000002</v>
      </c>
      <c r="J10" s="65">
        <v>2.09</v>
      </c>
      <c r="K10" s="65">
        <v>2.48</v>
      </c>
    </row>
    <row r="11" spans="1:11" x14ac:dyDescent="0.2">
      <c r="A11" t="s">
        <v>139</v>
      </c>
      <c r="B11" s="65">
        <v>1.06</v>
      </c>
      <c r="C11" s="65">
        <v>0.75</v>
      </c>
      <c r="D11" s="65">
        <v>0.82</v>
      </c>
      <c r="E11" s="65">
        <v>1.01</v>
      </c>
      <c r="F11" s="65">
        <v>1.43</v>
      </c>
      <c r="G11" s="65">
        <v>1.62</v>
      </c>
      <c r="H11" s="65">
        <v>2.17</v>
      </c>
      <c r="I11" s="65">
        <v>2.37</v>
      </c>
      <c r="J11" s="65">
        <v>3.13</v>
      </c>
      <c r="K11" s="65">
        <v>2.99</v>
      </c>
    </row>
    <row r="12" spans="1:11" x14ac:dyDescent="0.2">
      <c r="A12" t="s">
        <v>140</v>
      </c>
      <c r="B12" s="65">
        <v>0.44</v>
      </c>
      <c r="C12" s="65">
        <v>0.91</v>
      </c>
      <c r="D12" s="65">
        <v>0.61</v>
      </c>
      <c r="E12" s="65">
        <v>1.06</v>
      </c>
      <c r="F12" s="65">
        <v>1.2</v>
      </c>
      <c r="G12" s="65">
        <v>1.38</v>
      </c>
      <c r="H12" s="65">
        <v>2.0699999999999998</v>
      </c>
      <c r="I12" s="65">
        <v>2.44</v>
      </c>
      <c r="J12" s="65">
        <v>2.2599999999999998</v>
      </c>
      <c r="K12" s="65">
        <v>2.84</v>
      </c>
    </row>
    <row r="13" spans="1:11" x14ac:dyDescent="0.2">
      <c r="A13" t="s">
        <v>141</v>
      </c>
      <c r="B13" s="65">
        <v>0.11</v>
      </c>
      <c r="C13" s="65">
        <v>0.31</v>
      </c>
      <c r="D13" s="65">
        <v>0.38</v>
      </c>
      <c r="E13" s="65">
        <v>0.66</v>
      </c>
      <c r="F13" s="65">
        <v>0.9</v>
      </c>
      <c r="G13" s="65">
        <v>1.28</v>
      </c>
      <c r="H13" s="65">
        <v>1.86</v>
      </c>
      <c r="I13" s="65">
        <v>1.89</v>
      </c>
      <c r="J13" s="65">
        <v>2.62</v>
      </c>
      <c r="K13" s="65">
        <v>2.65</v>
      </c>
    </row>
    <row r="14" spans="1:11" x14ac:dyDescent="0.2">
      <c r="A14" t="s">
        <v>142</v>
      </c>
      <c r="B14" s="65">
        <v>0.28000000000000003</v>
      </c>
      <c r="C14" s="65">
        <v>1.02</v>
      </c>
      <c r="D14" s="65">
        <v>0.68</v>
      </c>
      <c r="E14" s="65">
        <v>0.83</v>
      </c>
      <c r="F14" s="65">
        <v>1.1399999999999999</v>
      </c>
      <c r="G14" s="65">
        <v>1.43</v>
      </c>
      <c r="H14" s="65">
        <v>1.95</v>
      </c>
      <c r="I14" s="65">
        <v>2.2599999999999998</v>
      </c>
      <c r="J14" s="65">
        <v>2.3199999999999998</v>
      </c>
      <c r="K14" s="65">
        <v>2.21</v>
      </c>
    </row>
    <row r="15" spans="1:11" x14ac:dyDescent="0.2">
      <c r="A15" t="s">
        <v>143</v>
      </c>
      <c r="B15" s="65">
        <v>0.23</v>
      </c>
      <c r="C15" s="65">
        <v>1.1000000000000001</v>
      </c>
      <c r="D15" s="65">
        <v>0.87</v>
      </c>
      <c r="E15" s="65">
        <v>1.2</v>
      </c>
      <c r="F15" s="65">
        <v>1.42</v>
      </c>
      <c r="G15" s="65">
        <v>2.09</v>
      </c>
      <c r="H15" s="65">
        <v>2.85</v>
      </c>
      <c r="I15" s="65">
        <v>3.2</v>
      </c>
      <c r="J15" s="65">
        <v>3.61</v>
      </c>
      <c r="K15" s="65">
        <v>4.34</v>
      </c>
    </row>
    <row r="16" spans="1:11" x14ac:dyDescent="0.2">
      <c r="A16" t="s">
        <v>144</v>
      </c>
      <c r="B16" s="65">
        <v>0.57999999999999996</v>
      </c>
      <c r="C16" s="65">
        <v>0.82</v>
      </c>
      <c r="D16" s="65">
        <v>1.1599999999999999</v>
      </c>
      <c r="E16" s="65">
        <v>1.51</v>
      </c>
      <c r="F16" s="65">
        <v>1.94</v>
      </c>
      <c r="G16" s="65">
        <v>2.2000000000000002</v>
      </c>
      <c r="H16" s="65">
        <v>2.93</v>
      </c>
      <c r="I16" s="65">
        <v>3.02</v>
      </c>
      <c r="J16" s="65">
        <v>2.86</v>
      </c>
      <c r="K16" s="65">
        <v>3.02</v>
      </c>
    </row>
    <row r="17" spans="1:11" x14ac:dyDescent="0.2">
      <c r="A17" t="s">
        <v>145</v>
      </c>
      <c r="B17" s="65">
        <v>0.61</v>
      </c>
      <c r="C17" s="65">
        <v>1.28</v>
      </c>
      <c r="D17" s="65">
        <v>0.67</v>
      </c>
      <c r="E17" s="65">
        <v>0.77</v>
      </c>
      <c r="F17" s="65">
        <v>1.1000000000000001</v>
      </c>
      <c r="G17" s="65">
        <v>1.1499999999999999</v>
      </c>
      <c r="H17" s="65">
        <v>1.47</v>
      </c>
      <c r="I17" s="65">
        <v>1.39</v>
      </c>
      <c r="J17" s="65">
        <v>1.55</v>
      </c>
      <c r="K17" s="65">
        <v>1.63</v>
      </c>
    </row>
    <row r="18" spans="1:11" x14ac:dyDescent="0.2">
      <c r="A18" t="s">
        <v>146</v>
      </c>
      <c r="B18" s="65">
        <v>0.31</v>
      </c>
      <c r="C18" s="65">
        <v>0.8</v>
      </c>
      <c r="D18" s="65">
        <v>0.86</v>
      </c>
      <c r="E18" s="65">
        <v>1.1499999999999999</v>
      </c>
      <c r="F18" s="65">
        <v>1.5</v>
      </c>
      <c r="G18" s="65">
        <v>1.86</v>
      </c>
      <c r="H18" s="65">
        <v>2.59</v>
      </c>
      <c r="I18" s="65">
        <v>3.06</v>
      </c>
      <c r="J18" s="65">
        <v>2.57</v>
      </c>
      <c r="K18" s="65">
        <v>3.19</v>
      </c>
    </row>
    <row r="19" spans="1:11" x14ac:dyDescent="0.2">
      <c r="A19" t="s">
        <v>147</v>
      </c>
      <c r="B19" s="65">
        <v>0.05</v>
      </c>
      <c r="C19" s="65">
        <v>0.42</v>
      </c>
      <c r="D19" s="65">
        <v>0.78</v>
      </c>
      <c r="E19" s="65">
        <v>0.99</v>
      </c>
      <c r="F19" s="65">
        <v>1.35</v>
      </c>
      <c r="G19" s="65">
        <v>1.93</v>
      </c>
      <c r="H19" s="65">
        <v>2.68</v>
      </c>
      <c r="I19" s="65">
        <v>3.58</v>
      </c>
      <c r="J19" s="65">
        <v>3.43</v>
      </c>
      <c r="K19" s="65">
        <v>3.51</v>
      </c>
    </row>
    <row r="20" spans="1:11" x14ac:dyDescent="0.2">
      <c r="A20" t="s">
        <v>148</v>
      </c>
      <c r="B20" s="65">
        <v>0.56000000000000005</v>
      </c>
      <c r="C20" s="65">
        <v>0.59</v>
      </c>
      <c r="D20" s="65">
        <v>0.48</v>
      </c>
      <c r="E20" s="65">
        <v>0.75</v>
      </c>
      <c r="F20" s="65">
        <v>1.1399999999999999</v>
      </c>
      <c r="G20" s="65">
        <v>1.25</v>
      </c>
      <c r="H20" s="65">
        <v>1.66</v>
      </c>
      <c r="I20" s="65">
        <v>1.69</v>
      </c>
      <c r="J20" s="65">
        <v>1.73</v>
      </c>
      <c r="K20" s="65">
        <v>2.0699999999999998</v>
      </c>
    </row>
    <row r="21" spans="1:11" x14ac:dyDescent="0.2">
      <c r="A21" t="s">
        <v>149</v>
      </c>
      <c r="B21" s="65">
        <v>0.15</v>
      </c>
      <c r="C21" s="65">
        <v>0.56999999999999995</v>
      </c>
      <c r="D21" s="65">
        <v>0.51</v>
      </c>
      <c r="E21" s="65">
        <v>0.6</v>
      </c>
      <c r="F21" s="65">
        <v>0.79</v>
      </c>
      <c r="G21" s="65">
        <v>0.88</v>
      </c>
      <c r="H21" s="65">
        <v>1.05</v>
      </c>
      <c r="I21" s="65">
        <v>1.1000000000000001</v>
      </c>
      <c r="J21" s="65">
        <v>1.1200000000000001</v>
      </c>
      <c r="K21" s="65">
        <v>1.34</v>
      </c>
    </row>
    <row r="22" spans="1:11" x14ac:dyDescent="0.2">
      <c r="A22" t="s">
        <v>150</v>
      </c>
      <c r="B22" s="65">
        <v>0.51</v>
      </c>
      <c r="C22" s="65">
        <v>0.73</v>
      </c>
      <c r="D22" s="65">
        <v>0.82</v>
      </c>
      <c r="E22" s="65">
        <v>0.82</v>
      </c>
      <c r="F22" s="65">
        <v>1.3</v>
      </c>
      <c r="G22" s="65">
        <v>1.68</v>
      </c>
      <c r="H22" s="65">
        <v>2.0499999999999998</v>
      </c>
      <c r="I22" s="65">
        <v>2.11</v>
      </c>
      <c r="J22" s="65">
        <v>2.25</v>
      </c>
      <c r="K22" s="65">
        <v>2.29</v>
      </c>
    </row>
    <row r="23" spans="1:11" x14ac:dyDescent="0.2">
      <c r="A23" t="s">
        <v>151</v>
      </c>
      <c r="B23" s="65">
        <v>0.08</v>
      </c>
      <c r="C23" s="65">
        <v>0.36</v>
      </c>
      <c r="D23" s="65">
        <v>0.72</v>
      </c>
      <c r="E23" s="65">
        <v>0.85</v>
      </c>
      <c r="F23" s="65">
        <v>1.17</v>
      </c>
      <c r="G23" s="65">
        <v>1.44</v>
      </c>
      <c r="H23" s="65">
        <v>1.5</v>
      </c>
      <c r="I23" s="65">
        <v>1.66</v>
      </c>
      <c r="J23" s="65">
        <v>1.77</v>
      </c>
      <c r="K23" s="65">
        <v>1.74</v>
      </c>
    </row>
    <row r="24" spans="1:11" x14ac:dyDescent="0.2">
      <c r="A24" t="s">
        <v>152</v>
      </c>
      <c r="B24" s="65">
        <v>0.19</v>
      </c>
      <c r="C24" s="65">
        <v>0.75</v>
      </c>
      <c r="D24" s="65">
        <v>0.72</v>
      </c>
      <c r="E24" s="65">
        <v>0.79</v>
      </c>
      <c r="F24" s="65">
        <v>1.1100000000000001</v>
      </c>
      <c r="G24" s="65">
        <v>1.63</v>
      </c>
      <c r="H24" s="65">
        <v>1.77</v>
      </c>
      <c r="I24" s="65">
        <v>2.15</v>
      </c>
      <c r="J24" s="65">
        <v>2.39</v>
      </c>
      <c r="K24" s="65">
        <v>2.39</v>
      </c>
    </row>
    <row r="25" spans="1:11" x14ac:dyDescent="0.2">
      <c r="A25" t="s">
        <v>153</v>
      </c>
      <c r="B25" s="65">
        <v>0.05</v>
      </c>
      <c r="C25" s="65">
        <v>0.27</v>
      </c>
      <c r="D25" s="65">
        <v>0.44</v>
      </c>
      <c r="E25" s="65">
        <v>0.62</v>
      </c>
      <c r="F25" s="65">
        <v>1.0900000000000001</v>
      </c>
      <c r="G25" s="65">
        <v>1.48</v>
      </c>
      <c r="H25" s="65">
        <v>1.91</v>
      </c>
      <c r="I25" s="65">
        <v>2.14</v>
      </c>
      <c r="J25" s="65">
        <v>2.44</v>
      </c>
      <c r="K25" s="65">
        <v>2.56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0C0B-0472-463B-90D5-1899FE10903C}">
  <dimension ref="A1:B25"/>
  <sheetViews>
    <sheetView tabSelected="1" workbookViewId="0">
      <selection activeCell="A2" sqref="A2"/>
    </sheetView>
  </sheetViews>
  <sheetFormatPr defaultRowHeight="12.75" x14ac:dyDescent="0.2"/>
  <sheetData>
    <row r="1" spans="1:2" x14ac:dyDescent="0.2">
      <c r="A1" t="s">
        <v>81</v>
      </c>
      <c r="B1" t="s">
        <v>192</v>
      </c>
    </row>
    <row r="2" spans="1:2" x14ac:dyDescent="0.2">
      <c r="A2" t="s">
        <v>130</v>
      </c>
      <c r="B2" s="83">
        <v>8.9676290463692041</v>
      </c>
    </row>
    <row r="3" spans="1:2" x14ac:dyDescent="0.2">
      <c r="A3" t="s">
        <v>131</v>
      </c>
      <c r="B3" s="83">
        <v>10.279965004374453</v>
      </c>
    </row>
    <row r="4" spans="1:2" x14ac:dyDescent="0.2">
      <c r="A4" t="s">
        <v>132</v>
      </c>
      <c r="B4" s="83">
        <v>8.7489063867016625</v>
      </c>
    </row>
    <row r="5" spans="1:2" x14ac:dyDescent="0.2">
      <c r="A5" t="s">
        <v>133</v>
      </c>
      <c r="B5" s="83">
        <v>9.4050743657042872</v>
      </c>
    </row>
    <row r="6" spans="1:2" x14ac:dyDescent="0.2">
      <c r="A6" t="s">
        <v>134</v>
      </c>
      <c r="B6" s="83">
        <v>10.717410323709537</v>
      </c>
    </row>
    <row r="7" spans="1:2" x14ac:dyDescent="0.2">
      <c r="A7" t="s">
        <v>135</v>
      </c>
      <c r="B7" s="83">
        <v>9.8425196850393704</v>
      </c>
    </row>
    <row r="8" spans="1:2" x14ac:dyDescent="0.2">
      <c r="A8" t="s">
        <v>136</v>
      </c>
      <c r="B8" s="83">
        <v>9.6237970253718288</v>
      </c>
    </row>
    <row r="9" spans="1:2" x14ac:dyDescent="0.2">
      <c r="A9" t="s">
        <v>137</v>
      </c>
      <c r="B9" s="83">
        <v>9.4050743657042872</v>
      </c>
    </row>
    <row r="10" spans="1:2" x14ac:dyDescent="0.2">
      <c r="A10" t="s">
        <v>138</v>
      </c>
      <c r="B10" s="83">
        <v>11.15485564304462</v>
      </c>
    </row>
    <row r="11" spans="1:2" x14ac:dyDescent="0.2">
      <c r="A11" t="s">
        <v>139</v>
      </c>
      <c r="B11" s="83">
        <v>11.373578302712161</v>
      </c>
    </row>
    <row r="12" spans="1:2" x14ac:dyDescent="0.2">
      <c r="A12" t="s">
        <v>140</v>
      </c>
      <c r="B12" s="83">
        <v>10.936132983377078</v>
      </c>
    </row>
    <row r="13" spans="1:2" x14ac:dyDescent="0.2">
      <c r="A13" t="s">
        <v>141</v>
      </c>
      <c r="B13" s="83">
        <v>7.6552930883639547</v>
      </c>
    </row>
    <row r="14" spans="1:2" x14ac:dyDescent="0.2">
      <c r="A14" t="s">
        <v>142</v>
      </c>
      <c r="B14" s="83">
        <v>9.8425196850393704</v>
      </c>
    </row>
    <row r="15" spans="1:2" x14ac:dyDescent="0.2">
      <c r="A15" t="s">
        <v>143</v>
      </c>
      <c r="B15" s="83">
        <v>9.6237970253718288</v>
      </c>
    </row>
    <row r="16" spans="1:2" x14ac:dyDescent="0.2">
      <c r="A16" t="s">
        <v>144</v>
      </c>
      <c r="B16" s="83">
        <v>11.811023622047244</v>
      </c>
    </row>
    <row r="17" spans="1:2" x14ac:dyDescent="0.2">
      <c r="A17" t="s">
        <v>145</v>
      </c>
      <c r="B17" s="83">
        <v>12.685914260717411</v>
      </c>
    </row>
    <row r="18" spans="1:2" x14ac:dyDescent="0.2">
      <c r="A18" t="s">
        <v>146</v>
      </c>
      <c r="B18" s="83">
        <v>10.936132983377078</v>
      </c>
    </row>
    <row r="19" spans="1:2" x14ac:dyDescent="0.2">
      <c r="A19" t="s">
        <v>147</v>
      </c>
      <c r="B19" s="83">
        <v>12.248468941382328</v>
      </c>
    </row>
    <row r="20" spans="1:2" x14ac:dyDescent="0.2">
      <c r="A20" t="s">
        <v>148</v>
      </c>
      <c r="B20" s="83">
        <v>9.6237970253718288</v>
      </c>
    </row>
    <row r="21" spans="1:2" x14ac:dyDescent="0.2">
      <c r="A21" t="s">
        <v>149</v>
      </c>
      <c r="B21" s="83">
        <v>6.99912510936133</v>
      </c>
    </row>
    <row r="22" spans="1:2" x14ac:dyDescent="0.2">
      <c r="A22" t="s">
        <v>150</v>
      </c>
      <c r="B22" s="83">
        <v>11.15485564304462</v>
      </c>
    </row>
    <row r="23" spans="1:2" x14ac:dyDescent="0.2">
      <c r="A23" t="s">
        <v>151</v>
      </c>
      <c r="B23" s="83">
        <v>9.1863517060367457</v>
      </c>
    </row>
    <row r="24" spans="1:2" x14ac:dyDescent="0.2">
      <c r="A24" t="s">
        <v>152</v>
      </c>
      <c r="B24" s="83">
        <v>9.1863517060367457</v>
      </c>
    </row>
    <row r="25" spans="1:2" x14ac:dyDescent="0.2">
      <c r="A25" t="s">
        <v>153</v>
      </c>
      <c r="B25" s="83">
        <v>8.530183727034121</v>
      </c>
    </row>
  </sheetData>
  <sortState xmlns:xlrd2="http://schemas.microsoft.com/office/spreadsheetml/2017/richdata2" ref="A2:B25">
    <sortCondition ref="A2:A2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BDCBD-1CDC-4F14-BB8E-10F2903F57A8}">
  <dimension ref="A1:P98"/>
  <sheetViews>
    <sheetView workbookViewId="0"/>
  </sheetViews>
  <sheetFormatPr defaultRowHeight="12.75" x14ac:dyDescent="0.2"/>
  <cols>
    <col min="2" max="2" width="10.42578125" bestFit="1" customWidth="1"/>
    <col min="5" max="6" width="10.42578125" bestFit="1" customWidth="1"/>
  </cols>
  <sheetData>
    <row r="1" spans="1:16" x14ac:dyDescent="0.2">
      <c r="A1" t="s">
        <v>81</v>
      </c>
      <c r="B1" t="s">
        <v>258</v>
      </c>
      <c r="C1" t="s">
        <v>257</v>
      </c>
      <c r="D1" t="s">
        <v>256</v>
      </c>
      <c r="E1" t="s">
        <v>266</v>
      </c>
      <c r="F1" t="s">
        <v>184</v>
      </c>
      <c r="G1" t="s">
        <v>183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  <c r="M1" t="s">
        <v>175</v>
      </c>
      <c r="N1" t="s">
        <v>176</v>
      </c>
      <c r="O1" t="s">
        <v>177</v>
      </c>
      <c r="P1" t="s">
        <v>178</v>
      </c>
    </row>
    <row r="2" spans="1:16" x14ac:dyDescent="0.2">
      <c r="A2" t="s">
        <v>82</v>
      </c>
      <c r="B2" s="186"/>
      <c r="D2" s="208"/>
      <c r="E2" s="186"/>
      <c r="F2" s="186">
        <v>44006</v>
      </c>
      <c r="G2" s="126">
        <v>176.33333333333334</v>
      </c>
    </row>
    <row r="3" spans="1:16" x14ac:dyDescent="0.2">
      <c r="A3" t="s">
        <v>130</v>
      </c>
      <c r="B3" s="186"/>
      <c r="D3" s="208"/>
      <c r="E3" s="186"/>
      <c r="F3" s="186"/>
      <c r="G3" s="126"/>
      <c r="H3" s="83">
        <v>3.5</v>
      </c>
      <c r="I3" s="83">
        <v>2.1666666666666665</v>
      </c>
      <c r="J3" s="83">
        <v>1.8333333333333333</v>
      </c>
      <c r="K3" s="83">
        <v>2.3333333333333335</v>
      </c>
      <c r="L3" s="83">
        <v>2.8333333333333335</v>
      </c>
      <c r="M3" s="83">
        <v>3.1666666666666665</v>
      </c>
      <c r="N3" s="83">
        <v>3.8333333333333335</v>
      </c>
      <c r="O3" s="83">
        <v>4.166666666666667</v>
      </c>
      <c r="P3" s="83">
        <v>4</v>
      </c>
    </row>
    <row r="4" spans="1:16" x14ac:dyDescent="0.2">
      <c r="A4" t="s">
        <v>83</v>
      </c>
      <c r="B4" s="186"/>
      <c r="D4" s="208"/>
      <c r="E4" s="186"/>
      <c r="F4" s="186">
        <v>44004</v>
      </c>
      <c r="G4" s="126">
        <v>174</v>
      </c>
      <c r="H4" s="83"/>
      <c r="I4" s="83"/>
      <c r="J4" s="83"/>
      <c r="K4" s="83"/>
      <c r="L4" s="83"/>
      <c r="M4" s="83"/>
      <c r="N4" s="83"/>
      <c r="O4" s="83"/>
      <c r="P4" s="83"/>
    </row>
    <row r="5" spans="1:16" x14ac:dyDescent="0.2">
      <c r="A5" t="s">
        <v>232</v>
      </c>
      <c r="B5" s="186">
        <v>43950</v>
      </c>
      <c r="C5">
        <v>2020</v>
      </c>
      <c r="D5" s="208">
        <v>120.125</v>
      </c>
      <c r="E5" s="186">
        <v>43959</v>
      </c>
      <c r="F5" s="186"/>
      <c r="G5" s="126"/>
      <c r="H5" s="83"/>
      <c r="I5" s="83"/>
      <c r="J5" s="83"/>
      <c r="K5" s="83"/>
      <c r="L5" s="83"/>
      <c r="M5" s="83"/>
      <c r="N5" s="83"/>
      <c r="O5" s="83"/>
      <c r="P5" s="83"/>
    </row>
    <row r="6" spans="1:16" x14ac:dyDescent="0.2">
      <c r="A6" t="s">
        <v>84</v>
      </c>
      <c r="B6" s="186"/>
      <c r="D6" s="208"/>
      <c r="E6" s="186"/>
      <c r="F6" s="186">
        <v>44006</v>
      </c>
      <c r="G6" s="126">
        <v>176</v>
      </c>
      <c r="H6" s="83"/>
      <c r="I6" s="83"/>
      <c r="J6" s="83"/>
      <c r="K6" s="83"/>
      <c r="L6" s="83"/>
      <c r="M6" s="83"/>
      <c r="N6" s="83"/>
      <c r="O6" s="83"/>
      <c r="P6" s="83"/>
    </row>
    <row r="7" spans="1:16" x14ac:dyDescent="0.2">
      <c r="A7" t="s">
        <v>131</v>
      </c>
      <c r="B7" s="186"/>
      <c r="D7" s="208"/>
      <c r="E7" s="186"/>
      <c r="F7" s="186"/>
      <c r="G7" s="126"/>
      <c r="H7" s="83">
        <v>2.5</v>
      </c>
      <c r="I7" s="83">
        <v>1.5</v>
      </c>
      <c r="J7" s="83">
        <v>1.3333333333333333</v>
      </c>
      <c r="K7" s="83">
        <v>1.6666666666666667</v>
      </c>
      <c r="L7" s="83">
        <v>1.8333333333333333</v>
      </c>
      <c r="M7" s="83">
        <v>1.5</v>
      </c>
      <c r="N7" s="83">
        <v>3.5</v>
      </c>
      <c r="O7" s="83">
        <v>3</v>
      </c>
      <c r="P7" s="83">
        <v>3</v>
      </c>
    </row>
    <row r="8" spans="1:16" x14ac:dyDescent="0.2">
      <c r="A8" t="s">
        <v>85</v>
      </c>
      <c r="B8" s="186"/>
      <c r="D8" s="208"/>
      <c r="E8" s="186"/>
      <c r="F8" s="186">
        <v>44002</v>
      </c>
      <c r="G8" s="126">
        <v>172</v>
      </c>
      <c r="H8" s="83"/>
      <c r="I8" s="83"/>
      <c r="J8" s="83"/>
      <c r="K8" s="83"/>
      <c r="L8" s="83"/>
      <c r="M8" s="83"/>
      <c r="N8" s="83"/>
      <c r="O8" s="83"/>
      <c r="P8" s="83"/>
    </row>
    <row r="9" spans="1:16" x14ac:dyDescent="0.2">
      <c r="A9" t="s">
        <v>233</v>
      </c>
      <c r="B9" s="186">
        <v>43950</v>
      </c>
      <c r="C9">
        <v>2020</v>
      </c>
      <c r="D9" s="208">
        <v>119.83333333333333</v>
      </c>
      <c r="E9" s="186">
        <v>43959</v>
      </c>
      <c r="F9" s="186"/>
      <c r="G9" s="126"/>
      <c r="H9" s="83"/>
      <c r="I9" s="83"/>
      <c r="J9" s="83"/>
      <c r="K9" s="83"/>
      <c r="L9" s="83"/>
      <c r="M9" s="83"/>
      <c r="N9" s="83"/>
      <c r="O9" s="83"/>
      <c r="P9" s="83"/>
    </row>
    <row r="10" spans="1:16" x14ac:dyDescent="0.2">
      <c r="A10" t="s">
        <v>86</v>
      </c>
      <c r="B10" s="186"/>
      <c r="D10" s="208"/>
      <c r="E10" s="186"/>
      <c r="F10" s="186">
        <v>44001</v>
      </c>
      <c r="G10" s="126">
        <v>171</v>
      </c>
      <c r="H10" s="83"/>
      <c r="I10" s="83"/>
      <c r="J10" s="83"/>
      <c r="K10" s="83"/>
      <c r="L10" s="83"/>
      <c r="M10" s="83"/>
      <c r="N10" s="83"/>
      <c r="O10" s="83"/>
      <c r="P10" s="83"/>
    </row>
    <row r="11" spans="1:16" x14ac:dyDescent="0.2">
      <c r="A11" t="s">
        <v>132</v>
      </c>
      <c r="B11" s="186"/>
      <c r="D11" s="208"/>
      <c r="E11" s="186"/>
      <c r="F11" s="186"/>
      <c r="G11" s="126"/>
      <c r="H11" s="83">
        <v>2.6666666666666665</v>
      </c>
      <c r="I11" s="83">
        <v>1.3333333333333333</v>
      </c>
      <c r="J11" s="83">
        <v>1.1666666666666667</v>
      </c>
      <c r="K11" s="83">
        <v>1.8333333333333333</v>
      </c>
      <c r="L11" s="83">
        <v>2.5</v>
      </c>
      <c r="M11" s="83">
        <v>2.3333333333333335</v>
      </c>
      <c r="N11" s="83">
        <v>4</v>
      </c>
      <c r="O11" s="83">
        <v>3.1666666666666665</v>
      </c>
      <c r="P11" s="83">
        <v>3.1666666666666665</v>
      </c>
    </row>
    <row r="12" spans="1:16" x14ac:dyDescent="0.2">
      <c r="A12" t="s">
        <v>87</v>
      </c>
      <c r="B12" s="186"/>
      <c r="D12" s="208"/>
      <c r="E12" s="186"/>
      <c r="F12" s="186">
        <v>44002</v>
      </c>
      <c r="G12" s="126">
        <v>172</v>
      </c>
      <c r="H12" s="83"/>
      <c r="I12" s="83"/>
      <c r="J12" s="83"/>
      <c r="K12" s="83"/>
      <c r="L12" s="83"/>
      <c r="M12" s="83"/>
      <c r="N12" s="83"/>
      <c r="O12" s="83"/>
      <c r="P12" s="83"/>
    </row>
    <row r="13" spans="1:16" x14ac:dyDescent="0.2">
      <c r="A13" t="s">
        <v>234</v>
      </c>
      <c r="B13" s="186">
        <v>43950</v>
      </c>
      <c r="C13">
        <v>2020</v>
      </c>
      <c r="D13" s="208">
        <v>120</v>
      </c>
      <c r="E13" s="186">
        <v>43959</v>
      </c>
      <c r="F13" s="186"/>
      <c r="G13" s="126"/>
      <c r="H13" s="83"/>
      <c r="I13" s="83"/>
      <c r="J13" s="83"/>
      <c r="K13" s="83"/>
      <c r="L13" s="83"/>
      <c r="M13" s="83"/>
      <c r="N13" s="83"/>
      <c r="O13" s="83"/>
      <c r="P13" s="83"/>
    </row>
    <row r="14" spans="1:16" x14ac:dyDescent="0.2">
      <c r="A14" t="s">
        <v>88</v>
      </c>
      <c r="B14" s="186"/>
      <c r="D14" s="208"/>
      <c r="E14" s="186"/>
      <c r="F14" s="186">
        <v>44002</v>
      </c>
      <c r="G14" s="126">
        <v>172</v>
      </c>
      <c r="H14" s="83"/>
      <c r="I14" s="83"/>
      <c r="J14" s="83"/>
      <c r="K14" s="83"/>
      <c r="L14" s="83"/>
      <c r="M14" s="83"/>
      <c r="N14" s="83"/>
      <c r="O14" s="83"/>
      <c r="P14" s="83"/>
    </row>
    <row r="15" spans="1:16" x14ac:dyDescent="0.2">
      <c r="A15" t="s">
        <v>133</v>
      </c>
      <c r="B15" s="186"/>
      <c r="D15" s="208"/>
      <c r="E15" s="186"/>
      <c r="F15" s="186"/>
      <c r="G15" s="126"/>
      <c r="H15" s="83">
        <v>3.5</v>
      </c>
      <c r="I15" s="83">
        <v>1.8333333333333333</v>
      </c>
      <c r="J15" s="83">
        <v>1.6666666666666667</v>
      </c>
      <c r="K15" s="83">
        <v>2.1666666666666665</v>
      </c>
      <c r="L15" s="83">
        <v>3</v>
      </c>
      <c r="M15" s="83">
        <v>3.1666666666666665</v>
      </c>
      <c r="N15" s="83">
        <v>4.833333333333333</v>
      </c>
      <c r="O15" s="83">
        <v>4.5</v>
      </c>
      <c r="P15" s="83">
        <v>4.5</v>
      </c>
    </row>
    <row r="16" spans="1:16" x14ac:dyDescent="0.2">
      <c r="A16" t="s">
        <v>89</v>
      </c>
      <c r="B16" s="186"/>
      <c r="D16" s="208"/>
      <c r="E16" s="186"/>
      <c r="F16" s="186">
        <v>44001</v>
      </c>
      <c r="G16" s="126">
        <v>171</v>
      </c>
      <c r="H16" s="83"/>
      <c r="I16" s="83"/>
      <c r="J16" s="83"/>
      <c r="K16" s="83"/>
      <c r="L16" s="83"/>
      <c r="M16" s="83"/>
      <c r="N16" s="83"/>
      <c r="O16" s="83"/>
      <c r="P16" s="83"/>
    </row>
    <row r="17" spans="1:16" x14ac:dyDescent="0.2">
      <c r="A17" t="s">
        <v>235</v>
      </c>
      <c r="B17" s="186">
        <v>43950</v>
      </c>
      <c r="C17">
        <v>2020</v>
      </c>
      <c r="D17" s="208">
        <v>120.16666666666667</v>
      </c>
      <c r="E17" s="186">
        <v>43959</v>
      </c>
      <c r="F17" s="186"/>
      <c r="G17" s="126"/>
      <c r="H17" s="83"/>
      <c r="I17" s="83"/>
      <c r="J17" s="83"/>
      <c r="K17" s="83"/>
      <c r="L17" s="83"/>
      <c r="M17" s="83"/>
      <c r="N17" s="83"/>
      <c r="O17" s="83"/>
      <c r="P17" s="83"/>
    </row>
    <row r="18" spans="1:16" x14ac:dyDescent="0.2">
      <c r="A18" t="s">
        <v>90</v>
      </c>
      <c r="B18" s="186"/>
      <c r="D18" s="208"/>
      <c r="E18" s="186"/>
      <c r="F18" s="186">
        <v>44006</v>
      </c>
      <c r="G18" s="126">
        <v>176</v>
      </c>
      <c r="H18" s="83"/>
      <c r="I18" s="83"/>
      <c r="J18" s="83"/>
      <c r="K18" s="83"/>
      <c r="L18" s="83"/>
      <c r="M18" s="83"/>
      <c r="N18" s="83"/>
      <c r="O18" s="83"/>
      <c r="P18" s="83"/>
    </row>
    <row r="19" spans="1:16" x14ac:dyDescent="0.2">
      <c r="A19" t="s">
        <v>134</v>
      </c>
      <c r="B19" s="186"/>
      <c r="D19" s="208"/>
      <c r="E19" s="186"/>
      <c r="F19" s="186"/>
      <c r="G19" s="126"/>
      <c r="H19" s="83">
        <v>3.5</v>
      </c>
      <c r="I19" s="83">
        <v>1.6666666666666667</v>
      </c>
      <c r="J19" s="83">
        <v>1.5</v>
      </c>
      <c r="K19" s="83">
        <v>2.1666666666666665</v>
      </c>
      <c r="L19" s="83">
        <v>2</v>
      </c>
      <c r="M19" s="83">
        <v>1.8333333333333333</v>
      </c>
      <c r="N19" s="83">
        <v>4.333333333333333</v>
      </c>
      <c r="O19" s="83">
        <v>3.3333333333333335</v>
      </c>
      <c r="P19" s="83">
        <v>3.1666666666666665</v>
      </c>
    </row>
    <row r="20" spans="1:16" x14ac:dyDescent="0.2">
      <c r="A20" t="s">
        <v>91</v>
      </c>
      <c r="B20" s="186"/>
      <c r="D20" s="208"/>
      <c r="E20" s="186"/>
      <c r="F20" s="186">
        <v>44007</v>
      </c>
      <c r="G20" s="126">
        <v>176.625</v>
      </c>
      <c r="H20" s="83"/>
      <c r="I20" s="83"/>
      <c r="J20" s="83"/>
      <c r="K20" s="83"/>
      <c r="L20" s="83"/>
      <c r="M20" s="83"/>
      <c r="N20" s="83"/>
      <c r="O20" s="83"/>
      <c r="P20" s="83"/>
    </row>
    <row r="21" spans="1:16" x14ac:dyDescent="0.2">
      <c r="A21" t="s">
        <v>255</v>
      </c>
      <c r="B21" s="186">
        <v>43950</v>
      </c>
      <c r="C21">
        <v>2020</v>
      </c>
      <c r="D21" s="208">
        <v>120.4</v>
      </c>
      <c r="E21" s="186">
        <v>43959</v>
      </c>
      <c r="F21" s="186"/>
      <c r="G21" s="126"/>
      <c r="H21" s="83"/>
      <c r="I21" s="83"/>
      <c r="J21" s="83"/>
      <c r="K21" s="83"/>
      <c r="L21" s="83"/>
      <c r="M21" s="83"/>
      <c r="N21" s="83"/>
      <c r="O21" s="83"/>
      <c r="P21" s="83"/>
    </row>
    <row r="22" spans="1:16" x14ac:dyDescent="0.2">
      <c r="A22" t="s">
        <v>92</v>
      </c>
      <c r="B22" s="186"/>
      <c r="D22" s="208"/>
      <c r="E22" s="186"/>
      <c r="F22" s="186">
        <v>44003</v>
      </c>
      <c r="G22" s="126">
        <v>173</v>
      </c>
      <c r="H22" s="83"/>
      <c r="I22" s="83"/>
      <c r="J22" s="83"/>
      <c r="K22" s="83"/>
      <c r="L22" s="83"/>
      <c r="M22" s="83"/>
      <c r="N22" s="83"/>
      <c r="O22" s="83"/>
      <c r="P22" s="83"/>
    </row>
    <row r="23" spans="1:16" x14ac:dyDescent="0.2">
      <c r="A23" t="s">
        <v>135</v>
      </c>
      <c r="B23" s="186"/>
      <c r="D23" s="208"/>
      <c r="E23" s="186"/>
      <c r="F23" s="186"/>
      <c r="G23" s="126"/>
      <c r="H23" s="83">
        <v>3.5</v>
      </c>
      <c r="I23" s="83">
        <v>1.8333333333333333</v>
      </c>
      <c r="J23" s="83">
        <v>1.5</v>
      </c>
      <c r="K23" s="83">
        <v>2</v>
      </c>
      <c r="L23" s="83">
        <v>2.8333333333333335</v>
      </c>
      <c r="M23" s="83">
        <v>2.8333333333333335</v>
      </c>
      <c r="N23" s="83">
        <v>5.166666666666667</v>
      </c>
      <c r="O23" s="83">
        <v>5</v>
      </c>
      <c r="P23" s="83">
        <v>4.833333333333333</v>
      </c>
    </row>
    <row r="24" spans="1:16" x14ac:dyDescent="0.2">
      <c r="A24" t="s">
        <v>93</v>
      </c>
      <c r="B24" s="186"/>
      <c r="D24" s="208"/>
      <c r="E24" s="186"/>
      <c r="F24" s="186">
        <v>44004</v>
      </c>
      <c r="G24" s="126">
        <v>174</v>
      </c>
      <c r="H24" s="83"/>
      <c r="I24" s="83"/>
      <c r="J24" s="83"/>
      <c r="K24" s="83"/>
      <c r="L24" s="83"/>
      <c r="M24" s="83"/>
      <c r="N24" s="83"/>
      <c r="O24" s="83"/>
      <c r="P24" s="83"/>
    </row>
    <row r="25" spans="1:16" x14ac:dyDescent="0.2">
      <c r="A25" t="s">
        <v>254</v>
      </c>
      <c r="B25" s="186">
        <v>43951</v>
      </c>
      <c r="C25">
        <v>2020</v>
      </c>
      <c r="D25" s="208">
        <v>120.5</v>
      </c>
      <c r="E25" s="186">
        <v>43960</v>
      </c>
      <c r="F25" s="186"/>
      <c r="G25" s="126"/>
      <c r="H25" s="83"/>
      <c r="I25" s="83"/>
      <c r="J25" s="83"/>
      <c r="K25" s="83"/>
      <c r="L25" s="83"/>
      <c r="M25" s="83"/>
      <c r="N25" s="83"/>
      <c r="O25" s="83"/>
      <c r="P25" s="83"/>
    </row>
    <row r="26" spans="1:16" x14ac:dyDescent="0.2">
      <c r="A26" t="s">
        <v>94</v>
      </c>
      <c r="B26" s="186"/>
      <c r="D26" s="208"/>
      <c r="E26" s="186"/>
      <c r="F26" s="186">
        <v>44003</v>
      </c>
      <c r="G26" s="126">
        <v>173</v>
      </c>
      <c r="H26" s="83"/>
      <c r="I26" s="83"/>
      <c r="J26" s="83"/>
      <c r="K26" s="83"/>
      <c r="L26" s="83"/>
      <c r="M26" s="83"/>
      <c r="N26" s="83"/>
      <c r="O26" s="83"/>
      <c r="P26" s="83"/>
    </row>
    <row r="27" spans="1:16" x14ac:dyDescent="0.2">
      <c r="A27" t="s">
        <v>136</v>
      </c>
      <c r="B27" s="186"/>
      <c r="D27" s="208"/>
      <c r="E27" s="186"/>
      <c r="F27" s="186"/>
      <c r="G27" s="126"/>
      <c r="H27" s="83">
        <v>3</v>
      </c>
      <c r="I27" s="83">
        <v>1.5</v>
      </c>
      <c r="J27" s="83">
        <v>1</v>
      </c>
      <c r="K27" s="83">
        <v>1.6666666666666667</v>
      </c>
      <c r="L27" s="83">
        <v>2.8333333333333335</v>
      </c>
      <c r="M27" s="83">
        <v>2.5</v>
      </c>
      <c r="N27" s="83">
        <v>3.6666666666666665</v>
      </c>
      <c r="O27" s="83">
        <v>2.8333333333333335</v>
      </c>
      <c r="P27" s="83">
        <v>3.1666666666666665</v>
      </c>
    </row>
    <row r="28" spans="1:16" x14ac:dyDescent="0.2">
      <c r="A28" t="s">
        <v>95</v>
      </c>
      <c r="B28" s="186"/>
      <c r="D28" s="208"/>
      <c r="E28" s="186"/>
      <c r="F28" s="186">
        <v>44001</v>
      </c>
      <c r="G28" s="126">
        <v>171</v>
      </c>
      <c r="H28" s="83"/>
      <c r="I28" s="83"/>
      <c r="J28" s="83"/>
      <c r="K28" s="83"/>
      <c r="L28" s="83"/>
      <c r="M28" s="83"/>
      <c r="N28" s="83"/>
      <c r="O28" s="83"/>
      <c r="P28" s="83"/>
    </row>
    <row r="29" spans="1:16" x14ac:dyDescent="0.2">
      <c r="A29" t="s">
        <v>253</v>
      </c>
      <c r="B29" s="186">
        <v>43951</v>
      </c>
      <c r="C29">
        <v>2020</v>
      </c>
      <c r="D29" s="208">
        <v>120.5</v>
      </c>
      <c r="E29" s="186">
        <v>43960</v>
      </c>
      <c r="F29" s="186"/>
      <c r="G29" s="126"/>
      <c r="H29" s="83"/>
      <c r="I29" s="83"/>
      <c r="J29" s="83"/>
      <c r="K29" s="83"/>
      <c r="L29" s="83"/>
      <c r="M29" s="83"/>
      <c r="N29" s="83"/>
      <c r="O29" s="83"/>
      <c r="P29" s="83"/>
    </row>
    <row r="30" spans="1:16" x14ac:dyDescent="0.2">
      <c r="A30" t="s">
        <v>96</v>
      </c>
      <c r="B30" s="186"/>
      <c r="D30" s="208"/>
      <c r="E30" s="186"/>
      <c r="F30" s="186">
        <v>44004</v>
      </c>
      <c r="G30" s="126">
        <v>174</v>
      </c>
      <c r="H30" s="83"/>
      <c r="I30" s="83"/>
      <c r="J30" s="83"/>
      <c r="K30" s="83"/>
      <c r="L30" s="83"/>
      <c r="M30" s="83"/>
      <c r="N30" s="83"/>
      <c r="O30" s="83"/>
      <c r="P30" s="83"/>
    </row>
    <row r="31" spans="1:16" x14ac:dyDescent="0.2">
      <c r="A31" t="s">
        <v>137</v>
      </c>
      <c r="B31" s="186"/>
      <c r="D31" s="208"/>
      <c r="E31" s="186"/>
      <c r="F31" s="186"/>
      <c r="G31" s="126"/>
      <c r="H31" s="83">
        <v>3</v>
      </c>
      <c r="I31" s="83">
        <v>2</v>
      </c>
      <c r="J31" s="83">
        <v>1.3333333333333333</v>
      </c>
      <c r="K31" s="83">
        <v>1.8333333333333333</v>
      </c>
      <c r="L31" s="83">
        <v>2.6666666666666665</v>
      </c>
      <c r="M31" s="83">
        <v>2.5</v>
      </c>
      <c r="N31" s="83">
        <v>4.5</v>
      </c>
      <c r="O31" s="83">
        <v>4</v>
      </c>
      <c r="P31" s="83">
        <v>4.166666666666667</v>
      </c>
    </row>
    <row r="32" spans="1:16" x14ac:dyDescent="0.2">
      <c r="A32" t="s">
        <v>97</v>
      </c>
      <c r="B32" s="186"/>
      <c r="D32" s="208"/>
      <c r="E32" s="186"/>
      <c r="F32" s="186">
        <v>44004</v>
      </c>
      <c r="G32" s="126">
        <v>174</v>
      </c>
      <c r="H32" s="83"/>
      <c r="I32" s="83"/>
      <c r="J32" s="83"/>
      <c r="K32" s="83"/>
      <c r="L32" s="83"/>
      <c r="M32" s="83"/>
      <c r="N32" s="83"/>
      <c r="O32" s="83"/>
      <c r="P32" s="83"/>
    </row>
    <row r="33" spans="1:16" x14ac:dyDescent="0.2">
      <c r="A33" t="s">
        <v>236</v>
      </c>
      <c r="B33" s="186">
        <v>43951</v>
      </c>
      <c r="C33">
        <v>2020</v>
      </c>
      <c r="D33" s="208">
        <v>120.66666666666667</v>
      </c>
      <c r="E33" s="186">
        <v>43961</v>
      </c>
      <c r="F33" s="186"/>
      <c r="G33" s="126"/>
      <c r="H33" s="83"/>
      <c r="I33" s="83"/>
      <c r="J33" s="83"/>
      <c r="K33" s="83"/>
      <c r="L33" s="83"/>
      <c r="M33" s="83"/>
      <c r="N33" s="83"/>
      <c r="O33" s="83"/>
      <c r="P33" s="83"/>
    </row>
    <row r="34" spans="1:16" x14ac:dyDescent="0.2">
      <c r="A34" t="s">
        <v>98</v>
      </c>
      <c r="B34" s="186"/>
      <c r="D34" s="208"/>
      <c r="E34" s="186"/>
      <c r="F34" s="186">
        <v>44007</v>
      </c>
      <c r="G34" s="126">
        <v>177.11111111111111</v>
      </c>
      <c r="H34" s="83"/>
      <c r="I34" s="83"/>
      <c r="J34" s="83"/>
      <c r="K34" s="83"/>
      <c r="L34" s="83"/>
      <c r="M34" s="83"/>
      <c r="N34" s="83"/>
      <c r="O34" s="83"/>
      <c r="P34" s="83"/>
    </row>
    <row r="35" spans="1:16" x14ac:dyDescent="0.2">
      <c r="A35" t="s">
        <v>138</v>
      </c>
      <c r="B35" s="186"/>
      <c r="D35" s="208"/>
      <c r="E35" s="186"/>
      <c r="F35" s="186"/>
      <c r="G35" s="126"/>
      <c r="H35" s="83">
        <v>3.3333333333333335</v>
      </c>
      <c r="I35" s="83">
        <v>1.8333333333333333</v>
      </c>
      <c r="J35" s="83">
        <v>1.3333333333333333</v>
      </c>
      <c r="K35" s="83">
        <v>2</v>
      </c>
      <c r="L35" s="83">
        <v>2.5</v>
      </c>
      <c r="M35" s="83">
        <v>2.3333333333333335</v>
      </c>
      <c r="N35" s="83">
        <v>4.166666666666667</v>
      </c>
      <c r="O35" s="83">
        <v>3.8333333333333335</v>
      </c>
      <c r="P35" s="83">
        <v>3.6666666666666665</v>
      </c>
    </row>
    <row r="36" spans="1:16" x14ac:dyDescent="0.2">
      <c r="A36" t="s">
        <v>99</v>
      </c>
      <c r="B36" s="186"/>
      <c r="D36" s="208"/>
      <c r="E36" s="186"/>
      <c r="F36" s="186">
        <v>44006</v>
      </c>
      <c r="G36" s="126">
        <v>176.33333333333334</v>
      </c>
      <c r="H36" s="83"/>
      <c r="I36" s="83"/>
      <c r="J36" s="83"/>
      <c r="K36" s="83"/>
      <c r="L36" s="83"/>
      <c r="M36" s="83"/>
      <c r="N36" s="83"/>
      <c r="O36" s="83"/>
      <c r="P36" s="83"/>
    </row>
    <row r="37" spans="1:16" x14ac:dyDescent="0.2">
      <c r="A37" t="s">
        <v>237</v>
      </c>
      <c r="B37" s="186">
        <v>43950</v>
      </c>
      <c r="C37">
        <v>2020</v>
      </c>
      <c r="D37" s="208">
        <v>120.41666666666667</v>
      </c>
      <c r="E37" s="186">
        <v>43961</v>
      </c>
      <c r="F37" s="186"/>
      <c r="G37" s="126"/>
      <c r="H37" s="83"/>
      <c r="I37" s="83"/>
      <c r="J37" s="83"/>
      <c r="K37" s="83"/>
      <c r="L37" s="83"/>
      <c r="M37" s="83"/>
      <c r="N37" s="83"/>
      <c r="O37" s="83"/>
      <c r="P37" s="83"/>
    </row>
    <row r="38" spans="1:16" x14ac:dyDescent="0.2">
      <c r="A38" t="s">
        <v>100</v>
      </c>
      <c r="B38" s="186"/>
      <c r="D38" s="208"/>
      <c r="E38" s="186"/>
      <c r="F38" s="186">
        <v>44008</v>
      </c>
      <c r="G38" s="126">
        <v>177.5</v>
      </c>
      <c r="H38" s="83"/>
      <c r="I38" s="83"/>
      <c r="J38" s="83"/>
      <c r="K38" s="83"/>
      <c r="L38" s="83"/>
      <c r="M38" s="83"/>
      <c r="N38" s="83"/>
      <c r="O38" s="83"/>
      <c r="P38" s="83"/>
    </row>
    <row r="39" spans="1:16" x14ac:dyDescent="0.2">
      <c r="A39" t="s">
        <v>139</v>
      </c>
      <c r="B39" s="186"/>
      <c r="D39" s="208"/>
      <c r="E39" s="186"/>
      <c r="F39" s="186"/>
      <c r="G39" s="126"/>
      <c r="H39" s="83">
        <v>3.5</v>
      </c>
      <c r="I39" s="83">
        <v>2</v>
      </c>
      <c r="J39" s="83">
        <v>1.5</v>
      </c>
      <c r="K39" s="83">
        <v>2</v>
      </c>
      <c r="L39" s="83">
        <v>2.6666666666666665</v>
      </c>
      <c r="M39" s="83">
        <v>3</v>
      </c>
      <c r="N39" s="83">
        <v>4.666666666666667</v>
      </c>
      <c r="O39" s="83">
        <v>4.666666666666667</v>
      </c>
      <c r="P39" s="83">
        <v>4.666666666666667</v>
      </c>
    </row>
    <row r="40" spans="1:16" x14ac:dyDescent="0.2">
      <c r="A40" t="s">
        <v>101</v>
      </c>
      <c r="B40" s="186"/>
      <c r="D40" s="208"/>
      <c r="E40" s="186"/>
      <c r="F40" s="186">
        <v>44007</v>
      </c>
      <c r="G40" s="126">
        <v>176.625</v>
      </c>
      <c r="H40" s="83"/>
      <c r="I40" s="83"/>
      <c r="J40" s="83"/>
      <c r="K40" s="83"/>
      <c r="L40" s="83"/>
      <c r="M40" s="83"/>
      <c r="N40" s="83"/>
      <c r="O40" s="83"/>
      <c r="P40" s="83"/>
    </row>
    <row r="41" spans="1:16" x14ac:dyDescent="0.2">
      <c r="A41" t="s">
        <v>238</v>
      </c>
      <c r="B41" s="186">
        <v>43951</v>
      </c>
      <c r="C41">
        <v>2020</v>
      </c>
      <c r="D41" s="208">
        <v>120.5</v>
      </c>
      <c r="E41" s="186">
        <v>43960</v>
      </c>
      <c r="F41" s="186"/>
      <c r="G41" s="126"/>
      <c r="H41" s="83"/>
      <c r="I41" s="83"/>
      <c r="J41" s="83"/>
      <c r="K41" s="83"/>
      <c r="L41" s="83"/>
      <c r="M41" s="83"/>
      <c r="N41" s="83"/>
      <c r="O41" s="83"/>
      <c r="P41" s="83"/>
    </row>
    <row r="42" spans="1:16" x14ac:dyDescent="0.2">
      <c r="A42" t="s">
        <v>102</v>
      </c>
      <c r="B42" s="186"/>
      <c r="D42" s="208"/>
      <c r="E42" s="186"/>
      <c r="F42" s="186">
        <v>44008</v>
      </c>
      <c r="G42" s="126">
        <v>178.375</v>
      </c>
      <c r="H42" s="83"/>
      <c r="I42" s="83"/>
      <c r="J42" s="83"/>
      <c r="K42" s="83"/>
      <c r="L42" s="83"/>
      <c r="M42" s="83"/>
      <c r="N42" s="83"/>
      <c r="O42" s="83"/>
      <c r="P42" s="83"/>
    </row>
    <row r="43" spans="1:16" x14ac:dyDescent="0.2">
      <c r="A43" t="s">
        <v>140</v>
      </c>
      <c r="B43" s="186"/>
      <c r="D43" s="208"/>
      <c r="E43" s="186"/>
      <c r="F43" s="186"/>
      <c r="G43" s="126"/>
      <c r="H43" s="83">
        <v>3.6666666666666665</v>
      </c>
      <c r="I43" s="83">
        <v>2</v>
      </c>
      <c r="J43" s="83">
        <v>1.6666666666666667</v>
      </c>
      <c r="K43" s="83">
        <v>2</v>
      </c>
      <c r="L43" s="83">
        <v>2.6666666666666665</v>
      </c>
      <c r="M43" s="83">
        <v>2.8333333333333335</v>
      </c>
      <c r="N43" s="83">
        <v>4.833333333333333</v>
      </c>
      <c r="O43" s="83">
        <v>4.5</v>
      </c>
      <c r="P43" s="83">
        <v>4.5</v>
      </c>
    </row>
    <row r="44" spans="1:16" x14ac:dyDescent="0.2">
      <c r="A44" t="s">
        <v>103</v>
      </c>
      <c r="B44" s="186"/>
      <c r="D44" s="208"/>
      <c r="E44" s="186"/>
      <c r="F44" s="186">
        <v>44004</v>
      </c>
      <c r="G44" s="126">
        <v>174</v>
      </c>
      <c r="H44" s="83"/>
      <c r="I44" s="83"/>
      <c r="J44" s="83"/>
      <c r="K44" s="83"/>
      <c r="L44" s="83"/>
      <c r="M44" s="83"/>
      <c r="N44" s="83"/>
      <c r="O44" s="83"/>
      <c r="P44" s="83"/>
    </row>
    <row r="45" spans="1:16" x14ac:dyDescent="0.2">
      <c r="A45" t="s">
        <v>239</v>
      </c>
      <c r="B45" s="186">
        <v>43950</v>
      </c>
      <c r="C45">
        <v>2020</v>
      </c>
      <c r="D45" s="208">
        <v>120.4</v>
      </c>
      <c r="E45" s="186">
        <v>43959</v>
      </c>
      <c r="F45" s="186"/>
      <c r="G45" s="126"/>
      <c r="H45" s="83"/>
      <c r="I45" s="83"/>
      <c r="J45" s="83"/>
      <c r="K45" s="83"/>
      <c r="L45" s="83"/>
      <c r="M45" s="83"/>
      <c r="N45" s="83"/>
      <c r="O45" s="83"/>
      <c r="P45" s="83"/>
    </row>
    <row r="46" spans="1:16" x14ac:dyDescent="0.2">
      <c r="A46" t="s">
        <v>104</v>
      </c>
      <c r="B46" s="186"/>
      <c r="D46" s="208"/>
      <c r="E46" s="186"/>
      <c r="F46" s="186">
        <v>44006</v>
      </c>
      <c r="G46" s="126">
        <v>176</v>
      </c>
      <c r="H46" s="83"/>
      <c r="I46" s="83"/>
      <c r="J46" s="83"/>
      <c r="K46" s="83"/>
      <c r="L46" s="83"/>
      <c r="M46" s="83"/>
      <c r="N46" s="83"/>
      <c r="O46" s="83"/>
      <c r="P46" s="83"/>
    </row>
    <row r="47" spans="1:16" x14ac:dyDescent="0.2">
      <c r="A47" t="s">
        <v>141</v>
      </c>
      <c r="B47" s="186"/>
      <c r="D47" s="208"/>
      <c r="E47" s="186"/>
      <c r="F47" s="186"/>
      <c r="G47" s="126"/>
      <c r="H47" s="83">
        <v>3.6666666666666665</v>
      </c>
      <c r="I47" s="83">
        <v>2</v>
      </c>
      <c r="J47" s="83">
        <v>2.5</v>
      </c>
      <c r="K47" s="83">
        <v>3</v>
      </c>
      <c r="L47" s="83">
        <v>2.5</v>
      </c>
      <c r="M47" s="83">
        <v>2.5</v>
      </c>
      <c r="N47" s="83">
        <v>4.666666666666667</v>
      </c>
      <c r="O47" s="83">
        <v>4.166666666666667</v>
      </c>
      <c r="P47" s="83">
        <v>3.8333333333333335</v>
      </c>
    </row>
    <row r="48" spans="1:16" x14ac:dyDescent="0.2">
      <c r="A48" t="s">
        <v>105</v>
      </c>
      <c r="B48" s="186"/>
      <c r="D48" s="208"/>
      <c r="E48" s="186"/>
      <c r="F48" s="186">
        <v>44007</v>
      </c>
      <c r="G48" s="126">
        <v>177</v>
      </c>
      <c r="H48" s="83"/>
      <c r="I48" s="83"/>
      <c r="J48" s="83"/>
      <c r="K48" s="83"/>
      <c r="L48" s="83"/>
      <c r="M48" s="83"/>
      <c r="N48" s="83"/>
      <c r="O48" s="83"/>
      <c r="P48" s="83"/>
    </row>
    <row r="49" spans="1:16" x14ac:dyDescent="0.2">
      <c r="A49" t="s">
        <v>240</v>
      </c>
      <c r="B49" s="186">
        <v>43953</v>
      </c>
      <c r="C49">
        <v>2020</v>
      </c>
      <c r="D49" s="208">
        <v>123</v>
      </c>
      <c r="E49" s="186">
        <v>43962</v>
      </c>
      <c r="F49" s="186"/>
      <c r="G49" s="126"/>
      <c r="H49" s="83"/>
      <c r="I49" s="83"/>
      <c r="J49" s="83"/>
      <c r="K49" s="83"/>
      <c r="L49" s="83"/>
      <c r="M49" s="83"/>
      <c r="N49" s="83"/>
      <c r="O49" s="83"/>
      <c r="P49" s="83"/>
    </row>
    <row r="50" spans="1:16" x14ac:dyDescent="0.2">
      <c r="A50" t="s">
        <v>106</v>
      </c>
      <c r="B50" s="186"/>
      <c r="D50" s="208"/>
      <c r="E50" s="186"/>
      <c r="F50" s="186">
        <v>44003</v>
      </c>
      <c r="G50" s="126">
        <v>173</v>
      </c>
      <c r="H50" s="83"/>
      <c r="I50" s="83"/>
      <c r="J50" s="83"/>
      <c r="K50" s="83"/>
      <c r="L50" s="83"/>
      <c r="M50" s="83"/>
      <c r="N50" s="83"/>
      <c r="O50" s="83"/>
      <c r="P50" s="83"/>
    </row>
    <row r="51" spans="1:16" x14ac:dyDescent="0.2">
      <c r="A51" t="s">
        <v>142</v>
      </c>
      <c r="B51" s="186"/>
      <c r="D51" s="208"/>
      <c r="E51" s="186"/>
      <c r="F51" s="186"/>
      <c r="G51" s="126"/>
      <c r="H51" s="83">
        <v>3</v>
      </c>
      <c r="I51" s="83">
        <v>1.3333333333333333</v>
      </c>
      <c r="J51" s="83">
        <v>1.1666666666666667</v>
      </c>
      <c r="K51" s="83">
        <v>1.6666666666666667</v>
      </c>
      <c r="L51" s="83">
        <v>2.6666666666666665</v>
      </c>
      <c r="M51" s="83">
        <v>2.6666666666666665</v>
      </c>
      <c r="N51" s="83">
        <v>4.333333333333333</v>
      </c>
      <c r="O51" s="83">
        <v>3.8333333333333335</v>
      </c>
      <c r="P51" s="83">
        <v>3.8333333333333335</v>
      </c>
    </row>
    <row r="52" spans="1:16" x14ac:dyDescent="0.2">
      <c r="A52" t="s">
        <v>107</v>
      </c>
      <c r="B52" s="186"/>
      <c r="D52" s="208"/>
      <c r="E52" s="186"/>
      <c r="F52" s="186">
        <v>44001</v>
      </c>
      <c r="G52" s="126">
        <v>171</v>
      </c>
      <c r="H52" s="83"/>
      <c r="I52" s="83"/>
      <c r="J52" s="83"/>
      <c r="K52" s="83"/>
      <c r="L52" s="83"/>
      <c r="M52" s="83"/>
      <c r="N52" s="83"/>
      <c r="O52" s="83"/>
      <c r="P52" s="83"/>
    </row>
    <row r="53" spans="1:16" x14ac:dyDescent="0.2">
      <c r="A53" t="s">
        <v>244</v>
      </c>
      <c r="B53" s="186">
        <v>43949</v>
      </c>
      <c r="C53">
        <v>2020</v>
      </c>
      <c r="D53" s="208">
        <v>119.25</v>
      </c>
      <c r="E53" s="186">
        <v>43959</v>
      </c>
      <c r="F53" s="186"/>
      <c r="G53" s="126"/>
      <c r="H53" s="83"/>
      <c r="I53" s="83"/>
      <c r="J53" s="83"/>
      <c r="K53" s="83"/>
      <c r="L53" s="83"/>
      <c r="M53" s="83"/>
      <c r="N53" s="83"/>
      <c r="O53" s="83"/>
      <c r="P53" s="83"/>
    </row>
    <row r="54" spans="1:16" x14ac:dyDescent="0.2">
      <c r="A54" t="s">
        <v>108</v>
      </c>
      <c r="B54" s="186"/>
      <c r="D54" s="208"/>
      <c r="E54" s="186"/>
      <c r="F54" s="186">
        <v>44003</v>
      </c>
      <c r="G54" s="126">
        <v>173</v>
      </c>
      <c r="H54" s="83"/>
      <c r="I54" s="83"/>
      <c r="J54" s="83"/>
      <c r="K54" s="83"/>
      <c r="L54" s="83"/>
      <c r="M54" s="83"/>
      <c r="N54" s="83"/>
      <c r="O54" s="83"/>
      <c r="P54" s="83"/>
    </row>
    <row r="55" spans="1:16" x14ac:dyDescent="0.2">
      <c r="A55" t="s">
        <v>143</v>
      </c>
      <c r="B55" s="186"/>
      <c r="D55" s="208"/>
      <c r="E55" s="186"/>
      <c r="F55" s="186"/>
      <c r="G55" s="126"/>
      <c r="H55" s="83">
        <v>4.5</v>
      </c>
      <c r="I55" s="83">
        <v>2.1666666666666665</v>
      </c>
      <c r="J55" s="83">
        <v>1.8333333333333333</v>
      </c>
      <c r="K55" s="83">
        <v>2.3333333333333335</v>
      </c>
      <c r="L55" s="83">
        <v>2.5</v>
      </c>
      <c r="M55" s="83">
        <v>3</v>
      </c>
      <c r="N55" s="83">
        <v>6</v>
      </c>
      <c r="O55" s="83">
        <v>5.5</v>
      </c>
      <c r="P55" s="83">
        <v>5.5</v>
      </c>
    </row>
    <row r="56" spans="1:16" x14ac:dyDescent="0.2">
      <c r="A56" t="s">
        <v>109</v>
      </c>
      <c r="B56" s="186"/>
      <c r="D56" s="208"/>
      <c r="E56" s="186"/>
      <c r="F56" s="186">
        <v>44008</v>
      </c>
      <c r="G56" s="126">
        <v>178</v>
      </c>
      <c r="H56" s="83"/>
      <c r="I56" s="83"/>
      <c r="J56" s="83"/>
      <c r="K56" s="83"/>
      <c r="L56" s="83"/>
      <c r="M56" s="83"/>
      <c r="N56" s="83"/>
      <c r="O56" s="83"/>
      <c r="P56" s="83"/>
    </row>
    <row r="57" spans="1:16" x14ac:dyDescent="0.2">
      <c r="A57" t="s">
        <v>243</v>
      </c>
      <c r="B57" s="186">
        <v>43950</v>
      </c>
      <c r="C57">
        <v>2020</v>
      </c>
      <c r="D57" s="208">
        <v>119.66666666666667</v>
      </c>
      <c r="E57" s="186">
        <v>43959</v>
      </c>
      <c r="F57" s="186"/>
      <c r="G57" s="126"/>
      <c r="H57" s="83"/>
      <c r="I57" s="83"/>
      <c r="J57" s="83"/>
      <c r="K57" s="83"/>
      <c r="L57" s="83"/>
      <c r="M57" s="83"/>
      <c r="N57" s="83"/>
      <c r="O57" s="83"/>
      <c r="P57" s="83"/>
    </row>
    <row r="58" spans="1:16" x14ac:dyDescent="0.2">
      <c r="A58" t="s">
        <v>110</v>
      </c>
      <c r="B58" s="186"/>
      <c r="D58" s="208"/>
      <c r="E58" s="186"/>
      <c r="F58" s="186">
        <v>44004</v>
      </c>
      <c r="G58" s="126">
        <v>174</v>
      </c>
      <c r="H58" s="83"/>
      <c r="I58" s="83"/>
      <c r="J58" s="83"/>
      <c r="K58" s="83"/>
      <c r="L58" s="83"/>
      <c r="M58" s="83"/>
      <c r="N58" s="83"/>
      <c r="O58" s="83"/>
      <c r="P58" s="83"/>
    </row>
    <row r="59" spans="1:16" x14ac:dyDescent="0.2">
      <c r="A59" t="s">
        <v>144</v>
      </c>
      <c r="B59" s="186"/>
      <c r="D59" s="208"/>
      <c r="E59" s="186"/>
      <c r="F59" s="186"/>
      <c r="G59" s="126"/>
      <c r="H59" s="83">
        <v>2.6666666666666665</v>
      </c>
      <c r="I59" s="83">
        <v>1.5</v>
      </c>
      <c r="J59" s="83">
        <v>1.8333333333333333</v>
      </c>
      <c r="K59" s="83">
        <v>2.5</v>
      </c>
      <c r="L59" s="83">
        <v>2.8333333333333335</v>
      </c>
      <c r="M59" s="83">
        <v>2.6666666666666665</v>
      </c>
      <c r="N59" s="83">
        <v>4.5</v>
      </c>
      <c r="O59" s="83">
        <v>4.833333333333333</v>
      </c>
      <c r="P59" s="83">
        <v>4.333333333333333</v>
      </c>
    </row>
    <row r="60" spans="1:16" x14ac:dyDescent="0.2">
      <c r="A60" t="s">
        <v>111</v>
      </c>
      <c r="B60" s="186"/>
      <c r="D60" s="208"/>
      <c r="E60" s="186"/>
      <c r="F60" s="186">
        <v>44007</v>
      </c>
      <c r="G60" s="126">
        <v>176.625</v>
      </c>
      <c r="H60" s="83"/>
      <c r="I60" s="83"/>
      <c r="J60" s="83"/>
      <c r="K60" s="83"/>
      <c r="L60" s="83"/>
      <c r="M60" s="83"/>
      <c r="N60" s="83"/>
      <c r="O60" s="83"/>
      <c r="P60" s="83"/>
    </row>
    <row r="61" spans="1:16" x14ac:dyDescent="0.2">
      <c r="A61" t="s">
        <v>242</v>
      </c>
      <c r="B61" s="186">
        <v>43950</v>
      </c>
      <c r="C61">
        <v>2020</v>
      </c>
      <c r="D61" s="208">
        <v>120</v>
      </c>
      <c r="E61" s="186">
        <v>43959</v>
      </c>
      <c r="F61" s="186"/>
      <c r="G61" s="126"/>
      <c r="H61" s="83"/>
      <c r="I61" s="83"/>
      <c r="J61" s="83"/>
      <c r="K61" s="83"/>
      <c r="L61" s="83"/>
      <c r="M61" s="83"/>
      <c r="N61" s="83"/>
      <c r="O61" s="83"/>
      <c r="P61" s="83"/>
    </row>
    <row r="62" spans="1:16" x14ac:dyDescent="0.2">
      <c r="A62" t="s">
        <v>112</v>
      </c>
      <c r="B62" s="186"/>
      <c r="D62" s="208"/>
      <c r="E62" s="186"/>
      <c r="F62" s="186">
        <v>44003</v>
      </c>
      <c r="G62" s="126">
        <v>173</v>
      </c>
      <c r="H62" s="83"/>
      <c r="I62" s="83"/>
      <c r="J62" s="83"/>
      <c r="K62" s="83"/>
      <c r="L62" s="83"/>
      <c r="M62" s="83"/>
      <c r="N62" s="83"/>
      <c r="O62" s="83"/>
      <c r="P62" s="83"/>
    </row>
    <row r="63" spans="1:16" x14ac:dyDescent="0.2">
      <c r="A63" t="s">
        <v>145</v>
      </c>
      <c r="B63" s="186"/>
      <c r="D63" s="208"/>
      <c r="E63" s="186"/>
      <c r="F63" s="186"/>
      <c r="G63" s="126"/>
      <c r="H63" s="83">
        <v>2.3333333333333335</v>
      </c>
      <c r="I63" s="83">
        <v>1.5</v>
      </c>
      <c r="J63" s="83">
        <v>1.1666666666666667</v>
      </c>
      <c r="K63" s="83">
        <v>1.8333333333333333</v>
      </c>
      <c r="L63" s="83">
        <v>2</v>
      </c>
      <c r="M63" s="83">
        <v>1.6666666666666667</v>
      </c>
      <c r="N63" s="83">
        <v>3.6666666666666665</v>
      </c>
      <c r="O63" s="83">
        <v>3.3333333333333335</v>
      </c>
      <c r="P63" s="83">
        <v>2.8333333333333335</v>
      </c>
    </row>
    <row r="64" spans="1:16" x14ac:dyDescent="0.2">
      <c r="A64" t="s">
        <v>113</v>
      </c>
      <c r="B64" s="186"/>
      <c r="D64" s="208"/>
      <c r="E64" s="186"/>
      <c r="F64" s="186">
        <v>44002</v>
      </c>
      <c r="G64" s="126">
        <v>172</v>
      </c>
      <c r="H64" s="83"/>
      <c r="I64" s="83"/>
      <c r="J64" s="83"/>
      <c r="K64" s="83"/>
      <c r="L64" s="83"/>
      <c r="M64" s="83"/>
      <c r="N64" s="83"/>
      <c r="O64" s="83"/>
      <c r="P64" s="83"/>
    </row>
    <row r="65" spans="1:16" x14ac:dyDescent="0.2">
      <c r="A65" t="s">
        <v>241</v>
      </c>
      <c r="B65" s="186">
        <v>43950</v>
      </c>
      <c r="C65">
        <v>2020</v>
      </c>
      <c r="D65" s="208">
        <v>120.08333333333333</v>
      </c>
      <c r="E65" s="186">
        <v>43959</v>
      </c>
      <c r="F65" s="186"/>
      <c r="G65" s="126"/>
      <c r="H65" s="83"/>
      <c r="I65" s="83"/>
      <c r="J65" s="83"/>
      <c r="K65" s="83"/>
      <c r="L65" s="83"/>
      <c r="M65" s="83"/>
      <c r="N65" s="83"/>
      <c r="O65" s="83"/>
      <c r="P65" s="83"/>
    </row>
    <row r="66" spans="1:16" x14ac:dyDescent="0.2">
      <c r="A66" t="s">
        <v>114</v>
      </c>
      <c r="B66" s="186"/>
      <c r="D66" s="208"/>
      <c r="E66" s="186"/>
      <c r="F66" s="186">
        <v>44003</v>
      </c>
      <c r="G66" s="126">
        <v>173</v>
      </c>
      <c r="H66" s="83"/>
      <c r="I66" s="83"/>
      <c r="J66" s="83"/>
      <c r="K66" s="83"/>
      <c r="L66" s="83"/>
      <c r="M66" s="83"/>
      <c r="N66" s="83"/>
      <c r="O66" s="83"/>
      <c r="P66" s="83"/>
    </row>
    <row r="67" spans="1:16" x14ac:dyDescent="0.2">
      <c r="A67" t="s">
        <v>146</v>
      </c>
      <c r="B67" s="186"/>
      <c r="D67" s="208"/>
      <c r="E67" s="186"/>
      <c r="F67" s="186"/>
      <c r="G67" s="126"/>
      <c r="H67" s="83">
        <v>4</v>
      </c>
      <c r="I67" s="83">
        <v>2</v>
      </c>
      <c r="J67" s="83">
        <v>2</v>
      </c>
      <c r="K67" s="83">
        <v>2.3333333333333335</v>
      </c>
      <c r="L67" s="83">
        <v>2.5</v>
      </c>
      <c r="M67" s="83">
        <v>2.6666666666666665</v>
      </c>
      <c r="N67" s="83">
        <v>5.333333333333333</v>
      </c>
      <c r="O67" s="83">
        <v>5.166666666666667</v>
      </c>
      <c r="P67" s="83">
        <v>5</v>
      </c>
    </row>
    <row r="68" spans="1:16" x14ac:dyDescent="0.2">
      <c r="A68" t="s">
        <v>115</v>
      </c>
      <c r="B68" s="186"/>
      <c r="D68" s="208"/>
      <c r="E68" s="186"/>
      <c r="F68" s="186">
        <v>44006</v>
      </c>
      <c r="G68" s="126">
        <v>176.33333333333334</v>
      </c>
      <c r="H68" s="83"/>
      <c r="I68" s="83"/>
      <c r="J68" s="83"/>
      <c r="K68" s="83"/>
      <c r="L68" s="83"/>
      <c r="M68" s="83"/>
      <c r="N68" s="83"/>
      <c r="O68" s="83"/>
      <c r="P68" s="83"/>
    </row>
    <row r="69" spans="1:16" x14ac:dyDescent="0.2">
      <c r="A69" t="s">
        <v>245</v>
      </c>
      <c r="B69" s="186">
        <v>43951</v>
      </c>
      <c r="C69">
        <v>2020</v>
      </c>
      <c r="D69" s="208">
        <v>120.5</v>
      </c>
      <c r="E69" s="186">
        <v>43959</v>
      </c>
      <c r="F69" s="186"/>
      <c r="G69" s="126"/>
      <c r="H69" s="83"/>
      <c r="I69" s="83"/>
      <c r="J69" s="83"/>
      <c r="K69" s="83"/>
      <c r="L69" s="83"/>
      <c r="M69" s="83"/>
      <c r="N69" s="83"/>
      <c r="O69" s="83"/>
      <c r="P69" s="83"/>
    </row>
    <row r="70" spans="1:16" x14ac:dyDescent="0.2">
      <c r="A70" t="s">
        <v>116</v>
      </c>
      <c r="B70" s="186"/>
      <c r="D70" s="208"/>
      <c r="E70" s="186"/>
      <c r="F70" s="186">
        <v>44007</v>
      </c>
      <c r="G70" s="126">
        <v>177</v>
      </c>
      <c r="H70" s="83"/>
      <c r="I70" s="83"/>
      <c r="J70" s="83"/>
      <c r="K70" s="83"/>
      <c r="L70" s="83"/>
      <c r="M70" s="83"/>
      <c r="N70" s="83"/>
      <c r="O70" s="83"/>
      <c r="P70" s="83"/>
    </row>
    <row r="71" spans="1:16" x14ac:dyDescent="0.2">
      <c r="A71" t="s">
        <v>147</v>
      </c>
      <c r="B71" s="186"/>
      <c r="D71" s="208"/>
      <c r="E71" s="186"/>
      <c r="F71" s="186"/>
      <c r="G71" s="126"/>
      <c r="H71" s="83">
        <v>4</v>
      </c>
      <c r="I71" s="83">
        <v>2.1666666666666665</v>
      </c>
      <c r="J71" s="83">
        <v>2</v>
      </c>
      <c r="K71" s="83">
        <v>2.5</v>
      </c>
      <c r="L71" s="83">
        <v>3</v>
      </c>
      <c r="M71" s="83">
        <v>2.8333333333333335</v>
      </c>
      <c r="N71" s="83">
        <v>5</v>
      </c>
      <c r="O71" s="83">
        <v>4.5</v>
      </c>
      <c r="P71" s="83">
        <v>4.5</v>
      </c>
    </row>
    <row r="72" spans="1:16" x14ac:dyDescent="0.2">
      <c r="A72" t="s">
        <v>117</v>
      </c>
      <c r="B72" s="186"/>
      <c r="D72" s="208"/>
      <c r="E72" s="186"/>
      <c r="F72" s="186">
        <v>44006</v>
      </c>
      <c r="G72" s="126">
        <v>176.33333333333334</v>
      </c>
      <c r="H72" s="83"/>
      <c r="I72" s="83"/>
      <c r="J72" s="83"/>
      <c r="K72" s="83"/>
      <c r="L72" s="83"/>
      <c r="M72" s="83"/>
      <c r="N72" s="83"/>
      <c r="O72" s="83"/>
      <c r="P72" s="83"/>
    </row>
    <row r="73" spans="1:16" x14ac:dyDescent="0.2">
      <c r="A73" t="s">
        <v>246</v>
      </c>
      <c r="B73" s="186">
        <v>43949</v>
      </c>
      <c r="C73">
        <v>2020</v>
      </c>
      <c r="D73" s="208">
        <v>119</v>
      </c>
      <c r="E73" s="186">
        <v>43959</v>
      </c>
      <c r="F73" s="186"/>
      <c r="G73" s="126"/>
      <c r="H73" s="83"/>
      <c r="I73" s="83"/>
      <c r="J73" s="83"/>
      <c r="K73" s="83"/>
      <c r="L73" s="83"/>
      <c r="M73" s="83"/>
      <c r="N73" s="83"/>
      <c r="O73" s="83"/>
      <c r="P73" s="83"/>
    </row>
    <row r="74" spans="1:16" x14ac:dyDescent="0.2">
      <c r="A74" t="s">
        <v>118</v>
      </c>
      <c r="B74" s="186"/>
      <c r="D74" s="208"/>
      <c r="E74" s="186"/>
      <c r="F74" s="186">
        <v>44007</v>
      </c>
      <c r="G74" s="126">
        <v>176.625</v>
      </c>
      <c r="H74" s="83"/>
      <c r="I74" s="83"/>
      <c r="J74" s="83"/>
      <c r="K74" s="83"/>
      <c r="L74" s="83"/>
      <c r="M74" s="83"/>
      <c r="N74" s="83"/>
      <c r="O74" s="83"/>
      <c r="P74" s="83"/>
    </row>
    <row r="75" spans="1:16" x14ac:dyDescent="0.2">
      <c r="A75" t="s">
        <v>148</v>
      </c>
      <c r="B75" s="186"/>
      <c r="D75" s="208"/>
      <c r="E75" s="186"/>
      <c r="F75" s="186"/>
      <c r="G75" s="126"/>
      <c r="H75" s="83">
        <v>3.3333333333333335</v>
      </c>
      <c r="I75" s="83">
        <v>1.6666666666666667</v>
      </c>
      <c r="J75" s="83">
        <v>1.3333333333333333</v>
      </c>
      <c r="K75" s="83">
        <v>2.3333333333333335</v>
      </c>
      <c r="L75" s="83">
        <v>2.5</v>
      </c>
      <c r="M75" s="83">
        <v>2.1666666666666665</v>
      </c>
      <c r="N75" s="83">
        <v>4.666666666666667</v>
      </c>
      <c r="O75" s="83">
        <v>3.8333333333333335</v>
      </c>
      <c r="P75" s="83">
        <v>3.3333333333333335</v>
      </c>
    </row>
    <row r="76" spans="1:16" x14ac:dyDescent="0.2">
      <c r="A76" t="s">
        <v>119</v>
      </c>
      <c r="B76" s="186"/>
      <c r="D76" s="208"/>
      <c r="E76" s="186"/>
      <c r="F76" s="186">
        <v>44004</v>
      </c>
      <c r="G76" s="126">
        <v>174</v>
      </c>
      <c r="H76" s="83"/>
      <c r="I76" s="83"/>
      <c r="J76" s="83"/>
      <c r="K76" s="83"/>
      <c r="L76" s="83"/>
      <c r="M76" s="83"/>
      <c r="N76" s="83"/>
      <c r="O76" s="83"/>
      <c r="P76" s="83"/>
    </row>
    <row r="77" spans="1:16" x14ac:dyDescent="0.2">
      <c r="A77" t="s">
        <v>247</v>
      </c>
      <c r="B77" s="186">
        <v>43950</v>
      </c>
      <c r="C77">
        <v>2020</v>
      </c>
      <c r="D77" s="208">
        <v>119.91666666666667</v>
      </c>
      <c r="E77" s="186">
        <v>43959</v>
      </c>
      <c r="F77" s="186"/>
      <c r="G77" s="126"/>
      <c r="H77" s="83"/>
      <c r="I77" s="83"/>
      <c r="J77" s="83"/>
      <c r="K77" s="83"/>
      <c r="L77" s="83"/>
      <c r="M77" s="83"/>
      <c r="N77" s="83"/>
      <c r="O77" s="83"/>
      <c r="P77" s="83"/>
    </row>
    <row r="78" spans="1:16" x14ac:dyDescent="0.2">
      <c r="A78" t="s">
        <v>120</v>
      </c>
      <c r="B78" s="186"/>
      <c r="D78" s="208"/>
      <c r="E78" s="186"/>
      <c r="F78" s="186">
        <v>44003</v>
      </c>
      <c r="G78" s="126">
        <v>173</v>
      </c>
      <c r="H78" s="83"/>
      <c r="I78" s="83"/>
      <c r="J78" s="83"/>
      <c r="K78" s="83"/>
      <c r="L78" s="83"/>
      <c r="M78" s="83"/>
      <c r="N78" s="83"/>
      <c r="O78" s="83"/>
      <c r="P78" s="83"/>
    </row>
    <row r="79" spans="1:16" x14ac:dyDescent="0.2">
      <c r="A79" t="s">
        <v>149</v>
      </c>
      <c r="B79" s="186"/>
      <c r="D79" s="208"/>
      <c r="E79" s="186"/>
      <c r="F79" s="186"/>
      <c r="G79" s="126"/>
      <c r="H79" s="83">
        <v>2.8333333333333335</v>
      </c>
      <c r="I79" s="83">
        <v>1.1666666666666667</v>
      </c>
      <c r="J79" s="83">
        <v>0.83333333333333337</v>
      </c>
      <c r="K79" s="83">
        <v>2</v>
      </c>
      <c r="L79" s="83">
        <v>2.3333333333333335</v>
      </c>
      <c r="M79" s="83">
        <v>1.8333333333333333</v>
      </c>
      <c r="N79" s="83">
        <v>3.5</v>
      </c>
      <c r="O79" s="83">
        <v>2.8333333333333335</v>
      </c>
      <c r="P79" s="83">
        <v>2.1666666666666665</v>
      </c>
    </row>
    <row r="80" spans="1:16" x14ac:dyDescent="0.2">
      <c r="A80" t="s">
        <v>121</v>
      </c>
      <c r="B80" s="186"/>
      <c r="D80" s="208"/>
      <c r="E80" s="186"/>
      <c r="F80" s="186">
        <v>44004</v>
      </c>
      <c r="G80" s="126">
        <v>174</v>
      </c>
      <c r="H80" s="83"/>
      <c r="I80" s="83"/>
      <c r="J80" s="83"/>
      <c r="K80" s="83"/>
      <c r="L80" s="83"/>
      <c r="M80" s="83"/>
      <c r="N80" s="83"/>
      <c r="O80" s="83"/>
      <c r="P80" s="83"/>
    </row>
    <row r="81" spans="1:16" x14ac:dyDescent="0.2">
      <c r="A81" t="s">
        <v>248</v>
      </c>
      <c r="B81" s="186">
        <v>43949</v>
      </c>
      <c r="C81">
        <v>2020</v>
      </c>
      <c r="D81" s="208">
        <v>119.16666666666667</v>
      </c>
      <c r="E81" s="186">
        <v>43959</v>
      </c>
      <c r="F81" s="186"/>
      <c r="G81" s="126"/>
      <c r="H81" s="83"/>
      <c r="I81" s="83"/>
      <c r="J81" s="83"/>
      <c r="K81" s="83"/>
      <c r="L81" s="83"/>
      <c r="M81" s="83"/>
      <c r="N81" s="83"/>
      <c r="O81" s="83"/>
      <c r="P81" s="83"/>
    </row>
    <row r="82" spans="1:16" x14ac:dyDescent="0.2">
      <c r="A82" t="s">
        <v>122</v>
      </c>
      <c r="B82" s="186"/>
      <c r="D82" s="208"/>
      <c r="E82" s="186"/>
      <c r="F82" s="186">
        <v>44008</v>
      </c>
      <c r="G82" s="126">
        <v>177.5</v>
      </c>
      <c r="H82" s="83"/>
      <c r="I82" s="83"/>
      <c r="J82" s="83"/>
      <c r="K82" s="83"/>
      <c r="L82" s="83"/>
      <c r="M82" s="83"/>
      <c r="N82" s="83"/>
      <c r="O82" s="83"/>
      <c r="P82" s="83"/>
    </row>
    <row r="83" spans="1:16" x14ac:dyDescent="0.2">
      <c r="A83" t="s">
        <v>150</v>
      </c>
      <c r="B83" s="186"/>
      <c r="D83" s="208"/>
      <c r="E83" s="186"/>
      <c r="F83" s="186"/>
      <c r="G83" s="126"/>
      <c r="H83" s="83">
        <v>3.5</v>
      </c>
      <c r="I83" s="83">
        <v>1.3333333333333333</v>
      </c>
      <c r="J83" s="83">
        <v>1.5</v>
      </c>
      <c r="K83" s="83">
        <v>2.5</v>
      </c>
      <c r="L83" s="83">
        <v>2</v>
      </c>
      <c r="M83" s="83">
        <v>1.6666666666666667</v>
      </c>
      <c r="N83" s="83">
        <v>4</v>
      </c>
      <c r="O83" s="83">
        <v>3.8333333333333335</v>
      </c>
      <c r="P83" s="83">
        <v>3.1666666666666665</v>
      </c>
    </row>
    <row r="84" spans="1:16" x14ac:dyDescent="0.2">
      <c r="A84" t="s">
        <v>123</v>
      </c>
      <c r="B84" s="186"/>
      <c r="D84" s="208"/>
      <c r="E84" s="186"/>
      <c r="F84" s="186">
        <v>44008</v>
      </c>
      <c r="G84" s="126">
        <v>178.375</v>
      </c>
      <c r="H84" s="83"/>
      <c r="I84" s="83"/>
      <c r="J84" s="83"/>
      <c r="K84" s="83"/>
      <c r="L84" s="83"/>
      <c r="M84" s="83"/>
      <c r="N84" s="83"/>
      <c r="O84" s="83"/>
      <c r="P84" s="83"/>
    </row>
    <row r="85" spans="1:16" x14ac:dyDescent="0.2">
      <c r="A85" t="s">
        <v>252</v>
      </c>
      <c r="B85" s="186">
        <v>43950</v>
      </c>
      <c r="C85">
        <v>2020</v>
      </c>
      <c r="D85" s="208">
        <v>119.5</v>
      </c>
      <c r="E85" s="186">
        <v>43961</v>
      </c>
      <c r="F85" s="186"/>
      <c r="G85" s="126"/>
      <c r="H85" s="83"/>
      <c r="I85" s="83"/>
      <c r="J85" s="83"/>
      <c r="K85" s="83"/>
      <c r="L85" s="83"/>
      <c r="M85" s="83"/>
      <c r="N85" s="83"/>
      <c r="O85" s="83"/>
      <c r="P85" s="83"/>
    </row>
    <row r="86" spans="1:16" x14ac:dyDescent="0.2">
      <c r="A86" t="s">
        <v>124</v>
      </c>
      <c r="B86" s="186"/>
      <c r="D86" s="208"/>
      <c r="E86" s="186"/>
      <c r="F86" s="186">
        <v>44004</v>
      </c>
      <c r="G86" s="126">
        <v>174</v>
      </c>
      <c r="H86" s="83"/>
      <c r="I86" s="83"/>
      <c r="J86" s="83"/>
      <c r="K86" s="83"/>
      <c r="L86" s="83"/>
      <c r="M86" s="83"/>
      <c r="N86" s="83"/>
      <c r="O86" s="83"/>
      <c r="P86" s="83"/>
    </row>
    <row r="87" spans="1:16" x14ac:dyDescent="0.2">
      <c r="A87" t="s">
        <v>151</v>
      </c>
      <c r="B87" s="186"/>
      <c r="D87" s="208"/>
      <c r="E87" s="186"/>
      <c r="F87" s="186"/>
      <c r="G87" s="126"/>
      <c r="H87" s="83">
        <v>3.3333333333333335</v>
      </c>
      <c r="I87" s="83">
        <v>1.3333333333333333</v>
      </c>
      <c r="J87" s="83">
        <v>1.5</v>
      </c>
      <c r="K87" s="83">
        <v>2.3333333333333335</v>
      </c>
      <c r="L87" s="83">
        <v>1.6666666666666667</v>
      </c>
      <c r="M87" s="83">
        <v>1.1666666666666667</v>
      </c>
      <c r="N87" s="83">
        <v>3.8333333333333335</v>
      </c>
      <c r="O87" s="83">
        <v>3.1666666666666665</v>
      </c>
      <c r="P87" s="83">
        <v>2.8333333333333335</v>
      </c>
    </row>
    <row r="88" spans="1:16" x14ac:dyDescent="0.2">
      <c r="A88" t="s">
        <v>125</v>
      </c>
      <c r="B88" s="186"/>
      <c r="D88" s="208"/>
      <c r="E88" s="186"/>
      <c r="F88" s="186">
        <v>44006</v>
      </c>
      <c r="G88" s="126">
        <v>176</v>
      </c>
      <c r="H88" s="83"/>
      <c r="I88" s="83"/>
      <c r="J88" s="83"/>
      <c r="K88" s="83"/>
      <c r="L88" s="83"/>
      <c r="M88" s="83"/>
      <c r="N88" s="83"/>
      <c r="O88" s="83"/>
      <c r="P88" s="83"/>
    </row>
    <row r="89" spans="1:16" x14ac:dyDescent="0.2">
      <c r="A89" t="s">
        <v>251</v>
      </c>
      <c r="B89" s="186">
        <v>43951</v>
      </c>
      <c r="C89">
        <v>2020</v>
      </c>
      <c r="D89" s="208">
        <v>120.5</v>
      </c>
      <c r="E89" s="186">
        <v>43961</v>
      </c>
      <c r="F89" s="186"/>
      <c r="G89" s="126"/>
      <c r="H89" s="83"/>
      <c r="I89" s="83"/>
      <c r="J89" s="83"/>
      <c r="K89" s="83"/>
      <c r="L89" s="83"/>
      <c r="M89" s="83"/>
      <c r="N89" s="83"/>
      <c r="O89" s="83"/>
      <c r="P89" s="83"/>
    </row>
    <row r="90" spans="1:16" x14ac:dyDescent="0.2">
      <c r="A90" t="s">
        <v>126</v>
      </c>
      <c r="B90" s="186"/>
      <c r="D90" s="208"/>
      <c r="E90" s="186"/>
      <c r="F90" s="186">
        <v>44008</v>
      </c>
      <c r="G90" s="126">
        <v>177.5</v>
      </c>
      <c r="H90" s="83"/>
      <c r="I90" s="83"/>
      <c r="J90" s="83"/>
      <c r="K90" s="83"/>
      <c r="L90" s="83"/>
      <c r="M90" s="83"/>
      <c r="N90" s="83"/>
      <c r="O90" s="83"/>
      <c r="P90" s="83"/>
    </row>
    <row r="91" spans="1:16" x14ac:dyDescent="0.2">
      <c r="A91" t="s">
        <v>152</v>
      </c>
      <c r="B91" s="186"/>
      <c r="D91" s="208"/>
      <c r="E91" s="186"/>
      <c r="F91" s="186"/>
      <c r="G91" s="126"/>
      <c r="H91" s="83">
        <v>3.6666666666666665</v>
      </c>
      <c r="I91" s="83">
        <v>1.6666666666666667</v>
      </c>
      <c r="J91" s="83">
        <v>1.6666666666666667</v>
      </c>
      <c r="K91" s="83">
        <v>2.3333333333333335</v>
      </c>
      <c r="L91" s="83">
        <v>3</v>
      </c>
      <c r="M91" s="83">
        <v>3.1666666666666665</v>
      </c>
      <c r="N91" s="83">
        <v>4.5</v>
      </c>
      <c r="O91" s="83">
        <v>4.166666666666667</v>
      </c>
      <c r="P91" s="83">
        <v>4</v>
      </c>
    </row>
    <row r="92" spans="1:16" x14ac:dyDescent="0.2">
      <c r="A92" t="s">
        <v>127</v>
      </c>
      <c r="B92" s="186"/>
      <c r="D92" s="208"/>
      <c r="E92" s="186"/>
      <c r="F92" s="186">
        <v>44005</v>
      </c>
      <c r="G92" s="126">
        <v>175.16666666666666</v>
      </c>
      <c r="H92" s="83"/>
      <c r="I92" s="83"/>
      <c r="J92" s="83"/>
      <c r="K92" s="83"/>
      <c r="L92" s="83"/>
      <c r="M92" s="83"/>
      <c r="N92" s="83"/>
      <c r="O92" s="83"/>
      <c r="P92" s="83"/>
    </row>
    <row r="93" spans="1:16" x14ac:dyDescent="0.2">
      <c r="A93" t="s">
        <v>250</v>
      </c>
      <c r="B93" s="186">
        <v>43950</v>
      </c>
      <c r="C93">
        <v>2020</v>
      </c>
      <c r="D93" s="208">
        <v>120.25</v>
      </c>
      <c r="E93" s="186">
        <v>43960</v>
      </c>
      <c r="F93" s="186"/>
      <c r="G93" s="126"/>
      <c r="H93" s="83"/>
      <c r="I93" s="83"/>
      <c r="J93" s="83"/>
      <c r="K93" s="83"/>
      <c r="L93" s="83"/>
      <c r="M93" s="83"/>
      <c r="N93" s="83"/>
      <c r="O93" s="83"/>
      <c r="P93" s="83"/>
    </row>
    <row r="94" spans="1:16" x14ac:dyDescent="0.2">
      <c r="A94" t="s">
        <v>128</v>
      </c>
      <c r="B94" s="186"/>
      <c r="D94" s="208"/>
      <c r="E94" s="186"/>
      <c r="F94" s="186">
        <v>44003</v>
      </c>
      <c r="G94" s="126">
        <v>173</v>
      </c>
      <c r="H94" s="83"/>
      <c r="I94" s="83"/>
      <c r="J94" s="83"/>
      <c r="K94" s="83"/>
      <c r="L94" s="83"/>
      <c r="M94" s="83"/>
      <c r="N94" s="83"/>
      <c r="O94" s="83"/>
      <c r="P94" s="83"/>
    </row>
    <row r="95" spans="1:16" x14ac:dyDescent="0.2">
      <c r="A95" t="s">
        <v>153</v>
      </c>
      <c r="B95" s="186"/>
      <c r="D95" s="208"/>
      <c r="E95" s="186"/>
      <c r="F95" s="186"/>
      <c r="G95" s="126"/>
      <c r="H95" s="83">
        <v>3</v>
      </c>
      <c r="I95" s="83">
        <v>1.8333333333333333</v>
      </c>
      <c r="J95" s="83">
        <v>1.8333333333333333</v>
      </c>
      <c r="K95" s="83">
        <v>2.3333333333333335</v>
      </c>
      <c r="L95" s="83">
        <v>3</v>
      </c>
      <c r="M95" s="83">
        <v>2.5</v>
      </c>
      <c r="N95" s="83">
        <v>3.6666666666666665</v>
      </c>
      <c r="O95" s="83">
        <v>3.3333333333333335</v>
      </c>
      <c r="P95" s="83">
        <v>3</v>
      </c>
    </row>
    <row r="96" spans="1:16" x14ac:dyDescent="0.2">
      <c r="A96" t="s">
        <v>129</v>
      </c>
      <c r="B96" s="186"/>
      <c r="D96" s="208"/>
      <c r="E96" s="186"/>
      <c r="F96" s="186">
        <v>44008</v>
      </c>
      <c r="G96" s="126">
        <v>177.5</v>
      </c>
    </row>
    <row r="97" spans="1:5" x14ac:dyDescent="0.2">
      <c r="A97" t="s">
        <v>249</v>
      </c>
      <c r="B97" s="186">
        <v>43950</v>
      </c>
      <c r="C97">
        <v>2020</v>
      </c>
      <c r="D97" s="208">
        <v>120.25</v>
      </c>
      <c r="E97" s="186">
        <v>43961</v>
      </c>
    </row>
    <row r="98" spans="1:5" x14ac:dyDescent="0.2">
      <c r="D98" s="208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D74C5-88CE-4452-BD09-666E3AE03008}">
  <dimension ref="A1:D48"/>
  <sheetViews>
    <sheetView workbookViewId="0">
      <selection activeCell="D67" sqref="D67"/>
    </sheetView>
  </sheetViews>
  <sheetFormatPr defaultRowHeight="15" x14ac:dyDescent="0.25"/>
  <cols>
    <col min="1" max="16384" width="9.140625" style="62"/>
  </cols>
  <sheetData>
    <row r="1" spans="1:4" x14ac:dyDescent="0.25">
      <c r="A1" s="62">
        <v>1</v>
      </c>
      <c r="B1" s="62">
        <v>1</v>
      </c>
      <c r="C1" s="62" t="s">
        <v>63</v>
      </c>
      <c r="D1" s="62" t="str">
        <f t="shared" ref="D1:D48" si="0">_xlfn.CONCAT("p",TEXT(A1,"00"),"-",TEXT(B1,"0"),C1)</f>
        <v>p01-1N</v>
      </c>
    </row>
    <row r="2" spans="1:4" x14ac:dyDescent="0.25">
      <c r="A2" s="62">
        <v>1</v>
      </c>
      <c r="B2" s="62">
        <v>1</v>
      </c>
      <c r="C2" s="62" t="s">
        <v>64</v>
      </c>
      <c r="D2" s="62" t="str">
        <f t="shared" si="0"/>
        <v>p01-1S</v>
      </c>
    </row>
    <row r="3" spans="1:4" x14ac:dyDescent="0.25">
      <c r="A3" s="62">
        <v>1</v>
      </c>
      <c r="B3" s="62">
        <v>2</v>
      </c>
      <c r="C3" s="62" t="s">
        <v>63</v>
      </c>
      <c r="D3" s="62" t="str">
        <f t="shared" si="0"/>
        <v>p01-2N</v>
      </c>
    </row>
    <row r="4" spans="1:4" x14ac:dyDescent="0.25">
      <c r="A4" s="62">
        <v>1</v>
      </c>
      <c r="B4" s="62">
        <v>2</v>
      </c>
      <c r="C4" s="62" t="s">
        <v>64</v>
      </c>
      <c r="D4" s="62" t="str">
        <f t="shared" si="0"/>
        <v>p01-2S</v>
      </c>
    </row>
    <row r="5" spans="1:4" x14ac:dyDescent="0.25">
      <c r="A5" s="62">
        <v>1</v>
      </c>
      <c r="B5" s="62">
        <v>3</v>
      </c>
      <c r="C5" s="62" t="s">
        <v>63</v>
      </c>
      <c r="D5" s="62" t="str">
        <f t="shared" si="0"/>
        <v>p01-3N</v>
      </c>
    </row>
    <row r="6" spans="1:4" x14ac:dyDescent="0.25">
      <c r="A6" s="62">
        <v>1</v>
      </c>
      <c r="B6" s="62">
        <v>3</v>
      </c>
      <c r="C6" s="62" t="s">
        <v>64</v>
      </c>
      <c r="D6" s="62" t="str">
        <f t="shared" si="0"/>
        <v>p01-3S</v>
      </c>
    </row>
    <row r="7" spans="1:4" x14ac:dyDescent="0.25">
      <c r="A7" s="62">
        <v>1</v>
      </c>
      <c r="B7" s="62">
        <v>4</v>
      </c>
      <c r="C7" s="62" t="s">
        <v>63</v>
      </c>
      <c r="D7" s="62" t="str">
        <f t="shared" si="0"/>
        <v>p01-4N</v>
      </c>
    </row>
    <row r="8" spans="1:4" x14ac:dyDescent="0.25">
      <c r="A8" s="62">
        <v>1</v>
      </c>
      <c r="B8" s="62">
        <v>4</v>
      </c>
      <c r="C8" s="62" t="s">
        <v>64</v>
      </c>
      <c r="D8" s="62" t="str">
        <f t="shared" si="0"/>
        <v>p01-4S</v>
      </c>
    </row>
    <row r="9" spans="1:4" x14ac:dyDescent="0.25">
      <c r="A9" s="62">
        <v>2</v>
      </c>
      <c r="B9" s="62">
        <v>4</v>
      </c>
      <c r="C9" s="62" t="s">
        <v>64</v>
      </c>
      <c r="D9" s="62" t="str">
        <f t="shared" si="0"/>
        <v>p02-4S</v>
      </c>
    </row>
    <row r="10" spans="1:4" x14ac:dyDescent="0.25">
      <c r="A10" s="62">
        <v>2</v>
      </c>
      <c r="B10" s="62">
        <v>4</v>
      </c>
      <c r="C10" s="62" t="s">
        <v>63</v>
      </c>
      <c r="D10" s="62" t="str">
        <f t="shared" si="0"/>
        <v>p02-4N</v>
      </c>
    </row>
    <row r="11" spans="1:4" x14ac:dyDescent="0.25">
      <c r="A11" s="62">
        <v>2</v>
      </c>
      <c r="B11" s="62">
        <v>3</v>
      </c>
      <c r="C11" s="62" t="s">
        <v>64</v>
      </c>
      <c r="D11" s="62" t="str">
        <f t="shared" si="0"/>
        <v>p02-3S</v>
      </c>
    </row>
    <row r="12" spans="1:4" x14ac:dyDescent="0.25">
      <c r="A12" s="62">
        <v>2</v>
      </c>
      <c r="B12" s="62">
        <v>3</v>
      </c>
      <c r="C12" s="62" t="s">
        <v>63</v>
      </c>
      <c r="D12" s="62" t="str">
        <f t="shared" si="0"/>
        <v>p02-3N</v>
      </c>
    </row>
    <row r="13" spans="1:4" x14ac:dyDescent="0.25">
      <c r="A13" s="62">
        <v>2</v>
      </c>
      <c r="B13" s="62">
        <v>2</v>
      </c>
      <c r="C13" s="62" t="s">
        <v>64</v>
      </c>
      <c r="D13" s="62" t="str">
        <f t="shared" si="0"/>
        <v>p02-2S</v>
      </c>
    </row>
    <row r="14" spans="1:4" x14ac:dyDescent="0.25">
      <c r="A14" s="62">
        <v>2</v>
      </c>
      <c r="B14" s="62">
        <v>2</v>
      </c>
      <c r="C14" s="62" t="s">
        <v>63</v>
      </c>
      <c r="D14" s="62" t="str">
        <f t="shared" si="0"/>
        <v>p02-2N</v>
      </c>
    </row>
    <row r="15" spans="1:4" x14ac:dyDescent="0.25">
      <c r="A15" s="62">
        <v>2</v>
      </c>
      <c r="B15" s="62">
        <v>1</v>
      </c>
      <c r="C15" s="62" t="s">
        <v>64</v>
      </c>
      <c r="D15" s="62" t="str">
        <f t="shared" si="0"/>
        <v>p02-1S</v>
      </c>
    </row>
    <row r="16" spans="1:4" x14ac:dyDescent="0.25">
      <c r="A16" s="62">
        <v>2</v>
      </c>
      <c r="B16" s="62">
        <v>1</v>
      </c>
      <c r="C16" s="62" t="s">
        <v>63</v>
      </c>
      <c r="D16" s="62" t="str">
        <f t="shared" si="0"/>
        <v>p02-1N</v>
      </c>
    </row>
    <row r="17" spans="1:4" x14ac:dyDescent="0.25">
      <c r="A17" s="62">
        <v>3</v>
      </c>
      <c r="B17" s="62">
        <v>1</v>
      </c>
      <c r="C17" s="62" t="s">
        <v>63</v>
      </c>
      <c r="D17" s="62" t="str">
        <f t="shared" si="0"/>
        <v>p03-1N</v>
      </c>
    </row>
    <row r="18" spans="1:4" x14ac:dyDescent="0.25">
      <c r="A18" s="62">
        <v>3</v>
      </c>
      <c r="B18" s="62">
        <v>1</v>
      </c>
      <c r="C18" s="62" t="s">
        <v>64</v>
      </c>
      <c r="D18" s="62" t="str">
        <f t="shared" si="0"/>
        <v>p03-1S</v>
      </c>
    </row>
    <row r="19" spans="1:4" x14ac:dyDescent="0.25">
      <c r="A19" s="62">
        <v>3</v>
      </c>
      <c r="B19" s="62">
        <v>2</v>
      </c>
      <c r="C19" s="62" t="s">
        <v>63</v>
      </c>
      <c r="D19" s="62" t="str">
        <f t="shared" si="0"/>
        <v>p03-2N</v>
      </c>
    </row>
    <row r="20" spans="1:4" x14ac:dyDescent="0.25">
      <c r="A20" s="62">
        <v>3</v>
      </c>
      <c r="B20" s="62">
        <v>2</v>
      </c>
      <c r="C20" s="62" t="s">
        <v>64</v>
      </c>
      <c r="D20" s="62" t="str">
        <f t="shared" si="0"/>
        <v>p03-2S</v>
      </c>
    </row>
    <row r="21" spans="1:4" x14ac:dyDescent="0.25">
      <c r="A21" s="62">
        <v>3</v>
      </c>
      <c r="B21" s="62">
        <v>3</v>
      </c>
      <c r="C21" s="62" t="s">
        <v>63</v>
      </c>
      <c r="D21" s="62" t="str">
        <f t="shared" si="0"/>
        <v>p03-3N</v>
      </c>
    </row>
    <row r="22" spans="1:4" x14ac:dyDescent="0.25">
      <c r="A22" s="62">
        <v>3</v>
      </c>
      <c r="B22" s="62">
        <v>3</v>
      </c>
      <c r="C22" s="62" t="s">
        <v>64</v>
      </c>
      <c r="D22" s="62" t="str">
        <f t="shared" si="0"/>
        <v>p03-3S</v>
      </c>
    </row>
    <row r="23" spans="1:4" x14ac:dyDescent="0.25">
      <c r="A23" s="62">
        <v>3</v>
      </c>
      <c r="B23" s="62">
        <v>4</v>
      </c>
      <c r="C23" s="62" t="s">
        <v>63</v>
      </c>
      <c r="D23" s="62" t="str">
        <f t="shared" si="0"/>
        <v>p03-4N</v>
      </c>
    </row>
    <row r="24" spans="1:4" x14ac:dyDescent="0.25">
      <c r="A24" s="62">
        <v>3</v>
      </c>
      <c r="B24" s="62">
        <v>4</v>
      </c>
      <c r="C24" s="62" t="s">
        <v>64</v>
      </c>
      <c r="D24" s="62" t="str">
        <f t="shared" si="0"/>
        <v>p03-4S</v>
      </c>
    </row>
    <row r="25" spans="1:4" x14ac:dyDescent="0.25">
      <c r="A25" s="62">
        <v>4</v>
      </c>
      <c r="B25" s="62">
        <v>4</v>
      </c>
      <c r="C25" s="62" t="s">
        <v>64</v>
      </c>
      <c r="D25" s="62" t="str">
        <f t="shared" si="0"/>
        <v>p04-4S</v>
      </c>
    </row>
    <row r="26" spans="1:4" x14ac:dyDescent="0.25">
      <c r="A26" s="62">
        <v>4</v>
      </c>
      <c r="B26" s="62">
        <v>4</v>
      </c>
      <c r="C26" s="62" t="s">
        <v>63</v>
      </c>
      <c r="D26" s="62" t="str">
        <f t="shared" si="0"/>
        <v>p04-4N</v>
      </c>
    </row>
    <row r="27" spans="1:4" x14ac:dyDescent="0.25">
      <c r="A27" s="62">
        <v>4</v>
      </c>
      <c r="B27" s="62">
        <v>3</v>
      </c>
      <c r="C27" s="62" t="s">
        <v>64</v>
      </c>
      <c r="D27" s="62" t="str">
        <f t="shared" si="0"/>
        <v>p04-3S</v>
      </c>
    </row>
    <row r="28" spans="1:4" x14ac:dyDescent="0.25">
      <c r="A28" s="62">
        <v>4</v>
      </c>
      <c r="B28" s="62">
        <v>3</v>
      </c>
      <c r="C28" s="62" t="s">
        <v>63</v>
      </c>
      <c r="D28" s="62" t="str">
        <f t="shared" si="0"/>
        <v>p04-3N</v>
      </c>
    </row>
    <row r="29" spans="1:4" x14ac:dyDescent="0.25">
      <c r="A29" s="62">
        <v>4</v>
      </c>
      <c r="B29" s="62">
        <v>2</v>
      </c>
      <c r="C29" s="62" t="s">
        <v>64</v>
      </c>
      <c r="D29" s="62" t="str">
        <f t="shared" si="0"/>
        <v>p04-2S</v>
      </c>
    </row>
    <row r="30" spans="1:4" x14ac:dyDescent="0.25">
      <c r="A30" s="62">
        <v>4</v>
      </c>
      <c r="B30" s="62">
        <v>2</v>
      </c>
      <c r="C30" s="62" t="s">
        <v>63</v>
      </c>
      <c r="D30" s="62" t="str">
        <f t="shared" si="0"/>
        <v>p04-2N</v>
      </c>
    </row>
    <row r="31" spans="1:4" x14ac:dyDescent="0.25">
      <c r="A31" s="62">
        <v>4</v>
      </c>
      <c r="B31" s="62">
        <v>1</v>
      </c>
      <c r="C31" s="62" t="s">
        <v>64</v>
      </c>
      <c r="D31" s="62" t="str">
        <f t="shared" si="0"/>
        <v>p04-1S</v>
      </c>
    </row>
    <row r="32" spans="1:4" x14ac:dyDescent="0.25">
      <c r="A32" s="62">
        <v>4</v>
      </c>
      <c r="B32" s="62">
        <v>1</v>
      </c>
      <c r="C32" s="62" t="s">
        <v>63</v>
      </c>
      <c r="D32" s="62" t="str">
        <f t="shared" si="0"/>
        <v>p04-1N</v>
      </c>
    </row>
    <row r="33" spans="1:4" x14ac:dyDescent="0.25">
      <c r="A33" s="62">
        <v>5</v>
      </c>
      <c r="B33" s="62">
        <v>1</v>
      </c>
      <c r="C33" s="62" t="s">
        <v>63</v>
      </c>
      <c r="D33" s="62" t="str">
        <f t="shared" si="0"/>
        <v>p05-1N</v>
      </c>
    </row>
    <row r="34" spans="1:4" x14ac:dyDescent="0.25">
      <c r="A34" s="62">
        <v>5</v>
      </c>
      <c r="B34" s="62">
        <v>1</v>
      </c>
      <c r="C34" s="62" t="s">
        <v>64</v>
      </c>
      <c r="D34" s="62" t="str">
        <f t="shared" si="0"/>
        <v>p05-1S</v>
      </c>
    </row>
    <row r="35" spans="1:4" x14ac:dyDescent="0.25">
      <c r="A35" s="62">
        <v>5</v>
      </c>
      <c r="B35" s="62">
        <v>2</v>
      </c>
      <c r="C35" s="62" t="s">
        <v>63</v>
      </c>
      <c r="D35" s="62" t="str">
        <f t="shared" si="0"/>
        <v>p05-2N</v>
      </c>
    </row>
    <row r="36" spans="1:4" x14ac:dyDescent="0.25">
      <c r="A36" s="62">
        <v>5</v>
      </c>
      <c r="B36" s="62">
        <v>2</v>
      </c>
      <c r="C36" s="62" t="s">
        <v>64</v>
      </c>
      <c r="D36" s="62" t="str">
        <f t="shared" si="0"/>
        <v>p05-2S</v>
      </c>
    </row>
    <row r="37" spans="1:4" x14ac:dyDescent="0.25">
      <c r="A37" s="62">
        <v>5</v>
      </c>
      <c r="B37" s="62">
        <v>3</v>
      </c>
      <c r="C37" s="62" t="s">
        <v>63</v>
      </c>
      <c r="D37" s="62" t="str">
        <f t="shared" si="0"/>
        <v>p05-3N</v>
      </c>
    </row>
    <row r="38" spans="1:4" x14ac:dyDescent="0.25">
      <c r="A38" s="62">
        <v>5</v>
      </c>
      <c r="B38" s="62">
        <v>3</v>
      </c>
      <c r="C38" s="62" t="s">
        <v>64</v>
      </c>
      <c r="D38" s="62" t="str">
        <f t="shared" si="0"/>
        <v>p05-3S</v>
      </c>
    </row>
    <row r="39" spans="1:4" x14ac:dyDescent="0.25">
      <c r="A39" s="62">
        <v>5</v>
      </c>
      <c r="B39" s="62">
        <v>4</v>
      </c>
      <c r="C39" s="62" t="s">
        <v>63</v>
      </c>
      <c r="D39" s="62" t="str">
        <f t="shared" si="0"/>
        <v>p05-4N</v>
      </c>
    </row>
    <row r="40" spans="1:4" x14ac:dyDescent="0.25">
      <c r="A40" s="62">
        <v>5</v>
      </c>
      <c r="B40" s="62">
        <v>4</v>
      </c>
      <c r="C40" s="62" t="s">
        <v>64</v>
      </c>
      <c r="D40" s="62" t="str">
        <f t="shared" si="0"/>
        <v>p05-4S</v>
      </c>
    </row>
    <row r="41" spans="1:4" x14ac:dyDescent="0.25">
      <c r="A41" s="62">
        <v>6</v>
      </c>
      <c r="B41" s="62">
        <v>4</v>
      </c>
      <c r="C41" s="62" t="s">
        <v>64</v>
      </c>
      <c r="D41" s="62" t="str">
        <f t="shared" si="0"/>
        <v>p06-4S</v>
      </c>
    </row>
    <row r="42" spans="1:4" x14ac:dyDescent="0.25">
      <c r="A42" s="62">
        <v>6</v>
      </c>
      <c r="B42" s="62">
        <v>4</v>
      </c>
      <c r="C42" s="62" t="s">
        <v>63</v>
      </c>
      <c r="D42" s="62" t="str">
        <f t="shared" si="0"/>
        <v>p06-4N</v>
      </c>
    </row>
    <row r="43" spans="1:4" x14ac:dyDescent="0.25">
      <c r="A43" s="62">
        <v>6</v>
      </c>
      <c r="B43" s="62">
        <v>3</v>
      </c>
      <c r="C43" s="62" t="s">
        <v>64</v>
      </c>
      <c r="D43" s="62" t="str">
        <f t="shared" si="0"/>
        <v>p06-3S</v>
      </c>
    </row>
    <row r="44" spans="1:4" x14ac:dyDescent="0.25">
      <c r="A44" s="62">
        <v>6</v>
      </c>
      <c r="B44" s="62">
        <v>3</v>
      </c>
      <c r="C44" s="62" t="s">
        <v>63</v>
      </c>
      <c r="D44" s="62" t="str">
        <f t="shared" si="0"/>
        <v>p06-3N</v>
      </c>
    </row>
    <row r="45" spans="1:4" x14ac:dyDescent="0.25">
      <c r="A45" s="62">
        <v>6</v>
      </c>
      <c r="B45" s="62">
        <v>2</v>
      </c>
      <c r="C45" s="62" t="s">
        <v>64</v>
      </c>
      <c r="D45" s="62" t="str">
        <f t="shared" si="0"/>
        <v>p06-2S</v>
      </c>
    </row>
    <row r="46" spans="1:4" x14ac:dyDescent="0.25">
      <c r="A46" s="62">
        <v>6</v>
      </c>
      <c r="B46" s="62">
        <v>2</v>
      </c>
      <c r="C46" s="62" t="s">
        <v>63</v>
      </c>
      <c r="D46" s="62" t="str">
        <f t="shared" si="0"/>
        <v>p06-2N</v>
      </c>
    </row>
    <row r="47" spans="1:4" x14ac:dyDescent="0.25">
      <c r="A47" s="62">
        <v>6</v>
      </c>
      <c r="B47" s="62">
        <v>1</v>
      </c>
      <c r="C47" s="62" t="s">
        <v>64</v>
      </c>
      <c r="D47" s="62" t="str">
        <f t="shared" si="0"/>
        <v>p06-1S</v>
      </c>
    </row>
    <row r="48" spans="1:4" x14ac:dyDescent="0.25">
      <c r="A48" s="62">
        <v>6</v>
      </c>
      <c r="B48" s="62">
        <v>1</v>
      </c>
      <c r="C48" s="62" t="s">
        <v>63</v>
      </c>
      <c r="D48" s="62" t="str">
        <f t="shared" si="0"/>
        <v>p06-1N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zoomScale="85" zoomScaleNormal="85" zoomScaleSheetLayoutView="70" workbookViewId="0">
      <selection activeCell="B9" sqref="B9"/>
    </sheetView>
  </sheetViews>
  <sheetFormatPr defaultRowHeight="12.75" x14ac:dyDescent="0.2"/>
  <cols>
    <col min="1" max="1" width="6.28515625" customWidth="1"/>
    <col min="2" max="2" width="4.7109375" style="1" customWidth="1"/>
    <col min="3" max="3" width="2.7109375" style="2" customWidth="1"/>
    <col min="4" max="4" width="5.140625" style="2" customWidth="1"/>
    <col min="5" max="6" width="11.28515625" customWidth="1"/>
    <col min="7" max="9" width="8.7109375" customWidth="1"/>
    <col min="10" max="10" width="2.28515625" customWidth="1"/>
  </cols>
  <sheetData>
    <row r="1" spans="1:11" ht="15.75" x14ac:dyDescent="0.25">
      <c r="A1" s="6">
        <v>2020</v>
      </c>
      <c r="C1" s="8" t="s">
        <v>25</v>
      </c>
      <c r="D1" s="8"/>
      <c r="E1" s="8" t="s">
        <v>6</v>
      </c>
      <c r="F1" s="4" t="s">
        <v>8</v>
      </c>
      <c r="J1" s="1" t="s">
        <v>17</v>
      </c>
      <c r="K1" s="19"/>
    </row>
    <row r="2" spans="1:11" ht="14.45" customHeight="1" x14ac:dyDescent="0.25">
      <c r="A2" s="6"/>
      <c r="B2" s="7"/>
      <c r="C2" s="8"/>
      <c r="D2" s="8"/>
      <c r="F2" s="4" t="s">
        <v>14</v>
      </c>
      <c r="G2" s="20"/>
      <c r="H2" s="20"/>
      <c r="I2" s="20"/>
    </row>
    <row r="3" spans="1:11" x14ac:dyDescent="0.2">
      <c r="B3" s="5" t="s">
        <v>9</v>
      </c>
      <c r="F3" s="4" t="s">
        <v>13</v>
      </c>
      <c r="G3" s="20"/>
      <c r="H3" s="20"/>
      <c r="I3" s="20"/>
    </row>
    <row r="4" spans="1:11" ht="7.9" customHeight="1" x14ac:dyDescent="0.2">
      <c r="B4" s="5"/>
    </row>
    <row r="5" spans="1:11" x14ac:dyDescent="0.2">
      <c r="B5" s="2" t="s">
        <v>33</v>
      </c>
    </row>
    <row r="6" spans="1:11" x14ac:dyDescent="0.2">
      <c r="B6" s="2" t="s">
        <v>34</v>
      </c>
    </row>
    <row r="7" spans="1:11" ht="22.15" customHeight="1" x14ac:dyDescent="0.2">
      <c r="B7" s="84" t="s">
        <v>39</v>
      </c>
      <c r="C7" s="85"/>
      <c r="D7" s="85"/>
      <c r="E7" s="85"/>
      <c r="F7" s="85"/>
      <c r="G7" s="85"/>
      <c r="H7" s="85"/>
    </row>
    <row r="8" spans="1:11" ht="24" customHeight="1" thickBot="1" x14ac:dyDescent="0.25">
      <c r="B8" s="86" t="s">
        <v>7</v>
      </c>
      <c r="C8" s="86"/>
      <c r="D8" s="18" t="s">
        <v>12</v>
      </c>
      <c r="E8" s="21" t="s">
        <v>15</v>
      </c>
      <c r="F8" s="21" t="s">
        <v>16</v>
      </c>
      <c r="G8" s="18" t="s">
        <v>30</v>
      </c>
      <c r="H8" s="18" t="s">
        <v>30</v>
      </c>
      <c r="I8" s="18" t="s">
        <v>30</v>
      </c>
      <c r="J8" s="18"/>
    </row>
    <row r="9" spans="1:11" ht="34.9" customHeight="1" x14ac:dyDescent="0.2">
      <c r="B9" s="11" t="s">
        <v>0</v>
      </c>
      <c r="C9" s="15">
        <v>1</v>
      </c>
      <c r="D9" s="13" t="s">
        <v>10</v>
      </c>
      <c r="E9" s="9"/>
      <c r="F9" s="9"/>
      <c r="G9" s="9"/>
      <c r="H9" s="9"/>
      <c r="I9" s="9"/>
    </row>
    <row r="10" spans="1:11" ht="34.9" customHeight="1" thickBot="1" x14ac:dyDescent="0.25">
      <c r="B10" s="14"/>
      <c r="C10" s="16"/>
      <c r="D10" s="17" t="s">
        <v>11</v>
      </c>
      <c r="E10" s="10"/>
      <c r="F10" s="10"/>
      <c r="G10" s="10"/>
      <c r="H10" s="10"/>
      <c r="I10" s="10"/>
    </row>
    <row r="11" spans="1:11" ht="34.9" customHeight="1" x14ac:dyDescent="0.2">
      <c r="B11" s="11" t="s">
        <v>0</v>
      </c>
      <c r="C11" s="15">
        <v>2</v>
      </c>
      <c r="D11" s="13" t="s">
        <v>10</v>
      </c>
      <c r="E11" s="9"/>
      <c r="F11" s="9"/>
      <c r="G11" s="9"/>
      <c r="H11" s="9"/>
      <c r="I11" s="9"/>
    </row>
    <row r="12" spans="1:11" ht="34.9" customHeight="1" thickBot="1" x14ac:dyDescent="0.25">
      <c r="B12" s="14"/>
      <c r="C12" s="16"/>
      <c r="D12" s="17" t="s">
        <v>11</v>
      </c>
      <c r="E12" s="10"/>
      <c r="F12" s="10"/>
      <c r="G12" s="10"/>
      <c r="H12" s="10"/>
      <c r="I12" s="10"/>
    </row>
    <row r="13" spans="1:11" ht="34.9" customHeight="1" x14ac:dyDescent="0.2">
      <c r="B13" s="11" t="s">
        <v>0</v>
      </c>
      <c r="C13" s="15">
        <v>3</v>
      </c>
      <c r="D13" s="13" t="s">
        <v>10</v>
      </c>
      <c r="E13" s="9"/>
      <c r="F13" s="9"/>
      <c r="G13" s="9"/>
      <c r="H13" s="9"/>
      <c r="I13" s="9"/>
    </row>
    <row r="14" spans="1:11" ht="34.9" customHeight="1" thickBot="1" x14ac:dyDescent="0.25">
      <c r="B14" s="14"/>
      <c r="C14" s="16"/>
      <c r="D14" s="17" t="s">
        <v>11</v>
      </c>
      <c r="E14" s="10"/>
      <c r="F14" s="10"/>
      <c r="G14" s="10"/>
      <c r="H14" s="10"/>
      <c r="I14" s="10"/>
    </row>
    <row r="15" spans="1:11" ht="34.9" customHeight="1" x14ac:dyDescent="0.2">
      <c r="B15" s="11" t="s">
        <v>0</v>
      </c>
      <c r="C15" s="15">
        <v>4</v>
      </c>
      <c r="D15" s="13" t="s">
        <v>10</v>
      </c>
      <c r="E15" s="9"/>
      <c r="F15" s="9"/>
      <c r="G15" s="9"/>
      <c r="H15" s="9"/>
      <c r="I15" s="9"/>
    </row>
    <row r="16" spans="1:11" ht="34.9" customHeight="1" thickBot="1" x14ac:dyDescent="0.25">
      <c r="B16" s="14"/>
      <c r="C16" s="16"/>
      <c r="D16" s="17" t="s">
        <v>11</v>
      </c>
      <c r="E16" s="10"/>
      <c r="F16" s="10"/>
      <c r="G16" s="10"/>
      <c r="H16" s="10"/>
      <c r="I16" s="10"/>
    </row>
    <row r="17" spans="2:9" ht="34.9" customHeight="1" x14ac:dyDescent="0.2">
      <c r="B17" s="11" t="s">
        <v>1</v>
      </c>
      <c r="C17" s="15">
        <v>4</v>
      </c>
      <c r="D17" s="13" t="s">
        <v>11</v>
      </c>
      <c r="E17" s="9"/>
      <c r="F17" s="9"/>
      <c r="G17" s="9"/>
      <c r="H17" s="9"/>
      <c r="I17" s="9"/>
    </row>
    <row r="18" spans="2:9" ht="34.9" customHeight="1" thickBot="1" x14ac:dyDescent="0.25">
      <c r="B18" s="14"/>
      <c r="C18" s="16"/>
      <c r="D18" s="17" t="s">
        <v>10</v>
      </c>
      <c r="E18" s="10"/>
      <c r="F18" s="10"/>
      <c r="G18" s="10"/>
      <c r="H18" s="10"/>
      <c r="I18" s="10"/>
    </row>
    <row r="19" spans="2:9" ht="34.9" customHeight="1" x14ac:dyDescent="0.2">
      <c r="B19" s="11" t="s">
        <v>1</v>
      </c>
      <c r="C19" s="15">
        <v>3</v>
      </c>
      <c r="D19" s="13" t="s">
        <v>11</v>
      </c>
      <c r="E19" s="9"/>
      <c r="F19" s="9"/>
      <c r="G19" s="9"/>
      <c r="H19" s="9"/>
      <c r="I19" s="9"/>
    </row>
    <row r="20" spans="2:9" ht="34.9" customHeight="1" thickBot="1" x14ac:dyDescent="0.25">
      <c r="B20" s="14"/>
      <c r="C20" s="16"/>
      <c r="D20" s="17" t="s">
        <v>10</v>
      </c>
      <c r="E20" s="10"/>
      <c r="F20" s="10"/>
      <c r="G20" s="10"/>
      <c r="H20" s="10"/>
      <c r="I20" s="10"/>
    </row>
    <row r="21" spans="2:9" ht="34.9" customHeight="1" x14ac:dyDescent="0.2">
      <c r="B21" s="11" t="s">
        <v>1</v>
      </c>
      <c r="C21" s="15">
        <v>2</v>
      </c>
      <c r="D21" s="13" t="s">
        <v>11</v>
      </c>
      <c r="E21" s="9"/>
      <c r="F21" s="9"/>
      <c r="G21" s="9"/>
      <c r="H21" s="9"/>
      <c r="I21" s="9"/>
    </row>
    <row r="22" spans="2:9" ht="34.9" customHeight="1" thickBot="1" x14ac:dyDescent="0.25">
      <c r="B22" s="14"/>
      <c r="C22" s="16"/>
      <c r="D22" s="17" t="s">
        <v>10</v>
      </c>
      <c r="E22" s="10"/>
      <c r="F22" s="10"/>
      <c r="G22" s="10"/>
      <c r="H22" s="10"/>
      <c r="I22" s="10"/>
    </row>
    <row r="23" spans="2:9" ht="34.9" customHeight="1" x14ac:dyDescent="0.2">
      <c r="B23" s="11" t="s">
        <v>1</v>
      </c>
      <c r="C23" s="15">
        <v>1</v>
      </c>
      <c r="D23" s="13" t="s">
        <v>11</v>
      </c>
      <c r="E23" s="9"/>
      <c r="F23" s="9"/>
      <c r="G23" s="9"/>
      <c r="H23" s="9"/>
      <c r="I23" s="9"/>
    </row>
    <row r="24" spans="2:9" ht="34.9" customHeight="1" thickBot="1" x14ac:dyDescent="0.25">
      <c r="B24" s="14"/>
      <c r="C24" s="16"/>
      <c r="D24" s="17" t="s">
        <v>10</v>
      </c>
      <c r="E24" s="10"/>
      <c r="F24" s="10"/>
      <c r="G24" s="10"/>
      <c r="H24" s="10"/>
      <c r="I24" s="10"/>
    </row>
    <row r="25" spans="2:9" ht="34.9" customHeight="1" x14ac:dyDescent="0.2">
      <c r="B25" s="11" t="s">
        <v>2</v>
      </c>
      <c r="C25" s="15">
        <v>1</v>
      </c>
      <c r="D25" s="13" t="s">
        <v>10</v>
      </c>
      <c r="E25" s="9"/>
      <c r="F25" s="9"/>
      <c r="G25" s="9"/>
      <c r="H25" s="9"/>
      <c r="I25" s="9"/>
    </row>
    <row r="26" spans="2:9" ht="34.9" customHeight="1" thickBot="1" x14ac:dyDescent="0.25">
      <c r="B26" s="14"/>
      <c r="C26" s="16"/>
      <c r="D26" s="17" t="s">
        <v>11</v>
      </c>
      <c r="E26" s="10"/>
      <c r="F26" s="10"/>
      <c r="G26" s="10"/>
      <c r="H26" s="10"/>
      <c r="I26" s="10"/>
    </row>
    <row r="27" spans="2:9" ht="34.9" customHeight="1" x14ac:dyDescent="0.2">
      <c r="B27" s="11" t="s">
        <v>2</v>
      </c>
      <c r="C27" s="15">
        <v>2</v>
      </c>
      <c r="D27" s="13" t="s">
        <v>10</v>
      </c>
      <c r="E27" s="9"/>
      <c r="F27" s="9"/>
      <c r="G27" s="9"/>
      <c r="H27" s="9"/>
      <c r="I27" s="9"/>
    </row>
    <row r="28" spans="2:9" ht="34.9" customHeight="1" thickBot="1" x14ac:dyDescent="0.25">
      <c r="B28" s="14"/>
      <c r="C28" s="16"/>
      <c r="D28" s="17" t="s">
        <v>11</v>
      </c>
      <c r="E28" s="10"/>
      <c r="F28" s="10"/>
      <c r="G28" s="10"/>
      <c r="H28" s="10"/>
      <c r="I28" s="10"/>
    </row>
    <row r="29" spans="2:9" ht="34.9" customHeight="1" x14ac:dyDescent="0.2">
      <c r="B29" s="11" t="s">
        <v>2</v>
      </c>
      <c r="C29" s="15">
        <v>3</v>
      </c>
      <c r="D29" s="13" t="s">
        <v>10</v>
      </c>
      <c r="E29" s="9"/>
      <c r="F29" s="9"/>
      <c r="G29" s="9"/>
      <c r="H29" s="9"/>
      <c r="I29" s="9"/>
    </row>
    <row r="30" spans="2:9" ht="34.9" customHeight="1" thickBot="1" x14ac:dyDescent="0.25">
      <c r="B30" s="14"/>
      <c r="C30" s="16"/>
      <c r="D30" s="17" t="s">
        <v>11</v>
      </c>
      <c r="E30" s="10"/>
      <c r="F30" s="10"/>
      <c r="G30" s="10"/>
      <c r="H30" s="10"/>
      <c r="I30" s="10"/>
    </row>
    <row r="31" spans="2:9" ht="34.9" customHeight="1" x14ac:dyDescent="0.2">
      <c r="B31" s="11" t="s">
        <v>2</v>
      </c>
      <c r="C31" s="15">
        <v>4</v>
      </c>
      <c r="D31" s="13" t="s">
        <v>10</v>
      </c>
      <c r="E31" s="9"/>
      <c r="F31" s="9"/>
      <c r="G31" s="9"/>
      <c r="H31" s="9"/>
      <c r="I31" s="9"/>
    </row>
    <row r="32" spans="2:9" ht="34.9" customHeight="1" thickBot="1" x14ac:dyDescent="0.25">
      <c r="B32" s="14"/>
      <c r="C32" s="16"/>
      <c r="D32" s="17" t="s">
        <v>11</v>
      </c>
      <c r="E32" s="10"/>
      <c r="F32" s="10"/>
      <c r="G32" s="10"/>
      <c r="H32" s="10"/>
      <c r="I32" s="10"/>
    </row>
    <row r="33" spans="2:9" ht="34.9" customHeight="1" x14ac:dyDescent="0.2">
      <c r="B33" s="11" t="s">
        <v>3</v>
      </c>
      <c r="C33" s="15">
        <v>4</v>
      </c>
      <c r="D33" s="13" t="s">
        <v>11</v>
      </c>
      <c r="E33" s="9"/>
      <c r="F33" s="9"/>
      <c r="G33" s="9"/>
      <c r="H33" s="9"/>
      <c r="I33" s="9"/>
    </row>
    <row r="34" spans="2:9" ht="34.9" customHeight="1" thickBot="1" x14ac:dyDescent="0.25">
      <c r="B34" s="14"/>
      <c r="C34" s="16"/>
      <c r="D34" s="17" t="s">
        <v>10</v>
      </c>
      <c r="E34" s="10"/>
      <c r="F34" s="10"/>
      <c r="G34" s="10"/>
      <c r="H34" s="10"/>
      <c r="I34" s="10"/>
    </row>
    <row r="35" spans="2:9" ht="34.9" customHeight="1" x14ac:dyDescent="0.2">
      <c r="B35" s="11" t="s">
        <v>3</v>
      </c>
      <c r="C35" s="15">
        <v>3</v>
      </c>
      <c r="D35" s="13" t="s">
        <v>11</v>
      </c>
      <c r="E35" s="9"/>
      <c r="F35" s="9"/>
      <c r="G35" s="9"/>
      <c r="H35" s="9"/>
      <c r="I35" s="9"/>
    </row>
    <row r="36" spans="2:9" ht="34.9" customHeight="1" thickBot="1" x14ac:dyDescent="0.25">
      <c r="B36" s="14"/>
      <c r="C36" s="16"/>
      <c r="D36" s="17" t="s">
        <v>10</v>
      </c>
      <c r="E36" s="10"/>
      <c r="F36" s="10"/>
      <c r="G36" s="10"/>
      <c r="H36" s="10"/>
      <c r="I36" s="10"/>
    </row>
    <row r="37" spans="2:9" ht="34.9" customHeight="1" x14ac:dyDescent="0.2">
      <c r="B37" s="11" t="s">
        <v>3</v>
      </c>
      <c r="C37" s="15">
        <v>2</v>
      </c>
      <c r="D37" s="13" t="s">
        <v>11</v>
      </c>
      <c r="E37" s="9"/>
      <c r="F37" s="9"/>
      <c r="G37" s="9"/>
      <c r="H37" s="9"/>
      <c r="I37" s="9"/>
    </row>
    <row r="38" spans="2:9" ht="34.9" customHeight="1" thickBot="1" x14ac:dyDescent="0.25">
      <c r="B38" s="14"/>
      <c r="C38" s="16"/>
      <c r="D38" s="17" t="s">
        <v>10</v>
      </c>
      <c r="E38" s="10"/>
      <c r="F38" s="10"/>
      <c r="G38" s="10"/>
      <c r="H38" s="10"/>
      <c r="I38" s="10"/>
    </row>
    <row r="39" spans="2:9" ht="34.9" customHeight="1" x14ac:dyDescent="0.2">
      <c r="B39" s="11" t="s">
        <v>3</v>
      </c>
      <c r="C39" s="15">
        <v>1</v>
      </c>
      <c r="D39" s="13" t="s">
        <v>11</v>
      </c>
      <c r="E39" s="9"/>
      <c r="F39" s="9"/>
      <c r="G39" s="9"/>
      <c r="H39" s="9"/>
      <c r="I39" s="9"/>
    </row>
    <row r="40" spans="2:9" ht="34.9" customHeight="1" thickBot="1" x14ac:dyDescent="0.25">
      <c r="B40" s="14"/>
      <c r="C40" s="16"/>
      <c r="D40" s="17" t="s">
        <v>10</v>
      </c>
      <c r="E40" s="10"/>
      <c r="F40" s="10"/>
      <c r="G40" s="10"/>
      <c r="H40" s="10"/>
      <c r="I40" s="10"/>
    </row>
    <row r="41" spans="2:9" ht="34.9" customHeight="1" x14ac:dyDescent="0.2">
      <c r="B41" s="11" t="s">
        <v>4</v>
      </c>
      <c r="C41" s="15">
        <v>1</v>
      </c>
      <c r="D41" s="13" t="s">
        <v>10</v>
      </c>
      <c r="E41" s="9"/>
      <c r="F41" s="9"/>
      <c r="G41" s="9"/>
      <c r="H41" s="9"/>
      <c r="I41" s="9"/>
    </row>
    <row r="42" spans="2:9" ht="34.9" customHeight="1" thickBot="1" x14ac:dyDescent="0.25">
      <c r="B42" s="14"/>
      <c r="C42" s="16"/>
      <c r="D42" s="17" t="s">
        <v>11</v>
      </c>
      <c r="E42" s="10"/>
      <c r="F42" s="10"/>
      <c r="G42" s="10"/>
      <c r="H42" s="10"/>
      <c r="I42" s="10"/>
    </row>
    <row r="43" spans="2:9" ht="34.9" customHeight="1" x14ac:dyDescent="0.2">
      <c r="B43" s="11" t="s">
        <v>4</v>
      </c>
      <c r="C43" s="15">
        <v>2</v>
      </c>
      <c r="D43" s="13" t="s">
        <v>10</v>
      </c>
      <c r="E43" s="9"/>
      <c r="F43" s="9"/>
      <c r="G43" s="9"/>
      <c r="H43" s="9"/>
      <c r="I43" s="9"/>
    </row>
    <row r="44" spans="2:9" ht="34.9" customHeight="1" thickBot="1" x14ac:dyDescent="0.25">
      <c r="B44" s="14"/>
      <c r="C44" s="16"/>
      <c r="D44" s="17" t="s">
        <v>11</v>
      </c>
      <c r="E44" s="10"/>
      <c r="F44" s="10"/>
      <c r="G44" s="10"/>
      <c r="H44" s="10"/>
      <c r="I44" s="10"/>
    </row>
    <row r="45" spans="2:9" ht="34.9" customHeight="1" x14ac:dyDescent="0.2">
      <c r="B45" s="11" t="s">
        <v>4</v>
      </c>
      <c r="C45" s="15">
        <v>3</v>
      </c>
      <c r="D45" s="13" t="s">
        <v>10</v>
      </c>
      <c r="E45" s="9"/>
      <c r="F45" s="9"/>
      <c r="G45" s="9"/>
      <c r="H45" s="9"/>
      <c r="I45" s="9"/>
    </row>
    <row r="46" spans="2:9" ht="34.9" customHeight="1" thickBot="1" x14ac:dyDescent="0.25">
      <c r="B46" s="14"/>
      <c r="C46" s="16"/>
      <c r="D46" s="17" t="s">
        <v>11</v>
      </c>
      <c r="E46" s="10"/>
      <c r="F46" s="10"/>
      <c r="G46" s="10"/>
      <c r="H46" s="10"/>
      <c r="I46" s="10"/>
    </row>
    <row r="47" spans="2:9" ht="34.9" customHeight="1" x14ac:dyDescent="0.2">
      <c r="B47" s="11" t="s">
        <v>4</v>
      </c>
      <c r="C47" s="15">
        <v>4</v>
      </c>
      <c r="D47" s="13" t="s">
        <v>10</v>
      </c>
      <c r="E47" s="9"/>
      <c r="F47" s="9"/>
      <c r="G47" s="9"/>
      <c r="H47" s="9"/>
      <c r="I47" s="9"/>
    </row>
    <row r="48" spans="2:9" ht="34.9" customHeight="1" thickBot="1" x14ac:dyDescent="0.25">
      <c r="B48" s="14"/>
      <c r="C48" s="16"/>
      <c r="D48" s="17" t="s">
        <v>11</v>
      </c>
      <c r="E48" s="10"/>
      <c r="F48" s="10"/>
      <c r="G48" s="10"/>
      <c r="H48" s="10"/>
      <c r="I48" s="10"/>
    </row>
    <row r="49" spans="2:9" ht="34.9" customHeight="1" x14ac:dyDescent="0.2">
      <c r="B49" s="11" t="s">
        <v>5</v>
      </c>
      <c r="C49" s="15">
        <v>4</v>
      </c>
      <c r="D49" s="13" t="s">
        <v>11</v>
      </c>
      <c r="E49" s="9"/>
      <c r="F49" s="9"/>
      <c r="G49" s="9"/>
      <c r="H49" s="9"/>
      <c r="I49" s="9"/>
    </row>
    <row r="50" spans="2:9" ht="34.9" customHeight="1" thickBot="1" x14ac:dyDescent="0.25">
      <c r="B50" s="14"/>
      <c r="C50" s="16"/>
      <c r="D50" s="17" t="s">
        <v>10</v>
      </c>
      <c r="E50" s="10"/>
      <c r="F50" s="10"/>
      <c r="G50" s="10"/>
      <c r="H50" s="10"/>
      <c r="I50" s="10"/>
    </row>
    <row r="51" spans="2:9" ht="34.9" customHeight="1" x14ac:dyDescent="0.2">
      <c r="B51" s="11" t="s">
        <v>5</v>
      </c>
      <c r="C51" s="15">
        <v>3</v>
      </c>
      <c r="D51" s="13" t="s">
        <v>11</v>
      </c>
      <c r="E51" s="9"/>
      <c r="F51" s="9"/>
      <c r="G51" s="9"/>
      <c r="H51" s="9"/>
      <c r="I51" s="9"/>
    </row>
    <row r="52" spans="2:9" ht="34.9" customHeight="1" thickBot="1" x14ac:dyDescent="0.25">
      <c r="B52" s="14"/>
      <c r="C52" s="16"/>
      <c r="D52" s="17" t="s">
        <v>10</v>
      </c>
      <c r="E52" s="10"/>
      <c r="F52" s="10"/>
      <c r="G52" s="10"/>
      <c r="H52" s="10"/>
      <c r="I52" s="10"/>
    </row>
    <row r="53" spans="2:9" ht="34.9" customHeight="1" x14ac:dyDescent="0.2">
      <c r="B53" s="11" t="s">
        <v>5</v>
      </c>
      <c r="C53" s="15">
        <v>2</v>
      </c>
      <c r="D53" s="13" t="s">
        <v>11</v>
      </c>
      <c r="E53" s="9"/>
      <c r="F53" s="9"/>
      <c r="G53" s="9"/>
      <c r="H53" s="9"/>
      <c r="I53" s="9"/>
    </row>
    <row r="54" spans="2:9" ht="34.9" customHeight="1" thickBot="1" x14ac:dyDescent="0.25">
      <c r="B54" s="14"/>
      <c r="C54" s="16"/>
      <c r="D54" s="17" t="s">
        <v>10</v>
      </c>
      <c r="E54" s="10"/>
      <c r="F54" s="10"/>
      <c r="G54" s="10"/>
      <c r="H54" s="10"/>
      <c r="I54" s="10"/>
    </row>
    <row r="55" spans="2:9" ht="34.9" customHeight="1" x14ac:dyDescent="0.2">
      <c r="B55" s="11" t="s">
        <v>5</v>
      </c>
      <c r="C55" s="15">
        <v>1</v>
      </c>
      <c r="D55" s="13" t="s">
        <v>11</v>
      </c>
      <c r="E55" s="9"/>
      <c r="F55" s="9"/>
      <c r="G55" s="9"/>
      <c r="H55" s="9"/>
      <c r="I55" s="9"/>
    </row>
    <row r="56" spans="2:9" ht="34.9" customHeight="1" thickBot="1" x14ac:dyDescent="0.25">
      <c r="B56" s="14"/>
      <c r="C56" s="16"/>
      <c r="D56" s="17" t="s">
        <v>10</v>
      </c>
      <c r="E56" s="10"/>
      <c r="F56" s="10"/>
      <c r="G56" s="10"/>
      <c r="H56" s="10"/>
      <c r="I56" s="10"/>
    </row>
  </sheetData>
  <mergeCells count="2">
    <mergeCell ref="B7:H7"/>
    <mergeCell ref="B8:C8"/>
  </mergeCells>
  <printOptions horizontalCentered="1" verticalCentered="1"/>
  <pageMargins left="0.2" right="0.2" top="0.25" bottom="0.25" header="0" footer="0"/>
  <pageSetup scale="74" fitToHeight="2" orientation="portrait" r:id="rId1"/>
  <headerFooter>
    <oddFooter>&amp;R&amp;8&amp;D&amp;   &amp;Z&amp;F&amp;' page &amp;P&amp;' o&amp;Of &amp;N</oddFooter>
  </headerFooter>
  <rowBreaks count="1" manualBreakCount="1">
    <brk id="32" max="1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1"/>
  <sheetViews>
    <sheetView zoomScaleNormal="100" zoomScaleSheetLayoutView="70" workbookViewId="0"/>
  </sheetViews>
  <sheetFormatPr defaultRowHeight="12.75" x14ac:dyDescent="0.2"/>
  <cols>
    <col min="1" max="1" width="10.5703125" customWidth="1"/>
    <col min="2" max="2" width="4.7109375" style="1" customWidth="1"/>
    <col min="3" max="3" width="2.7109375" style="2" customWidth="1"/>
    <col min="4" max="4" width="5.140625" style="2" customWidth="1"/>
    <col min="5" max="5" width="6" style="44" customWidth="1"/>
    <col min="6" max="30" width="11.140625" customWidth="1"/>
  </cols>
  <sheetData>
    <row r="1" spans="1:30" ht="15.75" x14ac:dyDescent="0.25">
      <c r="A1" s="6" t="s">
        <v>18</v>
      </c>
      <c r="B1" s="28">
        <v>2020</v>
      </c>
      <c r="C1" s="29"/>
      <c r="D1" s="8" t="s">
        <v>25</v>
      </c>
      <c r="E1" s="45"/>
      <c r="F1" s="8" t="s">
        <v>6</v>
      </c>
      <c r="G1" s="8"/>
    </row>
    <row r="2" spans="1:30" ht="14.45" customHeight="1" x14ac:dyDescent="0.25">
      <c r="A2" s="6"/>
      <c r="B2" s="7"/>
      <c r="C2" s="8"/>
      <c r="D2" s="8"/>
      <c r="E2" s="45"/>
    </row>
    <row r="3" spans="1:30" ht="15" x14ac:dyDescent="0.25">
      <c r="B3" s="30" t="s">
        <v>19</v>
      </c>
    </row>
    <row r="4" spans="1:30" ht="7.9" customHeight="1" x14ac:dyDescent="0.2">
      <c r="B4" s="5"/>
      <c r="U4" s="4"/>
      <c r="V4" s="4"/>
      <c r="W4" s="4"/>
      <c r="X4" s="4"/>
      <c r="Y4" s="4"/>
      <c r="Z4" s="4"/>
      <c r="AA4" s="4"/>
      <c r="AB4" s="4"/>
      <c r="AC4" s="4"/>
    </row>
    <row r="5" spans="1:30" x14ac:dyDescent="0.2">
      <c r="B5" s="2"/>
      <c r="U5" s="4"/>
      <c r="V5" s="4"/>
      <c r="W5" s="4"/>
      <c r="X5" s="4"/>
      <c r="Y5" s="4"/>
      <c r="Z5" s="4"/>
      <c r="AA5" s="4"/>
      <c r="AB5" s="4"/>
      <c r="AC5" s="4"/>
    </row>
    <row r="6" spans="1:30" x14ac:dyDescent="0.2">
      <c r="B6" s="2"/>
      <c r="U6" s="4"/>
      <c r="V6" s="4"/>
      <c r="W6" s="4"/>
      <c r="X6" s="4"/>
      <c r="Y6" s="4"/>
      <c r="Z6" s="4"/>
      <c r="AA6" s="4"/>
      <c r="AB6" s="4"/>
      <c r="AC6" s="4"/>
    </row>
    <row r="7" spans="1:30" ht="12" customHeight="1" x14ac:dyDescent="0.2">
      <c r="B7" s="2"/>
      <c r="H7" s="54"/>
      <c r="I7" s="54"/>
      <c r="J7" s="54"/>
      <c r="K7" s="54"/>
      <c r="L7" s="54"/>
      <c r="M7" s="41"/>
      <c r="U7" s="4"/>
      <c r="V7" s="4"/>
      <c r="W7" s="54"/>
      <c r="X7" s="54"/>
      <c r="Y7" s="54"/>
      <c r="Z7" s="4"/>
      <c r="AA7" s="4"/>
      <c r="AB7" s="4"/>
      <c r="AC7" s="4"/>
    </row>
    <row r="8" spans="1:30" s="39" customFormat="1" x14ac:dyDescent="0.2">
      <c r="D8" s="49" t="s">
        <v>26</v>
      </c>
      <c r="F8" s="39" t="s">
        <v>44</v>
      </c>
      <c r="G8" s="39" t="s">
        <v>44</v>
      </c>
      <c r="H8" s="39" t="s">
        <v>44</v>
      </c>
      <c r="I8" s="39" t="s">
        <v>44</v>
      </c>
      <c r="J8" s="39" t="s">
        <v>44</v>
      </c>
      <c r="K8" s="39" t="s">
        <v>44</v>
      </c>
      <c r="L8" s="39" t="s">
        <v>44</v>
      </c>
      <c r="M8" s="39" t="s">
        <v>44</v>
      </c>
      <c r="N8" s="39" t="s">
        <v>44</v>
      </c>
      <c r="O8" s="39" t="s">
        <v>44</v>
      </c>
      <c r="P8" s="39" t="s">
        <v>44</v>
      </c>
      <c r="Q8" s="39" t="s">
        <v>44</v>
      </c>
      <c r="R8" s="39" t="s">
        <v>44</v>
      </c>
      <c r="S8" s="39" t="s">
        <v>44</v>
      </c>
      <c r="T8" s="39" t="s">
        <v>44</v>
      </c>
      <c r="U8" s="39" t="s">
        <v>44</v>
      </c>
    </row>
    <row r="9" spans="1:30" x14ac:dyDescent="0.2">
      <c r="B9" s="2"/>
      <c r="D9" s="49" t="s">
        <v>27</v>
      </c>
      <c r="F9" s="22">
        <v>43977</v>
      </c>
      <c r="G9" s="22">
        <v>43983</v>
      </c>
      <c r="H9" s="22">
        <v>43990</v>
      </c>
      <c r="I9" s="22">
        <v>43997</v>
      </c>
      <c r="J9" s="22">
        <v>44004</v>
      </c>
      <c r="K9" s="22">
        <v>44011</v>
      </c>
      <c r="L9" s="22">
        <v>44018</v>
      </c>
      <c r="M9" s="22">
        <v>44025</v>
      </c>
      <c r="N9" s="22">
        <v>44033</v>
      </c>
      <c r="O9" s="22">
        <v>44039</v>
      </c>
      <c r="P9" s="22">
        <v>44047</v>
      </c>
      <c r="Q9" s="22">
        <v>44053</v>
      </c>
      <c r="R9" s="22">
        <v>44060</v>
      </c>
      <c r="S9" s="22">
        <v>44432</v>
      </c>
      <c r="T9" s="22">
        <v>44074</v>
      </c>
      <c r="U9" s="22">
        <v>44082</v>
      </c>
      <c r="V9" s="22"/>
      <c r="W9" s="22"/>
      <c r="X9" s="22"/>
      <c r="Y9" s="22"/>
      <c r="Z9" s="22"/>
      <c r="AA9" s="22"/>
      <c r="AB9" s="22"/>
      <c r="AC9" s="22"/>
      <c r="AD9" s="22"/>
    </row>
    <row r="10" spans="1:30" ht="15.6" customHeight="1" x14ac:dyDescent="0.2">
      <c r="B10" s="5"/>
      <c r="D10" s="49" t="s">
        <v>29</v>
      </c>
      <c r="F10" s="18">
        <v>147</v>
      </c>
      <c r="G10" s="18">
        <v>153</v>
      </c>
      <c r="H10" s="18">
        <v>160</v>
      </c>
      <c r="I10" s="18">
        <v>167</v>
      </c>
      <c r="J10" s="18">
        <v>174</v>
      </c>
      <c r="K10" s="18">
        <v>181</v>
      </c>
      <c r="L10" s="18">
        <v>188</v>
      </c>
      <c r="M10" s="18">
        <v>195</v>
      </c>
      <c r="N10" s="18">
        <v>203</v>
      </c>
      <c r="O10" s="18">
        <v>209</v>
      </c>
      <c r="P10" s="18">
        <v>217</v>
      </c>
      <c r="Q10" s="18">
        <v>223</v>
      </c>
      <c r="R10" s="18">
        <v>230</v>
      </c>
      <c r="S10" s="18">
        <v>237</v>
      </c>
      <c r="T10" s="18">
        <v>244</v>
      </c>
      <c r="U10" s="18">
        <v>252</v>
      </c>
      <c r="V10" s="18"/>
      <c r="W10" s="18"/>
      <c r="X10" s="18"/>
      <c r="Y10" s="18"/>
      <c r="Z10" s="18"/>
      <c r="AA10" s="18"/>
      <c r="AB10" s="18"/>
      <c r="AC10" s="18"/>
      <c r="AD10" s="18"/>
    </row>
    <row r="11" spans="1:30" s="56" customFormat="1" ht="22.15" customHeight="1" x14ac:dyDescent="0.2">
      <c r="B11" s="37"/>
      <c r="D11" s="55" t="s">
        <v>28</v>
      </c>
      <c r="E11" s="55"/>
      <c r="F11" s="57" t="s">
        <v>45</v>
      </c>
      <c r="G11" s="26" t="s">
        <v>46</v>
      </c>
      <c r="H11" s="57" t="s">
        <v>47</v>
      </c>
      <c r="I11" s="57" t="s">
        <v>56</v>
      </c>
      <c r="J11" s="57" t="s">
        <v>55</v>
      </c>
      <c r="K11" s="57" t="s">
        <v>57</v>
      </c>
      <c r="L11" s="57" t="s">
        <v>56</v>
      </c>
      <c r="M11" s="57" t="s">
        <v>48</v>
      </c>
      <c r="N11" s="57" t="s">
        <v>51</v>
      </c>
      <c r="O11" s="57" t="s">
        <v>52</v>
      </c>
      <c r="P11" s="57" t="s">
        <v>58</v>
      </c>
      <c r="Q11" s="57" t="s">
        <v>59</v>
      </c>
      <c r="R11" s="57" t="s">
        <v>54</v>
      </c>
      <c r="S11" s="61" t="s">
        <v>61</v>
      </c>
      <c r="T11" s="57" t="s">
        <v>60</v>
      </c>
      <c r="U11" s="57" t="s">
        <v>54</v>
      </c>
      <c r="V11" s="57"/>
      <c r="W11" s="40"/>
      <c r="X11" s="40"/>
      <c r="Y11" s="40"/>
      <c r="Z11" s="40"/>
      <c r="AA11" s="40"/>
      <c r="AB11" s="57"/>
      <c r="AC11" s="57"/>
      <c r="AD11" s="57"/>
    </row>
    <row r="12" spans="1:30" ht="20.45" customHeight="1" thickBot="1" x14ac:dyDescent="0.25">
      <c r="B12" s="86" t="s">
        <v>7</v>
      </c>
      <c r="C12" s="86"/>
      <c r="D12" s="18" t="s">
        <v>12</v>
      </c>
      <c r="E12" s="45" t="s">
        <v>24</v>
      </c>
      <c r="F12" s="18" t="s">
        <v>20</v>
      </c>
      <c r="G12" s="18" t="s">
        <v>20</v>
      </c>
      <c r="H12" s="18" t="s">
        <v>20</v>
      </c>
      <c r="I12" s="18" t="s">
        <v>20</v>
      </c>
      <c r="J12" s="18" t="s">
        <v>20</v>
      </c>
      <c r="K12" s="18" t="s">
        <v>20</v>
      </c>
      <c r="L12" s="18" t="s">
        <v>20</v>
      </c>
      <c r="M12" s="18" t="s">
        <v>20</v>
      </c>
      <c r="N12" s="18" t="s">
        <v>20</v>
      </c>
      <c r="O12" s="18" t="s">
        <v>20</v>
      </c>
      <c r="P12" s="18" t="s">
        <v>20</v>
      </c>
      <c r="Q12" s="18" t="s">
        <v>20</v>
      </c>
      <c r="R12" s="18" t="s">
        <v>20</v>
      </c>
      <c r="S12" s="18" t="s">
        <v>20</v>
      </c>
      <c r="T12" s="18" t="s">
        <v>20</v>
      </c>
      <c r="U12" s="18" t="s">
        <v>20</v>
      </c>
      <c r="V12" s="18" t="s">
        <v>20</v>
      </c>
      <c r="W12" s="18" t="s">
        <v>20</v>
      </c>
      <c r="X12" s="18" t="s">
        <v>20</v>
      </c>
      <c r="Y12" s="18" t="s">
        <v>20</v>
      </c>
      <c r="Z12" s="18" t="s">
        <v>20</v>
      </c>
      <c r="AA12" s="18" t="s">
        <v>20</v>
      </c>
      <c r="AB12" s="18" t="s">
        <v>20</v>
      </c>
      <c r="AC12" s="18" t="s">
        <v>20</v>
      </c>
      <c r="AD12" s="18" t="s">
        <v>20</v>
      </c>
    </row>
    <row r="13" spans="1:30" ht="19.899999999999999" customHeight="1" x14ac:dyDescent="0.2">
      <c r="A13" s="31"/>
      <c r="B13" s="11" t="s">
        <v>0</v>
      </c>
      <c r="C13" s="15">
        <v>1</v>
      </c>
      <c r="D13" s="32" t="s">
        <v>10</v>
      </c>
      <c r="E13" s="46" t="s">
        <v>38</v>
      </c>
      <c r="F13" s="34">
        <v>11</v>
      </c>
      <c r="G13" s="9">
        <v>14</v>
      </c>
      <c r="H13" s="9">
        <v>29</v>
      </c>
      <c r="I13" s="34">
        <v>38</v>
      </c>
      <c r="J13" s="34">
        <v>49</v>
      </c>
      <c r="K13" s="34">
        <v>61</v>
      </c>
      <c r="L13" s="34">
        <v>76</v>
      </c>
      <c r="M13" s="23">
        <v>81</v>
      </c>
      <c r="N13" s="9">
        <v>82</v>
      </c>
      <c r="O13" s="9">
        <v>86</v>
      </c>
      <c r="P13" s="9">
        <v>91</v>
      </c>
      <c r="Q13" s="9">
        <v>96</v>
      </c>
      <c r="R13" s="9">
        <v>98</v>
      </c>
      <c r="S13" s="9">
        <v>108</v>
      </c>
      <c r="T13" s="9">
        <v>116</v>
      </c>
      <c r="U13" s="9">
        <v>121</v>
      </c>
      <c r="V13" s="9"/>
      <c r="W13" s="42"/>
      <c r="X13" s="59"/>
      <c r="Y13" s="59"/>
      <c r="Z13" s="9"/>
      <c r="AA13" s="9"/>
      <c r="AB13" s="9"/>
      <c r="AC13" s="9"/>
      <c r="AD13" s="9"/>
    </row>
    <row r="14" spans="1:30" ht="19.899999999999999" customHeight="1" thickBot="1" x14ac:dyDescent="0.25">
      <c r="A14" s="31"/>
      <c r="B14" s="14"/>
      <c r="C14" s="16"/>
      <c r="D14" s="33" t="s">
        <v>11</v>
      </c>
      <c r="E14" s="47" t="s">
        <v>38</v>
      </c>
      <c r="F14" s="35">
        <v>16</v>
      </c>
      <c r="G14" s="10">
        <v>21</v>
      </c>
      <c r="H14" s="10">
        <v>33</v>
      </c>
      <c r="I14" s="35">
        <v>48</v>
      </c>
      <c r="J14" s="35">
        <v>58</v>
      </c>
      <c r="K14" s="35">
        <v>64</v>
      </c>
      <c r="L14" s="35">
        <v>74</v>
      </c>
      <c r="M14" s="24">
        <v>80</v>
      </c>
      <c r="N14" s="10">
        <v>84</v>
      </c>
      <c r="O14" s="10">
        <v>84</v>
      </c>
      <c r="P14" s="10">
        <v>88</v>
      </c>
      <c r="Q14" s="10">
        <v>93</v>
      </c>
      <c r="R14" s="10">
        <v>99</v>
      </c>
      <c r="S14" s="10">
        <v>113</v>
      </c>
      <c r="T14" s="10">
        <v>122</v>
      </c>
      <c r="U14" s="10">
        <v>127</v>
      </c>
      <c r="V14" s="10"/>
      <c r="W14" s="24"/>
      <c r="X14" s="35"/>
      <c r="Y14" s="35"/>
      <c r="Z14" s="10"/>
      <c r="AA14" s="10"/>
      <c r="AB14" s="10"/>
      <c r="AC14" s="10"/>
      <c r="AD14" s="10"/>
    </row>
    <row r="15" spans="1:30" ht="19.899999999999999" customHeight="1" x14ac:dyDescent="0.2">
      <c r="A15" s="31"/>
      <c r="B15" s="11" t="s">
        <v>0</v>
      </c>
      <c r="C15" s="15">
        <v>2</v>
      </c>
      <c r="D15" s="13" t="s">
        <v>10</v>
      </c>
      <c r="E15" s="46" t="s">
        <v>35</v>
      </c>
      <c r="F15" s="9">
        <v>17</v>
      </c>
      <c r="G15" s="9">
        <v>26</v>
      </c>
      <c r="H15" s="9">
        <v>39</v>
      </c>
      <c r="I15" s="34">
        <v>46</v>
      </c>
      <c r="J15" s="34">
        <v>54</v>
      </c>
      <c r="K15" s="34">
        <v>61</v>
      </c>
      <c r="L15" s="34">
        <v>67</v>
      </c>
      <c r="M15" s="23">
        <v>71</v>
      </c>
      <c r="N15" s="9">
        <v>64</v>
      </c>
      <c r="O15" s="9">
        <v>65</v>
      </c>
      <c r="P15" s="9">
        <v>66</v>
      </c>
      <c r="Q15" s="9">
        <v>69</v>
      </c>
      <c r="R15" s="9">
        <v>74</v>
      </c>
      <c r="S15" s="9">
        <v>77</v>
      </c>
      <c r="T15" s="9">
        <v>79</v>
      </c>
      <c r="U15" s="9">
        <v>79</v>
      </c>
      <c r="V15" s="9"/>
      <c r="W15" s="23"/>
      <c r="X15" s="34"/>
      <c r="Y15" s="34"/>
      <c r="Z15" s="9"/>
      <c r="AA15" s="9"/>
      <c r="AB15" s="9"/>
      <c r="AC15" s="9"/>
      <c r="AD15" s="9"/>
    </row>
    <row r="16" spans="1:30" ht="19.899999999999999" customHeight="1" thickBot="1" x14ac:dyDescent="0.25">
      <c r="A16" s="31"/>
      <c r="B16" s="14"/>
      <c r="C16" s="16"/>
      <c r="D16" s="17" t="s">
        <v>11</v>
      </c>
      <c r="E16" s="47" t="s">
        <v>35</v>
      </c>
      <c r="F16" s="10">
        <v>12</v>
      </c>
      <c r="G16" s="10">
        <v>18</v>
      </c>
      <c r="H16" s="10">
        <v>29</v>
      </c>
      <c r="I16" s="35">
        <v>36</v>
      </c>
      <c r="J16" s="35">
        <v>46</v>
      </c>
      <c r="K16" s="35">
        <v>58</v>
      </c>
      <c r="L16" s="35">
        <v>65</v>
      </c>
      <c r="M16" s="24">
        <v>68</v>
      </c>
      <c r="N16" s="10">
        <v>65</v>
      </c>
      <c r="O16" s="10">
        <v>61</v>
      </c>
      <c r="P16" s="10">
        <v>64</v>
      </c>
      <c r="Q16" s="10">
        <v>69</v>
      </c>
      <c r="R16" s="10">
        <v>72</v>
      </c>
      <c r="S16" s="10">
        <v>78</v>
      </c>
      <c r="T16" s="10">
        <v>81</v>
      </c>
      <c r="U16" s="10">
        <v>83</v>
      </c>
      <c r="V16" s="10"/>
      <c r="W16" s="24"/>
      <c r="X16" s="35"/>
      <c r="Y16" s="35"/>
      <c r="Z16" s="10"/>
      <c r="AA16" s="10"/>
      <c r="AB16" s="10"/>
      <c r="AC16" s="10"/>
      <c r="AD16" s="10"/>
    </row>
    <row r="17" spans="1:30" ht="19.899999999999999" customHeight="1" x14ac:dyDescent="0.2">
      <c r="A17" s="31"/>
      <c r="B17" s="11" t="s">
        <v>0</v>
      </c>
      <c r="C17" s="15">
        <v>3</v>
      </c>
      <c r="D17" s="13" t="s">
        <v>10</v>
      </c>
      <c r="E17" s="46" t="s">
        <v>35</v>
      </c>
      <c r="F17" s="9">
        <v>15</v>
      </c>
      <c r="G17" s="9">
        <v>23</v>
      </c>
      <c r="H17" s="9">
        <v>39</v>
      </c>
      <c r="I17" s="34">
        <v>46</v>
      </c>
      <c r="J17" s="34">
        <v>51</v>
      </c>
      <c r="K17" s="34">
        <v>55</v>
      </c>
      <c r="L17" s="34">
        <v>59</v>
      </c>
      <c r="M17" s="23">
        <v>65</v>
      </c>
      <c r="N17" s="9">
        <v>69</v>
      </c>
      <c r="O17" s="9">
        <v>58</v>
      </c>
      <c r="P17" s="9">
        <v>63</v>
      </c>
      <c r="Q17" s="9">
        <v>68</v>
      </c>
      <c r="R17" s="9">
        <v>71</v>
      </c>
      <c r="S17" s="9">
        <v>80</v>
      </c>
      <c r="T17" s="9">
        <v>84</v>
      </c>
      <c r="U17" s="9">
        <v>88</v>
      </c>
      <c r="V17" s="9"/>
      <c r="W17" s="23"/>
      <c r="X17" s="34"/>
      <c r="Y17" s="34"/>
      <c r="Z17" s="9"/>
      <c r="AA17" s="9"/>
      <c r="AB17" s="9"/>
      <c r="AC17" s="9"/>
      <c r="AD17" s="9"/>
    </row>
    <row r="18" spans="1:30" ht="19.899999999999999" customHeight="1" thickBot="1" x14ac:dyDescent="0.25">
      <c r="A18" s="31"/>
      <c r="B18" s="14"/>
      <c r="C18" s="16"/>
      <c r="D18" s="17" t="s">
        <v>11</v>
      </c>
      <c r="E18" s="47" t="s">
        <v>35</v>
      </c>
      <c r="F18" s="10">
        <v>15</v>
      </c>
      <c r="G18" s="10">
        <v>22</v>
      </c>
      <c r="H18" s="10">
        <v>31</v>
      </c>
      <c r="I18" s="35">
        <v>44</v>
      </c>
      <c r="J18" s="35">
        <v>53</v>
      </c>
      <c r="K18" s="35">
        <v>58</v>
      </c>
      <c r="L18" s="35">
        <v>61</v>
      </c>
      <c r="M18" s="24">
        <v>69</v>
      </c>
      <c r="N18" s="10">
        <v>76</v>
      </c>
      <c r="O18" s="10">
        <v>73</v>
      </c>
      <c r="P18" s="10">
        <v>75</v>
      </c>
      <c r="Q18" s="10">
        <v>79</v>
      </c>
      <c r="R18" s="10">
        <v>82</v>
      </c>
      <c r="S18" s="10">
        <v>89</v>
      </c>
      <c r="T18" s="10">
        <v>91</v>
      </c>
      <c r="U18" s="10">
        <v>96</v>
      </c>
      <c r="V18" s="10"/>
      <c r="W18" s="24"/>
      <c r="X18" s="35"/>
      <c r="Y18" s="35"/>
      <c r="Z18" s="10"/>
      <c r="AA18" s="10"/>
      <c r="AB18" s="10"/>
      <c r="AC18" s="10"/>
      <c r="AD18" s="10"/>
    </row>
    <row r="19" spans="1:30" ht="19.899999999999999" customHeight="1" x14ac:dyDescent="0.2">
      <c r="A19" s="31"/>
      <c r="B19" s="11" t="s">
        <v>0</v>
      </c>
      <c r="C19" s="15">
        <v>4</v>
      </c>
      <c r="D19" s="13" t="s">
        <v>10</v>
      </c>
      <c r="E19" s="46" t="s">
        <v>38</v>
      </c>
      <c r="F19" s="9">
        <v>15</v>
      </c>
      <c r="G19" s="9">
        <v>21</v>
      </c>
      <c r="H19" s="9">
        <v>36</v>
      </c>
      <c r="I19" s="34">
        <v>45</v>
      </c>
      <c r="J19" s="34">
        <v>51</v>
      </c>
      <c r="K19" s="34">
        <v>56</v>
      </c>
      <c r="L19" s="34">
        <v>60</v>
      </c>
      <c r="M19" s="23">
        <v>69</v>
      </c>
      <c r="N19" s="9">
        <v>78</v>
      </c>
      <c r="O19" s="9">
        <v>76</v>
      </c>
      <c r="P19" s="9">
        <v>81</v>
      </c>
      <c r="Q19" s="9">
        <v>86</v>
      </c>
      <c r="R19" s="9">
        <v>92</v>
      </c>
      <c r="S19" s="9">
        <v>103</v>
      </c>
      <c r="T19" s="9">
        <v>111</v>
      </c>
      <c r="U19" s="9">
        <v>113</v>
      </c>
      <c r="V19" s="9"/>
      <c r="W19" s="23"/>
      <c r="X19" s="34"/>
      <c r="Y19" s="34"/>
      <c r="Z19" s="9"/>
      <c r="AA19" s="9"/>
      <c r="AB19" s="9"/>
      <c r="AC19" s="9"/>
      <c r="AD19" s="9"/>
    </row>
    <row r="20" spans="1:30" ht="19.899999999999999" customHeight="1" thickBot="1" x14ac:dyDescent="0.25">
      <c r="A20" s="31"/>
      <c r="B20" s="14"/>
      <c r="C20" s="16"/>
      <c r="D20" s="17" t="s">
        <v>11</v>
      </c>
      <c r="E20" s="47" t="s">
        <v>38</v>
      </c>
      <c r="F20" s="10">
        <v>14</v>
      </c>
      <c r="G20" s="10">
        <v>19</v>
      </c>
      <c r="H20" s="10">
        <v>33</v>
      </c>
      <c r="I20" s="35">
        <v>48</v>
      </c>
      <c r="J20" s="35">
        <v>55</v>
      </c>
      <c r="K20" s="35">
        <v>57</v>
      </c>
      <c r="L20" s="35">
        <v>62</v>
      </c>
      <c r="M20" s="24">
        <v>73</v>
      </c>
      <c r="N20" s="10">
        <v>80</v>
      </c>
      <c r="O20" s="10">
        <v>75</v>
      </c>
      <c r="P20" s="10">
        <v>80</v>
      </c>
      <c r="Q20" s="10">
        <v>82</v>
      </c>
      <c r="R20" s="10">
        <v>86</v>
      </c>
      <c r="S20" s="10">
        <v>91</v>
      </c>
      <c r="T20" s="10">
        <v>98</v>
      </c>
      <c r="U20" s="10">
        <v>102</v>
      </c>
      <c r="V20" s="10"/>
      <c r="W20" s="24"/>
      <c r="X20" s="35"/>
      <c r="Y20" s="35"/>
      <c r="Z20" s="10"/>
      <c r="AA20" s="10"/>
      <c r="AB20" s="10"/>
      <c r="AC20" s="10"/>
      <c r="AD20" s="10"/>
    </row>
    <row r="21" spans="1:30" ht="19.899999999999999" customHeight="1" x14ac:dyDescent="0.2">
      <c r="A21" s="31"/>
      <c r="B21" s="11" t="s">
        <v>1</v>
      </c>
      <c r="C21" s="15">
        <v>4</v>
      </c>
      <c r="D21" s="13" t="s">
        <v>11</v>
      </c>
      <c r="E21" s="46" t="s">
        <v>37</v>
      </c>
      <c r="F21" s="9">
        <v>12</v>
      </c>
      <c r="G21" s="9">
        <v>17</v>
      </c>
      <c r="H21" s="9">
        <v>26</v>
      </c>
      <c r="I21" s="34">
        <v>35</v>
      </c>
      <c r="J21" s="34">
        <v>44</v>
      </c>
      <c r="K21" s="34">
        <v>48</v>
      </c>
      <c r="L21" s="34">
        <v>50</v>
      </c>
      <c r="M21" s="23">
        <v>54</v>
      </c>
      <c r="N21" s="9">
        <v>53</v>
      </c>
      <c r="O21" s="9">
        <v>51</v>
      </c>
      <c r="P21" s="9">
        <v>53</v>
      </c>
      <c r="Q21" s="9">
        <v>56</v>
      </c>
      <c r="R21" s="9">
        <v>60</v>
      </c>
      <c r="S21" s="9">
        <v>71</v>
      </c>
      <c r="T21" s="9">
        <v>79</v>
      </c>
      <c r="U21" s="9">
        <v>84</v>
      </c>
      <c r="V21" s="9"/>
      <c r="W21" s="23"/>
      <c r="X21" s="34"/>
      <c r="Y21" s="34"/>
      <c r="Z21" s="9"/>
      <c r="AA21" s="9"/>
      <c r="AB21" s="9"/>
      <c r="AC21" s="9"/>
      <c r="AD21" s="9"/>
    </row>
    <row r="22" spans="1:30" ht="19.899999999999999" customHeight="1" thickBot="1" x14ac:dyDescent="0.25">
      <c r="A22" s="31"/>
      <c r="B22" s="14"/>
      <c r="C22" s="16"/>
      <c r="D22" s="17" t="s">
        <v>10</v>
      </c>
      <c r="E22" s="47" t="s">
        <v>37</v>
      </c>
      <c r="F22" s="10">
        <v>13</v>
      </c>
      <c r="G22" s="10">
        <v>17</v>
      </c>
      <c r="H22" s="10">
        <v>31</v>
      </c>
      <c r="I22" s="35">
        <v>39</v>
      </c>
      <c r="J22" s="35">
        <v>48</v>
      </c>
      <c r="K22" s="35">
        <v>53</v>
      </c>
      <c r="L22" s="35">
        <v>57</v>
      </c>
      <c r="M22" s="24">
        <v>68</v>
      </c>
      <c r="N22" s="10">
        <v>74</v>
      </c>
      <c r="O22" s="10">
        <v>68</v>
      </c>
      <c r="P22" s="10">
        <v>73</v>
      </c>
      <c r="Q22" s="10">
        <v>74</v>
      </c>
      <c r="R22" s="10">
        <v>77</v>
      </c>
      <c r="S22" s="10">
        <v>84</v>
      </c>
      <c r="T22" s="10">
        <v>90</v>
      </c>
      <c r="U22" s="10">
        <v>93</v>
      </c>
      <c r="V22" s="10"/>
      <c r="W22" s="24"/>
      <c r="X22" s="35"/>
      <c r="Y22" s="35"/>
      <c r="Z22" s="10"/>
      <c r="AA22" s="10"/>
      <c r="AB22" s="10"/>
      <c r="AC22" s="10"/>
      <c r="AD22" s="10"/>
    </row>
    <row r="23" spans="1:30" ht="19.899999999999999" customHeight="1" x14ac:dyDescent="0.2">
      <c r="A23" s="31"/>
      <c r="B23" s="11" t="s">
        <v>1</v>
      </c>
      <c r="C23" s="15">
        <v>3</v>
      </c>
      <c r="D23" s="13" t="s">
        <v>11</v>
      </c>
      <c r="E23" s="46" t="s">
        <v>38</v>
      </c>
      <c r="F23" s="9">
        <v>10</v>
      </c>
      <c r="G23" s="9">
        <v>21</v>
      </c>
      <c r="H23" s="9">
        <v>32</v>
      </c>
      <c r="I23" s="34">
        <v>40</v>
      </c>
      <c r="J23" s="34">
        <v>48</v>
      </c>
      <c r="K23" s="34">
        <v>54</v>
      </c>
      <c r="L23" s="34">
        <v>61</v>
      </c>
      <c r="M23" s="23">
        <v>64</v>
      </c>
      <c r="N23" s="9">
        <v>65</v>
      </c>
      <c r="O23" s="9">
        <v>62</v>
      </c>
      <c r="P23" s="9">
        <v>63</v>
      </c>
      <c r="Q23" s="9">
        <v>64</v>
      </c>
      <c r="R23" s="9">
        <v>67</v>
      </c>
      <c r="S23" s="9">
        <v>70</v>
      </c>
      <c r="T23" s="9">
        <v>69</v>
      </c>
      <c r="U23" s="9">
        <v>74</v>
      </c>
      <c r="V23" s="9"/>
      <c r="W23" s="23"/>
      <c r="X23" s="34"/>
      <c r="Y23" s="34"/>
      <c r="Z23" s="9"/>
      <c r="AA23" s="9"/>
      <c r="AB23" s="9"/>
      <c r="AC23" s="9"/>
      <c r="AD23" s="9"/>
    </row>
    <row r="24" spans="1:30" ht="19.899999999999999" customHeight="1" thickBot="1" x14ac:dyDescent="0.25">
      <c r="A24" s="31"/>
      <c r="B24" s="14"/>
      <c r="C24" s="16"/>
      <c r="D24" s="17" t="s">
        <v>10</v>
      </c>
      <c r="E24" s="47" t="s">
        <v>38</v>
      </c>
      <c r="F24" s="10">
        <v>13</v>
      </c>
      <c r="G24" s="10">
        <v>19</v>
      </c>
      <c r="H24" s="10">
        <v>32</v>
      </c>
      <c r="I24" s="35">
        <v>43</v>
      </c>
      <c r="J24" s="35">
        <v>52</v>
      </c>
      <c r="K24" s="35">
        <v>59</v>
      </c>
      <c r="L24" s="35">
        <v>65</v>
      </c>
      <c r="M24" s="24">
        <v>76</v>
      </c>
      <c r="N24" s="10">
        <v>79</v>
      </c>
      <c r="O24" s="10">
        <v>79</v>
      </c>
      <c r="P24" s="10">
        <v>81</v>
      </c>
      <c r="Q24" s="10">
        <v>82</v>
      </c>
      <c r="R24" s="10">
        <v>86</v>
      </c>
      <c r="S24" s="10">
        <v>92</v>
      </c>
      <c r="T24" s="10">
        <v>97</v>
      </c>
      <c r="U24" s="10">
        <v>101</v>
      </c>
      <c r="V24" s="10"/>
      <c r="W24" s="24"/>
      <c r="X24" s="35"/>
      <c r="Y24" s="35"/>
      <c r="Z24" s="10"/>
      <c r="AA24" s="10"/>
      <c r="AB24" s="10"/>
      <c r="AC24" s="10"/>
      <c r="AD24" s="10"/>
    </row>
    <row r="25" spans="1:30" ht="19.899999999999999" customHeight="1" x14ac:dyDescent="0.2">
      <c r="A25" s="31"/>
      <c r="B25" s="11" t="s">
        <v>1</v>
      </c>
      <c r="C25" s="15">
        <v>2</v>
      </c>
      <c r="D25" s="13" t="s">
        <v>11</v>
      </c>
      <c r="E25" s="46" t="s">
        <v>37</v>
      </c>
      <c r="F25" s="9">
        <v>13</v>
      </c>
      <c r="G25" s="9">
        <v>18</v>
      </c>
      <c r="H25" s="9">
        <v>33</v>
      </c>
      <c r="I25" s="34">
        <v>40</v>
      </c>
      <c r="J25" s="34">
        <v>50</v>
      </c>
      <c r="K25" s="34">
        <v>56</v>
      </c>
      <c r="L25" s="34">
        <v>59</v>
      </c>
      <c r="M25" s="23">
        <v>62</v>
      </c>
      <c r="N25" s="9">
        <v>68</v>
      </c>
      <c r="O25" s="9">
        <v>64</v>
      </c>
      <c r="P25" s="9">
        <v>66</v>
      </c>
      <c r="Q25" s="9">
        <v>70</v>
      </c>
      <c r="R25" s="9">
        <v>75</v>
      </c>
      <c r="S25" s="9">
        <v>83</v>
      </c>
      <c r="T25" s="9">
        <v>91</v>
      </c>
      <c r="U25" s="9">
        <v>98</v>
      </c>
      <c r="V25" s="9"/>
      <c r="W25" s="23"/>
      <c r="X25" s="34"/>
      <c r="Y25" s="34"/>
      <c r="Z25" s="9"/>
      <c r="AA25" s="9"/>
      <c r="AB25" s="9"/>
      <c r="AC25" s="9"/>
      <c r="AD25" s="9"/>
    </row>
    <row r="26" spans="1:30" ht="19.899999999999999" customHeight="1" thickBot="1" x14ac:dyDescent="0.25">
      <c r="A26" s="31"/>
      <c r="B26" s="14"/>
      <c r="C26" s="16"/>
      <c r="D26" s="17" t="s">
        <v>10</v>
      </c>
      <c r="E26" s="47" t="s">
        <v>37</v>
      </c>
      <c r="F26" s="10">
        <v>14</v>
      </c>
      <c r="G26" s="10">
        <v>21</v>
      </c>
      <c r="H26" s="10">
        <v>33</v>
      </c>
      <c r="I26" s="35">
        <v>41</v>
      </c>
      <c r="J26" s="35">
        <v>55</v>
      </c>
      <c r="K26" s="35">
        <v>61</v>
      </c>
      <c r="L26" s="35">
        <v>66</v>
      </c>
      <c r="M26" s="24">
        <v>75</v>
      </c>
      <c r="N26" s="10">
        <v>77</v>
      </c>
      <c r="O26" s="10">
        <v>77</v>
      </c>
      <c r="P26" s="10">
        <v>79</v>
      </c>
      <c r="Q26" s="10">
        <v>85</v>
      </c>
      <c r="R26" s="10">
        <v>92</v>
      </c>
      <c r="S26" s="10">
        <v>104</v>
      </c>
      <c r="T26" s="10">
        <v>113</v>
      </c>
      <c r="U26" s="10">
        <v>119</v>
      </c>
      <c r="V26" s="10"/>
      <c r="W26" s="24"/>
      <c r="X26" s="35"/>
      <c r="Y26" s="35"/>
      <c r="Z26" s="10"/>
      <c r="AA26" s="10"/>
      <c r="AB26" s="10"/>
      <c r="AC26" s="10"/>
      <c r="AD26" s="10"/>
    </row>
    <row r="27" spans="1:30" ht="19.899999999999999" customHeight="1" x14ac:dyDescent="0.2">
      <c r="A27" s="31"/>
      <c r="B27" s="11" t="s">
        <v>1</v>
      </c>
      <c r="C27" s="15">
        <v>1</v>
      </c>
      <c r="D27" s="13" t="s">
        <v>11</v>
      </c>
      <c r="E27" s="46" t="s">
        <v>36</v>
      </c>
      <c r="F27" s="9">
        <v>12</v>
      </c>
      <c r="G27" s="9">
        <v>21</v>
      </c>
      <c r="H27" s="9">
        <v>30</v>
      </c>
      <c r="I27" s="34">
        <v>39</v>
      </c>
      <c r="J27" s="34">
        <v>52</v>
      </c>
      <c r="K27" s="34">
        <v>58</v>
      </c>
      <c r="L27" s="34">
        <v>62</v>
      </c>
      <c r="M27" s="23">
        <v>71</v>
      </c>
      <c r="N27" s="9">
        <v>72</v>
      </c>
      <c r="O27" s="9">
        <v>70</v>
      </c>
      <c r="P27" s="9">
        <v>70</v>
      </c>
      <c r="Q27" s="9">
        <v>74</v>
      </c>
      <c r="R27" s="9">
        <v>79</v>
      </c>
      <c r="S27" s="9">
        <v>83</v>
      </c>
      <c r="T27" s="9">
        <v>85</v>
      </c>
      <c r="U27" s="9">
        <v>86</v>
      </c>
      <c r="V27" s="9"/>
      <c r="W27" s="42"/>
      <c r="X27" s="59"/>
      <c r="Y27" s="59"/>
      <c r="Z27" s="9"/>
      <c r="AA27" s="9"/>
      <c r="AB27" s="9"/>
      <c r="AC27" s="9"/>
      <c r="AD27" s="9"/>
    </row>
    <row r="28" spans="1:30" ht="19.899999999999999" customHeight="1" thickBot="1" x14ac:dyDescent="0.25">
      <c r="A28" s="31"/>
      <c r="B28" s="14"/>
      <c r="C28" s="16"/>
      <c r="D28" s="17" t="s">
        <v>10</v>
      </c>
      <c r="E28" s="47" t="s">
        <v>36</v>
      </c>
      <c r="F28" s="10">
        <v>13</v>
      </c>
      <c r="G28" s="10">
        <v>20</v>
      </c>
      <c r="H28" s="10">
        <v>32</v>
      </c>
      <c r="I28" s="35">
        <v>40</v>
      </c>
      <c r="J28" s="35">
        <v>53</v>
      </c>
      <c r="K28" s="35">
        <v>58</v>
      </c>
      <c r="L28" s="35">
        <v>63</v>
      </c>
      <c r="M28" s="24">
        <v>74</v>
      </c>
      <c r="N28" s="10">
        <v>79</v>
      </c>
      <c r="O28" s="10">
        <v>79</v>
      </c>
      <c r="P28" s="10">
        <v>78</v>
      </c>
      <c r="Q28" s="10">
        <v>82</v>
      </c>
      <c r="R28" s="10">
        <v>85</v>
      </c>
      <c r="S28" s="10">
        <v>91</v>
      </c>
      <c r="T28" s="10">
        <v>96</v>
      </c>
      <c r="U28" s="10">
        <v>99</v>
      </c>
      <c r="V28" s="10"/>
      <c r="W28" s="24"/>
      <c r="X28" s="35"/>
      <c r="Y28" s="35"/>
      <c r="Z28" s="10"/>
      <c r="AA28" s="10"/>
      <c r="AB28" s="10"/>
      <c r="AC28" s="10"/>
      <c r="AD28" s="10"/>
    </row>
    <row r="29" spans="1:30" ht="19.899999999999999" customHeight="1" x14ac:dyDescent="0.2">
      <c r="A29" s="31"/>
      <c r="B29" s="11" t="s">
        <v>2</v>
      </c>
      <c r="C29" s="15">
        <v>1</v>
      </c>
      <c r="D29" s="13" t="s">
        <v>10</v>
      </c>
      <c r="E29" s="46" t="s">
        <v>36</v>
      </c>
      <c r="F29" s="9">
        <v>13</v>
      </c>
      <c r="G29" s="9">
        <v>20</v>
      </c>
      <c r="H29" s="9">
        <v>28</v>
      </c>
      <c r="I29" s="34">
        <v>38</v>
      </c>
      <c r="J29" s="34">
        <v>53</v>
      </c>
      <c r="K29" s="34">
        <v>62</v>
      </c>
      <c r="L29" s="34">
        <v>69</v>
      </c>
      <c r="M29" s="23">
        <v>78</v>
      </c>
      <c r="N29" s="9">
        <v>78</v>
      </c>
      <c r="O29" s="9">
        <v>79</v>
      </c>
      <c r="P29" s="9">
        <v>80</v>
      </c>
      <c r="Q29" s="9">
        <v>82</v>
      </c>
      <c r="R29" s="9">
        <v>86</v>
      </c>
      <c r="S29" s="9">
        <v>94</v>
      </c>
      <c r="T29" s="9">
        <v>100</v>
      </c>
      <c r="U29" s="9">
        <v>104</v>
      </c>
      <c r="V29" s="9"/>
      <c r="W29" s="42"/>
      <c r="X29" s="59"/>
      <c r="Y29" s="59"/>
      <c r="Z29" s="9"/>
      <c r="AA29" s="9"/>
      <c r="AB29" s="9"/>
      <c r="AC29" s="9"/>
      <c r="AD29" s="9"/>
    </row>
    <row r="30" spans="1:30" ht="19.899999999999999" customHeight="1" thickBot="1" x14ac:dyDescent="0.25">
      <c r="A30" s="31"/>
      <c r="B30" s="14"/>
      <c r="C30" s="16"/>
      <c r="D30" s="17" t="s">
        <v>11</v>
      </c>
      <c r="E30" s="47" t="s">
        <v>36</v>
      </c>
      <c r="F30" s="10">
        <v>16</v>
      </c>
      <c r="G30" s="10">
        <v>20</v>
      </c>
      <c r="H30" s="10">
        <v>34</v>
      </c>
      <c r="I30" s="35">
        <v>42</v>
      </c>
      <c r="J30" s="35">
        <v>57</v>
      </c>
      <c r="K30" s="35">
        <v>60</v>
      </c>
      <c r="L30" s="35">
        <v>65</v>
      </c>
      <c r="M30" s="24">
        <v>71</v>
      </c>
      <c r="N30" s="10">
        <v>75</v>
      </c>
      <c r="O30" s="10">
        <v>72</v>
      </c>
      <c r="P30" s="10">
        <v>75</v>
      </c>
      <c r="Q30" s="10">
        <v>78</v>
      </c>
      <c r="R30" s="10">
        <v>82</v>
      </c>
      <c r="S30" s="10">
        <v>89</v>
      </c>
      <c r="T30" s="10">
        <v>96</v>
      </c>
      <c r="U30" s="10">
        <v>99</v>
      </c>
      <c r="V30" s="10"/>
      <c r="W30" s="24"/>
      <c r="X30" s="35"/>
      <c r="Y30" s="35"/>
      <c r="Z30" s="10"/>
      <c r="AA30" s="10"/>
      <c r="AB30" s="10"/>
      <c r="AC30" s="10"/>
      <c r="AD30" s="10"/>
    </row>
    <row r="31" spans="1:30" ht="19.899999999999999" customHeight="1" x14ac:dyDescent="0.2">
      <c r="A31" s="31"/>
      <c r="B31" s="11" t="s">
        <v>2</v>
      </c>
      <c r="C31" s="15">
        <v>2</v>
      </c>
      <c r="D31" s="13" t="s">
        <v>10</v>
      </c>
      <c r="E31" s="46" t="s">
        <v>37</v>
      </c>
      <c r="F31" s="9">
        <v>13</v>
      </c>
      <c r="G31" s="9">
        <v>17</v>
      </c>
      <c r="H31" s="9">
        <v>32</v>
      </c>
      <c r="I31" s="34">
        <v>40</v>
      </c>
      <c r="J31" s="34">
        <v>54</v>
      </c>
      <c r="K31" s="34">
        <v>59</v>
      </c>
      <c r="L31" s="34">
        <v>70</v>
      </c>
      <c r="M31" s="23">
        <v>80</v>
      </c>
      <c r="N31" s="9">
        <v>82</v>
      </c>
      <c r="O31" s="9">
        <v>84</v>
      </c>
      <c r="P31" s="9">
        <v>86</v>
      </c>
      <c r="Q31" s="9">
        <v>90</v>
      </c>
      <c r="R31" s="9">
        <v>95</v>
      </c>
      <c r="S31" s="9">
        <v>106</v>
      </c>
      <c r="T31" s="9">
        <v>116</v>
      </c>
      <c r="U31" s="9">
        <v>120</v>
      </c>
      <c r="V31" s="9"/>
      <c r="W31" s="23"/>
      <c r="X31" s="34"/>
      <c r="Y31" s="34"/>
      <c r="Z31" s="9"/>
      <c r="AA31" s="9"/>
      <c r="AB31" s="9"/>
      <c r="AC31" s="9"/>
      <c r="AD31" s="9"/>
    </row>
    <row r="32" spans="1:30" ht="19.899999999999999" customHeight="1" thickBot="1" x14ac:dyDescent="0.25">
      <c r="A32" s="31"/>
      <c r="B32" s="14"/>
      <c r="C32" s="16"/>
      <c r="D32" s="17" t="s">
        <v>11</v>
      </c>
      <c r="E32" s="47" t="s">
        <v>37</v>
      </c>
      <c r="F32" s="10">
        <v>13</v>
      </c>
      <c r="G32" s="10">
        <v>18</v>
      </c>
      <c r="H32" s="10">
        <v>31</v>
      </c>
      <c r="I32" s="35">
        <v>38</v>
      </c>
      <c r="J32" s="35">
        <v>52</v>
      </c>
      <c r="K32" s="35">
        <v>60</v>
      </c>
      <c r="L32" s="35">
        <v>72</v>
      </c>
      <c r="M32" s="24">
        <v>80</v>
      </c>
      <c r="N32" s="10">
        <v>77</v>
      </c>
      <c r="O32" s="10">
        <v>75</v>
      </c>
      <c r="P32" s="10">
        <v>78</v>
      </c>
      <c r="Q32" s="10">
        <v>83</v>
      </c>
      <c r="R32" s="10">
        <v>89</v>
      </c>
      <c r="S32" s="10">
        <v>103</v>
      </c>
      <c r="T32" s="10">
        <v>112</v>
      </c>
      <c r="U32" s="10">
        <v>116</v>
      </c>
      <c r="V32" s="10"/>
      <c r="W32" s="24"/>
      <c r="X32" s="35"/>
      <c r="Y32" s="35"/>
      <c r="Z32" s="10"/>
      <c r="AA32" s="10"/>
      <c r="AB32" s="10"/>
      <c r="AC32" s="10"/>
      <c r="AD32" s="10"/>
    </row>
    <row r="33" spans="1:30" ht="19.899999999999999" customHeight="1" x14ac:dyDescent="0.2">
      <c r="A33" s="31"/>
      <c r="B33" s="11" t="s">
        <v>2</v>
      </c>
      <c r="C33" s="15">
        <v>3</v>
      </c>
      <c r="D33" s="13" t="s">
        <v>10</v>
      </c>
      <c r="E33" s="46" t="s">
        <v>38</v>
      </c>
      <c r="F33" s="9">
        <v>15</v>
      </c>
      <c r="G33" s="9">
        <v>21</v>
      </c>
      <c r="H33" s="9">
        <v>34</v>
      </c>
      <c r="I33" s="34">
        <v>39</v>
      </c>
      <c r="J33" s="34">
        <v>54</v>
      </c>
      <c r="K33" s="34">
        <v>59</v>
      </c>
      <c r="L33" s="34">
        <v>65</v>
      </c>
      <c r="M33" s="23">
        <v>71</v>
      </c>
      <c r="N33" s="9">
        <v>76</v>
      </c>
      <c r="O33" s="9">
        <v>71</v>
      </c>
      <c r="P33" s="9">
        <v>75</v>
      </c>
      <c r="Q33" s="9">
        <v>80</v>
      </c>
      <c r="R33" s="9">
        <v>86</v>
      </c>
      <c r="S33" s="9">
        <v>96</v>
      </c>
      <c r="T33" s="9">
        <v>107</v>
      </c>
      <c r="U33" s="9">
        <v>111</v>
      </c>
      <c r="V33" s="9"/>
      <c r="W33" s="23"/>
      <c r="X33" s="34"/>
      <c r="Y33" s="34"/>
      <c r="Z33" s="9"/>
      <c r="AA33" s="9"/>
      <c r="AB33" s="9"/>
      <c r="AC33" s="9"/>
      <c r="AD33" s="9"/>
    </row>
    <row r="34" spans="1:30" ht="19.899999999999999" customHeight="1" thickBot="1" x14ac:dyDescent="0.25">
      <c r="A34" s="31"/>
      <c r="B34" s="14"/>
      <c r="C34" s="16"/>
      <c r="D34" s="17" t="s">
        <v>11</v>
      </c>
      <c r="E34" s="47" t="s">
        <v>38</v>
      </c>
      <c r="F34" s="10">
        <v>13</v>
      </c>
      <c r="G34" s="10">
        <v>19</v>
      </c>
      <c r="H34" s="10">
        <v>28</v>
      </c>
      <c r="I34" s="35">
        <v>35</v>
      </c>
      <c r="J34" s="35">
        <v>51</v>
      </c>
      <c r="K34" s="35">
        <v>57</v>
      </c>
      <c r="L34" s="35">
        <v>63</v>
      </c>
      <c r="M34" s="24">
        <v>70</v>
      </c>
      <c r="N34" s="10">
        <v>76</v>
      </c>
      <c r="O34" s="10">
        <v>79</v>
      </c>
      <c r="P34" s="10">
        <v>81</v>
      </c>
      <c r="Q34" s="10">
        <v>86</v>
      </c>
      <c r="R34" s="10">
        <v>90</v>
      </c>
      <c r="S34" s="10">
        <v>103</v>
      </c>
      <c r="T34" s="10">
        <v>115</v>
      </c>
      <c r="U34" s="10">
        <v>123</v>
      </c>
      <c r="V34" s="10"/>
      <c r="W34" s="24"/>
      <c r="X34" s="35"/>
      <c r="Y34" s="35"/>
      <c r="Z34" s="10"/>
      <c r="AA34" s="10"/>
      <c r="AB34" s="10"/>
      <c r="AC34" s="10"/>
      <c r="AD34" s="10"/>
    </row>
    <row r="35" spans="1:30" ht="19.899999999999999" customHeight="1" x14ac:dyDescent="0.2">
      <c r="A35" s="31"/>
      <c r="B35" s="11" t="s">
        <v>2</v>
      </c>
      <c r="C35" s="15">
        <v>4</v>
      </c>
      <c r="D35" s="13" t="s">
        <v>10</v>
      </c>
      <c r="E35" s="46" t="s">
        <v>37</v>
      </c>
      <c r="F35" s="9">
        <v>14</v>
      </c>
      <c r="G35" s="9">
        <v>17</v>
      </c>
      <c r="H35" s="9">
        <v>29</v>
      </c>
      <c r="I35" s="34">
        <v>34</v>
      </c>
      <c r="J35" s="34">
        <v>47</v>
      </c>
      <c r="K35" s="34">
        <v>54</v>
      </c>
      <c r="L35" s="34">
        <v>59</v>
      </c>
      <c r="M35" s="23">
        <v>64</v>
      </c>
      <c r="N35" s="9">
        <v>65</v>
      </c>
      <c r="O35" s="9">
        <v>67</v>
      </c>
      <c r="P35" s="9">
        <v>68</v>
      </c>
      <c r="Q35" s="9">
        <v>71</v>
      </c>
      <c r="R35" s="9">
        <v>76</v>
      </c>
      <c r="S35" s="9">
        <v>84</v>
      </c>
      <c r="T35" s="9">
        <v>93</v>
      </c>
      <c r="U35" s="9">
        <v>98</v>
      </c>
      <c r="V35" s="9"/>
      <c r="W35" s="23"/>
      <c r="X35" s="34"/>
      <c r="Y35" s="34"/>
      <c r="Z35" s="9"/>
      <c r="AA35" s="9"/>
      <c r="AB35" s="9"/>
      <c r="AC35" s="9"/>
      <c r="AD35" s="9"/>
    </row>
    <row r="36" spans="1:30" ht="19.899999999999999" customHeight="1" thickBot="1" x14ac:dyDescent="0.25">
      <c r="A36" s="31"/>
      <c r="B36" s="14"/>
      <c r="C36" s="16"/>
      <c r="D36" s="17" t="s">
        <v>11</v>
      </c>
      <c r="E36" s="47" t="s">
        <v>37</v>
      </c>
      <c r="F36" s="10">
        <v>10</v>
      </c>
      <c r="G36" s="10">
        <v>15</v>
      </c>
      <c r="H36" s="10">
        <v>28</v>
      </c>
      <c r="I36" s="35">
        <v>37</v>
      </c>
      <c r="J36" s="35">
        <v>50</v>
      </c>
      <c r="K36" s="35">
        <v>59</v>
      </c>
      <c r="L36" s="35">
        <v>68</v>
      </c>
      <c r="M36" s="24">
        <v>78</v>
      </c>
      <c r="N36" s="10">
        <v>78</v>
      </c>
      <c r="O36" s="10">
        <v>80</v>
      </c>
      <c r="P36" s="10">
        <v>82</v>
      </c>
      <c r="Q36" s="10">
        <v>85</v>
      </c>
      <c r="R36" s="10">
        <v>92</v>
      </c>
      <c r="S36" s="10">
        <v>100</v>
      </c>
      <c r="T36" s="10">
        <v>107</v>
      </c>
      <c r="U36" s="10">
        <v>111</v>
      </c>
      <c r="V36" s="10"/>
      <c r="W36" s="24"/>
      <c r="X36" s="35"/>
      <c r="Y36" s="35"/>
      <c r="Z36" s="10"/>
      <c r="AA36" s="10"/>
      <c r="AB36" s="10"/>
      <c r="AC36" s="10"/>
      <c r="AD36" s="10"/>
    </row>
    <row r="37" spans="1:30" ht="19.899999999999999" customHeight="1" x14ac:dyDescent="0.2">
      <c r="A37" s="31"/>
      <c r="B37" s="11" t="s">
        <v>3</v>
      </c>
      <c r="C37" s="15">
        <v>4</v>
      </c>
      <c r="D37" s="13" t="s">
        <v>11</v>
      </c>
      <c r="E37" s="46" t="s">
        <v>36</v>
      </c>
      <c r="F37" s="9">
        <v>13</v>
      </c>
      <c r="G37" s="9">
        <v>19</v>
      </c>
      <c r="H37" s="9">
        <v>30</v>
      </c>
      <c r="I37" s="34">
        <v>41</v>
      </c>
      <c r="J37" s="34">
        <v>56</v>
      </c>
      <c r="K37" s="34">
        <v>59</v>
      </c>
      <c r="L37" s="34">
        <v>62</v>
      </c>
      <c r="M37" s="23">
        <v>65</v>
      </c>
      <c r="N37" s="9">
        <v>66</v>
      </c>
      <c r="O37" s="9">
        <v>65</v>
      </c>
      <c r="P37" s="9">
        <v>65</v>
      </c>
      <c r="Q37" s="9">
        <v>67</v>
      </c>
      <c r="R37" s="9">
        <v>70</v>
      </c>
      <c r="S37" s="9">
        <v>76</v>
      </c>
      <c r="T37" s="9">
        <v>82</v>
      </c>
      <c r="U37" s="9">
        <v>86</v>
      </c>
      <c r="V37" s="9"/>
      <c r="W37" s="23"/>
      <c r="X37" s="34"/>
      <c r="Y37" s="34"/>
      <c r="Z37" s="9"/>
      <c r="AA37" s="9"/>
      <c r="AB37" s="9"/>
      <c r="AC37" s="9"/>
      <c r="AD37" s="9"/>
    </row>
    <row r="38" spans="1:30" ht="19.899999999999999" customHeight="1" thickBot="1" x14ac:dyDescent="0.25">
      <c r="A38" s="31"/>
      <c r="B38" s="14"/>
      <c r="C38" s="16"/>
      <c r="D38" s="17" t="s">
        <v>10</v>
      </c>
      <c r="E38" s="47" t="s">
        <v>36</v>
      </c>
      <c r="F38" s="10">
        <v>16</v>
      </c>
      <c r="G38" s="10">
        <v>20</v>
      </c>
      <c r="H38" s="10">
        <v>31</v>
      </c>
      <c r="I38" s="35">
        <v>38</v>
      </c>
      <c r="J38" s="35">
        <v>43</v>
      </c>
      <c r="K38" s="35">
        <v>49</v>
      </c>
      <c r="L38" s="35">
        <v>54</v>
      </c>
      <c r="M38" s="24">
        <v>60</v>
      </c>
      <c r="N38" s="10">
        <v>60</v>
      </c>
      <c r="O38" s="10">
        <v>58</v>
      </c>
      <c r="P38" s="10">
        <v>63</v>
      </c>
      <c r="Q38" s="10">
        <v>65</v>
      </c>
      <c r="R38" s="10">
        <v>71</v>
      </c>
      <c r="S38" s="10">
        <v>74</v>
      </c>
      <c r="T38" s="10">
        <v>80</v>
      </c>
      <c r="U38" s="10">
        <v>84</v>
      </c>
      <c r="V38" s="10"/>
      <c r="W38" s="24"/>
      <c r="X38" s="35"/>
      <c r="Y38" s="35"/>
      <c r="Z38" s="10"/>
      <c r="AA38" s="10"/>
      <c r="AB38" s="10"/>
      <c r="AC38" s="10"/>
      <c r="AD38" s="10"/>
    </row>
    <row r="39" spans="1:30" ht="19.899999999999999" customHeight="1" x14ac:dyDescent="0.2">
      <c r="A39" s="31"/>
      <c r="B39" s="11" t="s">
        <v>3</v>
      </c>
      <c r="C39" s="15">
        <v>3</v>
      </c>
      <c r="D39" s="13" t="s">
        <v>11</v>
      </c>
      <c r="E39" s="46" t="s">
        <v>35</v>
      </c>
      <c r="F39" s="9">
        <v>16</v>
      </c>
      <c r="G39" s="9">
        <v>23</v>
      </c>
      <c r="H39" s="9">
        <v>32</v>
      </c>
      <c r="I39" s="34">
        <v>40</v>
      </c>
      <c r="J39" s="34">
        <v>48</v>
      </c>
      <c r="K39" s="34">
        <v>52</v>
      </c>
      <c r="L39" s="34">
        <v>57</v>
      </c>
      <c r="M39" s="23">
        <v>62</v>
      </c>
      <c r="N39" s="9">
        <v>65</v>
      </c>
      <c r="O39" s="9">
        <v>64</v>
      </c>
      <c r="P39" s="9">
        <v>69</v>
      </c>
      <c r="Q39" s="9">
        <v>73</v>
      </c>
      <c r="R39" s="9">
        <v>78</v>
      </c>
      <c r="S39" s="9">
        <v>83</v>
      </c>
      <c r="T39" s="9">
        <v>87</v>
      </c>
      <c r="U39" s="9">
        <v>89</v>
      </c>
      <c r="V39" s="9"/>
      <c r="W39" s="23"/>
      <c r="X39" s="34"/>
      <c r="Y39" s="34"/>
      <c r="Z39" s="9"/>
      <c r="AA39" s="9"/>
      <c r="AB39" s="9"/>
      <c r="AC39" s="9"/>
      <c r="AD39" s="9"/>
    </row>
    <row r="40" spans="1:30" ht="19.899999999999999" customHeight="1" thickBot="1" x14ac:dyDescent="0.25">
      <c r="A40" s="31"/>
      <c r="B40" s="14"/>
      <c r="C40" s="16"/>
      <c r="D40" s="17" t="s">
        <v>10</v>
      </c>
      <c r="E40" s="47" t="s">
        <v>35</v>
      </c>
      <c r="F40" s="10">
        <v>15</v>
      </c>
      <c r="G40" s="10">
        <v>22</v>
      </c>
      <c r="H40" s="10">
        <v>32</v>
      </c>
      <c r="I40" s="35">
        <v>45</v>
      </c>
      <c r="J40" s="35">
        <v>50</v>
      </c>
      <c r="K40" s="35">
        <v>54</v>
      </c>
      <c r="L40" s="35">
        <v>56</v>
      </c>
      <c r="M40" s="24">
        <v>58</v>
      </c>
      <c r="N40" s="10">
        <v>64</v>
      </c>
      <c r="O40" s="10">
        <v>66</v>
      </c>
      <c r="P40" s="10">
        <v>64</v>
      </c>
      <c r="Q40" s="10">
        <v>71</v>
      </c>
      <c r="R40" s="10">
        <v>79</v>
      </c>
      <c r="S40" s="10">
        <v>88</v>
      </c>
      <c r="T40" s="10">
        <v>95</v>
      </c>
      <c r="U40" s="10">
        <v>97</v>
      </c>
      <c r="V40" s="10"/>
      <c r="W40" s="24"/>
      <c r="X40" s="35"/>
      <c r="Y40" s="35"/>
      <c r="Z40" s="10"/>
      <c r="AA40" s="10"/>
      <c r="AB40" s="10"/>
      <c r="AC40" s="10"/>
      <c r="AD40" s="10"/>
    </row>
    <row r="41" spans="1:30" ht="19.899999999999999" customHeight="1" x14ac:dyDescent="0.2">
      <c r="A41" s="31"/>
      <c r="B41" s="11" t="s">
        <v>3</v>
      </c>
      <c r="C41" s="15">
        <v>2</v>
      </c>
      <c r="D41" s="13" t="s">
        <v>11</v>
      </c>
      <c r="E41" s="46" t="s">
        <v>38</v>
      </c>
      <c r="F41" s="9">
        <v>14</v>
      </c>
      <c r="G41" s="9">
        <v>20</v>
      </c>
      <c r="H41" s="9">
        <v>30</v>
      </c>
      <c r="I41" s="34">
        <v>42</v>
      </c>
      <c r="J41" s="34">
        <v>55</v>
      </c>
      <c r="K41" s="34">
        <v>62</v>
      </c>
      <c r="L41" s="34">
        <v>76</v>
      </c>
      <c r="M41" s="23">
        <v>87</v>
      </c>
      <c r="N41" s="9">
        <v>88</v>
      </c>
      <c r="O41" s="9">
        <v>85</v>
      </c>
      <c r="P41" s="9">
        <v>87</v>
      </c>
      <c r="Q41" s="9">
        <v>92</v>
      </c>
      <c r="R41" s="9">
        <v>99</v>
      </c>
      <c r="S41" s="9">
        <v>109</v>
      </c>
      <c r="T41" s="9">
        <v>118</v>
      </c>
      <c r="U41" s="9">
        <v>123</v>
      </c>
      <c r="V41" s="9"/>
      <c r="W41" s="23"/>
      <c r="X41" s="34"/>
      <c r="Y41" s="34"/>
      <c r="Z41" s="9"/>
      <c r="AA41" s="9"/>
      <c r="AB41" s="9"/>
      <c r="AC41" s="9"/>
      <c r="AD41" s="9"/>
    </row>
    <row r="42" spans="1:30" ht="19.899999999999999" customHeight="1" thickBot="1" x14ac:dyDescent="0.25">
      <c r="A42" s="31"/>
      <c r="B42" s="14"/>
      <c r="C42" s="16"/>
      <c r="D42" s="17" t="s">
        <v>10</v>
      </c>
      <c r="E42" s="47" t="s">
        <v>38</v>
      </c>
      <c r="F42" s="10">
        <v>14</v>
      </c>
      <c r="G42" s="10">
        <v>20</v>
      </c>
      <c r="H42" s="10">
        <v>31</v>
      </c>
      <c r="I42" s="35">
        <v>37</v>
      </c>
      <c r="J42" s="35">
        <v>52</v>
      </c>
      <c r="K42" s="35">
        <v>60</v>
      </c>
      <c r="L42" s="35">
        <v>73</v>
      </c>
      <c r="M42" s="24">
        <v>81</v>
      </c>
      <c r="N42" s="10">
        <v>84</v>
      </c>
      <c r="O42" s="10">
        <v>82</v>
      </c>
      <c r="P42" s="10">
        <v>85</v>
      </c>
      <c r="Q42" s="10">
        <v>87</v>
      </c>
      <c r="R42" s="10">
        <v>93</v>
      </c>
      <c r="S42" s="10">
        <v>118</v>
      </c>
      <c r="T42" s="10">
        <v>124</v>
      </c>
      <c r="U42" s="10">
        <v>129</v>
      </c>
      <c r="V42" s="10"/>
      <c r="W42" s="24"/>
      <c r="X42" s="35"/>
      <c r="Y42" s="35"/>
      <c r="Z42" s="10"/>
      <c r="AA42" s="10"/>
      <c r="AB42" s="10"/>
      <c r="AC42" s="10"/>
      <c r="AD42" s="10"/>
    </row>
    <row r="43" spans="1:30" ht="19.899999999999999" customHeight="1" x14ac:dyDescent="0.2">
      <c r="A43" s="31"/>
      <c r="B43" s="11" t="s">
        <v>3</v>
      </c>
      <c r="C43" s="15">
        <v>1</v>
      </c>
      <c r="D43" s="13" t="s">
        <v>11</v>
      </c>
      <c r="E43" s="46" t="s">
        <v>35</v>
      </c>
      <c r="F43" s="9">
        <v>14</v>
      </c>
      <c r="G43" s="9">
        <v>23</v>
      </c>
      <c r="H43" s="9">
        <v>36</v>
      </c>
      <c r="I43" s="34">
        <v>46</v>
      </c>
      <c r="J43" s="34">
        <v>57</v>
      </c>
      <c r="K43" s="34">
        <v>69</v>
      </c>
      <c r="L43" s="34">
        <v>75</v>
      </c>
      <c r="M43" s="23">
        <v>79</v>
      </c>
      <c r="N43" s="9">
        <v>77</v>
      </c>
      <c r="O43" s="9">
        <v>75</v>
      </c>
      <c r="P43" s="9">
        <v>77</v>
      </c>
      <c r="Q43" s="9">
        <v>80</v>
      </c>
      <c r="R43" s="9">
        <v>82</v>
      </c>
      <c r="S43" s="9">
        <v>89</v>
      </c>
      <c r="T43" s="9">
        <v>98</v>
      </c>
      <c r="U43" s="9">
        <v>105</v>
      </c>
      <c r="V43" s="9"/>
      <c r="W43" s="23"/>
      <c r="X43" s="34"/>
      <c r="Y43" s="34"/>
      <c r="Z43" s="9"/>
      <c r="AA43" s="9"/>
      <c r="AB43" s="9"/>
      <c r="AC43" s="9"/>
      <c r="AD43" s="9"/>
    </row>
    <row r="44" spans="1:30" ht="19.899999999999999" customHeight="1" thickBot="1" x14ac:dyDescent="0.25">
      <c r="A44" s="31"/>
      <c r="B44" s="14"/>
      <c r="C44" s="16"/>
      <c r="D44" s="17" t="s">
        <v>10</v>
      </c>
      <c r="E44" s="47" t="s">
        <v>35</v>
      </c>
      <c r="F44" s="10">
        <v>16</v>
      </c>
      <c r="G44" s="10">
        <v>22</v>
      </c>
      <c r="H44" s="10">
        <v>33</v>
      </c>
      <c r="I44" s="35">
        <v>43</v>
      </c>
      <c r="J44" s="35">
        <v>56</v>
      </c>
      <c r="K44" s="35">
        <v>69</v>
      </c>
      <c r="L44" s="35">
        <v>76</v>
      </c>
      <c r="M44" s="24">
        <v>82</v>
      </c>
      <c r="N44" s="10">
        <v>85</v>
      </c>
      <c r="O44" s="10">
        <v>85</v>
      </c>
      <c r="P44" s="10">
        <v>86</v>
      </c>
      <c r="Q44" s="10">
        <v>88</v>
      </c>
      <c r="R44" s="10">
        <v>91</v>
      </c>
      <c r="S44" s="10">
        <v>96</v>
      </c>
      <c r="T44" s="10">
        <v>102</v>
      </c>
      <c r="U44" s="10">
        <v>108</v>
      </c>
      <c r="V44" s="10"/>
      <c r="W44" s="24"/>
      <c r="X44" s="35"/>
      <c r="Y44" s="35"/>
      <c r="Z44" s="10"/>
      <c r="AA44" s="10"/>
      <c r="AB44" s="10"/>
      <c r="AC44" s="10"/>
      <c r="AD44" s="10"/>
    </row>
    <row r="45" spans="1:30" ht="19.899999999999999" customHeight="1" x14ac:dyDescent="0.2">
      <c r="A45" s="31"/>
      <c r="B45" s="11" t="s">
        <v>4</v>
      </c>
      <c r="C45" s="15">
        <v>1</v>
      </c>
      <c r="D45" s="13" t="s">
        <v>10</v>
      </c>
      <c r="E45" s="46" t="s">
        <v>37</v>
      </c>
      <c r="F45" s="9">
        <v>16</v>
      </c>
      <c r="G45" s="9">
        <v>24</v>
      </c>
      <c r="H45" s="9">
        <v>34</v>
      </c>
      <c r="I45" s="34">
        <v>44</v>
      </c>
      <c r="J45" s="34">
        <v>55</v>
      </c>
      <c r="K45" s="34">
        <v>61</v>
      </c>
      <c r="L45" s="34">
        <v>68</v>
      </c>
      <c r="M45" s="23">
        <v>76</v>
      </c>
      <c r="N45" s="9">
        <v>74</v>
      </c>
      <c r="O45" s="9">
        <v>75</v>
      </c>
      <c r="P45" s="9">
        <v>77</v>
      </c>
      <c r="Q45" s="9">
        <v>82</v>
      </c>
      <c r="R45" s="9">
        <v>85</v>
      </c>
      <c r="S45" s="9">
        <v>93</v>
      </c>
      <c r="T45" s="9">
        <v>100</v>
      </c>
      <c r="U45" s="9">
        <v>105</v>
      </c>
      <c r="V45" s="9"/>
      <c r="W45" s="23"/>
      <c r="X45" s="34"/>
      <c r="Y45" s="34"/>
      <c r="Z45" s="9"/>
      <c r="AA45" s="9"/>
      <c r="AB45" s="9"/>
      <c r="AC45" s="9"/>
      <c r="AD45" s="9"/>
    </row>
    <row r="46" spans="1:30" ht="19.899999999999999" customHeight="1" thickBot="1" x14ac:dyDescent="0.25">
      <c r="A46" s="31"/>
      <c r="B46" s="14"/>
      <c r="C46" s="16"/>
      <c r="D46" s="17" t="s">
        <v>11</v>
      </c>
      <c r="E46" s="47" t="s">
        <v>37</v>
      </c>
      <c r="F46" s="10">
        <v>13</v>
      </c>
      <c r="G46" s="10">
        <v>20</v>
      </c>
      <c r="H46" s="10">
        <v>35</v>
      </c>
      <c r="I46" s="35">
        <v>45</v>
      </c>
      <c r="J46" s="35">
        <v>56</v>
      </c>
      <c r="K46" s="35">
        <v>68</v>
      </c>
      <c r="L46" s="35">
        <v>80</v>
      </c>
      <c r="M46" s="24">
        <v>91</v>
      </c>
      <c r="N46" s="10">
        <v>89</v>
      </c>
      <c r="O46" s="10">
        <v>95</v>
      </c>
      <c r="P46" s="10">
        <v>92</v>
      </c>
      <c r="Q46" s="10">
        <v>96</v>
      </c>
      <c r="R46" s="10">
        <v>99</v>
      </c>
      <c r="S46" s="10">
        <v>113</v>
      </c>
      <c r="T46" s="10">
        <v>120</v>
      </c>
      <c r="U46" s="10">
        <v>126</v>
      </c>
      <c r="V46" s="10"/>
      <c r="W46" s="24"/>
      <c r="X46" s="35"/>
      <c r="Y46" s="35"/>
      <c r="Z46" s="10"/>
      <c r="AA46" s="10"/>
      <c r="AB46" s="10"/>
      <c r="AC46" s="10"/>
      <c r="AD46" s="10"/>
    </row>
    <row r="47" spans="1:30" ht="19.899999999999999" customHeight="1" x14ac:dyDescent="0.2">
      <c r="A47" s="31"/>
      <c r="B47" s="11" t="s">
        <v>4</v>
      </c>
      <c r="C47" s="15">
        <v>2</v>
      </c>
      <c r="D47" s="13" t="s">
        <v>10</v>
      </c>
      <c r="E47" s="46" t="s">
        <v>38</v>
      </c>
      <c r="F47" s="9">
        <v>14</v>
      </c>
      <c r="G47" s="9">
        <v>20</v>
      </c>
      <c r="H47" s="9">
        <v>33</v>
      </c>
      <c r="I47" s="34">
        <v>47</v>
      </c>
      <c r="J47" s="34">
        <v>60</v>
      </c>
      <c r="K47" s="34">
        <v>70</v>
      </c>
      <c r="L47" s="34">
        <v>78</v>
      </c>
      <c r="M47" s="23">
        <v>88</v>
      </c>
      <c r="N47" s="9">
        <v>91</v>
      </c>
      <c r="O47" s="9">
        <v>94</v>
      </c>
      <c r="P47" s="9">
        <v>91</v>
      </c>
      <c r="Q47" s="9">
        <v>93</v>
      </c>
      <c r="R47" s="9">
        <v>98</v>
      </c>
      <c r="S47" s="9">
        <v>108</v>
      </c>
      <c r="T47" s="9">
        <v>118</v>
      </c>
      <c r="U47" s="9">
        <v>124</v>
      </c>
      <c r="V47" s="9"/>
      <c r="W47" s="42"/>
      <c r="X47" s="59"/>
      <c r="Y47" s="59"/>
      <c r="Z47" s="9"/>
      <c r="AA47" s="9"/>
      <c r="AB47" s="9"/>
      <c r="AC47" s="9"/>
      <c r="AD47" s="9"/>
    </row>
    <row r="48" spans="1:30" ht="19.899999999999999" customHeight="1" thickBot="1" x14ac:dyDescent="0.25">
      <c r="A48" s="31"/>
      <c r="B48" s="14"/>
      <c r="C48" s="16"/>
      <c r="D48" s="17" t="s">
        <v>11</v>
      </c>
      <c r="E48" s="47" t="s">
        <v>38</v>
      </c>
      <c r="F48" s="10">
        <v>14</v>
      </c>
      <c r="G48" s="10">
        <v>21</v>
      </c>
      <c r="H48" s="10">
        <v>33</v>
      </c>
      <c r="I48" s="35">
        <v>43</v>
      </c>
      <c r="J48" s="35">
        <v>53</v>
      </c>
      <c r="K48" s="35">
        <v>59</v>
      </c>
      <c r="L48" s="35">
        <v>65</v>
      </c>
      <c r="M48" s="24">
        <v>72</v>
      </c>
      <c r="N48" s="10">
        <v>78</v>
      </c>
      <c r="O48" s="10">
        <v>75</v>
      </c>
      <c r="P48" s="10">
        <v>75</v>
      </c>
      <c r="Q48" s="10">
        <v>78</v>
      </c>
      <c r="R48" s="10">
        <v>83</v>
      </c>
      <c r="S48" s="10">
        <v>89</v>
      </c>
      <c r="T48" s="53">
        <v>95</v>
      </c>
      <c r="U48" s="10">
        <v>100</v>
      </c>
      <c r="V48" s="10"/>
      <c r="W48" s="24"/>
      <c r="X48" s="35"/>
      <c r="Y48" s="35"/>
      <c r="Z48" s="10"/>
      <c r="AA48" s="10"/>
      <c r="AB48" s="10"/>
      <c r="AC48" s="10"/>
      <c r="AD48" s="10"/>
    </row>
    <row r="49" spans="1:30" ht="19.899999999999999" customHeight="1" x14ac:dyDescent="0.2">
      <c r="A49" s="31"/>
      <c r="B49" s="11" t="s">
        <v>4</v>
      </c>
      <c r="C49" s="15">
        <v>3</v>
      </c>
      <c r="D49" s="13" t="s">
        <v>10</v>
      </c>
      <c r="E49" s="46" t="s">
        <v>36</v>
      </c>
      <c r="F49" s="9">
        <v>12</v>
      </c>
      <c r="G49" s="9">
        <v>19</v>
      </c>
      <c r="H49" s="9">
        <v>30</v>
      </c>
      <c r="I49" s="34">
        <v>44</v>
      </c>
      <c r="J49" s="34">
        <v>53</v>
      </c>
      <c r="K49" s="34">
        <v>59</v>
      </c>
      <c r="L49" s="34">
        <v>63</v>
      </c>
      <c r="M49" s="23">
        <v>70</v>
      </c>
      <c r="N49" s="9">
        <v>76</v>
      </c>
      <c r="O49" s="9">
        <v>78</v>
      </c>
      <c r="P49" s="9">
        <v>80</v>
      </c>
      <c r="Q49" s="9">
        <v>79</v>
      </c>
      <c r="R49" s="9">
        <v>81</v>
      </c>
      <c r="S49" s="9">
        <v>86</v>
      </c>
      <c r="T49" s="9">
        <v>92</v>
      </c>
      <c r="U49" s="9">
        <v>93</v>
      </c>
      <c r="V49" s="9"/>
      <c r="W49" s="42"/>
      <c r="X49" s="59"/>
      <c r="Y49" s="59"/>
      <c r="Z49" s="9"/>
      <c r="AA49" s="9"/>
      <c r="AB49" s="9"/>
      <c r="AC49" s="9"/>
      <c r="AD49" s="9"/>
    </row>
    <row r="50" spans="1:30" ht="19.899999999999999" customHeight="1" thickBot="1" x14ac:dyDescent="0.25">
      <c r="A50" s="31"/>
      <c r="B50" s="14"/>
      <c r="C50" s="16"/>
      <c r="D50" s="17" t="s">
        <v>11</v>
      </c>
      <c r="E50" s="47" t="s">
        <v>36</v>
      </c>
      <c r="F50" s="10">
        <v>15</v>
      </c>
      <c r="G50" s="10">
        <v>24</v>
      </c>
      <c r="H50" s="10">
        <v>37</v>
      </c>
      <c r="I50" s="35">
        <v>47</v>
      </c>
      <c r="J50" s="35">
        <v>58</v>
      </c>
      <c r="K50" s="35">
        <v>61</v>
      </c>
      <c r="L50" s="35">
        <v>72</v>
      </c>
      <c r="M50" s="24">
        <v>81</v>
      </c>
      <c r="N50" s="10">
        <v>81</v>
      </c>
      <c r="O50" s="10">
        <v>79</v>
      </c>
      <c r="P50" s="10">
        <v>77</v>
      </c>
      <c r="Q50" s="10">
        <v>78</v>
      </c>
      <c r="R50" s="10">
        <v>79</v>
      </c>
      <c r="S50" s="10">
        <v>85</v>
      </c>
      <c r="T50" s="10">
        <v>93</v>
      </c>
      <c r="U50" s="10">
        <v>97</v>
      </c>
      <c r="V50" s="10"/>
      <c r="W50" s="52"/>
      <c r="X50" s="60"/>
      <c r="Y50" s="60"/>
      <c r="Z50" s="10"/>
      <c r="AA50" s="10"/>
      <c r="AB50" s="10"/>
      <c r="AC50" s="10"/>
      <c r="AD50" s="10"/>
    </row>
    <row r="51" spans="1:30" ht="19.899999999999999" customHeight="1" x14ac:dyDescent="0.2">
      <c r="A51" s="31"/>
      <c r="B51" s="11" t="s">
        <v>4</v>
      </c>
      <c r="C51" s="15">
        <v>4</v>
      </c>
      <c r="D51" s="13" t="s">
        <v>10</v>
      </c>
      <c r="E51" s="46" t="s">
        <v>35</v>
      </c>
      <c r="F51" s="9">
        <v>12</v>
      </c>
      <c r="G51" s="9">
        <v>20</v>
      </c>
      <c r="H51" s="9">
        <v>29</v>
      </c>
      <c r="I51" s="34">
        <v>37</v>
      </c>
      <c r="J51" s="34">
        <v>44</v>
      </c>
      <c r="K51" s="34">
        <v>50</v>
      </c>
      <c r="L51" s="34">
        <v>57</v>
      </c>
      <c r="M51" s="23">
        <v>66</v>
      </c>
      <c r="N51" s="9">
        <v>70</v>
      </c>
      <c r="O51" s="9">
        <v>69</v>
      </c>
      <c r="P51" s="9">
        <v>71</v>
      </c>
      <c r="Q51" s="9">
        <v>73</v>
      </c>
      <c r="R51" s="9">
        <v>76</v>
      </c>
      <c r="S51" s="9">
        <v>81</v>
      </c>
      <c r="T51" s="9">
        <v>84</v>
      </c>
      <c r="U51" s="9">
        <v>86</v>
      </c>
      <c r="V51" s="9"/>
      <c r="W51" s="23"/>
      <c r="X51" s="34"/>
      <c r="Y51" s="34"/>
      <c r="Z51" s="9"/>
      <c r="AA51" s="9"/>
      <c r="AB51" s="9"/>
      <c r="AC51" s="9"/>
      <c r="AD51" s="9"/>
    </row>
    <row r="52" spans="1:30" ht="19.899999999999999" customHeight="1" thickBot="1" x14ac:dyDescent="0.25">
      <c r="A52" s="31"/>
      <c r="B52" s="14"/>
      <c r="C52" s="16"/>
      <c r="D52" s="17" t="s">
        <v>11</v>
      </c>
      <c r="E52" s="47" t="s">
        <v>35</v>
      </c>
      <c r="F52" s="10">
        <v>13</v>
      </c>
      <c r="G52" s="10">
        <v>16</v>
      </c>
      <c r="H52" s="10">
        <v>29</v>
      </c>
      <c r="I52" s="35">
        <v>40</v>
      </c>
      <c r="J52" s="35">
        <v>51</v>
      </c>
      <c r="K52" s="35">
        <v>54</v>
      </c>
      <c r="L52" s="35">
        <v>59</v>
      </c>
      <c r="M52" s="24">
        <v>63</v>
      </c>
      <c r="N52" s="10">
        <v>63</v>
      </c>
      <c r="O52" s="10">
        <v>66</v>
      </c>
      <c r="P52" s="10">
        <v>67</v>
      </c>
      <c r="Q52" s="10">
        <v>70</v>
      </c>
      <c r="R52" s="10">
        <v>70</v>
      </c>
      <c r="S52" s="10">
        <v>74</v>
      </c>
      <c r="T52" s="10">
        <v>80</v>
      </c>
      <c r="U52" s="10">
        <v>84</v>
      </c>
      <c r="V52" s="10"/>
      <c r="W52" s="24"/>
      <c r="X52" s="35"/>
      <c r="Y52" s="35"/>
      <c r="Z52" s="10"/>
      <c r="AA52" s="10"/>
      <c r="AB52" s="10"/>
      <c r="AC52" s="10"/>
      <c r="AD52" s="10"/>
    </row>
    <row r="53" spans="1:30" ht="19.899999999999999" customHeight="1" x14ac:dyDescent="0.2">
      <c r="A53" s="31"/>
      <c r="B53" s="11" t="s">
        <v>5</v>
      </c>
      <c r="C53" s="15">
        <v>4</v>
      </c>
      <c r="D53" s="13" t="s">
        <v>11</v>
      </c>
      <c r="E53" s="46" t="s">
        <v>38</v>
      </c>
      <c r="F53" s="9">
        <v>11</v>
      </c>
      <c r="G53" s="9">
        <v>17</v>
      </c>
      <c r="H53" s="9">
        <v>29</v>
      </c>
      <c r="I53" s="34">
        <v>39</v>
      </c>
      <c r="J53" s="34">
        <v>48</v>
      </c>
      <c r="K53" s="34">
        <v>51</v>
      </c>
      <c r="L53" s="34">
        <v>54</v>
      </c>
      <c r="M53" s="23">
        <v>58</v>
      </c>
      <c r="N53" s="9">
        <v>62</v>
      </c>
      <c r="O53" s="9">
        <v>65</v>
      </c>
      <c r="P53" s="9">
        <v>66</v>
      </c>
      <c r="Q53" s="9">
        <v>68</v>
      </c>
      <c r="R53" s="9">
        <v>71</v>
      </c>
      <c r="S53" s="9">
        <v>76</v>
      </c>
      <c r="T53" s="9">
        <v>82</v>
      </c>
      <c r="U53" s="9">
        <v>85</v>
      </c>
      <c r="V53" s="9"/>
      <c r="W53" s="23"/>
      <c r="X53" s="34"/>
      <c r="Y53" s="34"/>
      <c r="Z53" s="9"/>
      <c r="AA53" s="9"/>
      <c r="AB53" s="9"/>
      <c r="AC53" s="9"/>
      <c r="AD53" s="9"/>
    </row>
    <row r="54" spans="1:30" ht="19.899999999999999" customHeight="1" thickBot="1" x14ac:dyDescent="0.25">
      <c r="A54" s="31"/>
      <c r="B54" s="14"/>
      <c r="C54" s="16"/>
      <c r="D54" s="17" t="s">
        <v>10</v>
      </c>
      <c r="E54" s="47" t="s">
        <v>38</v>
      </c>
      <c r="F54" s="10">
        <v>15</v>
      </c>
      <c r="G54" s="10">
        <v>17</v>
      </c>
      <c r="H54" s="10">
        <v>32</v>
      </c>
      <c r="I54" s="35">
        <v>40</v>
      </c>
      <c r="J54" s="35">
        <v>43</v>
      </c>
      <c r="K54" s="35">
        <v>47</v>
      </c>
      <c r="L54" s="35">
        <v>51</v>
      </c>
      <c r="M54" s="24">
        <v>55</v>
      </c>
      <c r="N54" s="10">
        <v>58</v>
      </c>
      <c r="O54" s="10">
        <v>59</v>
      </c>
      <c r="P54" s="10">
        <v>57</v>
      </c>
      <c r="Q54" s="10">
        <v>60</v>
      </c>
      <c r="R54" s="10">
        <v>62</v>
      </c>
      <c r="S54" s="10">
        <v>67</v>
      </c>
      <c r="T54" s="10">
        <v>76</v>
      </c>
      <c r="U54" s="10">
        <v>82</v>
      </c>
      <c r="V54" s="10"/>
      <c r="W54" s="24"/>
      <c r="X54" s="35"/>
      <c r="Y54" s="35"/>
      <c r="Z54" s="10"/>
      <c r="AA54" s="10"/>
      <c r="AB54" s="10"/>
      <c r="AC54" s="10"/>
      <c r="AD54" s="10"/>
    </row>
    <row r="55" spans="1:30" ht="19.899999999999999" customHeight="1" x14ac:dyDescent="0.2">
      <c r="A55" s="31"/>
      <c r="B55" s="11" t="s">
        <v>5</v>
      </c>
      <c r="C55" s="15">
        <v>3</v>
      </c>
      <c r="D55" s="13" t="s">
        <v>11</v>
      </c>
      <c r="E55" s="46" t="s">
        <v>49</v>
      </c>
      <c r="F55" s="9">
        <v>12</v>
      </c>
      <c r="G55" s="9">
        <v>18</v>
      </c>
      <c r="H55" s="9">
        <v>29</v>
      </c>
      <c r="I55" s="34">
        <v>37</v>
      </c>
      <c r="J55" s="34">
        <v>47</v>
      </c>
      <c r="K55" s="34">
        <v>53</v>
      </c>
      <c r="L55" s="34">
        <v>57</v>
      </c>
      <c r="M55" s="23">
        <v>63</v>
      </c>
      <c r="N55" s="9">
        <v>71</v>
      </c>
      <c r="O55" s="9">
        <v>64</v>
      </c>
      <c r="P55" s="9">
        <v>70</v>
      </c>
      <c r="Q55" s="9">
        <v>71</v>
      </c>
      <c r="R55" s="9">
        <v>72</v>
      </c>
      <c r="S55" s="9">
        <v>76</v>
      </c>
      <c r="T55" s="9">
        <v>81</v>
      </c>
      <c r="U55" s="9">
        <v>87</v>
      </c>
      <c r="V55" s="9"/>
      <c r="W55" s="23"/>
      <c r="X55" s="34"/>
      <c r="Y55" s="34"/>
      <c r="Z55" s="9"/>
      <c r="AA55" s="9"/>
      <c r="AB55" s="9"/>
      <c r="AC55" s="9"/>
      <c r="AD55" s="9"/>
    </row>
    <row r="56" spans="1:30" ht="19.899999999999999" customHeight="1" thickBot="1" x14ac:dyDescent="0.25">
      <c r="A56" s="31"/>
      <c r="B56" s="14"/>
      <c r="C56" s="16"/>
      <c r="D56" s="17" t="s">
        <v>10</v>
      </c>
      <c r="E56" s="47" t="s">
        <v>37</v>
      </c>
      <c r="F56" s="10">
        <v>10</v>
      </c>
      <c r="G56" s="10">
        <v>16</v>
      </c>
      <c r="H56" s="10">
        <v>30</v>
      </c>
      <c r="I56" s="35">
        <v>38</v>
      </c>
      <c r="J56" s="35">
        <v>48</v>
      </c>
      <c r="K56" s="35">
        <v>57</v>
      </c>
      <c r="L56" s="35">
        <v>64</v>
      </c>
      <c r="M56" s="24">
        <v>73</v>
      </c>
      <c r="N56" s="10">
        <v>75</v>
      </c>
      <c r="O56" s="10">
        <v>76</v>
      </c>
      <c r="P56" s="10">
        <v>79</v>
      </c>
      <c r="Q56" s="10">
        <v>84</v>
      </c>
      <c r="R56" s="10">
        <v>88</v>
      </c>
      <c r="S56" s="10">
        <v>94</v>
      </c>
      <c r="T56" s="10">
        <v>97</v>
      </c>
      <c r="U56" s="10">
        <v>97</v>
      </c>
      <c r="V56" s="10"/>
      <c r="W56" s="24"/>
      <c r="X56" s="35"/>
      <c r="Y56" s="35"/>
      <c r="Z56" s="10"/>
      <c r="AA56" s="10"/>
      <c r="AB56" s="10"/>
      <c r="AC56" s="10"/>
      <c r="AD56" s="10"/>
    </row>
    <row r="57" spans="1:30" ht="19.899999999999999" customHeight="1" x14ac:dyDescent="0.2">
      <c r="A57" s="31"/>
      <c r="B57" s="11" t="s">
        <v>5</v>
      </c>
      <c r="C57" s="15">
        <v>2</v>
      </c>
      <c r="D57" s="13" t="s">
        <v>11</v>
      </c>
      <c r="E57" s="46" t="s">
        <v>50</v>
      </c>
      <c r="F57" s="9">
        <v>14</v>
      </c>
      <c r="G57" s="9">
        <v>22</v>
      </c>
      <c r="H57" s="9">
        <v>35</v>
      </c>
      <c r="I57" s="34">
        <v>45</v>
      </c>
      <c r="J57" s="34">
        <v>55</v>
      </c>
      <c r="K57" s="34">
        <v>58</v>
      </c>
      <c r="L57" s="34">
        <v>64</v>
      </c>
      <c r="M57" s="23">
        <v>70</v>
      </c>
      <c r="N57" s="9">
        <v>72</v>
      </c>
      <c r="O57" s="9">
        <v>69</v>
      </c>
      <c r="P57" s="9">
        <v>72</v>
      </c>
      <c r="Q57" s="9">
        <v>74</v>
      </c>
      <c r="R57" s="9">
        <v>75</v>
      </c>
      <c r="S57" s="9">
        <v>78</v>
      </c>
      <c r="T57" s="9">
        <v>82</v>
      </c>
      <c r="U57" s="9">
        <v>89</v>
      </c>
      <c r="V57" s="9"/>
      <c r="W57" s="23"/>
      <c r="X57" s="34"/>
      <c r="Y57" s="34"/>
      <c r="Z57" s="9"/>
      <c r="AA57" s="9"/>
      <c r="AB57" s="9"/>
      <c r="AC57" s="9"/>
      <c r="AD57" s="9"/>
    </row>
    <row r="58" spans="1:30" ht="19.899999999999999" customHeight="1" thickBot="1" x14ac:dyDescent="0.25">
      <c r="A58" s="31"/>
      <c r="B58" s="14"/>
      <c r="C58" s="16"/>
      <c r="D58" s="17" t="s">
        <v>10</v>
      </c>
      <c r="E58" s="47" t="s">
        <v>50</v>
      </c>
      <c r="F58" s="10">
        <v>13</v>
      </c>
      <c r="G58" s="10">
        <v>22</v>
      </c>
      <c r="H58" s="10">
        <v>35</v>
      </c>
      <c r="I58" s="35">
        <v>43</v>
      </c>
      <c r="J58" s="35">
        <v>52</v>
      </c>
      <c r="K58" s="35">
        <v>59</v>
      </c>
      <c r="L58" s="35">
        <v>64</v>
      </c>
      <c r="M58" s="24">
        <v>67</v>
      </c>
      <c r="N58" s="10">
        <v>68</v>
      </c>
      <c r="O58" s="10">
        <v>68</v>
      </c>
      <c r="P58" s="10">
        <v>70</v>
      </c>
      <c r="Q58" s="10">
        <v>73</v>
      </c>
      <c r="R58" s="10">
        <v>74</v>
      </c>
      <c r="S58" s="10">
        <v>76</v>
      </c>
      <c r="T58" s="10">
        <v>81</v>
      </c>
      <c r="U58" s="10">
        <v>88</v>
      </c>
      <c r="V58" s="10"/>
      <c r="W58" s="24"/>
      <c r="X58" s="35"/>
      <c r="Y58" s="35"/>
      <c r="Z58" s="10"/>
      <c r="AA58" s="10"/>
      <c r="AB58" s="10"/>
      <c r="AC58" s="10"/>
      <c r="AD58" s="10"/>
    </row>
    <row r="59" spans="1:30" ht="19.899999999999999" customHeight="1" x14ac:dyDescent="0.2">
      <c r="A59" s="31"/>
      <c r="B59" s="11" t="s">
        <v>5</v>
      </c>
      <c r="C59" s="15">
        <v>1</v>
      </c>
      <c r="D59" s="13" t="s">
        <v>11</v>
      </c>
      <c r="E59" s="46" t="s">
        <v>36</v>
      </c>
      <c r="F59" s="9">
        <v>14</v>
      </c>
      <c r="G59" s="9">
        <v>20</v>
      </c>
      <c r="H59" s="9">
        <v>31</v>
      </c>
      <c r="I59" s="34">
        <v>48</v>
      </c>
      <c r="J59" s="34">
        <v>56</v>
      </c>
      <c r="K59" s="34">
        <v>66</v>
      </c>
      <c r="L59" s="34">
        <v>72</v>
      </c>
      <c r="M59" s="23">
        <v>79</v>
      </c>
      <c r="N59" s="9">
        <v>77</v>
      </c>
      <c r="O59" s="9">
        <v>81</v>
      </c>
      <c r="P59" s="9">
        <v>80</v>
      </c>
      <c r="Q59" s="9">
        <v>82</v>
      </c>
      <c r="R59" s="9">
        <v>82</v>
      </c>
      <c r="S59" s="9">
        <v>85</v>
      </c>
      <c r="T59" s="9">
        <v>94</v>
      </c>
      <c r="U59" s="9">
        <v>102</v>
      </c>
      <c r="V59" s="9"/>
      <c r="W59" s="23"/>
      <c r="X59" s="34"/>
      <c r="Y59" s="34"/>
      <c r="Z59" s="9"/>
      <c r="AA59" s="9"/>
      <c r="AB59" s="9"/>
      <c r="AC59" s="9"/>
      <c r="AD59" s="9"/>
    </row>
    <row r="60" spans="1:30" ht="19.899999999999999" customHeight="1" thickBot="1" x14ac:dyDescent="0.25">
      <c r="A60" s="31"/>
      <c r="B60" s="14"/>
      <c r="C60" s="16"/>
      <c r="D60" s="17" t="s">
        <v>10</v>
      </c>
      <c r="E60" s="47" t="s">
        <v>36</v>
      </c>
      <c r="F60" s="10">
        <v>14</v>
      </c>
      <c r="G60" s="10">
        <v>21</v>
      </c>
      <c r="H60" s="10">
        <v>31</v>
      </c>
      <c r="I60" s="35">
        <v>46</v>
      </c>
      <c r="J60" s="35">
        <v>55</v>
      </c>
      <c r="K60" s="35">
        <v>69</v>
      </c>
      <c r="L60" s="35">
        <v>75</v>
      </c>
      <c r="M60" s="24" t="s">
        <v>62</v>
      </c>
      <c r="N60" s="10">
        <v>78</v>
      </c>
      <c r="O60" s="10">
        <v>78</v>
      </c>
      <c r="P60" s="10">
        <v>79</v>
      </c>
      <c r="Q60" s="10">
        <v>81</v>
      </c>
      <c r="R60" s="10">
        <v>83</v>
      </c>
      <c r="S60" s="10">
        <v>84</v>
      </c>
      <c r="T60" s="10">
        <v>91</v>
      </c>
      <c r="U60" s="10">
        <v>97</v>
      </c>
      <c r="V60" s="10"/>
      <c r="W60" s="24"/>
      <c r="X60" s="35"/>
      <c r="Y60" s="35"/>
      <c r="Z60" s="10"/>
      <c r="AA60" s="10"/>
      <c r="AB60" s="10"/>
      <c r="AC60" s="10"/>
      <c r="AD60" s="10"/>
    </row>
    <row r="61" spans="1:30" x14ac:dyDescent="0.2">
      <c r="Z61" s="53"/>
    </row>
  </sheetData>
  <mergeCells count="1">
    <mergeCell ref="B12:C12"/>
  </mergeCells>
  <printOptions verticalCentered="1"/>
  <pageMargins left="0.45" right="0.45" top="1" bottom="0.25" header="0" footer="0"/>
  <pageSetup scale="92" fitToHeight="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1"/>
  <sheetViews>
    <sheetView zoomScaleNormal="100" zoomScaleSheetLayoutView="70" workbookViewId="0"/>
  </sheetViews>
  <sheetFormatPr defaultRowHeight="12.75" x14ac:dyDescent="0.2"/>
  <cols>
    <col min="1" max="1" width="10.5703125" customWidth="1"/>
    <col min="2" max="2" width="4.7109375" style="1" customWidth="1"/>
    <col min="3" max="3" width="2.7109375" style="2" customWidth="1"/>
    <col min="4" max="4" width="5.140625" style="2" customWidth="1"/>
    <col min="5" max="5" width="6.85546875" style="2" customWidth="1"/>
    <col min="6" max="6" width="10.7109375" customWidth="1"/>
    <col min="7" max="12" width="11.140625" customWidth="1"/>
    <col min="13" max="17" width="12.7109375" customWidth="1"/>
    <col min="18" max="29" width="11.140625" customWidth="1"/>
  </cols>
  <sheetData>
    <row r="1" spans="1:29" ht="15.75" x14ac:dyDescent="0.25">
      <c r="A1" s="6" t="s">
        <v>18</v>
      </c>
      <c r="B1" s="28">
        <v>2020</v>
      </c>
      <c r="C1" s="29"/>
      <c r="D1" s="8" t="s">
        <v>25</v>
      </c>
      <c r="E1" s="45"/>
      <c r="F1" s="8" t="s">
        <v>6</v>
      </c>
      <c r="G1" t="s">
        <v>32</v>
      </c>
      <c r="H1" t="s">
        <v>32</v>
      </c>
      <c r="M1" t="s">
        <v>32</v>
      </c>
      <c r="N1" t="s">
        <v>32</v>
      </c>
      <c r="R1" t="s">
        <v>32</v>
      </c>
      <c r="T1" t="s">
        <v>32</v>
      </c>
      <c r="U1" t="s">
        <v>32</v>
      </c>
      <c r="V1" t="s">
        <v>32</v>
      </c>
      <c r="Y1" t="s">
        <v>32</v>
      </c>
      <c r="Z1" t="s">
        <v>32</v>
      </c>
      <c r="AA1" t="s">
        <v>32</v>
      </c>
      <c r="AB1" t="s">
        <v>32</v>
      </c>
      <c r="AC1" t="s">
        <v>32</v>
      </c>
    </row>
    <row r="2" spans="1:29" ht="14.45" customHeight="1" x14ac:dyDescent="0.25">
      <c r="A2" s="6" t="s">
        <v>32</v>
      </c>
      <c r="B2" s="7" t="s">
        <v>32</v>
      </c>
      <c r="C2" s="8" t="s">
        <v>32</v>
      </c>
      <c r="D2" s="8" t="s">
        <v>32</v>
      </c>
      <c r="E2" s="45" t="s">
        <v>32</v>
      </c>
      <c r="F2" t="s">
        <v>32</v>
      </c>
      <c r="G2" t="s">
        <v>32</v>
      </c>
      <c r="H2" t="s">
        <v>32</v>
      </c>
      <c r="M2" t="s">
        <v>32</v>
      </c>
      <c r="N2" t="s">
        <v>32</v>
      </c>
      <c r="R2" t="s">
        <v>32</v>
      </c>
      <c r="T2" t="s">
        <v>32</v>
      </c>
      <c r="U2" t="s">
        <v>32</v>
      </c>
      <c r="V2" t="s">
        <v>32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</row>
    <row r="3" spans="1:29" ht="15" x14ac:dyDescent="0.25">
      <c r="A3" t="s">
        <v>32</v>
      </c>
      <c r="B3" s="30" t="s">
        <v>19</v>
      </c>
      <c r="E3" s="44"/>
      <c r="H3" s="3" t="s">
        <v>31</v>
      </c>
      <c r="I3" s="3"/>
      <c r="J3" s="3"/>
      <c r="K3" s="3"/>
      <c r="L3" s="3"/>
      <c r="N3" t="s">
        <v>32</v>
      </c>
      <c r="R3" t="s">
        <v>32</v>
      </c>
      <c r="T3" t="s">
        <v>32</v>
      </c>
      <c r="U3" t="s">
        <v>32</v>
      </c>
      <c r="V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</row>
    <row r="4" spans="1:29" ht="7.9" customHeight="1" x14ac:dyDescent="0.2">
      <c r="A4" t="s">
        <v>32</v>
      </c>
      <c r="B4" s="5" t="s">
        <v>32</v>
      </c>
      <c r="C4" s="2" t="s">
        <v>32</v>
      </c>
      <c r="D4" s="2" t="s">
        <v>32</v>
      </c>
      <c r="E4" s="44" t="s">
        <v>32</v>
      </c>
      <c r="F4" t="s">
        <v>32</v>
      </c>
      <c r="G4" t="s">
        <v>32</v>
      </c>
      <c r="H4" t="s">
        <v>32</v>
      </c>
      <c r="M4" t="s">
        <v>32</v>
      </c>
      <c r="N4" t="s">
        <v>32</v>
      </c>
      <c r="O4" t="s">
        <v>32</v>
      </c>
      <c r="R4" t="s">
        <v>32</v>
      </c>
      <c r="T4" t="s">
        <v>32</v>
      </c>
      <c r="U4" t="s">
        <v>32</v>
      </c>
      <c r="V4" t="s">
        <v>32</v>
      </c>
      <c r="Y4" t="s">
        <v>32</v>
      </c>
      <c r="Z4" t="s">
        <v>32</v>
      </c>
      <c r="AA4" t="s">
        <v>32</v>
      </c>
      <c r="AB4" t="s">
        <v>32</v>
      </c>
      <c r="AC4" t="s">
        <v>32</v>
      </c>
    </row>
    <row r="5" spans="1:29" x14ac:dyDescent="0.2">
      <c r="A5" t="s">
        <v>32</v>
      </c>
      <c r="B5" s="2" t="s">
        <v>32</v>
      </c>
      <c r="C5" s="2" t="s">
        <v>32</v>
      </c>
      <c r="D5" s="2" t="s">
        <v>32</v>
      </c>
      <c r="E5" s="44" t="s">
        <v>32</v>
      </c>
      <c r="F5" s="2" t="s">
        <v>32</v>
      </c>
      <c r="G5" s="2" t="s">
        <v>32</v>
      </c>
    </row>
    <row r="6" spans="1:29" x14ac:dyDescent="0.2">
      <c r="B6" s="2"/>
      <c r="E6" s="44"/>
    </row>
    <row r="7" spans="1:29" x14ac:dyDescent="0.2">
      <c r="A7" s="39"/>
      <c r="B7" s="39"/>
      <c r="C7" s="39"/>
      <c r="D7" s="39"/>
      <c r="E7" s="48"/>
      <c r="F7" s="39"/>
      <c r="G7" s="39"/>
      <c r="H7" s="54"/>
      <c r="I7" s="54"/>
      <c r="J7" s="54"/>
      <c r="K7" s="54"/>
      <c r="L7" s="54"/>
      <c r="M7" s="41"/>
      <c r="U7" s="39"/>
      <c r="V7" s="54"/>
      <c r="W7" s="54"/>
      <c r="X7" s="54"/>
      <c r="Y7" s="39"/>
      <c r="Z7" s="39"/>
      <c r="AA7" s="39"/>
    </row>
    <row r="8" spans="1:29" x14ac:dyDescent="0.2">
      <c r="B8" s="2"/>
      <c r="D8" s="49" t="s">
        <v>26</v>
      </c>
      <c r="E8" s="48"/>
      <c r="F8" s="39" t="s">
        <v>44</v>
      </c>
      <c r="G8" s="39" t="s">
        <v>44</v>
      </c>
      <c r="H8" s="39" t="s">
        <v>44</v>
      </c>
      <c r="I8" s="39" t="s">
        <v>44</v>
      </c>
      <c r="J8" s="39" t="s">
        <v>44</v>
      </c>
      <c r="K8" s="39" t="s">
        <v>44</v>
      </c>
      <c r="L8" s="39" t="s">
        <v>44</v>
      </c>
      <c r="M8" s="39" t="s">
        <v>44</v>
      </c>
      <c r="N8" s="39" t="s">
        <v>44</v>
      </c>
      <c r="O8" s="39" t="s">
        <v>44</v>
      </c>
      <c r="P8" s="39" t="s">
        <v>44</v>
      </c>
      <c r="Q8" s="39" t="s">
        <v>44</v>
      </c>
      <c r="R8" s="39" t="s">
        <v>44</v>
      </c>
      <c r="S8" s="39" t="s">
        <v>44</v>
      </c>
      <c r="T8" s="39" t="s">
        <v>44</v>
      </c>
      <c r="U8" s="39"/>
      <c r="V8" s="39"/>
      <c r="W8" s="39"/>
      <c r="X8" s="39"/>
      <c r="Y8" s="39"/>
      <c r="Z8" s="39"/>
      <c r="AA8" s="39"/>
      <c r="AB8" s="39"/>
      <c r="AC8" s="39"/>
    </row>
    <row r="9" spans="1:29" x14ac:dyDescent="0.2">
      <c r="B9" s="2"/>
      <c r="D9" s="49" t="s">
        <v>27</v>
      </c>
      <c r="E9" s="48"/>
      <c r="F9" s="22">
        <v>43977</v>
      </c>
      <c r="G9" s="22">
        <v>43983</v>
      </c>
      <c r="H9" s="22">
        <v>43990</v>
      </c>
      <c r="I9" s="22">
        <v>43997</v>
      </c>
      <c r="J9" s="22">
        <v>44004</v>
      </c>
      <c r="K9" s="22">
        <v>44011</v>
      </c>
      <c r="L9" s="22">
        <v>44018</v>
      </c>
      <c r="M9" s="22">
        <v>44025</v>
      </c>
      <c r="N9" s="22">
        <v>44033</v>
      </c>
      <c r="O9" s="22">
        <v>44039</v>
      </c>
      <c r="P9" s="22">
        <v>44047</v>
      </c>
      <c r="Q9" s="22">
        <v>44053</v>
      </c>
      <c r="R9" s="22">
        <v>44060</v>
      </c>
      <c r="S9" s="22">
        <v>44432</v>
      </c>
      <c r="T9" s="22">
        <v>44082</v>
      </c>
      <c r="U9" s="22"/>
      <c r="V9" s="22"/>
      <c r="W9" s="22"/>
      <c r="X9" s="22"/>
      <c r="Y9" s="22"/>
      <c r="Z9" s="22"/>
      <c r="AA9" s="22"/>
      <c r="AB9" s="22"/>
      <c r="AC9" s="22"/>
    </row>
    <row r="10" spans="1:29" ht="15.6" customHeight="1" x14ac:dyDescent="0.2">
      <c r="B10" s="5"/>
      <c r="D10" s="49" t="s">
        <v>29</v>
      </c>
      <c r="E10" s="48"/>
      <c r="F10" s="18">
        <v>147</v>
      </c>
      <c r="G10" s="18">
        <v>153</v>
      </c>
      <c r="H10" s="18">
        <v>160</v>
      </c>
      <c r="I10" s="18">
        <v>167</v>
      </c>
      <c r="J10" s="18">
        <v>174</v>
      </c>
      <c r="K10" s="18">
        <v>181</v>
      </c>
      <c r="L10" s="18">
        <v>188</v>
      </c>
      <c r="M10" s="18">
        <v>195</v>
      </c>
      <c r="N10" s="18">
        <v>203</v>
      </c>
      <c r="O10" s="18">
        <v>209</v>
      </c>
      <c r="P10" s="18">
        <v>217</v>
      </c>
      <c r="Q10" s="18">
        <v>223</v>
      </c>
      <c r="R10" s="18">
        <v>230</v>
      </c>
      <c r="S10" s="18">
        <v>237</v>
      </c>
      <c r="T10" s="18">
        <v>252</v>
      </c>
      <c r="U10" s="18"/>
      <c r="V10" s="18"/>
      <c r="W10" s="18"/>
      <c r="X10" s="18"/>
      <c r="Y10" s="18"/>
      <c r="Z10" s="18"/>
      <c r="AA10" s="18"/>
      <c r="AB10" s="18"/>
      <c r="AC10" s="18"/>
    </row>
    <row r="11" spans="1:29" ht="18.600000000000001" customHeight="1" x14ac:dyDescent="0.2">
      <c r="B11" s="5"/>
      <c r="D11" s="49" t="s">
        <v>28</v>
      </c>
      <c r="E11" s="48"/>
      <c r="F11" s="57" t="s">
        <v>45</v>
      </c>
      <c r="G11" s="26" t="s">
        <v>46</v>
      </c>
      <c r="H11" s="57" t="s">
        <v>47</v>
      </c>
      <c r="I11" s="57" t="s">
        <v>56</v>
      </c>
      <c r="J11" s="57" t="s">
        <v>55</v>
      </c>
      <c r="K11" s="57" t="s">
        <v>57</v>
      </c>
      <c r="L11" s="57" t="s">
        <v>56</v>
      </c>
      <c r="M11" s="57" t="s">
        <v>48</v>
      </c>
      <c r="N11" s="57" t="s">
        <v>51</v>
      </c>
      <c r="O11" s="57" t="s">
        <v>52</v>
      </c>
      <c r="P11" s="57" t="s">
        <v>58</v>
      </c>
      <c r="Q11" s="57" t="s">
        <v>59</v>
      </c>
      <c r="R11" s="57" t="s">
        <v>54</v>
      </c>
      <c r="S11" s="61" t="s">
        <v>61</v>
      </c>
      <c r="T11" s="57" t="s">
        <v>54</v>
      </c>
      <c r="U11" s="57"/>
      <c r="V11" s="40"/>
      <c r="W11" s="40"/>
      <c r="X11" s="40"/>
      <c r="Y11" s="40"/>
      <c r="Z11" s="40"/>
      <c r="AA11" s="57"/>
      <c r="AB11" s="57"/>
      <c r="AC11" s="57"/>
    </row>
    <row r="12" spans="1:29" ht="27.6" customHeight="1" thickBot="1" x14ac:dyDescent="0.25">
      <c r="B12" s="86" t="s">
        <v>7</v>
      </c>
      <c r="C12" s="86"/>
      <c r="D12" s="18" t="s">
        <v>12</v>
      </c>
      <c r="E12" s="45" t="s">
        <v>24</v>
      </c>
      <c r="F12" s="25" t="s">
        <v>16</v>
      </c>
      <c r="G12" s="25" t="s">
        <v>16</v>
      </c>
      <c r="H12" s="25" t="s">
        <v>16</v>
      </c>
      <c r="I12" s="25" t="s">
        <v>16</v>
      </c>
      <c r="J12" s="25" t="s">
        <v>16</v>
      </c>
      <c r="K12" s="25" t="s">
        <v>16</v>
      </c>
      <c r="L12" s="25" t="s">
        <v>16</v>
      </c>
      <c r="M12" s="25" t="s">
        <v>16</v>
      </c>
      <c r="N12" s="25" t="s">
        <v>16</v>
      </c>
      <c r="O12" s="25" t="s">
        <v>16</v>
      </c>
      <c r="P12" s="25" t="s">
        <v>16</v>
      </c>
      <c r="Q12" s="25" t="s">
        <v>16</v>
      </c>
      <c r="R12" s="25" t="s">
        <v>16</v>
      </c>
      <c r="S12" s="25" t="s">
        <v>16</v>
      </c>
      <c r="T12" s="25" t="s">
        <v>16</v>
      </c>
      <c r="U12" s="25" t="s">
        <v>16</v>
      </c>
      <c r="V12" s="25" t="s">
        <v>16</v>
      </c>
      <c r="W12" s="25" t="s">
        <v>16</v>
      </c>
      <c r="X12" s="25" t="s">
        <v>16</v>
      </c>
      <c r="Y12" s="25" t="s">
        <v>16</v>
      </c>
      <c r="Z12" s="25" t="s">
        <v>16</v>
      </c>
      <c r="AA12" s="25" t="s">
        <v>16</v>
      </c>
      <c r="AB12" s="25" t="s">
        <v>16</v>
      </c>
      <c r="AC12" s="25" t="s">
        <v>16</v>
      </c>
    </row>
    <row r="13" spans="1:29" ht="19.899999999999999" customHeight="1" x14ac:dyDescent="0.2">
      <c r="B13" s="11" t="s">
        <v>0</v>
      </c>
      <c r="C13" s="15">
        <v>1</v>
      </c>
      <c r="D13" s="13" t="s">
        <v>10</v>
      </c>
      <c r="E13" s="46" t="s">
        <v>38</v>
      </c>
      <c r="F13" s="23">
        <v>9</v>
      </c>
      <c r="G13" s="23">
        <v>16</v>
      </c>
      <c r="H13" s="23">
        <v>29</v>
      </c>
      <c r="I13" s="23">
        <v>33</v>
      </c>
      <c r="J13" s="23">
        <v>44</v>
      </c>
      <c r="K13" s="23">
        <v>50</v>
      </c>
      <c r="L13" s="23">
        <v>55</v>
      </c>
      <c r="M13" s="23">
        <v>60</v>
      </c>
      <c r="N13" s="23">
        <v>73</v>
      </c>
      <c r="O13" s="23">
        <v>74</v>
      </c>
      <c r="P13" s="23">
        <v>78</v>
      </c>
      <c r="Q13" s="23">
        <v>83</v>
      </c>
      <c r="R13" s="23">
        <v>89</v>
      </c>
      <c r="S13" s="23" t="s">
        <v>53</v>
      </c>
      <c r="T13" s="42" t="s">
        <v>53</v>
      </c>
      <c r="U13" s="23"/>
      <c r="V13" s="23"/>
      <c r="W13" s="23"/>
      <c r="X13" s="42"/>
      <c r="Y13" s="42"/>
      <c r="Z13" s="42"/>
      <c r="AA13" s="42"/>
      <c r="AB13" s="42"/>
      <c r="AC13" s="23"/>
    </row>
    <row r="14" spans="1:29" ht="19.899999999999999" customHeight="1" thickBot="1" x14ac:dyDescent="0.25">
      <c r="B14" s="14"/>
      <c r="C14" s="16"/>
      <c r="D14" s="17" t="s">
        <v>11</v>
      </c>
      <c r="E14" s="47" t="s">
        <v>38</v>
      </c>
      <c r="F14" s="24">
        <v>13</v>
      </c>
      <c r="G14" s="24">
        <v>21</v>
      </c>
      <c r="H14" s="24">
        <v>30</v>
      </c>
      <c r="I14" s="24">
        <v>39</v>
      </c>
      <c r="J14" s="24">
        <v>50</v>
      </c>
      <c r="K14" s="24">
        <v>56</v>
      </c>
      <c r="L14" s="24">
        <v>60</v>
      </c>
      <c r="M14" s="24">
        <v>65</v>
      </c>
      <c r="N14" s="24">
        <v>77</v>
      </c>
      <c r="O14" s="24">
        <v>73</v>
      </c>
      <c r="P14" s="24">
        <v>80</v>
      </c>
      <c r="Q14" s="24">
        <v>84</v>
      </c>
      <c r="R14" s="24">
        <v>87</v>
      </c>
      <c r="S14" s="24" t="s">
        <v>53</v>
      </c>
      <c r="T14" s="24" t="s">
        <v>53</v>
      </c>
      <c r="U14" s="24"/>
      <c r="V14" s="24"/>
      <c r="W14" s="24"/>
      <c r="X14" s="24"/>
      <c r="Y14" s="24"/>
      <c r="Z14" s="24"/>
      <c r="AA14" s="24"/>
      <c r="AB14" s="24"/>
      <c r="AC14" s="24"/>
    </row>
    <row r="15" spans="1:29" ht="19.899999999999999" customHeight="1" thickBot="1" x14ac:dyDescent="0.25">
      <c r="B15" s="11" t="s">
        <v>0</v>
      </c>
      <c r="C15" s="15">
        <v>2</v>
      </c>
      <c r="D15" s="13" t="s">
        <v>10</v>
      </c>
      <c r="E15" s="46" t="s">
        <v>35</v>
      </c>
      <c r="F15" s="23">
        <v>15</v>
      </c>
      <c r="G15" s="23">
        <v>25</v>
      </c>
      <c r="H15" s="23">
        <v>32</v>
      </c>
      <c r="I15" s="23">
        <v>40</v>
      </c>
      <c r="J15" s="23">
        <v>48</v>
      </c>
      <c r="K15" s="23">
        <v>53</v>
      </c>
      <c r="L15" s="23">
        <v>55</v>
      </c>
      <c r="M15" s="23">
        <v>57</v>
      </c>
      <c r="N15" s="23">
        <v>57</v>
      </c>
      <c r="O15" s="23">
        <v>59</v>
      </c>
      <c r="P15" s="23">
        <v>61</v>
      </c>
      <c r="Q15" s="23">
        <v>62</v>
      </c>
      <c r="R15" s="23">
        <v>65</v>
      </c>
      <c r="S15" s="23">
        <v>72</v>
      </c>
      <c r="T15" s="24">
        <v>71</v>
      </c>
      <c r="U15" s="23"/>
      <c r="V15" s="23"/>
      <c r="W15" s="23"/>
      <c r="X15" s="42"/>
      <c r="Y15" s="23"/>
      <c r="Z15" s="23"/>
      <c r="AA15" s="23"/>
      <c r="AB15" s="23"/>
      <c r="AC15" s="23"/>
    </row>
    <row r="16" spans="1:29" ht="19.899999999999999" customHeight="1" thickBot="1" x14ac:dyDescent="0.25">
      <c r="A16" t="s">
        <v>32</v>
      </c>
      <c r="B16" s="14" t="s">
        <v>32</v>
      </c>
      <c r="C16" s="16" t="s">
        <v>32</v>
      </c>
      <c r="D16" s="17" t="s">
        <v>11</v>
      </c>
      <c r="E16" s="47" t="s">
        <v>35</v>
      </c>
      <c r="F16" s="24">
        <v>9</v>
      </c>
      <c r="G16" s="24">
        <v>17</v>
      </c>
      <c r="H16" s="24">
        <v>24</v>
      </c>
      <c r="I16" s="24">
        <v>31</v>
      </c>
      <c r="J16" s="24">
        <v>37</v>
      </c>
      <c r="K16" s="24">
        <v>41</v>
      </c>
      <c r="L16" s="24">
        <v>44</v>
      </c>
      <c r="M16" s="24">
        <v>47</v>
      </c>
      <c r="N16" s="24">
        <v>53</v>
      </c>
      <c r="O16" s="24">
        <v>50</v>
      </c>
      <c r="P16" s="24">
        <v>52</v>
      </c>
      <c r="Q16" s="24">
        <v>55</v>
      </c>
      <c r="R16" s="24">
        <v>58</v>
      </c>
      <c r="S16" s="24">
        <v>63</v>
      </c>
      <c r="T16" s="24">
        <v>72</v>
      </c>
      <c r="U16" s="24"/>
      <c r="V16" s="24"/>
      <c r="W16" s="52"/>
      <c r="X16" s="52"/>
      <c r="Y16" s="24"/>
      <c r="Z16" s="24"/>
      <c r="AA16" s="24"/>
      <c r="AB16" s="24"/>
      <c r="AC16" s="24"/>
    </row>
    <row r="17" spans="1:29" ht="19.899999999999999" customHeight="1" x14ac:dyDescent="0.2">
      <c r="A17" t="s">
        <v>32</v>
      </c>
      <c r="B17" s="11" t="s">
        <v>0</v>
      </c>
      <c r="C17" s="15">
        <v>3</v>
      </c>
      <c r="D17" s="13" t="s">
        <v>10</v>
      </c>
      <c r="E17" s="46" t="s">
        <v>35</v>
      </c>
      <c r="F17" s="23">
        <v>15</v>
      </c>
      <c r="G17" s="23">
        <v>23</v>
      </c>
      <c r="H17" s="23">
        <v>32</v>
      </c>
      <c r="I17" s="23">
        <v>38</v>
      </c>
      <c r="J17" s="23">
        <v>48</v>
      </c>
      <c r="K17" s="23">
        <v>53</v>
      </c>
      <c r="L17" s="23">
        <v>55</v>
      </c>
      <c r="M17" s="23">
        <v>57</v>
      </c>
      <c r="N17" s="23">
        <v>58</v>
      </c>
      <c r="O17" s="23">
        <v>52</v>
      </c>
      <c r="P17" s="23">
        <v>54</v>
      </c>
      <c r="Q17" s="23">
        <v>53</v>
      </c>
      <c r="R17" s="23">
        <v>54</v>
      </c>
      <c r="S17" s="23">
        <v>61</v>
      </c>
      <c r="T17" s="23">
        <v>73</v>
      </c>
      <c r="U17" s="23"/>
      <c r="V17" s="23"/>
      <c r="W17" s="23"/>
      <c r="X17" s="23"/>
      <c r="Y17" s="23"/>
      <c r="Z17" s="23"/>
      <c r="AA17" s="23"/>
      <c r="AB17" s="23"/>
      <c r="AC17" s="23"/>
    </row>
    <row r="18" spans="1:29" ht="19.899999999999999" customHeight="1" thickBot="1" x14ac:dyDescent="0.25">
      <c r="A18" t="s">
        <v>32</v>
      </c>
      <c r="B18" s="14" t="s">
        <v>32</v>
      </c>
      <c r="C18" s="16" t="s">
        <v>32</v>
      </c>
      <c r="D18" s="17" t="s">
        <v>11</v>
      </c>
      <c r="E18" s="47" t="s">
        <v>35</v>
      </c>
      <c r="F18" s="24">
        <v>11</v>
      </c>
      <c r="G18" s="24">
        <v>21</v>
      </c>
      <c r="H18" s="24">
        <v>32</v>
      </c>
      <c r="I18" s="24">
        <v>40</v>
      </c>
      <c r="J18" s="24">
        <v>48</v>
      </c>
      <c r="K18" s="24">
        <v>53</v>
      </c>
      <c r="L18" s="24">
        <v>57</v>
      </c>
      <c r="M18" s="24">
        <v>62</v>
      </c>
      <c r="N18" s="24">
        <v>71</v>
      </c>
      <c r="O18" s="24">
        <v>63</v>
      </c>
      <c r="P18" s="24">
        <v>70</v>
      </c>
      <c r="Q18" s="24">
        <v>72</v>
      </c>
      <c r="R18" s="24">
        <v>76</v>
      </c>
      <c r="S18" s="24">
        <v>79</v>
      </c>
      <c r="T18" s="24">
        <v>84</v>
      </c>
      <c r="U18" s="24"/>
      <c r="V18" s="24"/>
      <c r="W18" s="24"/>
      <c r="X18" s="52"/>
      <c r="Y18" s="24"/>
      <c r="Z18" s="24"/>
      <c r="AA18" s="24"/>
      <c r="AB18" s="24"/>
      <c r="AC18" s="24"/>
    </row>
    <row r="19" spans="1:29" ht="19.899999999999999" customHeight="1" x14ac:dyDescent="0.2">
      <c r="A19" t="s">
        <v>32</v>
      </c>
      <c r="B19" s="11" t="s">
        <v>0</v>
      </c>
      <c r="C19" s="15">
        <v>4</v>
      </c>
      <c r="D19" s="13" t="s">
        <v>10</v>
      </c>
      <c r="E19" s="46" t="s">
        <v>38</v>
      </c>
      <c r="F19" s="23">
        <v>12</v>
      </c>
      <c r="G19" s="23">
        <v>21</v>
      </c>
      <c r="H19" s="23">
        <v>28</v>
      </c>
      <c r="I19" s="23">
        <v>36</v>
      </c>
      <c r="J19" s="23">
        <v>46</v>
      </c>
      <c r="K19" s="23">
        <v>52</v>
      </c>
      <c r="L19" s="23">
        <v>55</v>
      </c>
      <c r="M19" s="23">
        <v>61</v>
      </c>
      <c r="N19" s="23">
        <v>74</v>
      </c>
      <c r="O19" s="23">
        <v>66</v>
      </c>
      <c r="P19" s="23">
        <v>72</v>
      </c>
      <c r="Q19" s="23">
        <v>75</v>
      </c>
      <c r="R19" s="23">
        <v>79</v>
      </c>
      <c r="S19" s="23">
        <v>86</v>
      </c>
      <c r="T19" s="23" t="s">
        <v>53</v>
      </c>
      <c r="U19" s="23"/>
      <c r="V19" s="23"/>
      <c r="W19" s="23"/>
      <c r="X19" s="42"/>
      <c r="Y19" s="23"/>
      <c r="Z19" s="23"/>
      <c r="AA19" s="23"/>
      <c r="AB19" s="23"/>
      <c r="AC19" s="23"/>
    </row>
    <row r="20" spans="1:29" ht="19.899999999999999" customHeight="1" thickBot="1" x14ac:dyDescent="0.25">
      <c r="A20" t="s">
        <v>32</v>
      </c>
      <c r="B20" s="14" t="s">
        <v>32</v>
      </c>
      <c r="C20" s="16" t="s">
        <v>32</v>
      </c>
      <c r="D20" s="17" t="s">
        <v>11</v>
      </c>
      <c r="E20" s="47" t="s">
        <v>38</v>
      </c>
      <c r="F20" s="24">
        <v>9</v>
      </c>
      <c r="G20" s="24">
        <v>20</v>
      </c>
      <c r="H20" s="24">
        <v>26</v>
      </c>
      <c r="I20" s="24">
        <v>38</v>
      </c>
      <c r="J20" s="24">
        <v>47</v>
      </c>
      <c r="K20" s="24">
        <v>55</v>
      </c>
      <c r="L20" s="24">
        <v>61</v>
      </c>
      <c r="M20" s="24">
        <v>66</v>
      </c>
      <c r="N20" s="24">
        <v>68</v>
      </c>
      <c r="O20" s="24">
        <v>61</v>
      </c>
      <c r="P20" s="24">
        <v>66</v>
      </c>
      <c r="Q20" s="24">
        <v>71</v>
      </c>
      <c r="R20" s="24">
        <v>77</v>
      </c>
      <c r="S20" s="24">
        <v>85</v>
      </c>
      <c r="T20" s="24">
        <v>91</v>
      </c>
      <c r="U20" s="24"/>
      <c r="V20" s="24"/>
      <c r="W20" s="24"/>
      <c r="X20" s="52"/>
      <c r="Y20" s="24"/>
      <c r="Z20" s="24"/>
      <c r="AA20" s="24"/>
      <c r="AB20" s="24"/>
      <c r="AC20" s="24"/>
    </row>
    <row r="21" spans="1:29" ht="19.899999999999999" customHeight="1" x14ac:dyDescent="0.2">
      <c r="A21" t="s">
        <v>32</v>
      </c>
      <c r="B21" s="11" t="s">
        <v>1</v>
      </c>
      <c r="C21" s="15">
        <v>4</v>
      </c>
      <c r="D21" s="13" t="s">
        <v>11</v>
      </c>
      <c r="E21" s="46" t="s">
        <v>37</v>
      </c>
      <c r="F21" s="23">
        <v>8</v>
      </c>
      <c r="G21" s="23">
        <v>16</v>
      </c>
      <c r="H21" s="23">
        <v>23</v>
      </c>
      <c r="I21" s="23">
        <v>30</v>
      </c>
      <c r="J21" s="23">
        <v>38</v>
      </c>
      <c r="K21" s="23">
        <v>40</v>
      </c>
      <c r="L21" s="23">
        <v>42</v>
      </c>
      <c r="M21" s="23">
        <v>42</v>
      </c>
      <c r="N21" s="23">
        <v>48</v>
      </c>
      <c r="O21" s="23">
        <v>43</v>
      </c>
      <c r="P21" s="23">
        <v>45</v>
      </c>
      <c r="Q21" s="23">
        <v>46</v>
      </c>
      <c r="R21" s="23">
        <v>44</v>
      </c>
      <c r="S21" s="23">
        <v>59</v>
      </c>
      <c r="T21" s="23">
        <v>78</v>
      </c>
      <c r="U21" s="23"/>
      <c r="V21" s="23"/>
      <c r="W21" s="42"/>
      <c r="X21" s="42"/>
      <c r="Y21" s="23"/>
      <c r="Z21" s="23"/>
      <c r="AA21" s="23"/>
      <c r="AB21" s="23"/>
      <c r="AC21" s="23"/>
    </row>
    <row r="22" spans="1:29" ht="19.899999999999999" customHeight="1" thickBot="1" x14ac:dyDescent="0.25">
      <c r="A22" t="s">
        <v>32</v>
      </c>
      <c r="B22" s="14" t="s">
        <v>32</v>
      </c>
      <c r="C22" s="16" t="s">
        <v>32</v>
      </c>
      <c r="D22" s="17" t="s">
        <v>10</v>
      </c>
      <c r="E22" s="47" t="s">
        <v>37</v>
      </c>
      <c r="F22" s="24">
        <v>11</v>
      </c>
      <c r="G22" s="24">
        <v>14</v>
      </c>
      <c r="H22" s="24">
        <v>27</v>
      </c>
      <c r="I22" s="24">
        <v>33</v>
      </c>
      <c r="J22" s="24">
        <v>43</v>
      </c>
      <c r="K22" s="24">
        <v>49</v>
      </c>
      <c r="L22" s="24">
        <v>55</v>
      </c>
      <c r="M22" s="24">
        <v>54</v>
      </c>
      <c r="N22" s="24">
        <v>61</v>
      </c>
      <c r="O22" s="24">
        <v>59</v>
      </c>
      <c r="P22" s="24">
        <v>60</v>
      </c>
      <c r="Q22" s="24">
        <v>64</v>
      </c>
      <c r="R22" s="24">
        <v>68</v>
      </c>
      <c r="S22" s="24">
        <v>76</v>
      </c>
      <c r="T22" s="24">
        <v>88</v>
      </c>
      <c r="U22" s="24"/>
      <c r="V22" s="24"/>
      <c r="W22" s="24"/>
      <c r="X22" s="52"/>
      <c r="Y22" s="24"/>
      <c r="Z22" s="24"/>
      <c r="AA22" s="24"/>
      <c r="AB22" s="24"/>
      <c r="AC22" s="24"/>
    </row>
    <row r="23" spans="1:29" ht="19.899999999999999" customHeight="1" x14ac:dyDescent="0.2">
      <c r="A23" t="s">
        <v>32</v>
      </c>
      <c r="B23" s="11" t="s">
        <v>1</v>
      </c>
      <c r="C23" s="15">
        <v>3</v>
      </c>
      <c r="D23" s="13" t="s">
        <v>11</v>
      </c>
      <c r="E23" s="46" t="s">
        <v>38</v>
      </c>
      <c r="F23" s="23">
        <v>6</v>
      </c>
      <c r="G23" s="23">
        <v>22</v>
      </c>
      <c r="H23" s="23">
        <v>27</v>
      </c>
      <c r="I23" s="23">
        <v>35</v>
      </c>
      <c r="J23" s="23">
        <v>43</v>
      </c>
      <c r="K23" s="23">
        <v>44</v>
      </c>
      <c r="L23" s="23">
        <v>45</v>
      </c>
      <c r="M23" s="23">
        <v>46</v>
      </c>
      <c r="N23" s="23">
        <v>52</v>
      </c>
      <c r="O23" s="23">
        <v>48</v>
      </c>
      <c r="P23" s="23">
        <v>50</v>
      </c>
      <c r="Q23" s="23">
        <v>51</v>
      </c>
      <c r="R23" s="23">
        <v>55</v>
      </c>
      <c r="S23" s="23">
        <v>62</v>
      </c>
      <c r="T23" s="23">
        <v>72</v>
      </c>
      <c r="U23" s="23"/>
      <c r="V23" s="23"/>
      <c r="W23" s="23"/>
      <c r="X23" s="23"/>
      <c r="Y23" s="23"/>
      <c r="Z23" s="23"/>
      <c r="AA23" s="23"/>
      <c r="AB23" s="23"/>
      <c r="AC23" s="23"/>
    </row>
    <row r="24" spans="1:29" ht="19.899999999999999" customHeight="1" thickBot="1" x14ac:dyDescent="0.25">
      <c r="A24" t="s">
        <v>32</v>
      </c>
      <c r="B24" s="14" t="s">
        <v>32</v>
      </c>
      <c r="C24" s="16" t="s">
        <v>32</v>
      </c>
      <c r="D24" s="17" t="s">
        <v>10</v>
      </c>
      <c r="E24" s="47" t="s">
        <v>38</v>
      </c>
      <c r="F24" s="24">
        <v>8</v>
      </c>
      <c r="G24" s="24">
        <v>19</v>
      </c>
      <c r="H24" s="24">
        <v>29</v>
      </c>
      <c r="I24" s="24">
        <v>36</v>
      </c>
      <c r="J24" s="24">
        <v>44</v>
      </c>
      <c r="K24" s="24">
        <v>53</v>
      </c>
      <c r="L24" s="24">
        <v>60</v>
      </c>
      <c r="M24" s="24">
        <v>69</v>
      </c>
      <c r="N24" s="24">
        <v>66</v>
      </c>
      <c r="O24" s="24">
        <v>61</v>
      </c>
      <c r="P24" s="24">
        <v>65</v>
      </c>
      <c r="Q24" s="24">
        <v>69</v>
      </c>
      <c r="R24" s="24">
        <v>73</v>
      </c>
      <c r="S24" s="24">
        <v>83</v>
      </c>
      <c r="T24" s="24">
        <v>93</v>
      </c>
      <c r="U24" s="24"/>
      <c r="V24" s="24"/>
      <c r="W24" s="52"/>
      <c r="X24" s="52"/>
      <c r="Y24" s="24"/>
      <c r="Z24" s="24"/>
      <c r="AA24" s="24"/>
      <c r="AB24" s="24"/>
      <c r="AC24" s="24"/>
    </row>
    <row r="25" spans="1:29" ht="19.899999999999999" customHeight="1" x14ac:dyDescent="0.2">
      <c r="A25" t="s">
        <v>32</v>
      </c>
      <c r="B25" s="11" t="s">
        <v>1</v>
      </c>
      <c r="C25" s="15">
        <v>2</v>
      </c>
      <c r="D25" s="13" t="s">
        <v>11</v>
      </c>
      <c r="E25" s="46" t="s">
        <v>37</v>
      </c>
      <c r="F25" s="23">
        <v>11</v>
      </c>
      <c r="G25" s="23">
        <v>17</v>
      </c>
      <c r="H25" s="23">
        <v>29</v>
      </c>
      <c r="I25" s="23">
        <v>36</v>
      </c>
      <c r="J25" s="23">
        <v>47</v>
      </c>
      <c r="K25" s="23">
        <v>50</v>
      </c>
      <c r="L25" s="23">
        <v>53</v>
      </c>
      <c r="M25" s="23">
        <v>52</v>
      </c>
      <c r="N25" s="23">
        <v>56</v>
      </c>
      <c r="O25" s="23">
        <v>53</v>
      </c>
      <c r="P25" s="23">
        <v>55</v>
      </c>
      <c r="Q25" s="23">
        <v>59</v>
      </c>
      <c r="R25" s="23">
        <v>66</v>
      </c>
      <c r="S25" s="23">
        <v>87</v>
      </c>
      <c r="T25" s="23" t="s">
        <v>53</v>
      </c>
      <c r="U25" s="23"/>
      <c r="V25" s="23"/>
      <c r="W25" s="42"/>
      <c r="X25" s="42"/>
      <c r="Y25" s="23"/>
      <c r="Z25" s="23"/>
      <c r="AA25" s="23"/>
      <c r="AB25" s="23"/>
      <c r="AC25" s="23"/>
    </row>
    <row r="26" spans="1:29" ht="19.899999999999999" customHeight="1" thickBot="1" x14ac:dyDescent="0.25">
      <c r="A26" t="s">
        <v>32</v>
      </c>
      <c r="B26" s="14" t="s">
        <v>32</v>
      </c>
      <c r="C26" s="16" t="s">
        <v>32</v>
      </c>
      <c r="D26" s="17" t="s">
        <v>10</v>
      </c>
      <c r="E26" s="47" t="s">
        <v>37</v>
      </c>
      <c r="F26" s="24">
        <v>10</v>
      </c>
      <c r="G26" s="24">
        <v>19</v>
      </c>
      <c r="H26" s="24">
        <v>31</v>
      </c>
      <c r="I26" s="24">
        <v>38</v>
      </c>
      <c r="J26" s="24">
        <v>47</v>
      </c>
      <c r="K26" s="24">
        <v>53</v>
      </c>
      <c r="L26" s="24">
        <v>58</v>
      </c>
      <c r="M26" s="24">
        <v>64</v>
      </c>
      <c r="N26" s="24">
        <v>71</v>
      </c>
      <c r="O26" s="24">
        <v>68</v>
      </c>
      <c r="P26" s="24">
        <v>76</v>
      </c>
      <c r="Q26" s="24">
        <v>83</v>
      </c>
      <c r="R26" s="24">
        <v>88</v>
      </c>
      <c r="S26" s="24" t="s">
        <v>53</v>
      </c>
      <c r="T26" s="24" t="s">
        <v>53</v>
      </c>
      <c r="U26" s="24"/>
      <c r="V26" s="24"/>
      <c r="W26" s="52"/>
      <c r="X26" s="52"/>
      <c r="Y26" s="24"/>
      <c r="Z26" s="24"/>
      <c r="AA26" s="24"/>
      <c r="AB26" s="24"/>
      <c r="AC26" s="24"/>
    </row>
    <row r="27" spans="1:29" ht="19.899999999999999" customHeight="1" x14ac:dyDescent="0.2">
      <c r="A27" t="s">
        <v>32</v>
      </c>
      <c r="B27" s="11" t="s">
        <v>1</v>
      </c>
      <c r="C27" s="15">
        <v>1</v>
      </c>
      <c r="D27" s="13" t="s">
        <v>11</v>
      </c>
      <c r="E27" s="46" t="s">
        <v>36</v>
      </c>
      <c r="F27" s="23">
        <v>9</v>
      </c>
      <c r="G27" s="23">
        <v>19</v>
      </c>
      <c r="H27" s="23">
        <v>27</v>
      </c>
      <c r="I27" s="23">
        <v>35</v>
      </c>
      <c r="J27" s="23">
        <v>47</v>
      </c>
      <c r="K27" s="23">
        <v>49</v>
      </c>
      <c r="L27" s="23">
        <v>54</v>
      </c>
      <c r="M27" s="23">
        <v>56</v>
      </c>
      <c r="N27" s="23">
        <v>64</v>
      </c>
      <c r="O27" s="23">
        <v>62</v>
      </c>
      <c r="P27" s="23">
        <v>65</v>
      </c>
      <c r="Q27" s="23">
        <v>69</v>
      </c>
      <c r="R27" s="23">
        <v>72</v>
      </c>
      <c r="S27" s="23">
        <v>76</v>
      </c>
      <c r="T27" s="23">
        <v>85</v>
      </c>
      <c r="U27" s="23"/>
      <c r="V27" s="23"/>
      <c r="W27" s="42"/>
      <c r="X27" s="42"/>
      <c r="Y27" s="23"/>
      <c r="Z27" s="23"/>
      <c r="AA27" s="23"/>
      <c r="AB27" s="23"/>
      <c r="AC27" s="23"/>
    </row>
    <row r="28" spans="1:29" ht="19.899999999999999" customHeight="1" thickBot="1" x14ac:dyDescent="0.25">
      <c r="A28" t="s">
        <v>32</v>
      </c>
      <c r="B28" s="14" t="s">
        <v>32</v>
      </c>
      <c r="C28" s="16" t="s">
        <v>32</v>
      </c>
      <c r="D28" s="17" t="s">
        <v>10</v>
      </c>
      <c r="E28" s="47" t="s">
        <v>36</v>
      </c>
      <c r="F28" s="24">
        <v>10</v>
      </c>
      <c r="G28" s="24">
        <v>19</v>
      </c>
      <c r="H28" s="24">
        <v>29</v>
      </c>
      <c r="I28" s="24">
        <v>37</v>
      </c>
      <c r="J28" s="24">
        <v>49</v>
      </c>
      <c r="K28" s="24">
        <v>58</v>
      </c>
      <c r="L28" s="24">
        <v>62</v>
      </c>
      <c r="M28" s="24">
        <v>67</v>
      </c>
      <c r="N28" s="24">
        <v>73</v>
      </c>
      <c r="O28" s="24">
        <v>68</v>
      </c>
      <c r="P28" s="24">
        <v>70</v>
      </c>
      <c r="Q28" s="24">
        <v>74</v>
      </c>
      <c r="R28" s="24">
        <v>78</v>
      </c>
      <c r="S28" s="24">
        <v>89</v>
      </c>
      <c r="T28" s="24" t="s">
        <v>53</v>
      </c>
      <c r="U28" s="24"/>
      <c r="V28" s="24"/>
      <c r="W28" s="52"/>
      <c r="X28" s="52"/>
      <c r="Y28" s="24"/>
      <c r="Z28" s="24"/>
      <c r="AA28" s="24"/>
      <c r="AB28" s="24"/>
      <c r="AC28" s="24"/>
    </row>
    <row r="29" spans="1:29" ht="19.899999999999999" customHeight="1" x14ac:dyDescent="0.2">
      <c r="A29" t="s">
        <v>32</v>
      </c>
      <c r="B29" s="11" t="s">
        <v>2</v>
      </c>
      <c r="C29" s="15">
        <v>1</v>
      </c>
      <c r="D29" s="13" t="s">
        <v>10</v>
      </c>
      <c r="E29" s="46" t="s">
        <v>36</v>
      </c>
      <c r="F29" s="23">
        <v>11</v>
      </c>
      <c r="G29" s="23">
        <v>21</v>
      </c>
      <c r="H29" s="23">
        <v>27</v>
      </c>
      <c r="I29" s="23">
        <v>40</v>
      </c>
      <c r="J29" s="23">
        <v>46</v>
      </c>
      <c r="K29" s="23">
        <v>54</v>
      </c>
      <c r="L29" s="23">
        <v>61</v>
      </c>
      <c r="M29" s="23">
        <v>64</v>
      </c>
      <c r="N29" s="23">
        <v>68</v>
      </c>
      <c r="O29" s="23">
        <v>68</v>
      </c>
      <c r="P29" s="23">
        <v>71</v>
      </c>
      <c r="Q29" s="23">
        <v>77</v>
      </c>
      <c r="R29" s="23">
        <v>83</v>
      </c>
      <c r="S29" s="23">
        <v>92</v>
      </c>
      <c r="T29" s="23" t="s">
        <v>53</v>
      </c>
      <c r="U29" s="23"/>
      <c r="V29" s="23"/>
      <c r="W29" s="42"/>
      <c r="X29" s="42"/>
      <c r="Y29" s="23"/>
      <c r="Z29" s="23"/>
      <c r="AA29" s="23"/>
      <c r="AB29" s="23"/>
      <c r="AC29" s="23"/>
    </row>
    <row r="30" spans="1:29" ht="19.899999999999999" customHeight="1" thickBot="1" x14ac:dyDescent="0.25">
      <c r="A30" t="s">
        <v>32</v>
      </c>
      <c r="B30" s="14" t="s">
        <v>32</v>
      </c>
      <c r="C30" s="16" t="s">
        <v>32</v>
      </c>
      <c r="D30" s="17" t="s">
        <v>11</v>
      </c>
      <c r="E30" s="47" t="s">
        <v>36</v>
      </c>
      <c r="F30" s="24">
        <v>13</v>
      </c>
      <c r="G30" s="24">
        <v>21</v>
      </c>
      <c r="H30" s="24">
        <v>30</v>
      </c>
      <c r="I30" s="24">
        <v>37</v>
      </c>
      <c r="J30" s="24">
        <v>51</v>
      </c>
      <c r="K30" s="24">
        <v>59</v>
      </c>
      <c r="L30" s="24">
        <v>63</v>
      </c>
      <c r="M30" s="24">
        <v>66</v>
      </c>
      <c r="N30" s="24">
        <v>68</v>
      </c>
      <c r="O30" s="24">
        <v>62</v>
      </c>
      <c r="P30" s="24">
        <v>64</v>
      </c>
      <c r="Q30" s="24">
        <v>69</v>
      </c>
      <c r="R30" s="24">
        <v>73</v>
      </c>
      <c r="S30" s="24">
        <v>82</v>
      </c>
      <c r="T30" s="24">
        <v>94</v>
      </c>
      <c r="U30" s="24"/>
      <c r="V30" s="24"/>
      <c r="W30" s="24"/>
      <c r="X30" s="52"/>
      <c r="Y30" s="24"/>
      <c r="Z30" s="24"/>
      <c r="AA30" s="24"/>
      <c r="AB30" s="24"/>
      <c r="AC30" s="24"/>
    </row>
    <row r="31" spans="1:29" ht="19.899999999999999" customHeight="1" x14ac:dyDescent="0.2">
      <c r="A31" t="s">
        <v>32</v>
      </c>
      <c r="B31" s="11" t="s">
        <v>2</v>
      </c>
      <c r="C31" s="15">
        <v>2</v>
      </c>
      <c r="D31" s="13" t="s">
        <v>10</v>
      </c>
      <c r="E31" s="46" t="s">
        <v>37</v>
      </c>
      <c r="F31" s="23">
        <v>11</v>
      </c>
      <c r="G31" s="23">
        <v>18</v>
      </c>
      <c r="H31" s="23">
        <v>27</v>
      </c>
      <c r="I31" s="23">
        <v>33</v>
      </c>
      <c r="J31" s="23">
        <v>47</v>
      </c>
      <c r="K31" s="23">
        <v>55</v>
      </c>
      <c r="L31" s="23">
        <v>64</v>
      </c>
      <c r="M31" s="23">
        <v>67</v>
      </c>
      <c r="N31" s="23">
        <v>75</v>
      </c>
      <c r="O31" s="23">
        <v>68</v>
      </c>
      <c r="P31" s="23">
        <v>73</v>
      </c>
      <c r="Q31" s="23">
        <v>82</v>
      </c>
      <c r="R31" s="23">
        <v>96</v>
      </c>
      <c r="S31" s="23" t="s">
        <v>53</v>
      </c>
      <c r="T31" s="23" t="s">
        <v>53</v>
      </c>
      <c r="U31" s="23"/>
      <c r="V31" s="23"/>
      <c r="W31" s="23"/>
      <c r="X31" s="42"/>
      <c r="Y31" s="23"/>
      <c r="Z31" s="23"/>
      <c r="AA31" s="23"/>
      <c r="AB31" s="23"/>
      <c r="AC31" s="23"/>
    </row>
    <row r="32" spans="1:29" ht="19.899999999999999" customHeight="1" thickBot="1" x14ac:dyDescent="0.25">
      <c r="A32" t="s">
        <v>32</v>
      </c>
      <c r="B32" s="14" t="s">
        <v>32</v>
      </c>
      <c r="C32" s="16" t="s">
        <v>32</v>
      </c>
      <c r="D32" s="17" t="s">
        <v>11</v>
      </c>
      <c r="E32" s="47" t="s">
        <v>37</v>
      </c>
      <c r="F32" s="24">
        <v>11</v>
      </c>
      <c r="G32" s="24">
        <v>18</v>
      </c>
      <c r="H32" s="24">
        <v>28</v>
      </c>
      <c r="I32" s="24">
        <v>32</v>
      </c>
      <c r="J32" s="24">
        <v>47</v>
      </c>
      <c r="K32" s="24">
        <v>56</v>
      </c>
      <c r="L32" s="24">
        <v>61</v>
      </c>
      <c r="M32" s="24">
        <v>66</v>
      </c>
      <c r="N32" s="24">
        <v>70</v>
      </c>
      <c r="O32" s="24">
        <v>67</v>
      </c>
      <c r="P32" s="24">
        <v>71</v>
      </c>
      <c r="Q32" s="24">
        <v>73</v>
      </c>
      <c r="R32" s="24">
        <v>75</v>
      </c>
      <c r="S32" s="24">
        <v>84</v>
      </c>
      <c r="T32" s="24" t="s">
        <v>53</v>
      </c>
      <c r="U32" s="24"/>
      <c r="V32" s="24"/>
      <c r="W32" s="52"/>
      <c r="X32" s="52"/>
      <c r="Y32" s="24"/>
      <c r="Z32" s="24"/>
      <c r="AA32" s="24"/>
      <c r="AB32" s="24"/>
      <c r="AC32" s="24"/>
    </row>
    <row r="33" spans="1:29" ht="19.899999999999999" customHeight="1" x14ac:dyDescent="0.2">
      <c r="A33" t="s">
        <v>32</v>
      </c>
      <c r="B33" s="11" t="s">
        <v>2</v>
      </c>
      <c r="C33" s="15">
        <v>3</v>
      </c>
      <c r="D33" s="13" t="s">
        <v>10</v>
      </c>
      <c r="E33" s="46" t="s">
        <v>38</v>
      </c>
      <c r="F33" s="23">
        <v>12</v>
      </c>
      <c r="G33" s="23">
        <v>20</v>
      </c>
      <c r="H33" s="23">
        <v>29</v>
      </c>
      <c r="I33" s="23">
        <v>35</v>
      </c>
      <c r="J33" s="23">
        <v>45</v>
      </c>
      <c r="K33" s="23">
        <v>49</v>
      </c>
      <c r="L33" s="23">
        <v>50</v>
      </c>
      <c r="M33" s="23">
        <v>55</v>
      </c>
      <c r="N33" s="23">
        <v>64</v>
      </c>
      <c r="O33" s="23">
        <v>63</v>
      </c>
      <c r="P33" s="23">
        <v>67</v>
      </c>
      <c r="Q33" s="23">
        <v>73</v>
      </c>
      <c r="R33" s="23">
        <v>80</v>
      </c>
      <c r="S33" s="23">
        <v>88</v>
      </c>
      <c r="T33" s="23" t="s">
        <v>53</v>
      </c>
      <c r="U33" s="23"/>
      <c r="V33" s="23"/>
      <c r="W33" s="23"/>
      <c r="X33" s="42"/>
      <c r="Y33" s="23"/>
      <c r="Z33" s="23"/>
      <c r="AA33" s="23"/>
      <c r="AB33" s="23"/>
      <c r="AC33" s="23"/>
    </row>
    <row r="34" spans="1:29" ht="19.899999999999999" customHeight="1" thickBot="1" x14ac:dyDescent="0.25">
      <c r="A34" t="s">
        <v>32</v>
      </c>
      <c r="B34" s="14" t="s">
        <v>32</v>
      </c>
      <c r="C34" s="16" t="s">
        <v>32</v>
      </c>
      <c r="D34" s="17" t="s">
        <v>11</v>
      </c>
      <c r="E34" s="47" t="s">
        <v>38</v>
      </c>
      <c r="F34" s="24">
        <v>10</v>
      </c>
      <c r="G34" s="24">
        <v>18</v>
      </c>
      <c r="H34" s="24">
        <v>25</v>
      </c>
      <c r="I34" s="24">
        <v>40</v>
      </c>
      <c r="J34" s="24">
        <v>47</v>
      </c>
      <c r="K34" s="24">
        <v>52</v>
      </c>
      <c r="L34" s="24">
        <v>58</v>
      </c>
      <c r="M34" s="24">
        <v>60</v>
      </c>
      <c r="N34" s="24">
        <v>69</v>
      </c>
      <c r="O34" s="24">
        <v>62</v>
      </c>
      <c r="P34" s="24">
        <v>67</v>
      </c>
      <c r="Q34" s="24">
        <v>71</v>
      </c>
      <c r="R34" s="24">
        <v>78</v>
      </c>
      <c r="S34" s="24"/>
      <c r="T34" s="24" t="s">
        <v>53</v>
      </c>
      <c r="U34" s="24"/>
      <c r="V34" s="24"/>
      <c r="W34" s="24"/>
      <c r="X34" s="52"/>
      <c r="Y34" s="24"/>
      <c r="Z34" s="24"/>
      <c r="AA34" s="24"/>
      <c r="AB34" s="24"/>
      <c r="AC34" s="24"/>
    </row>
    <row r="35" spans="1:29" ht="19.899999999999999" customHeight="1" x14ac:dyDescent="0.2">
      <c r="A35" t="s">
        <v>32</v>
      </c>
      <c r="B35" s="11" t="s">
        <v>2</v>
      </c>
      <c r="C35" s="15">
        <v>4</v>
      </c>
      <c r="D35" s="13" t="s">
        <v>10</v>
      </c>
      <c r="E35" s="46" t="s">
        <v>37</v>
      </c>
      <c r="F35" s="23">
        <v>10</v>
      </c>
      <c r="G35" s="23">
        <v>14</v>
      </c>
      <c r="H35" s="23">
        <v>25</v>
      </c>
      <c r="I35" s="23">
        <v>31</v>
      </c>
      <c r="J35" s="23">
        <v>39</v>
      </c>
      <c r="K35" s="23">
        <v>42</v>
      </c>
      <c r="L35" s="23">
        <v>44</v>
      </c>
      <c r="M35" s="23">
        <v>47</v>
      </c>
      <c r="N35" s="23">
        <v>56</v>
      </c>
      <c r="O35" s="23">
        <v>53</v>
      </c>
      <c r="P35" s="23">
        <v>59</v>
      </c>
      <c r="Q35" s="23">
        <v>64</v>
      </c>
      <c r="R35" s="23">
        <v>73</v>
      </c>
      <c r="S35" s="23">
        <v>97</v>
      </c>
      <c r="T35" s="23">
        <v>99</v>
      </c>
      <c r="U35" s="23"/>
      <c r="V35" s="23"/>
      <c r="W35" s="42"/>
      <c r="X35" s="42"/>
      <c r="Y35" s="23"/>
      <c r="Z35" s="23"/>
      <c r="AA35" s="23"/>
      <c r="AB35" s="23"/>
      <c r="AC35" s="23"/>
    </row>
    <row r="36" spans="1:29" ht="19.899999999999999" customHeight="1" thickBot="1" x14ac:dyDescent="0.25">
      <c r="A36" t="s">
        <v>32</v>
      </c>
      <c r="B36" s="14" t="s">
        <v>32</v>
      </c>
      <c r="C36" s="16" t="s">
        <v>32</v>
      </c>
      <c r="D36" s="17" t="s">
        <v>11</v>
      </c>
      <c r="E36" s="47" t="s">
        <v>37</v>
      </c>
      <c r="F36" s="24">
        <v>10</v>
      </c>
      <c r="G36" s="24">
        <v>17</v>
      </c>
      <c r="H36" s="24">
        <v>23</v>
      </c>
      <c r="I36" s="24">
        <v>32</v>
      </c>
      <c r="J36" s="24">
        <v>40</v>
      </c>
      <c r="K36" s="24">
        <v>49</v>
      </c>
      <c r="L36" s="24">
        <v>58</v>
      </c>
      <c r="M36" s="24">
        <v>69</v>
      </c>
      <c r="N36" s="24">
        <v>73</v>
      </c>
      <c r="O36" s="24">
        <v>64</v>
      </c>
      <c r="P36" s="24">
        <v>71</v>
      </c>
      <c r="Q36" s="24">
        <v>79</v>
      </c>
      <c r="R36" s="24">
        <v>87</v>
      </c>
      <c r="S36" s="24" t="s">
        <v>53</v>
      </c>
      <c r="T36" s="24" t="s">
        <v>53</v>
      </c>
      <c r="U36" s="24"/>
      <c r="V36" s="24"/>
      <c r="W36" s="52"/>
      <c r="X36" s="52"/>
      <c r="Y36" s="24"/>
      <c r="Z36" s="24"/>
      <c r="AA36" s="24"/>
      <c r="AB36" s="24"/>
      <c r="AC36" s="24"/>
    </row>
    <row r="37" spans="1:29" ht="19.899999999999999" customHeight="1" x14ac:dyDescent="0.2">
      <c r="A37" t="s">
        <v>32</v>
      </c>
      <c r="B37" s="11" t="s">
        <v>3</v>
      </c>
      <c r="C37" s="15">
        <v>4</v>
      </c>
      <c r="D37" s="13" t="s">
        <v>11</v>
      </c>
      <c r="E37" s="46" t="s">
        <v>36</v>
      </c>
      <c r="F37" s="23">
        <v>11</v>
      </c>
      <c r="G37" s="23">
        <v>21</v>
      </c>
      <c r="H37" s="23">
        <v>28</v>
      </c>
      <c r="I37" s="23">
        <v>35</v>
      </c>
      <c r="J37" s="23">
        <v>43</v>
      </c>
      <c r="K37" s="23">
        <v>48</v>
      </c>
      <c r="L37" s="23">
        <v>51</v>
      </c>
      <c r="M37" s="23">
        <v>53</v>
      </c>
      <c r="N37" s="23">
        <v>57</v>
      </c>
      <c r="O37" s="23">
        <v>60</v>
      </c>
      <c r="P37" s="23">
        <v>62</v>
      </c>
      <c r="Q37" s="23">
        <v>64</v>
      </c>
      <c r="R37" s="23">
        <v>65</v>
      </c>
      <c r="S37" s="23">
        <v>78</v>
      </c>
      <c r="T37" s="23">
        <v>85</v>
      </c>
      <c r="U37" s="23"/>
      <c r="V37" s="23"/>
      <c r="W37" s="23"/>
      <c r="X37" s="42"/>
      <c r="Y37" s="23"/>
      <c r="Z37" s="23"/>
      <c r="AA37" s="23"/>
      <c r="AB37" s="23"/>
      <c r="AC37" s="23"/>
    </row>
    <row r="38" spans="1:29" ht="19.899999999999999" customHeight="1" thickBot="1" x14ac:dyDescent="0.25">
      <c r="A38" t="s">
        <v>32</v>
      </c>
      <c r="B38" s="14" t="s">
        <v>32</v>
      </c>
      <c r="C38" s="16" t="s">
        <v>32</v>
      </c>
      <c r="D38" s="17" t="s">
        <v>10</v>
      </c>
      <c r="E38" s="47" t="s">
        <v>36</v>
      </c>
      <c r="F38" s="24">
        <v>12</v>
      </c>
      <c r="G38" s="24">
        <v>18</v>
      </c>
      <c r="H38" s="24">
        <v>27</v>
      </c>
      <c r="I38" s="24">
        <v>30</v>
      </c>
      <c r="J38" s="24">
        <v>38</v>
      </c>
      <c r="K38" s="24">
        <v>45</v>
      </c>
      <c r="L38" s="24">
        <v>47</v>
      </c>
      <c r="M38" s="24">
        <v>46</v>
      </c>
      <c r="N38" s="24">
        <v>51</v>
      </c>
      <c r="O38" s="24">
        <v>53</v>
      </c>
      <c r="P38" s="24">
        <v>56</v>
      </c>
      <c r="Q38" s="24">
        <v>61</v>
      </c>
      <c r="R38" s="24">
        <v>66</v>
      </c>
      <c r="S38" s="24">
        <v>76</v>
      </c>
      <c r="T38" s="24">
        <v>84</v>
      </c>
      <c r="U38" s="24"/>
      <c r="V38" s="24"/>
      <c r="W38" s="24"/>
      <c r="X38" s="24"/>
      <c r="Y38" s="24"/>
      <c r="Z38" s="24"/>
      <c r="AA38" s="24"/>
      <c r="AB38" s="24"/>
      <c r="AC38" s="24"/>
    </row>
    <row r="39" spans="1:29" ht="19.899999999999999" customHeight="1" x14ac:dyDescent="0.2">
      <c r="A39" t="s">
        <v>32</v>
      </c>
      <c r="B39" s="11" t="s">
        <v>3</v>
      </c>
      <c r="C39" s="15">
        <v>3</v>
      </c>
      <c r="D39" s="13" t="s">
        <v>11</v>
      </c>
      <c r="E39" s="46" t="s">
        <v>35</v>
      </c>
      <c r="F39" s="23">
        <v>12</v>
      </c>
      <c r="G39" s="23">
        <v>20</v>
      </c>
      <c r="H39" s="23">
        <v>27</v>
      </c>
      <c r="I39" s="23">
        <v>34</v>
      </c>
      <c r="J39" s="23">
        <v>41</v>
      </c>
      <c r="K39" s="23">
        <v>43</v>
      </c>
      <c r="L39" s="23">
        <v>46</v>
      </c>
      <c r="M39" s="23">
        <v>47</v>
      </c>
      <c r="N39" s="23">
        <v>59</v>
      </c>
      <c r="O39" s="23">
        <v>58</v>
      </c>
      <c r="P39" s="23">
        <v>60</v>
      </c>
      <c r="Q39" s="23">
        <v>66</v>
      </c>
      <c r="R39" s="23">
        <v>71</v>
      </c>
      <c r="S39" s="23">
        <v>85</v>
      </c>
      <c r="T39" s="23" t="s">
        <v>53</v>
      </c>
      <c r="U39" s="23"/>
      <c r="V39" s="23"/>
      <c r="W39" s="23"/>
      <c r="X39" s="23"/>
      <c r="Y39" s="23"/>
      <c r="Z39" s="23"/>
      <c r="AA39" s="23"/>
      <c r="AB39" s="23"/>
      <c r="AC39" s="23"/>
    </row>
    <row r="40" spans="1:29" ht="19.899999999999999" customHeight="1" thickBot="1" x14ac:dyDescent="0.25">
      <c r="A40" t="s">
        <v>32</v>
      </c>
      <c r="B40" s="14" t="s">
        <v>32</v>
      </c>
      <c r="C40" s="16" t="s">
        <v>32</v>
      </c>
      <c r="D40" s="17" t="s">
        <v>10</v>
      </c>
      <c r="E40" s="47" t="s">
        <v>35</v>
      </c>
      <c r="F40" s="24">
        <v>11</v>
      </c>
      <c r="G40" s="24">
        <v>18</v>
      </c>
      <c r="H40" s="24">
        <v>28</v>
      </c>
      <c r="I40" s="24">
        <v>37</v>
      </c>
      <c r="J40" s="24">
        <v>41</v>
      </c>
      <c r="K40" s="24">
        <v>43</v>
      </c>
      <c r="L40" s="24">
        <v>45</v>
      </c>
      <c r="M40" s="24">
        <v>45</v>
      </c>
      <c r="N40" s="24">
        <v>56</v>
      </c>
      <c r="O40" s="24">
        <v>55</v>
      </c>
      <c r="P40" s="24">
        <v>59</v>
      </c>
      <c r="Q40" s="24">
        <v>63</v>
      </c>
      <c r="R40" s="24">
        <v>70</v>
      </c>
      <c r="S40" s="24">
        <v>87</v>
      </c>
      <c r="T40" s="24" t="s">
        <v>53</v>
      </c>
      <c r="U40" s="24"/>
      <c r="V40" s="24"/>
      <c r="W40" s="52"/>
      <c r="X40" s="52"/>
      <c r="Y40" s="24"/>
      <c r="Z40" s="24"/>
      <c r="AA40" s="24"/>
      <c r="AB40" s="24"/>
      <c r="AC40" s="24"/>
    </row>
    <row r="41" spans="1:29" ht="19.899999999999999" customHeight="1" x14ac:dyDescent="0.2">
      <c r="A41" t="s">
        <v>32</v>
      </c>
      <c r="B41" s="11" t="s">
        <v>3</v>
      </c>
      <c r="C41" s="15">
        <v>2</v>
      </c>
      <c r="D41" s="13" t="s">
        <v>11</v>
      </c>
      <c r="E41" s="46" t="s">
        <v>38</v>
      </c>
      <c r="F41" s="23">
        <v>10</v>
      </c>
      <c r="G41" s="23">
        <v>19</v>
      </c>
      <c r="H41" s="23">
        <v>27</v>
      </c>
      <c r="I41" s="23">
        <v>35</v>
      </c>
      <c r="J41" s="23">
        <v>48</v>
      </c>
      <c r="K41" s="23">
        <v>58</v>
      </c>
      <c r="L41" s="23">
        <v>66</v>
      </c>
      <c r="M41" s="23">
        <v>72</v>
      </c>
      <c r="N41" s="23">
        <v>79</v>
      </c>
      <c r="O41" s="23">
        <v>79</v>
      </c>
      <c r="P41" s="23">
        <v>86</v>
      </c>
      <c r="Q41" s="23">
        <v>95</v>
      </c>
      <c r="R41" s="23" t="s">
        <v>53</v>
      </c>
      <c r="S41" s="23" t="s">
        <v>53</v>
      </c>
      <c r="T41" s="23" t="s">
        <v>53</v>
      </c>
      <c r="U41" s="23"/>
      <c r="V41" s="23"/>
      <c r="W41" s="23"/>
      <c r="X41" s="42"/>
      <c r="Y41" s="23"/>
      <c r="Z41" s="23"/>
      <c r="AA41" s="23"/>
      <c r="AB41" s="23"/>
      <c r="AC41" s="23"/>
    </row>
    <row r="42" spans="1:29" ht="19.899999999999999" customHeight="1" thickBot="1" x14ac:dyDescent="0.25">
      <c r="A42" t="s">
        <v>32</v>
      </c>
      <c r="B42" s="14" t="s">
        <v>32</v>
      </c>
      <c r="C42" s="16" t="s">
        <v>32</v>
      </c>
      <c r="D42" s="17" t="s">
        <v>10</v>
      </c>
      <c r="E42" s="47" t="s">
        <v>38</v>
      </c>
      <c r="F42" s="24">
        <v>11</v>
      </c>
      <c r="G42" s="24">
        <v>19</v>
      </c>
      <c r="H42" s="24">
        <v>27</v>
      </c>
      <c r="I42" s="24">
        <v>30</v>
      </c>
      <c r="J42" s="24">
        <v>47</v>
      </c>
      <c r="K42" s="24">
        <v>57</v>
      </c>
      <c r="L42" s="24">
        <v>67</v>
      </c>
      <c r="M42" s="24">
        <v>70</v>
      </c>
      <c r="N42" s="24">
        <v>72</v>
      </c>
      <c r="O42" s="24">
        <v>69</v>
      </c>
      <c r="P42" s="24">
        <v>74</v>
      </c>
      <c r="Q42" s="24">
        <v>80</v>
      </c>
      <c r="R42" s="24">
        <v>89</v>
      </c>
      <c r="S42" s="24" t="s">
        <v>53</v>
      </c>
      <c r="T42" s="24" t="s">
        <v>53</v>
      </c>
      <c r="U42" s="24"/>
      <c r="V42" s="24"/>
      <c r="W42" s="52"/>
      <c r="X42" s="52"/>
      <c r="Y42" s="24"/>
      <c r="Z42" s="24"/>
      <c r="AA42" s="24"/>
      <c r="AB42" s="24"/>
      <c r="AC42" s="24"/>
    </row>
    <row r="43" spans="1:29" ht="19.899999999999999" customHeight="1" x14ac:dyDescent="0.2">
      <c r="A43" s="1" t="s">
        <v>32</v>
      </c>
      <c r="B43" s="11" t="s">
        <v>3</v>
      </c>
      <c r="C43" s="15">
        <v>1</v>
      </c>
      <c r="D43" s="13" t="s">
        <v>11</v>
      </c>
      <c r="E43" s="46" t="s">
        <v>35</v>
      </c>
      <c r="F43" s="23">
        <v>12</v>
      </c>
      <c r="G43" s="23">
        <v>22</v>
      </c>
      <c r="H43" s="23">
        <v>33</v>
      </c>
      <c r="I43" s="23">
        <v>40</v>
      </c>
      <c r="J43" s="23">
        <v>48</v>
      </c>
      <c r="K43" s="23">
        <v>55</v>
      </c>
      <c r="L43" s="23">
        <v>62</v>
      </c>
      <c r="M43" s="23">
        <v>68</v>
      </c>
      <c r="N43" s="23">
        <v>73</v>
      </c>
      <c r="O43" s="23">
        <v>65</v>
      </c>
      <c r="P43" s="23">
        <v>70</v>
      </c>
      <c r="Q43" s="23">
        <v>76</v>
      </c>
      <c r="R43" s="23">
        <v>81</v>
      </c>
      <c r="S43" s="23">
        <v>92</v>
      </c>
      <c r="T43" s="23" t="s">
        <v>53</v>
      </c>
      <c r="U43" s="23"/>
      <c r="V43" s="23"/>
      <c r="W43" s="23"/>
      <c r="X43" s="42"/>
      <c r="Y43" s="23"/>
      <c r="Z43" s="23"/>
      <c r="AA43" s="23"/>
      <c r="AB43" s="23"/>
      <c r="AC43" s="23"/>
    </row>
    <row r="44" spans="1:29" ht="19.899999999999999" customHeight="1" thickBot="1" x14ac:dyDescent="0.25">
      <c r="A44" s="1" t="s">
        <v>32</v>
      </c>
      <c r="B44" s="14" t="s">
        <v>32</v>
      </c>
      <c r="C44" s="16" t="s">
        <v>32</v>
      </c>
      <c r="D44" s="17" t="s">
        <v>10</v>
      </c>
      <c r="E44" s="47" t="s">
        <v>35</v>
      </c>
      <c r="F44" s="24">
        <v>12</v>
      </c>
      <c r="G44" s="24">
        <v>23</v>
      </c>
      <c r="H44" s="24">
        <v>28</v>
      </c>
      <c r="I44" s="24">
        <v>35</v>
      </c>
      <c r="J44" s="24">
        <v>50</v>
      </c>
      <c r="K44" s="24">
        <v>57</v>
      </c>
      <c r="L44" s="24">
        <v>61</v>
      </c>
      <c r="M44" s="24">
        <v>65</v>
      </c>
      <c r="N44" s="24">
        <v>72</v>
      </c>
      <c r="O44" s="24">
        <v>67</v>
      </c>
      <c r="P44" s="24">
        <v>72</v>
      </c>
      <c r="Q44" s="24">
        <v>77</v>
      </c>
      <c r="R44" s="24">
        <v>84</v>
      </c>
      <c r="S44" s="24">
        <v>95</v>
      </c>
      <c r="T44" s="24" t="s">
        <v>53</v>
      </c>
      <c r="U44" s="24"/>
      <c r="V44" s="24"/>
      <c r="W44" s="24"/>
      <c r="X44" s="52"/>
      <c r="Y44" s="24"/>
      <c r="Z44" s="24"/>
      <c r="AA44" s="24"/>
      <c r="AB44" s="24"/>
      <c r="AC44" s="24"/>
    </row>
    <row r="45" spans="1:29" ht="19.899999999999999" customHeight="1" x14ac:dyDescent="0.2">
      <c r="A45" s="12" t="s">
        <v>32</v>
      </c>
      <c r="B45" s="11" t="s">
        <v>4</v>
      </c>
      <c r="C45" s="15">
        <v>1</v>
      </c>
      <c r="D45" s="13" t="s">
        <v>10</v>
      </c>
      <c r="E45" s="46" t="s">
        <v>37</v>
      </c>
      <c r="F45" s="23">
        <v>12</v>
      </c>
      <c r="G45" s="23">
        <v>22</v>
      </c>
      <c r="H45" s="23">
        <v>32</v>
      </c>
      <c r="I45" s="23">
        <v>40</v>
      </c>
      <c r="J45" s="23">
        <v>47</v>
      </c>
      <c r="K45" s="23">
        <v>53</v>
      </c>
      <c r="L45" s="23">
        <v>58</v>
      </c>
      <c r="M45" s="23">
        <v>64</v>
      </c>
      <c r="N45" s="23">
        <v>69</v>
      </c>
      <c r="O45" s="23">
        <v>64</v>
      </c>
      <c r="P45" s="23">
        <v>69</v>
      </c>
      <c r="Q45" s="23">
        <v>75</v>
      </c>
      <c r="R45" s="23">
        <v>81</v>
      </c>
      <c r="S45" s="23">
        <v>90</v>
      </c>
      <c r="T45" s="23" t="s">
        <v>53</v>
      </c>
      <c r="U45" s="23"/>
      <c r="V45" s="23"/>
      <c r="W45" s="23"/>
      <c r="X45" s="42"/>
      <c r="Y45" s="23"/>
      <c r="Z45" s="23"/>
      <c r="AA45" s="23"/>
      <c r="AB45" s="23"/>
      <c r="AC45" s="23"/>
    </row>
    <row r="46" spans="1:29" ht="19.899999999999999" customHeight="1" thickBot="1" x14ac:dyDescent="0.25">
      <c r="A46" s="1" t="s">
        <v>32</v>
      </c>
      <c r="B46" s="14" t="s">
        <v>32</v>
      </c>
      <c r="C46" s="16" t="s">
        <v>32</v>
      </c>
      <c r="D46" s="17" t="s">
        <v>11</v>
      </c>
      <c r="E46" s="47" t="s">
        <v>37</v>
      </c>
      <c r="F46" s="24">
        <v>11</v>
      </c>
      <c r="G46" s="24">
        <v>18</v>
      </c>
      <c r="H46" s="24">
        <v>30</v>
      </c>
      <c r="I46" s="24">
        <v>40</v>
      </c>
      <c r="J46" s="24">
        <v>50</v>
      </c>
      <c r="K46" s="24">
        <v>61</v>
      </c>
      <c r="L46" s="24">
        <v>74</v>
      </c>
      <c r="M46" s="24">
        <v>84</v>
      </c>
      <c r="N46" s="24">
        <v>88</v>
      </c>
      <c r="O46" s="24">
        <v>89</v>
      </c>
      <c r="P46" s="24">
        <v>92</v>
      </c>
      <c r="Q46" s="24">
        <v>98</v>
      </c>
      <c r="R46" s="24" t="s">
        <v>53</v>
      </c>
      <c r="S46" s="24" t="s">
        <v>53</v>
      </c>
      <c r="T46" s="24" t="s">
        <v>53</v>
      </c>
      <c r="U46" s="24"/>
      <c r="V46" s="24"/>
      <c r="W46" s="24"/>
      <c r="X46" s="52"/>
      <c r="Y46" s="24"/>
      <c r="Z46" s="24"/>
      <c r="AA46" s="24"/>
      <c r="AB46" s="24"/>
      <c r="AC46" s="24"/>
    </row>
    <row r="47" spans="1:29" ht="19.899999999999999" customHeight="1" x14ac:dyDescent="0.2">
      <c r="A47" s="1" t="s">
        <v>32</v>
      </c>
      <c r="B47" s="11" t="s">
        <v>4</v>
      </c>
      <c r="C47" s="15">
        <v>2</v>
      </c>
      <c r="D47" s="13" t="s">
        <v>10</v>
      </c>
      <c r="E47" s="46" t="s">
        <v>38</v>
      </c>
      <c r="F47" s="23">
        <v>10</v>
      </c>
      <c r="G47" s="23">
        <v>21</v>
      </c>
      <c r="H47" s="23">
        <v>29</v>
      </c>
      <c r="I47" s="23">
        <v>41</v>
      </c>
      <c r="J47" s="23">
        <v>55</v>
      </c>
      <c r="K47" s="23">
        <v>61</v>
      </c>
      <c r="L47" s="23">
        <v>68</v>
      </c>
      <c r="M47" s="23">
        <v>76</v>
      </c>
      <c r="N47" s="23">
        <v>86</v>
      </c>
      <c r="O47" s="42" t="s">
        <v>53</v>
      </c>
      <c r="P47" s="42" t="s">
        <v>53</v>
      </c>
      <c r="Q47" s="42" t="s">
        <v>53</v>
      </c>
      <c r="R47" s="23" t="s">
        <v>53</v>
      </c>
      <c r="S47" s="23" t="s">
        <v>53</v>
      </c>
      <c r="T47" s="23" t="s">
        <v>53</v>
      </c>
      <c r="U47" s="23"/>
      <c r="V47" s="23"/>
      <c r="W47" s="42"/>
      <c r="X47" s="42"/>
      <c r="Y47" s="23"/>
      <c r="Z47" s="23"/>
      <c r="AA47" s="23"/>
      <c r="AB47" s="23"/>
      <c r="AC47" s="23"/>
    </row>
    <row r="48" spans="1:29" ht="19.899999999999999" customHeight="1" thickBot="1" x14ac:dyDescent="0.25">
      <c r="A48" s="1" t="s">
        <v>32</v>
      </c>
      <c r="B48" s="14" t="s">
        <v>32</v>
      </c>
      <c r="C48" s="16" t="s">
        <v>32</v>
      </c>
      <c r="D48" s="17" t="s">
        <v>11</v>
      </c>
      <c r="E48" s="47" t="s">
        <v>38</v>
      </c>
      <c r="F48" s="24">
        <v>12</v>
      </c>
      <c r="G48" s="24">
        <v>20</v>
      </c>
      <c r="H48" s="24">
        <v>33</v>
      </c>
      <c r="I48" s="24">
        <v>37</v>
      </c>
      <c r="J48" s="24">
        <v>46</v>
      </c>
      <c r="K48" s="24">
        <v>51</v>
      </c>
      <c r="L48" s="24">
        <v>59</v>
      </c>
      <c r="M48" s="24">
        <v>65</v>
      </c>
      <c r="N48" s="24">
        <v>70</v>
      </c>
      <c r="O48" s="24">
        <v>67</v>
      </c>
      <c r="P48" s="24">
        <v>69</v>
      </c>
      <c r="Q48" s="24">
        <v>73</v>
      </c>
      <c r="R48" s="24">
        <v>78</v>
      </c>
      <c r="S48" s="24"/>
      <c r="T48" s="24" t="s">
        <v>53</v>
      </c>
      <c r="U48" s="24"/>
      <c r="V48" s="24"/>
      <c r="W48" s="24"/>
      <c r="X48" s="52"/>
      <c r="Y48" s="24"/>
      <c r="Z48" s="24"/>
      <c r="AA48" s="24"/>
      <c r="AB48" s="24"/>
      <c r="AC48" s="24"/>
    </row>
    <row r="49" spans="1:29" ht="19.899999999999999" customHeight="1" x14ac:dyDescent="0.2">
      <c r="A49" s="1" t="s">
        <v>32</v>
      </c>
      <c r="B49" s="11" t="s">
        <v>4</v>
      </c>
      <c r="C49" s="15">
        <v>3</v>
      </c>
      <c r="D49" s="13" t="s">
        <v>10</v>
      </c>
      <c r="E49" s="46" t="s">
        <v>36</v>
      </c>
      <c r="F49" s="23">
        <v>9</v>
      </c>
      <c r="G49" s="23">
        <v>18</v>
      </c>
      <c r="H49" s="23">
        <v>29</v>
      </c>
      <c r="I49" s="23">
        <v>42</v>
      </c>
      <c r="J49" s="23">
        <v>49</v>
      </c>
      <c r="K49" s="23">
        <v>54</v>
      </c>
      <c r="L49" s="23">
        <v>57</v>
      </c>
      <c r="M49" s="23">
        <v>58</v>
      </c>
      <c r="N49" s="23">
        <v>64</v>
      </c>
      <c r="O49" s="23">
        <v>68</v>
      </c>
      <c r="P49" s="23">
        <v>70</v>
      </c>
      <c r="Q49" s="23">
        <v>71</v>
      </c>
      <c r="R49" s="23">
        <v>73</v>
      </c>
      <c r="S49" s="23">
        <v>84</v>
      </c>
      <c r="T49" s="23">
        <v>100</v>
      </c>
      <c r="U49" s="23"/>
      <c r="V49" s="23"/>
      <c r="W49" s="42"/>
      <c r="X49" s="42"/>
      <c r="Y49" s="23"/>
      <c r="Z49" s="23"/>
      <c r="AA49" s="23"/>
      <c r="AB49" s="23"/>
      <c r="AC49" s="23"/>
    </row>
    <row r="50" spans="1:29" ht="19.899999999999999" customHeight="1" thickBot="1" x14ac:dyDescent="0.25">
      <c r="A50" s="1" t="s">
        <v>32</v>
      </c>
      <c r="B50" s="14" t="s">
        <v>32</v>
      </c>
      <c r="C50" s="16" t="s">
        <v>32</v>
      </c>
      <c r="D50" s="17" t="s">
        <v>11</v>
      </c>
      <c r="E50" s="47" t="s">
        <v>36</v>
      </c>
      <c r="F50" s="24">
        <v>12</v>
      </c>
      <c r="G50" s="24">
        <v>23</v>
      </c>
      <c r="H50" s="24">
        <v>32</v>
      </c>
      <c r="I50" s="24">
        <v>42</v>
      </c>
      <c r="J50" s="24">
        <v>49</v>
      </c>
      <c r="K50" s="24">
        <v>58</v>
      </c>
      <c r="L50" s="24">
        <v>64</v>
      </c>
      <c r="M50" s="24">
        <v>72</v>
      </c>
      <c r="N50" s="24">
        <v>65</v>
      </c>
      <c r="O50" s="24">
        <v>64</v>
      </c>
      <c r="P50" s="24">
        <v>69</v>
      </c>
      <c r="Q50" s="24">
        <v>72</v>
      </c>
      <c r="R50" s="24">
        <v>74</v>
      </c>
      <c r="S50" s="24">
        <v>82</v>
      </c>
      <c r="T50" s="24">
        <v>91</v>
      </c>
      <c r="U50" s="24"/>
      <c r="V50" s="24"/>
      <c r="W50" s="24"/>
      <c r="X50" s="24"/>
      <c r="Y50" s="24"/>
      <c r="Z50" s="24"/>
      <c r="AA50" s="24"/>
      <c r="AB50" s="24"/>
      <c r="AC50" s="24"/>
    </row>
    <row r="51" spans="1:29" ht="19.899999999999999" customHeight="1" x14ac:dyDescent="0.2">
      <c r="A51" s="1" t="s">
        <v>32</v>
      </c>
      <c r="B51" s="11" t="s">
        <v>4</v>
      </c>
      <c r="C51" s="15">
        <v>4</v>
      </c>
      <c r="D51" s="13" t="s">
        <v>10</v>
      </c>
      <c r="E51" s="46" t="s">
        <v>35</v>
      </c>
      <c r="F51" s="23">
        <v>9</v>
      </c>
      <c r="G51" s="23">
        <v>20</v>
      </c>
      <c r="H51" s="23">
        <v>28</v>
      </c>
      <c r="I51" s="23">
        <v>33</v>
      </c>
      <c r="J51" s="23">
        <v>38</v>
      </c>
      <c r="K51" s="23">
        <v>43</v>
      </c>
      <c r="L51" s="23">
        <v>49</v>
      </c>
      <c r="M51" s="23">
        <v>55</v>
      </c>
      <c r="N51" s="23">
        <v>58</v>
      </c>
      <c r="O51" s="23">
        <v>61</v>
      </c>
      <c r="P51" s="23">
        <v>60</v>
      </c>
      <c r="Q51" s="23">
        <v>62</v>
      </c>
      <c r="R51" s="23">
        <v>62</v>
      </c>
      <c r="S51" s="23">
        <v>73</v>
      </c>
      <c r="T51" s="23">
        <v>87</v>
      </c>
      <c r="U51" s="23"/>
      <c r="V51" s="23"/>
      <c r="W51" s="23"/>
      <c r="X51" s="42"/>
      <c r="Y51" s="23"/>
      <c r="Z51" s="23"/>
      <c r="AA51" s="23"/>
      <c r="AB51" s="23"/>
      <c r="AC51" s="23"/>
    </row>
    <row r="52" spans="1:29" ht="19.899999999999999" customHeight="1" thickBot="1" x14ac:dyDescent="0.25">
      <c r="A52" s="1" t="s">
        <v>32</v>
      </c>
      <c r="B52" s="14" t="s">
        <v>32</v>
      </c>
      <c r="C52" s="16" t="s">
        <v>32</v>
      </c>
      <c r="D52" s="17" t="s">
        <v>11</v>
      </c>
      <c r="E52" s="47" t="s">
        <v>35</v>
      </c>
      <c r="F52" s="24">
        <v>10</v>
      </c>
      <c r="G52" s="24">
        <v>19</v>
      </c>
      <c r="H52" s="24">
        <v>26</v>
      </c>
      <c r="I52" s="24">
        <v>35</v>
      </c>
      <c r="J52" s="24">
        <v>42</v>
      </c>
      <c r="K52" s="24">
        <v>47</v>
      </c>
      <c r="L52" s="24">
        <v>49</v>
      </c>
      <c r="M52" s="24">
        <v>52</v>
      </c>
      <c r="N52" s="24">
        <v>52</v>
      </c>
      <c r="O52" s="24">
        <v>51</v>
      </c>
      <c r="P52" s="24">
        <v>52</v>
      </c>
      <c r="Q52" s="24">
        <v>52</v>
      </c>
      <c r="R52" s="24">
        <v>54</v>
      </c>
      <c r="S52" s="24">
        <v>65</v>
      </c>
      <c r="T52" s="24">
        <v>72</v>
      </c>
      <c r="U52" s="24"/>
      <c r="V52" s="24"/>
      <c r="W52" s="24"/>
      <c r="X52" s="24"/>
      <c r="Y52" s="24"/>
      <c r="Z52" s="24"/>
      <c r="AA52" s="24"/>
      <c r="AB52" s="24"/>
      <c r="AC52" s="24"/>
    </row>
    <row r="53" spans="1:29" ht="19.899999999999999" customHeight="1" x14ac:dyDescent="0.2">
      <c r="A53" s="1" t="s">
        <v>32</v>
      </c>
      <c r="B53" s="11" t="s">
        <v>5</v>
      </c>
      <c r="C53" s="15">
        <v>4</v>
      </c>
      <c r="D53" s="13" t="s">
        <v>11</v>
      </c>
      <c r="E53" s="46" t="s">
        <v>38</v>
      </c>
      <c r="F53" s="23">
        <v>7</v>
      </c>
      <c r="G53" s="23">
        <v>18</v>
      </c>
      <c r="H53" s="23">
        <v>24</v>
      </c>
      <c r="I53" s="23">
        <v>36</v>
      </c>
      <c r="J53" s="23">
        <v>42</v>
      </c>
      <c r="K53" s="23">
        <v>45</v>
      </c>
      <c r="L53" s="23">
        <v>47</v>
      </c>
      <c r="M53" s="23">
        <v>43</v>
      </c>
      <c r="N53" s="23">
        <v>51</v>
      </c>
      <c r="O53" s="23">
        <v>52</v>
      </c>
      <c r="P53" s="23">
        <v>53</v>
      </c>
      <c r="Q53" s="23">
        <v>55</v>
      </c>
      <c r="R53" s="23">
        <v>57</v>
      </c>
      <c r="S53" s="23">
        <v>67</v>
      </c>
      <c r="T53" s="23">
        <v>73</v>
      </c>
      <c r="U53" s="23"/>
      <c r="V53" s="23"/>
      <c r="W53" s="23"/>
      <c r="X53" s="23"/>
      <c r="Y53" s="23"/>
      <c r="Z53" s="23"/>
      <c r="AA53" s="23"/>
      <c r="AB53" s="23"/>
      <c r="AC53" s="23"/>
    </row>
    <row r="54" spans="1:29" ht="19.899999999999999" customHeight="1" thickBot="1" x14ac:dyDescent="0.25">
      <c r="A54" s="1" t="s">
        <v>32</v>
      </c>
      <c r="B54" s="14" t="s">
        <v>32</v>
      </c>
      <c r="C54" s="16" t="s">
        <v>32</v>
      </c>
      <c r="D54" s="17" t="s">
        <v>10</v>
      </c>
      <c r="E54" s="47" t="s">
        <v>38</v>
      </c>
      <c r="F54" s="24">
        <v>13</v>
      </c>
      <c r="G54" s="24">
        <v>17</v>
      </c>
      <c r="H54" s="24">
        <v>28</v>
      </c>
      <c r="I54" s="24">
        <v>35</v>
      </c>
      <c r="J54" s="24">
        <v>36</v>
      </c>
      <c r="K54" s="24">
        <v>36</v>
      </c>
      <c r="L54" s="24">
        <v>38</v>
      </c>
      <c r="M54" s="24">
        <v>39</v>
      </c>
      <c r="N54" s="24">
        <v>51</v>
      </c>
      <c r="O54" s="24">
        <v>46</v>
      </c>
      <c r="P54" s="24">
        <v>52</v>
      </c>
      <c r="Q54" s="24">
        <v>54</v>
      </c>
      <c r="R54" s="24">
        <v>58</v>
      </c>
      <c r="S54" s="24">
        <v>64</v>
      </c>
      <c r="T54" s="24">
        <v>71</v>
      </c>
      <c r="U54" s="24"/>
      <c r="V54" s="24"/>
      <c r="W54" s="52"/>
      <c r="X54" s="52"/>
      <c r="Y54" s="24"/>
      <c r="Z54" s="24"/>
      <c r="AA54" s="24"/>
      <c r="AB54" s="24"/>
      <c r="AC54" s="24"/>
    </row>
    <row r="55" spans="1:29" ht="19.899999999999999" customHeight="1" x14ac:dyDescent="0.2">
      <c r="A55" s="1" t="s">
        <v>32</v>
      </c>
      <c r="B55" s="11" t="s">
        <v>5</v>
      </c>
      <c r="C55" s="15">
        <v>3</v>
      </c>
      <c r="D55" s="13" t="s">
        <v>11</v>
      </c>
      <c r="E55" s="46" t="s">
        <v>49</v>
      </c>
      <c r="F55" s="23">
        <v>10</v>
      </c>
      <c r="G55" s="23">
        <v>16</v>
      </c>
      <c r="H55" s="23">
        <v>28</v>
      </c>
      <c r="I55" s="23">
        <v>33</v>
      </c>
      <c r="J55" s="23">
        <v>43</v>
      </c>
      <c r="K55" s="23">
        <v>48</v>
      </c>
      <c r="L55" s="23">
        <v>51</v>
      </c>
      <c r="M55" s="23">
        <v>54</v>
      </c>
      <c r="N55" s="23">
        <v>58</v>
      </c>
      <c r="O55" s="23">
        <v>55</v>
      </c>
      <c r="P55" s="23">
        <v>60</v>
      </c>
      <c r="Q55" s="23">
        <v>65</v>
      </c>
      <c r="R55" s="23">
        <v>72</v>
      </c>
      <c r="S55" s="23">
        <v>79</v>
      </c>
      <c r="T55" s="23">
        <v>82</v>
      </c>
      <c r="U55" s="23"/>
      <c r="V55" s="23"/>
      <c r="W55" s="42"/>
      <c r="X55" s="42"/>
      <c r="Y55" s="23"/>
      <c r="Z55" s="23"/>
      <c r="AA55" s="23"/>
      <c r="AB55" s="23"/>
      <c r="AC55" s="23"/>
    </row>
    <row r="56" spans="1:29" ht="19.899999999999999" customHeight="1" thickBot="1" x14ac:dyDescent="0.25">
      <c r="A56" s="1" t="s">
        <v>32</v>
      </c>
      <c r="B56" s="14" t="s">
        <v>32</v>
      </c>
      <c r="C56" s="16" t="s">
        <v>32</v>
      </c>
      <c r="D56" s="17" t="s">
        <v>10</v>
      </c>
      <c r="E56" s="47" t="s">
        <v>37</v>
      </c>
      <c r="F56" s="24">
        <v>6</v>
      </c>
      <c r="G56" s="24">
        <v>14</v>
      </c>
      <c r="H56" s="24">
        <v>26</v>
      </c>
      <c r="I56" s="24">
        <v>34</v>
      </c>
      <c r="J56" s="24">
        <v>41</v>
      </c>
      <c r="K56" s="24">
        <v>49</v>
      </c>
      <c r="L56" s="24">
        <v>56</v>
      </c>
      <c r="M56" s="24">
        <v>63</v>
      </c>
      <c r="N56" s="24">
        <v>65</v>
      </c>
      <c r="O56" s="24">
        <v>65</v>
      </c>
      <c r="P56" s="24">
        <v>71</v>
      </c>
      <c r="Q56" s="24">
        <v>79</v>
      </c>
      <c r="R56" s="24">
        <v>87</v>
      </c>
      <c r="S56" s="24">
        <v>97</v>
      </c>
      <c r="T56" s="24" t="s">
        <v>53</v>
      </c>
      <c r="U56" s="24"/>
      <c r="V56" s="24"/>
      <c r="W56" s="52"/>
      <c r="X56" s="52"/>
      <c r="Y56" s="24"/>
      <c r="Z56" s="24"/>
      <c r="AA56" s="24"/>
      <c r="AB56" s="24"/>
      <c r="AC56" s="24"/>
    </row>
    <row r="57" spans="1:29" ht="19.899999999999999" customHeight="1" x14ac:dyDescent="0.2">
      <c r="A57" s="1" t="s">
        <v>32</v>
      </c>
      <c r="B57" s="11" t="s">
        <v>5</v>
      </c>
      <c r="C57" s="15">
        <v>2</v>
      </c>
      <c r="D57" s="13" t="s">
        <v>11</v>
      </c>
      <c r="E57" s="46" t="s">
        <v>50</v>
      </c>
      <c r="F57" s="23">
        <v>10</v>
      </c>
      <c r="G57" s="23">
        <v>22</v>
      </c>
      <c r="H57" s="23">
        <v>28</v>
      </c>
      <c r="I57" s="23">
        <v>37</v>
      </c>
      <c r="J57" s="23">
        <v>46</v>
      </c>
      <c r="K57" s="23">
        <v>51</v>
      </c>
      <c r="L57" s="23">
        <v>55</v>
      </c>
      <c r="M57" s="23">
        <v>57</v>
      </c>
      <c r="N57" s="23">
        <v>62</v>
      </c>
      <c r="O57" s="23">
        <v>59</v>
      </c>
      <c r="P57" s="23">
        <v>61</v>
      </c>
      <c r="Q57" s="23">
        <v>63</v>
      </c>
      <c r="R57" s="23">
        <v>66</v>
      </c>
      <c r="S57" s="23">
        <v>80</v>
      </c>
      <c r="T57" s="23">
        <v>88</v>
      </c>
      <c r="U57" s="23"/>
      <c r="V57" s="23"/>
      <c r="W57" s="42"/>
      <c r="X57" s="42"/>
      <c r="Y57" s="23"/>
      <c r="Z57" s="23"/>
      <c r="AA57" s="23"/>
      <c r="AB57" s="23"/>
      <c r="AC57" s="23"/>
    </row>
    <row r="58" spans="1:29" ht="19.899999999999999" customHeight="1" thickBot="1" x14ac:dyDescent="0.25">
      <c r="A58" s="1" t="s">
        <v>32</v>
      </c>
      <c r="B58" s="14" t="s">
        <v>32</v>
      </c>
      <c r="C58" s="16" t="s">
        <v>32</v>
      </c>
      <c r="D58" s="17" t="s">
        <v>10</v>
      </c>
      <c r="E58" s="47" t="s">
        <v>50</v>
      </c>
      <c r="F58" s="24">
        <v>9</v>
      </c>
      <c r="G58" s="24">
        <v>22</v>
      </c>
      <c r="H58" s="24">
        <v>31</v>
      </c>
      <c r="I58" s="24">
        <v>34</v>
      </c>
      <c r="J58" s="24">
        <v>45</v>
      </c>
      <c r="K58" s="24">
        <v>51</v>
      </c>
      <c r="L58" s="24">
        <v>56</v>
      </c>
      <c r="M58" s="24">
        <v>58</v>
      </c>
      <c r="N58" s="24">
        <v>64</v>
      </c>
      <c r="O58" s="24">
        <v>65</v>
      </c>
      <c r="P58" s="24">
        <v>67</v>
      </c>
      <c r="Q58" s="24">
        <v>71</v>
      </c>
      <c r="R58" s="24">
        <v>74</v>
      </c>
      <c r="S58" s="24">
        <v>86</v>
      </c>
      <c r="T58" s="24">
        <v>97</v>
      </c>
      <c r="U58" s="24"/>
      <c r="V58" s="24"/>
      <c r="W58" s="52"/>
      <c r="X58" s="52"/>
      <c r="Y58" s="24"/>
      <c r="Z58" s="24"/>
      <c r="AA58" s="24"/>
      <c r="AB58" s="24"/>
      <c r="AC58" s="24"/>
    </row>
    <row r="59" spans="1:29" ht="19.899999999999999" customHeight="1" x14ac:dyDescent="0.2">
      <c r="A59" s="1" t="s">
        <v>32</v>
      </c>
      <c r="B59" s="11" t="s">
        <v>5</v>
      </c>
      <c r="C59" s="15">
        <v>1</v>
      </c>
      <c r="D59" s="13" t="s">
        <v>11</v>
      </c>
      <c r="E59" s="46" t="s">
        <v>36</v>
      </c>
      <c r="F59" s="23">
        <v>10</v>
      </c>
      <c r="G59" s="23">
        <v>19</v>
      </c>
      <c r="H59" s="23">
        <v>27</v>
      </c>
      <c r="I59" s="23">
        <v>40</v>
      </c>
      <c r="J59" s="23">
        <v>46</v>
      </c>
      <c r="K59" s="23">
        <v>53</v>
      </c>
      <c r="L59" s="23">
        <v>62</v>
      </c>
      <c r="M59" s="23">
        <v>70</v>
      </c>
      <c r="N59" s="23">
        <v>70</v>
      </c>
      <c r="O59" s="23">
        <v>74</v>
      </c>
      <c r="P59" s="23">
        <v>77</v>
      </c>
      <c r="Q59" s="23">
        <v>81</v>
      </c>
      <c r="R59" s="23">
        <v>85</v>
      </c>
      <c r="S59" s="23" t="s">
        <v>53</v>
      </c>
      <c r="T59" s="23" t="s">
        <v>53</v>
      </c>
      <c r="U59" s="23"/>
      <c r="V59" s="23"/>
      <c r="W59" s="42"/>
      <c r="X59" s="42"/>
      <c r="Y59" s="23"/>
      <c r="Z59" s="23"/>
      <c r="AA59" s="23"/>
      <c r="AB59" s="23"/>
      <c r="AC59" s="23"/>
    </row>
    <row r="60" spans="1:29" ht="19.899999999999999" customHeight="1" thickBot="1" x14ac:dyDescent="0.25">
      <c r="A60" s="1" t="s">
        <v>32</v>
      </c>
      <c r="B60" s="14" t="s">
        <v>32</v>
      </c>
      <c r="C60" s="16" t="s">
        <v>32</v>
      </c>
      <c r="D60" s="17" t="s">
        <v>10</v>
      </c>
      <c r="E60" s="47" t="s">
        <v>36</v>
      </c>
      <c r="F60" s="24">
        <v>9</v>
      </c>
      <c r="G60" s="24">
        <v>19</v>
      </c>
      <c r="H60" s="24">
        <v>26</v>
      </c>
      <c r="I60" s="24">
        <v>39</v>
      </c>
      <c r="J60" s="24">
        <v>44</v>
      </c>
      <c r="K60" s="24">
        <v>52</v>
      </c>
      <c r="L60" s="24">
        <v>59</v>
      </c>
      <c r="M60" s="24">
        <v>66</v>
      </c>
      <c r="N60" s="24">
        <v>63</v>
      </c>
      <c r="O60" s="24">
        <v>62</v>
      </c>
      <c r="P60" s="24">
        <v>64</v>
      </c>
      <c r="Q60" s="24">
        <v>69</v>
      </c>
      <c r="R60" s="24">
        <v>72</v>
      </c>
      <c r="S60" s="24">
        <v>84</v>
      </c>
      <c r="T60" s="24">
        <v>92</v>
      </c>
      <c r="U60" s="24"/>
      <c r="V60" s="24"/>
      <c r="W60" s="24"/>
      <c r="X60" s="52"/>
      <c r="Y60" s="24"/>
      <c r="Z60" s="24"/>
      <c r="AA60" s="24"/>
      <c r="AB60" s="24"/>
      <c r="AC60" s="24"/>
    </row>
    <row r="61" spans="1:29" x14ac:dyDescent="0.2">
      <c r="A61" s="1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41"/>
      <c r="S61" s="41"/>
      <c r="T61" s="2"/>
      <c r="U61" s="41" t="s">
        <v>31</v>
      </c>
      <c r="V61" s="2"/>
      <c r="W61" s="2"/>
      <c r="X61" s="2"/>
      <c r="Y61" s="56"/>
      <c r="AA61" s="58"/>
      <c r="AC61" s="56"/>
    </row>
  </sheetData>
  <mergeCells count="1">
    <mergeCell ref="B12:C12"/>
  </mergeCells>
  <printOptions verticalCentered="1"/>
  <pageMargins left="0.45" right="0.45" top="1" bottom="0.25" header="0" footer="0"/>
  <pageSetup scale="92" fitToHeight="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9"/>
  <sheetViews>
    <sheetView zoomScale="85" zoomScaleNormal="85" workbookViewId="0"/>
  </sheetViews>
  <sheetFormatPr defaultRowHeight="12.75" x14ac:dyDescent="0.2"/>
  <cols>
    <col min="3" max="3" width="10.42578125" customWidth="1"/>
  </cols>
  <sheetData>
    <row r="1" spans="1:17" ht="15.75" x14ac:dyDescent="0.25">
      <c r="A1" s="6" t="s">
        <v>21</v>
      </c>
    </row>
    <row r="2" spans="1:17" ht="15.75" x14ac:dyDescent="0.25">
      <c r="A2" s="6"/>
      <c r="D2" s="41"/>
    </row>
    <row r="3" spans="1:17" ht="18.75" x14ac:dyDescent="0.3">
      <c r="A3" s="6"/>
      <c r="C3" s="38" t="s">
        <v>22</v>
      </c>
    </row>
    <row r="5" spans="1:17" s="50" customFormat="1" x14ac:dyDescent="0.2">
      <c r="B5" s="51"/>
      <c r="C5" s="22">
        <v>43977</v>
      </c>
      <c r="D5" s="22">
        <v>43983</v>
      </c>
      <c r="E5" s="22">
        <v>43990</v>
      </c>
      <c r="F5" s="22">
        <v>43997</v>
      </c>
      <c r="G5" s="22">
        <v>44004</v>
      </c>
      <c r="H5" s="22">
        <v>44011</v>
      </c>
      <c r="I5" s="22">
        <v>44018</v>
      </c>
      <c r="J5" s="22">
        <v>44025</v>
      </c>
      <c r="K5" s="22">
        <v>44033</v>
      </c>
      <c r="L5" s="22">
        <v>44039</v>
      </c>
      <c r="M5" s="22">
        <v>44047</v>
      </c>
      <c r="N5" s="22">
        <v>44053</v>
      </c>
      <c r="O5" s="22">
        <v>44060</v>
      </c>
      <c r="P5" s="22">
        <v>44074</v>
      </c>
      <c r="Q5" s="22">
        <v>44082</v>
      </c>
    </row>
    <row r="6" spans="1:17" x14ac:dyDescent="0.2">
      <c r="C6" s="18">
        <v>147</v>
      </c>
      <c r="D6" s="18">
        <v>153</v>
      </c>
      <c r="E6" s="18">
        <v>160</v>
      </c>
      <c r="F6" s="18">
        <v>167</v>
      </c>
      <c r="G6" s="18">
        <v>174</v>
      </c>
      <c r="H6" s="18">
        <v>181</v>
      </c>
      <c r="I6" s="18">
        <v>188</v>
      </c>
      <c r="J6" s="18">
        <v>195</v>
      </c>
      <c r="K6" s="18">
        <v>203</v>
      </c>
      <c r="L6" s="18">
        <v>209</v>
      </c>
      <c r="M6" s="18">
        <v>217</v>
      </c>
      <c r="N6" s="18">
        <v>223</v>
      </c>
      <c r="O6" s="18">
        <v>230</v>
      </c>
      <c r="P6" s="18">
        <v>244</v>
      </c>
      <c r="Q6" s="18">
        <v>252</v>
      </c>
    </row>
    <row r="7" spans="1:17" x14ac:dyDescent="0.2">
      <c r="B7" s="4" t="s">
        <v>40</v>
      </c>
      <c r="C7" s="43">
        <f>AVERAGEIFS('Height Summary'!F$13:F$60,'Height Summary'!$E$13:$E$60, "MDL")</f>
        <v>13.5</v>
      </c>
      <c r="D7" s="43">
        <f>AVERAGEIFS('Height Summary'!G$13:G$60,'Height Summary'!$E$13:$E$60, "MDL")</f>
        <v>19.285714285714285</v>
      </c>
      <c r="E7" s="43">
        <f>AVERAGEIFS('Height Summary'!H$13:H$60,'Height Summary'!$E$13:$E$60, "MDL")</f>
        <v>31.785714285714285</v>
      </c>
      <c r="F7" s="43">
        <f>AVERAGEIFS('Height Summary'!I$13:I$60,'Height Summary'!$E$13:$E$60, "MDL")</f>
        <v>41.714285714285715</v>
      </c>
      <c r="G7" s="43">
        <f>AVERAGEIFS('Height Summary'!J$13:J$60,'Height Summary'!$E$13:$E$60, "MDL")</f>
        <v>52.071428571428569</v>
      </c>
      <c r="H7" s="43">
        <f>AVERAGEIFS('Height Summary'!K$13:K$60,'Height Summary'!$E$13:$E$60, "MDL")</f>
        <v>58.285714285714285</v>
      </c>
      <c r="I7" s="43">
        <f>AVERAGEIFS('Height Summary'!L$13:L$60,'Height Summary'!$E$13:$E$60, "MDL")</f>
        <v>65.928571428571431</v>
      </c>
      <c r="J7" s="43">
        <f>AVERAGEIFS('Height Summary'!M$13:M$60,'Height Summary'!$E$13:$E$60, "MDL")</f>
        <v>73.214285714285708</v>
      </c>
      <c r="K7" s="43">
        <f>AVERAGEIFS('Height Summary'!N$13:N$60,'Height Summary'!$E$13:$E$60, "MDL")</f>
        <v>77.214285714285708</v>
      </c>
      <c r="L7" s="43">
        <f>AVERAGEIFS('Height Summary'!O$13:O$60,'Height Summary'!$E$13:$E$60, "MDL")</f>
        <v>76.571428571428569</v>
      </c>
      <c r="M7" s="43">
        <f>AVERAGEIFS('Height Summary'!P$13:P$60,'Height Summary'!$E$13:$E$60, "MDL")</f>
        <v>78.642857142857139</v>
      </c>
      <c r="N7" s="43">
        <f>AVERAGEIFS('Height Summary'!Q$13:Q$60,'Height Summary'!$E$13:$E$60, "MDL")</f>
        <v>81.928571428571431</v>
      </c>
      <c r="O7" s="43">
        <f>AVERAGEIFS('Height Summary'!R$13:R$60,'Height Summary'!$E$13:$E$60, "MDL")</f>
        <v>86.428571428571431</v>
      </c>
      <c r="P7" s="43">
        <f>AVERAGEIFS('Height Summary'!T$13:T$60,'Height Summary'!$E$13:$E$60, "MDL")</f>
        <v>103.42857142857143</v>
      </c>
      <c r="Q7" s="43">
        <f>AVERAGEIFS('Height Summary'!U$13:U$60,'Height Summary'!$E$13:$E$60, "MDL")</f>
        <v>108.21428571428571</v>
      </c>
    </row>
    <row r="8" spans="1:17" x14ac:dyDescent="0.2"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</row>
    <row r="9" spans="1:17" x14ac:dyDescent="0.2">
      <c r="B9" s="4" t="s">
        <v>41</v>
      </c>
      <c r="C9" s="27">
        <f>AVERAGEIFS('Height Summary'!F$13:F$60,'Height Summary'!$E$13:$E$60, "SOL")</f>
        <v>12.818181818181818</v>
      </c>
      <c r="D9" s="27">
        <f>AVERAGEIFS('Height Summary'!G$13:G$60,'Height Summary'!$E$13:$E$60, "SOL")</f>
        <v>18.181818181818183</v>
      </c>
      <c r="E9" s="27">
        <f>AVERAGEIFS('Height Summary'!H$13:H$60,'Height Summary'!$E$13:$E$60, "SOL")</f>
        <v>31.09090909090909</v>
      </c>
      <c r="F9" s="27">
        <f>AVERAGEIFS('Height Summary'!I$13:I$60,'Height Summary'!$E$13:$E$60, "SOL")</f>
        <v>39.18181818181818</v>
      </c>
      <c r="G9" s="27">
        <f>AVERAGEIFS('Height Summary'!J$13:J$60,'Height Summary'!$E$13:$E$60, "SOL")</f>
        <v>50.81818181818182</v>
      </c>
      <c r="H9" s="27">
        <f>AVERAGEIFS('Height Summary'!K$13:K$60,'Height Summary'!$E$13:$E$60, "SOL")</f>
        <v>57.81818181818182</v>
      </c>
      <c r="I9" s="27">
        <f>AVERAGEIFS('Height Summary'!L$13:L$60,'Height Summary'!$E$13:$E$60, "SOL")</f>
        <v>64.818181818181813</v>
      </c>
      <c r="J9" s="27">
        <f>AVERAGEIFS('Height Summary'!M$13:M$60,'Height Summary'!$E$13:$E$60, "SOL")</f>
        <v>72.818181818181813</v>
      </c>
      <c r="K9" s="27">
        <f>AVERAGEIFS('Height Summary'!N$13:N$60,'Height Summary'!$E$13:$E$60, "SOL")</f>
        <v>73.818181818181813</v>
      </c>
      <c r="L9" s="27">
        <f>AVERAGEIFS('Height Summary'!O$13:O$60,'Height Summary'!$E$13:$E$60, "SOL")</f>
        <v>73.818181818181813</v>
      </c>
      <c r="M9" s="27">
        <f>AVERAGEIFS('Height Summary'!P$13:P$60,'Height Summary'!$E$13:$E$60, "SOL")</f>
        <v>75.727272727272734</v>
      </c>
      <c r="N9" s="27">
        <f>AVERAGEIFS('Height Summary'!Q$13:Q$60,'Height Summary'!$E$13:$E$60, "SOL")</f>
        <v>79.63636363636364</v>
      </c>
      <c r="O9" s="27">
        <f>AVERAGEIFS('Height Summary'!R$13:R$60,'Height Summary'!$E$13:$E$60, "SOL")</f>
        <v>84.36363636363636</v>
      </c>
      <c r="P9" s="27">
        <f>AVERAGEIFS('Height Summary'!T$13:T$60,'Height Summary'!$E$13:$E$60, "SOL")</f>
        <v>101.63636363636364</v>
      </c>
      <c r="Q9" s="27">
        <f>AVERAGEIFS('Height Summary'!U$13:U$60,'Height Summary'!$E$13:$E$60, "SOL")</f>
        <v>106.09090909090909</v>
      </c>
    </row>
    <row r="10" spans="1:17" x14ac:dyDescent="0.2"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</row>
    <row r="11" spans="1:17" x14ac:dyDescent="0.2">
      <c r="B11" s="4" t="s">
        <v>42</v>
      </c>
      <c r="C11" s="27">
        <f>AVERAGEIFS('Height Summary'!F$13:F$60,'Height Summary'!$E$13:$E$60, "DRN")</f>
        <v>14.5</v>
      </c>
      <c r="D11" s="27">
        <f>AVERAGEIFS('Height Summary'!G$13:G$60,'Height Summary'!$E$13:$E$60, "DRN")</f>
        <v>21.5</v>
      </c>
      <c r="E11" s="27">
        <f>AVERAGEIFS('Height Summary'!H$13:H$60,'Height Summary'!$E$13:$E$60, "DRN")</f>
        <v>32.9</v>
      </c>
      <c r="F11" s="27">
        <f>AVERAGEIFS('Height Summary'!I$13:I$60,'Height Summary'!$E$13:$E$60, "DRN")</f>
        <v>42.3</v>
      </c>
      <c r="G11" s="27">
        <f>AVERAGEIFS('Height Summary'!J$13:J$60,'Height Summary'!$E$13:$E$60, "DRN")</f>
        <v>51</v>
      </c>
      <c r="H11" s="27">
        <f>AVERAGEIFS('Height Summary'!K$13:K$60,'Height Summary'!$E$13:$E$60, "DRN")</f>
        <v>58</v>
      </c>
      <c r="I11" s="27">
        <f>AVERAGEIFS('Height Summary'!L$13:L$60,'Height Summary'!$E$13:$E$60, "DRN")</f>
        <v>63.2</v>
      </c>
      <c r="J11" s="27">
        <f>AVERAGEIFS('Height Summary'!M$13:M$60,'Height Summary'!$E$13:$E$60, "DRN")</f>
        <v>68.3</v>
      </c>
      <c r="K11" s="27">
        <f>AVERAGEIFS('Height Summary'!N$13:N$60,'Height Summary'!$E$13:$E$60, "DRN")</f>
        <v>69.8</v>
      </c>
      <c r="L11" s="27">
        <f>AVERAGEIFS('Height Summary'!O$13:O$60,'Height Summary'!$E$13:$E$60, "DRN")</f>
        <v>68.2</v>
      </c>
      <c r="M11" s="27">
        <f>AVERAGEIFS('Height Summary'!P$13:P$60,'Height Summary'!$E$13:$E$60, "DRN")</f>
        <v>70.2</v>
      </c>
      <c r="N11" s="27">
        <f>AVERAGEIFS('Height Summary'!Q$13:Q$60,'Height Summary'!$E$13:$E$60, "DRN")</f>
        <v>74</v>
      </c>
      <c r="O11" s="27">
        <f>AVERAGEIFS('Height Summary'!R$13:R$60,'Height Summary'!$E$13:$E$60, "DRN")</f>
        <v>77.5</v>
      </c>
      <c r="P11" s="27">
        <f>AVERAGEIFS('Height Summary'!T$13:T$60,'Height Summary'!$E$13:$E$60, "DRN")</f>
        <v>88.1</v>
      </c>
      <c r="Q11" s="27">
        <f>AVERAGEIFS('Height Summary'!U$13:U$60,'Height Summary'!$E$13:$E$60, "DRN")</f>
        <v>91.5</v>
      </c>
    </row>
    <row r="12" spans="1:17" x14ac:dyDescent="0.2"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</row>
    <row r="13" spans="1:17" x14ac:dyDescent="0.2">
      <c r="B13" s="4" t="s">
        <v>43</v>
      </c>
      <c r="C13" s="27">
        <f>AVERAGEIFS('Height Summary'!F$13:F$60,'Height Summary'!$E$13:$E$60, "VRI")</f>
        <v>13.8</v>
      </c>
      <c r="D13" s="27">
        <f>AVERAGEIFS('Height Summary'!G$13:G$60,'Height Summary'!$E$13:$E$60, "VRI")</f>
        <v>20.399999999999999</v>
      </c>
      <c r="E13" s="27">
        <f>AVERAGEIFS('Height Summary'!H$13:H$60,'Height Summary'!$E$13:$E$60, "VRI")</f>
        <v>31.4</v>
      </c>
      <c r="F13" s="27">
        <f>AVERAGEIFS('Height Summary'!I$13:I$60,'Height Summary'!$E$13:$E$60, "VRI")</f>
        <v>42.3</v>
      </c>
      <c r="G13" s="27">
        <f>AVERAGEIFS('Height Summary'!J$13:J$60,'Height Summary'!$E$13:$E$60, "VRI")</f>
        <v>53.6</v>
      </c>
      <c r="H13" s="27">
        <f>AVERAGEIFS('Height Summary'!K$13:K$60,'Height Summary'!$E$13:$E$60, "VRI")</f>
        <v>60.1</v>
      </c>
      <c r="I13" s="27">
        <f>AVERAGEIFS('Height Summary'!L$13:L$60,'Height Summary'!$E$13:$E$60, "VRI")</f>
        <v>65.7</v>
      </c>
      <c r="J13" s="27">
        <f>AVERAGEIFS('Height Summary'!M$13:M$60,'Height Summary'!$E$13:$E$60, "VRI")</f>
        <v>72.111111111111114</v>
      </c>
      <c r="K13" s="27">
        <f>AVERAGEIFS('Height Summary'!N$13:N$60,'Height Summary'!$E$13:$E$60, "VRI")</f>
        <v>74.2</v>
      </c>
      <c r="L13" s="27">
        <f>AVERAGEIFS('Height Summary'!O$13:O$60,'Height Summary'!$E$13:$E$60, "VRI")</f>
        <v>73.900000000000006</v>
      </c>
      <c r="M13" s="27">
        <f>AVERAGEIFS('Height Summary'!P$13:P$60,'Height Summary'!$E$13:$E$60, "VRI")</f>
        <v>74.7</v>
      </c>
      <c r="N13" s="27">
        <f>AVERAGEIFS('Height Summary'!Q$13:Q$60,'Height Summary'!$E$13:$E$60, "VRI")</f>
        <v>76.8</v>
      </c>
      <c r="O13" s="27">
        <f>AVERAGEIFS('Height Summary'!R$13:R$60,'Height Summary'!$E$13:$E$60, "VRI")</f>
        <v>79.8</v>
      </c>
      <c r="P13" s="27">
        <f>AVERAGEIFS('Height Summary'!T$13:T$60,'Height Summary'!$E$13:$E$60, "VRI")</f>
        <v>90.9</v>
      </c>
      <c r="Q13" s="27">
        <f>AVERAGEIFS('Height Summary'!U$13:U$60,'Height Summary'!$E$13:$E$60, "VRI")</f>
        <v>94.7</v>
      </c>
    </row>
    <row r="14" spans="1:17" x14ac:dyDescent="0.2"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</row>
    <row r="15" spans="1:17" x14ac:dyDescent="0.2">
      <c r="B15" s="3"/>
      <c r="C15" s="27"/>
    </row>
    <row r="16" spans="1:17" x14ac:dyDescent="0.2">
      <c r="C16" s="27"/>
    </row>
    <row r="17" spans="2:18" ht="18.75" x14ac:dyDescent="0.3">
      <c r="C17" s="38" t="s">
        <v>23</v>
      </c>
    </row>
    <row r="19" spans="2:18" s="50" customFormat="1" x14ac:dyDescent="0.2">
      <c r="C19" s="22">
        <v>43977</v>
      </c>
      <c r="D19" s="22">
        <v>43983</v>
      </c>
      <c r="E19" s="22">
        <v>43990</v>
      </c>
      <c r="F19" s="22">
        <v>43997</v>
      </c>
      <c r="G19" s="22">
        <v>44004</v>
      </c>
      <c r="H19" s="22">
        <v>44011</v>
      </c>
      <c r="I19" s="22">
        <v>44018</v>
      </c>
      <c r="J19" s="22">
        <v>44025</v>
      </c>
      <c r="K19" s="22">
        <v>44033</v>
      </c>
      <c r="L19" s="22">
        <v>44039</v>
      </c>
      <c r="M19" s="22">
        <v>44047</v>
      </c>
      <c r="N19" s="22">
        <v>44053</v>
      </c>
      <c r="O19" s="22">
        <v>44060</v>
      </c>
      <c r="P19" s="22">
        <v>44074</v>
      </c>
      <c r="Q19" s="22">
        <v>44082</v>
      </c>
    </row>
    <row r="20" spans="2:18" s="50" customFormat="1" x14ac:dyDescent="0.2">
      <c r="C20" s="18">
        <v>147</v>
      </c>
      <c r="D20" s="18">
        <v>153</v>
      </c>
      <c r="E20" s="18">
        <v>160</v>
      </c>
      <c r="F20" s="18">
        <v>167</v>
      </c>
      <c r="G20" s="18">
        <v>174</v>
      </c>
      <c r="H20" s="18">
        <v>181</v>
      </c>
      <c r="I20" s="18">
        <v>188</v>
      </c>
      <c r="J20" s="18">
        <v>195</v>
      </c>
      <c r="K20" s="18">
        <v>203</v>
      </c>
      <c r="L20" s="18">
        <v>209</v>
      </c>
      <c r="M20" s="18">
        <v>217</v>
      </c>
      <c r="N20" s="18">
        <v>223</v>
      </c>
      <c r="O20" s="18">
        <v>230</v>
      </c>
      <c r="P20" s="18">
        <v>244</v>
      </c>
      <c r="Q20" s="18">
        <v>252</v>
      </c>
    </row>
    <row r="21" spans="2:18" x14ac:dyDescent="0.2">
      <c r="B21" s="4" t="s">
        <v>40</v>
      </c>
      <c r="C21" s="27">
        <f>AVERAGEIFS('Cover Summary'!F$13:F$60,'Cover Summary'!$E$13:$E$60, "MDL")</f>
        <v>10.142857142857142</v>
      </c>
      <c r="D21" s="27">
        <f>AVERAGEIFS('Cover Summary'!G$13:G$60,'Cover Summary'!$E$13:$E$60, "MDL")</f>
        <v>19.357142857142858</v>
      </c>
      <c r="E21" s="27">
        <f>AVERAGEIFS('Cover Summary'!H$13:H$60,'Cover Summary'!$E$13:$E$60, "MDL")</f>
        <v>27.928571428571427</v>
      </c>
      <c r="F21" s="27">
        <f>AVERAGEIFS('Cover Summary'!I$13:I$60,'Cover Summary'!$E$13:$E$60, "MDL")</f>
        <v>36.142857142857146</v>
      </c>
      <c r="G21" s="27">
        <f>AVERAGEIFS('Cover Summary'!J$13:J$60,'Cover Summary'!$E$13:$E$60, "MDL")</f>
        <v>45.714285714285715</v>
      </c>
      <c r="H21" s="27">
        <f>AVERAGEIFS('Cover Summary'!K$13:K$60,'Cover Summary'!$E$13:$E$60, "MDL")</f>
        <v>51.357142857142854</v>
      </c>
      <c r="I21" s="27">
        <f>AVERAGEIFS('Cover Summary'!L$13:L$60,'Cover Summary'!$E$13:$E$60, "MDL")</f>
        <v>56.357142857142854</v>
      </c>
      <c r="J21" s="27">
        <f>AVERAGEIFS('Cover Summary'!M$13:M$60,'Cover Summary'!$E$13:$E$60, "MDL")</f>
        <v>60.5</v>
      </c>
      <c r="K21" s="27">
        <f>AVERAGEIFS('Cover Summary'!N$13:N$60,'Cover Summary'!$E$13:$E$60, "MDL")</f>
        <v>68</v>
      </c>
      <c r="L21" s="27">
        <f>AVERAGEIFS('Cover Summary'!O$13:O$60,'Cover Summary'!$E$13:$E$60, "MDL")</f>
        <v>63.153846153846153</v>
      </c>
      <c r="M21" s="27">
        <f>AVERAGEIFS('Cover Summary'!P$13:P$60,'Cover Summary'!$E$13:$E$60, "MDL")</f>
        <v>67.615384615384613</v>
      </c>
      <c r="N21" s="27">
        <f>AVERAGEIFS('Cover Summary'!Q$13:Q$60,'Cover Summary'!$E$13:$E$60, "MDL")</f>
        <v>71.84615384615384</v>
      </c>
      <c r="O21" s="27">
        <f>AVERAGEIFS('Cover Summary'!R$13:R$60,'Cover Summary'!$E$13:$E$60, "MDL")</f>
        <v>75</v>
      </c>
      <c r="P21" s="27">
        <f>AVERAGEIFS('Cover Summary'!S$13:S$60,'Cover Summary'!$E$13:$E$60, "MDL")</f>
        <v>76.428571428571431</v>
      </c>
      <c r="Q21" s="27">
        <f>AVERAGEIFS('Cover Summary'!T$13:T$60,'Cover Summary'!$E$13:$E$60, "MDL")</f>
        <v>80</v>
      </c>
      <c r="R21" s="27"/>
    </row>
    <row r="22" spans="2:18" x14ac:dyDescent="0.2"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</row>
    <row r="23" spans="2:18" x14ac:dyDescent="0.2">
      <c r="B23" s="4" t="s">
        <v>41</v>
      </c>
      <c r="C23" s="27">
        <f>AVERAGEIFS('Cover Summary'!F$13:F$60,'Cover Summary'!$E$13:$E$60, "SOL")</f>
        <v>10.090909090909092</v>
      </c>
      <c r="D23" s="27">
        <f>AVERAGEIFS('Cover Summary'!G$13:G$60,'Cover Summary'!$E$13:$E$60, "SOL")</f>
        <v>17</v>
      </c>
      <c r="E23" s="27">
        <f>AVERAGEIFS('Cover Summary'!H$13:H$60,'Cover Summary'!$E$13:$E$60, "SOL")</f>
        <v>27.363636363636363</v>
      </c>
      <c r="F23" s="27">
        <f>AVERAGEIFS('Cover Summary'!I$13:I$60,'Cover Summary'!$E$13:$E$60, "SOL")</f>
        <v>34.454545454545453</v>
      </c>
      <c r="G23" s="27">
        <f>AVERAGEIFS('Cover Summary'!J$13:J$60,'Cover Summary'!$E$13:$E$60, "SOL")</f>
        <v>44.18181818181818</v>
      </c>
      <c r="H23" s="27">
        <f>AVERAGEIFS('Cover Summary'!K$13:K$60,'Cover Summary'!$E$13:$E$60, "SOL")</f>
        <v>50.636363636363633</v>
      </c>
      <c r="I23" s="27">
        <f>AVERAGEIFS('Cover Summary'!L$13:L$60,'Cover Summary'!$E$13:$E$60, "SOL")</f>
        <v>56.636363636363633</v>
      </c>
      <c r="J23" s="27">
        <f>AVERAGEIFS('Cover Summary'!M$13:M$60,'Cover Summary'!$E$13:$E$60, "SOL")</f>
        <v>61.090909090909093</v>
      </c>
      <c r="K23" s="27">
        <f>AVERAGEIFS('Cover Summary'!N$13:N$60,'Cover Summary'!$E$13:$E$60, "SOL")</f>
        <v>66.545454545454547</v>
      </c>
      <c r="L23" s="27">
        <f>AVERAGEIFS('Cover Summary'!O$13:O$60,'Cover Summary'!$E$13:$E$60, "SOL")</f>
        <v>63</v>
      </c>
      <c r="M23" s="27">
        <f>AVERAGEIFS('Cover Summary'!P$13:P$60,'Cover Summary'!$E$13:$E$60, "SOL")</f>
        <v>67.454545454545453</v>
      </c>
      <c r="N23" s="27">
        <f>AVERAGEIFS('Cover Summary'!Q$13:Q$60,'Cover Summary'!$E$13:$E$60, "SOL")</f>
        <v>72.909090909090907</v>
      </c>
      <c r="O23" s="27">
        <f>AVERAGEIFS('Cover Summary'!R$13:R$60,'Cover Summary'!$E$13:$E$60, "SOL")</f>
        <v>76.5</v>
      </c>
      <c r="P23" s="27">
        <f>AVERAGEIFS('Cover Summary'!S$13:S$60,'Cover Summary'!$E$13:$E$60, "SOL")</f>
        <v>84.285714285714292</v>
      </c>
      <c r="Q23" s="27">
        <f>AVERAGEIFS('Cover Summary'!T$13:T$60,'Cover Summary'!$E$13:$E$60, "SOL")</f>
        <v>88.333333333333329</v>
      </c>
      <c r="R23" s="27"/>
    </row>
    <row r="24" spans="2:18" x14ac:dyDescent="0.2"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spans="2:18" x14ac:dyDescent="0.2">
      <c r="B25" s="4" t="s">
        <v>42</v>
      </c>
      <c r="C25" s="27">
        <f>AVERAGEIFS('Cover Summary'!F$13:F$60,'Cover Summary'!$E$13:$E$60, "DRN")</f>
        <v>11.6</v>
      </c>
      <c r="D25" s="27">
        <f>AVERAGEIFS('Cover Summary'!G$13:G$60,'Cover Summary'!$E$13:$E$60, "DRN")</f>
        <v>20.8</v>
      </c>
      <c r="E25" s="27">
        <f>AVERAGEIFS('Cover Summary'!H$13:H$60,'Cover Summary'!$E$13:$E$60, "DRN")</f>
        <v>29</v>
      </c>
      <c r="F25" s="27">
        <f>AVERAGEIFS('Cover Summary'!I$13:I$60,'Cover Summary'!$E$13:$E$60, "DRN")</f>
        <v>36.299999999999997</v>
      </c>
      <c r="G25" s="27">
        <f>AVERAGEIFS('Cover Summary'!J$13:J$60,'Cover Summary'!$E$13:$E$60, "DRN")</f>
        <v>44.1</v>
      </c>
      <c r="H25" s="27">
        <f>AVERAGEIFS('Cover Summary'!K$13:K$60,'Cover Summary'!$E$13:$E$60, "DRN")</f>
        <v>48.8</v>
      </c>
      <c r="I25" s="27">
        <f>AVERAGEIFS('Cover Summary'!L$13:L$60,'Cover Summary'!$E$13:$E$60, "DRN")</f>
        <v>52.3</v>
      </c>
      <c r="J25" s="27">
        <f>AVERAGEIFS('Cover Summary'!M$13:M$60,'Cover Summary'!$E$13:$E$60, "DRN")</f>
        <v>55.5</v>
      </c>
      <c r="K25" s="27">
        <f>AVERAGEIFS('Cover Summary'!N$13:N$60,'Cover Summary'!$E$13:$E$60, "DRN")</f>
        <v>60.9</v>
      </c>
      <c r="L25" s="27">
        <f>AVERAGEIFS('Cover Summary'!O$13:O$60,'Cover Summary'!$E$13:$E$60, "DRN")</f>
        <v>58.1</v>
      </c>
      <c r="M25" s="27">
        <f>AVERAGEIFS('Cover Summary'!P$13:P$60,'Cover Summary'!$E$13:$E$60, "DRN")</f>
        <v>61</v>
      </c>
      <c r="N25" s="27">
        <f>AVERAGEIFS('Cover Summary'!Q$13:Q$60,'Cover Summary'!$E$13:$E$60, "DRN")</f>
        <v>63.8</v>
      </c>
      <c r="O25" s="27">
        <f>AVERAGEIFS('Cover Summary'!R$13:R$60,'Cover Summary'!$E$13:$E$60, "DRN")</f>
        <v>67.5</v>
      </c>
      <c r="P25" s="27">
        <f>AVERAGEIFS('Cover Summary'!S$13:S$60,'Cover Summary'!$E$13:$E$60, "DRN")</f>
        <v>77.2</v>
      </c>
      <c r="Q25" s="27">
        <f>AVERAGEIFS('Cover Summary'!T$13:T$60,'Cover Summary'!$E$13:$E$60, "DRN")</f>
        <v>76.5</v>
      </c>
      <c r="R25" s="27"/>
    </row>
    <row r="26" spans="2:18" x14ac:dyDescent="0.2"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</row>
    <row r="27" spans="2:18" x14ac:dyDescent="0.2">
      <c r="B27" s="4" t="s">
        <v>43</v>
      </c>
      <c r="C27" s="27">
        <f>AVERAGEIFS('Cover Summary'!F$13:F$60,'Cover Summary'!$E$13:$E$60, "VRI")</f>
        <v>10.6</v>
      </c>
      <c r="D27" s="27">
        <f>AVERAGEIFS('Cover Summary'!G$13:G$60,'Cover Summary'!$E$13:$E$60, "VRI")</f>
        <v>19.8</v>
      </c>
      <c r="E27" s="27">
        <f>AVERAGEIFS('Cover Summary'!H$13:H$60,'Cover Summary'!$E$13:$E$60, "VRI")</f>
        <v>28.2</v>
      </c>
      <c r="F27" s="27">
        <f>AVERAGEIFS('Cover Summary'!I$13:I$60,'Cover Summary'!$E$13:$E$60, "VRI")</f>
        <v>37.700000000000003</v>
      </c>
      <c r="G27" s="27">
        <f>AVERAGEIFS('Cover Summary'!J$13:J$60,'Cover Summary'!$E$13:$E$60, "VRI")</f>
        <v>46.2</v>
      </c>
      <c r="H27" s="27">
        <f>AVERAGEIFS('Cover Summary'!K$13:K$60,'Cover Summary'!$E$13:$E$60, "VRI")</f>
        <v>53</v>
      </c>
      <c r="I27" s="27">
        <f>AVERAGEIFS('Cover Summary'!L$13:L$60,'Cover Summary'!$E$13:$E$60, "VRI")</f>
        <v>58</v>
      </c>
      <c r="J27" s="27">
        <f>AVERAGEIFS('Cover Summary'!M$13:M$60,'Cover Summary'!$E$13:$E$60, "VRI")</f>
        <v>61.8</v>
      </c>
      <c r="K27" s="27">
        <f>AVERAGEIFS('Cover Summary'!N$13:N$60,'Cover Summary'!$E$13:$E$60, "VRI")</f>
        <v>64.3</v>
      </c>
      <c r="L27" s="27">
        <f>AVERAGEIFS('Cover Summary'!O$13:O$60,'Cover Summary'!$E$13:$E$60, "VRI")</f>
        <v>64.099999999999994</v>
      </c>
      <c r="M27" s="27">
        <f>AVERAGEIFS('Cover Summary'!P$13:P$60,'Cover Summary'!$E$13:$E$60, "VRI")</f>
        <v>66.8</v>
      </c>
      <c r="N27" s="27">
        <f>AVERAGEIFS('Cover Summary'!Q$13:Q$60,'Cover Summary'!$E$13:$E$60, "VRI")</f>
        <v>70.7</v>
      </c>
      <c r="O27" s="27">
        <f>AVERAGEIFS('Cover Summary'!R$13:R$60,'Cover Summary'!$E$13:$E$60, "VRI")</f>
        <v>74.099999999999994</v>
      </c>
      <c r="P27" s="27">
        <f>AVERAGEIFS('Cover Summary'!S$13:S$60,'Cover Summary'!$E$13:$E$60, "VRI")</f>
        <v>82.555555555555557</v>
      </c>
      <c r="Q27" s="27">
        <f>AVERAGEIFS('Cover Summary'!T$13:T$60,'Cover Summary'!$E$13:$E$60, "VRI")</f>
        <v>90.142857142857139</v>
      </c>
      <c r="R27" s="27"/>
    </row>
    <row r="28" spans="2:18" x14ac:dyDescent="0.2">
      <c r="B28" s="27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</row>
    <row r="29" spans="2:18" x14ac:dyDescent="0.2">
      <c r="B29" s="27"/>
      <c r="C29" s="27"/>
    </row>
    <row r="30" spans="2:18" x14ac:dyDescent="0.2">
      <c r="B30" s="27"/>
      <c r="C30" s="27"/>
    </row>
    <row r="31" spans="2:18" x14ac:dyDescent="0.2">
      <c r="B31" s="27"/>
      <c r="C31" s="27"/>
    </row>
    <row r="32" spans="2:18" x14ac:dyDescent="0.2">
      <c r="B32" s="27"/>
      <c r="C32" s="27"/>
    </row>
    <row r="33" spans="2:3" x14ac:dyDescent="0.2">
      <c r="B33" s="27"/>
      <c r="C33" s="27"/>
    </row>
    <row r="34" spans="2:3" x14ac:dyDescent="0.2">
      <c r="B34" s="27"/>
      <c r="C34" s="27"/>
    </row>
    <row r="35" spans="2:3" x14ac:dyDescent="0.2">
      <c r="B35" s="27"/>
      <c r="C35" s="27"/>
    </row>
    <row r="36" spans="2:3" x14ac:dyDescent="0.2">
      <c r="B36" s="27"/>
      <c r="C36" s="27"/>
    </row>
    <row r="37" spans="2:3" x14ac:dyDescent="0.2">
      <c r="B37" s="27"/>
      <c r="C37" s="27"/>
    </row>
    <row r="38" spans="2:3" x14ac:dyDescent="0.2">
      <c r="B38" s="27"/>
      <c r="C38" s="27"/>
    </row>
    <row r="39" spans="2:3" x14ac:dyDescent="0.2">
      <c r="B39" s="27"/>
      <c r="C39" s="27"/>
    </row>
    <row r="40" spans="2:3" x14ac:dyDescent="0.2">
      <c r="B40" s="27"/>
      <c r="C40" s="27"/>
    </row>
    <row r="41" spans="2:3" x14ac:dyDescent="0.2">
      <c r="B41" s="27"/>
      <c r="C41" s="27"/>
    </row>
    <row r="42" spans="2:3" x14ac:dyDescent="0.2">
      <c r="B42" s="27"/>
      <c r="C42" s="27"/>
    </row>
    <row r="43" spans="2:3" x14ac:dyDescent="0.2">
      <c r="B43" s="27"/>
      <c r="C43" s="27"/>
    </row>
    <row r="44" spans="2:3" x14ac:dyDescent="0.2">
      <c r="B44" s="27"/>
      <c r="C44" s="27"/>
    </row>
    <row r="45" spans="2:3" x14ac:dyDescent="0.2">
      <c r="B45" s="27"/>
      <c r="C45" s="27"/>
    </row>
    <row r="46" spans="2:3" x14ac:dyDescent="0.2">
      <c r="C46" s="27"/>
    </row>
    <row r="47" spans="2:3" x14ac:dyDescent="0.2">
      <c r="C47" s="27"/>
    </row>
    <row r="48" spans="2:3" x14ac:dyDescent="0.2">
      <c r="C48" s="27"/>
    </row>
    <row r="49" spans="3:3" x14ac:dyDescent="0.2">
      <c r="C49" s="27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7583-11CD-44D6-8AB7-0DCC378E6E8B}">
  <dimension ref="A1:J64"/>
  <sheetViews>
    <sheetView topLeftCell="A34" zoomScaleNormal="100" workbookViewId="0">
      <selection activeCell="B40" sqref="B40:J64"/>
    </sheetView>
  </sheetViews>
  <sheetFormatPr defaultRowHeight="15" x14ac:dyDescent="0.25"/>
  <cols>
    <col min="1" max="1" width="17" style="143" customWidth="1"/>
    <col min="2" max="2" width="7.7109375" style="119" customWidth="1"/>
    <col min="3" max="4" width="5.28515625" style="89" customWidth="1"/>
    <col min="5" max="6" width="9.140625" style="89"/>
    <col min="7" max="7" width="11.140625" style="89" customWidth="1"/>
    <col min="8" max="16384" width="9.140625" style="89"/>
  </cols>
  <sheetData>
    <row r="1" spans="1:10" ht="22.15" customHeight="1" x14ac:dyDescent="0.3">
      <c r="A1" s="185">
        <v>2020</v>
      </c>
      <c r="B1" s="185" t="s">
        <v>231</v>
      </c>
      <c r="C1" s="184" t="s">
        <v>6</v>
      </c>
    </row>
    <row r="2" spans="1:10" x14ac:dyDescent="0.25">
      <c r="B2" s="89"/>
    </row>
    <row r="3" spans="1:10" x14ac:dyDescent="0.25">
      <c r="B3" s="183" t="s">
        <v>230</v>
      </c>
    </row>
    <row r="4" spans="1:10" x14ac:dyDescent="0.25">
      <c r="A4" s="116" t="s">
        <v>229</v>
      </c>
      <c r="B4" s="183"/>
    </row>
    <row r="5" spans="1:10" x14ac:dyDescent="0.25">
      <c r="A5" s="116"/>
      <c r="B5" s="183"/>
    </row>
    <row r="6" spans="1:10" x14ac:dyDescent="0.25">
      <c r="A6" s="116"/>
      <c r="B6" s="183"/>
    </row>
    <row r="7" spans="1:10" ht="15" customHeight="1" x14ac:dyDescent="0.25">
      <c r="C7" s="183"/>
    </row>
    <row r="8" spans="1:10" ht="19.899999999999999" customHeight="1" x14ac:dyDescent="0.25">
      <c r="C8" s="89" t="s">
        <v>228</v>
      </c>
    </row>
    <row r="9" spans="1:10" ht="28.15" customHeight="1" x14ac:dyDescent="0.25">
      <c r="B9" s="182" t="s">
        <v>27</v>
      </c>
      <c r="C9" s="181">
        <v>43950</v>
      </c>
      <c r="D9" s="180"/>
      <c r="E9" s="179">
        <v>43951</v>
      </c>
      <c r="F9" s="179">
        <v>43952</v>
      </c>
      <c r="G9" s="179">
        <v>43957</v>
      </c>
      <c r="H9" s="179">
        <v>43960</v>
      </c>
      <c r="I9" s="179">
        <v>43962</v>
      </c>
      <c r="J9" s="179"/>
    </row>
    <row r="10" spans="1:10" ht="28.15" customHeight="1" x14ac:dyDescent="0.25">
      <c r="A10" s="174"/>
      <c r="B10" s="178" t="s">
        <v>29</v>
      </c>
      <c r="C10" s="177">
        <v>120</v>
      </c>
      <c r="D10" s="176"/>
      <c r="E10" s="175">
        <v>121</v>
      </c>
      <c r="F10" s="175">
        <v>122</v>
      </c>
      <c r="G10" s="175">
        <v>127</v>
      </c>
      <c r="H10" s="175">
        <v>130</v>
      </c>
      <c r="I10" s="175">
        <v>132</v>
      </c>
      <c r="J10" s="175"/>
    </row>
    <row r="11" spans="1:10" s="169" customFormat="1" ht="28.15" customHeight="1" x14ac:dyDescent="0.2">
      <c r="A11" s="174"/>
      <c r="B11" s="173" t="s">
        <v>13</v>
      </c>
      <c r="C11" s="172" t="s">
        <v>44</v>
      </c>
      <c r="D11" s="171"/>
      <c r="E11" s="170" t="s">
        <v>44</v>
      </c>
      <c r="F11" s="170" t="s">
        <v>44</v>
      </c>
      <c r="G11" s="170" t="s">
        <v>44</v>
      </c>
      <c r="H11" s="170" t="s">
        <v>44</v>
      </c>
      <c r="I11" s="170" t="s">
        <v>44</v>
      </c>
      <c r="J11" s="170"/>
    </row>
    <row r="12" spans="1:10" s="119" customFormat="1" ht="37.15" customHeight="1" x14ac:dyDescent="0.25">
      <c r="A12" s="165"/>
      <c r="B12" s="164" t="s">
        <v>227</v>
      </c>
      <c r="C12" s="168" t="s">
        <v>226</v>
      </c>
      <c r="D12" s="167"/>
      <c r="E12" s="166" t="s">
        <v>225</v>
      </c>
      <c r="F12" s="166" t="s">
        <v>224</v>
      </c>
      <c r="G12" s="166" t="s">
        <v>223</v>
      </c>
      <c r="H12" s="166" t="s">
        <v>222</v>
      </c>
      <c r="I12" s="166" t="s">
        <v>221</v>
      </c>
      <c r="J12" s="166"/>
    </row>
    <row r="13" spans="1:10" s="119" customFormat="1" ht="37.15" customHeight="1" thickBot="1" x14ac:dyDescent="0.3">
      <c r="A13" s="165"/>
      <c r="B13" s="164"/>
      <c r="C13" s="162" t="s">
        <v>219</v>
      </c>
      <c r="D13" s="163" t="s">
        <v>220</v>
      </c>
      <c r="E13" s="162" t="s">
        <v>219</v>
      </c>
      <c r="F13" s="162" t="s">
        <v>219</v>
      </c>
      <c r="G13" s="162" t="s">
        <v>219</v>
      </c>
      <c r="H13" s="162" t="s">
        <v>219</v>
      </c>
      <c r="I13" s="162" t="s">
        <v>219</v>
      </c>
      <c r="J13" s="162"/>
    </row>
    <row r="14" spans="1:10" ht="37.9" customHeight="1" x14ac:dyDescent="0.25">
      <c r="A14" s="161" t="s">
        <v>218</v>
      </c>
      <c r="B14" s="155" t="s">
        <v>216</v>
      </c>
      <c r="C14" s="97">
        <v>5</v>
      </c>
      <c r="D14" s="154">
        <v>2</v>
      </c>
      <c r="E14" s="157">
        <v>9</v>
      </c>
      <c r="F14" s="97">
        <v>9</v>
      </c>
      <c r="G14" s="97">
        <v>10</v>
      </c>
      <c r="H14" s="97">
        <v>11</v>
      </c>
      <c r="I14" s="97">
        <v>11</v>
      </c>
      <c r="J14" s="97"/>
    </row>
    <row r="15" spans="1:10" ht="37.9" customHeight="1" x14ac:dyDescent="0.25">
      <c r="A15" s="156"/>
      <c r="B15" s="153" t="s">
        <v>215</v>
      </c>
      <c r="C15" s="150">
        <v>6</v>
      </c>
      <c r="D15" s="152">
        <v>2</v>
      </c>
      <c r="E15" s="150">
        <v>9</v>
      </c>
      <c r="F15" s="150">
        <v>9</v>
      </c>
      <c r="G15" s="150">
        <v>10</v>
      </c>
      <c r="H15" s="150">
        <v>11</v>
      </c>
      <c r="I15" s="150">
        <v>11</v>
      </c>
      <c r="J15" s="150"/>
    </row>
    <row r="16" spans="1:10" ht="37.9" customHeight="1" x14ac:dyDescent="0.25">
      <c r="B16" s="153" t="s">
        <v>214</v>
      </c>
      <c r="C16" s="150">
        <v>5</v>
      </c>
      <c r="D16" s="152">
        <v>1</v>
      </c>
      <c r="E16" s="150">
        <v>7</v>
      </c>
      <c r="F16" s="150">
        <v>9</v>
      </c>
      <c r="G16" s="150">
        <v>10</v>
      </c>
      <c r="H16" s="150">
        <v>10</v>
      </c>
      <c r="I16" s="150">
        <v>10</v>
      </c>
      <c r="J16" s="150"/>
    </row>
    <row r="17" spans="1:10" ht="37.9" customHeight="1" thickBot="1" x14ac:dyDescent="0.3">
      <c r="B17" s="148" t="s">
        <v>213</v>
      </c>
      <c r="C17" s="91">
        <v>3</v>
      </c>
      <c r="D17" s="147">
        <v>0</v>
      </c>
      <c r="E17" s="91">
        <v>6</v>
      </c>
      <c r="F17" s="91">
        <v>6</v>
      </c>
      <c r="G17" s="91">
        <v>7</v>
      </c>
      <c r="H17" s="91">
        <v>7</v>
      </c>
      <c r="I17" s="91">
        <v>7</v>
      </c>
      <c r="J17" s="91"/>
    </row>
    <row r="18" spans="1:10" ht="37.9" customHeight="1" x14ac:dyDescent="0.25">
      <c r="B18" s="155" t="s">
        <v>212</v>
      </c>
      <c r="C18" s="97">
        <v>3</v>
      </c>
      <c r="D18" s="154">
        <v>0</v>
      </c>
      <c r="E18" s="97">
        <v>6</v>
      </c>
      <c r="F18" s="97">
        <v>8</v>
      </c>
      <c r="G18" s="97">
        <v>10</v>
      </c>
      <c r="H18" s="97">
        <v>10</v>
      </c>
      <c r="I18" s="97">
        <v>10</v>
      </c>
      <c r="J18" s="97"/>
    </row>
    <row r="19" spans="1:10" ht="37.9" customHeight="1" x14ac:dyDescent="0.25">
      <c r="B19" s="153" t="s">
        <v>211</v>
      </c>
      <c r="C19" s="150">
        <v>4</v>
      </c>
      <c r="D19" s="152">
        <v>0</v>
      </c>
      <c r="E19" s="151">
        <v>8</v>
      </c>
      <c r="F19" s="150">
        <v>9</v>
      </c>
      <c r="G19" s="150">
        <v>11</v>
      </c>
      <c r="H19" s="150">
        <v>13</v>
      </c>
      <c r="I19" s="150">
        <v>12</v>
      </c>
      <c r="J19" s="150"/>
    </row>
    <row r="20" spans="1:10" ht="37.9" customHeight="1" x14ac:dyDescent="0.25">
      <c r="B20" s="153" t="s">
        <v>210</v>
      </c>
      <c r="C20" s="150">
        <v>3</v>
      </c>
      <c r="D20" s="152">
        <v>0</v>
      </c>
      <c r="E20" s="151">
        <v>10</v>
      </c>
      <c r="F20" s="150">
        <v>11</v>
      </c>
      <c r="G20" s="150">
        <v>12</v>
      </c>
      <c r="H20" s="150">
        <v>13</v>
      </c>
      <c r="I20" s="150">
        <v>13</v>
      </c>
      <c r="J20" s="150"/>
    </row>
    <row r="21" spans="1:10" ht="37.9" customHeight="1" thickBot="1" x14ac:dyDescent="0.3">
      <c r="B21" s="148" t="s">
        <v>209</v>
      </c>
      <c r="C21" s="91">
        <v>5</v>
      </c>
      <c r="D21" s="147">
        <v>2</v>
      </c>
      <c r="E21" s="91">
        <v>10</v>
      </c>
      <c r="F21" s="91">
        <v>12</v>
      </c>
      <c r="G21" s="91">
        <v>13</v>
      </c>
      <c r="H21" s="91">
        <v>14</v>
      </c>
      <c r="I21" s="91">
        <v>14</v>
      </c>
      <c r="J21" s="91"/>
    </row>
    <row r="22" spans="1:10" ht="37.9" customHeight="1" x14ac:dyDescent="0.25">
      <c r="B22" s="155" t="s">
        <v>208</v>
      </c>
      <c r="C22" s="97">
        <v>3</v>
      </c>
      <c r="D22" s="154">
        <v>0</v>
      </c>
      <c r="E22" s="97">
        <v>9</v>
      </c>
      <c r="F22" s="160">
        <v>10</v>
      </c>
      <c r="G22" s="160">
        <v>10</v>
      </c>
      <c r="H22" s="160">
        <v>10</v>
      </c>
      <c r="I22" s="160">
        <v>11</v>
      </c>
      <c r="J22" s="160"/>
    </row>
    <row r="23" spans="1:10" ht="37.9" customHeight="1" x14ac:dyDescent="0.25">
      <c r="B23" s="153" t="s">
        <v>207</v>
      </c>
      <c r="C23" s="150">
        <v>5</v>
      </c>
      <c r="D23" s="152">
        <v>1</v>
      </c>
      <c r="E23" s="150">
        <v>11</v>
      </c>
      <c r="F23" s="150">
        <v>14</v>
      </c>
      <c r="G23" s="150">
        <v>16</v>
      </c>
      <c r="H23" s="150">
        <v>16</v>
      </c>
      <c r="I23" s="150">
        <v>16</v>
      </c>
      <c r="J23" s="150"/>
    </row>
    <row r="24" spans="1:10" ht="37.9" customHeight="1" x14ac:dyDescent="0.25">
      <c r="B24" s="153" t="s">
        <v>206</v>
      </c>
      <c r="C24" s="150">
        <v>2</v>
      </c>
      <c r="D24" s="152">
        <v>0</v>
      </c>
      <c r="E24" s="150">
        <v>7</v>
      </c>
      <c r="F24" s="150">
        <v>7</v>
      </c>
      <c r="G24" s="150">
        <v>8</v>
      </c>
      <c r="H24" s="150">
        <v>8</v>
      </c>
      <c r="I24" s="150">
        <v>8</v>
      </c>
      <c r="J24" s="150"/>
    </row>
    <row r="25" spans="1:10" ht="37.9" customHeight="1" thickBot="1" x14ac:dyDescent="0.3">
      <c r="B25" s="148" t="s">
        <v>205</v>
      </c>
      <c r="C25" s="91">
        <v>1</v>
      </c>
      <c r="D25" s="147">
        <v>0</v>
      </c>
      <c r="E25" s="159">
        <v>3</v>
      </c>
      <c r="F25" s="91">
        <v>3</v>
      </c>
      <c r="G25" s="91">
        <v>8</v>
      </c>
      <c r="H25" s="91">
        <v>8</v>
      </c>
      <c r="I25" s="91">
        <v>8</v>
      </c>
      <c r="J25" s="91"/>
    </row>
    <row r="26" spans="1:10" ht="37.9" customHeight="1" x14ac:dyDescent="0.25">
      <c r="B26" s="155" t="s">
        <v>204</v>
      </c>
      <c r="C26" s="97">
        <v>7</v>
      </c>
      <c r="D26" s="154">
        <v>4</v>
      </c>
      <c r="E26" s="157">
        <v>13</v>
      </c>
      <c r="F26" s="97">
        <v>15</v>
      </c>
      <c r="G26" s="97">
        <v>15</v>
      </c>
      <c r="H26" s="97">
        <v>15</v>
      </c>
      <c r="I26" s="97">
        <v>15</v>
      </c>
      <c r="J26" s="97"/>
    </row>
    <row r="27" spans="1:10" ht="37.9" customHeight="1" x14ac:dyDescent="0.25">
      <c r="B27" s="153" t="s">
        <v>203</v>
      </c>
      <c r="C27" s="150">
        <v>9</v>
      </c>
      <c r="D27" s="152">
        <v>3</v>
      </c>
      <c r="E27" s="150">
        <v>14</v>
      </c>
      <c r="F27" s="150">
        <v>17</v>
      </c>
      <c r="G27" s="150">
        <v>17</v>
      </c>
      <c r="H27" s="150">
        <v>18</v>
      </c>
      <c r="I27" s="150">
        <v>18</v>
      </c>
      <c r="J27" s="150"/>
    </row>
    <row r="28" spans="1:10" ht="37.9" customHeight="1" x14ac:dyDescent="0.25">
      <c r="B28" s="153" t="s">
        <v>202</v>
      </c>
      <c r="C28" s="150">
        <v>6</v>
      </c>
      <c r="D28" s="152">
        <v>2</v>
      </c>
      <c r="E28" s="150">
        <v>9</v>
      </c>
      <c r="F28" s="150">
        <v>10</v>
      </c>
      <c r="G28" s="150">
        <v>10</v>
      </c>
      <c r="H28" s="150">
        <v>10</v>
      </c>
      <c r="I28" s="150">
        <v>10</v>
      </c>
      <c r="J28" s="150"/>
    </row>
    <row r="29" spans="1:10" ht="37.9" customHeight="1" thickBot="1" x14ac:dyDescent="0.3">
      <c r="B29" s="148" t="s">
        <v>201</v>
      </c>
      <c r="C29" s="91">
        <v>6</v>
      </c>
      <c r="D29" s="147">
        <v>1</v>
      </c>
      <c r="E29" s="91">
        <v>8</v>
      </c>
      <c r="F29" s="91">
        <v>8</v>
      </c>
      <c r="G29" s="91">
        <v>9</v>
      </c>
      <c r="H29" s="91">
        <v>9</v>
      </c>
      <c r="I29" s="91">
        <v>9</v>
      </c>
      <c r="J29" s="91"/>
    </row>
    <row r="30" spans="1:10" ht="37.9" customHeight="1" x14ac:dyDescent="0.25">
      <c r="A30" s="158"/>
      <c r="B30" s="155" t="s">
        <v>200</v>
      </c>
      <c r="C30" s="97">
        <v>6</v>
      </c>
      <c r="D30" s="154">
        <v>2</v>
      </c>
      <c r="E30" s="157">
        <v>7</v>
      </c>
      <c r="F30" s="97">
        <v>12</v>
      </c>
      <c r="G30" s="97">
        <v>12</v>
      </c>
      <c r="H30" s="97">
        <v>13</v>
      </c>
      <c r="I30" s="97">
        <v>13</v>
      </c>
      <c r="J30" s="97"/>
    </row>
    <row r="31" spans="1:10" ht="37.9" customHeight="1" x14ac:dyDescent="0.25">
      <c r="A31" s="156"/>
      <c r="B31" s="153" t="s">
        <v>199</v>
      </c>
      <c r="C31" s="150">
        <v>9</v>
      </c>
      <c r="D31" s="152">
        <v>4</v>
      </c>
      <c r="E31" s="150">
        <v>11</v>
      </c>
      <c r="F31" s="150">
        <v>14</v>
      </c>
      <c r="G31" s="150">
        <v>14</v>
      </c>
      <c r="H31" s="150">
        <v>14</v>
      </c>
      <c r="I31" s="150">
        <v>14</v>
      </c>
      <c r="J31" s="150"/>
    </row>
    <row r="32" spans="1:10" ht="37.9" customHeight="1" x14ac:dyDescent="0.25">
      <c r="B32" s="153" t="s">
        <v>198</v>
      </c>
      <c r="C32" s="150">
        <v>6</v>
      </c>
      <c r="D32" s="152">
        <v>1</v>
      </c>
      <c r="E32" s="150">
        <v>12</v>
      </c>
      <c r="F32" s="150">
        <v>11</v>
      </c>
      <c r="G32" s="150">
        <v>11</v>
      </c>
      <c r="H32" s="150">
        <v>11</v>
      </c>
      <c r="I32" s="150">
        <v>11</v>
      </c>
      <c r="J32" s="150"/>
    </row>
    <row r="33" spans="1:10" ht="37.9" customHeight="1" thickBot="1" x14ac:dyDescent="0.3">
      <c r="B33" s="148" t="s">
        <v>197</v>
      </c>
      <c r="C33" s="91">
        <v>8</v>
      </c>
      <c r="D33" s="147">
        <v>2</v>
      </c>
      <c r="E33" s="91">
        <v>11</v>
      </c>
      <c r="F33" s="91">
        <v>11</v>
      </c>
      <c r="G33" s="91">
        <v>11</v>
      </c>
      <c r="H33" s="91">
        <v>11</v>
      </c>
      <c r="I33" s="91">
        <v>11</v>
      </c>
      <c r="J33" s="91"/>
    </row>
    <row r="34" spans="1:10" ht="37.9" customHeight="1" x14ac:dyDescent="0.25">
      <c r="B34" s="155" t="s">
        <v>196</v>
      </c>
      <c r="C34" s="97">
        <v>5</v>
      </c>
      <c r="D34" s="154">
        <v>2</v>
      </c>
      <c r="E34" s="97">
        <v>11</v>
      </c>
      <c r="F34" s="97">
        <v>10</v>
      </c>
      <c r="G34" s="97">
        <v>13</v>
      </c>
      <c r="H34" s="97">
        <v>13</v>
      </c>
      <c r="I34" s="97">
        <v>13</v>
      </c>
      <c r="J34" s="97"/>
    </row>
    <row r="35" spans="1:10" ht="37.9" customHeight="1" x14ac:dyDescent="0.25">
      <c r="B35" s="153" t="s">
        <v>195</v>
      </c>
      <c r="C35" s="150">
        <v>5</v>
      </c>
      <c r="D35" s="152">
        <v>1</v>
      </c>
      <c r="E35" s="151">
        <v>9</v>
      </c>
      <c r="F35" s="150">
        <v>10</v>
      </c>
      <c r="G35" s="150">
        <v>12</v>
      </c>
      <c r="H35" s="150">
        <v>12</v>
      </c>
      <c r="I35" s="150">
        <v>12</v>
      </c>
      <c r="J35" s="150"/>
    </row>
    <row r="36" spans="1:10" ht="37.9" customHeight="1" x14ac:dyDescent="0.25">
      <c r="B36" s="153" t="s">
        <v>194</v>
      </c>
      <c r="C36" s="150">
        <v>4</v>
      </c>
      <c r="D36" s="152">
        <v>0</v>
      </c>
      <c r="E36" s="151">
        <v>8</v>
      </c>
      <c r="F36" s="150">
        <v>9</v>
      </c>
      <c r="G36" s="150">
        <v>12</v>
      </c>
      <c r="H36" s="150">
        <v>12</v>
      </c>
      <c r="I36" s="150">
        <v>12</v>
      </c>
      <c r="J36" s="150"/>
    </row>
    <row r="37" spans="1:10" ht="37.9" customHeight="1" thickBot="1" x14ac:dyDescent="0.3">
      <c r="A37" s="149" t="s">
        <v>217</v>
      </c>
      <c r="B37" s="148" t="s">
        <v>193</v>
      </c>
      <c r="C37" s="91">
        <v>7</v>
      </c>
      <c r="D37" s="147">
        <v>4</v>
      </c>
      <c r="E37" s="91">
        <v>10</v>
      </c>
      <c r="F37" s="91">
        <v>12</v>
      </c>
      <c r="G37" s="91">
        <v>11</v>
      </c>
      <c r="H37" s="91">
        <v>11</v>
      </c>
      <c r="I37" s="91">
        <v>11</v>
      </c>
      <c r="J37" s="91"/>
    </row>
    <row r="38" spans="1:10" x14ac:dyDescent="0.25">
      <c r="E38" s="146"/>
    </row>
    <row r="40" spans="1:10" x14ac:dyDescent="0.25">
      <c r="B40" s="119" t="s">
        <v>7</v>
      </c>
      <c r="C40" s="112">
        <v>120</v>
      </c>
      <c r="D40" s="89">
        <v>121</v>
      </c>
      <c r="E40" s="89">
        <v>122</v>
      </c>
      <c r="F40" s="89">
        <v>127</v>
      </c>
      <c r="G40" s="89">
        <v>130</v>
      </c>
      <c r="H40" s="89">
        <v>132</v>
      </c>
      <c r="I40" s="145">
        <v>0.5</v>
      </c>
      <c r="J40" s="89" t="s">
        <v>179</v>
      </c>
    </row>
    <row r="41" spans="1:10" x14ac:dyDescent="0.25">
      <c r="B41" s="119" t="s">
        <v>216</v>
      </c>
      <c r="C41" s="89">
        <v>5</v>
      </c>
      <c r="D41" s="89">
        <v>9</v>
      </c>
      <c r="E41" s="89">
        <v>9</v>
      </c>
      <c r="F41" s="89">
        <v>10</v>
      </c>
      <c r="G41" s="89">
        <v>11</v>
      </c>
      <c r="H41" s="89">
        <v>11</v>
      </c>
      <c r="I41" s="89">
        <f>H41/2</f>
        <v>5.5</v>
      </c>
      <c r="J41" s="144">
        <f>C$40+(I41-C41)/(D41-C41)*(D$40-C$40)</f>
        <v>120.125</v>
      </c>
    </row>
    <row r="42" spans="1:10" x14ac:dyDescent="0.25">
      <c r="B42" s="119" t="s">
        <v>215</v>
      </c>
      <c r="C42" s="89">
        <v>6</v>
      </c>
      <c r="D42" s="89">
        <v>9</v>
      </c>
      <c r="E42" s="89">
        <v>9</v>
      </c>
      <c r="F42" s="89">
        <v>10</v>
      </c>
      <c r="G42" s="89">
        <v>11</v>
      </c>
      <c r="H42" s="89">
        <v>11</v>
      </c>
      <c r="I42" s="89">
        <f>H42/2</f>
        <v>5.5</v>
      </c>
      <c r="J42" s="144">
        <f>C$40+(I42-C42)/(D42-C42)*(D$40-C$40)</f>
        <v>119.83333333333333</v>
      </c>
    </row>
    <row r="43" spans="1:10" x14ac:dyDescent="0.25">
      <c r="B43" s="119" t="s">
        <v>214</v>
      </c>
      <c r="C43" s="89">
        <v>5</v>
      </c>
      <c r="D43" s="89">
        <v>7</v>
      </c>
      <c r="E43" s="89">
        <v>9</v>
      </c>
      <c r="F43" s="89">
        <v>10</v>
      </c>
      <c r="G43" s="89">
        <v>10</v>
      </c>
      <c r="H43" s="89">
        <v>10</v>
      </c>
      <c r="I43" s="89">
        <f>H43/2</f>
        <v>5</v>
      </c>
      <c r="J43" s="144">
        <f>C$40+(I43-C43)/(D43-C43)*(D$40-C$40)</f>
        <v>120</v>
      </c>
    </row>
    <row r="44" spans="1:10" x14ac:dyDescent="0.25">
      <c r="B44" s="119" t="s">
        <v>213</v>
      </c>
      <c r="C44" s="89">
        <v>3</v>
      </c>
      <c r="D44" s="89">
        <v>6</v>
      </c>
      <c r="E44" s="89">
        <v>6</v>
      </c>
      <c r="F44" s="89">
        <v>7</v>
      </c>
      <c r="G44" s="89">
        <v>7</v>
      </c>
      <c r="H44" s="89">
        <v>7</v>
      </c>
      <c r="I44" s="89">
        <f>H44/2</f>
        <v>3.5</v>
      </c>
      <c r="J44" s="144">
        <f>C$40+(I44-C44)/(D44-C44)*(D$40-C$40)</f>
        <v>120.16666666666667</v>
      </c>
    </row>
    <row r="45" spans="1:10" x14ac:dyDescent="0.25">
      <c r="B45" s="119" t="s">
        <v>212</v>
      </c>
      <c r="C45" s="89">
        <v>3</v>
      </c>
      <c r="D45" s="89">
        <v>6</v>
      </c>
      <c r="E45" s="89">
        <v>8</v>
      </c>
      <c r="F45" s="89">
        <v>10</v>
      </c>
      <c r="G45" s="89">
        <v>10</v>
      </c>
      <c r="H45" s="89">
        <v>10</v>
      </c>
      <c r="I45" s="89">
        <f>H45/2</f>
        <v>5</v>
      </c>
      <c r="J45" s="144">
        <f>C$40+(I45-C45)/(D45-C45)*(D$40-C$40)</f>
        <v>120.66666666666667</v>
      </c>
    </row>
    <row r="46" spans="1:10" x14ac:dyDescent="0.25">
      <c r="B46" s="119" t="s">
        <v>211</v>
      </c>
      <c r="C46" s="89">
        <v>4</v>
      </c>
      <c r="D46" s="89">
        <v>8</v>
      </c>
      <c r="E46" s="89">
        <v>9</v>
      </c>
      <c r="F46" s="89">
        <v>11</v>
      </c>
      <c r="G46" s="89">
        <v>13</v>
      </c>
      <c r="H46" s="89">
        <v>12</v>
      </c>
      <c r="I46" s="89">
        <f>H46/2</f>
        <v>6</v>
      </c>
      <c r="J46" s="144">
        <f>C$40+(I46-C46)/(D46-C46)*(D$40-C$40)</f>
        <v>120.5</v>
      </c>
    </row>
    <row r="47" spans="1:10" x14ac:dyDescent="0.25">
      <c r="B47" s="119" t="s">
        <v>210</v>
      </c>
      <c r="C47" s="89">
        <v>3</v>
      </c>
      <c r="D47" s="89">
        <v>10</v>
      </c>
      <c r="E47" s="89">
        <v>11</v>
      </c>
      <c r="F47" s="89">
        <v>12</v>
      </c>
      <c r="G47" s="89">
        <v>13</v>
      </c>
      <c r="H47" s="89">
        <v>13</v>
      </c>
      <c r="I47" s="89">
        <f>H47/2</f>
        <v>6.5</v>
      </c>
      <c r="J47" s="144">
        <f>C$40+(I47-C47)/(D47-C47)*(D$40-C$40)</f>
        <v>120.5</v>
      </c>
    </row>
    <row r="48" spans="1:10" x14ac:dyDescent="0.25">
      <c r="B48" s="119" t="s">
        <v>209</v>
      </c>
      <c r="C48" s="89">
        <v>5</v>
      </c>
      <c r="D48" s="89">
        <v>10</v>
      </c>
      <c r="E48" s="89">
        <v>12</v>
      </c>
      <c r="F48" s="89">
        <v>13</v>
      </c>
      <c r="G48" s="89">
        <v>14</v>
      </c>
      <c r="H48" s="89">
        <v>14</v>
      </c>
      <c r="I48" s="89">
        <f>H48/2</f>
        <v>7</v>
      </c>
      <c r="J48" s="144">
        <f>C$40+(I48-C48)/(D48-C48)*(D$40-C$40)</f>
        <v>120.4</v>
      </c>
    </row>
    <row r="49" spans="2:10" x14ac:dyDescent="0.25">
      <c r="B49" s="119" t="s">
        <v>208</v>
      </c>
      <c r="C49" s="89">
        <v>3</v>
      </c>
      <c r="D49" s="89">
        <v>9</v>
      </c>
      <c r="E49" s="89">
        <v>10</v>
      </c>
      <c r="F49" s="89">
        <v>10</v>
      </c>
      <c r="G49" s="89">
        <v>10</v>
      </c>
      <c r="H49" s="89">
        <v>11</v>
      </c>
      <c r="I49" s="89">
        <f>H49/2</f>
        <v>5.5</v>
      </c>
      <c r="J49" s="144">
        <f>C$40+(I49-C49)/(D49-C49)*(D$40-C$40)</f>
        <v>120.41666666666667</v>
      </c>
    </row>
    <row r="50" spans="2:10" x14ac:dyDescent="0.25">
      <c r="B50" s="119" t="s">
        <v>207</v>
      </c>
      <c r="C50" s="89">
        <v>5</v>
      </c>
      <c r="D50" s="89">
        <v>11</v>
      </c>
      <c r="E50" s="89">
        <v>14</v>
      </c>
      <c r="F50" s="89">
        <v>16</v>
      </c>
      <c r="G50" s="89">
        <v>16</v>
      </c>
      <c r="H50" s="89">
        <v>16</v>
      </c>
      <c r="I50" s="89">
        <f>H50/2</f>
        <v>8</v>
      </c>
      <c r="J50" s="144">
        <f>C$40+(I50-C50)/(D50-C50)*(D$40-C$40)</f>
        <v>120.5</v>
      </c>
    </row>
    <row r="51" spans="2:10" x14ac:dyDescent="0.25">
      <c r="B51" s="119" t="s">
        <v>206</v>
      </c>
      <c r="C51" s="89">
        <v>2</v>
      </c>
      <c r="D51" s="89">
        <v>7</v>
      </c>
      <c r="E51" s="89">
        <v>7</v>
      </c>
      <c r="F51" s="89">
        <v>8</v>
      </c>
      <c r="G51" s="89">
        <v>8</v>
      </c>
      <c r="H51" s="89">
        <v>8</v>
      </c>
      <c r="I51" s="89">
        <f>H51/2</f>
        <v>4</v>
      </c>
      <c r="J51" s="144">
        <f>C$40+(I51-C51)/(D51-C51)*(D$40-C$40)</f>
        <v>120.4</v>
      </c>
    </row>
    <row r="52" spans="2:10" x14ac:dyDescent="0.25">
      <c r="B52" s="119" t="s">
        <v>205</v>
      </c>
      <c r="C52" s="89">
        <v>1</v>
      </c>
      <c r="D52" s="89">
        <v>3</v>
      </c>
      <c r="E52" s="89">
        <v>3</v>
      </c>
      <c r="F52" s="89">
        <v>8</v>
      </c>
      <c r="G52" s="89">
        <v>8</v>
      </c>
      <c r="H52" s="89">
        <v>8</v>
      </c>
      <c r="I52" s="89">
        <f>H52/2</f>
        <v>4</v>
      </c>
      <c r="J52" s="144">
        <f>E$40+(I52-E52)/(F52-E52)*(F$40-E$40)</f>
        <v>123</v>
      </c>
    </row>
    <row r="53" spans="2:10" x14ac:dyDescent="0.25">
      <c r="B53" s="119" t="s">
        <v>204</v>
      </c>
      <c r="C53" s="89">
        <v>7</v>
      </c>
      <c r="D53" s="89">
        <v>13</v>
      </c>
      <c r="E53" s="89">
        <v>15</v>
      </c>
      <c r="F53" s="89">
        <v>15</v>
      </c>
      <c r="G53" s="89">
        <v>15</v>
      </c>
      <c r="H53" s="89">
        <v>15</v>
      </c>
      <c r="I53" s="89">
        <f>H53/2</f>
        <v>7.5</v>
      </c>
      <c r="J53" s="144">
        <f>C$40+(I53-C53)/(D53-C53)*(D$40-C$40)</f>
        <v>120.08333333333333</v>
      </c>
    </row>
    <row r="54" spans="2:10" x14ac:dyDescent="0.25">
      <c r="B54" s="119" t="s">
        <v>203</v>
      </c>
      <c r="C54" s="89">
        <v>9</v>
      </c>
      <c r="D54" s="89">
        <v>14</v>
      </c>
      <c r="E54" s="89">
        <v>17</v>
      </c>
      <c r="F54" s="89">
        <v>17</v>
      </c>
      <c r="G54" s="89">
        <v>18</v>
      </c>
      <c r="H54" s="89">
        <v>18</v>
      </c>
      <c r="I54" s="89">
        <f>H54/2</f>
        <v>9</v>
      </c>
      <c r="J54" s="144">
        <f>C$40+(I54-C54)/(D54-C54)*(D$40-C$40)</f>
        <v>120</v>
      </c>
    </row>
    <row r="55" spans="2:10" x14ac:dyDescent="0.25">
      <c r="B55" s="119" t="s">
        <v>202</v>
      </c>
      <c r="C55" s="89">
        <v>6</v>
      </c>
      <c r="D55" s="89">
        <v>9</v>
      </c>
      <c r="E55" s="89">
        <v>10</v>
      </c>
      <c r="F55" s="89">
        <v>10</v>
      </c>
      <c r="G55" s="89">
        <v>10</v>
      </c>
      <c r="H55" s="89">
        <v>10</v>
      </c>
      <c r="I55" s="89">
        <f>H55/2</f>
        <v>5</v>
      </c>
      <c r="J55" s="144">
        <f>C$40+(I55-C55)/(D55-C55)*(D$40-C$40)</f>
        <v>119.66666666666667</v>
      </c>
    </row>
    <row r="56" spans="2:10" x14ac:dyDescent="0.25">
      <c r="B56" s="119" t="s">
        <v>201</v>
      </c>
      <c r="C56" s="89">
        <v>6</v>
      </c>
      <c r="D56" s="89">
        <v>8</v>
      </c>
      <c r="E56" s="89">
        <v>8</v>
      </c>
      <c r="F56" s="89">
        <v>9</v>
      </c>
      <c r="G56" s="89">
        <v>9</v>
      </c>
      <c r="H56" s="89">
        <v>9</v>
      </c>
      <c r="I56" s="89">
        <f>H56/2</f>
        <v>4.5</v>
      </c>
      <c r="J56" s="144">
        <f>C$40+(I56-C56)/(D56-C56)*(D$40-C$40)</f>
        <v>119.25</v>
      </c>
    </row>
    <row r="57" spans="2:10" x14ac:dyDescent="0.25">
      <c r="B57" s="119" t="s">
        <v>200</v>
      </c>
      <c r="C57" s="89">
        <v>6</v>
      </c>
      <c r="D57" s="89">
        <v>7</v>
      </c>
      <c r="E57" s="89">
        <v>12</v>
      </c>
      <c r="F57" s="89">
        <v>12</v>
      </c>
      <c r="G57" s="89">
        <v>13</v>
      </c>
      <c r="H57" s="89">
        <v>13</v>
      </c>
      <c r="I57" s="89">
        <f>H57/2</f>
        <v>6.5</v>
      </c>
      <c r="J57" s="144">
        <f>C$40+(I57-C57)/(D57-C57)*(D$40-C$40)</f>
        <v>120.5</v>
      </c>
    </row>
    <row r="58" spans="2:10" x14ac:dyDescent="0.25">
      <c r="B58" s="119" t="s">
        <v>199</v>
      </c>
      <c r="C58" s="89">
        <v>9</v>
      </c>
      <c r="D58" s="89">
        <v>11</v>
      </c>
      <c r="E58" s="89">
        <v>14</v>
      </c>
      <c r="F58" s="89">
        <v>14</v>
      </c>
      <c r="G58" s="89">
        <v>14</v>
      </c>
      <c r="H58" s="89">
        <v>14</v>
      </c>
      <c r="I58" s="89">
        <f>H58/2</f>
        <v>7</v>
      </c>
      <c r="J58" s="144">
        <f>C$40+(I58-C58)/(D58-C58)*(D$40-C$40)</f>
        <v>119</v>
      </c>
    </row>
    <row r="59" spans="2:10" x14ac:dyDescent="0.25">
      <c r="B59" s="119" t="s">
        <v>198</v>
      </c>
      <c r="C59" s="89">
        <v>6</v>
      </c>
      <c r="D59" s="89">
        <v>12</v>
      </c>
      <c r="E59" s="89">
        <v>11</v>
      </c>
      <c r="F59" s="89">
        <v>11</v>
      </c>
      <c r="G59" s="89">
        <v>11</v>
      </c>
      <c r="H59" s="89">
        <v>11</v>
      </c>
      <c r="I59" s="89">
        <f>H59/2</f>
        <v>5.5</v>
      </c>
      <c r="J59" s="144">
        <f>C$40+(I59-C59)/(D59-C59)*(D$40-C$40)</f>
        <v>119.91666666666667</v>
      </c>
    </row>
    <row r="60" spans="2:10" x14ac:dyDescent="0.25">
      <c r="B60" s="119" t="s">
        <v>197</v>
      </c>
      <c r="C60" s="89">
        <v>8</v>
      </c>
      <c r="D60" s="89">
        <v>11</v>
      </c>
      <c r="E60" s="89">
        <v>11</v>
      </c>
      <c r="F60" s="89">
        <v>11</v>
      </c>
      <c r="G60" s="89">
        <v>11</v>
      </c>
      <c r="H60" s="89">
        <v>11</v>
      </c>
      <c r="I60" s="89">
        <f>H60/2</f>
        <v>5.5</v>
      </c>
      <c r="J60" s="144">
        <f>C$40+(I60-C60)/(D60-C60)*(D$40-C$40)</f>
        <v>119.16666666666667</v>
      </c>
    </row>
    <row r="61" spans="2:10" x14ac:dyDescent="0.25">
      <c r="B61" s="119" t="s">
        <v>196</v>
      </c>
      <c r="C61" s="89">
        <v>5</v>
      </c>
      <c r="D61" s="89">
        <v>11</v>
      </c>
      <c r="E61" s="89">
        <v>10</v>
      </c>
      <c r="F61" s="89">
        <v>13</v>
      </c>
      <c r="G61" s="89">
        <v>13</v>
      </c>
      <c r="H61" s="89">
        <v>13</v>
      </c>
      <c r="I61" s="89">
        <f>H61/2</f>
        <v>6.5</v>
      </c>
      <c r="J61" s="144">
        <f>C$40+(I61-C61)/(D61-C61)*(D$40-C$40)</f>
        <v>120.25</v>
      </c>
    </row>
    <row r="62" spans="2:10" x14ac:dyDescent="0.25">
      <c r="B62" s="119" t="s">
        <v>195</v>
      </c>
      <c r="C62" s="89">
        <v>5</v>
      </c>
      <c r="D62" s="89">
        <v>9</v>
      </c>
      <c r="E62" s="89">
        <v>10</v>
      </c>
      <c r="F62" s="89">
        <v>12</v>
      </c>
      <c r="G62" s="89">
        <v>12</v>
      </c>
      <c r="H62" s="89">
        <v>12</v>
      </c>
      <c r="I62" s="89">
        <f>H62/2</f>
        <v>6</v>
      </c>
      <c r="J62" s="144">
        <f>C$40+(I62-C62)/(D62-C62)*(D$40-C$40)</f>
        <v>120.25</v>
      </c>
    </row>
    <row r="63" spans="2:10" x14ac:dyDescent="0.25">
      <c r="B63" s="119" t="s">
        <v>194</v>
      </c>
      <c r="C63" s="89">
        <v>4</v>
      </c>
      <c r="D63" s="89">
        <v>8</v>
      </c>
      <c r="E63" s="89">
        <v>9</v>
      </c>
      <c r="F63" s="89">
        <v>12</v>
      </c>
      <c r="G63" s="89">
        <v>12</v>
      </c>
      <c r="H63" s="89">
        <v>12</v>
      </c>
      <c r="I63" s="89">
        <f>H63/2</f>
        <v>6</v>
      </c>
      <c r="J63" s="144">
        <f>C$40+(I63-C63)/(D63-C63)*(D$40-C$40)</f>
        <v>120.5</v>
      </c>
    </row>
    <row r="64" spans="2:10" x14ac:dyDescent="0.25">
      <c r="B64" s="119" t="s">
        <v>193</v>
      </c>
      <c r="C64" s="89">
        <v>7</v>
      </c>
      <c r="D64" s="89">
        <v>10</v>
      </c>
      <c r="E64" s="89">
        <v>12</v>
      </c>
      <c r="F64" s="89">
        <v>11</v>
      </c>
      <c r="G64" s="89">
        <v>11</v>
      </c>
      <c r="H64" s="89">
        <v>11</v>
      </c>
      <c r="I64" s="89">
        <f>H64/2</f>
        <v>5.5</v>
      </c>
      <c r="J64" s="144">
        <f>C$40+(I64-C64)/(D64-C64)*(D$40-C$40)</f>
        <v>119.5</v>
      </c>
    </row>
  </sheetData>
  <printOptions horizontalCentered="1"/>
  <pageMargins left="0.5" right="0.5" top="0.5" bottom="0.5" header="0" footer="0.25"/>
  <pageSetup scale="87" fitToHeight="2" orientation="landscape" r:id="rId1"/>
  <headerFooter>
    <oddFooter xml:space="preserve">&amp;R&amp;9smm - &amp;Z&amp;F&amp;P of &amp;N&amp;11
  </oddFooter>
  </headerFooter>
  <rowBreaks count="1" manualBreakCount="1">
    <brk id="2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4806B-442B-4076-84C3-E6685384FEB8}">
  <dimension ref="A1:M42"/>
  <sheetViews>
    <sheetView zoomScale="85" zoomScaleNormal="85" workbookViewId="0">
      <selection activeCell="L13" sqref="L13:M36"/>
    </sheetView>
  </sheetViews>
  <sheetFormatPr defaultRowHeight="15" x14ac:dyDescent="0.25"/>
  <cols>
    <col min="1" max="1" width="9.140625" style="89"/>
    <col min="2" max="2" width="7.7109375" style="119" customWidth="1"/>
    <col min="3" max="3" width="6.7109375" style="119" customWidth="1"/>
    <col min="4" max="4" width="7.7109375" style="119" customWidth="1"/>
    <col min="5" max="16384" width="9.140625" style="89"/>
  </cols>
  <sheetData>
    <row r="1" spans="1:13" ht="22.15" customHeight="1" x14ac:dyDescent="0.3">
      <c r="A1" s="184">
        <v>2020</v>
      </c>
      <c r="B1" s="185" t="s">
        <v>231</v>
      </c>
      <c r="C1" s="185"/>
      <c r="D1" s="184" t="s">
        <v>6</v>
      </c>
    </row>
    <row r="2" spans="1:13" x14ac:dyDescent="0.25">
      <c r="A2" s="119"/>
      <c r="B2" s="89"/>
      <c r="C2" s="89"/>
    </row>
    <row r="3" spans="1:13" x14ac:dyDescent="0.25">
      <c r="A3" s="119"/>
      <c r="B3" s="183" t="s">
        <v>265</v>
      </c>
      <c r="C3" s="183"/>
    </row>
    <row r="4" spans="1:13" hidden="1" x14ac:dyDescent="0.25">
      <c r="A4" s="116" t="s">
        <v>264</v>
      </c>
      <c r="B4" s="183"/>
      <c r="C4" s="183"/>
    </row>
    <row r="5" spans="1:13" hidden="1" x14ac:dyDescent="0.25">
      <c r="A5" s="116" t="s">
        <v>263</v>
      </c>
      <c r="B5" s="183"/>
      <c r="C5" s="183"/>
    </row>
    <row r="6" spans="1:13" hidden="1" x14ac:dyDescent="0.25">
      <c r="A6" s="89" t="s">
        <v>262</v>
      </c>
      <c r="B6" s="116"/>
      <c r="C6" s="116"/>
      <c r="D6" s="207"/>
    </row>
    <row r="7" spans="1:13" hidden="1" x14ac:dyDescent="0.25">
      <c r="D7" s="207"/>
    </row>
    <row r="9" spans="1:13" x14ac:dyDescent="0.25">
      <c r="B9" s="182" t="s">
        <v>27</v>
      </c>
      <c r="C9" s="206"/>
      <c r="D9" s="181">
        <v>43957</v>
      </c>
      <c r="E9" s="205"/>
      <c r="F9" s="179">
        <v>43960</v>
      </c>
      <c r="G9" s="179">
        <v>43962</v>
      </c>
      <c r="H9" s="179"/>
      <c r="I9" s="179"/>
    </row>
    <row r="10" spans="1:13" ht="14.45" customHeight="1" x14ac:dyDescent="0.25">
      <c r="B10" s="178" t="s">
        <v>29</v>
      </c>
      <c r="C10" s="178"/>
      <c r="D10" s="177">
        <v>127</v>
      </c>
      <c r="E10" s="204"/>
      <c r="F10" s="175">
        <v>130</v>
      </c>
      <c r="G10" s="175">
        <v>132</v>
      </c>
      <c r="H10" s="175"/>
      <c r="I10" s="175"/>
    </row>
    <row r="11" spans="1:13" s="169" customFormat="1" ht="12" x14ac:dyDescent="0.2">
      <c r="B11" s="173" t="s">
        <v>13</v>
      </c>
      <c r="C11" s="173"/>
      <c r="D11" s="172" t="s">
        <v>44</v>
      </c>
      <c r="E11" s="203"/>
      <c r="F11" s="170" t="s">
        <v>44</v>
      </c>
      <c r="G11" s="170" t="s">
        <v>44</v>
      </c>
      <c r="H11" s="170"/>
      <c r="I11" s="170"/>
    </row>
    <row r="12" spans="1:13" s="119" customFormat="1" ht="37.15" customHeight="1" thickBot="1" x14ac:dyDescent="0.3">
      <c r="B12" s="164" t="s">
        <v>227</v>
      </c>
      <c r="C12" s="202" t="s">
        <v>261</v>
      </c>
      <c r="D12" s="201" t="s">
        <v>259</v>
      </c>
      <c r="E12" s="200" t="s">
        <v>260</v>
      </c>
      <c r="F12" s="199" t="s">
        <v>259</v>
      </c>
      <c r="G12" s="199" t="s">
        <v>259</v>
      </c>
      <c r="H12" s="198"/>
      <c r="I12" s="198"/>
      <c r="K12" s="197">
        <v>0.5</v>
      </c>
      <c r="L12" s="119" t="s">
        <v>179</v>
      </c>
    </row>
    <row r="13" spans="1:13" ht="40.15" customHeight="1" x14ac:dyDescent="0.25">
      <c r="B13" s="190" t="s">
        <v>216</v>
      </c>
      <c r="C13" s="97">
        <v>11</v>
      </c>
      <c r="D13" s="189">
        <v>2</v>
      </c>
      <c r="E13" s="152">
        <v>3</v>
      </c>
      <c r="F13" s="150">
        <v>8</v>
      </c>
      <c r="G13" s="150">
        <v>9</v>
      </c>
      <c r="H13" s="150"/>
      <c r="I13" s="150"/>
      <c r="K13" s="89">
        <f>C13/2</f>
        <v>5.5</v>
      </c>
      <c r="L13" s="144">
        <f>D$10+(K13-D13)/(F13-D13)*(F$10-D$10)</f>
        <v>128.75</v>
      </c>
      <c r="M13" s="89" t="s">
        <v>232</v>
      </c>
    </row>
    <row r="14" spans="1:13" ht="40.15" customHeight="1" x14ac:dyDescent="0.25">
      <c r="B14" s="190" t="s">
        <v>215</v>
      </c>
      <c r="C14" s="150">
        <v>11</v>
      </c>
      <c r="D14" s="189">
        <v>1</v>
      </c>
      <c r="E14" s="152">
        <v>2</v>
      </c>
      <c r="F14" s="150">
        <v>8</v>
      </c>
      <c r="G14" s="150">
        <v>10</v>
      </c>
      <c r="H14" s="150"/>
      <c r="I14" s="150"/>
      <c r="K14" s="89">
        <f>C14/2</f>
        <v>5.5</v>
      </c>
      <c r="L14" s="144">
        <f>D$10+(K14-D14)/(F14-D14)*(F$10-D$10)</f>
        <v>128.92857142857142</v>
      </c>
      <c r="M14" s="89" t="s">
        <v>233</v>
      </c>
    </row>
    <row r="15" spans="1:13" ht="40.15" customHeight="1" x14ac:dyDescent="0.25">
      <c r="B15" s="190" t="s">
        <v>214</v>
      </c>
      <c r="C15" s="150">
        <v>10</v>
      </c>
      <c r="D15" s="189">
        <v>1</v>
      </c>
      <c r="E15" s="152">
        <v>2</v>
      </c>
      <c r="F15" s="150">
        <v>7</v>
      </c>
      <c r="G15" s="150">
        <v>10</v>
      </c>
      <c r="H15" s="150"/>
      <c r="I15" s="150"/>
      <c r="K15" s="89">
        <f>C15/2</f>
        <v>5</v>
      </c>
      <c r="L15" s="144">
        <f>D$10+(K15-D15)/(F15-D15)*(F$10-D$10)</f>
        <v>129</v>
      </c>
      <c r="M15" s="89" t="s">
        <v>234</v>
      </c>
    </row>
    <row r="16" spans="1:13" ht="40.15" customHeight="1" thickBot="1" x14ac:dyDescent="0.3">
      <c r="B16" s="196" t="s">
        <v>213</v>
      </c>
      <c r="C16" s="91">
        <v>7</v>
      </c>
      <c r="D16" s="195">
        <v>0</v>
      </c>
      <c r="E16" s="147">
        <v>3</v>
      </c>
      <c r="F16" s="91">
        <v>6</v>
      </c>
      <c r="G16" s="91">
        <v>7</v>
      </c>
      <c r="H16" s="91"/>
      <c r="I16" s="91"/>
      <c r="K16" s="89">
        <f>C16/2</f>
        <v>3.5</v>
      </c>
      <c r="L16" s="144">
        <f>D$10+(K16-D16)/(F16-D16)*(F$10-D$10)</f>
        <v>128.75</v>
      </c>
      <c r="M16" s="89" t="s">
        <v>235</v>
      </c>
    </row>
    <row r="17" spans="2:13" ht="40.15" customHeight="1" x14ac:dyDescent="0.25">
      <c r="B17" s="194" t="s">
        <v>212</v>
      </c>
      <c r="C17" s="97">
        <v>10</v>
      </c>
      <c r="D17" s="193">
        <v>0</v>
      </c>
      <c r="E17" s="192">
        <v>1</v>
      </c>
      <c r="F17" s="191">
        <v>4</v>
      </c>
      <c r="G17" s="191">
        <v>7</v>
      </c>
      <c r="H17" s="191"/>
      <c r="I17" s="191"/>
      <c r="K17" s="89">
        <f>C17/2</f>
        <v>5</v>
      </c>
      <c r="L17" s="144">
        <f>F$10+(K17-F17)/(G17-F17)*(G$10-F$10)</f>
        <v>130.66666666666666</v>
      </c>
      <c r="M17" s="89" t="s">
        <v>236</v>
      </c>
    </row>
    <row r="18" spans="2:13" ht="40.15" customHeight="1" x14ac:dyDescent="0.25">
      <c r="B18" s="190" t="s">
        <v>211</v>
      </c>
      <c r="C18" s="150">
        <v>12</v>
      </c>
      <c r="D18" s="189">
        <v>1</v>
      </c>
      <c r="E18" s="152">
        <v>1</v>
      </c>
      <c r="F18" s="150">
        <v>5</v>
      </c>
      <c r="G18" s="150">
        <v>10</v>
      </c>
      <c r="H18" s="150"/>
      <c r="I18" s="150"/>
      <c r="K18" s="89">
        <f>C18/2</f>
        <v>6</v>
      </c>
      <c r="L18" s="144">
        <f>F$10+(K18-F18)/(G18-F18)*(G$10-F$10)</f>
        <v>130.4</v>
      </c>
      <c r="M18" s="89" t="s">
        <v>253</v>
      </c>
    </row>
    <row r="19" spans="2:13" ht="40.15" customHeight="1" x14ac:dyDescent="0.25">
      <c r="B19" s="190" t="s">
        <v>210</v>
      </c>
      <c r="C19" s="150">
        <v>13</v>
      </c>
      <c r="D19" s="189">
        <v>0</v>
      </c>
      <c r="E19" s="152">
        <v>2</v>
      </c>
      <c r="F19" s="150">
        <v>6</v>
      </c>
      <c r="G19" s="150">
        <v>12</v>
      </c>
      <c r="H19" s="150"/>
      <c r="I19" s="150"/>
      <c r="K19" s="89">
        <f>C19/2</f>
        <v>6.5</v>
      </c>
      <c r="L19" s="144">
        <f>F$10+(K19-F19)/(G19-F19)*(G$10-F$10)</f>
        <v>130.16666666666666</v>
      </c>
      <c r="M19" s="89" t="s">
        <v>254</v>
      </c>
    </row>
    <row r="20" spans="2:13" ht="40.15" customHeight="1" thickBot="1" x14ac:dyDescent="0.3">
      <c r="B20" s="196" t="s">
        <v>209</v>
      </c>
      <c r="C20" s="91">
        <v>14</v>
      </c>
      <c r="D20" s="195">
        <v>0</v>
      </c>
      <c r="E20" s="147">
        <v>2</v>
      </c>
      <c r="F20" s="91">
        <v>9</v>
      </c>
      <c r="G20" s="91">
        <v>13</v>
      </c>
      <c r="H20" s="91"/>
      <c r="I20" s="91"/>
      <c r="K20" s="89">
        <f>C20/2</f>
        <v>7</v>
      </c>
      <c r="L20" s="144">
        <f>D$10+(K20-D20)/(F20-D20)*(F$10-D$10)</f>
        <v>129.33333333333334</v>
      </c>
      <c r="M20" s="89" t="s">
        <v>255</v>
      </c>
    </row>
    <row r="21" spans="2:13" ht="40.15" customHeight="1" x14ac:dyDescent="0.25">
      <c r="B21" s="194" t="s">
        <v>208</v>
      </c>
      <c r="C21" s="160">
        <v>11</v>
      </c>
      <c r="D21" s="193">
        <v>0</v>
      </c>
      <c r="E21" s="192">
        <v>1</v>
      </c>
      <c r="F21" s="191">
        <v>4</v>
      </c>
      <c r="G21" s="191">
        <v>10</v>
      </c>
      <c r="H21" s="191"/>
      <c r="I21" s="191"/>
      <c r="K21" s="89">
        <f>C21/2</f>
        <v>5.5</v>
      </c>
      <c r="L21" s="144">
        <f>F$10+(K21-F21)/(G21-F21)*(G$10-F$10)</f>
        <v>130.5</v>
      </c>
      <c r="M21" s="89" t="s">
        <v>237</v>
      </c>
    </row>
    <row r="22" spans="2:13" ht="40.15" customHeight="1" x14ac:dyDescent="0.25">
      <c r="B22" s="190" t="s">
        <v>207</v>
      </c>
      <c r="C22" s="150">
        <v>16</v>
      </c>
      <c r="D22" s="189">
        <v>0</v>
      </c>
      <c r="E22" s="152">
        <v>3</v>
      </c>
      <c r="F22" s="150">
        <v>8</v>
      </c>
      <c r="G22" s="150">
        <v>12</v>
      </c>
      <c r="H22" s="150"/>
      <c r="I22" s="150"/>
      <c r="K22" s="89">
        <f>C22/2</f>
        <v>8</v>
      </c>
      <c r="L22" s="144">
        <f>D$10+(K22-D22)/(F22-D22)*(F$10-D$10)</f>
        <v>130</v>
      </c>
      <c r="M22" s="89" t="s">
        <v>238</v>
      </c>
    </row>
    <row r="23" spans="2:13" ht="40.15" customHeight="1" x14ac:dyDescent="0.25">
      <c r="B23" s="190" t="s">
        <v>206</v>
      </c>
      <c r="C23" s="150">
        <v>8</v>
      </c>
      <c r="D23" s="189">
        <v>0</v>
      </c>
      <c r="E23" s="152">
        <v>2</v>
      </c>
      <c r="F23" s="150">
        <v>7</v>
      </c>
      <c r="G23" s="150">
        <v>7</v>
      </c>
      <c r="H23" s="150"/>
      <c r="I23" s="150"/>
      <c r="K23" s="89">
        <f>C23/2</f>
        <v>4</v>
      </c>
      <c r="L23" s="144">
        <f>D$10+(K23-D23)/(F23-D23)*(F$10-D$10)</f>
        <v>128.71428571428572</v>
      </c>
      <c r="M23" s="89" t="s">
        <v>239</v>
      </c>
    </row>
    <row r="24" spans="2:13" ht="40.15" customHeight="1" thickBot="1" x14ac:dyDescent="0.3">
      <c r="B24" s="196" t="s">
        <v>205</v>
      </c>
      <c r="C24" s="91">
        <v>8</v>
      </c>
      <c r="D24" s="195">
        <v>0</v>
      </c>
      <c r="E24" s="147">
        <v>0</v>
      </c>
      <c r="F24" s="91">
        <v>2</v>
      </c>
      <c r="G24" s="91">
        <v>4</v>
      </c>
      <c r="H24" s="91"/>
      <c r="I24" s="91"/>
      <c r="K24" s="89">
        <f>C24/2</f>
        <v>4</v>
      </c>
      <c r="L24" s="144">
        <f>F$10+(K24-F24)/(G24-F24)*(G$10-F$10)</f>
        <v>132</v>
      </c>
      <c r="M24" s="89" t="s">
        <v>240</v>
      </c>
    </row>
    <row r="25" spans="2:13" ht="40.15" customHeight="1" x14ac:dyDescent="0.25">
      <c r="B25" s="194" t="s">
        <v>204</v>
      </c>
      <c r="C25" s="97">
        <v>15</v>
      </c>
      <c r="D25" s="193">
        <v>2</v>
      </c>
      <c r="E25" s="192">
        <v>3</v>
      </c>
      <c r="F25" s="191">
        <v>11</v>
      </c>
      <c r="G25" s="191">
        <v>13</v>
      </c>
      <c r="H25" s="191"/>
      <c r="I25" s="191"/>
      <c r="K25" s="89">
        <f>C25/2</f>
        <v>7.5</v>
      </c>
      <c r="L25" s="144">
        <f>D$10+(K25-D25)/(F25-D25)*(F$10-D$10)</f>
        <v>128.83333333333334</v>
      </c>
      <c r="M25" s="89" t="s">
        <v>241</v>
      </c>
    </row>
    <row r="26" spans="2:13" ht="40.15" customHeight="1" x14ac:dyDescent="0.25">
      <c r="B26" s="190" t="s">
        <v>203</v>
      </c>
      <c r="C26" s="150">
        <v>18</v>
      </c>
      <c r="D26" s="189">
        <v>2</v>
      </c>
      <c r="E26" s="152">
        <v>2</v>
      </c>
      <c r="F26" s="150">
        <v>11</v>
      </c>
      <c r="G26" s="150">
        <v>15</v>
      </c>
      <c r="H26" s="150"/>
      <c r="I26" s="150"/>
      <c r="K26" s="89">
        <f>C26/2</f>
        <v>9</v>
      </c>
      <c r="L26" s="144">
        <f>D$10+(K26-D26)/(F26-D26)*(F$10-D$10)</f>
        <v>129.33333333333334</v>
      </c>
      <c r="M26" s="89" t="s">
        <v>242</v>
      </c>
    </row>
    <row r="27" spans="2:13" ht="40.15" customHeight="1" x14ac:dyDescent="0.25">
      <c r="B27" s="190" t="s">
        <v>202</v>
      </c>
      <c r="C27" s="150">
        <v>10</v>
      </c>
      <c r="D27" s="189">
        <v>2</v>
      </c>
      <c r="E27" s="152">
        <v>3</v>
      </c>
      <c r="F27" s="150">
        <v>8</v>
      </c>
      <c r="G27" s="150">
        <v>9</v>
      </c>
      <c r="H27" s="150"/>
      <c r="I27" s="150"/>
      <c r="K27" s="89">
        <f>C27/2</f>
        <v>5</v>
      </c>
      <c r="L27" s="144">
        <f>D$10+(K27-D27)/(F27-D27)*(F$10-D$10)</f>
        <v>128.5</v>
      </c>
      <c r="M27" s="89" t="s">
        <v>243</v>
      </c>
    </row>
    <row r="28" spans="2:13" ht="40.15" customHeight="1" thickBot="1" x14ac:dyDescent="0.3">
      <c r="B28" s="196" t="s">
        <v>201</v>
      </c>
      <c r="C28" s="91">
        <v>9</v>
      </c>
      <c r="D28" s="195">
        <v>1</v>
      </c>
      <c r="E28" s="147">
        <v>2</v>
      </c>
      <c r="F28" s="91">
        <v>6</v>
      </c>
      <c r="G28" s="91">
        <v>8</v>
      </c>
      <c r="H28" s="91"/>
      <c r="I28" s="91"/>
      <c r="K28" s="89">
        <f>C28/2</f>
        <v>4.5</v>
      </c>
      <c r="L28" s="144">
        <f>D$10+(K28-D28)/(F28-D28)*(F$10-D$10)</f>
        <v>129.1</v>
      </c>
      <c r="M28" s="89" t="s">
        <v>244</v>
      </c>
    </row>
    <row r="29" spans="2:13" ht="39.6" customHeight="1" x14ac:dyDescent="0.25">
      <c r="B29" s="194" t="s">
        <v>200</v>
      </c>
      <c r="C29" s="97">
        <v>13</v>
      </c>
      <c r="D29" s="193">
        <v>1</v>
      </c>
      <c r="E29" s="192">
        <v>3</v>
      </c>
      <c r="F29" s="191">
        <v>9</v>
      </c>
      <c r="G29" s="191">
        <v>12</v>
      </c>
      <c r="H29" s="191"/>
      <c r="I29" s="191"/>
      <c r="K29" s="89">
        <f>C29/2</f>
        <v>6.5</v>
      </c>
      <c r="L29" s="144">
        <f>D$10+(K29-D29)/(F29-D29)*(F$10-D$10)</f>
        <v>129.0625</v>
      </c>
      <c r="M29" s="89" t="s">
        <v>245</v>
      </c>
    </row>
    <row r="30" spans="2:13" ht="39.6" customHeight="1" x14ac:dyDescent="0.25">
      <c r="B30" s="190" t="s">
        <v>199</v>
      </c>
      <c r="C30" s="150">
        <v>14</v>
      </c>
      <c r="D30" s="189">
        <v>2</v>
      </c>
      <c r="E30" s="152">
        <v>2</v>
      </c>
      <c r="F30" s="150">
        <v>10</v>
      </c>
      <c r="G30" s="150">
        <v>14</v>
      </c>
      <c r="H30" s="150"/>
      <c r="I30" s="150"/>
      <c r="K30" s="89">
        <f>C30/2</f>
        <v>7</v>
      </c>
      <c r="L30" s="144">
        <f>D$10+(K30-D30)/(F30-D30)*(F$10-D$10)</f>
        <v>128.875</v>
      </c>
      <c r="M30" s="89" t="s">
        <v>246</v>
      </c>
    </row>
    <row r="31" spans="2:13" ht="39.6" customHeight="1" x14ac:dyDescent="0.25">
      <c r="B31" s="190" t="s">
        <v>198</v>
      </c>
      <c r="C31" s="150">
        <v>11</v>
      </c>
      <c r="D31" s="189">
        <v>0</v>
      </c>
      <c r="E31" s="152">
        <v>3</v>
      </c>
      <c r="F31" s="150">
        <v>8</v>
      </c>
      <c r="G31" s="150">
        <v>9</v>
      </c>
      <c r="H31" s="150"/>
      <c r="I31" s="150"/>
      <c r="K31" s="89">
        <f>C31/2</f>
        <v>5.5</v>
      </c>
      <c r="L31" s="144">
        <f>D$10+(K31-D31)/(F31-D31)*(F$10-D$10)</f>
        <v>129.0625</v>
      </c>
      <c r="M31" s="89" t="s">
        <v>247</v>
      </c>
    </row>
    <row r="32" spans="2:13" ht="39.6" customHeight="1" thickBot="1" x14ac:dyDescent="0.3">
      <c r="B32" s="196" t="s">
        <v>197</v>
      </c>
      <c r="C32" s="91">
        <v>11</v>
      </c>
      <c r="D32" s="195">
        <v>0</v>
      </c>
      <c r="E32" s="147">
        <v>2</v>
      </c>
      <c r="F32" s="91">
        <v>8</v>
      </c>
      <c r="G32" s="91">
        <v>10</v>
      </c>
      <c r="H32" s="91"/>
      <c r="I32" s="91"/>
      <c r="K32" s="89">
        <f>C32/2</f>
        <v>5.5</v>
      </c>
      <c r="L32" s="144">
        <f>D$10+(K32-D32)/(F32-D32)*(F$10-D$10)</f>
        <v>129.0625</v>
      </c>
      <c r="M32" s="89" t="s">
        <v>248</v>
      </c>
    </row>
    <row r="33" spans="2:13" ht="39.6" customHeight="1" x14ac:dyDescent="0.25">
      <c r="B33" s="194" t="s">
        <v>196</v>
      </c>
      <c r="C33" s="97">
        <v>13</v>
      </c>
      <c r="D33" s="193">
        <v>0</v>
      </c>
      <c r="E33" s="192">
        <v>1</v>
      </c>
      <c r="F33" s="191">
        <v>5</v>
      </c>
      <c r="G33" s="191">
        <v>9</v>
      </c>
      <c r="H33" s="191"/>
      <c r="I33" s="191"/>
      <c r="K33" s="89">
        <f>C33/2</f>
        <v>6.5</v>
      </c>
      <c r="L33" s="144">
        <f>F$10+(K33-F33)/(G33-F33)*(G$10-F$10)</f>
        <v>130.75</v>
      </c>
      <c r="M33" s="89" t="s">
        <v>249</v>
      </c>
    </row>
    <row r="34" spans="2:13" ht="39.6" customHeight="1" x14ac:dyDescent="0.25">
      <c r="B34" s="190" t="s">
        <v>195</v>
      </c>
      <c r="C34" s="150">
        <v>12</v>
      </c>
      <c r="D34" s="189">
        <v>1</v>
      </c>
      <c r="E34" s="152">
        <v>1</v>
      </c>
      <c r="F34" s="150">
        <v>5</v>
      </c>
      <c r="G34" s="150">
        <v>10</v>
      </c>
      <c r="H34" s="150"/>
      <c r="I34" s="150"/>
      <c r="K34" s="89">
        <f>C34/2</f>
        <v>6</v>
      </c>
      <c r="L34" s="144">
        <f>F$10+(K34-F34)/(G34-F34)*(G$10-F$10)</f>
        <v>130.4</v>
      </c>
      <c r="M34" s="89" t="s">
        <v>250</v>
      </c>
    </row>
    <row r="35" spans="2:13" ht="39.6" customHeight="1" x14ac:dyDescent="0.25">
      <c r="B35" s="190" t="s">
        <v>194</v>
      </c>
      <c r="C35" s="150">
        <v>12</v>
      </c>
      <c r="D35" s="189">
        <v>0</v>
      </c>
      <c r="E35" s="152">
        <v>1</v>
      </c>
      <c r="F35" s="150">
        <v>3</v>
      </c>
      <c r="G35" s="150">
        <v>8</v>
      </c>
      <c r="H35" s="150"/>
      <c r="I35" s="150"/>
      <c r="K35" s="89">
        <f>C35/2</f>
        <v>6</v>
      </c>
      <c r="L35" s="144">
        <f>F$10+(K35-F35)/(G35-F35)*(G$10-F$10)</f>
        <v>131.19999999999999</v>
      </c>
      <c r="M35" s="89" t="s">
        <v>251</v>
      </c>
    </row>
    <row r="36" spans="2:13" ht="39.6" customHeight="1" thickBot="1" x14ac:dyDescent="0.3">
      <c r="B36" s="190" t="s">
        <v>193</v>
      </c>
      <c r="C36" s="91">
        <v>11</v>
      </c>
      <c r="D36" s="189">
        <v>1</v>
      </c>
      <c r="E36" s="152">
        <v>0</v>
      </c>
      <c r="F36" s="150">
        <v>3</v>
      </c>
      <c r="G36" s="150">
        <v>9</v>
      </c>
      <c r="H36" s="150"/>
      <c r="I36" s="150"/>
      <c r="K36" s="89">
        <f>C36/2</f>
        <v>5.5</v>
      </c>
      <c r="L36" s="144">
        <f>F$10+(K36-F36)/(G36-F36)*(G$10-F$10)</f>
        <v>130.83333333333334</v>
      </c>
      <c r="M36" s="89" t="s">
        <v>252</v>
      </c>
    </row>
    <row r="37" spans="2:13" x14ac:dyDescent="0.25">
      <c r="D37" s="188"/>
    </row>
    <row r="38" spans="2:13" x14ac:dyDescent="0.25">
      <c r="D38" s="187"/>
    </row>
    <row r="39" spans="2:13" x14ac:dyDescent="0.25">
      <c r="D39" s="187"/>
    </row>
    <row r="40" spans="2:13" x14ac:dyDescent="0.25">
      <c r="D40" s="187"/>
    </row>
    <row r="41" spans="2:13" x14ac:dyDescent="0.25">
      <c r="D41" s="187"/>
    </row>
    <row r="42" spans="2:13" x14ac:dyDescent="0.25">
      <c r="D42" s="187"/>
    </row>
  </sheetData>
  <mergeCells count="1">
    <mergeCell ref="D37:D42"/>
  </mergeCells>
  <pageMargins left="0.5" right="0.5" top="0.5" bottom="0.75" header="0" footer="0.3"/>
  <pageSetup fitToHeight="2" orientation="portrait" r:id="rId1"/>
  <headerFooter>
    <oddFooter xml:space="preserve">&amp;Rsmm - &amp;Z&amp;F
&amp;P of &amp;N
  </oddFooter>
  </headerFooter>
  <rowBreaks count="1" manualBreakCount="1">
    <brk id="24" max="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79C9F-2D9F-422C-B346-671975FFD59C}">
  <dimension ref="A1:N21"/>
  <sheetViews>
    <sheetView topLeftCell="A5" zoomScale="115" zoomScaleNormal="115" zoomScaleSheetLayoutView="100" workbookViewId="0">
      <selection activeCell="I7" sqref="I7:M18"/>
    </sheetView>
  </sheetViews>
  <sheetFormatPr defaultRowHeight="12.75" x14ac:dyDescent="0.2"/>
  <cols>
    <col min="1" max="1" width="10.140625" customWidth="1"/>
    <col min="2" max="2" width="4.7109375" style="1" customWidth="1"/>
    <col min="3" max="3" width="2.7109375" style="2" customWidth="1"/>
    <col min="4" max="6" width="7.7109375" customWidth="1"/>
    <col min="7" max="7" width="9.140625" customWidth="1"/>
    <col min="8" max="8" width="3.85546875" customWidth="1"/>
    <col min="9" max="9" width="4.7109375" customWidth="1"/>
    <col min="10" max="10" width="2.7109375" customWidth="1"/>
    <col min="11" max="13" width="7.7109375" customWidth="1"/>
    <col min="14" max="14" width="9.140625" customWidth="1"/>
  </cols>
  <sheetData>
    <row r="1" spans="1:14" ht="15.75" x14ac:dyDescent="0.25">
      <c r="A1" s="6">
        <v>2020</v>
      </c>
      <c r="B1" s="8" t="s">
        <v>25</v>
      </c>
      <c r="C1" s="8"/>
      <c r="D1" s="8" t="s">
        <v>6</v>
      </c>
      <c r="I1" s="4" t="s">
        <v>8</v>
      </c>
      <c r="J1" s="142"/>
      <c r="K1" s="141">
        <v>43971</v>
      </c>
    </row>
    <row r="2" spans="1:14" ht="6.6" customHeight="1" x14ac:dyDescent="0.25">
      <c r="A2" s="6"/>
      <c r="B2" s="7"/>
      <c r="C2" s="8"/>
      <c r="I2" s="4"/>
    </row>
    <row r="3" spans="1:14" x14ac:dyDescent="0.2">
      <c r="B3" s="5" t="s">
        <v>191</v>
      </c>
      <c r="I3" s="4" t="s">
        <v>13</v>
      </c>
      <c r="J3" t="s">
        <v>44</v>
      </c>
    </row>
    <row r="4" spans="1:14" ht="43.15" customHeight="1" x14ac:dyDescent="0.2">
      <c r="B4" s="87" t="s">
        <v>190</v>
      </c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</row>
    <row r="5" spans="1:14" ht="40.15" customHeight="1" x14ac:dyDescent="0.2">
      <c r="B5" s="5"/>
      <c r="D5" s="77" t="s">
        <v>189</v>
      </c>
      <c r="E5" s="77" t="s">
        <v>32</v>
      </c>
      <c r="F5" s="77" t="s">
        <v>187</v>
      </c>
      <c r="G5" s="77"/>
      <c r="H5" s="3"/>
      <c r="I5" s="3"/>
      <c r="J5" s="77"/>
      <c r="K5" s="77" t="s">
        <v>189</v>
      </c>
      <c r="L5" s="77" t="s">
        <v>188</v>
      </c>
      <c r="M5" s="77" t="s">
        <v>187</v>
      </c>
    </row>
    <row r="6" spans="1:14" ht="22.15" customHeight="1" thickBot="1" x14ac:dyDescent="0.25">
      <c r="B6" s="137" t="s">
        <v>7</v>
      </c>
      <c r="C6" s="137"/>
      <c r="D6" s="139" t="s">
        <v>186</v>
      </c>
      <c r="E6" s="139" t="s">
        <v>186</v>
      </c>
      <c r="F6" s="139" t="s">
        <v>186</v>
      </c>
      <c r="G6" s="139" t="s">
        <v>185</v>
      </c>
      <c r="H6" s="138"/>
      <c r="I6" s="137" t="s">
        <v>7</v>
      </c>
      <c r="J6" s="137"/>
      <c r="K6" s="136" t="s">
        <v>186</v>
      </c>
      <c r="L6" s="136" t="s">
        <v>186</v>
      </c>
      <c r="M6" s="136" t="s">
        <v>186</v>
      </c>
      <c r="N6" s="136" t="s">
        <v>185</v>
      </c>
    </row>
    <row r="7" spans="1:14" ht="22.15" customHeight="1" x14ac:dyDescent="0.2">
      <c r="B7" s="11" t="s">
        <v>0</v>
      </c>
      <c r="C7" s="74">
        <v>1</v>
      </c>
      <c r="D7" s="135">
        <v>15</v>
      </c>
      <c r="E7" s="135">
        <v>14</v>
      </c>
      <c r="F7" s="135">
        <v>12</v>
      </c>
      <c r="G7" s="134">
        <f>(AVERAGE(D7:F7))/1.5</f>
        <v>9.1111111111111107</v>
      </c>
      <c r="I7" s="133" t="s">
        <v>3</v>
      </c>
      <c r="J7" s="132">
        <v>4</v>
      </c>
      <c r="K7" s="9">
        <v>16</v>
      </c>
      <c r="L7" s="9">
        <v>23</v>
      </c>
      <c r="M7" s="9">
        <v>19</v>
      </c>
      <c r="N7" s="131">
        <f>(AVERAGE(K7:M7))/1.5</f>
        <v>12.888888888888888</v>
      </c>
    </row>
    <row r="8" spans="1:14" ht="22.15" customHeight="1" x14ac:dyDescent="0.2">
      <c r="B8" s="72" t="s">
        <v>0</v>
      </c>
      <c r="C8" s="71">
        <v>2</v>
      </c>
      <c r="D8" s="130">
        <v>14</v>
      </c>
      <c r="E8" s="130">
        <v>16</v>
      </c>
      <c r="F8" s="130">
        <v>17</v>
      </c>
      <c r="G8" s="128">
        <f>(AVERAGE(D8:F8))/1.5</f>
        <v>10.444444444444445</v>
      </c>
      <c r="I8" s="72" t="s">
        <v>3</v>
      </c>
      <c r="J8" s="71">
        <v>3</v>
      </c>
      <c r="K8" s="130">
        <v>14</v>
      </c>
      <c r="L8" s="130">
        <v>25</v>
      </c>
      <c r="M8" s="130">
        <v>15</v>
      </c>
      <c r="N8" s="128">
        <f>(AVERAGE(K8:M8))/1.5</f>
        <v>12</v>
      </c>
    </row>
    <row r="9" spans="1:14" ht="22.15" customHeight="1" x14ac:dyDescent="0.2">
      <c r="B9" s="72" t="s">
        <v>0</v>
      </c>
      <c r="C9" s="71">
        <v>3</v>
      </c>
      <c r="D9" s="130">
        <v>13</v>
      </c>
      <c r="E9" s="130">
        <v>14</v>
      </c>
      <c r="F9" s="130">
        <v>13</v>
      </c>
      <c r="G9" s="128">
        <f>(AVERAGE(D9:F9))/1.5</f>
        <v>8.8888888888888893</v>
      </c>
      <c r="I9" s="72" t="s">
        <v>3</v>
      </c>
      <c r="J9" s="71">
        <v>2</v>
      </c>
      <c r="K9" s="130">
        <v>14</v>
      </c>
      <c r="L9" s="130">
        <v>16</v>
      </c>
      <c r="M9" s="130">
        <v>14</v>
      </c>
      <c r="N9" s="128">
        <f>(AVERAGE(K9:M9))/1.5</f>
        <v>9.7777777777777768</v>
      </c>
    </row>
    <row r="10" spans="1:14" ht="22.15" customHeight="1" thickBot="1" x14ac:dyDescent="0.25">
      <c r="B10" s="69" t="s">
        <v>0</v>
      </c>
      <c r="C10" s="68">
        <v>4</v>
      </c>
      <c r="D10" s="10">
        <v>14</v>
      </c>
      <c r="E10" s="10">
        <v>11</v>
      </c>
      <c r="F10" s="10">
        <v>18</v>
      </c>
      <c r="G10" s="127">
        <f>(AVERAGE(D10:F10))/1.5</f>
        <v>9.5555555555555554</v>
      </c>
      <c r="I10" s="69" t="s">
        <v>3</v>
      </c>
      <c r="J10" s="68">
        <v>1</v>
      </c>
      <c r="K10" s="10">
        <v>14</v>
      </c>
      <c r="L10" s="10">
        <v>16</v>
      </c>
      <c r="M10" s="10">
        <v>15</v>
      </c>
      <c r="N10" s="127">
        <f>(AVERAGE(K10:M10))/1.5</f>
        <v>10</v>
      </c>
    </row>
    <row r="11" spans="1:14" ht="22.15" customHeight="1" x14ac:dyDescent="0.2">
      <c r="B11" s="11" t="s">
        <v>1</v>
      </c>
      <c r="C11" s="74">
        <v>4</v>
      </c>
      <c r="D11" s="9">
        <v>16</v>
      </c>
      <c r="E11" s="9">
        <v>15</v>
      </c>
      <c r="F11" s="9">
        <v>12</v>
      </c>
      <c r="G11" s="131">
        <f>(AVERAGE(D11:F11))/1.5</f>
        <v>9.5555555555555554</v>
      </c>
      <c r="I11" s="11" t="s">
        <v>4</v>
      </c>
      <c r="J11" s="74">
        <v>1</v>
      </c>
      <c r="K11" s="9">
        <v>11</v>
      </c>
      <c r="L11" s="9">
        <v>17</v>
      </c>
      <c r="M11" s="9">
        <v>22</v>
      </c>
      <c r="N11" s="131">
        <f>(AVERAGE(K11:M11))/1.5</f>
        <v>11.111111111111112</v>
      </c>
    </row>
    <row r="12" spans="1:14" ht="22.15" customHeight="1" x14ac:dyDescent="0.2">
      <c r="B12" s="72" t="s">
        <v>1</v>
      </c>
      <c r="C12" s="71">
        <v>3</v>
      </c>
      <c r="D12" s="130">
        <v>14</v>
      </c>
      <c r="E12" s="130">
        <v>18</v>
      </c>
      <c r="F12" s="130">
        <v>12</v>
      </c>
      <c r="G12" s="128">
        <f>(AVERAGE(D12:F12))/1.5</f>
        <v>9.7777777777777768</v>
      </c>
      <c r="I12" s="72" t="s">
        <v>4</v>
      </c>
      <c r="J12" s="71">
        <v>2</v>
      </c>
      <c r="K12" s="130">
        <v>19</v>
      </c>
      <c r="L12" s="130">
        <v>18</v>
      </c>
      <c r="M12" s="130">
        <v>19</v>
      </c>
      <c r="N12" s="128">
        <f>(AVERAGE(K12:M12))/1.5</f>
        <v>12.444444444444445</v>
      </c>
    </row>
    <row r="13" spans="1:14" ht="22.15" customHeight="1" x14ac:dyDescent="0.2">
      <c r="B13" s="72" t="s">
        <v>1</v>
      </c>
      <c r="C13" s="71">
        <v>2</v>
      </c>
      <c r="D13" s="130">
        <v>12</v>
      </c>
      <c r="E13" s="130">
        <v>17</v>
      </c>
      <c r="F13" s="130">
        <v>16</v>
      </c>
      <c r="G13" s="128">
        <f>(AVERAGE(D13:F13))/1.5</f>
        <v>10</v>
      </c>
      <c r="I13" s="72" t="s">
        <v>4</v>
      </c>
      <c r="J13" s="71">
        <v>3</v>
      </c>
      <c r="K13" s="130">
        <v>15</v>
      </c>
      <c r="L13" s="130">
        <v>15</v>
      </c>
      <c r="M13" s="130">
        <v>14</v>
      </c>
      <c r="N13" s="128">
        <f>(AVERAGE(K13:M13))/1.5</f>
        <v>9.7777777777777768</v>
      </c>
    </row>
    <row r="14" spans="1:14" ht="22.15" customHeight="1" thickBot="1" x14ac:dyDescent="0.25">
      <c r="B14" s="69" t="s">
        <v>1</v>
      </c>
      <c r="C14" s="68">
        <v>1</v>
      </c>
      <c r="D14" s="10">
        <v>13</v>
      </c>
      <c r="E14" s="10">
        <v>16</v>
      </c>
      <c r="F14" s="10">
        <v>20</v>
      </c>
      <c r="G14" s="127">
        <f>(AVERAGE(D14:F14))/1.5</f>
        <v>10.888888888888888</v>
      </c>
      <c r="I14" s="69" t="s">
        <v>4</v>
      </c>
      <c r="J14" s="68">
        <v>4</v>
      </c>
      <c r="K14" s="10">
        <v>14</v>
      </c>
      <c r="L14" s="10">
        <v>16</v>
      </c>
      <c r="M14" s="10">
        <v>2</v>
      </c>
      <c r="N14" s="127">
        <f>(AVERAGE(K14:M14))/1.5</f>
        <v>7.1111111111111107</v>
      </c>
    </row>
    <row r="15" spans="1:14" ht="22.15" customHeight="1" x14ac:dyDescent="0.2">
      <c r="B15" s="11" t="s">
        <v>2</v>
      </c>
      <c r="C15" s="74">
        <v>1</v>
      </c>
      <c r="D15" s="9">
        <v>20</v>
      </c>
      <c r="E15" s="9">
        <v>15</v>
      </c>
      <c r="F15" s="9">
        <v>16</v>
      </c>
      <c r="G15" s="131">
        <f>(AVERAGE(D15:F15))/1.5</f>
        <v>11.333333333333334</v>
      </c>
      <c r="I15" s="11" t="s">
        <v>5</v>
      </c>
      <c r="J15" s="74">
        <v>4</v>
      </c>
      <c r="K15" s="9">
        <v>13</v>
      </c>
      <c r="L15" s="9">
        <v>16</v>
      </c>
      <c r="M15" s="9">
        <v>10</v>
      </c>
      <c r="N15" s="131">
        <f>(AVERAGE(K15:M15))/1.5</f>
        <v>8.6666666666666661</v>
      </c>
    </row>
    <row r="16" spans="1:14" ht="22.15" customHeight="1" x14ac:dyDescent="0.2">
      <c r="B16" s="72" t="s">
        <v>2</v>
      </c>
      <c r="C16" s="71">
        <v>2</v>
      </c>
      <c r="D16" s="130">
        <v>14</v>
      </c>
      <c r="E16" s="130">
        <v>23</v>
      </c>
      <c r="F16" s="130">
        <v>15</v>
      </c>
      <c r="G16" s="128">
        <f>(AVERAGE(D16:F16))/1.5</f>
        <v>11.555555555555555</v>
      </c>
      <c r="I16" s="72" t="s">
        <v>5</v>
      </c>
      <c r="J16" s="71">
        <v>3</v>
      </c>
      <c r="K16" s="130">
        <v>12</v>
      </c>
      <c r="L16" s="130">
        <v>15</v>
      </c>
      <c r="M16" s="130">
        <v>15</v>
      </c>
      <c r="N16" s="128">
        <f>(AVERAGE(K16:M16))/1.5</f>
        <v>9.3333333333333339</v>
      </c>
    </row>
    <row r="17" spans="2:14" ht="22.15" customHeight="1" x14ac:dyDescent="0.2">
      <c r="B17" s="72" t="s">
        <v>2</v>
      </c>
      <c r="C17" s="71">
        <v>3</v>
      </c>
      <c r="D17" s="130">
        <v>23</v>
      </c>
      <c r="E17" s="130">
        <v>10</v>
      </c>
      <c r="F17" s="130">
        <v>17</v>
      </c>
      <c r="G17" s="128">
        <f>(AVERAGE(D17:F17))/1.5</f>
        <v>11.111111111111112</v>
      </c>
      <c r="I17" s="72" t="s">
        <v>5</v>
      </c>
      <c r="J17" s="71">
        <v>2</v>
      </c>
      <c r="K17" s="129">
        <v>12</v>
      </c>
      <c r="L17" s="129">
        <v>14</v>
      </c>
      <c r="M17" s="129">
        <v>16</v>
      </c>
      <c r="N17" s="128">
        <f>(AVERAGE(K17:M17))/1.5</f>
        <v>9.3333333333333339</v>
      </c>
    </row>
    <row r="18" spans="2:14" ht="22.15" customHeight="1" thickBot="1" x14ac:dyDescent="0.25">
      <c r="B18" s="69" t="s">
        <v>2</v>
      </c>
      <c r="C18" s="68">
        <v>4</v>
      </c>
      <c r="D18" s="10">
        <v>13</v>
      </c>
      <c r="E18" s="10">
        <v>12</v>
      </c>
      <c r="F18" s="10">
        <v>10</v>
      </c>
      <c r="G18" s="127">
        <f>(AVERAGE(D18:F18))/1.5</f>
        <v>7.7777777777777777</v>
      </c>
      <c r="I18" s="69" t="s">
        <v>5</v>
      </c>
      <c r="J18" s="68">
        <v>1</v>
      </c>
      <c r="K18" s="10">
        <v>16</v>
      </c>
      <c r="L18" s="10">
        <v>16</v>
      </c>
      <c r="M18" s="10">
        <v>19</v>
      </c>
      <c r="N18" s="127">
        <f>(AVERAGE(K18:M18))/1.5</f>
        <v>11.333333333333334</v>
      </c>
    </row>
    <row r="21" spans="2:14" x14ac:dyDescent="0.2">
      <c r="K21">
        <f>AVERAGE(D7:F18,K7:M18)/(1.5*1.016)</f>
        <v>9.9974482356372114</v>
      </c>
    </row>
  </sheetData>
  <mergeCells count="3">
    <mergeCell ref="B6:C6"/>
    <mergeCell ref="I6:J6"/>
    <mergeCell ref="B4:M4"/>
  </mergeCells>
  <pageMargins left="0.45" right="0.45" top="0.75" bottom="0.75" header="0.3" footer="0.3"/>
  <pageSetup scale="12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40C9-B003-440F-A261-8E3141E74A59}">
  <dimension ref="A2:G26"/>
  <sheetViews>
    <sheetView workbookViewId="0">
      <selection activeCell="G26" sqref="C2:G26"/>
    </sheetView>
  </sheetViews>
  <sheetFormatPr defaultRowHeight="12.75" x14ac:dyDescent="0.2"/>
  <sheetData>
    <row r="2" spans="1:7" x14ac:dyDescent="0.2">
      <c r="G2" t="s">
        <v>192</v>
      </c>
    </row>
    <row r="3" spans="1:7" x14ac:dyDescent="0.2">
      <c r="A3" t="s">
        <v>0</v>
      </c>
      <c r="B3">
        <v>1</v>
      </c>
      <c r="C3">
        <v>11</v>
      </c>
      <c r="D3">
        <v>15</v>
      </c>
      <c r="E3">
        <v>14</v>
      </c>
      <c r="F3">
        <v>12</v>
      </c>
      <c r="G3">
        <f>SUM(D3:F3)/(1.5*1.016*3)</f>
        <v>8.9676290463692041</v>
      </c>
    </row>
    <row r="4" spans="1:7" x14ac:dyDescent="0.2">
      <c r="A4" t="s">
        <v>0</v>
      </c>
      <c r="B4">
        <v>2</v>
      </c>
      <c r="C4">
        <v>12</v>
      </c>
      <c r="D4">
        <v>14</v>
      </c>
      <c r="E4">
        <v>16</v>
      </c>
      <c r="F4">
        <v>17</v>
      </c>
      <c r="G4">
        <f t="shared" ref="G4:G26" si="0">SUM(D4:F4)/(1.5*1.016*3)</f>
        <v>10.279965004374453</v>
      </c>
    </row>
    <row r="5" spans="1:7" x14ac:dyDescent="0.2">
      <c r="A5" t="s">
        <v>0</v>
      </c>
      <c r="B5">
        <v>3</v>
      </c>
      <c r="C5">
        <v>13</v>
      </c>
      <c r="D5">
        <v>13</v>
      </c>
      <c r="E5">
        <v>14</v>
      </c>
      <c r="F5">
        <v>13</v>
      </c>
      <c r="G5">
        <f t="shared" si="0"/>
        <v>8.7489063867016625</v>
      </c>
    </row>
    <row r="6" spans="1:7" x14ac:dyDescent="0.2">
      <c r="A6" t="s">
        <v>0</v>
      </c>
      <c r="B6">
        <v>4</v>
      </c>
      <c r="C6">
        <v>14</v>
      </c>
      <c r="D6">
        <v>14</v>
      </c>
      <c r="E6">
        <v>11</v>
      </c>
      <c r="F6">
        <v>18</v>
      </c>
      <c r="G6">
        <f t="shared" si="0"/>
        <v>9.4050743657042872</v>
      </c>
    </row>
    <row r="7" spans="1:7" x14ac:dyDescent="0.2">
      <c r="A7" t="s">
        <v>1</v>
      </c>
      <c r="B7">
        <v>4</v>
      </c>
      <c r="C7">
        <v>24</v>
      </c>
      <c r="D7">
        <v>16</v>
      </c>
      <c r="E7">
        <v>15</v>
      </c>
      <c r="F7">
        <v>12</v>
      </c>
      <c r="G7">
        <f t="shared" si="0"/>
        <v>9.4050743657042872</v>
      </c>
    </row>
    <row r="8" spans="1:7" x14ac:dyDescent="0.2">
      <c r="A8" t="s">
        <v>1</v>
      </c>
      <c r="B8">
        <v>3</v>
      </c>
      <c r="C8">
        <v>23</v>
      </c>
      <c r="D8">
        <v>14</v>
      </c>
      <c r="E8">
        <v>18</v>
      </c>
      <c r="F8">
        <v>12</v>
      </c>
      <c r="G8">
        <f t="shared" si="0"/>
        <v>9.6237970253718288</v>
      </c>
    </row>
    <row r="9" spans="1:7" x14ac:dyDescent="0.2">
      <c r="A9" t="s">
        <v>1</v>
      </c>
      <c r="B9">
        <v>2</v>
      </c>
      <c r="C9">
        <v>22</v>
      </c>
      <c r="D9">
        <v>12</v>
      </c>
      <c r="E9">
        <v>17</v>
      </c>
      <c r="F9">
        <v>16</v>
      </c>
      <c r="G9">
        <f t="shared" si="0"/>
        <v>9.8425196850393704</v>
      </c>
    </row>
    <row r="10" spans="1:7" x14ac:dyDescent="0.2">
      <c r="A10" t="s">
        <v>1</v>
      </c>
      <c r="B10">
        <v>1</v>
      </c>
      <c r="C10">
        <v>21</v>
      </c>
      <c r="D10">
        <v>13</v>
      </c>
      <c r="E10">
        <v>16</v>
      </c>
      <c r="F10">
        <v>20</v>
      </c>
      <c r="G10">
        <f t="shared" si="0"/>
        <v>10.717410323709537</v>
      </c>
    </row>
    <row r="11" spans="1:7" x14ac:dyDescent="0.2">
      <c r="A11" t="s">
        <v>2</v>
      </c>
      <c r="B11">
        <v>1</v>
      </c>
      <c r="C11">
        <v>31</v>
      </c>
      <c r="D11">
        <v>20</v>
      </c>
      <c r="E11">
        <v>15</v>
      </c>
      <c r="F11">
        <v>16</v>
      </c>
      <c r="G11">
        <f t="shared" si="0"/>
        <v>11.15485564304462</v>
      </c>
    </row>
    <row r="12" spans="1:7" x14ac:dyDescent="0.2">
      <c r="A12" t="s">
        <v>2</v>
      </c>
      <c r="B12">
        <v>2</v>
      </c>
      <c r="C12">
        <v>32</v>
      </c>
      <c r="D12">
        <v>14</v>
      </c>
      <c r="E12">
        <v>23</v>
      </c>
      <c r="F12">
        <v>15</v>
      </c>
      <c r="G12">
        <f t="shared" si="0"/>
        <v>11.373578302712161</v>
      </c>
    </row>
    <row r="13" spans="1:7" x14ac:dyDescent="0.2">
      <c r="A13" t="s">
        <v>2</v>
      </c>
      <c r="B13">
        <v>3</v>
      </c>
      <c r="C13">
        <v>33</v>
      </c>
      <c r="D13">
        <v>23</v>
      </c>
      <c r="E13">
        <v>10</v>
      </c>
      <c r="F13">
        <v>17</v>
      </c>
      <c r="G13">
        <f t="shared" si="0"/>
        <v>10.936132983377078</v>
      </c>
    </row>
    <row r="14" spans="1:7" x14ac:dyDescent="0.2">
      <c r="A14" t="s">
        <v>2</v>
      </c>
      <c r="B14">
        <v>4</v>
      </c>
      <c r="C14">
        <v>34</v>
      </c>
      <c r="D14">
        <v>13</v>
      </c>
      <c r="E14">
        <v>12</v>
      </c>
      <c r="F14">
        <v>10</v>
      </c>
      <c r="G14">
        <f t="shared" si="0"/>
        <v>7.6552930883639547</v>
      </c>
    </row>
    <row r="15" spans="1:7" x14ac:dyDescent="0.2">
      <c r="A15" t="s">
        <v>3</v>
      </c>
      <c r="B15">
        <v>4</v>
      </c>
      <c r="C15">
        <v>44</v>
      </c>
      <c r="D15">
        <v>16</v>
      </c>
      <c r="E15">
        <v>23</v>
      </c>
      <c r="F15">
        <v>19</v>
      </c>
      <c r="G15">
        <f t="shared" si="0"/>
        <v>12.685914260717411</v>
      </c>
    </row>
    <row r="16" spans="1:7" x14ac:dyDescent="0.2">
      <c r="A16" t="s">
        <v>3</v>
      </c>
      <c r="B16">
        <v>3</v>
      </c>
      <c r="C16">
        <v>43</v>
      </c>
      <c r="D16">
        <v>14</v>
      </c>
      <c r="E16">
        <v>25</v>
      </c>
      <c r="F16">
        <v>15</v>
      </c>
      <c r="G16">
        <f t="shared" si="0"/>
        <v>11.811023622047244</v>
      </c>
    </row>
    <row r="17" spans="1:7" x14ac:dyDescent="0.2">
      <c r="A17" t="s">
        <v>3</v>
      </c>
      <c r="B17">
        <v>2</v>
      </c>
      <c r="C17">
        <v>42</v>
      </c>
      <c r="D17">
        <v>14</v>
      </c>
      <c r="E17">
        <v>16</v>
      </c>
      <c r="F17">
        <v>14</v>
      </c>
      <c r="G17">
        <f t="shared" si="0"/>
        <v>9.6237970253718288</v>
      </c>
    </row>
    <row r="18" spans="1:7" x14ac:dyDescent="0.2">
      <c r="A18" t="s">
        <v>3</v>
      </c>
      <c r="B18">
        <v>1</v>
      </c>
      <c r="C18">
        <v>41</v>
      </c>
      <c r="D18">
        <v>14</v>
      </c>
      <c r="E18">
        <v>16</v>
      </c>
      <c r="F18">
        <v>15</v>
      </c>
      <c r="G18">
        <f t="shared" si="0"/>
        <v>9.8425196850393704</v>
      </c>
    </row>
    <row r="19" spans="1:7" x14ac:dyDescent="0.2">
      <c r="A19" t="s">
        <v>4</v>
      </c>
      <c r="B19">
        <v>1</v>
      </c>
      <c r="C19">
        <v>51</v>
      </c>
      <c r="D19">
        <v>11</v>
      </c>
      <c r="E19">
        <v>17</v>
      </c>
      <c r="F19">
        <v>22</v>
      </c>
      <c r="G19">
        <f t="shared" si="0"/>
        <v>10.936132983377078</v>
      </c>
    </row>
    <row r="20" spans="1:7" x14ac:dyDescent="0.2">
      <c r="A20" t="s">
        <v>4</v>
      </c>
      <c r="B20">
        <v>2</v>
      </c>
      <c r="C20">
        <v>52</v>
      </c>
      <c r="D20">
        <v>19</v>
      </c>
      <c r="E20">
        <v>18</v>
      </c>
      <c r="F20">
        <v>19</v>
      </c>
      <c r="G20">
        <f t="shared" si="0"/>
        <v>12.248468941382328</v>
      </c>
    </row>
    <row r="21" spans="1:7" x14ac:dyDescent="0.2">
      <c r="A21" t="s">
        <v>4</v>
      </c>
      <c r="B21">
        <v>3</v>
      </c>
      <c r="C21">
        <v>53</v>
      </c>
      <c r="D21">
        <v>15</v>
      </c>
      <c r="E21">
        <v>15</v>
      </c>
      <c r="F21">
        <v>14</v>
      </c>
      <c r="G21">
        <f t="shared" si="0"/>
        <v>9.6237970253718288</v>
      </c>
    </row>
    <row r="22" spans="1:7" x14ac:dyDescent="0.2">
      <c r="A22" t="s">
        <v>4</v>
      </c>
      <c r="B22">
        <v>4</v>
      </c>
      <c r="C22">
        <v>54</v>
      </c>
      <c r="D22">
        <v>14</v>
      </c>
      <c r="E22">
        <v>16</v>
      </c>
      <c r="F22">
        <v>2</v>
      </c>
      <c r="G22">
        <f t="shared" si="0"/>
        <v>6.99912510936133</v>
      </c>
    </row>
    <row r="23" spans="1:7" x14ac:dyDescent="0.2">
      <c r="A23" t="s">
        <v>5</v>
      </c>
      <c r="B23">
        <v>4</v>
      </c>
      <c r="C23">
        <v>64</v>
      </c>
      <c r="D23">
        <v>13</v>
      </c>
      <c r="E23">
        <v>16</v>
      </c>
      <c r="F23">
        <v>10</v>
      </c>
      <c r="G23">
        <f t="shared" si="0"/>
        <v>8.530183727034121</v>
      </c>
    </row>
    <row r="24" spans="1:7" x14ac:dyDescent="0.2">
      <c r="A24" t="s">
        <v>5</v>
      </c>
      <c r="B24">
        <v>3</v>
      </c>
      <c r="C24">
        <v>63</v>
      </c>
      <c r="D24">
        <v>12</v>
      </c>
      <c r="E24">
        <v>15</v>
      </c>
      <c r="F24">
        <v>15</v>
      </c>
      <c r="G24">
        <f t="shared" si="0"/>
        <v>9.1863517060367457</v>
      </c>
    </row>
    <row r="25" spans="1:7" x14ac:dyDescent="0.2">
      <c r="A25" t="s">
        <v>5</v>
      </c>
      <c r="B25">
        <v>2</v>
      </c>
      <c r="C25">
        <v>62</v>
      </c>
      <c r="D25">
        <v>12</v>
      </c>
      <c r="E25">
        <v>14</v>
      </c>
      <c r="F25">
        <v>16</v>
      </c>
      <c r="G25">
        <f t="shared" si="0"/>
        <v>9.1863517060367457</v>
      </c>
    </row>
    <row r="26" spans="1:7" x14ac:dyDescent="0.2">
      <c r="A26" t="s">
        <v>5</v>
      </c>
      <c r="B26">
        <v>1</v>
      </c>
      <c r="C26">
        <v>61</v>
      </c>
      <c r="D26">
        <v>16</v>
      </c>
      <c r="E26">
        <v>16</v>
      </c>
      <c r="F26">
        <v>19</v>
      </c>
      <c r="G26">
        <f t="shared" si="0"/>
        <v>11.15485564304462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3922-348F-4748-BA36-5CA93B43D59B}">
  <dimension ref="A1:K60"/>
  <sheetViews>
    <sheetView topLeftCell="A27" workbookViewId="0">
      <selection activeCell="J13" sqref="J13:K60"/>
    </sheetView>
  </sheetViews>
  <sheetFormatPr defaultRowHeight="15" x14ac:dyDescent="0.25"/>
  <cols>
    <col min="1" max="5" width="9.140625" style="89"/>
    <col min="6" max="6" width="17.5703125" style="89" customWidth="1"/>
    <col min="7" max="7" width="16.85546875" style="89" customWidth="1"/>
    <col min="8" max="16384" width="9.140625" style="89"/>
  </cols>
  <sheetData>
    <row r="1" spans="1:11" ht="15.75" x14ac:dyDescent="0.25">
      <c r="A1" s="123"/>
      <c r="B1" s="125">
        <v>2020</v>
      </c>
      <c r="C1" s="124"/>
      <c r="D1" s="121" t="s">
        <v>25</v>
      </c>
      <c r="E1" s="107"/>
      <c r="F1" s="121" t="s">
        <v>6</v>
      </c>
    </row>
    <row r="2" spans="1:11" ht="15.75" x14ac:dyDescent="0.25">
      <c r="A2" s="123"/>
      <c r="B2" s="122"/>
      <c r="C2" s="121"/>
      <c r="D2" s="121"/>
      <c r="E2" s="107"/>
    </row>
    <row r="3" spans="1:11" x14ac:dyDescent="0.25">
      <c r="B3" s="120" t="s">
        <v>182</v>
      </c>
      <c r="C3" s="116"/>
      <c r="D3" s="116"/>
      <c r="E3" s="114"/>
    </row>
    <row r="4" spans="1:11" x14ac:dyDescent="0.25">
      <c r="B4" s="117"/>
      <c r="C4" s="116"/>
      <c r="D4" s="116"/>
      <c r="E4" s="114"/>
    </row>
    <row r="5" spans="1:11" x14ac:dyDescent="0.25">
      <c r="B5" s="116"/>
      <c r="C5" s="116"/>
      <c r="D5" s="116"/>
      <c r="E5" s="114"/>
    </row>
    <row r="6" spans="1:11" x14ac:dyDescent="0.25">
      <c r="B6" s="116"/>
      <c r="C6" s="116"/>
      <c r="D6" s="116"/>
      <c r="E6" s="114"/>
    </row>
    <row r="7" spans="1:11" x14ac:dyDescent="0.25">
      <c r="B7" s="116"/>
      <c r="C7" s="116"/>
      <c r="D7" s="116"/>
      <c r="E7" s="114"/>
    </row>
    <row r="8" spans="1:11" x14ac:dyDescent="0.25">
      <c r="A8" s="119"/>
      <c r="B8" s="119"/>
      <c r="C8" s="119"/>
      <c r="D8" s="115" t="s">
        <v>26</v>
      </c>
      <c r="E8" s="119"/>
      <c r="F8" s="119" t="s">
        <v>44</v>
      </c>
      <c r="G8" s="119" t="s">
        <v>44</v>
      </c>
    </row>
    <row r="9" spans="1:11" x14ac:dyDescent="0.25">
      <c r="B9" s="116"/>
      <c r="C9" s="116"/>
      <c r="D9" s="115" t="s">
        <v>27</v>
      </c>
      <c r="E9" s="114"/>
      <c r="F9" s="118">
        <v>44004</v>
      </c>
      <c r="G9" s="118" t="s">
        <v>181</v>
      </c>
    </row>
    <row r="10" spans="1:11" x14ac:dyDescent="0.25">
      <c r="B10" s="117"/>
      <c r="C10" s="116"/>
      <c r="D10" s="115" t="s">
        <v>29</v>
      </c>
      <c r="E10" s="114"/>
      <c r="F10" s="108">
        <v>174</v>
      </c>
      <c r="G10" s="108">
        <v>181</v>
      </c>
    </row>
    <row r="11" spans="1:11" x14ac:dyDescent="0.25">
      <c r="A11" s="112"/>
      <c r="B11" s="113"/>
      <c r="C11" s="112"/>
      <c r="D11" s="111" t="s">
        <v>28</v>
      </c>
      <c r="E11" s="111"/>
      <c r="F11" s="110" t="s">
        <v>55</v>
      </c>
      <c r="G11" s="110" t="s">
        <v>57</v>
      </c>
    </row>
    <row r="12" spans="1:11" ht="45.6" customHeight="1" thickBot="1" x14ac:dyDescent="0.3">
      <c r="B12" s="109" t="s">
        <v>7</v>
      </c>
      <c r="C12" s="109"/>
      <c r="D12" s="108" t="s">
        <v>12</v>
      </c>
      <c r="E12" s="107" t="s">
        <v>24</v>
      </c>
      <c r="F12" s="106" t="s">
        <v>180</v>
      </c>
      <c r="G12" s="106" t="s">
        <v>180</v>
      </c>
      <c r="J12" s="89" t="s">
        <v>179</v>
      </c>
    </row>
    <row r="13" spans="1:11" x14ac:dyDescent="0.25">
      <c r="A13" s="96"/>
      <c r="B13" s="101" t="s">
        <v>0</v>
      </c>
      <c r="C13" s="100">
        <v>1</v>
      </c>
      <c r="D13" s="105" t="s">
        <v>10</v>
      </c>
      <c r="E13" s="98" t="s">
        <v>38</v>
      </c>
      <c r="F13" s="104">
        <v>3</v>
      </c>
      <c r="G13" s="104">
        <v>9</v>
      </c>
      <c r="I13" s="89">
        <v>5</v>
      </c>
      <c r="J13" s="90">
        <f>IF(F13&lt;=5,F$10+(I13-F13)/(G13-F13)*(G$10-F$10),"")</f>
        <v>176.33333333333334</v>
      </c>
      <c r="K13" s="89" t="s">
        <v>82</v>
      </c>
    </row>
    <row r="14" spans="1:11" ht="15.75" thickBot="1" x14ac:dyDescent="0.3">
      <c r="A14" s="96"/>
      <c r="B14" s="95"/>
      <c r="C14" s="94"/>
      <c r="D14" s="103" t="s">
        <v>11</v>
      </c>
      <c r="E14" s="92" t="s">
        <v>38</v>
      </c>
      <c r="F14" s="102">
        <v>5</v>
      </c>
      <c r="G14" s="102">
        <v>10</v>
      </c>
      <c r="I14" s="89">
        <v>5</v>
      </c>
      <c r="J14" s="90">
        <f>IF(F14&lt;=5,F$10+(I14-F14)/(G14-F14)*(G$10-F$10),"")</f>
        <v>174</v>
      </c>
      <c r="K14" s="89" t="s">
        <v>83</v>
      </c>
    </row>
    <row r="15" spans="1:11" x14ac:dyDescent="0.25">
      <c r="A15" s="96"/>
      <c r="B15" s="101" t="s">
        <v>0</v>
      </c>
      <c r="C15" s="100">
        <v>2</v>
      </c>
      <c r="D15" s="99" t="s">
        <v>10</v>
      </c>
      <c r="E15" s="98" t="s">
        <v>35</v>
      </c>
      <c r="F15" s="97">
        <v>3</v>
      </c>
      <c r="G15" s="97">
        <v>10</v>
      </c>
      <c r="I15" s="89">
        <v>5</v>
      </c>
      <c r="J15" s="90">
        <f>IF(F15&lt;=5,F$10+(I15-F15)/(G15-F15)*(G$10-F$10),"")</f>
        <v>176</v>
      </c>
      <c r="K15" s="89" t="s">
        <v>84</v>
      </c>
    </row>
    <row r="16" spans="1:11" ht="15.75" thickBot="1" x14ac:dyDescent="0.3">
      <c r="A16" s="96"/>
      <c r="B16" s="95"/>
      <c r="C16" s="94"/>
      <c r="D16" s="93" t="s">
        <v>11</v>
      </c>
      <c r="E16" s="92" t="s">
        <v>35</v>
      </c>
      <c r="F16" s="91">
        <v>7</v>
      </c>
      <c r="G16" s="91">
        <v>10</v>
      </c>
      <c r="I16" s="89">
        <v>5</v>
      </c>
      <c r="J16" s="90">
        <v>172</v>
      </c>
      <c r="K16" s="89" t="s">
        <v>85</v>
      </c>
    </row>
    <row r="17" spans="1:11" x14ac:dyDescent="0.25">
      <c r="A17" s="96"/>
      <c r="B17" s="101" t="s">
        <v>0</v>
      </c>
      <c r="C17" s="100">
        <v>3</v>
      </c>
      <c r="D17" s="99" t="s">
        <v>10</v>
      </c>
      <c r="E17" s="98" t="s">
        <v>35</v>
      </c>
      <c r="F17" s="97">
        <v>8</v>
      </c>
      <c r="G17" s="97">
        <v>10</v>
      </c>
      <c r="I17" s="89">
        <v>5</v>
      </c>
      <c r="J17" s="90">
        <v>171</v>
      </c>
      <c r="K17" s="89" t="s">
        <v>86</v>
      </c>
    </row>
    <row r="18" spans="1:11" ht="15.75" thickBot="1" x14ac:dyDescent="0.3">
      <c r="A18" s="96"/>
      <c r="B18" s="95"/>
      <c r="C18" s="94"/>
      <c r="D18" s="93" t="s">
        <v>11</v>
      </c>
      <c r="E18" s="92" t="s">
        <v>35</v>
      </c>
      <c r="F18" s="91">
        <v>7</v>
      </c>
      <c r="G18" s="91">
        <v>10</v>
      </c>
      <c r="I18" s="89">
        <v>5</v>
      </c>
      <c r="J18" s="90">
        <v>172</v>
      </c>
      <c r="K18" s="89" t="s">
        <v>87</v>
      </c>
    </row>
    <row r="19" spans="1:11" x14ac:dyDescent="0.25">
      <c r="A19" s="96"/>
      <c r="B19" s="101" t="s">
        <v>0</v>
      </c>
      <c r="C19" s="100">
        <v>4</v>
      </c>
      <c r="D19" s="99" t="s">
        <v>10</v>
      </c>
      <c r="E19" s="98" t="s">
        <v>38</v>
      </c>
      <c r="F19" s="97">
        <v>7</v>
      </c>
      <c r="G19" s="97">
        <v>10</v>
      </c>
      <c r="I19" s="89">
        <v>5</v>
      </c>
      <c r="J19" s="90">
        <v>172</v>
      </c>
      <c r="K19" s="89" t="s">
        <v>88</v>
      </c>
    </row>
    <row r="20" spans="1:11" ht="15.75" thickBot="1" x14ac:dyDescent="0.3">
      <c r="A20" s="96"/>
      <c r="B20" s="95"/>
      <c r="C20" s="94"/>
      <c r="D20" s="93" t="s">
        <v>11</v>
      </c>
      <c r="E20" s="92" t="s">
        <v>38</v>
      </c>
      <c r="F20" s="91">
        <v>8</v>
      </c>
      <c r="G20" s="91">
        <v>10</v>
      </c>
      <c r="I20" s="89">
        <v>5</v>
      </c>
      <c r="J20" s="90">
        <v>171</v>
      </c>
      <c r="K20" s="89" t="s">
        <v>89</v>
      </c>
    </row>
    <row r="21" spans="1:11" x14ac:dyDescent="0.25">
      <c r="A21" s="96"/>
      <c r="B21" s="101" t="s">
        <v>1</v>
      </c>
      <c r="C21" s="100">
        <v>4</v>
      </c>
      <c r="D21" s="99" t="s">
        <v>11</v>
      </c>
      <c r="E21" s="98" t="s">
        <v>37</v>
      </c>
      <c r="F21" s="97">
        <v>5</v>
      </c>
      <c r="G21" s="97">
        <v>10</v>
      </c>
      <c r="I21" s="89">
        <v>5</v>
      </c>
      <c r="J21" s="90">
        <f>IF(F21&lt;=5,F$10+(I21-F21)/(G21-F21)*(G$10-F$10),"")</f>
        <v>174</v>
      </c>
      <c r="K21" s="89" t="s">
        <v>97</v>
      </c>
    </row>
    <row r="22" spans="1:11" ht="15.75" thickBot="1" x14ac:dyDescent="0.3">
      <c r="A22" s="96"/>
      <c r="B22" s="95"/>
      <c r="C22" s="94"/>
      <c r="D22" s="93" t="s">
        <v>10</v>
      </c>
      <c r="E22" s="92" t="s">
        <v>37</v>
      </c>
      <c r="F22" s="91">
        <v>5</v>
      </c>
      <c r="G22" s="91">
        <v>10</v>
      </c>
      <c r="I22" s="89">
        <v>5</v>
      </c>
      <c r="J22" s="90">
        <f>IF(F22&lt;=5,F$10+(I22-F22)/(G22-F22)*(G$10-F$10),"")</f>
        <v>174</v>
      </c>
      <c r="K22" s="89" t="s">
        <v>96</v>
      </c>
    </row>
    <row r="23" spans="1:11" x14ac:dyDescent="0.25">
      <c r="A23" s="96"/>
      <c r="B23" s="101" t="s">
        <v>1</v>
      </c>
      <c r="C23" s="100">
        <v>3</v>
      </c>
      <c r="D23" s="99" t="s">
        <v>11</v>
      </c>
      <c r="E23" s="98" t="s">
        <v>38</v>
      </c>
      <c r="F23" s="97">
        <v>8</v>
      </c>
      <c r="G23" s="97">
        <v>10</v>
      </c>
      <c r="I23" s="89">
        <v>5</v>
      </c>
      <c r="J23" s="90">
        <v>171</v>
      </c>
      <c r="K23" s="89" t="s">
        <v>95</v>
      </c>
    </row>
    <row r="24" spans="1:11" ht="15.75" thickBot="1" x14ac:dyDescent="0.3">
      <c r="A24" s="96"/>
      <c r="B24" s="95"/>
      <c r="C24" s="94"/>
      <c r="D24" s="93" t="s">
        <v>10</v>
      </c>
      <c r="E24" s="92" t="s">
        <v>38</v>
      </c>
      <c r="F24" s="91">
        <v>6</v>
      </c>
      <c r="G24" s="91">
        <v>10</v>
      </c>
      <c r="I24" s="89">
        <v>5</v>
      </c>
      <c r="J24" s="90">
        <v>173</v>
      </c>
      <c r="K24" s="89" t="s">
        <v>94</v>
      </c>
    </row>
    <row r="25" spans="1:11" x14ac:dyDescent="0.25">
      <c r="A25" s="96"/>
      <c r="B25" s="101" t="s">
        <v>1</v>
      </c>
      <c r="C25" s="100">
        <v>2</v>
      </c>
      <c r="D25" s="99" t="s">
        <v>11</v>
      </c>
      <c r="E25" s="98" t="s">
        <v>37</v>
      </c>
      <c r="F25" s="97">
        <v>5</v>
      </c>
      <c r="G25" s="97">
        <v>10</v>
      </c>
      <c r="I25" s="89">
        <v>5</v>
      </c>
      <c r="J25" s="90">
        <f>IF(F25&lt;=5,F$10+(I25-F25)/(G25-F25)*(G$10-F$10),"")</f>
        <v>174</v>
      </c>
      <c r="K25" s="89" t="s">
        <v>93</v>
      </c>
    </row>
    <row r="26" spans="1:11" ht="15.75" thickBot="1" x14ac:dyDescent="0.3">
      <c r="A26" s="96"/>
      <c r="B26" s="95"/>
      <c r="C26" s="94"/>
      <c r="D26" s="93" t="s">
        <v>10</v>
      </c>
      <c r="E26" s="92" t="s">
        <v>37</v>
      </c>
      <c r="F26" s="91">
        <v>6</v>
      </c>
      <c r="G26" s="91">
        <v>10</v>
      </c>
      <c r="I26" s="89">
        <v>5</v>
      </c>
      <c r="J26" s="90">
        <v>173</v>
      </c>
      <c r="K26" s="89" t="s">
        <v>92</v>
      </c>
    </row>
    <row r="27" spans="1:11" x14ac:dyDescent="0.25">
      <c r="A27" s="96"/>
      <c r="B27" s="101" t="s">
        <v>1</v>
      </c>
      <c r="C27" s="100">
        <v>1</v>
      </c>
      <c r="D27" s="99" t="s">
        <v>11</v>
      </c>
      <c r="E27" s="98" t="s">
        <v>36</v>
      </c>
      <c r="F27" s="97">
        <v>2</v>
      </c>
      <c r="G27" s="97">
        <v>10</v>
      </c>
      <c r="I27" s="89">
        <v>5</v>
      </c>
      <c r="J27" s="90">
        <f>IF(F27&lt;=5,F$10+(I27-F27)/(G27-F27)*(G$10-F$10),"")</f>
        <v>176.625</v>
      </c>
      <c r="K27" s="89" t="s">
        <v>91</v>
      </c>
    </row>
    <row r="28" spans="1:11" ht="15.75" thickBot="1" x14ac:dyDescent="0.3">
      <c r="A28" s="96"/>
      <c r="B28" s="95"/>
      <c r="C28" s="94"/>
      <c r="D28" s="93" t="s">
        <v>10</v>
      </c>
      <c r="E28" s="92" t="s">
        <v>36</v>
      </c>
      <c r="F28" s="91">
        <v>3</v>
      </c>
      <c r="G28" s="91">
        <v>10</v>
      </c>
      <c r="I28" s="89">
        <v>5</v>
      </c>
      <c r="J28" s="90">
        <f>IF(F28&lt;=5,F$10+(I28-F28)/(G28-F28)*(G$10-F$10),"")</f>
        <v>176</v>
      </c>
      <c r="K28" s="89" t="s">
        <v>90</v>
      </c>
    </row>
    <row r="29" spans="1:11" x14ac:dyDescent="0.25">
      <c r="A29" s="96"/>
      <c r="B29" s="101" t="s">
        <v>2</v>
      </c>
      <c r="C29" s="100">
        <v>1</v>
      </c>
      <c r="D29" s="99" t="s">
        <v>10</v>
      </c>
      <c r="E29" s="98" t="s">
        <v>36</v>
      </c>
      <c r="F29" s="97">
        <v>1</v>
      </c>
      <c r="G29" s="97">
        <v>10</v>
      </c>
      <c r="I29" s="89">
        <v>5</v>
      </c>
      <c r="J29" s="90">
        <f>IF(F29&lt;=5,F$10+(I29-F29)/(G29-F29)*(G$10-F$10),"")</f>
        <v>177.11111111111111</v>
      </c>
      <c r="K29" s="89" t="s">
        <v>98</v>
      </c>
    </row>
    <row r="30" spans="1:11" ht="15.75" thickBot="1" x14ac:dyDescent="0.3">
      <c r="A30" s="96"/>
      <c r="B30" s="95"/>
      <c r="C30" s="94"/>
      <c r="D30" s="93" t="s">
        <v>11</v>
      </c>
      <c r="E30" s="92" t="s">
        <v>36</v>
      </c>
      <c r="F30" s="91">
        <v>3</v>
      </c>
      <c r="G30" s="91">
        <v>9</v>
      </c>
      <c r="I30" s="89">
        <v>5</v>
      </c>
      <c r="J30" s="90">
        <f>IF(F30&lt;=5,F$10+(I30-F30)/(G30-F30)*(G$10-F$10),"")</f>
        <v>176.33333333333334</v>
      </c>
      <c r="K30" s="89" t="s">
        <v>99</v>
      </c>
    </row>
    <row r="31" spans="1:11" x14ac:dyDescent="0.25">
      <c r="A31" s="96"/>
      <c r="B31" s="101" t="s">
        <v>2</v>
      </c>
      <c r="C31" s="100">
        <v>2</v>
      </c>
      <c r="D31" s="99" t="s">
        <v>10</v>
      </c>
      <c r="E31" s="98" t="s">
        <v>37</v>
      </c>
      <c r="F31" s="97">
        <v>1</v>
      </c>
      <c r="G31" s="97">
        <v>9</v>
      </c>
      <c r="I31" s="89">
        <v>5</v>
      </c>
      <c r="J31" s="90">
        <f>IF(F31&lt;=5,F$10+(I31-F31)/(G31-F31)*(G$10-F$10),"")</f>
        <v>177.5</v>
      </c>
      <c r="K31" s="89" t="s">
        <v>100</v>
      </c>
    </row>
    <row r="32" spans="1:11" ht="15.75" thickBot="1" x14ac:dyDescent="0.3">
      <c r="A32" s="96"/>
      <c r="B32" s="95"/>
      <c r="C32" s="94"/>
      <c r="D32" s="93" t="s">
        <v>11</v>
      </c>
      <c r="E32" s="92" t="s">
        <v>37</v>
      </c>
      <c r="F32" s="91">
        <v>2</v>
      </c>
      <c r="G32" s="91">
        <v>10</v>
      </c>
      <c r="I32" s="89">
        <v>5</v>
      </c>
      <c r="J32" s="90">
        <f>IF(F32&lt;=5,F$10+(I32-F32)/(G32-F32)*(G$10-F$10),"")</f>
        <v>176.625</v>
      </c>
      <c r="K32" s="89" t="s">
        <v>101</v>
      </c>
    </row>
    <row r="33" spans="1:11" x14ac:dyDescent="0.25">
      <c r="A33" s="96"/>
      <c r="B33" s="101" t="s">
        <v>2</v>
      </c>
      <c r="C33" s="100">
        <v>3</v>
      </c>
      <c r="D33" s="99" t="s">
        <v>10</v>
      </c>
      <c r="E33" s="98" t="s">
        <v>38</v>
      </c>
      <c r="F33" s="97">
        <v>0</v>
      </c>
      <c r="G33" s="97">
        <v>8</v>
      </c>
      <c r="I33" s="89">
        <v>5</v>
      </c>
      <c r="J33" s="90">
        <f>IF(F33&lt;=5,F$10+(I33-F33)/(G33-F33)*(G$10-F$10),"")</f>
        <v>178.375</v>
      </c>
      <c r="K33" s="89" t="s">
        <v>102</v>
      </c>
    </row>
    <row r="34" spans="1:11" ht="15.75" thickBot="1" x14ac:dyDescent="0.3">
      <c r="A34" s="96"/>
      <c r="B34" s="95"/>
      <c r="C34" s="94"/>
      <c r="D34" s="93" t="s">
        <v>11</v>
      </c>
      <c r="E34" s="92" t="s">
        <v>38</v>
      </c>
      <c r="F34" s="91">
        <v>5</v>
      </c>
      <c r="G34" s="91">
        <v>10</v>
      </c>
      <c r="I34" s="89">
        <v>5</v>
      </c>
      <c r="J34" s="90">
        <f>IF(F34&lt;=5,F$10+(I34-F34)/(G34-F34)*(G$10-F$10),"")</f>
        <v>174</v>
      </c>
      <c r="K34" s="89" t="s">
        <v>103</v>
      </c>
    </row>
    <row r="35" spans="1:11" x14ac:dyDescent="0.25">
      <c r="A35" s="96"/>
      <c r="B35" s="101" t="s">
        <v>2</v>
      </c>
      <c r="C35" s="100">
        <v>4</v>
      </c>
      <c r="D35" s="99" t="s">
        <v>10</v>
      </c>
      <c r="E35" s="98" t="s">
        <v>37</v>
      </c>
      <c r="F35" s="97">
        <v>3</v>
      </c>
      <c r="G35" s="97">
        <v>10</v>
      </c>
      <c r="I35" s="89">
        <v>5</v>
      </c>
      <c r="J35" s="90">
        <f>IF(F35&lt;=5,F$10+(I35-F35)/(G35-F35)*(G$10-F$10),"")</f>
        <v>176</v>
      </c>
      <c r="K35" s="89" t="s">
        <v>104</v>
      </c>
    </row>
    <row r="36" spans="1:11" ht="15.75" thickBot="1" x14ac:dyDescent="0.3">
      <c r="A36" s="96"/>
      <c r="B36" s="95"/>
      <c r="C36" s="94"/>
      <c r="D36" s="93" t="s">
        <v>11</v>
      </c>
      <c r="E36" s="92" t="s">
        <v>37</v>
      </c>
      <c r="F36" s="91">
        <v>2</v>
      </c>
      <c r="G36" s="91">
        <v>9</v>
      </c>
      <c r="I36" s="89">
        <v>5</v>
      </c>
      <c r="J36" s="90">
        <f>IF(F36&lt;=5,F$10+(I36-F36)/(G36-F36)*(G$10-F$10),"")</f>
        <v>177</v>
      </c>
      <c r="K36" s="89" t="s">
        <v>105</v>
      </c>
    </row>
    <row r="37" spans="1:11" x14ac:dyDescent="0.25">
      <c r="A37" s="96"/>
      <c r="B37" s="101" t="s">
        <v>3</v>
      </c>
      <c r="C37" s="100">
        <v>4</v>
      </c>
      <c r="D37" s="99" t="s">
        <v>11</v>
      </c>
      <c r="E37" s="98" t="s">
        <v>36</v>
      </c>
      <c r="F37" s="97">
        <v>7</v>
      </c>
      <c r="G37" s="97">
        <v>10</v>
      </c>
      <c r="I37" s="89">
        <v>5</v>
      </c>
      <c r="J37" s="90">
        <v>172</v>
      </c>
      <c r="K37" s="89" t="s">
        <v>113</v>
      </c>
    </row>
    <row r="38" spans="1:11" ht="15.75" thickBot="1" x14ac:dyDescent="0.3">
      <c r="A38" s="96"/>
      <c r="B38" s="95"/>
      <c r="C38" s="94"/>
      <c r="D38" s="93" t="s">
        <v>10</v>
      </c>
      <c r="E38" s="92" t="s">
        <v>36</v>
      </c>
      <c r="F38" s="91">
        <v>6</v>
      </c>
      <c r="G38" s="91">
        <v>10</v>
      </c>
      <c r="I38" s="89">
        <v>5</v>
      </c>
      <c r="J38" s="90">
        <v>173</v>
      </c>
      <c r="K38" s="89" t="s">
        <v>112</v>
      </c>
    </row>
    <row r="39" spans="1:11" x14ac:dyDescent="0.25">
      <c r="A39" s="96"/>
      <c r="B39" s="101" t="s">
        <v>3</v>
      </c>
      <c r="C39" s="100">
        <v>3</v>
      </c>
      <c r="D39" s="99" t="s">
        <v>11</v>
      </c>
      <c r="E39" s="98" t="s">
        <v>35</v>
      </c>
      <c r="F39" s="97">
        <v>2</v>
      </c>
      <c r="G39" s="97">
        <v>10</v>
      </c>
      <c r="I39" s="89">
        <v>5</v>
      </c>
      <c r="J39" s="90">
        <f>IF(F39&lt;=5,F$10+(I39-F39)/(G39-F39)*(G$10-F$10),"")</f>
        <v>176.625</v>
      </c>
      <c r="K39" s="89" t="s">
        <v>111</v>
      </c>
    </row>
    <row r="40" spans="1:11" ht="15.75" thickBot="1" x14ac:dyDescent="0.3">
      <c r="A40" s="96"/>
      <c r="B40" s="95"/>
      <c r="C40" s="94"/>
      <c r="D40" s="93" t="s">
        <v>10</v>
      </c>
      <c r="E40" s="92" t="s">
        <v>35</v>
      </c>
      <c r="F40" s="91">
        <v>5</v>
      </c>
      <c r="G40" s="91">
        <v>10</v>
      </c>
      <c r="I40" s="89">
        <v>5</v>
      </c>
      <c r="J40" s="90">
        <f>IF(F40&lt;=5,F$10+(I40-F40)/(G40-F40)*(G$10-F$10),"")</f>
        <v>174</v>
      </c>
      <c r="K40" s="89" t="s">
        <v>110</v>
      </c>
    </row>
    <row r="41" spans="1:11" x14ac:dyDescent="0.25">
      <c r="A41" s="96"/>
      <c r="B41" s="101" t="s">
        <v>3</v>
      </c>
      <c r="C41" s="100">
        <v>2</v>
      </c>
      <c r="D41" s="99" t="s">
        <v>11</v>
      </c>
      <c r="E41" s="98" t="s">
        <v>38</v>
      </c>
      <c r="F41" s="97">
        <v>1</v>
      </c>
      <c r="G41" s="97">
        <v>8</v>
      </c>
      <c r="I41" s="89">
        <v>5</v>
      </c>
      <c r="J41" s="90">
        <f>IF(F41&lt;=5,F$10+(I41-F41)/(G41-F41)*(G$10-F$10),"")</f>
        <v>178</v>
      </c>
      <c r="K41" s="89" t="s">
        <v>109</v>
      </c>
    </row>
    <row r="42" spans="1:11" ht="15.75" thickBot="1" x14ac:dyDescent="0.3">
      <c r="A42" s="96"/>
      <c r="B42" s="95"/>
      <c r="C42" s="94"/>
      <c r="D42" s="93" t="s">
        <v>10</v>
      </c>
      <c r="E42" s="92" t="s">
        <v>38</v>
      </c>
      <c r="F42" s="91">
        <v>6</v>
      </c>
      <c r="G42" s="91">
        <v>10</v>
      </c>
      <c r="I42" s="89">
        <v>5</v>
      </c>
      <c r="J42" s="90">
        <v>173</v>
      </c>
      <c r="K42" s="89" t="s">
        <v>108</v>
      </c>
    </row>
    <row r="43" spans="1:11" x14ac:dyDescent="0.25">
      <c r="A43" s="96"/>
      <c r="B43" s="101" t="s">
        <v>3</v>
      </c>
      <c r="C43" s="100">
        <v>1</v>
      </c>
      <c r="D43" s="99" t="s">
        <v>11</v>
      </c>
      <c r="E43" s="98" t="s">
        <v>35</v>
      </c>
      <c r="F43" s="97">
        <v>8</v>
      </c>
      <c r="G43" s="97">
        <v>10</v>
      </c>
      <c r="I43" s="89">
        <v>5</v>
      </c>
      <c r="J43" s="90">
        <v>171</v>
      </c>
      <c r="K43" s="89" t="s">
        <v>107</v>
      </c>
    </row>
    <row r="44" spans="1:11" ht="15.75" thickBot="1" x14ac:dyDescent="0.3">
      <c r="A44" s="96"/>
      <c r="B44" s="95"/>
      <c r="C44" s="94"/>
      <c r="D44" s="93" t="s">
        <v>10</v>
      </c>
      <c r="E44" s="92" t="s">
        <v>35</v>
      </c>
      <c r="F44" s="91">
        <v>6</v>
      </c>
      <c r="G44" s="91">
        <v>10</v>
      </c>
      <c r="I44" s="89">
        <v>5</v>
      </c>
      <c r="J44" s="90">
        <v>173</v>
      </c>
      <c r="K44" s="89" t="s">
        <v>106</v>
      </c>
    </row>
    <row r="45" spans="1:11" x14ac:dyDescent="0.25">
      <c r="A45" s="96"/>
      <c r="B45" s="101" t="s">
        <v>4</v>
      </c>
      <c r="C45" s="100">
        <v>1</v>
      </c>
      <c r="D45" s="99" t="s">
        <v>10</v>
      </c>
      <c r="E45" s="98" t="s">
        <v>37</v>
      </c>
      <c r="F45" s="97">
        <v>6</v>
      </c>
      <c r="G45" s="97">
        <v>10</v>
      </c>
      <c r="I45" s="89">
        <v>5</v>
      </c>
      <c r="J45" s="90">
        <v>173</v>
      </c>
      <c r="K45" s="89" t="s">
        <v>114</v>
      </c>
    </row>
    <row r="46" spans="1:11" ht="15.75" thickBot="1" x14ac:dyDescent="0.3">
      <c r="A46" s="96"/>
      <c r="B46" s="95"/>
      <c r="C46" s="94"/>
      <c r="D46" s="93" t="s">
        <v>11</v>
      </c>
      <c r="E46" s="92" t="s">
        <v>37</v>
      </c>
      <c r="F46" s="91">
        <v>3</v>
      </c>
      <c r="G46" s="91">
        <v>9</v>
      </c>
      <c r="I46" s="89">
        <v>5</v>
      </c>
      <c r="J46" s="90">
        <f>IF(F46&lt;=5,F$10+(I46-F46)/(G46-F46)*(G$10-F$10),"")</f>
        <v>176.33333333333334</v>
      </c>
      <c r="K46" s="89" t="s">
        <v>115</v>
      </c>
    </row>
    <row r="47" spans="1:11" x14ac:dyDescent="0.25">
      <c r="A47" s="96"/>
      <c r="B47" s="101" t="s">
        <v>4</v>
      </c>
      <c r="C47" s="100">
        <v>2</v>
      </c>
      <c r="D47" s="99" t="s">
        <v>10</v>
      </c>
      <c r="E47" s="98" t="s">
        <v>38</v>
      </c>
      <c r="F47" s="97">
        <v>2</v>
      </c>
      <c r="G47" s="97">
        <v>9</v>
      </c>
      <c r="I47" s="89">
        <v>5</v>
      </c>
      <c r="J47" s="90">
        <f>IF(F47&lt;=5,F$10+(I47-F47)/(G47-F47)*(G$10-F$10),"")</f>
        <v>177</v>
      </c>
      <c r="K47" s="89" t="s">
        <v>116</v>
      </c>
    </row>
    <row r="48" spans="1:11" ht="15.75" thickBot="1" x14ac:dyDescent="0.3">
      <c r="A48" s="96"/>
      <c r="B48" s="95"/>
      <c r="C48" s="94"/>
      <c r="D48" s="93" t="s">
        <v>11</v>
      </c>
      <c r="E48" s="92" t="s">
        <v>38</v>
      </c>
      <c r="F48" s="91">
        <v>3</v>
      </c>
      <c r="G48" s="91">
        <v>9</v>
      </c>
      <c r="I48" s="89">
        <v>5</v>
      </c>
      <c r="J48" s="90">
        <f>IF(F48&lt;=5,F$10+(I48-F48)/(G48-F48)*(G$10-F$10),"")</f>
        <v>176.33333333333334</v>
      </c>
      <c r="K48" s="89" t="s">
        <v>117</v>
      </c>
    </row>
    <row r="49" spans="1:11" x14ac:dyDescent="0.25">
      <c r="A49" s="96"/>
      <c r="B49" s="101" t="s">
        <v>4</v>
      </c>
      <c r="C49" s="100">
        <v>3</v>
      </c>
      <c r="D49" s="99" t="s">
        <v>10</v>
      </c>
      <c r="E49" s="98" t="s">
        <v>36</v>
      </c>
      <c r="F49" s="97">
        <v>2</v>
      </c>
      <c r="G49" s="97">
        <v>10</v>
      </c>
      <c r="I49" s="89">
        <v>5</v>
      </c>
      <c r="J49" s="90">
        <f>IF(F49&lt;=5,F$10+(I49-F49)/(G49-F49)*(G$10-F$10),"")</f>
        <v>176.625</v>
      </c>
      <c r="K49" s="89" t="s">
        <v>118</v>
      </c>
    </row>
    <row r="50" spans="1:11" ht="15.75" thickBot="1" x14ac:dyDescent="0.3">
      <c r="A50" s="96"/>
      <c r="B50" s="95"/>
      <c r="C50" s="94"/>
      <c r="D50" s="93" t="s">
        <v>11</v>
      </c>
      <c r="E50" s="92" t="s">
        <v>36</v>
      </c>
      <c r="F50" s="91">
        <v>5</v>
      </c>
      <c r="G50" s="91">
        <v>10</v>
      </c>
      <c r="I50" s="89">
        <v>5</v>
      </c>
      <c r="J50" s="90">
        <f>IF(F50&lt;=5,F$10+(I50-F50)/(G50-F50)*(G$10-F$10),"")</f>
        <v>174</v>
      </c>
      <c r="K50" s="89" t="s">
        <v>119</v>
      </c>
    </row>
    <row r="51" spans="1:11" x14ac:dyDescent="0.25">
      <c r="A51" s="96"/>
      <c r="B51" s="101" t="s">
        <v>4</v>
      </c>
      <c r="C51" s="100">
        <v>4</v>
      </c>
      <c r="D51" s="99" t="s">
        <v>10</v>
      </c>
      <c r="E51" s="98" t="s">
        <v>35</v>
      </c>
      <c r="F51" s="97">
        <v>6</v>
      </c>
      <c r="G51" s="97">
        <v>10</v>
      </c>
      <c r="I51" s="89">
        <v>5</v>
      </c>
      <c r="J51" s="90">
        <v>173</v>
      </c>
      <c r="K51" s="89" t="s">
        <v>120</v>
      </c>
    </row>
    <row r="52" spans="1:11" ht="15.75" thickBot="1" x14ac:dyDescent="0.3">
      <c r="A52" s="96"/>
      <c r="B52" s="95"/>
      <c r="C52" s="94"/>
      <c r="D52" s="93" t="s">
        <v>11</v>
      </c>
      <c r="E52" s="92" t="s">
        <v>35</v>
      </c>
      <c r="F52" s="91">
        <v>5</v>
      </c>
      <c r="G52" s="91">
        <v>9</v>
      </c>
      <c r="I52" s="89">
        <v>5</v>
      </c>
      <c r="J52" s="90">
        <f>IF(F52&lt;=5,F$10+(I52-F52)/(G52-F52)*(G$10-F$10),"")</f>
        <v>174</v>
      </c>
      <c r="K52" s="89" t="s">
        <v>121</v>
      </c>
    </row>
    <row r="53" spans="1:11" x14ac:dyDescent="0.25">
      <c r="A53" s="96"/>
      <c r="B53" s="101" t="s">
        <v>5</v>
      </c>
      <c r="C53" s="100">
        <v>4</v>
      </c>
      <c r="D53" s="99" t="s">
        <v>11</v>
      </c>
      <c r="E53" s="98" t="s">
        <v>38</v>
      </c>
      <c r="F53" s="97">
        <v>1</v>
      </c>
      <c r="G53" s="97">
        <v>9</v>
      </c>
      <c r="I53" s="89">
        <v>5</v>
      </c>
      <c r="J53" s="90">
        <f>IF(F53&lt;=5,F$10+(I53-F53)/(G53-F53)*(G$10-F$10),"")</f>
        <v>177.5</v>
      </c>
      <c r="K53" s="89" t="s">
        <v>129</v>
      </c>
    </row>
    <row r="54" spans="1:11" ht="15.75" thickBot="1" x14ac:dyDescent="0.3">
      <c r="A54" s="96"/>
      <c r="B54" s="95"/>
      <c r="C54" s="94"/>
      <c r="D54" s="93" t="s">
        <v>10</v>
      </c>
      <c r="E54" s="92" t="s">
        <v>38</v>
      </c>
      <c r="F54" s="91">
        <v>6</v>
      </c>
      <c r="G54" s="91">
        <v>10</v>
      </c>
      <c r="I54" s="89">
        <v>5</v>
      </c>
      <c r="J54" s="90">
        <v>173</v>
      </c>
      <c r="K54" s="89" t="s">
        <v>128</v>
      </c>
    </row>
    <row r="55" spans="1:11" x14ac:dyDescent="0.25">
      <c r="A55" s="96"/>
      <c r="B55" s="101" t="s">
        <v>5</v>
      </c>
      <c r="C55" s="100">
        <v>3</v>
      </c>
      <c r="D55" s="99" t="s">
        <v>11</v>
      </c>
      <c r="E55" s="98" t="s">
        <v>49</v>
      </c>
      <c r="F55" s="97">
        <v>4</v>
      </c>
      <c r="G55" s="97">
        <v>10</v>
      </c>
      <c r="I55" s="89">
        <v>5</v>
      </c>
      <c r="J55" s="90">
        <f>IF(F55&lt;=5,F$10+(I55-F55)/(G55-F55)*(G$10-F$10),"")</f>
        <v>175.16666666666666</v>
      </c>
      <c r="K55" s="89" t="s">
        <v>127</v>
      </c>
    </row>
    <row r="56" spans="1:11" ht="15.75" thickBot="1" x14ac:dyDescent="0.3">
      <c r="A56" s="96"/>
      <c r="B56" s="95"/>
      <c r="C56" s="94"/>
      <c r="D56" s="93" t="s">
        <v>10</v>
      </c>
      <c r="E56" s="92" t="s">
        <v>37</v>
      </c>
      <c r="F56" s="91">
        <v>2</v>
      </c>
      <c r="G56" s="91">
        <v>8</v>
      </c>
      <c r="I56" s="89">
        <v>5</v>
      </c>
      <c r="J56" s="90">
        <f>IF(F56&lt;=5,F$10+(I56-F56)/(G56-F56)*(G$10-F$10),"")</f>
        <v>177.5</v>
      </c>
      <c r="K56" s="89" t="s">
        <v>126</v>
      </c>
    </row>
    <row r="57" spans="1:11" x14ac:dyDescent="0.25">
      <c r="A57" s="96"/>
      <c r="B57" s="101" t="s">
        <v>5</v>
      </c>
      <c r="C57" s="100">
        <v>2</v>
      </c>
      <c r="D57" s="99" t="s">
        <v>11</v>
      </c>
      <c r="E57" s="98" t="s">
        <v>50</v>
      </c>
      <c r="F57" s="97">
        <v>3</v>
      </c>
      <c r="G57" s="97">
        <v>10</v>
      </c>
      <c r="I57" s="89">
        <v>5</v>
      </c>
      <c r="J57" s="90">
        <f>IF(F57&lt;=5,F$10+(I57-F57)/(G57-F57)*(G$10-F$10),"")</f>
        <v>176</v>
      </c>
      <c r="K57" s="89" t="s">
        <v>125</v>
      </c>
    </row>
    <row r="58" spans="1:11" ht="15.75" thickBot="1" x14ac:dyDescent="0.3">
      <c r="A58" s="96"/>
      <c r="B58" s="95"/>
      <c r="C58" s="94"/>
      <c r="D58" s="93" t="s">
        <v>10</v>
      </c>
      <c r="E58" s="92" t="s">
        <v>50</v>
      </c>
      <c r="F58" s="91">
        <v>5</v>
      </c>
      <c r="G58" s="91">
        <v>9</v>
      </c>
      <c r="I58" s="89">
        <v>5</v>
      </c>
      <c r="J58" s="90">
        <f>IF(F58&lt;=5,F$10+(I58-F58)/(G58-F58)*(G$10-F$10),"")</f>
        <v>174</v>
      </c>
      <c r="K58" s="89" t="s">
        <v>124</v>
      </c>
    </row>
    <row r="59" spans="1:11" x14ac:dyDescent="0.25">
      <c r="A59" s="96"/>
      <c r="B59" s="101" t="s">
        <v>5</v>
      </c>
      <c r="C59" s="100">
        <v>1</v>
      </c>
      <c r="D59" s="99" t="s">
        <v>11</v>
      </c>
      <c r="E59" s="98" t="s">
        <v>36</v>
      </c>
      <c r="F59" s="97">
        <v>0</v>
      </c>
      <c r="G59" s="97">
        <v>8</v>
      </c>
      <c r="I59" s="89">
        <v>5</v>
      </c>
      <c r="J59" s="90">
        <f>IF(F59&lt;=5,F$10+(I59-F59)/(G59-F59)*(G$10-F$10),"")</f>
        <v>178.375</v>
      </c>
      <c r="K59" s="89" t="s">
        <v>123</v>
      </c>
    </row>
    <row r="60" spans="1:11" ht="15.75" thickBot="1" x14ac:dyDescent="0.3">
      <c r="A60" s="96"/>
      <c r="B60" s="95"/>
      <c r="C60" s="94"/>
      <c r="D60" s="93" t="s">
        <v>10</v>
      </c>
      <c r="E60" s="92" t="s">
        <v>36</v>
      </c>
      <c r="F60" s="91">
        <v>1</v>
      </c>
      <c r="G60" s="91">
        <v>9</v>
      </c>
      <c r="I60" s="89">
        <v>5</v>
      </c>
      <c r="J60" s="90">
        <f>IF(F60&lt;=5,F$10+(I60-F60)/(G60-F60)*(G$10-F$10),"")</f>
        <v>177.5</v>
      </c>
      <c r="K60" s="89" t="s">
        <v>122</v>
      </c>
    </row>
  </sheetData>
  <mergeCells count="1">
    <mergeCell ref="B12:C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5ED1B-3343-447F-8D29-87B930946C8D}">
  <dimension ref="A1:J30"/>
  <sheetViews>
    <sheetView topLeftCell="A5" zoomScaleNormal="100" zoomScaleSheetLayoutView="100" workbookViewId="0">
      <selection activeCell="J7" sqref="J7:J30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9" width="12.7109375" customWidth="1"/>
  </cols>
  <sheetData>
    <row r="1" spans="1:10" ht="15.75" x14ac:dyDescent="0.25">
      <c r="A1" s="6">
        <v>2020</v>
      </c>
      <c r="B1" s="8" t="s">
        <v>25</v>
      </c>
      <c r="D1" s="8" t="s">
        <v>6</v>
      </c>
      <c r="F1" s="4" t="s">
        <v>8</v>
      </c>
      <c r="G1" s="80">
        <v>44039</v>
      </c>
      <c r="H1" s="79" t="s">
        <v>169</v>
      </c>
    </row>
    <row r="2" spans="1:10" ht="6.6" customHeight="1" x14ac:dyDescent="0.25">
      <c r="A2" s="6"/>
      <c r="B2" s="7"/>
      <c r="C2" s="8"/>
      <c r="F2" s="4"/>
      <c r="G2" s="4"/>
    </row>
    <row r="3" spans="1:10" x14ac:dyDescent="0.2">
      <c r="B3" s="5" t="s">
        <v>160</v>
      </c>
      <c r="F3" s="4" t="s">
        <v>13</v>
      </c>
      <c r="G3" s="4" t="s">
        <v>44</v>
      </c>
    </row>
    <row r="4" spans="1:10" ht="33" customHeight="1" x14ac:dyDescent="0.2">
      <c r="B4" s="87" t="s">
        <v>159</v>
      </c>
      <c r="C4" s="88"/>
      <c r="D4" s="88"/>
      <c r="E4" s="88"/>
      <c r="F4" s="88"/>
      <c r="G4" s="88"/>
      <c r="H4" s="88"/>
      <c r="I4" s="78"/>
    </row>
    <row r="5" spans="1:10" ht="15" customHeight="1" x14ac:dyDescent="0.2">
      <c r="B5" s="5"/>
      <c r="D5" s="77"/>
      <c r="E5" s="77"/>
      <c r="F5" s="77"/>
      <c r="G5" s="77"/>
      <c r="H5" s="77"/>
      <c r="I5" s="3"/>
    </row>
    <row r="6" spans="1:10" ht="21.6" customHeight="1" thickBot="1" x14ac:dyDescent="0.25">
      <c r="B6" s="86" t="s">
        <v>7</v>
      </c>
      <c r="C6" s="86"/>
      <c r="D6" s="76" t="s">
        <v>30</v>
      </c>
      <c r="E6" s="76" t="s">
        <v>30</v>
      </c>
      <c r="F6" s="76" t="s">
        <v>30</v>
      </c>
      <c r="G6" s="76" t="s">
        <v>30</v>
      </c>
      <c r="H6" s="76" t="s">
        <v>30</v>
      </c>
      <c r="I6" s="76" t="s">
        <v>30</v>
      </c>
      <c r="J6" s="75" t="s">
        <v>158</v>
      </c>
    </row>
    <row r="7" spans="1:10" ht="21.6" customHeight="1" thickTop="1" thickBot="1" x14ac:dyDescent="0.25">
      <c r="B7" s="11" t="s">
        <v>0</v>
      </c>
      <c r="C7" s="74">
        <v>1</v>
      </c>
      <c r="D7" s="73">
        <v>1</v>
      </c>
      <c r="E7" s="73">
        <v>2</v>
      </c>
      <c r="F7" s="73">
        <v>2</v>
      </c>
      <c r="G7" s="73">
        <v>2</v>
      </c>
      <c r="H7" s="73">
        <v>2</v>
      </c>
      <c r="I7" s="73">
        <v>2</v>
      </c>
      <c r="J7" s="66">
        <f t="shared" ref="J7:J30" si="0">AVERAGE(D7:I7)</f>
        <v>1.8333333333333333</v>
      </c>
    </row>
    <row r="8" spans="1:10" ht="21.6" customHeight="1" thickTop="1" thickBot="1" x14ac:dyDescent="0.25">
      <c r="B8" s="72" t="s">
        <v>0</v>
      </c>
      <c r="C8" s="71">
        <v>2</v>
      </c>
      <c r="D8" s="70">
        <v>1</v>
      </c>
      <c r="E8" s="70">
        <v>2</v>
      </c>
      <c r="F8" s="70">
        <v>1</v>
      </c>
      <c r="G8" s="70">
        <v>1</v>
      </c>
      <c r="H8" s="70">
        <v>2</v>
      </c>
      <c r="I8" s="70">
        <v>1</v>
      </c>
      <c r="J8" s="66">
        <f t="shared" si="0"/>
        <v>1.3333333333333333</v>
      </c>
    </row>
    <row r="9" spans="1:10" ht="21.6" customHeight="1" thickTop="1" thickBot="1" x14ac:dyDescent="0.25">
      <c r="B9" s="72" t="s">
        <v>0</v>
      </c>
      <c r="C9" s="71">
        <v>3</v>
      </c>
      <c r="D9" s="70">
        <v>1</v>
      </c>
      <c r="E9" s="70">
        <v>2</v>
      </c>
      <c r="F9" s="70">
        <v>2</v>
      </c>
      <c r="G9" s="70">
        <v>0</v>
      </c>
      <c r="H9" s="70">
        <v>1</v>
      </c>
      <c r="I9" s="70">
        <v>1</v>
      </c>
      <c r="J9" s="66">
        <f t="shared" si="0"/>
        <v>1.1666666666666667</v>
      </c>
    </row>
    <row r="10" spans="1:10" ht="21.6" customHeight="1" thickTop="1" thickBot="1" x14ac:dyDescent="0.25">
      <c r="B10" s="69" t="s">
        <v>0</v>
      </c>
      <c r="C10" s="68">
        <v>4</v>
      </c>
      <c r="D10" s="67">
        <v>2</v>
      </c>
      <c r="E10" s="67">
        <v>2</v>
      </c>
      <c r="F10" s="67">
        <v>2</v>
      </c>
      <c r="G10" s="67">
        <v>2</v>
      </c>
      <c r="H10" s="67">
        <v>1</v>
      </c>
      <c r="I10" s="67">
        <v>1</v>
      </c>
      <c r="J10" s="66">
        <f t="shared" si="0"/>
        <v>1.6666666666666667</v>
      </c>
    </row>
    <row r="11" spans="1:10" ht="21.6" customHeight="1" thickTop="1" thickBot="1" x14ac:dyDescent="0.25">
      <c r="B11" s="11" t="s">
        <v>1</v>
      </c>
      <c r="C11" s="74">
        <v>4</v>
      </c>
      <c r="D11" s="73">
        <v>1</v>
      </c>
      <c r="E11" s="73">
        <v>2</v>
      </c>
      <c r="F11" s="73">
        <v>1</v>
      </c>
      <c r="G11" s="73">
        <v>1</v>
      </c>
      <c r="H11" s="73">
        <v>2</v>
      </c>
      <c r="I11" s="73">
        <v>1</v>
      </c>
      <c r="J11" s="66">
        <f t="shared" si="0"/>
        <v>1.3333333333333333</v>
      </c>
    </row>
    <row r="12" spans="1:10" ht="21.6" customHeight="1" thickTop="1" thickBot="1" x14ac:dyDescent="0.25">
      <c r="B12" s="72" t="s">
        <v>1</v>
      </c>
      <c r="C12" s="71">
        <v>3</v>
      </c>
      <c r="D12" s="70">
        <v>1</v>
      </c>
      <c r="E12" s="70">
        <v>1</v>
      </c>
      <c r="F12" s="70">
        <v>1</v>
      </c>
      <c r="G12" s="70">
        <v>1</v>
      </c>
      <c r="H12" s="70">
        <v>1</v>
      </c>
      <c r="I12" s="70">
        <v>1</v>
      </c>
      <c r="J12" s="66">
        <f t="shared" si="0"/>
        <v>1</v>
      </c>
    </row>
    <row r="13" spans="1:10" ht="21.6" customHeight="1" thickTop="1" thickBot="1" x14ac:dyDescent="0.25">
      <c r="B13" s="72" t="s">
        <v>1</v>
      </c>
      <c r="C13" s="71">
        <v>2</v>
      </c>
      <c r="D13" s="70">
        <v>2</v>
      </c>
      <c r="E13" s="70">
        <v>1</v>
      </c>
      <c r="F13" s="70">
        <v>2</v>
      </c>
      <c r="G13" s="70">
        <v>1</v>
      </c>
      <c r="H13" s="70">
        <v>2</v>
      </c>
      <c r="I13" s="70">
        <v>1</v>
      </c>
      <c r="J13" s="66">
        <f t="shared" si="0"/>
        <v>1.5</v>
      </c>
    </row>
    <row r="14" spans="1:10" ht="21.6" customHeight="1" thickTop="1" thickBot="1" x14ac:dyDescent="0.25">
      <c r="B14" s="69" t="s">
        <v>1</v>
      </c>
      <c r="C14" s="68">
        <v>1</v>
      </c>
      <c r="D14" s="67">
        <v>2</v>
      </c>
      <c r="E14" s="67">
        <v>2</v>
      </c>
      <c r="F14" s="67">
        <v>2</v>
      </c>
      <c r="G14" s="67">
        <v>0</v>
      </c>
      <c r="H14" s="67">
        <v>1</v>
      </c>
      <c r="I14" s="67">
        <v>2</v>
      </c>
      <c r="J14" s="66">
        <f t="shared" si="0"/>
        <v>1.5</v>
      </c>
    </row>
    <row r="15" spans="1:10" ht="21.6" customHeight="1" thickTop="1" thickBot="1" x14ac:dyDescent="0.25">
      <c r="B15" s="11" t="s">
        <v>2</v>
      </c>
      <c r="C15" s="74">
        <v>1</v>
      </c>
      <c r="D15" s="73">
        <v>1</v>
      </c>
      <c r="E15" s="73">
        <v>1</v>
      </c>
      <c r="F15" s="73">
        <v>1</v>
      </c>
      <c r="G15" s="73">
        <v>2</v>
      </c>
      <c r="H15" s="73">
        <v>2</v>
      </c>
      <c r="I15" s="73">
        <v>1</v>
      </c>
      <c r="J15" s="66">
        <f t="shared" si="0"/>
        <v>1.3333333333333333</v>
      </c>
    </row>
    <row r="16" spans="1:10" ht="21.6" customHeight="1" thickTop="1" thickBot="1" x14ac:dyDescent="0.25">
      <c r="B16" s="72" t="s">
        <v>2</v>
      </c>
      <c r="C16" s="71">
        <v>2</v>
      </c>
      <c r="D16" s="70">
        <v>2</v>
      </c>
      <c r="E16" s="70">
        <v>1</v>
      </c>
      <c r="F16" s="70">
        <v>2</v>
      </c>
      <c r="G16" s="70">
        <v>1</v>
      </c>
      <c r="H16" s="70">
        <v>2</v>
      </c>
      <c r="I16" s="70">
        <v>1</v>
      </c>
      <c r="J16" s="66">
        <f t="shared" si="0"/>
        <v>1.5</v>
      </c>
    </row>
    <row r="17" spans="1:10" ht="21.6" customHeight="1" thickTop="1" thickBot="1" x14ac:dyDescent="0.25">
      <c r="B17" s="72" t="s">
        <v>2</v>
      </c>
      <c r="C17" s="71">
        <v>3</v>
      </c>
      <c r="D17" s="70">
        <v>2</v>
      </c>
      <c r="E17" s="70">
        <v>2</v>
      </c>
      <c r="F17" s="70">
        <v>1</v>
      </c>
      <c r="G17" s="70">
        <v>2</v>
      </c>
      <c r="H17" s="70">
        <v>1</v>
      </c>
      <c r="I17" s="70">
        <v>2</v>
      </c>
      <c r="J17" s="66">
        <f t="shared" si="0"/>
        <v>1.6666666666666667</v>
      </c>
    </row>
    <row r="18" spans="1:10" ht="21.6" customHeight="1" thickTop="1" thickBot="1" x14ac:dyDescent="0.25">
      <c r="B18" s="69" t="s">
        <v>2</v>
      </c>
      <c r="C18" s="68">
        <v>4</v>
      </c>
      <c r="D18" s="67">
        <v>2</v>
      </c>
      <c r="E18" s="67">
        <v>3</v>
      </c>
      <c r="F18" s="67">
        <v>3</v>
      </c>
      <c r="G18" s="67">
        <v>2</v>
      </c>
      <c r="H18" s="67">
        <v>2</v>
      </c>
      <c r="I18" s="67">
        <v>3</v>
      </c>
      <c r="J18" s="66">
        <f t="shared" si="0"/>
        <v>2.5</v>
      </c>
    </row>
    <row r="19" spans="1:10" ht="21.6" customHeight="1" thickTop="1" thickBot="1" x14ac:dyDescent="0.25">
      <c r="B19" s="11" t="s">
        <v>3</v>
      </c>
      <c r="C19" s="74">
        <v>4</v>
      </c>
      <c r="D19" s="73">
        <v>1</v>
      </c>
      <c r="E19" s="73">
        <v>1</v>
      </c>
      <c r="F19" s="73">
        <v>0</v>
      </c>
      <c r="G19" s="73">
        <v>2</v>
      </c>
      <c r="H19" s="73">
        <v>1</v>
      </c>
      <c r="I19" s="73">
        <v>2</v>
      </c>
      <c r="J19" s="66">
        <f t="shared" si="0"/>
        <v>1.1666666666666667</v>
      </c>
    </row>
    <row r="20" spans="1:10" ht="21.6" customHeight="1" thickTop="1" thickBot="1" x14ac:dyDescent="0.25">
      <c r="B20" s="72" t="s">
        <v>3</v>
      </c>
      <c r="C20" s="71">
        <v>3</v>
      </c>
      <c r="D20" s="70">
        <v>1</v>
      </c>
      <c r="E20" s="70">
        <v>2</v>
      </c>
      <c r="F20" s="70">
        <v>1</v>
      </c>
      <c r="G20" s="70">
        <v>2</v>
      </c>
      <c r="H20" s="70">
        <v>3</v>
      </c>
      <c r="I20" s="70">
        <v>2</v>
      </c>
      <c r="J20" s="66">
        <f t="shared" si="0"/>
        <v>1.8333333333333333</v>
      </c>
    </row>
    <row r="21" spans="1:10" ht="21.6" customHeight="1" thickTop="1" thickBot="1" x14ac:dyDescent="0.25">
      <c r="B21" s="72" t="s">
        <v>3</v>
      </c>
      <c r="C21" s="71">
        <v>2</v>
      </c>
      <c r="D21" s="70">
        <v>2</v>
      </c>
      <c r="E21" s="70">
        <v>2</v>
      </c>
      <c r="F21" s="70">
        <v>2</v>
      </c>
      <c r="G21" s="70">
        <v>2</v>
      </c>
      <c r="H21" s="70">
        <v>1</v>
      </c>
      <c r="I21" s="70">
        <v>2</v>
      </c>
      <c r="J21" s="66">
        <f t="shared" si="0"/>
        <v>1.8333333333333333</v>
      </c>
    </row>
    <row r="22" spans="1:10" ht="21.6" customHeight="1" thickTop="1" thickBot="1" x14ac:dyDescent="0.25">
      <c r="A22" s="1"/>
      <c r="B22" s="69" t="s">
        <v>3</v>
      </c>
      <c r="C22" s="68">
        <v>1</v>
      </c>
      <c r="D22" s="67">
        <v>1</v>
      </c>
      <c r="E22" s="67">
        <v>1</v>
      </c>
      <c r="F22" s="67">
        <v>1</v>
      </c>
      <c r="G22" s="67">
        <v>2</v>
      </c>
      <c r="H22" s="67">
        <v>1</v>
      </c>
      <c r="I22" s="67">
        <v>1</v>
      </c>
      <c r="J22" s="66">
        <f t="shared" si="0"/>
        <v>1.1666666666666667</v>
      </c>
    </row>
    <row r="23" spans="1:10" ht="21.6" customHeight="1" thickTop="1" thickBot="1" x14ac:dyDescent="0.25">
      <c r="A23" s="12"/>
      <c r="B23" s="11" t="s">
        <v>4</v>
      </c>
      <c r="C23" s="74">
        <v>1</v>
      </c>
      <c r="D23" s="73">
        <v>2</v>
      </c>
      <c r="E23" s="73">
        <v>2</v>
      </c>
      <c r="F23" s="73">
        <v>2</v>
      </c>
      <c r="G23" s="73">
        <v>1</v>
      </c>
      <c r="H23" s="73">
        <v>3</v>
      </c>
      <c r="I23" s="73">
        <v>2</v>
      </c>
      <c r="J23" s="66">
        <f t="shared" si="0"/>
        <v>2</v>
      </c>
    </row>
    <row r="24" spans="1:10" ht="21.6" customHeight="1" thickTop="1" thickBot="1" x14ac:dyDescent="0.25">
      <c r="B24" s="72" t="s">
        <v>4</v>
      </c>
      <c r="C24" s="71">
        <v>2</v>
      </c>
      <c r="D24" s="70">
        <v>2</v>
      </c>
      <c r="E24" s="70">
        <v>2</v>
      </c>
      <c r="F24" s="70">
        <v>2</v>
      </c>
      <c r="G24" s="70">
        <v>2</v>
      </c>
      <c r="H24" s="70">
        <v>2</v>
      </c>
      <c r="I24" s="70">
        <v>2</v>
      </c>
      <c r="J24" s="66">
        <f t="shared" si="0"/>
        <v>2</v>
      </c>
    </row>
    <row r="25" spans="1:10" ht="21.6" customHeight="1" thickTop="1" thickBot="1" x14ac:dyDescent="0.25">
      <c r="B25" s="72" t="s">
        <v>4</v>
      </c>
      <c r="C25" s="71">
        <v>3</v>
      </c>
      <c r="D25" s="70">
        <v>2</v>
      </c>
      <c r="E25" s="70">
        <v>1</v>
      </c>
      <c r="F25" s="70">
        <v>2</v>
      </c>
      <c r="G25" s="70">
        <v>1</v>
      </c>
      <c r="H25" s="70">
        <v>1</v>
      </c>
      <c r="I25" s="70">
        <v>1</v>
      </c>
      <c r="J25" s="66">
        <f t="shared" si="0"/>
        <v>1.3333333333333333</v>
      </c>
    </row>
    <row r="26" spans="1:10" ht="21.6" customHeight="1" thickTop="1" thickBot="1" x14ac:dyDescent="0.25">
      <c r="B26" s="69" t="s">
        <v>4</v>
      </c>
      <c r="C26" s="68">
        <v>4</v>
      </c>
      <c r="D26" s="67">
        <v>1</v>
      </c>
      <c r="E26" s="67">
        <v>1</v>
      </c>
      <c r="F26" s="67">
        <v>0</v>
      </c>
      <c r="G26" s="67">
        <v>1</v>
      </c>
      <c r="H26" s="67">
        <v>1</v>
      </c>
      <c r="I26" s="67">
        <v>1</v>
      </c>
      <c r="J26" s="66">
        <f t="shared" si="0"/>
        <v>0.83333333333333337</v>
      </c>
    </row>
    <row r="27" spans="1:10" ht="21.6" customHeight="1" thickTop="1" thickBot="1" x14ac:dyDescent="0.25">
      <c r="B27" s="11" t="s">
        <v>5</v>
      </c>
      <c r="C27" s="74">
        <v>4</v>
      </c>
      <c r="D27" s="73">
        <v>2</v>
      </c>
      <c r="E27" s="73">
        <v>1</v>
      </c>
      <c r="F27" s="73">
        <v>2</v>
      </c>
      <c r="G27" s="73">
        <v>2</v>
      </c>
      <c r="H27" s="73">
        <v>2</v>
      </c>
      <c r="I27" s="73">
        <v>2</v>
      </c>
      <c r="J27" s="66">
        <f t="shared" si="0"/>
        <v>1.8333333333333333</v>
      </c>
    </row>
    <row r="28" spans="1:10" ht="21.6" customHeight="1" thickTop="1" thickBot="1" x14ac:dyDescent="0.25">
      <c r="B28" s="72" t="s">
        <v>5</v>
      </c>
      <c r="C28" s="71">
        <v>3</v>
      </c>
      <c r="D28" s="70">
        <v>2</v>
      </c>
      <c r="E28" s="70">
        <v>2</v>
      </c>
      <c r="F28" s="70">
        <v>2</v>
      </c>
      <c r="G28" s="70">
        <v>1</v>
      </c>
      <c r="H28" s="70">
        <v>1</v>
      </c>
      <c r="I28" s="70">
        <v>2</v>
      </c>
      <c r="J28" s="66">
        <f t="shared" si="0"/>
        <v>1.6666666666666667</v>
      </c>
    </row>
    <row r="29" spans="1:10" ht="21.6" customHeight="1" thickTop="1" thickBot="1" x14ac:dyDescent="0.25">
      <c r="B29" s="72" t="s">
        <v>5</v>
      </c>
      <c r="C29" s="71">
        <v>2</v>
      </c>
      <c r="D29" s="70">
        <v>2</v>
      </c>
      <c r="E29" s="70">
        <v>1</v>
      </c>
      <c r="F29" s="70">
        <v>1</v>
      </c>
      <c r="G29" s="70">
        <v>2</v>
      </c>
      <c r="H29" s="70">
        <v>2</v>
      </c>
      <c r="I29" s="70">
        <v>1</v>
      </c>
      <c r="J29" s="66">
        <f t="shared" si="0"/>
        <v>1.5</v>
      </c>
    </row>
    <row r="30" spans="1:10" ht="21.6" customHeight="1" thickTop="1" thickBot="1" x14ac:dyDescent="0.25">
      <c r="B30" s="69" t="s">
        <v>5</v>
      </c>
      <c r="C30" s="68">
        <v>1</v>
      </c>
      <c r="D30" s="67">
        <v>3</v>
      </c>
      <c r="E30" s="67">
        <v>2</v>
      </c>
      <c r="F30" s="67">
        <v>1</v>
      </c>
      <c r="G30" s="67">
        <v>1</v>
      </c>
      <c r="H30" s="67">
        <v>1</v>
      </c>
      <c r="I30" s="67">
        <v>1</v>
      </c>
      <c r="J30" s="66">
        <f t="shared" si="0"/>
        <v>1.5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AA6A5-8500-4EE7-B87E-132D132F8BB5}">
  <dimension ref="A1:J30"/>
  <sheetViews>
    <sheetView zoomScaleNormal="100" zoomScaleSheetLayoutView="100" workbookViewId="0">
      <selection activeCell="A3" sqref="A3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9" width="12.7109375" customWidth="1"/>
  </cols>
  <sheetData>
    <row r="1" spans="1:10" ht="15.75" x14ac:dyDescent="0.25">
      <c r="A1" s="6">
        <v>2020</v>
      </c>
      <c r="B1" s="8" t="s">
        <v>25</v>
      </c>
      <c r="D1" s="8" t="s">
        <v>6</v>
      </c>
      <c r="F1" s="4" t="s">
        <v>8</v>
      </c>
      <c r="G1" s="80">
        <v>44047</v>
      </c>
      <c r="H1" s="79" t="s">
        <v>168</v>
      </c>
    </row>
    <row r="2" spans="1:10" ht="6.6" customHeight="1" x14ac:dyDescent="0.25">
      <c r="A2" s="6"/>
      <c r="B2" s="7"/>
      <c r="C2" s="8"/>
      <c r="F2" s="4"/>
      <c r="G2" s="4"/>
    </row>
    <row r="3" spans="1:10" x14ac:dyDescent="0.2">
      <c r="B3" s="5" t="s">
        <v>160</v>
      </c>
      <c r="F3" s="4" t="s">
        <v>13</v>
      </c>
      <c r="G3" s="4" t="s">
        <v>44</v>
      </c>
    </row>
    <row r="4" spans="1:10" ht="33" customHeight="1" x14ac:dyDescent="0.2">
      <c r="B4" s="87" t="s">
        <v>159</v>
      </c>
      <c r="C4" s="88"/>
      <c r="D4" s="88"/>
      <c r="E4" s="88"/>
      <c r="F4" s="88"/>
      <c r="G4" s="88"/>
      <c r="H4" s="88"/>
      <c r="I4" s="78"/>
    </row>
    <row r="5" spans="1:10" ht="15" customHeight="1" x14ac:dyDescent="0.2">
      <c r="B5" s="5"/>
      <c r="D5" s="77"/>
      <c r="E5" s="77"/>
      <c r="F5" s="77"/>
      <c r="G5" s="77"/>
      <c r="H5" s="77"/>
      <c r="I5" s="3"/>
    </row>
    <row r="6" spans="1:10" ht="21.6" customHeight="1" thickBot="1" x14ac:dyDescent="0.25">
      <c r="B6" s="86" t="s">
        <v>7</v>
      </c>
      <c r="C6" s="86"/>
      <c r="D6" s="76" t="s">
        <v>30</v>
      </c>
      <c r="E6" s="76" t="s">
        <v>30</v>
      </c>
      <c r="F6" s="76" t="s">
        <v>30</v>
      </c>
      <c r="G6" s="76" t="s">
        <v>30</v>
      </c>
      <c r="H6" s="76" t="s">
        <v>30</v>
      </c>
      <c r="I6" s="76" t="s">
        <v>30</v>
      </c>
      <c r="J6" s="75" t="s">
        <v>158</v>
      </c>
    </row>
    <row r="7" spans="1:10" ht="21.6" customHeight="1" thickTop="1" thickBot="1" x14ac:dyDescent="0.25">
      <c r="B7" s="11" t="s">
        <v>0</v>
      </c>
      <c r="C7" s="74">
        <v>1</v>
      </c>
      <c r="D7" s="73">
        <v>2</v>
      </c>
      <c r="E7" s="73">
        <v>2</v>
      </c>
      <c r="F7" s="73">
        <v>3</v>
      </c>
      <c r="G7" s="73">
        <v>2</v>
      </c>
      <c r="H7" s="73">
        <v>3</v>
      </c>
      <c r="I7" s="73">
        <v>2</v>
      </c>
      <c r="J7" s="66">
        <f t="shared" ref="J7:J30" si="0">AVERAGE(D7:I7)</f>
        <v>2.3333333333333335</v>
      </c>
    </row>
    <row r="8" spans="1:10" ht="21.6" customHeight="1" thickTop="1" thickBot="1" x14ac:dyDescent="0.25">
      <c r="B8" s="72" t="s">
        <v>0</v>
      </c>
      <c r="C8" s="71">
        <v>2</v>
      </c>
      <c r="D8" s="70">
        <v>1</v>
      </c>
      <c r="E8" s="70">
        <v>2</v>
      </c>
      <c r="F8" s="70">
        <v>2</v>
      </c>
      <c r="G8" s="70">
        <v>2</v>
      </c>
      <c r="H8" s="70">
        <v>1</v>
      </c>
      <c r="I8" s="70">
        <v>2</v>
      </c>
      <c r="J8" s="66">
        <f t="shared" si="0"/>
        <v>1.6666666666666667</v>
      </c>
    </row>
    <row r="9" spans="1:10" ht="21.6" customHeight="1" thickTop="1" thickBot="1" x14ac:dyDescent="0.25">
      <c r="B9" s="72" t="s">
        <v>0</v>
      </c>
      <c r="C9" s="71">
        <v>3</v>
      </c>
      <c r="D9" s="70">
        <v>2</v>
      </c>
      <c r="E9" s="70">
        <v>2</v>
      </c>
      <c r="F9" s="70">
        <v>3</v>
      </c>
      <c r="G9" s="70">
        <v>1</v>
      </c>
      <c r="H9" s="70">
        <v>2</v>
      </c>
      <c r="I9" s="70">
        <v>1</v>
      </c>
      <c r="J9" s="66">
        <f t="shared" si="0"/>
        <v>1.8333333333333333</v>
      </c>
    </row>
    <row r="10" spans="1:10" ht="21.6" customHeight="1" thickTop="1" thickBot="1" x14ac:dyDescent="0.25">
      <c r="B10" s="69" t="s">
        <v>0</v>
      </c>
      <c r="C10" s="68">
        <v>4</v>
      </c>
      <c r="D10" s="67">
        <v>3</v>
      </c>
      <c r="E10" s="67">
        <v>2</v>
      </c>
      <c r="F10" s="67">
        <v>2</v>
      </c>
      <c r="G10" s="67">
        <v>3</v>
      </c>
      <c r="H10" s="67">
        <v>2</v>
      </c>
      <c r="I10" s="67">
        <v>1</v>
      </c>
      <c r="J10" s="66">
        <f t="shared" si="0"/>
        <v>2.1666666666666665</v>
      </c>
    </row>
    <row r="11" spans="1:10" ht="21.6" customHeight="1" thickTop="1" thickBot="1" x14ac:dyDescent="0.25">
      <c r="B11" s="11" t="s">
        <v>1</v>
      </c>
      <c r="C11" s="74">
        <v>4</v>
      </c>
      <c r="D11" s="73">
        <v>2</v>
      </c>
      <c r="E11" s="73">
        <v>3</v>
      </c>
      <c r="F11" s="73">
        <v>2</v>
      </c>
      <c r="G11" s="73">
        <v>1</v>
      </c>
      <c r="H11" s="73">
        <v>2</v>
      </c>
      <c r="I11" s="73">
        <v>1</v>
      </c>
      <c r="J11" s="66">
        <f t="shared" si="0"/>
        <v>1.8333333333333333</v>
      </c>
    </row>
    <row r="12" spans="1:10" ht="21.6" customHeight="1" thickTop="1" thickBot="1" x14ac:dyDescent="0.25">
      <c r="B12" s="72" t="s">
        <v>1</v>
      </c>
      <c r="C12" s="71">
        <v>3</v>
      </c>
      <c r="D12" s="70">
        <v>1</v>
      </c>
      <c r="E12" s="70">
        <v>2</v>
      </c>
      <c r="F12" s="70">
        <v>2</v>
      </c>
      <c r="G12" s="70">
        <v>1</v>
      </c>
      <c r="H12" s="70">
        <v>2</v>
      </c>
      <c r="I12" s="70">
        <v>2</v>
      </c>
      <c r="J12" s="66">
        <f t="shared" si="0"/>
        <v>1.6666666666666667</v>
      </c>
    </row>
    <row r="13" spans="1:10" ht="21.6" customHeight="1" thickTop="1" thickBot="1" x14ac:dyDescent="0.25">
      <c r="B13" s="72" t="s">
        <v>1</v>
      </c>
      <c r="C13" s="71">
        <v>2</v>
      </c>
      <c r="D13" s="70">
        <v>3</v>
      </c>
      <c r="E13" s="70">
        <v>2</v>
      </c>
      <c r="F13" s="70">
        <v>2</v>
      </c>
      <c r="G13" s="70">
        <v>1</v>
      </c>
      <c r="H13" s="70">
        <v>2</v>
      </c>
      <c r="I13" s="70">
        <v>2</v>
      </c>
      <c r="J13" s="66">
        <f t="shared" si="0"/>
        <v>2</v>
      </c>
    </row>
    <row r="14" spans="1:10" ht="21.6" customHeight="1" thickTop="1" thickBot="1" x14ac:dyDescent="0.25">
      <c r="B14" s="69" t="s">
        <v>1</v>
      </c>
      <c r="C14" s="68">
        <v>1</v>
      </c>
      <c r="D14" s="67">
        <v>2</v>
      </c>
      <c r="E14" s="67">
        <v>3</v>
      </c>
      <c r="F14" s="67">
        <v>2</v>
      </c>
      <c r="G14" s="67">
        <v>1</v>
      </c>
      <c r="H14" s="67">
        <v>2</v>
      </c>
      <c r="I14" s="67">
        <v>3</v>
      </c>
      <c r="J14" s="66">
        <f t="shared" si="0"/>
        <v>2.1666666666666665</v>
      </c>
    </row>
    <row r="15" spans="1:10" ht="21.6" customHeight="1" thickTop="1" thickBot="1" x14ac:dyDescent="0.25">
      <c r="B15" s="11" t="s">
        <v>2</v>
      </c>
      <c r="C15" s="74">
        <v>1</v>
      </c>
      <c r="D15" s="73">
        <v>2</v>
      </c>
      <c r="E15" s="73">
        <v>2</v>
      </c>
      <c r="F15" s="73">
        <v>1</v>
      </c>
      <c r="G15" s="73">
        <v>3</v>
      </c>
      <c r="H15" s="73">
        <v>2</v>
      </c>
      <c r="I15" s="73">
        <v>2</v>
      </c>
      <c r="J15" s="66">
        <f t="shared" si="0"/>
        <v>2</v>
      </c>
    </row>
    <row r="16" spans="1:10" ht="21.6" customHeight="1" thickTop="1" thickBot="1" x14ac:dyDescent="0.25">
      <c r="B16" s="72" t="s">
        <v>2</v>
      </c>
      <c r="C16" s="71">
        <v>2</v>
      </c>
      <c r="D16" s="70">
        <v>2</v>
      </c>
      <c r="E16" s="70">
        <v>2</v>
      </c>
      <c r="F16" s="70">
        <v>3</v>
      </c>
      <c r="G16" s="70">
        <v>1</v>
      </c>
      <c r="H16" s="70">
        <v>2</v>
      </c>
      <c r="I16" s="70">
        <v>2</v>
      </c>
      <c r="J16" s="66">
        <f t="shared" si="0"/>
        <v>2</v>
      </c>
    </row>
    <row r="17" spans="1:10" ht="21.6" customHeight="1" thickTop="1" thickBot="1" x14ac:dyDescent="0.25">
      <c r="B17" s="72" t="s">
        <v>2</v>
      </c>
      <c r="C17" s="71">
        <v>3</v>
      </c>
      <c r="D17" s="70">
        <v>2</v>
      </c>
      <c r="E17" s="70">
        <v>2</v>
      </c>
      <c r="F17" s="70">
        <v>2</v>
      </c>
      <c r="G17" s="70">
        <v>2</v>
      </c>
      <c r="H17" s="70">
        <v>2</v>
      </c>
      <c r="I17" s="70">
        <v>2</v>
      </c>
      <c r="J17" s="66">
        <f t="shared" si="0"/>
        <v>2</v>
      </c>
    </row>
    <row r="18" spans="1:10" ht="21.6" customHeight="1" thickTop="1" thickBot="1" x14ac:dyDescent="0.25">
      <c r="B18" s="69" t="s">
        <v>2</v>
      </c>
      <c r="C18" s="68">
        <v>4</v>
      </c>
      <c r="D18" s="67">
        <v>3</v>
      </c>
      <c r="E18" s="67">
        <v>3</v>
      </c>
      <c r="F18" s="67">
        <v>4</v>
      </c>
      <c r="G18" s="67">
        <v>2</v>
      </c>
      <c r="H18" s="67">
        <v>3</v>
      </c>
      <c r="I18" s="67">
        <v>3</v>
      </c>
      <c r="J18" s="66">
        <f t="shared" si="0"/>
        <v>3</v>
      </c>
    </row>
    <row r="19" spans="1:10" ht="21.6" customHeight="1" thickTop="1" thickBot="1" x14ac:dyDescent="0.25">
      <c r="B19" s="11" t="s">
        <v>3</v>
      </c>
      <c r="C19" s="74">
        <v>4</v>
      </c>
      <c r="D19" s="73">
        <v>2</v>
      </c>
      <c r="E19" s="73">
        <v>2</v>
      </c>
      <c r="F19" s="73">
        <v>1</v>
      </c>
      <c r="G19" s="73">
        <v>2</v>
      </c>
      <c r="H19" s="73">
        <v>2</v>
      </c>
      <c r="I19" s="73">
        <v>2</v>
      </c>
      <c r="J19" s="66">
        <f t="shared" si="0"/>
        <v>1.8333333333333333</v>
      </c>
    </row>
    <row r="20" spans="1:10" ht="21.6" customHeight="1" thickTop="1" thickBot="1" x14ac:dyDescent="0.25">
      <c r="B20" s="72" t="s">
        <v>3</v>
      </c>
      <c r="C20" s="71">
        <v>3</v>
      </c>
      <c r="D20" s="70">
        <v>2</v>
      </c>
      <c r="E20" s="70">
        <v>2</v>
      </c>
      <c r="F20" s="70">
        <v>2</v>
      </c>
      <c r="G20" s="70">
        <v>3</v>
      </c>
      <c r="H20" s="70">
        <v>4</v>
      </c>
      <c r="I20" s="70">
        <v>2</v>
      </c>
      <c r="J20" s="66">
        <f t="shared" si="0"/>
        <v>2.5</v>
      </c>
    </row>
    <row r="21" spans="1:10" ht="21.6" customHeight="1" thickTop="1" thickBot="1" x14ac:dyDescent="0.25">
      <c r="B21" s="72" t="s">
        <v>3</v>
      </c>
      <c r="C21" s="71">
        <v>2</v>
      </c>
      <c r="D21" s="70">
        <v>2</v>
      </c>
      <c r="E21" s="70">
        <v>3</v>
      </c>
      <c r="F21" s="70">
        <v>2</v>
      </c>
      <c r="G21" s="70">
        <v>3</v>
      </c>
      <c r="H21" s="70">
        <v>2</v>
      </c>
      <c r="I21" s="70">
        <v>2</v>
      </c>
      <c r="J21" s="66">
        <f t="shared" si="0"/>
        <v>2.3333333333333335</v>
      </c>
    </row>
    <row r="22" spans="1:10" ht="21.6" customHeight="1" thickTop="1" thickBot="1" x14ac:dyDescent="0.25">
      <c r="A22" s="1"/>
      <c r="B22" s="69" t="s">
        <v>3</v>
      </c>
      <c r="C22" s="68">
        <v>1</v>
      </c>
      <c r="D22" s="67">
        <v>1</v>
      </c>
      <c r="E22" s="67">
        <v>2</v>
      </c>
      <c r="F22" s="67">
        <v>2</v>
      </c>
      <c r="G22" s="67">
        <v>2</v>
      </c>
      <c r="H22" s="67">
        <v>2</v>
      </c>
      <c r="I22" s="67">
        <v>1</v>
      </c>
      <c r="J22" s="66">
        <f t="shared" si="0"/>
        <v>1.6666666666666667</v>
      </c>
    </row>
    <row r="23" spans="1:10" ht="21.6" customHeight="1" thickTop="1" thickBot="1" x14ac:dyDescent="0.25">
      <c r="A23" s="12"/>
      <c r="B23" s="11" t="s">
        <v>4</v>
      </c>
      <c r="C23" s="74">
        <v>1</v>
      </c>
      <c r="D23" s="73">
        <v>2</v>
      </c>
      <c r="E23" s="73">
        <v>2</v>
      </c>
      <c r="F23" s="73">
        <v>3</v>
      </c>
      <c r="G23" s="73">
        <v>2</v>
      </c>
      <c r="H23" s="73">
        <v>3</v>
      </c>
      <c r="I23" s="73">
        <v>2</v>
      </c>
      <c r="J23" s="66">
        <f t="shared" si="0"/>
        <v>2.3333333333333335</v>
      </c>
    </row>
    <row r="24" spans="1:10" ht="21.6" customHeight="1" thickTop="1" thickBot="1" x14ac:dyDescent="0.25">
      <c r="B24" s="72" t="s">
        <v>4</v>
      </c>
      <c r="C24" s="71">
        <v>2</v>
      </c>
      <c r="D24" s="70">
        <v>2</v>
      </c>
      <c r="E24" s="70">
        <v>3</v>
      </c>
      <c r="F24" s="70">
        <v>3</v>
      </c>
      <c r="G24" s="70">
        <v>2</v>
      </c>
      <c r="H24" s="70">
        <v>3</v>
      </c>
      <c r="I24" s="70">
        <v>2</v>
      </c>
      <c r="J24" s="66">
        <f t="shared" si="0"/>
        <v>2.5</v>
      </c>
    </row>
    <row r="25" spans="1:10" ht="21.6" customHeight="1" thickTop="1" thickBot="1" x14ac:dyDescent="0.25">
      <c r="B25" s="72" t="s">
        <v>4</v>
      </c>
      <c r="C25" s="71">
        <v>3</v>
      </c>
      <c r="D25" s="70">
        <v>3</v>
      </c>
      <c r="E25" s="70">
        <v>2</v>
      </c>
      <c r="F25" s="70">
        <v>2</v>
      </c>
      <c r="G25" s="70">
        <v>2</v>
      </c>
      <c r="H25" s="70">
        <v>3</v>
      </c>
      <c r="I25" s="70">
        <v>2</v>
      </c>
      <c r="J25" s="66">
        <f t="shared" si="0"/>
        <v>2.3333333333333335</v>
      </c>
    </row>
    <row r="26" spans="1:10" ht="21.6" customHeight="1" thickTop="1" thickBot="1" x14ac:dyDescent="0.25">
      <c r="B26" s="69" t="s">
        <v>4</v>
      </c>
      <c r="C26" s="68">
        <v>4</v>
      </c>
      <c r="D26" s="67">
        <v>2</v>
      </c>
      <c r="E26" s="67">
        <v>2</v>
      </c>
      <c r="F26" s="67">
        <v>1</v>
      </c>
      <c r="G26" s="67">
        <v>2</v>
      </c>
      <c r="H26" s="67">
        <v>3</v>
      </c>
      <c r="I26" s="67">
        <v>2</v>
      </c>
      <c r="J26" s="66">
        <f t="shared" si="0"/>
        <v>2</v>
      </c>
    </row>
    <row r="27" spans="1:10" ht="21.6" customHeight="1" thickTop="1" thickBot="1" x14ac:dyDescent="0.25">
      <c r="B27" s="11" t="s">
        <v>5</v>
      </c>
      <c r="C27" s="74">
        <v>4</v>
      </c>
      <c r="D27" s="73">
        <v>3</v>
      </c>
      <c r="E27" s="73">
        <v>2</v>
      </c>
      <c r="F27" s="73">
        <v>2</v>
      </c>
      <c r="G27" s="73">
        <v>2</v>
      </c>
      <c r="H27" s="73">
        <v>3</v>
      </c>
      <c r="I27" s="73">
        <v>2</v>
      </c>
      <c r="J27" s="66">
        <f t="shared" si="0"/>
        <v>2.3333333333333335</v>
      </c>
    </row>
    <row r="28" spans="1:10" ht="21.6" customHeight="1" thickTop="1" thickBot="1" x14ac:dyDescent="0.25">
      <c r="B28" s="72" t="s">
        <v>5</v>
      </c>
      <c r="C28" s="71">
        <v>3</v>
      </c>
      <c r="D28" s="70">
        <v>2</v>
      </c>
      <c r="E28" s="70">
        <v>2</v>
      </c>
      <c r="F28" s="70">
        <v>3</v>
      </c>
      <c r="G28" s="70">
        <v>2</v>
      </c>
      <c r="H28" s="70">
        <v>2</v>
      </c>
      <c r="I28" s="70">
        <v>3</v>
      </c>
      <c r="J28" s="66">
        <f t="shared" si="0"/>
        <v>2.3333333333333335</v>
      </c>
    </row>
    <row r="29" spans="1:10" ht="21.6" customHeight="1" thickTop="1" thickBot="1" x14ac:dyDescent="0.25">
      <c r="B29" s="72" t="s">
        <v>5</v>
      </c>
      <c r="C29" s="71">
        <v>2</v>
      </c>
      <c r="D29" s="70">
        <v>3</v>
      </c>
      <c r="E29" s="70">
        <v>2</v>
      </c>
      <c r="F29" s="70">
        <v>3</v>
      </c>
      <c r="G29" s="70">
        <v>2</v>
      </c>
      <c r="H29" s="70">
        <v>2</v>
      </c>
      <c r="I29" s="70">
        <v>2</v>
      </c>
      <c r="J29" s="66">
        <f t="shared" si="0"/>
        <v>2.3333333333333335</v>
      </c>
    </row>
    <row r="30" spans="1:10" ht="21.6" customHeight="1" thickTop="1" thickBot="1" x14ac:dyDescent="0.25">
      <c r="B30" s="69" t="s">
        <v>5</v>
      </c>
      <c r="C30" s="68">
        <v>1</v>
      </c>
      <c r="D30" s="67">
        <v>3</v>
      </c>
      <c r="E30" s="67">
        <v>3</v>
      </c>
      <c r="F30" s="67">
        <v>2</v>
      </c>
      <c r="G30" s="67">
        <v>3</v>
      </c>
      <c r="H30" s="67">
        <v>2</v>
      </c>
      <c r="I30" s="67">
        <v>2</v>
      </c>
      <c r="J30" s="66">
        <f t="shared" si="0"/>
        <v>2.5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BF00-360A-45A8-9F33-814EC99DEE26}">
  <dimension ref="A1:J30"/>
  <sheetViews>
    <sheetView zoomScaleNormal="100" zoomScaleSheetLayoutView="100" workbookViewId="0">
      <selection activeCell="E2" sqref="E2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9" width="12.7109375" customWidth="1"/>
  </cols>
  <sheetData>
    <row r="1" spans="1:10" ht="15.75" x14ac:dyDescent="0.25">
      <c r="A1" s="6">
        <v>2020</v>
      </c>
      <c r="B1" s="8" t="s">
        <v>25</v>
      </c>
      <c r="D1" s="8" t="s">
        <v>6</v>
      </c>
      <c r="F1" s="4" t="s">
        <v>8</v>
      </c>
      <c r="G1" s="80">
        <v>44053</v>
      </c>
      <c r="H1" s="79" t="s">
        <v>167</v>
      </c>
    </row>
    <row r="2" spans="1:10" ht="6.6" customHeight="1" x14ac:dyDescent="0.25">
      <c r="A2" s="6"/>
      <c r="B2" s="7"/>
      <c r="C2" s="8"/>
      <c r="F2" s="4"/>
      <c r="G2" s="4"/>
    </row>
    <row r="3" spans="1:10" x14ac:dyDescent="0.2">
      <c r="B3" s="5" t="s">
        <v>160</v>
      </c>
      <c r="F3" s="4" t="s">
        <v>13</v>
      </c>
      <c r="G3" s="4" t="s">
        <v>44</v>
      </c>
    </row>
    <row r="4" spans="1:10" ht="33" customHeight="1" x14ac:dyDescent="0.2">
      <c r="B4" s="87" t="s">
        <v>159</v>
      </c>
      <c r="C4" s="88"/>
      <c r="D4" s="88"/>
      <c r="E4" s="88"/>
      <c r="F4" s="88"/>
      <c r="G4" s="88"/>
      <c r="H4" s="88"/>
      <c r="I4" s="78"/>
    </row>
    <row r="5" spans="1:10" ht="15" customHeight="1" x14ac:dyDescent="0.2">
      <c r="B5" s="5"/>
      <c r="D5" s="54" t="s">
        <v>166</v>
      </c>
      <c r="E5" s="77"/>
      <c r="F5" s="77"/>
      <c r="G5" s="77"/>
      <c r="H5" s="77"/>
      <c r="I5" s="3"/>
    </row>
    <row r="6" spans="1:10" ht="21.6" customHeight="1" thickBot="1" x14ac:dyDescent="0.25">
      <c r="B6" s="86" t="s">
        <v>7</v>
      </c>
      <c r="C6" s="86"/>
      <c r="D6" s="76" t="s">
        <v>30</v>
      </c>
      <c r="E6" s="76" t="s">
        <v>30</v>
      </c>
      <c r="F6" s="76" t="s">
        <v>30</v>
      </c>
      <c r="G6" s="76" t="s">
        <v>30</v>
      </c>
      <c r="H6" s="76" t="s">
        <v>30</v>
      </c>
      <c r="I6" s="76" t="s">
        <v>30</v>
      </c>
      <c r="J6" s="75" t="s">
        <v>158</v>
      </c>
    </row>
    <row r="7" spans="1:10" ht="21.6" customHeight="1" thickTop="1" thickBot="1" x14ac:dyDescent="0.25">
      <c r="B7" s="11" t="s">
        <v>0</v>
      </c>
      <c r="C7" s="74">
        <v>1</v>
      </c>
      <c r="D7" s="73">
        <v>3</v>
      </c>
      <c r="E7" s="73">
        <v>2</v>
      </c>
      <c r="F7" s="73">
        <v>4</v>
      </c>
      <c r="G7" s="73">
        <v>3</v>
      </c>
      <c r="H7" s="73">
        <v>3</v>
      </c>
      <c r="I7" s="73">
        <v>2</v>
      </c>
      <c r="J7" s="66">
        <f t="shared" ref="J7:J30" si="0">AVERAGE(D7:I7)</f>
        <v>2.8333333333333335</v>
      </c>
    </row>
    <row r="8" spans="1:10" ht="21.6" customHeight="1" thickTop="1" thickBot="1" x14ac:dyDescent="0.25">
      <c r="B8" s="72" t="s">
        <v>0</v>
      </c>
      <c r="C8" s="71">
        <v>2</v>
      </c>
      <c r="D8" s="70">
        <v>2</v>
      </c>
      <c r="E8" s="70">
        <v>2</v>
      </c>
      <c r="F8" s="70">
        <v>1</v>
      </c>
      <c r="G8" s="70">
        <v>3</v>
      </c>
      <c r="H8" s="70">
        <v>2</v>
      </c>
      <c r="I8" s="70">
        <v>1</v>
      </c>
      <c r="J8" s="66">
        <f t="shared" si="0"/>
        <v>1.8333333333333333</v>
      </c>
    </row>
    <row r="9" spans="1:10" ht="21.6" customHeight="1" thickTop="1" thickBot="1" x14ac:dyDescent="0.25">
      <c r="B9" s="72" t="s">
        <v>0</v>
      </c>
      <c r="C9" s="71">
        <v>3</v>
      </c>
      <c r="D9" s="70">
        <v>2</v>
      </c>
      <c r="E9" s="70">
        <v>3</v>
      </c>
      <c r="F9" s="70">
        <v>2</v>
      </c>
      <c r="G9" s="70">
        <v>3</v>
      </c>
      <c r="H9" s="70">
        <v>3</v>
      </c>
      <c r="I9" s="70">
        <v>2</v>
      </c>
      <c r="J9" s="66">
        <f t="shared" si="0"/>
        <v>2.5</v>
      </c>
    </row>
    <row r="10" spans="1:10" ht="21.6" customHeight="1" thickTop="1" thickBot="1" x14ac:dyDescent="0.25">
      <c r="B10" s="69" t="s">
        <v>0</v>
      </c>
      <c r="C10" s="68">
        <v>4</v>
      </c>
      <c r="D10" s="67">
        <v>3</v>
      </c>
      <c r="E10" s="67">
        <v>4</v>
      </c>
      <c r="F10" s="67">
        <v>3</v>
      </c>
      <c r="G10" s="67">
        <v>3</v>
      </c>
      <c r="H10" s="67">
        <v>2</v>
      </c>
      <c r="I10" s="67">
        <v>3</v>
      </c>
      <c r="J10" s="66">
        <f t="shared" si="0"/>
        <v>3</v>
      </c>
    </row>
    <row r="11" spans="1:10" ht="21.6" customHeight="1" thickTop="1" thickBot="1" x14ac:dyDescent="0.25">
      <c r="B11" s="11" t="s">
        <v>1</v>
      </c>
      <c r="C11" s="74">
        <v>4</v>
      </c>
      <c r="D11" s="73">
        <v>2</v>
      </c>
      <c r="E11" s="73">
        <v>3</v>
      </c>
      <c r="F11" s="73">
        <v>3</v>
      </c>
      <c r="G11" s="73">
        <v>3</v>
      </c>
      <c r="H11" s="73">
        <v>2</v>
      </c>
      <c r="I11" s="73">
        <v>3</v>
      </c>
      <c r="J11" s="66">
        <f t="shared" si="0"/>
        <v>2.6666666666666665</v>
      </c>
    </row>
    <row r="12" spans="1:10" ht="21.6" customHeight="1" thickTop="1" thickBot="1" x14ac:dyDescent="0.25">
      <c r="B12" s="72" t="s">
        <v>1</v>
      </c>
      <c r="C12" s="71">
        <v>3</v>
      </c>
      <c r="D12" s="70">
        <v>2</v>
      </c>
      <c r="E12" s="70">
        <v>2</v>
      </c>
      <c r="F12" s="70">
        <v>3</v>
      </c>
      <c r="G12" s="70">
        <v>3</v>
      </c>
      <c r="H12" s="70">
        <v>4</v>
      </c>
      <c r="I12" s="70">
        <v>3</v>
      </c>
      <c r="J12" s="66">
        <f t="shared" si="0"/>
        <v>2.8333333333333335</v>
      </c>
    </row>
    <row r="13" spans="1:10" ht="21.6" customHeight="1" thickTop="1" thickBot="1" x14ac:dyDescent="0.25">
      <c r="B13" s="72" t="s">
        <v>1</v>
      </c>
      <c r="C13" s="71">
        <v>2</v>
      </c>
      <c r="D13" s="70">
        <v>3</v>
      </c>
      <c r="E13" s="70">
        <v>3</v>
      </c>
      <c r="F13" s="70">
        <v>2</v>
      </c>
      <c r="G13" s="70">
        <v>3</v>
      </c>
      <c r="H13" s="70">
        <v>3</v>
      </c>
      <c r="I13" s="70">
        <v>3</v>
      </c>
      <c r="J13" s="66">
        <f t="shared" si="0"/>
        <v>2.8333333333333335</v>
      </c>
    </row>
    <row r="14" spans="1:10" ht="21.6" customHeight="1" thickTop="1" thickBot="1" x14ac:dyDescent="0.25">
      <c r="B14" s="69" t="s">
        <v>1</v>
      </c>
      <c r="C14" s="68">
        <v>1</v>
      </c>
      <c r="D14" s="67">
        <v>2</v>
      </c>
      <c r="E14" s="67">
        <v>2</v>
      </c>
      <c r="F14" s="67">
        <v>3</v>
      </c>
      <c r="G14" s="67">
        <v>2</v>
      </c>
      <c r="H14" s="67">
        <v>1</v>
      </c>
      <c r="I14" s="67">
        <v>2</v>
      </c>
      <c r="J14" s="66">
        <f t="shared" si="0"/>
        <v>2</v>
      </c>
    </row>
    <row r="15" spans="1:10" ht="21.6" customHeight="1" thickTop="1" thickBot="1" x14ac:dyDescent="0.25">
      <c r="B15" s="11" t="s">
        <v>2</v>
      </c>
      <c r="C15" s="74">
        <v>1</v>
      </c>
      <c r="D15" s="73">
        <v>3</v>
      </c>
      <c r="E15" s="73">
        <v>2</v>
      </c>
      <c r="F15" s="73">
        <v>2</v>
      </c>
      <c r="G15" s="73">
        <v>3</v>
      </c>
      <c r="H15" s="73">
        <v>2</v>
      </c>
      <c r="I15" s="73">
        <v>3</v>
      </c>
      <c r="J15" s="66">
        <f t="shared" si="0"/>
        <v>2.5</v>
      </c>
    </row>
    <row r="16" spans="1:10" ht="21.6" customHeight="1" thickTop="1" thickBot="1" x14ac:dyDescent="0.25">
      <c r="B16" s="72" t="s">
        <v>2</v>
      </c>
      <c r="C16" s="71">
        <v>2</v>
      </c>
      <c r="D16" s="70">
        <v>3</v>
      </c>
      <c r="E16" s="70">
        <v>3</v>
      </c>
      <c r="F16" s="70">
        <v>2</v>
      </c>
      <c r="G16" s="70">
        <v>2</v>
      </c>
      <c r="H16" s="70">
        <v>3</v>
      </c>
      <c r="I16" s="70">
        <v>3</v>
      </c>
      <c r="J16" s="66">
        <f t="shared" si="0"/>
        <v>2.6666666666666665</v>
      </c>
    </row>
    <row r="17" spans="1:10" ht="21.6" customHeight="1" thickTop="1" thickBot="1" x14ac:dyDescent="0.25">
      <c r="B17" s="72" t="s">
        <v>2</v>
      </c>
      <c r="C17" s="71">
        <v>3</v>
      </c>
      <c r="D17" s="70">
        <v>3</v>
      </c>
      <c r="E17" s="70">
        <v>3</v>
      </c>
      <c r="F17" s="70">
        <v>2</v>
      </c>
      <c r="G17" s="70">
        <v>3</v>
      </c>
      <c r="H17" s="70">
        <v>2</v>
      </c>
      <c r="I17" s="70">
        <v>3</v>
      </c>
      <c r="J17" s="66">
        <f t="shared" si="0"/>
        <v>2.6666666666666665</v>
      </c>
    </row>
    <row r="18" spans="1:10" ht="21.6" customHeight="1" thickTop="1" thickBot="1" x14ac:dyDescent="0.25">
      <c r="B18" s="69" t="s">
        <v>2</v>
      </c>
      <c r="C18" s="68">
        <v>4</v>
      </c>
      <c r="D18" s="67">
        <v>3</v>
      </c>
      <c r="E18" s="67">
        <v>2</v>
      </c>
      <c r="F18" s="67">
        <v>2</v>
      </c>
      <c r="G18" s="67">
        <v>3</v>
      </c>
      <c r="H18" s="67">
        <v>3</v>
      </c>
      <c r="I18" s="67">
        <v>2</v>
      </c>
      <c r="J18" s="66">
        <f t="shared" si="0"/>
        <v>2.5</v>
      </c>
    </row>
    <row r="19" spans="1:10" ht="21.6" customHeight="1" thickTop="1" thickBot="1" x14ac:dyDescent="0.25">
      <c r="B19" s="11" t="s">
        <v>3</v>
      </c>
      <c r="C19" s="74">
        <v>4</v>
      </c>
      <c r="D19" s="73">
        <v>2</v>
      </c>
      <c r="E19" s="73">
        <v>2</v>
      </c>
      <c r="F19" s="73">
        <v>1</v>
      </c>
      <c r="G19" s="73">
        <v>3</v>
      </c>
      <c r="H19" s="73">
        <v>2</v>
      </c>
      <c r="I19" s="73">
        <v>2</v>
      </c>
      <c r="J19" s="66">
        <f t="shared" si="0"/>
        <v>2</v>
      </c>
    </row>
    <row r="20" spans="1:10" ht="21.6" customHeight="1" thickTop="1" thickBot="1" x14ac:dyDescent="0.25">
      <c r="B20" s="72" t="s">
        <v>3</v>
      </c>
      <c r="C20" s="71">
        <v>3</v>
      </c>
      <c r="D20" s="70">
        <v>3</v>
      </c>
      <c r="E20" s="70">
        <v>2</v>
      </c>
      <c r="F20" s="70">
        <v>2</v>
      </c>
      <c r="G20" s="70">
        <v>3</v>
      </c>
      <c r="H20" s="70">
        <v>4</v>
      </c>
      <c r="I20" s="70">
        <v>3</v>
      </c>
      <c r="J20" s="66">
        <f t="shared" si="0"/>
        <v>2.8333333333333335</v>
      </c>
    </row>
    <row r="21" spans="1:10" ht="21.6" customHeight="1" thickTop="1" thickBot="1" x14ac:dyDescent="0.25">
      <c r="B21" s="72" t="s">
        <v>3</v>
      </c>
      <c r="C21" s="71">
        <v>2</v>
      </c>
      <c r="D21" s="70">
        <v>3</v>
      </c>
      <c r="E21" s="70">
        <v>2</v>
      </c>
      <c r="F21" s="70">
        <v>3</v>
      </c>
      <c r="G21" s="70">
        <v>3</v>
      </c>
      <c r="H21" s="70">
        <v>2</v>
      </c>
      <c r="I21" s="70">
        <v>2</v>
      </c>
      <c r="J21" s="66">
        <f t="shared" si="0"/>
        <v>2.5</v>
      </c>
    </row>
    <row r="22" spans="1:10" ht="21.6" customHeight="1" thickTop="1" thickBot="1" x14ac:dyDescent="0.25">
      <c r="A22" s="1"/>
      <c r="B22" s="69" t="s">
        <v>3</v>
      </c>
      <c r="C22" s="68">
        <v>1</v>
      </c>
      <c r="D22" s="67">
        <v>3</v>
      </c>
      <c r="E22" s="67">
        <v>3</v>
      </c>
      <c r="F22" s="67">
        <v>3</v>
      </c>
      <c r="G22" s="67">
        <v>3</v>
      </c>
      <c r="H22" s="67">
        <v>2</v>
      </c>
      <c r="I22" s="67">
        <v>2</v>
      </c>
      <c r="J22" s="66">
        <f t="shared" si="0"/>
        <v>2.6666666666666665</v>
      </c>
    </row>
    <row r="23" spans="1:10" ht="21.6" customHeight="1" thickTop="1" thickBot="1" x14ac:dyDescent="0.25">
      <c r="A23" s="12"/>
      <c r="B23" s="11" t="s">
        <v>4</v>
      </c>
      <c r="C23" s="74">
        <v>1</v>
      </c>
      <c r="D23" s="73">
        <v>3</v>
      </c>
      <c r="E23" s="73">
        <v>2</v>
      </c>
      <c r="F23" s="73">
        <v>3</v>
      </c>
      <c r="G23" s="73">
        <v>2</v>
      </c>
      <c r="H23" s="73">
        <v>2</v>
      </c>
      <c r="I23" s="73">
        <v>3</v>
      </c>
      <c r="J23" s="66">
        <f t="shared" si="0"/>
        <v>2.5</v>
      </c>
    </row>
    <row r="24" spans="1:10" ht="21.6" customHeight="1" thickTop="1" thickBot="1" x14ac:dyDescent="0.25">
      <c r="B24" s="72" t="s">
        <v>4</v>
      </c>
      <c r="C24" s="71">
        <v>2</v>
      </c>
      <c r="D24" s="70">
        <v>3</v>
      </c>
      <c r="E24" s="70">
        <v>3</v>
      </c>
      <c r="F24" s="70">
        <v>3</v>
      </c>
      <c r="G24" s="70">
        <v>4</v>
      </c>
      <c r="H24" s="70">
        <v>3</v>
      </c>
      <c r="I24" s="70">
        <v>2</v>
      </c>
      <c r="J24" s="66">
        <f t="shared" si="0"/>
        <v>3</v>
      </c>
    </row>
    <row r="25" spans="1:10" ht="21.6" customHeight="1" thickTop="1" thickBot="1" x14ac:dyDescent="0.25">
      <c r="B25" s="72" t="s">
        <v>4</v>
      </c>
      <c r="C25" s="71">
        <v>3</v>
      </c>
      <c r="D25" s="70">
        <v>3</v>
      </c>
      <c r="E25" s="70">
        <v>3</v>
      </c>
      <c r="F25" s="70">
        <v>2</v>
      </c>
      <c r="G25" s="70">
        <v>3</v>
      </c>
      <c r="H25" s="70">
        <v>2</v>
      </c>
      <c r="I25" s="70">
        <v>2</v>
      </c>
      <c r="J25" s="66">
        <f t="shared" si="0"/>
        <v>2.5</v>
      </c>
    </row>
    <row r="26" spans="1:10" ht="21.6" customHeight="1" thickTop="1" thickBot="1" x14ac:dyDescent="0.25">
      <c r="B26" s="69" t="s">
        <v>4</v>
      </c>
      <c r="C26" s="68">
        <v>4</v>
      </c>
      <c r="D26" s="67">
        <v>2</v>
      </c>
      <c r="E26" s="67">
        <v>3</v>
      </c>
      <c r="F26" s="67">
        <v>2</v>
      </c>
      <c r="G26" s="67">
        <v>2</v>
      </c>
      <c r="H26" s="67">
        <v>2</v>
      </c>
      <c r="I26" s="67">
        <v>3</v>
      </c>
      <c r="J26" s="66">
        <f t="shared" si="0"/>
        <v>2.3333333333333335</v>
      </c>
    </row>
    <row r="27" spans="1:10" ht="21.6" customHeight="1" thickTop="1" thickBot="1" x14ac:dyDescent="0.25">
      <c r="B27" s="11" t="s">
        <v>5</v>
      </c>
      <c r="C27" s="74">
        <v>4</v>
      </c>
      <c r="D27" s="73">
        <v>3</v>
      </c>
      <c r="E27" s="73">
        <v>3</v>
      </c>
      <c r="F27" s="73">
        <v>3</v>
      </c>
      <c r="G27" s="73">
        <v>2</v>
      </c>
      <c r="H27" s="73">
        <v>4</v>
      </c>
      <c r="I27" s="73">
        <v>3</v>
      </c>
      <c r="J27" s="66">
        <f t="shared" si="0"/>
        <v>3</v>
      </c>
    </row>
    <row r="28" spans="1:10" ht="21.6" customHeight="1" thickTop="1" thickBot="1" x14ac:dyDescent="0.25">
      <c r="B28" s="72" t="s">
        <v>5</v>
      </c>
      <c r="C28" s="71">
        <v>3</v>
      </c>
      <c r="D28" s="70">
        <v>3</v>
      </c>
      <c r="E28" s="70">
        <v>4</v>
      </c>
      <c r="F28" s="70">
        <v>3</v>
      </c>
      <c r="G28" s="70">
        <v>2</v>
      </c>
      <c r="H28" s="70">
        <v>3</v>
      </c>
      <c r="I28" s="70">
        <v>3</v>
      </c>
      <c r="J28" s="66">
        <f t="shared" si="0"/>
        <v>3</v>
      </c>
    </row>
    <row r="29" spans="1:10" ht="21.6" customHeight="1" thickTop="1" thickBot="1" x14ac:dyDescent="0.25">
      <c r="B29" s="72" t="s">
        <v>5</v>
      </c>
      <c r="C29" s="71">
        <v>2</v>
      </c>
      <c r="D29" s="70">
        <v>1</v>
      </c>
      <c r="E29" s="70">
        <v>2</v>
      </c>
      <c r="F29" s="70">
        <v>2</v>
      </c>
      <c r="G29" s="70">
        <v>2</v>
      </c>
      <c r="H29" s="70">
        <v>1</v>
      </c>
      <c r="I29" s="70">
        <v>2</v>
      </c>
      <c r="J29" s="66">
        <f t="shared" si="0"/>
        <v>1.6666666666666667</v>
      </c>
    </row>
    <row r="30" spans="1:10" ht="21.6" customHeight="1" thickTop="1" thickBot="1" x14ac:dyDescent="0.25">
      <c r="B30" s="69" t="s">
        <v>5</v>
      </c>
      <c r="C30" s="68">
        <v>1</v>
      </c>
      <c r="D30" s="67">
        <v>2</v>
      </c>
      <c r="E30" s="67">
        <v>2</v>
      </c>
      <c r="F30" s="67">
        <v>3</v>
      </c>
      <c r="G30" s="67">
        <v>2</v>
      </c>
      <c r="H30" s="67">
        <v>1</v>
      </c>
      <c r="I30" s="67">
        <v>2</v>
      </c>
      <c r="J30" s="66">
        <f t="shared" si="0"/>
        <v>2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A319F-9DE0-4FFE-8F02-44E76F4FAF7C}">
  <dimension ref="A1:K30"/>
  <sheetViews>
    <sheetView zoomScaleNormal="100" zoomScaleSheetLayoutView="100" workbookViewId="0">
      <selection activeCell="E1" sqref="E1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9" width="12.7109375" customWidth="1"/>
  </cols>
  <sheetData>
    <row r="1" spans="1:11" ht="15.75" x14ac:dyDescent="0.25">
      <c r="A1" s="6">
        <v>2020</v>
      </c>
      <c r="B1" s="8" t="s">
        <v>25</v>
      </c>
      <c r="D1" s="8" t="s">
        <v>6</v>
      </c>
      <c r="F1" s="4" t="s">
        <v>8</v>
      </c>
      <c r="G1" s="80">
        <v>44060</v>
      </c>
      <c r="H1" s="79" t="s">
        <v>165</v>
      </c>
    </row>
    <row r="2" spans="1:11" ht="6.6" customHeight="1" x14ac:dyDescent="0.25">
      <c r="A2" s="6"/>
      <c r="B2" s="7"/>
      <c r="C2" s="8"/>
      <c r="F2" s="4"/>
      <c r="G2" s="4"/>
    </row>
    <row r="3" spans="1:11" x14ac:dyDescent="0.2">
      <c r="B3" s="5" t="s">
        <v>160</v>
      </c>
      <c r="F3" s="4" t="s">
        <v>13</v>
      </c>
      <c r="G3" s="4" t="s">
        <v>44</v>
      </c>
    </row>
    <row r="4" spans="1:11" ht="33" customHeight="1" x14ac:dyDescent="0.2">
      <c r="B4" s="87" t="s">
        <v>159</v>
      </c>
      <c r="C4" s="88"/>
      <c r="D4" s="88"/>
      <c r="E4" s="88"/>
      <c r="F4" s="88"/>
      <c r="G4" s="88"/>
      <c r="H4" s="88"/>
      <c r="I4" s="78"/>
    </row>
    <row r="5" spans="1:11" ht="15" customHeight="1" x14ac:dyDescent="0.2">
      <c r="B5" s="5"/>
      <c r="D5" s="77"/>
      <c r="E5" s="77"/>
      <c r="F5" s="77"/>
      <c r="G5" s="77"/>
      <c r="H5" s="77"/>
      <c r="I5" s="3"/>
    </row>
    <row r="6" spans="1:11" ht="21.6" customHeight="1" thickBot="1" x14ac:dyDescent="0.25">
      <c r="B6" s="86" t="s">
        <v>7</v>
      </c>
      <c r="C6" s="86"/>
      <c r="D6" s="76" t="s">
        <v>30</v>
      </c>
      <c r="E6" s="76" t="s">
        <v>30</v>
      </c>
      <c r="F6" s="76" t="s">
        <v>30</v>
      </c>
      <c r="G6" s="76" t="s">
        <v>30</v>
      </c>
      <c r="H6" s="76" t="s">
        <v>30</v>
      </c>
      <c r="I6" s="76" t="s">
        <v>30</v>
      </c>
      <c r="J6" s="75" t="s">
        <v>158</v>
      </c>
    </row>
    <row r="7" spans="1:11" ht="21.6" customHeight="1" thickTop="1" thickBot="1" x14ac:dyDescent="0.25">
      <c r="B7" s="11" t="s">
        <v>0</v>
      </c>
      <c r="C7" s="74">
        <v>1</v>
      </c>
      <c r="D7" s="73">
        <v>4</v>
      </c>
      <c r="E7" s="73">
        <v>3</v>
      </c>
      <c r="F7" s="73">
        <v>3</v>
      </c>
      <c r="G7" s="73">
        <v>3</v>
      </c>
      <c r="H7" s="73">
        <v>3</v>
      </c>
      <c r="I7" s="73">
        <v>3</v>
      </c>
      <c r="J7" s="66">
        <f t="shared" ref="J7:J30" si="0">AVERAGE(D7:I7)</f>
        <v>3.1666666666666665</v>
      </c>
    </row>
    <row r="8" spans="1:11" ht="21.6" customHeight="1" thickTop="1" thickBot="1" x14ac:dyDescent="0.3">
      <c r="B8" s="72" t="s">
        <v>0</v>
      </c>
      <c r="C8" s="71">
        <v>2</v>
      </c>
      <c r="D8" s="70">
        <v>2</v>
      </c>
      <c r="E8" s="70">
        <v>1</v>
      </c>
      <c r="F8" s="70">
        <v>1</v>
      </c>
      <c r="G8" s="70">
        <v>2</v>
      </c>
      <c r="H8" s="82" t="s">
        <v>53</v>
      </c>
      <c r="I8" s="82" t="s">
        <v>53</v>
      </c>
      <c r="J8" s="66">
        <f t="shared" si="0"/>
        <v>1.5</v>
      </c>
      <c r="K8" s="81" t="s">
        <v>164</v>
      </c>
    </row>
    <row r="9" spans="1:11" ht="21.6" customHeight="1" thickTop="1" thickBot="1" x14ac:dyDescent="0.25">
      <c r="B9" s="72" t="s">
        <v>0</v>
      </c>
      <c r="C9" s="71">
        <v>3</v>
      </c>
      <c r="D9" s="70">
        <v>2</v>
      </c>
      <c r="E9" s="70">
        <v>3</v>
      </c>
      <c r="F9" s="70">
        <v>2</v>
      </c>
      <c r="G9" s="70">
        <v>3</v>
      </c>
      <c r="H9" s="70">
        <v>2</v>
      </c>
      <c r="I9" s="70">
        <v>2</v>
      </c>
      <c r="J9" s="66">
        <f t="shared" si="0"/>
        <v>2.3333333333333335</v>
      </c>
    </row>
    <row r="10" spans="1:11" ht="21.6" customHeight="1" thickTop="1" thickBot="1" x14ac:dyDescent="0.25">
      <c r="B10" s="69" t="s">
        <v>0</v>
      </c>
      <c r="C10" s="68">
        <v>4</v>
      </c>
      <c r="D10" s="67">
        <v>3</v>
      </c>
      <c r="E10" s="67">
        <v>3</v>
      </c>
      <c r="F10" s="67">
        <v>4</v>
      </c>
      <c r="G10" s="67">
        <v>3</v>
      </c>
      <c r="H10" s="67">
        <v>3</v>
      </c>
      <c r="I10" s="67">
        <v>3</v>
      </c>
      <c r="J10" s="66">
        <f t="shared" si="0"/>
        <v>3.1666666666666665</v>
      </c>
    </row>
    <row r="11" spans="1:11" ht="21.6" customHeight="1" thickTop="1" thickBot="1" x14ac:dyDescent="0.25">
      <c r="B11" s="11" t="s">
        <v>1</v>
      </c>
      <c r="C11" s="74">
        <v>4</v>
      </c>
      <c r="D11" s="73">
        <v>2</v>
      </c>
      <c r="E11" s="73">
        <v>2</v>
      </c>
      <c r="F11" s="73">
        <v>3</v>
      </c>
      <c r="G11" s="73">
        <v>3</v>
      </c>
      <c r="H11" s="73">
        <v>3</v>
      </c>
      <c r="I11" s="73">
        <v>2</v>
      </c>
      <c r="J11" s="66">
        <f t="shared" si="0"/>
        <v>2.5</v>
      </c>
    </row>
    <row r="12" spans="1:11" ht="21.6" customHeight="1" thickTop="1" thickBot="1" x14ac:dyDescent="0.25">
      <c r="B12" s="72" t="s">
        <v>1</v>
      </c>
      <c r="C12" s="71">
        <v>3</v>
      </c>
      <c r="D12" s="70">
        <v>2</v>
      </c>
      <c r="E12" s="70">
        <v>2</v>
      </c>
      <c r="F12" s="70">
        <v>3</v>
      </c>
      <c r="G12" s="70">
        <v>3</v>
      </c>
      <c r="H12" s="70">
        <v>2</v>
      </c>
      <c r="I12" s="70">
        <v>3</v>
      </c>
      <c r="J12" s="66">
        <f t="shared" si="0"/>
        <v>2.5</v>
      </c>
    </row>
    <row r="13" spans="1:11" ht="21.6" customHeight="1" thickTop="1" thickBot="1" x14ac:dyDescent="0.25">
      <c r="B13" s="72" t="s">
        <v>1</v>
      </c>
      <c r="C13" s="71">
        <v>2</v>
      </c>
      <c r="D13" s="70">
        <v>4</v>
      </c>
      <c r="E13" s="70">
        <v>3</v>
      </c>
      <c r="F13" s="70">
        <v>3</v>
      </c>
      <c r="G13" s="70">
        <v>3</v>
      </c>
      <c r="H13" s="70">
        <v>2</v>
      </c>
      <c r="I13" s="70">
        <v>2</v>
      </c>
      <c r="J13" s="66">
        <f t="shared" si="0"/>
        <v>2.8333333333333335</v>
      </c>
    </row>
    <row r="14" spans="1:11" ht="21.6" customHeight="1" thickTop="1" thickBot="1" x14ac:dyDescent="0.25">
      <c r="B14" s="69" t="s">
        <v>1</v>
      </c>
      <c r="C14" s="68">
        <v>1</v>
      </c>
      <c r="D14" s="67">
        <v>2</v>
      </c>
      <c r="E14" s="67">
        <v>2</v>
      </c>
      <c r="F14" s="67">
        <v>2</v>
      </c>
      <c r="G14" s="67">
        <v>1</v>
      </c>
      <c r="H14" s="67">
        <v>2</v>
      </c>
      <c r="I14" s="67">
        <v>2</v>
      </c>
      <c r="J14" s="66">
        <f t="shared" si="0"/>
        <v>1.8333333333333333</v>
      </c>
    </row>
    <row r="15" spans="1:11" ht="21.6" customHeight="1" thickTop="1" thickBot="1" x14ac:dyDescent="0.25">
      <c r="B15" s="11" t="s">
        <v>2</v>
      </c>
      <c r="C15" s="74">
        <v>1</v>
      </c>
      <c r="D15" s="73">
        <v>2</v>
      </c>
      <c r="E15" s="73">
        <v>3</v>
      </c>
      <c r="F15" s="73">
        <v>2</v>
      </c>
      <c r="G15" s="73">
        <v>2</v>
      </c>
      <c r="H15" s="73">
        <v>3</v>
      </c>
      <c r="I15" s="73">
        <v>2</v>
      </c>
      <c r="J15" s="66">
        <f t="shared" si="0"/>
        <v>2.3333333333333335</v>
      </c>
    </row>
    <row r="16" spans="1:11" ht="21.6" customHeight="1" thickTop="1" thickBot="1" x14ac:dyDescent="0.25">
      <c r="B16" s="72" t="s">
        <v>2</v>
      </c>
      <c r="C16" s="71">
        <v>2</v>
      </c>
      <c r="D16" s="70">
        <v>4</v>
      </c>
      <c r="E16" s="70">
        <v>3</v>
      </c>
      <c r="F16" s="70">
        <v>3</v>
      </c>
      <c r="G16" s="70">
        <v>3</v>
      </c>
      <c r="H16" s="70">
        <v>3</v>
      </c>
      <c r="I16" s="70">
        <v>2</v>
      </c>
      <c r="J16" s="66">
        <f t="shared" si="0"/>
        <v>3</v>
      </c>
    </row>
    <row r="17" spans="1:10" ht="21.6" customHeight="1" thickTop="1" thickBot="1" x14ac:dyDescent="0.25">
      <c r="B17" s="72" t="s">
        <v>2</v>
      </c>
      <c r="C17" s="71">
        <v>3</v>
      </c>
      <c r="D17" s="70">
        <v>3</v>
      </c>
      <c r="E17" s="70">
        <v>4</v>
      </c>
      <c r="F17" s="70">
        <v>3</v>
      </c>
      <c r="G17" s="70">
        <v>2</v>
      </c>
      <c r="H17" s="70">
        <v>2</v>
      </c>
      <c r="I17" s="70">
        <v>3</v>
      </c>
      <c r="J17" s="66">
        <f t="shared" si="0"/>
        <v>2.8333333333333335</v>
      </c>
    </row>
    <row r="18" spans="1:10" ht="21.6" customHeight="1" thickTop="1" thickBot="1" x14ac:dyDescent="0.25">
      <c r="B18" s="69" t="s">
        <v>2</v>
      </c>
      <c r="C18" s="68">
        <v>4</v>
      </c>
      <c r="D18" s="67">
        <v>3</v>
      </c>
      <c r="E18" s="67">
        <v>2</v>
      </c>
      <c r="F18" s="67">
        <v>3</v>
      </c>
      <c r="G18" s="67">
        <v>2</v>
      </c>
      <c r="H18" s="67">
        <v>2</v>
      </c>
      <c r="I18" s="67">
        <v>3</v>
      </c>
      <c r="J18" s="66">
        <f t="shared" si="0"/>
        <v>2.5</v>
      </c>
    </row>
    <row r="19" spans="1:10" ht="21.6" customHeight="1" thickTop="1" thickBot="1" x14ac:dyDescent="0.25">
      <c r="B19" s="11" t="s">
        <v>3</v>
      </c>
      <c r="C19" s="74">
        <v>4</v>
      </c>
      <c r="D19" s="73">
        <v>1</v>
      </c>
      <c r="E19" s="73">
        <v>1</v>
      </c>
      <c r="F19" s="73">
        <v>2</v>
      </c>
      <c r="G19" s="73">
        <v>2</v>
      </c>
      <c r="H19" s="73">
        <v>2</v>
      </c>
      <c r="I19" s="73">
        <v>2</v>
      </c>
      <c r="J19" s="66">
        <f t="shared" si="0"/>
        <v>1.6666666666666667</v>
      </c>
    </row>
    <row r="20" spans="1:10" ht="21.6" customHeight="1" thickTop="1" thickBot="1" x14ac:dyDescent="0.25">
      <c r="B20" s="72" t="s">
        <v>3</v>
      </c>
      <c r="C20" s="71">
        <v>3</v>
      </c>
      <c r="D20" s="70">
        <v>2</v>
      </c>
      <c r="E20" s="70">
        <v>3</v>
      </c>
      <c r="F20" s="70">
        <v>3</v>
      </c>
      <c r="G20" s="70">
        <v>2</v>
      </c>
      <c r="H20" s="70">
        <v>3</v>
      </c>
      <c r="I20" s="70">
        <v>3</v>
      </c>
      <c r="J20" s="66">
        <f t="shared" si="0"/>
        <v>2.6666666666666665</v>
      </c>
    </row>
    <row r="21" spans="1:10" ht="21.6" customHeight="1" thickTop="1" thickBot="1" x14ac:dyDescent="0.25">
      <c r="B21" s="72" t="s">
        <v>3</v>
      </c>
      <c r="C21" s="71">
        <v>2</v>
      </c>
      <c r="D21" s="70">
        <v>3</v>
      </c>
      <c r="E21" s="70">
        <v>3</v>
      </c>
      <c r="F21" s="70">
        <v>3</v>
      </c>
      <c r="G21" s="70">
        <v>3</v>
      </c>
      <c r="H21" s="70">
        <v>3</v>
      </c>
      <c r="I21" s="70">
        <v>3</v>
      </c>
      <c r="J21" s="66">
        <f t="shared" si="0"/>
        <v>3</v>
      </c>
    </row>
    <row r="22" spans="1:10" ht="21.6" customHeight="1" thickTop="1" thickBot="1" x14ac:dyDescent="0.25">
      <c r="A22" s="1"/>
      <c r="B22" s="69" t="s">
        <v>3</v>
      </c>
      <c r="C22" s="68">
        <v>1</v>
      </c>
      <c r="D22" s="67">
        <v>3</v>
      </c>
      <c r="E22" s="67">
        <v>2</v>
      </c>
      <c r="F22" s="67">
        <v>3</v>
      </c>
      <c r="G22" s="67">
        <v>2</v>
      </c>
      <c r="H22" s="67">
        <v>3</v>
      </c>
      <c r="I22" s="67">
        <v>3</v>
      </c>
      <c r="J22" s="66">
        <f t="shared" si="0"/>
        <v>2.6666666666666665</v>
      </c>
    </row>
    <row r="23" spans="1:10" ht="21.6" customHeight="1" thickTop="1" thickBot="1" x14ac:dyDescent="0.25">
      <c r="A23" s="12"/>
      <c r="B23" s="11" t="s">
        <v>4</v>
      </c>
      <c r="C23" s="74">
        <v>1</v>
      </c>
      <c r="D23" s="73">
        <v>3</v>
      </c>
      <c r="E23" s="73">
        <v>3</v>
      </c>
      <c r="F23" s="73">
        <v>3</v>
      </c>
      <c r="G23" s="73">
        <v>2</v>
      </c>
      <c r="H23" s="73">
        <v>2</v>
      </c>
      <c r="I23" s="73">
        <v>3</v>
      </c>
      <c r="J23" s="66">
        <f t="shared" si="0"/>
        <v>2.6666666666666665</v>
      </c>
    </row>
    <row r="24" spans="1:10" ht="21.6" customHeight="1" thickTop="1" thickBot="1" x14ac:dyDescent="0.25">
      <c r="B24" s="72" t="s">
        <v>4</v>
      </c>
      <c r="C24" s="71">
        <v>2</v>
      </c>
      <c r="D24" s="70">
        <v>4</v>
      </c>
      <c r="E24" s="70">
        <v>3</v>
      </c>
      <c r="F24" s="70">
        <v>3</v>
      </c>
      <c r="G24" s="70">
        <v>3</v>
      </c>
      <c r="H24" s="70">
        <v>2</v>
      </c>
      <c r="I24" s="70">
        <v>2</v>
      </c>
      <c r="J24" s="66">
        <f t="shared" si="0"/>
        <v>2.8333333333333335</v>
      </c>
    </row>
    <row r="25" spans="1:10" ht="21.6" customHeight="1" thickTop="1" thickBot="1" x14ac:dyDescent="0.25">
      <c r="B25" s="72" t="s">
        <v>4</v>
      </c>
      <c r="C25" s="71">
        <v>3</v>
      </c>
      <c r="D25" s="70">
        <v>3</v>
      </c>
      <c r="E25" s="70">
        <v>2</v>
      </c>
      <c r="F25" s="70">
        <v>2</v>
      </c>
      <c r="G25" s="70">
        <v>2</v>
      </c>
      <c r="H25" s="70">
        <v>2</v>
      </c>
      <c r="I25" s="70">
        <v>2</v>
      </c>
      <c r="J25" s="66">
        <f t="shared" si="0"/>
        <v>2.1666666666666665</v>
      </c>
    </row>
    <row r="26" spans="1:10" ht="21.6" customHeight="1" thickTop="1" thickBot="1" x14ac:dyDescent="0.25">
      <c r="B26" s="69" t="s">
        <v>4</v>
      </c>
      <c r="C26" s="68">
        <v>4</v>
      </c>
      <c r="D26" s="67">
        <v>2</v>
      </c>
      <c r="E26" s="67">
        <v>2</v>
      </c>
      <c r="F26" s="67">
        <v>2</v>
      </c>
      <c r="G26" s="67">
        <v>1</v>
      </c>
      <c r="H26" s="67">
        <v>2</v>
      </c>
      <c r="I26" s="67">
        <v>2</v>
      </c>
      <c r="J26" s="66">
        <f t="shared" si="0"/>
        <v>1.8333333333333333</v>
      </c>
    </row>
    <row r="27" spans="1:10" ht="21.6" customHeight="1" thickTop="1" thickBot="1" x14ac:dyDescent="0.25">
      <c r="B27" s="11" t="s">
        <v>5</v>
      </c>
      <c r="C27" s="74">
        <v>4</v>
      </c>
      <c r="D27" s="73">
        <v>2</v>
      </c>
      <c r="E27" s="73">
        <v>3</v>
      </c>
      <c r="F27" s="73">
        <v>2</v>
      </c>
      <c r="G27" s="73">
        <v>2</v>
      </c>
      <c r="H27" s="73">
        <v>3</v>
      </c>
      <c r="I27" s="73">
        <v>3</v>
      </c>
      <c r="J27" s="66">
        <f t="shared" si="0"/>
        <v>2.5</v>
      </c>
    </row>
    <row r="28" spans="1:10" ht="21.6" customHeight="1" thickTop="1" thickBot="1" x14ac:dyDescent="0.25">
      <c r="B28" s="72" t="s">
        <v>5</v>
      </c>
      <c r="C28" s="71">
        <v>3</v>
      </c>
      <c r="D28" s="70">
        <v>4</v>
      </c>
      <c r="E28" s="70">
        <v>3</v>
      </c>
      <c r="F28" s="70">
        <v>3</v>
      </c>
      <c r="G28" s="70">
        <v>3</v>
      </c>
      <c r="H28" s="70">
        <v>3</v>
      </c>
      <c r="I28" s="70">
        <v>3</v>
      </c>
      <c r="J28" s="66">
        <f t="shared" si="0"/>
        <v>3.1666666666666665</v>
      </c>
    </row>
    <row r="29" spans="1:10" ht="21.6" customHeight="1" thickTop="1" thickBot="1" x14ac:dyDescent="0.25">
      <c r="B29" s="72" t="s">
        <v>5</v>
      </c>
      <c r="C29" s="71">
        <v>2</v>
      </c>
      <c r="D29" s="70">
        <v>1</v>
      </c>
      <c r="E29" s="70">
        <v>1</v>
      </c>
      <c r="F29" s="70">
        <v>1</v>
      </c>
      <c r="G29" s="70">
        <v>2</v>
      </c>
      <c r="H29" s="70">
        <v>1</v>
      </c>
      <c r="I29" s="70">
        <v>1</v>
      </c>
      <c r="J29" s="66">
        <f t="shared" si="0"/>
        <v>1.1666666666666667</v>
      </c>
    </row>
    <row r="30" spans="1:10" ht="21.6" customHeight="1" thickTop="1" thickBot="1" x14ac:dyDescent="0.25">
      <c r="B30" s="69" t="s">
        <v>5</v>
      </c>
      <c r="C30" s="68">
        <v>1</v>
      </c>
      <c r="D30" s="67">
        <v>1</v>
      </c>
      <c r="E30" s="67">
        <v>2</v>
      </c>
      <c r="F30" s="67">
        <v>2</v>
      </c>
      <c r="G30" s="67">
        <v>1</v>
      </c>
      <c r="H30" s="67">
        <v>2</v>
      </c>
      <c r="I30" s="67">
        <v>2</v>
      </c>
      <c r="J30" s="66">
        <f t="shared" si="0"/>
        <v>1.6666666666666667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8F27-4B26-4746-9C42-0E7C23947ABB}">
  <dimension ref="A1:J30"/>
  <sheetViews>
    <sheetView zoomScaleNormal="100" zoomScaleSheetLayoutView="100" workbookViewId="0">
      <selection activeCell="E1" sqref="E1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9" width="12.7109375" customWidth="1"/>
  </cols>
  <sheetData>
    <row r="1" spans="1:10" ht="15.75" x14ac:dyDescent="0.25">
      <c r="A1" s="6">
        <v>2020</v>
      </c>
      <c r="B1" s="8" t="s">
        <v>25</v>
      </c>
      <c r="D1" s="8" t="s">
        <v>6</v>
      </c>
      <c r="F1" s="4" t="s">
        <v>8</v>
      </c>
      <c r="G1" s="80">
        <v>44067</v>
      </c>
      <c r="H1" s="79" t="s">
        <v>163</v>
      </c>
    </row>
    <row r="2" spans="1:10" ht="6.6" customHeight="1" x14ac:dyDescent="0.25">
      <c r="A2" s="6"/>
      <c r="B2" s="7"/>
      <c r="C2" s="8"/>
      <c r="F2" s="4"/>
      <c r="G2" s="4"/>
    </row>
    <row r="3" spans="1:10" x14ac:dyDescent="0.2">
      <c r="B3" s="5" t="s">
        <v>160</v>
      </c>
      <c r="F3" s="4" t="s">
        <v>13</v>
      </c>
      <c r="G3" s="4" t="s">
        <v>44</v>
      </c>
    </row>
    <row r="4" spans="1:10" ht="33" customHeight="1" x14ac:dyDescent="0.2">
      <c r="B4" s="87" t="s">
        <v>159</v>
      </c>
      <c r="C4" s="88"/>
      <c r="D4" s="88"/>
      <c r="E4" s="88"/>
      <c r="F4" s="88"/>
      <c r="G4" s="88"/>
      <c r="H4" s="88"/>
      <c r="I4" s="78"/>
    </row>
    <row r="5" spans="1:10" ht="15" customHeight="1" x14ac:dyDescent="0.2">
      <c r="B5" s="5"/>
      <c r="D5" s="77"/>
      <c r="E5" s="77"/>
      <c r="F5" s="77"/>
      <c r="G5" s="77"/>
      <c r="H5" s="77"/>
      <c r="I5" s="3"/>
    </row>
    <row r="6" spans="1:10" ht="21.6" customHeight="1" thickBot="1" x14ac:dyDescent="0.25">
      <c r="B6" s="86" t="s">
        <v>7</v>
      </c>
      <c r="C6" s="86"/>
      <c r="D6" s="76" t="s">
        <v>30</v>
      </c>
      <c r="E6" s="76" t="s">
        <v>30</v>
      </c>
      <c r="F6" s="76" t="s">
        <v>30</v>
      </c>
      <c r="G6" s="76" t="s">
        <v>30</v>
      </c>
      <c r="H6" s="76" t="s">
        <v>30</v>
      </c>
      <c r="I6" s="76" t="s">
        <v>30</v>
      </c>
      <c r="J6" s="75" t="s">
        <v>158</v>
      </c>
    </row>
    <row r="7" spans="1:10" ht="21.6" customHeight="1" thickTop="1" thickBot="1" x14ac:dyDescent="0.25">
      <c r="B7" s="11" t="s">
        <v>0</v>
      </c>
      <c r="C7" s="74">
        <v>1</v>
      </c>
      <c r="D7" s="73">
        <v>4</v>
      </c>
      <c r="E7" s="73">
        <v>5</v>
      </c>
      <c r="F7" s="73">
        <v>3</v>
      </c>
      <c r="G7" s="73">
        <v>4</v>
      </c>
      <c r="H7" s="73">
        <v>4</v>
      </c>
      <c r="I7" s="73">
        <v>3</v>
      </c>
      <c r="J7" s="66">
        <f t="shared" ref="J7:J30" si="0">AVERAGE(D7:I7)</f>
        <v>3.8333333333333335</v>
      </c>
    </row>
    <row r="8" spans="1:10" ht="21.6" customHeight="1" thickTop="1" thickBot="1" x14ac:dyDescent="0.25">
      <c r="B8" s="72" t="s">
        <v>0</v>
      </c>
      <c r="C8" s="71">
        <v>2</v>
      </c>
      <c r="D8" s="70">
        <v>3</v>
      </c>
      <c r="E8" s="70">
        <v>4</v>
      </c>
      <c r="F8" s="70">
        <v>3</v>
      </c>
      <c r="G8" s="70">
        <v>4</v>
      </c>
      <c r="H8" s="70">
        <v>4</v>
      </c>
      <c r="I8" s="70">
        <v>3</v>
      </c>
      <c r="J8" s="66">
        <f t="shared" si="0"/>
        <v>3.5</v>
      </c>
    </row>
    <row r="9" spans="1:10" ht="21.6" customHeight="1" thickTop="1" thickBot="1" x14ac:dyDescent="0.25">
      <c r="B9" s="72" t="s">
        <v>0</v>
      </c>
      <c r="C9" s="71">
        <v>3</v>
      </c>
      <c r="D9" s="70">
        <v>4</v>
      </c>
      <c r="E9" s="70">
        <v>3</v>
      </c>
      <c r="F9" s="70">
        <v>5</v>
      </c>
      <c r="G9" s="70">
        <v>3</v>
      </c>
      <c r="H9" s="70">
        <v>5</v>
      </c>
      <c r="I9" s="70">
        <v>4</v>
      </c>
      <c r="J9" s="66">
        <f t="shared" si="0"/>
        <v>4</v>
      </c>
    </row>
    <row r="10" spans="1:10" ht="21.6" customHeight="1" thickTop="1" thickBot="1" x14ac:dyDescent="0.25">
      <c r="B10" s="69" t="s">
        <v>0</v>
      </c>
      <c r="C10" s="68">
        <v>4</v>
      </c>
      <c r="D10" s="67">
        <v>5</v>
      </c>
      <c r="E10" s="67">
        <v>5</v>
      </c>
      <c r="F10" s="67">
        <v>6</v>
      </c>
      <c r="G10" s="67">
        <v>5</v>
      </c>
      <c r="H10" s="67">
        <v>4</v>
      </c>
      <c r="I10" s="67">
        <v>4</v>
      </c>
      <c r="J10" s="66">
        <f t="shared" si="0"/>
        <v>4.833333333333333</v>
      </c>
    </row>
    <row r="11" spans="1:10" ht="21.6" customHeight="1" thickTop="1" thickBot="1" x14ac:dyDescent="0.25">
      <c r="B11" s="11" t="s">
        <v>1</v>
      </c>
      <c r="C11" s="74">
        <v>4</v>
      </c>
      <c r="D11" s="73">
        <v>4</v>
      </c>
      <c r="E11" s="73">
        <v>5</v>
      </c>
      <c r="F11" s="73">
        <v>5</v>
      </c>
      <c r="G11" s="73">
        <v>4</v>
      </c>
      <c r="H11" s="73">
        <v>5</v>
      </c>
      <c r="I11" s="73">
        <v>4</v>
      </c>
      <c r="J11" s="66">
        <f t="shared" si="0"/>
        <v>4.5</v>
      </c>
    </row>
    <row r="12" spans="1:10" ht="21.6" customHeight="1" thickTop="1" thickBot="1" x14ac:dyDescent="0.25">
      <c r="B12" s="72" t="s">
        <v>1</v>
      </c>
      <c r="C12" s="71">
        <v>3</v>
      </c>
      <c r="D12" s="70">
        <v>3</v>
      </c>
      <c r="E12" s="70">
        <v>3</v>
      </c>
      <c r="F12" s="70">
        <v>3</v>
      </c>
      <c r="G12" s="70">
        <v>5</v>
      </c>
      <c r="H12" s="70">
        <v>4</v>
      </c>
      <c r="I12" s="70">
        <v>4</v>
      </c>
      <c r="J12" s="66">
        <f t="shared" si="0"/>
        <v>3.6666666666666665</v>
      </c>
    </row>
    <row r="13" spans="1:10" ht="21.6" customHeight="1" thickTop="1" thickBot="1" x14ac:dyDescent="0.25">
      <c r="B13" s="72" t="s">
        <v>1</v>
      </c>
      <c r="C13" s="71">
        <v>2</v>
      </c>
      <c r="D13" s="70">
        <v>4</v>
      </c>
      <c r="E13" s="70">
        <v>5</v>
      </c>
      <c r="F13" s="70">
        <v>6</v>
      </c>
      <c r="G13" s="70">
        <v>5</v>
      </c>
      <c r="H13" s="70">
        <v>5</v>
      </c>
      <c r="I13" s="70">
        <v>6</v>
      </c>
      <c r="J13" s="66">
        <f t="shared" si="0"/>
        <v>5.166666666666667</v>
      </c>
    </row>
    <row r="14" spans="1:10" ht="21.6" customHeight="1" thickTop="1" thickBot="1" x14ac:dyDescent="0.25">
      <c r="B14" s="69" t="s">
        <v>1</v>
      </c>
      <c r="C14" s="68">
        <v>1</v>
      </c>
      <c r="D14" s="67">
        <v>4</v>
      </c>
      <c r="E14" s="67">
        <v>4</v>
      </c>
      <c r="F14" s="67">
        <v>4</v>
      </c>
      <c r="G14" s="67">
        <v>4</v>
      </c>
      <c r="H14" s="67">
        <v>5</v>
      </c>
      <c r="I14" s="67">
        <v>5</v>
      </c>
      <c r="J14" s="66">
        <f t="shared" si="0"/>
        <v>4.333333333333333</v>
      </c>
    </row>
    <row r="15" spans="1:10" ht="21.6" customHeight="1" thickTop="1" thickBot="1" x14ac:dyDescent="0.25">
      <c r="B15" s="11" t="s">
        <v>2</v>
      </c>
      <c r="C15" s="74">
        <v>1</v>
      </c>
      <c r="D15" s="73">
        <v>5</v>
      </c>
      <c r="E15" s="73">
        <v>4</v>
      </c>
      <c r="F15" s="73">
        <v>4</v>
      </c>
      <c r="G15" s="73">
        <v>4</v>
      </c>
      <c r="H15" s="73">
        <v>4</v>
      </c>
      <c r="I15" s="73">
        <v>4</v>
      </c>
      <c r="J15" s="66">
        <f t="shared" si="0"/>
        <v>4.166666666666667</v>
      </c>
    </row>
    <row r="16" spans="1:10" ht="21.6" customHeight="1" thickTop="1" thickBot="1" x14ac:dyDescent="0.25">
      <c r="B16" s="72" t="s">
        <v>2</v>
      </c>
      <c r="C16" s="71">
        <v>2</v>
      </c>
      <c r="D16" s="70">
        <v>5</v>
      </c>
      <c r="E16" s="70">
        <v>6</v>
      </c>
      <c r="F16" s="70">
        <v>4</v>
      </c>
      <c r="G16" s="70">
        <v>4</v>
      </c>
      <c r="H16" s="70">
        <v>4</v>
      </c>
      <c r="I16" s="70">
        <v>5</v>
      </c>
      <c r="J16" s="66">
        <f t="shared" si="0"/>
        <v>4.666666666666667</v>
      </c>
    </row>
    <row r="17" spans="1:10" ht="21.6" customHeight="1" thickTop="1" thickBot="1" x14ac:dyDescent="0.25">
      <c r="B17" s="72" t="s">
        <v>2</v>
      </c>
      <c r="C17" s="71">
        <v>3</v>
      </c>
      <c r="D17" s="70">
        <v>4</v>
      </c>
      <c r="E17" s="70">
        <v>5</v>
      </c>
      <c r="F17" s="70">
        <v>6</v>
      </c>
      <c r="G17" s="70">
        <v>6</v>
      </c>
      <c r="H17" s="70">
        <v>4</v>
      </c>
      <c r="I17" s="70">
        <v>4</v>
      </c>
      <c r="J17" s="66">
        <f t="shared" si="0"/>
        <v>4.833333333333333</v>
      </c>
    </row>
    <row r="18" spans="1:10" ht="21.6" customHeight="1" thickTop="1" thickBot="1" x14ac:dyDescent="0.25">
      <c r="B18" s="69" t="s">
        <v>2</v>
      </c>
      <c r="C18" s="68">
        <v>4</v>
      </c>
      <c r="D18" s="67">
        <v>4</v>
      </c>
      <c r="E18" s="67">
        <v>4</v>
      </c>
      <c r="F18" s="67">
        <v>6</v>
      </c>
      <c r="G18" s="67">
        <v>5</v>
      </c>
      <c r="H18" s="67">
        <v>4</v>
      </c>
      <c r="I18" s="67">
        <v>5</v>
      </c>
      <c r="J18" s="66">
        <f t="shared" si="0"/>
        <v>4.666666666666667</v>
      </c>
    </row>
    <row r="19" spans="1:10" ht="21.6" customHeight="1" thickTop="1" thickBot="1" x14ac:dyDescent="0.25">
      <c r="B19" s="11" t="s">
        <v>3</v>
      </c>
      <c r="C19" s="74">
        <v>4</v>
      </c>
      <c r="D19" s="73">
        <v>3</v>
      </c>
      <c r="E19" s="73">
        <v>4</v>
      </c>
      <c r="F19" s="73">
        <v>4</v>
      </c>
      <c r="G19" s="73">
        <v>4</v>
      </c>
      <c r="H19" s="73">
        <v>3</v>
      </c>
      <c r="I19" s="73">
        <v>4</v>
      </c>
      <c r="J19" s="66">
        <f t="shared" si="0"/>
        <v>3.6666666666666665</v>
      </c>
    </row>
    <row r="20" spans="1:10" ht="21.6" customHeight="1" thickTop="1" thickBot="1" x14ac:dyDescent="0.25">
      <c r="B20" s="72" t="s">
        <v>3</v>
      </c>
      <c r="C20" s="71">
        <v>3</v>
      </c>
      <c r="D20" s="70">
        <v>5</v>
      </c>
      <c r="E20" s="70">
        <v>4</v>
      </c>
      <c r="F20" s="70">
        <v>4</v>
      </c>
      <c r="G20" s="70">
        <v>5</v>
      </c>
      <c r="H20" s="70">
        <v>5</v>
      </c>
      <c r="I20" s="70">
        <v>4</v>
      </c>
      <c r="J20" s="66">
        <f t="shared" si="0"/>
        <v>4.5</v>
      </c>
    </row>
    <row r="21" spans="1:10" ht="21.6" customHeight="1" thickTop="1" thickBot="1" x14ac:dyDescent="0.25">
      <c r="B21" s="72" t="s">
        <v>3</v>
      </c>
      <c r="C21" s="71">
        <v>2</v>
      </c>
      <c r="D21" s="70">
        <v>6</v>
      </c>
      <c r="E21" s="70">
        <v>5</v>
      </c>
      <c r="F21" s="70">
        <v>7</v>
      </c>
      <c r="G21" s="70">
        <v>6</v>
      </c>
      <c r="H21" s="70">
        <v>6</v>
      </c>
      <c r="I21" s="70">
        <v>6</v>
      </c>
      <c r="J21" s="66">
        <f t="shared" si="0"/>
        <v>6</v>
      </c>
    </row>
    <row r="22" spans="1:10" ht="21.6" customHeight="1" thickTop="1" thickBot="1" x14ac:dyDescent="0.25">
      <c r="A22" s="1"/>
      <c r="B22" s="69" t="s">
        <v>3</v>
      </c>
      <c r="C22" s="68">
        <v>1</v>
      </c>
      <c r="D22" s="67">
        <v>4</v>
      </c>
      <c r="E22" s="67">
        <v>5</v>
      </c>
      <c r="F22" s="67">
        <v>4</v>
      </c>
      <c r="G22" s="67">
        <v>4</v>
      </c>
      <c r="H22" s="67">
        <v>4</v>
      </c>
      <c r="I22" s="67">
        <v>5</v>
      </c>
      <c r="J22" s="66">
        <f t="shared" si="0"/>
        <v>4.333333333333333</v>
      </c>
    </row>
    <row r="23" spans="1:10" ht="21.6" customHeight="1" thickTop="1" thickBot="1" x14ac:dyDescent="0.25">
      <c r="A23" s="12"/>
      <c r="B23" s="11" t="s">
        <v>4</v>
      </c>
      <c r="C23" s="74">
        <v>1</v>
      </c>
      <c r="D23" s="73">
        <v>5</v>
      </c>
      <c r="E23" s="73">
        <v>5</v>
      </c>
      <c r="F23" s="73">
        <v>5</v>
      </c>
      <c r="G23" s="73">
        <v>6</v>
      </c>
      <c r="H23" s="73">
        <v>6</v>
      </c>
      <c r="I23" s="73">
        <v>5</v>
      </c>
      <c r="J23" s="66">
        <f t="shared" si="0"/>
        <v>5.333333333333333</v>
      </c>
    </row>
    <row r="24" spans="1:10" ht="21.6" customHeight="1" thickTop="1" thickBot="1" x14ac:dyDescent="0.25">
      <c r="B24" s="72" t="s">
        <v>4</v>
      </c>
      <c r="C24" s="71">
        <v>2</v>
      </c>
      <c r="D24" s="70">
        <v>5</v>
      </c>
      <c r="E24" s="70">
        <v>5</v>
      </c>
      <c r="F24" s="70">
        <v>6</v>
      </c>
      <c r="G24" s="70">
        <v>4</v>
      </c>
      <c r="H24" s="70">
        <v>5</v>
      </c>
      <c r="I24" s="70">
        <v>5</v>
      </c>
      <c r="J24" s="66">
        <f t="shared" si="0"/>
        <v>5</v>
      </c>
    </row>
    <row r="25" spans="1:10" ht="21.6" customHeight="1" thickTop="1" thickBot="1" x14ac:dyDescent="0.25">
      <c r="B25" s="72" t="s">
        <v>4</v>
      </c>
      <c r="C25" s="71">
        <v>3</v>
      </c>
      <c r="D25" s="70">
        <v>5</v>
      </c>
      <c r="E25" s="70">
        <v>4</v>
      </c>
      <c r="F25" s="70">
        <v>5</v>
      </c>
      <c r="G25" s="70">
        <v>4</v>
      </c>
      <c r="H25" s="70">
        <v>5</v>
      </c>
      <c r="I25" s="70">
        <v>5</v>
      </c>
      <c r="J25" s="66">
        <f t="shared" si="0"/>
        <v>4.666666666666667</v>
      </c>
    </row>
    <row r="26" spans="1:10" ht="21.6" customHeight="1" thickTop="1" thickBot="1" x14ac:dyDescent="0.25">
      <c r="B26" s="69" t="s">
        <v>4</v>
      </c>
      <c r="C26" s="68">
        <v>4</v>
      </c>
      <c r="D26" s="67">
        <v>3</v>
      </c>
      <c r="E26" s="67">
        <v>3</v>
      </c>
      <c r="F26" s="67">
        <v>4</v>
      </c>
      <c r="G26" s="67">
        <v>4</v>
      </c>
      <c r="H26" s="67">
        <v>3</v>
      </c>
      <c r="I26" s="67">
        <v>4</v>
      </c>
      <c r="J26" s="66">
        <f t="shared" si="0"/>
        <v>3.5</v>
      </c>
    </row>
    <row r="27" spans="1:10" ht="21.6" customHeight="1" thickTop="1" thickBot="1" x14ac:dyDescent="0.25">
      <c r="B27" s="11" t="s">
        <v>5</v>
      </c>
      <c r="C27" s="74">
        <v>4</v>
      </c>
      <c r="D27" s="73">
        <v>4</v>
      </c>
      <c r="E27" s="73">
        <v>3</v>
      </c>
      <c r="F27" s="73">
        <v>4</v>
      </c>
      <c r="G27" s="73">
        <v>3</v>
      </c>
      <c r="H27" s="73">
        <v>4</v>
      </c>
      <c r="I27" s="73">
        <v>4</v>
      </c>
      <c r="J27" s="66">
        <f t="shared" si="0"/>
        <v>3.6666666666666665</v>
      </c>
    </row>
    <row r="28" spans="1:10" ht="21.6" customHeight="1" thickTop="1" thickBot="1" x14ac:dyDescent="0.25">
      <c r="B28" s="72" t="s">
        <v>5</v>
      </c>
      <c r="C28" s="71">
        <v>3</v>
      </c>
      <c r="D28" s="70">
        <v>5</v>
      </c>
      <c r="E28" s="70">
        <v>4</v>
      </c>
      <c r="F28" s="70">
        <v>4</v>
      </c>
      <c r="G28" s="70">
        <v>5</v>
      </c>
      <c r="H28" s="70">
        <v>4</v>
      </c>
      <c r="I28" s="70">
        <v>5</v>
      </c>
      <c r="J28" s="66">
        <f t="shared" si="0"/>
        <v>4.5</v>
      </c>
    </row>
    <row r="29" spans="1:10" ht="21.6" customHeight="1" thickTop="1" thickBot="1" x14ac:dyDescent="0.25">
      <c r="B29" s="72" t="s">
        <v>5</v>
      </c>
      <c r="C29" s="71">
        <v>2</v>
      </c>
      <c r="D29" s="70">
        <v>3</v>
      </c>
      <c r="E29" s="70">
        <v>5</v>
      </c>
      <c r="F29" s="70">
        <v>4</v>
      </c>
      <c r="G29" s="70">
        <v>4</v>
      </c>
      <c r="H29" s="70">
        <v>3</v>
      </c>
      <c r="I29" s="70">
        <v>4</v>
      </c>
      <c r="J29" s="66">
        <f t="shared" si="0"/>
        <v>3.8333333333333335</v>
      </c>
    </row>
    <row r="30" spans="1:10" ht="21.6" customHeight="1" thickTop="1" thickBot="1" x14ac:dyDescent="0.25">
      <c r="B30" s="69" t="s">
        <v>5</v>
      </c>
      <c r="C30" s="68">
        <v>1</v>
      </c>
      <c r="D30" s="67">
        <v>4</v>
      </c>
      <c r="E30" s="67">
        <v>3</v>
      </c>
      <c r="F30" s="67">
        <v>5</v>
      </c>
      <c r="G30" s="67">
        <v>3</v>
      </c>
      <c r="H30" s="67">
        <v>4</v>
      </c>
      <c r="I30" s="67">
        <v>5</v>
      </c>
      <c r="J30" s="66">
        <f t="shared" si="0"/>
        <v>4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A24B-B9F3-4717-8FDA-CCE97EDD0967}">
  <dimension ref="A1:J30"/>
  <sheetViews>
    <sheetView zoomScaleNormal="100" zoomScaleSheetLayoutView="100" workbookViewId="0">
      <selection activeCell="I4" sqref="I4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9" width="12.7109375" customWidth="1"/>
  </cols>
  <sheetData>
    <row r="1" spans="1:10" ht="15.75" x14ac:dyDescent="0.25">
      <c r="A1" s="6">
        <v>2020</v>
      </c>
      <c r="B1" s="8" t="s">
        <v>25</v>
      </c>
      <c r="D1" s="8" t="s">
        <v>6</v>
      </c>
      <c r="F1" s="4" t="s">
        <v>8</v>
      </c>
      <c r="G1" s="80">
        <v>44074</v>
      </c>
      <c r="H1" s="79" t="s">
        <v>162</v>
      </c>
    </row>
    <row r="2" spans="1:10" ht="6.6" customHeight="1" x14ac:dyDescent="0.25">
      <c r="A2" s="6"/>
      <c r="B2" s="7"/>
      <c r="C2" s="8"/>
      <c r="F2" s="4"/>
      <c r="G2" s="4"/>
    </row>
    <row r="3" spans="1:10" x14ac:dyDescent="0.2">
      <c r="B3" s="5" t="s">
        <v>160</v>
      </c>
      <c r="F3" s="4" t="s">
        <v>13</v>
      </c>
      <c r="G3" s="4" t="s">
        <v>44</v>
      </c>
    </row>
    <row r="4" spans="1:10" ht="33" customHeight="1" x14ac:dyDescent="0.2">
      <c r="B4" s="87" t="s">
        <v>159</v>
      </c>
      <c r="C4" s="88"/>
      <c r="D4" s="88"/>
      <c r="E4" s="88"/>
      <c r="F4" s="88"/>
      <c r="G4" s="88"/>
      <c r="H4" s="88"/>
      <c r="I4" s="78"/>
    </row>
    <row r="5" spans="1:10" ht="15" customHeight="1" x14ac:dyDescent="0.2">
      <c r="B5" s="5"/>
      <c r="D5" s="77"/>
      <c r="E5" s="77"/>
      <c r="F5" s="77"/>
      <c r="G5" s="77"/>
      <c r="H5" s="77"/>
      <c r="I5" s="3"/>
    </row>
    <row r="6" spans="1:10" ht="21.6" customHeight="1" thickBot="1" x14ac:dyDescent="0.25">
      <c r="B6" s="86" t="s">
        <v>7</v>
      </c>
      <c r="C6" s="86"/>
      <c r="D6" s="76" t="s">
        <v>30</v>
      </c>
      <c r="E6" s="76" t="s">
        <v>30</v>
      </c>
      <c r="F6" s="76" t="s">
        <v>30</v>
      </c>
      <c r="G6" s="76" t="s">
        <v>30</v>
      </c>
      <c r="H6" s="76" t="s">
        <v>30</v>
      </c>
      <c r="I6" s="76" t="s">
        <v>30</v>
      </c>
      <c r="J6" s="75" t="s">
        <v>158</v>
      </c>
    </row>
    <row r="7" spans="1:10" ht="21.6" customHeight="1" thickTop="1" thickBot="1" x14ac:dyDescent="0.25">
      <c r="B7" s="11" t="s">
        <v>0</v>
      </c>
      <c r="C7" s="74">
        <v>1</v>
      </c>
      <c r="D7" s="73">
        <v>4</v>
      </c>
      <c r="E7" s="73">
        <v>5</v>
      </c>
      <c r="F7" s="73">
        <v>4</v>
      </c>
      <c r="G7" s="73">
        <v>4</v>
      </c>
      <c r="H7" s="73">
        <v>4</v>
      </c>
      <c r="I7" s="73">
        <v>4</v>
      </c>
      <c r="J7" s="66">
        <f t="shared" ref="J7:J30" si="0">AVERAGE(D7:I7)</f>
        <v>4.166666666666667</v>
      </c>
    </row>
    <row r="8" spans="1:10" ht="21.6" customHeight="1" thickTop="1" thickBot="1" x14ac:dyDescent="0.25">
      <c r="B8" s="72" t="s">
        <v>0</v>
      </c>
      <c r="C8" s="71">
        <v>2</v>
      </c>
      <c r="D8" s="70">
        <v>2</v>
      </c>
      <c r="E8" s="70">
        <v>4</v>
      </c>
      <c r="F8" s="70">
        <v>3</v>
      </c>
      <c r="G8" s="70">
        <v>4</v>
      </c>
      <c r="H8" s="70">
        <v>2</v>
      </c>
      <c r="I8" s="70">
        <v>3</v>
      </c>
      <c r="J8" s="66">
        <f t="shared" si="0"/>
        <v>3</v>
      </c>
    </row>
    <row r="9" spans="1:10" ht="21.6" customHeight="1" thickTop="1" thickBot="1" x14ac:dyDescent="0.25">
      <c r="B9" s="72" t="s">
        <v>0</v>
      </c>
      <c r="C9" s="71">
        <v>3</v>
      </c>
      <c r="D9" s="70">
        <v>4</v>
      </c>
      <c r="E9" s="70">
        <v>3</v>
      </c>
      <c r="F9" s="70">
        <v>3</v>
      </c>
      <c r="G9" s="70">
        <v>3</v>
      </c>
      <c r="H9" s="70">
        <v>3</v>
      </c>
      <c r="I9" s="70">
        <v>3</v>
      </c>
      <c r="J9" s="66">
        <f t="shared" si="0"/>
        <v>3.1666666666666665</v>
      </c>
    </row>
    <row r="10" spans="1:10" ht="21.6" customHeight="1" thickTop="1" thickBot="1" x14ac:dyDescent="0.25">
      <c r="B10" s="69" t="s">
        <v>0</v>
      </c>
      <c r="C10" s="68">
        <v>4</v>
      </c>
      <c r="D10" s="67">
        <v>5</v>
      </c>
      <c r="E10" s="67">
        <v>5</v>
      </c>
      <c r="F10" s="67">
        <v>4</v>
      </c>
      <c r="G10" s="67">
        <v>4</v>
      </c>
      <c r="H10" s="67">
        <v>5</v>
      </c>
      <c r="I10" s="67">
        <v>4</v>
      </c>
      <c r="J10" s="66">
        <f t="shared" si="0"/>
        <v>4.5</v>
      </c>
    </row>
    <row r="11" spans="1:10" ht="21.6" customHeight="1" thickTop="1" thickBot="1" x14ac:dyDescent="0.25">
      <c r="B11" s="11" t="s">
        <v>1</v>
      </c>
      <c r="C11" s="74">
        <v>4</v>
      </c>
      <c r="D11" s="73">
        <v>4</v>
      </c>
      <c r="E11" s="73">
        <v>3</v>
      </c>
      <c r="F11" s="73">
        <v>5</v>
      </c>
      <c r="G11" s="73">
        <v>5</v>
      </c>
      <c r="H11" s="73">
        <v>3</v>
      </c>
      <c r="I11" s="73">
        <v>4</v>
      </c>
      <c r="J11" s="66">
        <f t="shared" si="0"/>
        <v>4</v>
      </c>
    </row>
    <row r="12" spans="1:10" ht="21.6" customHeight="1" thickTop="1" thickBot="1" x14ac:dyDescent="0.25">
      <c r="B12" s="72" t="s">
        <v>1</v>
      </c>
      <c r="C12" s="71">
        <v>3</v>
      </c>
      <c r="D12" s="70">
        <v>3</v>
      </c>
      <c r="E12" s="70">
        <v>3</v>
      </c>
      <c r="F12" s="70">
        <v>2</v>
      </c>
      <c r="G12" s="70">
        <v>3</v>
      </c>
      <c r="H12" s="70">
        <v>3</v>
      </c>
      <c r="I12" s="70">
        <v>3</v>
      </c>
      <c r="J12" s="66">
        <f t="shared" si="0"/>
        <v>2.8333333333333335</v>
      </c>
    </row>
    <row r="13" spans="1:10" ht="21.6" customHeight="1" thickTop="1" thickBot="1" x14ac:dyDescent="0.25">
      <c r="B13" s="72" t="s">
        <v>1</v>
      </c>
      <c r="C13" s="71">
        <v>2</v>
      </c>
      <c r="D13" s="70">
        <v>5</v>
      </c>
      <c r="E13" s="70">
        <v>4</v>
      </c>
      <c r="F13" s="70">
        <v>5</v>
      </c>
      <c r="G13" s="70">
        <v>5</v>
      </c>
      <c r="H13" s="70">
        <v>5</v>
      </c>
      <c r="I13" s="70">
        <v>6</v>
      </c>
      <c r="J13" s="66">
        <f t="shared" si="0"/>
        <v>5</v>
      </c>
    </row>
    <row r="14" spans="1:10" ht="21.6" customHeight="1" thickTop="1" thickBot="1" x14ac:dyDescent="0.25">
      <c r="B14" s="69" t="s">
        <v>1</v>
      </c>
      <c r="C14" s="68">
        <v>1</v>
      </c>
      <c r="D14" s="67">
        <v>3</v>
      </c>
      <c r="E14" s="67">
        <v>3</v>
      </c>
      <c r="F14" s="67">
        <v>3</v>
      </c>
      <c r="G14" s="67">
        <v>4</v>
      </c>
      <c r="H14" s="67">
        <v>4</v>
      </c>
      <c r="I14" s="67">
        <v>3</v>
      </c>
      <c r="J14" s="66">
        <f t="shared" si="0"/>
        <v>3.3333333333333335</v>
      </c>
    </row>
    <row r="15" spans="1:10" ht="21.6" customHeight="1" thickTop="1" thickBot="1" x14ac:dyDescent="0.25">
      <c r="B15" s="11" t="s">
        <v>2</v>
      </c>
      <c r="C15" s="74">
        <v>1</v>
      </c>
      <c r="D15" s="73">
        <v>4</v>
      </c>
      <c r="E15" s="73">
        <v>4</v>
      </c>
      <c r="F15" s="73">
        <v>3</v>
      </c>
      <c r="G15" s="73">
        <v>4</v>
      </c>
      <c r="H15" s="73">
        <v>4</v>
      </c>
      <c r="I15" s="73">
        <v>4</v>
      </c>
      <c r="J15" s="66">
        <f t="shared" si="0"/>
        <v>3.8333333333333335</v>
      </c>
    </row>
    <row r="16" spans="1:10" ht="21.6" customHeight="1" thickTop="1" thickBot="1" x14ac:dyDescent="0.25">
      <c r="B16" s="72" t="s">
        <v>2</v>
      </c>
      <c r="C16" s="71">
        <v>2</v>
      </c>
      <c r="D16" s="70">
        <v>3</v>
      </c>
      <c r="E16" s="70">
        <v>5</v>
      </c>
      <c r="F16" s="70">
        <v>6</v>
      </c>
      <c r="G16" s="70">
        <v>5</v>
      </c>
      <c r="H16" s="70">
        <v>4</v>
      </c>
      <c r="I16" s="70">
        <v>5</v>
      </c>
      <c r="J16" s="66">
        <f t="shared" si="0"/>
        <v>4.666666666666667</v>
      </c>
    </row>
    <row r="17" spans="1:10" ht="21.6" customHeight="1" thickTop="1" thickBot="1" x14ac:dyDescent="0.25">
      <c r="B17" s="72" t="s">
        <v>2</v>
      </c>
      <c r="C17" s="71">
        <v>3</v>
      </c>
      <c r="D17" s="70">
        <v>5</v>
      </c>
      <c r="E17" s="70">
        <v>4</v>
      </c>
      <c r="F17" s="70">
        <v>4</v>
      </c>
      <c r="G17" s="70">
        <v>4</v>
      </c>
      <c r="H17" s="70">
        <v>6</v>
      </c>
      <c r="I17" s="70">
        <v>4</v>
      </c>
      <c r="J17" s="66">
        <f t="shared" si="0"/>
        <v>4.5</v>
      </c>
    </row>
    <row r="18" spans="1:10" ht="21.6" customHeight="1" thickTop="1" thickBot="1" x14ac:dyDescent="0.25">
      <c r="B18" s="69" t="s">
        <v>2</v>
      </c>
      <c r="C18" s="68">
        <v>4</v>
      </c>
      <c r="D18" s="67">
        <v>4</v>
      </c>
      <c r="E18" s="67">
        <v>5</v>
      </c>
      <c r="F18" s="67">
        <v>4</v>
      </c>
      <c r="G18" s="67">
        <v>4</v>
      </c>
      <c r="H18" s="67">
        <v>4</v>
      </c>
      <c r="I18" s="67">
        <v>4</v>
      </c>
      <c r="J18" s="66">
        <f t="shared" si="0"/>
        <v>4.166666666666667</v>
      </c>
    </row>
    <row r="19" spans="1:10" ht="21.6" customHeight="1" thickTop="1" thickBot="1" x14ac:dyDescent="0.25">
      <c r="B19" s="11" t="s">
        <v>3</v>
      </c>
      <c r="C19" s="74">
        <v>4</v>
      </c>
      <c r="D19" s="73">
        <v>3</v>
      </c>
      <c r="E19" s="73">
        <v>4</v>
      </c>
      <c r="F19" s="73">
        <v>3</v>
      </c>
      <c r="G19" s="73">
        <v>4</v>
      </c>
      <c r="H19" s="73">
        <v>2</v>
      </c>
      <c r="I19" s="73">
        <v>4</v>
      </c>
      <c r="J19" s="66">
        <f t="shared" si="0"/>
        <v>3.3333333333333335</v>
      </c>
    </row>
    <row r="20" spans="1:10" ht="21.6" customHeight="1" thickTop="1" thickBot="1" x14ac:dyDescent="0.25">
      <c r="B20" s="72" t="s">
        <v>3</v>
      </c>
      <c r="C20" s="71">
        <v>3</v>
      </c>
      <c r="D20" s="70">
        <v>5</v>
      </c>
      <c r="E20" s="70">
        <v>4</v>
      </c>
      <c r="F20" s="70">
        <v>4</v>
      </c>
      <c r="G20" s="70">
        <v>5</v>
      </c>
      <c r="H20" s="70">
        <v>6</v>
      </c>
      <c r="I20" s="70">
        <v>5</v>
      </c>
      <c r="J20" s="66">
        <f t="shared" si="0"/>
        <v>4.833333333333333</v>
      </c>
    </row>
    <row r="21" spans="1:10" ht="21.6" customHeight="1" thickTop="1" thickBot="1" x14ac:dyDescent="0.25">
      <c r="B21" s="72" t="s">
        <v>3</v>
      </c>
      <c r="C21" s="71">
        <v>2</v>
      </c>
      <c r="D21" s="70">
        <v>5</v>
      </c>
      <c r="E21" s="70">
        <v>6</v>
      </c>
      <c r="F21" s="70">
        <v>6</v>
      </c>
      <c r="G21" s="70">
        <v>6</v>
      </c>
      <c r="H21" s="70">
        <v>5</v>
      </c>
      <c r="I21" s="70">
        <v>5</v>
      </c>
      <c r="J21" s="66">
        <f t="shared" si="0"/>
        <v>5.5</v>
      </c>
    </row>
    <row r="22" spans="1:10" ht="21.6" customHeight="1" thickTop="1" thickBot="1" x14ac:dyDescent="0.25">
      <c r="A22" s="1"/>
      <c r="B22" s="69" t="s">
        <v>3</v>
      </c>
      <c r="C22" s="68">
        <v>1</v>
      </c>
      <c r="D22" s="67">
        <v>4</v>
      </c>
      <c r="E22" s="67">
        <v>3</v>
      </c>
      <c r="F22" s="67">
        <v>4</v>
      </c>
      <c r="G22" s="67">
        <v>5</v>
      </c>
      <c r="H22" s="67">
        <v>4</v>
      </c>
      <c r="I22" s="67">
        <v>3</v>
      </c>
      <c r="J22" s="66">
        <f t="shared" si="0"/>
        <v>3.8333333333333335</v>
      </c>
    </row>
    <row r="23" spans="1:10" ht="21.6" customHeight="1" thickTop="1" thickBot="1" x14ac:dyDescent="0.25">
      <c r="A23" s="12"/>
      <c r="B23" s="11" t="s">
        <v>4</v>
      </c>
      <c r="C23" s="74">
        <v>1</v>
      </c>
      <c r="D23" s="73">
        <v>5</v>
      </c>
      <c r="E23" s="73">
        <v>4</v>
      </c>
      <c r="F23" s="73">
        <v>5</v>
      </c>
      <c r="G23" s="73">
        <v>5</v>
      </c>
      <c r="H23" s="73">
        <v>6</v>
      </c>
      <c r="I23" s="73">
        <v>6</v>
      </c>
      <c r="J23" s="66">
        <f t="shared" si="0"/>
        <v>5.166666666666667</v>
      </c>
    </row>
    <row r="24" spans="1:10" ht="21.6" customHeight="1" thickTop="1" thickBot="1" x14ac:dyDescent="0.25">
      <c r="B24" s="72" t="s">
        <v>4</v>
      </c>
      <c r="C24" s="71">
        <v>2</v>
      </c>
      <c r="D24" s="70">
        <v>5</v>
      </c>
      <c r="E24" s="70">
        <v>4</v>
      </c>
      <c r="F24" s="70">
        <v>5</v>
      </c>
      <c r="G24" s="70">
        <v>3</v>
      </c>
      <c r="H24" s="70">
        <v>5</v>
      </c>
      <c r="I24" s="70">
        <v>5</v>
      </c>
      <c r="J24" s="66">
        <f t="shared" si="0"/>
        <v>4.5</v>
      </c>
    </row>
    <row r="25" spans="1:10" ht="21.6" customHeight="1" thickTop="1" thickBot="1" x14ac:dyDescent="0.25">
      <c r="B25" s="72" t="s">
        <v>4</v>
      </c>
      <c r="C25" s="71">
        <v>3</v>
      </c>
      <c r="D25" s="70">
        <v>3</v>
      </c>
      <c r="E25" s="70">
        <v>4</v>
      </c>
      <c r="F25" s="70">
        <v>3</v>
      </c>
      <c r="G25" s="70">
        <v>4</v>
      </c>
      <c r="H25" s="70">
        <v>5</v>
      </c>
      <c r="I25" s="70">
        <v>4</v>
      </c>
      <c r="J25" s="66">
        <f t="shared" si="0"/>
        <v>3.8333333333333335</v>
      </c>
    </row>
    <row r="26" spans="1:10" ht="21.6" customHeight="1" thickTop="1" thickBot="1" x14ac:dyDescent="0.25">
      <c r="B26" s="69" t="s">
        <v>4</v>
      </c>
      <c r="C26" s="68">
        <v>4</v>
      </c>
      <c r="D26" s="67">
        <v>3</v>
      </c>
      <c r="E26" s="67">
        <v>2</v>
      </c>
      <c r="F26" s="67">
        <v>3</v>
      </c>
      <c r="G26" s="67">
        <v>4</v>
      </c>
      <c r="H26" s="67">
        <v>2</v>
      </c>
      <c r="I26" s="67">
        <v>3</v>
      </c>
      <c r="J26" s="66">
        <f t="shared" si="0"/>
        <v>2.8333333333333335</v>
      </c>
    </row>
    <row r="27" spans="1:10" ht="21.6" customHeight="1" thickTop="1" thickBot="1" x14ac:dyDescent="0.25">
      <c r="B27" s="11" t="s">
        <v>5</v>
      </c>
      <c r="C27" s="74">
        <v>4</v>
      </c>
      <c r="D27" s="73">
        <v>4</v>
      </c>
      <c r="E27" s="73">
        <v>3</v>
      </c>
      <c r="F27" s="73">
        <v>4</v>
      </c>
      <c r="G27" s="73">
        <v>3</v>
      </c>
      <c r="H27" s="73">
        <v>3</v>
      </c>
      <c r="I27" s="73">
        <v>3</v>
      </c>
      <c r="J27" s="66">
        <f t="shared" si="0"/>
        <v>3.3333333333333335</v>
      </c>
    </row>
    <row r="28" spans="1:10" ht="21.6" customHeight="1" thickTop="1" thickBot="1" x14ac:dyDescent="0.25">
      <c r="B28" s="72" t="s">
        <v>5</v>
      </c>
      <c r="C28" s="71">
        <v>3</v>
      </c>
      <c r="D28" s="70">
        <v>4</v>
      </c>
      <c r="E28" s="70">
        <v>4</v>
      </c>
      <c r="F28" s="70">
        <v>4</v>
      </c>
      <c r="G28" s="70">
        <v>5</v>
      </c>
      <c r="H28" s="70">
        <v>4</v>
      </c>
      <c r="I28" s="70">
        <v>4</v>
      </c>
      <c r="J28" s="66">
        <f t="shared" si="0"/>
        <v>4.166666666666667</v>
      </c>
    </row>
    <row r="29" spans="1:10" ht="21.6" customHeight="1" thickTop="1" thickBot="1" x14ac:dyDescent="0.25">
      <c r="B29" s="72" t="s">
        <v>5</v>
      </c>
      <c r="C29" s="71">
        <v>2</v>
      </c>
      <c r="D29" s="70">
        <v>3</v>
      </c>
      <c r="E29" s="70">
        <v>3</v>
      </c>
      <c r="F29" s="70">
        <v>4</v>
      </c>
      <c r="G29" s="70">
        <v>3</v>
      </c>
      <c r="H29" s="70">
        <v>3</v>
      </c>
      <c r="I29" s="70">
        <v>3</v>
      </c>
      <c r="J29" s="66">
        <f t="shared" si="0"/>
        <v>3.1666666666666665</v>
      </c>
    </row>
    <row r="30" spans="1:10" ht="21.6" customHeight="1" thickTop="1" thickBot="1" x14ac:dyDescent="0.25">
      <c r="B30" s="69" t="s">
        <v>5</v>
      </c>
      <c r="C30" s="68">
        <v>1</v>
      </c>
      <c r="D30" s="67">
        <v>4</v>
      </c>
      <c r="E30" s="67">
        <v>3</v>
      </c>
      <c r="F30" s="67">
        <v>4</v>
      </c>
      <c r="G30" s="67">
        <v>3</v>
      </c>
      <c r="H30" s="67">
        <v>4</v>
      </c>
      <c r="I30" s="67">
        <v>5</v>
      </c>
      <c r="J30" s="66">
        <f t="shared" si="0"/>
        <v>3.8333333333333335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0D8D-1E74-4792-B4BD-AFDF0B35445D}">
  <dimension ref="A1:J30"/>
  <sheetViews>
    <sheetView topLeftCell="A5" zoomScaleNormal="100" zoomScaleSheetLayoutView="100" workbookViewId="0">
      <selection activeCell="B7" sqref="B7:C30"/>
    </sheetView>
  </sheetViews>
  <sheetFormatPr defaultRowHeight="12.75" x14ac:dyDescent="0.2"/>
  <cols>
    <col min="1" max="1" width="7.28515625" customWidth="1"/>
    <col min="2" max="2" width="4.7109375" style="1" customWidth="1"/>
    <col min="3" max="3" width="2.7109375" style="2" customWidth="1"/>
    <col min="4" max="9" width="12.7109375" customWidth="1"/>
  </cols>
  <sheetData>
    <row r="1" spans="1:10" ht="15.75" x14ac:dyDescent="0.25">
      <c r="A1" s="6">
        <v>2020</v>
      </c>
      <c r="B1" s="8" t="s">
        <v>25</v>
      </c>
      <c r="D1" s="8" t="s">
        <v>6</v>
      </c>
      <c r="F1" s="4" t="s">
        <v>8</v>
      </c>
      <c r="G1" s="80">
        <v>44082</v>
      </c>
      <c r="H1" s="79" t="s">
        <v>161</v>
      </c>
    </row>
    <row r="2" spans="1:10" ht="6.6" customHeight="1" x14ac:dyDescent="0.25">
      <c r="A2" s="6"/>
      <c r="B2" s="7"/>
      <c r="C2" s="8"/>
      <c r="F2" s="4"/>
      <c r="G2" s="4"/>
    </row>
    <row r="3" spans="1:10" x14ac:dyDescent="0.2">
      <c r="B3" s="5" t="s">
        <v>160</v>
      </c>
      <c r="F3" s="4" t="s">
        <v>13</v>
      </c>
      <c r="G3" s="4" t="s">
        <v>44</v>
      </c>
    </row>
    <row r="4" spans="1:10" ht="33" customHeight="1" x14ac:dyDescent="0.2">
      <c r="B4" s="87" t="s">
        <v>159</v>
      </c>
      <c r="C4" s="88"/>
      <c r="D4" s="88"/>
      <c r="E4" s="88"/>
      <c r="F4" s="88"/>
      <c r="G4" s="88"/>
      <c r="H4" s="88"/>
      <c r="I4" s="78"/>
    </row>
    <row r="5" spans="1:10" ht="15" customHeight="1" x14ac:dyDescent="0.2">
      <c r="B5" s="5"/>
      <c r="D5" s="77"/>
      <c r="E5" s="77"/>
      <c r="F5" s="77"/>
      <c r="G5" s="77"/>
      <c r="H5" s="77"/>
      <c r="I5" s="3"/>
    </row>
    <row r="6" spans="1:10" ht="21.6" customHeight="1" thickBot="1" x14ac:dyDescent="0.25">
      <c r="B6" s="86" t="s">
        <v>7</v>
      </c>
      <c r="C6" s="86"/>
      <c r="D6" s="76" t="s">
        <v>30</v>
      </c>
      <c r="E6" s="76" t="s">
        <v>30</v>
      </c>
      <c r="F6" s="76" t="s">
        <v>30</v>
      </c>
      <c r="G6" s="76" t="s">
        <v>30</v>
      </c>
      <c r="H6" s="76" t="s">
        <v>30</v>
      </c>
      <c r="I6" s="76" t="s">
        <v>30</v>
      </c>
      <c r="J6" s="75" t="s">
        <v>158</v>
      </c>
    </row>
    <row r="7" spans="1:10" ht="21.6" customHeight="1" thickTop="1" thickBot="1" x14ac:dyDescent="0.25">
      <c r="B7" s="11" t="s">
        <v>0</v>
      </c>
      <c r="C7" s="74">
        <v>1</v>
      </c>
      <c r="D7" s="73">
        <v>4</v>
      </c>
      <c r="E7" s="73">
        <v>4</v>
      </c>
      <c r="F7" s="73">
        <v>5</v>
      </c>
      <c r="G7" s="73">
        <v>4</v>
      </c>
      <c r="H7" s="73">
        <v>3</v>
      </c>
      <c r="I7" s="73">
        <v>4</v>
      </c>
      <c r="J7" s="66">
        <f t="shared" ref="J7:J30" si="0">AVERAGE(D7:I7)</f>
        <v>4</v>
      </c>
    </row>
    <row r="8" spans="1:10" ht="21.6" customHeight="1" thickTop="1" thickBot="1" x14ac:dyDescent="0.25">
      <c r="B8" s="72" t="s">
        <v>0</v>
      </c>
      <c r="C8" s="71">
        <v>2</v>
      </c>
      <c r="D8" s="70">
        <v>2</v>
      </c>
      <c r="E8" s="70">
        <v>3</v>
      </c>
      <c r="F8" s="70">
        <v>5</v>
      </c>
      <c r="G8" s="70">
        <v>2</v>
      </c>
      <c r="H8" s="70">
        <v>3</v>
      </c>
      <c r="I8" s="70">
        <v>3</v>
      </c>
      <c r="J8" s="66">
        <f t="shared" si="0"/>
        <v>3</v>
      </c>
    </row>
    <row r="9" spans="1:10" ht="21.6" customHeight="1" thickTop="1" thickBot="1" x14ac:dyDescent="0.25">
      <c r="B9" s="72" t="s">
        <v>0</v>
      </c>
      <c r="C9" s="71">
        <v>3</v>
      </c>
      <c r="D9" s="70">
        <v>4</v>
      </c>
      <c r="E9" s="70">
        <v>4</v>
      </c>
      <c r="F9" s="70">
        <v>3</v>
      </c>
      <c r="G9" s="70">
        <v>3</v>
      </c>
      <c r="H9" s="70">
        <v>2</v>
      </c>
      <c r="I9" s="70">
        <v>3</v>
      </c>
      <c r="J9" s="66">
        <f t="shared" si="0"/>
        <v>3.1666666666666665</v>
      </c>
    </row>
    <row r="10" spans="1:10" ht="21.6" customHeight="1" thickTop="1" thickBot="1" x14ac:dyDescent="0.25">
      <c r="B10" s="69" t="s">
        <v>0</v>
      </c>
      <c r="C10" s="68">
        <v>4</v>
      </c>
      <c r="D10" s="67">
        <v>4</v>
      </c>
      <c r="E10" s="67">
        <v>5</v>
      </c>
      <c r="F10" s="67">
        <v>5</v>
      </c>
      <c r="G10" s="67">
        <v>4</v>
      </c>
      <c r="H10" s="67">
        <v>4</v>
      </c>
      <c r="I10" s="67">
        <v>5</v>
      </c>
      <c r="J10" s="66">
        <f t="shared" si="0"/>
        <v>4.5</v>
      </c>
    </row>
    <row r="11" spans="1:10" ht="21.6" customHeight="1" thickTop="1" thickBot="1" x14ac:dyDescent="0.25">
      <c r="B11" s="11" t="s">
        <v>1</v>
      </c>
      <c r="C11" s="74">
        <v>4</v>
      </c>
      <c r="D11" s="73">
        <v>2</v>
      </c>
      <c r="E11" s="73">
        <v>4</v>
      </c>
      <c r="F11" s="73">
        <v>6</v>
      </c>
      <c r="G11" s="73">
        <v>5</v>
      </c>
      <c r="H11" s="73">
        <v>5</v>
      </c>
      <c r="I11" s="73">
        <v>3</v>
      </c>
      <c r="J11" s="66">
        <f t="shared" si="0"/>
        <v>4.166666666666667</v>
      </c>
    </row>
    <row r="12" spans="1:10" ht="21.6" customHeight="1" thickTop="1" thickBot="1" x14ac:dyDescent="0.25">
      <c r="B12" s="72" t="s">
        <v>1</v>
      </c>
      <c r="C12" s="71">
        <v>3</v>
      </c>
      <c r="D12" s="70">
        <v>2</v>
      </c>
      <c r="E12" s="70">
        <v>3</v>
      </c>
      <c r="F12" s="70">
        <v>3</v>
      </c>
      <c r="G12" s="70">
        <v>4</v>
      </c>
      <c r="H12" s="70">
        <v>3</v>
      </c>
      <c r="I12" s="70">
        <v>4</v>
      </c>
      <c r="J12" s="66">
        <f t="shared" si="0"/>
        <v>3.1666666666666665</v>
      </c>
    </row>
    <row r="13" spans="1:10" ht="21.6" customHeight="1" thickTop="1" thickBot="1" x14ac:dyDescent="0.25">
      <c r="B13" s="72" t="s">
        <v>1</v>
      </c>
      <c r="C13" s="71">
        <v>2</v>
      </c>
      <c r="D13" s="70">
        <v>4</v>
      </c>
      <c r="E13" s="70">
        <v>5</v>
      </c>
      <c r="F13" s="70">
        <v>5</v>
      </c>
      <c r="G13" s="70">
        <v>5</v>
      </c>
      <c r="H13" s="70">
        <v>5</v>
      </c>
      <c r="I13" s="70">
        <v>5</v>
      </c>
      <c r="J13" s="66">
        <f t="shared" si="0"/>
        <v>4.833333333333333</v>
      </c>
    </row>
    <row r="14" spans="1:10" ht="21.6" customHeight="1" thickTop="1" thickBot="1" x14ac:dyDescent="0.25">
      <c r="B14" s="69" t="s">
        <v>1</v>
      </c>
      <c r="C14" s="68">
        <v>1</v>
      </c>
      <c r="D14" s="67">
        <v>3</v>
      </c>
      <c r="E14" s="67">
        <v>3</v>
      </c>
      <c r="F14" s="67">
        <v>4</v>
      </c>
      <c r="G14" s="67">
        <v>2</v>
      </c>
      <c r="H14" s="67">
        <v>4</v>
      </c>
      <c r="I14" s="67">
        <v>3</v>
      </c>
      <c r="J14" s="66">
        <f t="shared" si="0"/>
        <v>3.1666666666666665</v>
      </c>
    </row>
    <row r="15" spans="1:10" ht="21.6" customHeight="1" thickTop="1" thickBot="1" x14ac:dyDescent="0.25">
      <c r="B15" s="11" t="s">
        <v>2</v>
      </c>
      <c r="C15" s="74">
        <v>1</v>
      </c>
      <c r="D15" s="73">
        <v>4</v>
      </c>
      <c r="E15" s="73">
        <v>4</v>
      </c>
      <c r="F15" s="73">
        <v>3</v>
      </c>
      <c r="G15" s="73">
        <v>3</v>
      </c>
      <c r="H15" s="73">
        <v>4</v>
      </c>
      <c r="I15" s="73">
        <v>4</v>
      </c>
      <c r="J15" s="66">
        <f t="shared" si="0"/>
        <v>3.6666666666666665</v>
      </c>
    </row>
    <row r="16" spans="1:10" ht="21.6" customHeight="1" thickTop="1" thickBot="1" x14ac:dyDescent="0.25">
      <c r="B16" s="72" t="s">
        <v>2</v>
      </c>
      <c r="C16" s="71">
        <v>2</v>
      </c>
      <c r="D16" s="70">
        <v>4</v>
      </c>
      <c r="E16" s="70">
        <v>5</v>
      </c>
      <c r="F16" s="70">
        <v>5</v>
      </c>
      <c r="G16" s="70">
        <v>4</v>
      </c>
      <c r="H16" s="70">
        <v>5</v>
      </c>
      <c r="I16" s="70">
        <v>5</v>
      </c>
      <c r="J16" s="66">
        <f t="shared" si="0"/>
        <v>4.666666666666667</v>
      </c>
    </row>
    <row r="17" spans="1:10" ht="21.6" customHeight="1" thickTop="1" thickBot="1" x14ac:dyDescent="0.25">
      <c r="B17" s="72" t="s">
        <v>2</v>
      </c>
      <c r="C17" s="71">
        <v>3</v>
      </c>
      <c r="D17" s="70">
        <v>4</v>
      </c>
      <c r="E17" s="70">
        <v>5</v>
      </c>
      <c r="F17" s="70">
        <v>5</v>
      </c>
      <c r="G17" s="70">
        <v>4</v>
      </c>
      <c r="H17" s="70">
        <v>5</v>
      </c>
      <c r="I17" s="70">
        <v>4</v>
      </c>
      <c r="J17" s="66">
        <f t="shared" si="0"/>
        <v>4.5</v>
      </c>
    </row>
    <row r="18" spans="1:10" ht="21.6" customHeight="1" thickTop="1" thickBot="1" x14ac:dyDescent="0.25">
      <c r="B18" s="69" t="s">
        <v>2</v>
      </c>
      <c r="C18" s="68">
        <v>4</v>
      </c>
      <c r="D18" s="67">
        <v>3</v>
      </c>
      <c r="E18" s="67">
        <v>4</v>
      </c>
      <c r="F18" s="67">
        <v>4</v>
      </c>
      <c r="G18" s="67">
        <v>4</v>
      </c>
      <c r="H18" s="67">
        <v>4</v>
      </c>
      <c r="I18" s="67">
        <v>4</v>
      </c>
      <c r="J18" s="66">
        <f t="shared" si="0"/>
        <v>3.8333333333333335</v>
      </c>
    </row>
    <row r="19" spans="1:10" ht="21.6" customHeight="1" thickTop="1" thickBot="1" x14ac:dyDescent="0.25">
      <c r="B19" s="11" t="s">
        <v>3</v>
      </c>
      <c r="C19" s="74">
        <v>4</v>
      </c>
      <c r="D19" s="73">
        <v>2</v>
      </c>
      <c r="E19" s="73">
        <v>2</v>
      </c>
      <c r="F19" s="73">
        <v>3</v>
      </c>
      <c r="G19" s="73">
        <v>4</v>
      </c>
      <c r="H19" s="73">
        <v>3</v>
      </c>
      <c r="I19" s="73">
        <v>3</v>
      </c>
      <c r="J19" s="66">
        <f t="shared" si="0"/>
        <v>2.8333333333333335</v>
      </c>
    </row>
    <row r="20" spans="1:10" ht="21.6" customHeight="1" thickTop="1" thickBot="1" x14ac:dyDescent="0.25">
      <c r="B20" s="72" t="s">
        <v>3</v>
      </c>
      <c r="C20" s="71">
        <v>3</v>
      </c>
      <c r="D20" s="70">
        <v>4</v>
      </c>
      <c r="E20" s="70">
        <v>4</v>
      </c>
      <c r="F20" s="70">
        <v>5</v>
      </c>
      <c r="G20" s="70">
        <v>4</v>
      </c>
      <c r="H20" s="70">
        <v>5</v>
      </c>
      <c r="I20" s="70">
        <v>4</v>
      </c>
      <c r="J20" s="66">
        <f t="shared" si="0"/>
        <v>4.333333333333333</v>
      </c>
    </row>
    <row r="21" spans="1:10" ht="21.6" customHeight="1" thickTop="1" thickBot="1" x14ac:dyDescent="0.25">
      <c r="B21" s="72" t="s">
        <v>3</v>
      </c>
      <c r="C21" s="71">
        <v>2</v>
      </c>
      <c r="D21" s="70">
        <v>6</v>
      </c>
      <c r="E21" s="70">
        <v>5</v>
      </c>
      <c r="F21" s="70">
        <v>5</v>
      </c>
      <c r="G21" s="70">
        <v>6</v>
      </c>
      <c r="H21" s="70">
        <v>5</v>
      </c>
      <c r="I21" s="70">
        <v>6</v>
      </c>
      <c r="J21" s="66">
        <f t="shared" si="0"/>
        <v>5.5</v>
      </c>
    </row>
    <row r="22" spans="1:10" ht="21.6" customHeight="1" thickTop="1" thickBot="1" x14ac:dyDescent="0.25">
      <c r="A22" s="1"/>
      <c r="B22" s="69" t="s">
        <v>3</v>
      </c>
      <c r="C22" s="68">
        <v>1</v>
      </c>
      <c r="D22" s="67">
        <v>3</v>
      </c>
      <c r="E22" s="67">
        <v>4</v>
      </c>
      <c r="F22" s="67">
        <v>4</v>
      </c>
      <c r="G22" s="67">
        <v>4</v>
      </c>
      <c r="H22" s="67">
        <v>4</v>
      </c>
      <c r="I22" s="67">
        <v>4</v>
      </c>
      <c r="J22" s="66">
        <f t="shared" si="0"/>
        <v>3.8333333333333335</v>
      </c>
    </row>
    <row r="23" spans="1:10" ht="21.6" customHeight="1" thickTop="1" thickBot="1" x14ac:dyDescent="0.25">
      <c r="A23" s="12"/>
      <c r="B23" s="11" t="s">
        <v>4</v>
      </c>
      <c r="C23" s="74">
        <v>1</v>
      </c>
      <c r="D23" s="73">
        <v>4</v>
      </c>
      <c r="E23" s="73">
        <v>5</v>
      </c>
      <c r="F23" s="73">
        <v>6</v>
      </c>
      <c r="G23" s="73">
        <v>5</v>
      </c>
      <c r="H23" s="73">
        <v>5</v>
      </c>
      <c r="I23" s="73">
        <v>5</v>
      </c>
      <c r="J23" s="66">
        <f t="shared" si="0"/>
        <v>5</v>
      </c>
    </row>
    <row r="24" spans="1:10" ht="21.6" customHeight="1" thickTop="1" thickBot="1" x14ac:dyDescent="0.25">
      <c r="B24" s="72" t="s">
        <v>4</v>
      </c>
      <c r="C24" s="71">
        <v>2</v>
      </c>
      <c r="D24" s="70">
        <v>4</v>
      </c>
      <c r="E24" s="70">
        <v>4</v>
      </c>
      <c r="F24" s="70">
        <v>5</v>
      </c>
      <c r="G24" s="70">
        <v>4</v>
      </c>
      <c r="H24" s="70">
        <v>5</v>
      </c>
      <c r="I24" s="70">
        <v>5</v>
      </c>
      <c r="J24" s="66">
        <f t="shared" si="0"/>
        <v>4.5</v>
      </c>
    </row>
    <row r="25" spans="1:10" ht="21.6" customHeight="1" thickTop="1" thickBot="1" x14ac:dyDescent="0.25">
      <c r="B25" s="72" t="s">
        <v>4</v>
      </c>
      <c r="C25" s="71">
        <v>3</v>
      </c>
      <c r="D25" s="70">
        <v>4</v>
      </c>
      <c r="E25" s="70">
        <v>3</v>
      </c>
      <c r="F25" s="70">
        <v>3</v>
      </c>
      <c r="G25" s="70">
        <v>4</v>
      </c>
      <c r="H25" s="70">
        <v>3</v>
      </c>
      <c r="I25" s="70">
        <v>3</v>
      </c>
      <c r="J25" s="66">
        <f t="shared" si="0"/>
        <v>3.3333333333333335</v>
      </c>
    </row>
    <row r="26" spans="1:10" ht="21.6" customHeight="1" thickTop="1" thickBot="1" x14ac:dyDescent="0.25">
      <c r="B26" s="69" t="s">
        <v>4</v>
      </c>
      <c r="C26" s="68">
        <v>4</v>
      </c>
      <c r="D26" s="67">
        <v>2</v>
      </c>
      <c r="E26" s="67">
        <v>1</v>
      </c>
      <c r="F26" s="67">
        <v>2</v>
      </c>
      <c r="G26" s="67">
        <v>2</v>
      </c>
      <c r="H26" s="67">
        <v>3</v>
      </c>
      <c r="I26" s="67">
        <v>3</v>
      </c>
      <c r="J26" s="66">
        <f t="shared" si="0"/>
        <v>2.1666666666666665</v>
      </c>
    </row>
    <row r="27" spans="1:10" ht="21.6" customHeight="1" thickTop="1" thickBot="1" x14ac:dyDescent="0.25">
      <c r="B27" s="11" t="s">
        <v>5</v>
      </c>
      <c r="C27" s="74">
        <v>4</v>
      </c>
      <c r="D27" s="73">
        <v>3</v>
      </c>
      <c r="E27" s="73">
        <v>3</v>
      </c>
      <c r="F27" s="73">
        <v>3</v>
      </c>
      <c r="G27" s="73">
        <v>3</v>
      </c>
      <c r="H27" s="73">
        <v>3</v>
      </c>
      <c r="I27" s="73">
        <v>3</v>
      </c>
      <c r="J27" s="66">
        <f t="shared" si="0"/>
        <v>3</v>
      </c>
    </row>
    <row r="28" spans="1:10" ht="21.6" customHeight="1" thickTop="1" thickBot="1" x14ac:dyDescent="0.25">
      <c r="B28" s="72" t="s">
        <v>5</v>
      </c>
      <c r="C28" s="71">
        <v>3</v>
      </c>
      <c r="D28" s="70">
        <v>3</v>
      </c>
      <c r="E28" s="70">
        <v>4</v>
      </c>
      <c r="F28" s="70">
        <v>4</v>
      </c>
      <c r="G28" s="70">
        <v>4</v>
      </c>
      <c r="H28" s="70">
        <v>4</v>
      </c>
      <c r="I28" s="70">
        <v>5</v>
      </c>
      <c r="J28" s="66">
        <f t="shared" si="0"/>
        <v>4</v>
      </c>
    </row>
    <row r="29" spans="1:10" ht="21.6" customHeight="1" thickTop="1" thickBot="1" x14ac:dyDescent="0.25">
      <c r="B29" s="72" t="s">
        <v>5</v>
      </c>
      <c r="C29" s="71">
        <v>2</v>
      </c>
      <c r="D29" s="70">
        <v>2</v>
      </c>
      <c r="E29" s="70">
        <v>3</v>
      </c>
      <c r="F29" s="70">
        <v>3</v>
      </c>
      <c r="G29" s="70">
        <v>3</v>
      </c>
      <c r="H29" s="70">
        <v>3</v>
      </c>
      <c r="I29" s="70">
        <v>3</v>
      </c>
      <c r="J29" s="66">
        <f t="shared" si="0"/>
        <v>2.8333333333333335</v>
      </c>
    </row>
    <row r="30" spans="1:10" ht="21.6" customHeight="1" thickTop="1" thickBot="1" x14ac:dyDescent="0.25">
      <c r="B30" s="69" t="s">
        <v>5</v>
      </c>
      <c r="C30" s="68">
        <v>1</v>
      </c>
      <c r="D30" s="67">
        <v>4</v>
      </c>
      <c r="E30" s="67">
        <v>3</v>
      </c>
      <c r="F30" s="67">
        <v>3</v>
      </c>
      <c r="G30" s="67">
        <v>2</v>
      </c>
      <c r="H30" s="67">
        <v>3</v>
      </c>
      <c r="I30" s="67">
        <v>4</v>
      </c>
      <c r="J30" s="66">
        <f t="shared" si="0"/>
        <v>3.1666666666666665</v>
      </c>
    </row>
  </sheetData>
  <mergeCells count="2">
    <mergeCell ref="B4:H4"/>
    <mergeCell ref="B6:C6"/>
  </mergeCells>
  <pageMargins left="0.45" right="0.45" top="0.5" bottom="0.5" header="0" footer="0"/>
  <pageSetup scale="93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23</vt:i4>
      </vt:variant>
    </vt:vector>
  </HeadingPairs>
  <TitlesOfParts>
    <vt:vector size="45" baseType="lpstr">
      <vt:lpstr>Height</vt:lpstr>
      <vt:lpstr>Width</vt:lpstr>
      <vt:lpstr>LAImeter</vt:lpstr>
      <vt:lpstr>Density</vt:lpstr>
      <vt:lpstr>Develop</vt:lpstr>
      <vt:lpstr>Ordering</vt:lpstr>
      <vt:lpstr>Blank Data Sheet</vt:lpstr>
      <vt:lpstr>Height Summary</vt:lpstr>
      <vt:lpstr>Cover Summary</vt:lpstr>
      <vt:lpstr>Averages</vt:lpstr>
      <vt:lpstr>Emergence</vt:lpstr>
      <vt:lpstr>1stLeaf</vt:lpstr>
      <vt:lpstr>Counts1</vt:lpstr>
      <vt:lpstr>Counts2</vt:lpstr>
      <vt:lpstr>Flowering</vt:lpstr>
      <vt:lpstr>NAWFd209</vt:lpstr>
      <vt:lpstr>NAWFd217</vt:lpstr>
      <vt:lpstr>NAWFd223</vt:lpstr>
      <vt:lpstr>NAWFd230</vt:lpstr>
      <vt:lpstr>NAWFd237</vt:lpstr>
      <vt:lpstr>NAWFd244</vt:lpstr>
      <vt:lpstr>NAWFd252</vt:lpstr>
      <vt:lpstr>'1stLeaf'!Print_Area</vt:lpstr>
      <vt:lpstr>'Blank Data Sheet'!Print_Area</vt:lpstr>
      <vt:lpstr>Counts1!Print_Area</vt:lpstr>
      <vt:lpstr>'Cover Summary'!Print_Area</vt:lpstr>
      <vt:lpstr>'Height Summary'!Print_Area</vt:lpstr>
      <vt:lpstr>NAWFd209!Print_Area</vt:lpstr>
      <vt:lpstr>NAWFd217!Print_Area</vt:lpstr>
      <vt:lpstr>NAWFd223!Print_Area</vt:lpstr>
      <vt:lpstr>NAWFd230!Print_Area</vt:lpstr>
      <vt:lpstr>NAWFd237!Print_Area</vt:lpstr>
      <vt:lpstr>NAWFd244!Print_Area</vt:lpstr>
      <vt:lpstr>NAWFd252!Print_Area</vt:lpstr>
      <vt:lpstr>'Blank Data Sheet'!Print_Titles</vt:lpstr>
      <vt:lpstr>Counts1!Print_Titles</vt:lpstr>
      <vt:lpstr>'Cover Summary'!Print_Titles</vt:lpstr>
      <vt:lpstr>'Height Summary'!Print_Titles</vt:lpstr>
      <vt:lpstr>NAWFd209!Print_Titles</vt:lpstr>
      <vt:lpstr>NAWFd217!Print_Titles</vt:lpstr>
      <vt:lpstr>NAWFd223!Print_Titles</vt:lpstr>
      <vt:lpstr>NAWFd230!Print_Titles</vt:lpstr>
      <vt:lpstr>NAWFd237!Print_Titles</vt:lpstr>
      <vt:lpstr>NAWFd244!Print_Titles</vt:lpstr>
      <vt:lpstr>NAWFd252!Print_Titles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Maneely, Suzette</dc:creator>
  <cp:lastModifiedBy>Reviewer</cp:lastModifiedBy>
  <cp:lastPrinted>2021-10-23T14:51:32Z</cp:lastPrinted>
  <dcterms:created xsi:type="dcterms:W3CDTF">2016-05-31T16:53:28Z</dcterms:created>
  <dcterms:modified xsi:type="dcterms:W3CDTF">2025-04-09T17:31:06Z</dcterms:modified>
</cp:coreProperties>
</file>