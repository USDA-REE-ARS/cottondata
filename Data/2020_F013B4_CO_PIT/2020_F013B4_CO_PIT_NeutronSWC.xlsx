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0_F013B4_CO_PIT\"/>
    </mc:Choice>
  </mc:AlternateContent>
  <xr:revisionPtr revIDLastSave="0" documentId="13_ncr:1_{81328DA1-414D-456F-B04A-D29B4E6BFFF5}" xr6:coauthVersionLast="47" xr6:coauthVersionMax="47" xr10:uidLastSave="{00000000-0000-0000-0000-000000000000}"/>
  <bookViews>
    <workbookView xWindow="-885" yWindow="-28020" windowWidth="16875" windowHeight="24120" xr2:uid="{4B1EF44D-6847-44F2-9FC2-EAAF561C8B78}"/>
  </bookViews>
  <sheets>
    <sheet name="Summary" sheetId="27" r:id="rId1"/>
    <sheet name="Standard" sheetId="1" r:id="rId2"/>
    <sheet name="2020-0422" sheetId="2" r:id="rId3"/>
    <sheet name="2020-0427" sheetId="3" r:id="rId4"/>
    <sheet name="2020-0504" sheetId="4" r:id="rId5"/>
    <sheet name="2020-0511" sheetId="5" r:id="rId6"/>
    <sheet name="2020-0518" sheetId="6" r:id="rId7"/>
    <sheet name="2020-0526" sheetId="7" r:id="rId8"/>
    <sheet name="2020-0601" sheetId="8" r:id="rId9"/>
    <sheet name="2020-0608" sheetId="9" r:id="rId10"/>
    <sheet name="2020-0615" sheetId="10" r:id="rId11"/>
    <sheet name="2020-0622" sheetId="11" r:id="rId12"/>
    <sheet name="2020-0629" sheetId="12" r:id="rId13"/>
    <sheet name="2020-0706" sheetId="13" r:id="rId14"/>
    <sheet name="2020-0714" sheetId="14" r:id="rId15"/>
    <sheet name="2020-0720" sheetId="15" r:id="rId16"/>
    <sheet name="2020-0727" sheetId="16" r:id="rId17"/>
    <sheet name="2020-0803" sheetId="17" r:id="rId18"/>
    <sheet name="2020-0810" sheetId="18" r:id="rId19"/>
    <sheet name="2020-0817" sheetId="19" r:id="rId20"/>
    <sheet name="2020-0824" sheetId="20" r:id="rId21"/>
    <sheet name="2020-0901" sheetId="21" r:id="rId22"/>
    <sheet name="2020-0908" sheetId="22" r:id="rId23"/>
    <sheet name="2020-0914" sheetId="23" r:id="rId24"/>
    <sheet name="2020-0921" sheetId="24" r:id="rId25"/>
    <sheet name="2020-1015" sheetId="25" r:id="rId26"/>
    <sheet name="2020-1028" sheetId="26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1" i="2" l="1"/>
  <c r="S124" i="2"/>
  <c r="J101" i="3"/>
  <c r="S124" i="3"/>
  <c r="J101" i="4"/>
  <c r="S124" i="4"/>
  <c r="J101" i="5"/>
  <c r="S124" i="5"/>
  <c r="J101" i="6"/>
  <c r="S124" i="6"/>
  <c r="J101" i="7"/>
  <c r="S124" i="7"/>
  <c r="J101" i="8"/>
  <c r="S124" i="8"/>
  <c r="J101" i="9"/>
  <c r="S124" i="9"/>
  <c r="J101" i="10"/>
  <c r="S124" i="10"/>
  <c r="J101" i="11"/>
  <c r="S124" i="11"/>
  <c r="J101" i="12"/>
  <c r="S124" i="12"/>
  <c r="J101" i="13"/>
  <c r="S124" i="13"/>
  <c r="J101" i="14"/>
  <c r="S124" i="14"/>
  <c r="J101" i="15"/>
  <c r="S124" i="15"/>
  <c r="J101" i="16"/>
  <c r="S124" i="16"/>
  <c r="J101" i="17"/>
  <c r="S124" i="17"/>
  <c r="J101" i="18"/>
  <c r="S124" i="18"/>
  <c r="J101" i="19"/>
  <c r="S124" i="19"/>
  <c r="J101" i="20"/>
  <c r="S124" i="20"/>
  <c r="J101" i="21"/>
  <c r="S124" i="21"/>
  <c r="J101" i="22"/>
  <c r="S124" i="22"/>
  <c r="J101" i="23"/>
  <c r="S124" i="23"/>
  <c r="J101" i="24"/>
  <c r="S124" i="24"/>
  <c r="R124" i="24"/>
  <c r="J101" i="25"/>
  <c r="S124" i="25"/>
  <c r="J101" i="26"/>
  <c r="S124" i="26"/>
  <c r="R124" i="26"/>
  <c r="Q124" i="26"/>
  <c r="P124" i="26"/>
  <c r="O124" i="26"/>
  <c r="N124" i="26"/>
  <c r="M124" i="26"/>
  <c r="L124" i="26"/>
  <c r="K124" i="26"/>
  <c r="J124" i="26"/>
  <c r="S123" i="26"/>
  <c r="R123" i="26"/>
  <c r="Q123" i="26"/>
  <c r="P123" i="26"/>
  <c r="O123" i="26"/>
  <c r="N123" i="26"/>
  <c r="M123" i="26"/>
  <c r="L123" i="26"/>
  <c r="K123" i="26"/>
  <c r="J123" i="26"/>
  <c r="S122" i="26"/>
  <c r="R122" i="26"/>
  <c r="Q122" i="26"/>
  <c r="P122" i="26"/>
  <c r="O122" i="26"/>
  <c r="N122" i="26"/>
  <c r="M122" i="26"/>
  <c r="L122" i="26"/>
  <c r="K122" i="26"/>
  <c r="J122" i="26"/>
  <c r="S121" i="26"/>
  <c r="R121" i="26"/>
  <c r="Q121" i="26"/>
  <c r="P121" i="26"/>
  <c r="O121" i="26"/>
  <c r="N121" i="26"/>
  <c r="M121" i="26"/>
  <c r="L121" i="26"/>
  <c r="K121" i="26"/>
  <c r="J121" i="26"/>
  <c r="S120" i="26"/>
  <c r="R120" i="26"/>
  <c r="Q120" i="26"/>
  <c r="P120" i="26"/>
  <c r="O120" i="26"/>
  <c r="N120" i="26"/>
  <c r="M120" i="26"/>
  <c r="L120" i="26"/>
  <c r="K120" i="26"/>
  <c r="J120" i="26"/>
  <c r="S119" i="26"/>
  <c r="R119" i="26"/>
  <c r="Q119" i="26"/>
  <c r="P119" i="26"/>
  <c r="O119" i="26"/>
  <c r="N119" i="26"/>
  <c r="M119" i="26"/>
  <c r="L119" i="26"/>
  <c r="K119" i="26"/>
  <c r="J119" i="26"/>
  <c r="S118" i="26"/>
  <c r="R118" i="26"/>
  <c r="Q118" i="26"/>
  <c r="P118" i="26"/>
  <c r="O118" i="26"/>
  <c r="N118" i="26"/>
  <c r="M118" i="26"/>
  <c r="L118" i="26"/>
  <c r="K118" i="26"/>
  <c r="J118" i="26"/>
  <c r="S117" i="26"/>
  <c r="R117" i="26"/>
  <c r="Q117" i="26"/>
  <c r="P117" i="26"/>
  <c r="O117" i="26"/>
  <c r="N117" i="26"/>
  <c r="M117" i="26"/>
  <c r="L117" i="26"/>
  <c r="K117" i="26"/>
  <c r="J117" i="26"/>
  <c r="S116" i="26"/>
  <c r="R116" i="26"/>
  <c r="Q116" i="26"/>
  <c r="P116" i="26"/>
  <c r="O116" i="26"/>
  <c r="N116" i="26"/>
  <c r="M116" i="26"/>
  <c r="L116" i="26"/>
  <c r="K116" i="26"/>
  <c r="J116" i="26"/>
  <c r="S115" i="26"/>
  <c r="R115" i="26"/>
  <c r="Q115" i="26"/>
  <c r="P115" i="26"/>
  <c r="O115" i="26"/>
  <c r="N115" i="26"/>
  <c r="M115" i="26"/>
  <c r="L115" i="26"/>
  <c r="K115" i="26"/>
  <c r="J115" i="26"/>
  <c r="S114" i="26"/>
  <c r="R114" i="26"/>
  <c r="Q114" i="26"/>
  <c r="P114" i="26"/>
  <c r="O114" i="26"/>
  <c r="N114" i="26"/>
  <c r="M114" i="26"/>
  <c r="L114" i="26"/>
  <c r="K114" i="26"/>
  <c r="J114" i="26"/>
  <c r="S113" i="26"/>
  <c r="R113" i="26"/>
  <c r="Q113" i="26"/>
  <c r="P113" i="26"/>
  <c r="O113" i="26"/>
  <c r="N113" i="26"/>
  <c r="M113" i="26"/>
  <c r="L113" i="26"/>
  <c r="K113" i="26"/>
  <c r="J113" i="26"/>
  <c r="S112" i="26"/>
  <c r="R112" i="26"/>
  <c r="Q112" i="26"/>
  <c r="P112" i="26"/>
  <c r="O112" i="26"/>
  <c r="N112" i="26"/>
  <c r="M112" i="26"/>
  <c r="L112" i="26"/>
  <c r="K112" i="26"/>
  <c r="J112" i="26"/>
  <c r="S111" i="26"/>
  <c r="R111" i="26"/>
  <c r="Q111" i="26"/>
  <c r="P111" i="26"/>
  <c r="O111" i="26"/>
  <c r="N111" i="26"/>
  <c r="M111" i="26"/>
  <c r="L111" i="26"/>
  <c r="K111" i="26"/>
  <c r="J111" i="26"/>
  <c r="S110" i="26"/>
  <c r="R110" i="26"/>
  <c r="Q110" i="26"/>
  <c r="P110" i="26"/>
  <c r="O110" i="26"/>
  <c r="N110" i="26"/>
  <c r="M110" i="26"/>
  <c r="L110" i="26"/>
  <c r="K110" i="26"/>
  <c r="J110" i="26"/>
  <c r="S109" i="26"/>
  <c r="R109" i="26"/>
  <c r="Q109" i="26"/>
  <c r="P109" i="26"/>
  <c r="O109" i="26"/>
  <c r="N109" i="26"/>
  <c r="M109" i="26"/>
  <c r="L109" i="26"/>
  <c r="K109" i="26"/>
  <c r="J109" i="26"/>
  <c r="S108" i="26"/>
  <c r="R108" i="26"/>
  <c r="Q108" i="26"/>
  <c r="P108" i="26"/>
  <c r="O108" i="26"/>
  <c r="N108" i="26"/>
  <c r="M108" i="26"/>
  <c r="L108" i="26"/>
  <c r="K108" i="26"/>
  <c r="J108" i="26"/>
  <c r="S107" i="26"/>
  <c r="R107" i="26"/>
  <c r="Q107" i="26"/>
  <c r="P107" i="26"/>
  <c r="O107" i="26"/>
  <c r="N107" i="26"/>
  <c r="M107" i="26"/>
  <c r="L107" i="26"/>
  <c r="K107" i="26"/>
  <c r="J107" i="26"/>
  <c r="S106" i="26"/>
  <c r="R106" i="26"/>
  <c r="Q106" i="26"/>
  <c r="P106" i="26"/>
  <c r="O106" i="26"/>
  <c r="N106" i="26"/>
  <c r="M106" i="26"/>
  <c r="L106" i="26"/>
  <c r="K106" i="26"/>
  <c r="J106" i="26"/>
  <c r="S105" i="26"/>
  <c r="R105" i="26"/>
  <c r="Q105" i="26"/>
  <c r="P105" i="26"/>
  <c r="O105" i="26"/>
  <c r="N105" i="26"/>
  <c r="M105" i="26"/>
  <c r="L105" i="26"/>
  <c r="K105" i="26"/>
  <c r="J105" i="26"/>
  <c r="S104" i="26"/>
  <c r="R104" i="26"/>
  <c r="Q104" i="26"/>
  <c r="P104" i="26"/>
  <c r="O104" i="26"/>
  <c r="N104" i="26"/>
  <c r="M104" i="26"/>
  <c r="L104" i="26"/>
  <c r="K104" i="26"/>
  <c r="J104" i="26"/>
  <c r="S103" i="26"/>
  <c r="R103" i="26"/>
  <c r="Q103" i="26"/>
  <c r="P103" i="26"/>
  <c r="O103" i="26"/>
  <c r="N103" i="26"/>
  <c r="M103" i="26"/>
  <c r="L103" i="26"/>
  <c r="K103" i="26"/>
  <c r="J103" i="26"/>
  <c r="S102" i="26"/>
  <c r="R102" i="26"/>
  <c r="Q102" i="26"/>
  <c r="P102" i="26"/>
  <c r="O102" i="26"/>
  <c r="N102" i="26"/>
  <c r="M102" i="26"/>
  <c r="L102" i="26"/>
  <c r="K102" i="26"/>
  <c r="J102" i="26"/>
  <c r="S101" i="26"/>
  <c r="R101" i="26"/>
  <c r="Q101" i="26"/>
  <c r="P101" i="26"/>
  <c r="O101" i="26"/>
  <c r="N101" i="26"/>
  <c r="M101" i="26"/>
  <c r="L101" i="26"/>
  <c r="K101" i="26"/>
  <c r="R124" i="25"/>
  <c r="Q124" i="25"/>
  <c r="P124" i="25"/>
  <c r="O124" i="25"/>
  <c r="N124" i="25"/>
  <c r="M124" i="25"/>
  <c r="L124" i="25"/>
  <c r="K124" i="25"/>
  <c r="J124" i="25"/>
  <c r="S123" i="25"/>
  <c r="R123" i="25"/>
  <c r="Q123" i="25"/>
  <c r="P123" i="25"/>
  <c r="O123" i="25"/>
  <c r="N123" i="25"/>
  <c r="M123" i="25"/>
  <c r="L123" i="25"/>
  <c r="K123" i="25"/>
  <c r="J123" i="25"/>
  <c r="S122" i="25"/>
  <c r="R122" i="25"/>
  <c r="Q122" i="25"/>
  <c r="P122" i="25"/>
  <c r="O122" i="25"/>
  <c r="N122" i="25"/>
  <c r="M122" i="25"/>
  <c r="L122" i="25"/>
  <c r="K122" i="25"/>
  <c r="J122" i="25"/>
  <c r="S121" i="25"/>
  <c r="R121" i="25"/>
  <c r="Q121" i="25"/>
  <c r="P121" i="25"/>
  <c r="O121" i="25"/>
  <c r="N121" i="25"/>
  <c r="M121" i="25"/>
  <c r="L121" i="25"/>
  <c r="K121" i="25"/>
  <c r="J121" i="25"/>
  <c r="S120" i="25"/>
  <c r="R120" i="25"/>
  <c r="Q120" i="25"/>
  <c r="P120" i="25"/>
  <c r="O120" i="25"/>
  <c r="N120" i="25"/>
  <c r="M120" i="25"/>
  <c r="L120" i="25"/>
  <c r="K120" i="25"/>
  <c r="J120" i="25"/>
  <c r="S119" i="25"/>
  <c r="R119" i="25"/>
  <c r="Q119" i="25"/>
  <c r="P119" i="25"/>
  <c r="O119" i="25"/>
  <c r="N119" i="25"/>
  <c r="M119" i="25"/>
  <c r="L119" i="25"/>
  <c r="K119" i="25"/>
  <c r="J119" i="25"/>
  <c r="S118" i="25"/>
  <c r="R118" i="25"/>
  <c r="Q118" i="25"/>
  <c r="P118" i="25"/>
  <c r="O118" i="25"/>
  <c r="N118" i="25"/>
  <c r="M118" i="25"/>
  <c r="L118" i="25"/>
  <c r="K118" i="25"/>
  <c r="J118" i="25"/>
  <c r="S117" i="25"/>
  <c r="R117" i="25"/>
  <c r="Q117" i="25"/>
  <c r="P117" i="25"/>
  <c r="O117" i="25"/>
  <c r="N117" i="25"/>
  <c r="M117" i="25"/>
  <c r="L117" i="25"/>
  <c r="K117" i="25"/>
  <c r="J117" i="25"/>
  <c r="S116" i="25"/>
  <c r="R116" i="25"/>
  <c r="Q116" i="25"/>
  <c r="P116" i="25"/>
  <c r="O116" i="25"/>
  <c r="N116" i="25"/>
  <c r="M116" i="25"/>
  <c r="L116" i="25"/>
  <c r="K116" i="25"/>
  <c r="J116" i="25"/>
  <c r="S115" i="25"/>
  <c r="R115" i="25"/>
  <c r="Q115" i="25"/>
  <c r="P115" i="25"/>
  <c r="O115" i="25"/>
  <c r="N115" i="25"/>
  <c r="M115" i="25"/>
  <c r="L115" i="25"/>
  <c r="K115" i="25"/>
  <c r="J115" i="25"/>
  <c r="S114" i="25"/>
  <c r="R114" i="25"/>
  <c r="Q114" i="25"/>
  <c r="P114" i="25"/>
  <c r="O114" i="25"/>
  <c r="N114" i="25"/>
  <c r="M114" i="25"/>
  <c r="L114" i="25"/>
  <c r="K114" i="25"/>
  <c r="J114" i="25"/>
  <c r="S113" i="25"/>
  <c r="R113" i="25"/>
  <c r="Q113" i="25"/>
  <c r="P113" i="25"/>
  <c r="O113" i="25"/>
  <c r="N113" i="25"/>
  <c r="M113" i="25"/>
  <c r="L113" i="25"/>
  <c r="K113" i="25"/>
  <c r="J113" i="25"/>
  <c r="S112" i="25"/>
  <c r="R112" i="25"/>
  <c r="Q112" i="25"/>
  <c r="P112" i="25"/>
  <c r="O112" i="25"/>
  <c r="N112" i="25"/>
  <c r="M112" i="25"/>
  <c r="L112" i="25"/>
  <c r="K112" i="25"/>
  <c r="J112" i="25"/>
  <c r="S111" i="25"/>
  <c r="R111" i="25"/>
  <c r="Q111" i="25"/>
  <c r="P111" i="25"/>
  <c r="O111" i="25"/>
  <c r="N111" i="25"/>
  <c r="M111" i="25"/>
  <c r="L111" i="25"/>
  <c r="K111" i="25"/>
  <c r="J111" i="25"/>
  <c r="S110" i="25"/>
  <c r="R110" i="25"/>
  <c r="Q110" i="25"/>
  <c r="P110" i="25"/>
  <c r="O110" i="25"/>
  <c r="N110" i="25"/>
  <c r="M110" i="25"/>
  <c r="L110" i="25"/>
  <c r="K110" i="25"/>
  <c r="J110" i="25"/>
  <c r="S109" i="25"/>
  <c r="R109" i="25"/>
  <c r="Q109" i="25"/>
  <c r="P109" i="25"/>
  <c r="O109" i="25"/>
  <c r="N109" i="25"/>
  <c r="M109" i="25"/>
  <c r="L109" i="25"/>
  <c r="K109" i="25"/>
  <c r="J109" i="25"/>
  <c r="S108" i="25"/>
  <c r="R108" i="25"/>
  <c r="Q108" i="25"/>
  <c r="P108" i="25"/>
  <c r="O108" i="25"/>
  <c r="N108" i="25"/>
  <c r="M108" i="25"/>
  <c r="L108" i="25"/>
  <c r="K108" i="25"/>
  <c r="J108" i="25"/>
  <c r="S107" i="25"/>
  <c r="R107" i="25"/>
  <c r="Q107" i="25"/>
  <c r="P107" i="25"/>
  <c r="O107" i="25"/>
  <c r="N107" i="25"/>
  <c r="M107" i="25"/>
  <c r="L107" i="25"/>
  <c r="K107" i="25"/>
  <c r="J107" i="25"/>
  <c r="S106" i="25"/>
  <c r="R106" i="25"/>
  <c r="Q106" i="25"/>
  <c r="P106" i="25"/>
  <c r="O106" i="25"/>
  <c r="N106" i="25"/>
  <c r="M106" i="25"/>
  <c r="L106" i="25"/>
  <c r="K106" i="25"/>
  <c r="J106" i="25"/>
  <c r="S105" i="25"/>
  <c r="R105" i="25"/>
  <c r="Q105" i="25"/>
  <c r="P105" i="25"/>
  <c r="O105" i="25"/>
  <c r="N105" i="25"/>
  <c r="M105" i="25"/>
  <c r="L105" i="25"/>
  <c r="K105" i="25"/>
  <c r="J105" i="25"/>
  <c r="S104" i="25"/>
  <c r="R104" i="25"/>
  <c r="Q104" i="25"/>
  <c r="P104" i="25"/>
  <c r="O104" i="25"/>
  <c r="N104" i="25"/>
  <c r="M104" i="25"/>
  <c r="L104" i="25"/>
  <c r="K104" i="25"/>
  <c r="J104" i="25"/>
  <c r="S103" i="25"/>
  <c r="R103" i="25"/>
  <c r="Q103" i="25"/>
  <c r="P103" i="25"/>
  <c r="O103" i="25"/>
  <c r="N103" i="25"/>
  <c r="M103" i="25"/>
  <c r="L103" i="25"/>
  <c r="K103" i="25"/>
  <c r="J103" i="25"/>
  <c r="S102" i="25"/>
  <c r="R102" i="25"/>
  <c r="Q102" i="25"/>
  <c r="P102" i="25"/>
  <c r="O102" i="25"/>
  <c r="N102" i="25"/>
  <c r="M102" i="25"/>
  <c r="L102" i="25"/>
  <c r="K102" i="25"/>
  <c r="J102" i="25"/>
  <c r="S101" i="25"/>
  <c r="R101" i="25"/>
  <c r="Q101" i="25"/>
  <c r="P101" i="25"/>
  <c r="O101" i="25"/>
  <c r="N101" i="25"/>
  <c r="M101" i="25"/>
  <c r="L101" i="25"/>
  <c r="K101" i="25"/>
  <c r="Q124" i="24"/>
  <c r="P124" i="24"/>
  <c r="O124" i="24"/>
  <c r="N124" i="24"/>
  <c r="M124" i="24"/>
  <c r="L124" i="24"/>
  <c r="K124" i="24"/>
  <c r="J124" i="24"/>
  <c r="S123" i="24"/>
  <c r="R123" i="24"/>
  <c r="Q123" i="24"/>
  <c r="P123" i="24"/>
  <c r="O123" i="24"/>
  <c r="N123" i="24"/>
  <c r="M123" i="24"/>
  <c r="L123" i="24"/>
  <c r="K123" i="24"/>
  <c r="J123" i="24"/>
  <c r="S122" i="24"/>
  <c r="R122" i="24"/>
  <c r="Q122" i="24"/>
  <c r="P122" i="24"/>
  <c r="O122" i="24"/>
  <c r="N122" i="24"/>
  <c r="M122" i="24"/>
  <c r="L122" i="24"/>
  <c r="K122" i="24"/>
  <c r="J122" i="24"/>
  <c r="S121" i="24"/>
  <c r="R121" i="24"/>
  <c r="Q121" i="24"/>
  <c r="P121" i="24"/>
  <c r="O121" i="24"/>
  <c r="N121" i="24"/>
  <c r="M121" i="24"/>
  <c r="L121" i="24"/>
  <c r="K121" i="24"/>
  <c r="J121" i="24"/>
  <c r="S120" i="24"/>
  <c r="R120" i="24"/>
  <c r="Q120" i="24"/>
  <c r="P120" i="24"/>
  <c r="O120" i="24"/>
  <c r="N120" i="24"/>
  <c r="M120" i="24"/>
  <c r="L120" i="24"/>
  <c r="K120" i="24"/>
  <c r="J120" i="24"/>
  <c r="S119" i="24"/>
  <c r="R119" i="24"/>
  <c r="Q119" i="24"/>
  <c r="P119" i="24"/>
  <c r="O119" i="24"/>
  <c r="N119" i="24"/>
  <c r="M119" i="24"/>
  <c r="L119" i="24"/>
  <c r="K119" i="24"/>
  <c r="J119" i="24"/>
  <c r="S118" i="24"/>
  <c r="R118" i="24"/>
  <c r="Q118" i="24"/>
  <c r="P118" i="24"/>
  <c r="O118" i="24"/>
  <c r="N118" i="24"/>
  <c r="M118" i="24"/>
  <c r="L118" i="24"/>
  <c r="K118" i="24"/>
  <c r="J118" i="24"/>
  <c r="S117" i="24"/>
  <c r="R117" i="24"/>
  <c r="Q117" i="24"/>
  <c r="P117" i="24"/>
  <c r="O117" i="24"/>
  <c r="N117" i="24"/>
  <c r="M117" i="24"/>
  <c r="L117" i="24"/>
  <c r="K117" i="24"/>
  <c r="J117" i="24"/>
  <c r="S116" i="24"/>
  <c r="R116" i="24"/>
  <c r="Q116" i="24"/>
  <c r="P116" i="24"/>
  <c r="O116" i="24"/>
  <c r="N116" i="24"/>
  <c r="M116" i="24"/>
  <c r="L116" i="24"/>
  <c r="K116" i="24"/>
  <c r="J116" i="24"/>
  <c r="S115" i="24"/>
  <c r="R115" i="24"/>
  <c r="Q115" i="24"/>
  <c r="P115" i="24"/>
  <c r="O115" i="24"/>
  <c r="N115" i="24"/>
  <c r="M115" i="24"/>
  <c r="L115" i="24"/>
  <c r="K115" i="24"/>
  <c r="J115" i="24"/>
  <c r="S114" i="24"/>
  <c r="R114" i="24"/>
  <c r="Q114" i="24"/>
  <c r="P114" i="24"/>
  <c r="O114" i="24"/>
  <c r="N114" i="24"/>
  <c r="M114" i="24"/>
  <c r="L114" i="24"/>
  <c r="K114" i="24"/>
  <c r="J114" i="24"/>
  <c r="S113" i="24"/>
  <c r="R113" i="24"/>
  <c r="Q113" i="24"/>
  <c r="P113" i="24"/>
  <c r="O113" i="24"/>
  <c r="N113" i="24"/>
  <c r="M113" i="24"/>
  <c r="L113" i="24"/>
  <c r="K113" i="24"/>
  <c r="J113" i="24"/>
  <c r="S112" i="24"/>
  <c r="R112" i="24"/>
  <c r="Q112" i="24"/>
  <c r="P112" i="24"/>
  <c r="O112" i="24"/>
  <c r="N112" i="24"/>
  <c r="M112" i="24"/>
  <c r="L112" i="24"/>
  <c r="K112" i="24"/>
  <c r="J112" i="24"/>
  <c r="S111" i="24"/>
  <c r="R111" i="24"/>
  <c r="Q111" i="24"/>
  <c r="P111" i="24"/>
  <c r="O111" i="24"/>
  <c r="N111" i="24"/>
  <c r="M111" i="24"/>
  <c r="L111" i="24"/>
  <c r="K111" i="24"/>
  <c r="J111" i="24"/>
  <c r="S110" i="24"/>
  <c r="R110" i="24"/>
  <c r="Q110" i="24"/>
  <c r="P110" i="24"/>
  <c r="O110" i="24"/>
  <c r="N110" i="24"/>
  <c r="M110" i="24"/>
  <c r="L110" i="24"/>
  <c r="K110" i="24"/>
  <c r="J110" i="24"/>
  <c r="S109" i="24"/>
  <c r="R109" i="24"/>
  <c r="Q109" i="24"/>
  <c r="P109" i="24"/>
  <c r="O109" i="24"/>
  <c r="N109" i="24"/>
  <c r="M109" i="24"/>
  <c r="L109" i="24"/>
  <c r="K109" i="24"/>
  <c r="J109" i="24"/>
  <c r="S108" i="24"/>
  <c r="R108" i="24"/>
  <c r="Q108" i="24"/>
  <c r="P108" i="24"/>
  <c r="O108" i="24"/>
  <c r="N108" i="24"/>
  <c r="M108" i="24"/>
  <c r="L108" i="24"/>
  <c r="K108" i="24"/>
  <c r="J108" i="24"/>
  <c r="S107" i="24"/>
  <c r="R107" i="24"/>
  <c r="Q107" i="24"/>
  <c r="P107" i="24"/>
  <c r="O107" i="24"/>
  <c r="N107" i="24"/>
  <c r="M107" i="24"/>
  <c r="L107" i="24"/>
  <c r="K107" i="24"/>
  <c r="J107" i="24"/>
  <c r="S106" i="24"/>
  <c r="R106" i="24"/>
  <c r="Q106" i="24"/>
  <c r="P106" i="24"/>
  <c r="O106" i="24"/>
  <c r="N106" i="24"/>
  <c r="M106" i="24"/>
  <c r="L106" i="24"/>
  <c r="K106" i="24"/>
  <c r="J106" i="24"/>
  <c r="S105" i="24"/>
  <c r="R105" i="24"/>
  <c r="Q105" i="24"/>
  <c r="P105" i="24"/>
  <c r="O105" i="24"/>
  <c r="N105" i="24"/>
  <c r="M105" i="24"/>
  <c r="L105" i="24"/>
  <c r="K105" i="24"/>
  <c r="J105" i="24"/>
  <c r="S104" i="24"/>
  <c r="R104" i="24"/>
  <c r="Q104" i="24"/>
  <c r="P104" i="24"/>
  <c r="O104" i="24"/>
  <c r="N104" i="24"/>
  <c r="M104" i="24"/>
  <c r="L104" i="24"/>
  <c r="K104" i="24"/>
  <c r="J104" i="24"/>
  <c r="S103" i="24"/>
  <c r="R103" i="24"/>
  <c r="Q103" i="24"/>
  <c r="P103" i="24"/>
  <c r="O103" i="24"/>
  <c r="N103" i="24"/>
  <c r="M103" i="24"/>
  <c r="L103" i="24"/>
  <c r="K103" i="24"/>
  <c r="J103" i="24"/>
  <c r="S102" i="24"/>
  <c r="R102" i="24"/>
  <c r="Q102" i="24"/>
  <c r="P102" i="24"/>
  <c r="O102" i="24"/>
  <c r="N102" i="24"/>
  <c r="M102" i="24"/>
  <c r="L102" i="24"/>
  <c r="K102" i="24"/>
  <c r="J102" i="24"/>
  <c r="S101" i="24"/>
  <c r="R101" i="24"/>
  <c r="Q101" i="24"/>
  <c r="P101" i="24"/>
  <c r="O101" i="24"/>
  <c r="N101" i="24"/>
  <c r="M101" i="24"/>
  <c r="L101" i="24"/>
  <c r="K101" i="24"/>
  <c r="R124" i="23"/>
  <c r="Q124" i="23"/>
  <c r="P124" i="23"/>
  <c r="O124" i="23"/>
  <c r="N124" i="23"/>
  <c r="M124" i="23"/>
  <c r="L124" i="23"/>
  <c r="K124" i="23"/>
  <c r="J124" i="23"/>
  <c r="S123" i="23"/>
  <c r="R123" i="23"/>
  <c r="Q123" i="23"/>
  <c r="P123" i="23"/>
  <c r="O123" i="23"/>
  <c r="N123" i="23"/>
  <c r="M123" i="23"/>
  <c r="L123" i="23"/>
  <c r="K123" i="23"/>
  <c r="J123" i="23"/>
  <c r="S122" i="23"/>
  <c r="R122" i="23"/>
  <c r="Q122" i="23"/>
  <c r="P122" i="23"/>
  <c r="O122" i="23"/>
  <c r="N122" i="23"/>
  <c r="M122" i="23"/>
  <c r="L122" i="23"/>
  <c r="K122" i="23"/>
  <c r="J122" i="23"/>
  <c r="S121" i="23"/>
  <c r="R121" i="23"/>
  <c r="Q121" i="23"/>
  <c r="P121" i="23"/>
  <c r="O121" i="23"/>
  <c r="N121" i="23"/>
  <c r="M121" i="23"/>
  <c r="L121" i="23"/>
  <c r="K121" i="23"/>
  <c r="J121" i="23"/>
  <c r="S120" i="23"/>
  <c r="R120" i="23"/>
  <c r="Q120" i="23"/>
  <c r="P120" i="23"/>
  <c r="O120" i="23"/>
  <c r="N120" i="23"/>
  <c r="M120" i="23"/>
  <c r="L120" i="23"/>
  <c r="K120" i="23"/>
  <c r="J120" i="23"/>
  <c r="S119" i="23"/>
  <c r="R119" i="23"/>
  <c r="Q119" i="23"/>
  <c r="P119" i="23"/>
  <c r="O119" i="23"/>
  <c r="N119" i="23"/>
  <c r="M119" i="23"/>
  <c r="L119" i="23"/>
  <c r="K119" i="23"/>
  <c r="J119" i="23"/>
  <c r="S118" i="23"/>
  <c r="R118" i="23"/>
  <c r="Q118" i="23"/>
  <c r="P118" i="23"/>
  <c r="O118" i="23"/>
  <c r="N118" i="23"/>
  <c r="M118" i="23"/>
  <c r="L118" i="23"/>
  <c r="K118" i="23"/>
  <c r="J118" i="23"/>
  <c r="S117" i="23"/>
  <c r="R117" i="23"/>
  <c r="Q117" i="23"/>
  <c r="P117" i="23"/>
  <c r="O117" i="23"/>
  <c r="N117" i="23"/>
  <c r="M117" i="23"/>
  <c r="L117" i="23"/>
  <c r="K117" i="23"/>
  <c r="J117" i="23"/>
  <c r="S116" i="23"/>
  <c r="R116" i="23"/>
  <c r="Q116" i="23"/>
  <c r="P116" i="23"/>
  <c r="O116" i="23"/>
  <c r="N116" i="23"/>
  <c r="M116" i="23"/>
  <c r="L116" i="23"/>
  <c r="K116" i="23"/>
  <c r="J116" i="23"/>
  <c r="S115" i="23"/>
  <c r="R115" i="23"/>
  <c r="Q115" i="23"/>
  <c r="P115" i="23"/>
  <c r="O115" i="23"/>
  <c r="N115" i="23"/>
  <c r="M115" i="23"/>
  <c r="L115" i="23"/>
  <c r="K115" i="23"/>
  <c r="J115" i="23"/>
  <c r="S114" i="23"/>
  <c r="R114" i="23"/>
  <c r="Q114" i="23"/>
  <c r="P114" i="23"/>
  <c r="O114" i="23"/>
  <c r="N114" i="23"/>
  <c r="M114" i="23"/>
  <c r="L114" i="23"/>
  <c r="K114" i="23"/>
  <c r="J114" i="23"/>
  <c r="S113" i="23"/>
  <c r="R113" i="23"/>
  <c r="Q113" i="23"/>
  <c r="P113" i="23"/>
  <c r="O113" i="23"/>
  <c r="N113" i="23"/>
  <c r="M113" i="23"/>
  <c r="L113" i="23"/>
  <c r="K113" i="23"/>
  <c r="J113" i="23"/>
  <c r="S112" i="23"/>
  <c r="R112" i="23"/>
  <c r="Q112" i="23"/>
  <c r="P112" i="23"/>
  <c r="O112" i="23"/>
  <c r="N112" i="23"/>
  <c r="M112" i="23"/>
  <c r="L112" i="23"/>
  <c r="K112" i="23"/>
  <c r="J112" i="23"/>
  <c r="S111" i="23"/>
  <c r="R111" i="23"/>
  <c r="Q111" i="23"/>
  <c r="P111" i="23"/>
  <c r="O111" i="23"/>
  <c r="N111" i="23"/>
  <c r="M111" i="23"/>
  <c r="L111" i="23"/>
  <c r="K111" i="23"/>
  <c r="J111" i="23"/>
  <c r="S110" i="23"/>
  <c r="R110" i="23"/>
  <c r="Q110" i="23"/>
  <c r="P110" i="23"/>
  <c r="O110" i="23"/>
  <c r="N110" i="23"/>
  <c r="M110" i="23"/>
  <c r="L110" i="23"/>
  <c r="K110" i="23"/>
  <c r="J110" i="23"/>
  <c r="S109" i="23"/>
  <c r="R109" i="23"/>
  <c r="Q109" i="23"/>
  <c r="P109" i="23"/>
  <c r="O109" i="23"/>
  <c r="N109" i="23"/>
  <c r="M109" i="23"/>
  <c r="L109" i="23"/>
  <c r="K109" i="23"/>
  <c r="J109" i="23"/>
  <c r="S108" i="23"/>
  <c r="R108" i="23"/>
  <c r="Q108" i="23"/>
  <c r="P108" i="23"/>
  <c r="O108" i="23"/>
  <c r="N108" i="23"/>
  <c r="M108" i="23"/>
  <c r="L108" i="23"/>
  <c r="K108" i="23"/>
  <c r="J108" i="23"/>
  <c r="S107" i="23"/>
  <c r="R107" i="23"/>
  <c r="Q107" i="23"/>
  <c r="P107" i="23"/>
  <c r="O107" i="23"/>
  <c r="N107" i="23"/>
  <c r="M107" i="23"/>
  <c r="L107" i="23"/>
  <c r="K107" i="23"/>
  <c r="J107" i="23"/>
  <c r="S106" i="23"/>
  <c r="R106" i="23"/>
  <c r="Q106" i="23"/>
  <c r="P106" i="23"/>
  <c r="O106" i="23"/>
  <c r="N106" i="23"/>
  <c r="M106" i="23"/>
  <c r="L106" i="23"/>
  <c r="K106" i="23"/>
  <c r="J106" i="23"/>
  <c r="S105" i="23"/>
  <c r="R105" i="23"/>
  <c r="Q105" i="23"/>
  <c r="P105" i="23"/>
  <c r="O105" i="23"/>
  <c r="N105" i="23"/>
  <c r="M105" i="23"/>
  <c r="L105" i="23"/>
  <c r="K105" i="23"/>
  <c r="J105" i="23"/>
  <c r="S104" i="23"/>
  <c r="R104" i="23"/>
  <c r="Q104" i="23"/>
  <c r="P104" i="23"/>
  <c r="O104" i="23"/>
  <c r="N104" i="23"/>
  <c r="M104" i="23"/>
  <c r="L104" i="23"/>
  <c r="K104" i="23"/>
  <c r="J104" i="23"/>
  <c r="S103" i="23"/>
  <c r="R103" i="23"/>
  <c r="Q103" i="23"/>
  <c r="P103" i="23"/>
  <c r="O103" i="23"/>
  <c r="N103" i="23"/>
  <c r="M103" i="23"/>
  <c r="L103" i="23"/>
  <c r="K103" i="23"/>
  <c r="J103" i="23"/>
  <c r="S102" i="23"/>
  <c r="R102" i="23"/>
  <c r="Q102" i="23"/>
  <c r="P102" i="23"/>
  <c r="O102" i="23"/>
  <c r="N102" i="23"/>
  <c r="M102" i="23"/>
  <c r="L102" i="23"/>
  <c r="K102" i="23"/>
  <c r="J102" i="23"/>
  <c r="S101" i="23"/>
  <c r="R101" i="23"/>
  <c r="Q101" i="23"/>
  <c r="P101" i="23"/>
  <c r="O101" i="23"/>
  <c r="N101" i="23"/>
  <c r="M101" i="23"/>
  <c r="L101" i="23"/>
  <c r="K101" i="23"/>
  <c r="R124" i="22"/>
  <c r="Q124" i="22"/>
  <c r="P124" i="22"/>
  <c r="O124" i="22"/>
  <c r="N124" i="22"/>
  <c r="M124" i="22"/>
  <c r="L124" i="22"/>
  <c r="K124" i="22"/>
  <c r="J124" i="22"/>
  <c r="S123" i="22"/>
  <c r="R123" i="22"/>
  <c r="Q123" i="22"/>
  <c r="P123" i="22"/>
  <c r="O123" i="22"/>
  <c r="N123" i="22"/>
  <c r="M123" i="22"/>
  <c r="L123" i="22"/>
  <c r="K123" i="22"/>
  <c r="J123" i="22"/>
  <c r="S122" i="22"/>
  <c r="R122" i="22"/>
  <c r="Q122" i="22"/>
  <c r="P122" i="22"/>
  <c r="O122" i="22"/>
  <c r="N122" i="22"/>
  <c r="M122" i="22"/>
  <c r="L122" i="22"/>
  <c r="K122" i="22"/>
  <c r="J122" i="22"/>
  <c r="S121" i="22"/>
  <c r="R121" i="22"/>
  <c r="Q121" i="22"/>
  <c r="P121" i="22"/>
  <c r="O121" i="22"/>
  <c r="N121" i="22"/>
  <c r="M121" i="22"/>
  <c r="L121" i="22"/>
  <c r="K121" i="22"/>
  <c r="J121" i="22"/>
  <c r="S120" i="22"/>
  <c r="R120" i="22"/>
  <c r="Q120" i="22"/>
  <c r="P120" i="22"/>
  <c r="O120" i="22"/>
  <c r="N120" i="22"/>
  <c r="M120" i="22"/>
  <c r="L120" i="22"/>
  <c r="K120" i="22"/>
  <c r="J120" i="22"/>
  <c r="S119" i="22"/>
  <c r="R119" i="22"/>
  <c r="Q119" i="22"/>
  <c r="P119" i="22"/>
  <c r="O119" i="22"/>
  <c r="N119" i="22"/>
  <c r="M119" i="22"/>
  <c r="L119" i="22"/>
  <c r="K119" i="22"/>
  <c r="J119" i="22"/>
  <c r="S118" i="22"/>
  <c r="R118" i="22"/>
  <c r="Q118" i="22"/>
  <c r="P118" i="22"/>
  <c r="O118" i="22"/>
  <c r="N118" i="22"/>
  <c r="M118" i="22"/>
  <c r="L118" i="22"/>
  <c r="K118" i="22"/>
  <c r="J118" i="22"/>
  <c r="S117" i="22"/>
  <c r="R117" i="22"/>
  <c r="Q117" i="22"/>
  <c r="P117" i="22"/>
  <c r="O117" i="22"/>
  <c r="N117" i="22"/>
  <c r="M117" i="22"/>
  <c r="L117" i="22"/>
  <c r="K117" i="22"/>
  <c r="J117" i="22"/>
  <c r="S116" i="22"/>
  <c r="R116" i="22"/>
  <c r="Q116" i="22"/>
  <c r="P116" i="22"/>
  <c r="O116" i="22"/>
  <c r="N116" i="22"/>
  <c r="M116" i="22"/>
  <c r="L116" i="22"/>
  <c r="K116" i="22"/>
  <c r="J116" i="22"/>
  <c r="S115" i="22"/>
  <c r="R115" i="22"/>
  <c r="Q115" i="22"/>
  <c r="P115" i="22"/>
  <c r="O115" i="22"/>
  <c r="N115" i="22"/>
  <c r="M115" i="22"/>
  <c r="L115" i="22"/>
  <c r="K115" i="22"/>
  <c r="J115" i="22"/>
  <c r="S114" i="22"/>
  <c r="R114" i="22"/>
  <c r="Q114" i="22"/>
  <c r="P114" i="22"/>
  <c r="O114" i="22"/>
  <c r="N114" i="22"/>
  <c r="M114" i="22"/>
  <c r="L114" i="22"/>
  <c r="K114" i="22"/>
  <c r="J114" i="22"/>
  <c r="S113" i="22"/>
  <c r="R113" i="22"/>
  <c r="Q113" i="22"/>
  <c r="P113" i="22"/>
  <c r="O113" i="22"/>
  <c r="N113" i="22"/>
  <c r="M113" i="22"/>
  <c r="L113" i="22"/>
  <c r="K113" i="22"/>
  <c r="J113" i="22"/>
  <c r="S112" i="22"/>
  <c r="R112" i="22"/>
  <c r="Q112" i="22"/>
  <c r="P112" i="22"/>
  <c r="O112" i="22"/>
  <c r="N112" i="22"/>
  <c r="M112" i="22"/>
  <c r="L112" i="22"/>
  <c r="K112" i="22"/>
  <c r="J112" i="22"/>
  <c r="S111" i="22"/>
  <c r="R111" i="22"/>
  <c r="Q111" i="22"/>
  <c r="P111" i="22"/>
  <c r="O111" i="22"/>
  <c r="N111" i="22"/>
  <c r="M111" i="22"/>
  <c r="L111" i="22"/>
  <c r="K111" i="22"/>
  <c r="J111" i="22"/>
  <c r="S110" i="22"/>
  <c r="R110" i="22"/>
  <c r="Q110" i="22"/>
  <c r="P110" i="22"/>
  <c r="O110" i="22"/>
  <c r="N110" i="22"/>
  <c r="M110" i="22"/>
  <c r="L110" i="22"/>
  <c r="K110" i="22"/>
  <c r="J110" i="22"/>
  <c r="S109" i="22"/>
  <c r="R109" i="22"/>
  <c r="Q109" i="22"/>
  <c r="P109" i="22"/>
  <c r="O109" i="22"/>
  <c r="N109" i="22"/>
  <c r="M109" i="22"/>
  <c r="L109" i="22"/>
  <c r="K109" i="22"/>
  <c r="J109" i="22"/>
  <c r="S108" i="22"/>
  <c r="R108" i="22"/>
  <c r="Q108" i="22"/>
  <c r="P108" i="22"/>
  <c r="O108" i="22"/>
  <c r="N108" i="22"/>
  <c r="M108" i="22"/>
  <c r="L108" i="22"/>
  <c r="K108" i="22"/>
  <c r="J108" i="22"/>
  <c r="S107" i="22"/>
  <c r="R107" i="22"/>
  <c r="Q107" i="22"/>
  <c r="P107" i="22"/>
  <c r="O107" i="22"/>
  <c r="N107" i="22"/>
  <c r="M107" i="22"/>
  <c r="L107" i="22"/>
  <c r="K107" i="22"/>
  <c r="J107" i="22"/>
  <c r="S106" i="22"/>
  <c r="R106" i="22"/>
  <c r="Q106" i="22"/>
  <c r="P106" i="22"/>
  <c r="O106" i="22"/>
  <c r="N106" i="22"/>
  <c r="M106" i="22"/>
  <c r="L106" i="22"/>
  <c r="K106" i="22"/>
  <c r="J106" i="22"/>
  <c r="S105" i="22"/>
  <c r="R105" i="22"/>
  <c r="Q105" i="22"/>
  <c r="P105" i="22"/>
  <c r="O105" i="22"/>
  <c r="N105" i="22"/>
  <c r="M105" i="22"/>
  <c r="L105" i="22"/>
  <c r="K105" i="22"/>
  <c r="J105" i="22"/>
  <c r="S104" i="22"/>
  <c r="R104" i="22"/>
  <c r="Q104" i="22"/>
  <c r="P104" i="22"/>
  <c r="O104" i="22"/>
  <c r="N104" i="22"/>
  <c r="M104" i="22"/>
  <c r="L104" i="22"/>
  <c r="K104" i="22"/>
  <c r="J104" i="22"/>
  <c r="S103" i="22"/>
  <c r="R103" i="22"/>
  <c r="Q103" i="22"/>
  <c r="P103" i="22"/>
  <c r="O103" i="22"/>
  <c r="N103" i="22"/>
  <c r="M103" i="22"/>
  <c r="L103" i="22"/>
  <c r="K103" i="22"/>
  <c r="J103" i="22"/>
  <c r="S102" i="22"/>
  <c r="R102" i="22"/>
  <c r="Q102" i="22"/>
  <c r="P102" i="22"/>
  <c r="O102" i="22"/>
  <c r="N102" i="22"/>
  <c r="M102" i="22"/>
  <c r="L102" i="22"/>
  <c r="K102" i="22"/>
  <c r="J102" i="22"/>
  <c r="S101" i="22"/>
  <c r="R101" i="22"/>
  <c r="Q101" i="22"/>
  <c r="P101" i="22"/>
  <c r="O101" i="22"/>
  <c r="N101" i="22"/>
  <c r="M101" i="22"/>
  <c r="L101" i="22"/>
  <c r="K101" i="22"/>
  <c r="R124" i="21"/>
  <c r="Q124" i="21"/>
  <c r="P124" i="21"/>
  <c r="O124" i="21"/>
  <c r="N124" i="21"/>
  <c r="M124" i="21"/>
  <c r="L124" i="21"/>
  <c r="K124" i="21"/>
  <c r="J124" i="21"/>
  <c r="S123" i="21"/>
  <c r="R123" i="21"/>
  <c r="Q123" i="21"/>
  <c r="P123" i="21"/>
  <c r="O123" i="21"/>
  <c r="N123" i="21"/>
  <c r="M123" i="21"/>
  <c r="L123" i="21"/>
  <c r="K123" i="21"/>
  <c r="J123" i="21"/>
  <c r="S122" i="21"/>
  <c r="R122" i="21"/>
  <c r="Q122" i="21"/>
  <c r="P122" i="21"/>
  <c r="O122" i="21"/>
  <c r="N122" i="21"/>
  <c r="M122" i="21"/>
  <c r="L122" i="21"/>
  <c r="K122" i="21"/>
  <c r="J122" i="21"/>
  <c r="S121" i="21"/>
  <c r="R121" i="21"/>
  <c r="Q121" i="21"/>
  <c r="P121" i="21"/>
  <c r="O121" i="21"/>
  <c r="N121" i="21"/>
  <c r="M121" i="21"/>
  <c r="L121" i="21"/>
  <c r="K121" i="21"/>
  <c r="J121" i="21"/>
  <c r="S120" i="21"/>
  <c r="R120" i="21"/>
  <c r="Q120" i="21"/>
  <c r="P120" i="21"/>
  <c r="O120" i="21"/>
  <c r="N120" i="21"/>
  <c r="M120" i="21"/>
  <c r="L120" i="21"/>
  <c r="K120" i="21"/>
  <c r="J120" i="21"/>
  <c r="S119" i="21"/>
  <c r="R119" i="21"/>
  <c r="Q119" i="21"/>
  <c r="P119" i="21"/>
  <c r="O119" i="21"/>
  <c r="N119" i="21"/>
  <c r="M119" i="21"/>
  <c r="L119" i="21"/>
  <c r="K119" i="21"/>
  <c r="J119" i="21"/>
  <c r="S118" i="21"/>
  <c r="R118" i="21"/>
  <c r="Q118" i="21"/>
  <c r="P118" i="21"/>
  <c r="O118" i="21"/>
  <c r="N118" i="21"/>
  <c r="M118" i="21"/>
  <c r="L118" i="21"/>
  <c r="K118" i="21"/>
  <c r="J118" i="21"/>
  <c r="S117" i="21"/>
  <c r="R117" i="21"/>
  <c r="Q117" i="21"/>
  <c r="P117" i="21"/>
  <c r="O117" i="21"/>
  <c r="N117" i="21"/>
  <c r="M117" i="21"/>
  <c r="L117" i="21"/>
  <c r="K117" i="21"/>
  <c r="J117" i="21"/>
  <c r="S116" i="21"/>
  <c r="R116" i="21"/>
  <c r="Q116" i="21"/>
  <c r="P116" i="21"/>
  <c r="O116" i="21"/>
  <c r="N116" i="21"/>
  <c r="M116" i="21"/>
  <c r="L116" i="21"/>
  <c r="K116" i="21"/>
  <c r="J116" i="21"/>
  <c r="S115" i="21"/>
  <c r="R115" i="21"/>
  <c r="Q115" i="21"/>
  <c r="P115" i="21"/>
  <c r="O115" i="21"/>
  <c r="N115" i="21"/>
  <c r="M115" i="21"/>
  <c r="L115" i="21"/>
  <c r="K115" i="21"/>
  <c r="J115" i="21"/>
  <c r="S114" i="21"/>
  <c r="R114" i="21"/>
  <c r="Q114" i="21"/>
  <c r="P114" i="21"/>
  <c r="O114" i="21"/>
  <c r="N114" i="21"/>
  <c r="M114" i="21"/>
  <c r="L114" i="21"/>
  <c r="K114" i="21"/>
  <c r="J114" i="21"/>
  <c r="S113" i="21"/>
  <c r="R113" i="21"/>
  <c r="Q113" i="21"/>
  <c r="P113" i="21"/>
  <c r="O113" i="21"/>
  <c r="N113" i="21"/>
  <c r="M113" i="21"/>
  <c r="L113" i="21"/>
  <c r="K113" i="21"/>
  <c r="J113" i="21"/>
  <c r="S112" i="21"/>
  <c r="R112" i="21"/>
  <c r="Q112" i="21"/>
  <c r="P112" i="21"/>
  <c r="O112" i="21"/>
  <c r="N112" i="21"/>
  <c r="M112" i="21"/>
  <c r="L112" i="21"/>
  <c r="K112" i="21"/>
  <c r="J112" i="21"/>
  <c r="S111" i="21"/>
  <c r="R111" i="21"/>
  <c r="Q111" i="21"/>
  <c r="P111" i="21"/>
  <c r="O111" i="21"/>
  <c r="N111" i="21"/>
  <c r="M111" i="21"/>
  <c r="L111" i="21"/>
  <c r="K111" i="21"/>
  <c r="J111" i="21"/>
  <c r="S110" i="21"/>
  <c r="R110" i="21"/>
  <c r="Q110" i="21"/>
  <c r="P110" i="21"/>
  <c r="O110" i="21"/>
  <c r="N110" i="21"/>
  <c r="M110" i="21"/>
  <c r="L110" i="21"/>
  <c r="K110" i="21"/>
  <c r="J110" i="21"/>
  <c r="S109" i="21"/>
  <c r="R109" i="21"/>
  <c r="Q109" i="21"/>
  <c r="P109" i="21"/>
  <c r="O109" i="21"/>
  <c r="N109" i="21"/>
  <c r="M109" i="21"/>
  <c r="L109" i="21"/>
  <c r="K109" i="21"/>
  <c r="J109" i="21"/>
  <c r="S108" i="21"/>
  <c r="R108" i="21"/>
  <c r="Q108" i="21"/>
  <c r="P108" i="21"/>
  <c r="O108" i="21"/>
  <c r="N108" i="21"/>
  <c r="M108" i="21"/>
  <c r="L108" i="21"/>
  <c r="K108" i="21"/>
  <c r="J108" i="21"/>
  <c r="S107" i="21"/>
  <c r="R107" i="21"/>
  <c r="Q107" i="21"/>
  <c r="P107" i="21"/>
  <c r="O107" i="21"/>
  <c r="N107" i="21"/>
  <c r="M107" i="21"/>
  <c r="L107" i="21"/>
  <c r="K107" i="21"/>
  <c r="J107" i="21"/>
  <c r="S106" i="21"/>
  <c r="R106" i="21"/>
  <c r="Q106" i="21"/>
  <c r="P106" i="21"/>
  <c r="O106" i="21"/>
  <c r="N106" i="21"/>
  <c r="M106" i="21"/>
  <c r="L106" i="21"/>
  <c r="K106" i="21"/>
  <c r="J106" i="21"/>
  <c r="S105" i="21"/>
  <c r="R105" i="21"/>
  <c r="Q105" i="21"/>
  <c r="P105" i="21"/>
  <c r="O105" i="21"/>
  <c r="N105" i="21"/>
  <c r="M105" i="21"/>
  <c r="L105" i="21"/>
  <c r="K105" i="21"/>
  <c r="J105" i="21"/>
  <c r="S104" i="21"/>
  <c r="R104" i="21"/>
  <c r="Q104" i="21"/>
  <c r="P104" i="21"/>
  <c r="O104" i="21"/>
  <c r="N104" i="21"/>
  <c r="M104" i="21"/>
  <c r="L104" i="21"/>
  <c r="K104" i="21"/>
  <c r="J104" i="21"/>
  <c r="S103" i="21"/>
  <c r="R103" i="21"/>
  <c r="Q103" i="21"/>
  <c r="P103" i="21"/>
  <c r="O103" i="21"/>
  <c r="N103" i="21"/>
  <c r="M103" i="21"/>
  <c r="L103" i="21"/>
  <c r="K103" i="21"/>
  <c r="J103" i="21"/>
  <c r="S102" i="21"/>
  <c r="R102" i="21"/>
  <c r="Q102" i="21"/>
  <c r="P102" i="21"/>
  <c r="O102" i="21"/>
  <c r="N102" i="21"/>
  <c r="M102" i="21"/>
  <c r="L102" i="21"/>
  <c r="K102" i="21"/>
  <c r="J102" i="21"/>
  <c r="S101" i="21"/>
  <c r="R101" i="21"/>
  <c r="Q101" i="21"/>
  <c r="P101" i="21"/>
  <c r="O101" i="21"/>
  <c r="N101" i="21"/>
  <c r="M101" i="21"/>
  <c r="L101" i="21"/>
  <c r="K101" i="21"/>
  <c r="R124" i="20"/>
  <c r="Q124" i="20"/>
  <c r="P124" i="20"/>
  <c r="O124" i="20"/>
  <c r="N124" i="20"/>
  <c r="M124" i="20"/>
  <c r="L124" i="20"/>
  <c r="K124" i="20"/>
  <c r="J124" i="20"/>
  <c r="S123" i="20"/>
  <c r="R123" i="20"/>
  <c r="Q123" i="20"/>
  <c r="P123" i="20"/>
  <c r="O123" i="20"/>
  <c r="N123" i="20"/>
  <c r="M123" i="20"/>
  <c r="L123" i="20"/>
  <c r="K123" i="20"/>
  <c r="J123" i="20"/>
  <c r="S122" i="20"/>
  <c r="R122" i="20"/>
  <c r="Q122" i="20"/>
  <c r="P122" i="20"/>
  <c r="O122" i="20"/>
  <c r="N122" i="20"/>
  <c r="M122" i="20"/>
  <c r="L122" i="20"/>
  <c r="K122" i="20"/>
  <c r="J122" i="20"/>
  <c r="S121" i="20"/>
  <c r="R121" i="20"/>
  <c r="Q121" i="20"/>
  <c r="P121" i="20"/>
  <c r="O121" i="20"/>
  <c r="N121" i="20"/>
  <c r="M121" i="20"/>
  <c r="L121" i="20"/>
  <c r="K121" i="20"/>
  <c r="J121" i="20"/>
  <c r="S120" i="20"/>
  <c r="R120" i="20"/>
  <c r="Q120" i="20"/>
  <c r="P120" i="20"/>
  <c r="O120" i="20"/>
  <c r="N120" i="20"/>
  <c r="M120" i="20"/>
  <c r="L120" i="20"/>
  <c r="K120" i="20"/>
  <c r="J120" i="20"/>
  <c r="S119" i="20"/>
  <c r="R119" i="20"/>
  <c r="Q119" i="20"/>
  <c r="P119" i="20"/>
  <c r="O119" i="20"/>
  <c r="N119" i="20"/>
  <c r="M119" i="20"/>
  <c r="L119" i="20"/>
  <c r="K119" i="20"/>
  <c r="J119" i="20"/>
  <c r="S118" i="20"/>
  <c r="R118" i="20"/>
  <c r="Q118" i="20"/>
  <c r="P118" i="20"/>
  <c r="O118" i="20"/>
  <c r="N118" i="20"/>
  <c r="M118" i="20"/>
  <c r="L118" i="20"/>
  <c r="K118" i="20"/>
  <c r="J118" i="20"/>
  <c r="S117" i="20"/>
  <c r="R117" i="20"/>
  <c r="Q117" i="20"/>
  <c r="P117" i="20"/>
  <c r="O117" i="20"/>
  <c r="N117" i="20"/>
  <c r="M117" i="20"/>
  <c r="L117" i="20"/>
  <c r="K117" i="20"/>
  <c r="J117" i="20"/>
  <c r="S116" i="20"/>
  <c r="R116" i="20"/>
  <c r="Q116" i="20"/>
  <c r="P116" i="20"/>
  <c r="O116" i="20"/>
  <c r="N116" i="20"/>
  <c r="M116" i="20"/>
  <c r="L116" i="20"/>
  <c r="K116" i="20"/>
  <c r="J116" i="20"/>
  <c r="S115" i="20"/>
  <c r="R115" i="20"/>
  <c r="Q115" i="20"/>
  <c r="P115" i="20"/>
  <c r="O115" i="20"/>
  <c r="N115" i="20"/>
  <c r="M115" i="20"/>
  <c r="L115" i="20"/>
  <c r="K115" i="20"/>
  <c r="J115" i="20"/>
  <c r="S114" i="20"/>
  <c r="R114" i="20"/>
  <c r="Q114" i="20"/>
  <c r="P114" i="20"/>
  <c r="O114" i="20"/>
  <c r="N114" i="20"/>
  <c r="M114" i="20"/>
  <c r="L114" i="20"/>
  <c r="K114" i="20"/>
  <c r="J114" i="20"/>
  <c r="S113" i="20"/>
  <c r="R113" i="20"/>
  <c r="Q113" i="20"/>
  <c r="P113" i="20"/>
  <c r="O113" i="20"/>
  <c r="N113" i="20"/>
  <c r="M113" i="20"/>
  <c r="L113" i="20"/>
  <c r="K113" i="20"/>
  <c r="J113" i="20"/>
  <c r="S112" i="20"/>
  <c r="R112" i="20"/>
  <c r="Q112" i="20"/>
  <c r="P112" i="20"/>
  <c r="O112" i="20"/>
  <c r="N112" i="20"/>
  <c r="M112" i="20"/>
  <c r="L112" i="20"/>
  <c r="K112" i="20"/>
  <c r="J112" i="20"/>
  <c r="S111" i="20"/>
  <c r="R111" i="20"/>
  <c r="Q111" i="20"/>
  <c r="P111" i="20"/>
  <c r="O111" i="20"/>
  <c r="N111" i="20"/>
  <c r="M111" i="20"/>
  <c r="L111" i="20"/>
  <c r="K111" i="20"/>
  <c r="J111" i="20"/>
  <c r="S110" i="20"/>
  <c r="R110" i="20"/>
  <c r="Q110" i="20"/>
  <c r="P110" i="20"/>
  <c r="O110" i="20"/>
  <c r="N110" i="20"/>
  <c r="M110" i="20"/>
  <c r="L110" i="20"/>
  <c r="K110" i="20"/>
  <c r="J110" i="20"/>
  <c r="S109" i="20"/>
  <c r="R109" i="20"/>
  <c r="Q109" i="20"/>
  <c r="P109" i="20"/>
  <c r="O109" i="20"/>
  <c r="N109" i="20"/>
  <c r="M109" i="20"/>
  <c r="L109" i="20"/>
  <c r="K109" i="20"/>
  <c r="J109" i="20"/>
  <c r="S108" i="20"/>
  <c r="R108" i="20"/>
  <c r="Q108" i="20"/>
  <c r="P108" i="20"/>
  <c r="O108" i="20"/>
  <c r="N108" i="20"/>
  <c r="M108" i="20"/>
  <c r="L108" i="20"/>
  <c r="K108" i="20"/>
  <c r="J108" i="20"/>
  <c r="S107" i="20"/>
  <c r="R107" i="20"/>
  <c r="Q107" i="20"/>
  <c r="P107" i="20"/>
  <c r="O107" i="20"/>
  <c r="N107" i="20"/>
  <c r="M107" i="20"/>
  <c r="L107" i="20"/>
  <c r="K107" i="20"/>
  <c r="J107" i="20"/>
  <c r="S106" i="20"/>
  <c r="R106" i="20"/>
  <c r="Q106" i="20"/>
  <c r="P106" i="20"/>
  <c r="O106" i="20"/>
  <c r="N106" i="20"/>
  <c r="M106" i="20"/>
  <c r="L106" i="20"/>
  <c r="K106" i="20"/>
  <c r="J106" i="20"/>
  <c r="S105" i="20"/>
  <c r="R105" i="20"/>
  <c r="Q105" i="20"/>
  <c r="P105" i="20"/>
  <c r="O105" i="20"/>
  <c r="N105" i="20"/>
  <c r="M105" i="20"/>
  <c r="L105" i="20"/>
  <c r="K105" i="20"/>
  <c r="J105" i="20"/>
  <c r="S104" i="20"/>
  <c r="R104" i="20"/>
  <c r="Q104" i="20"/>
  <c r="P104" i="20"/>
  <c r="O104" i="20"/>
  <c r="N104" i="20"/>
  <c r="M104" i="20"/>
  <c r="L104" i="20"/>
  <c r="K104" i="20"/>
  <c r="J104" i="20"/>
  <c r="S103" i="20"/>
  <c r="R103" i="20"/>
  <c r="Q103" i="20"/>
  <c r="P103" i="20"/>
  <c r="O103" i="20"/>
  <c r="N103" i="20"/>
  <c r="M103" i="20"/>
  <c r="L103" i="20"/>
  <c r="K103" i="20"/>
  <c r="J103" i="20"/>
  <c r="S102" i="20"/>
  <c r="R102" i="20"/>
  <c r="Q102" i="20"/>
  <c r="P102" i="20"/>
  <c r="O102" i="20"/>
  <c r="N102" i="20"/>
  <c r="M102" i="20"/>
  <c r="L102" i="20"/>
  <c r="K102" i="20"/>
  <c r="J102" i="20"/>
  <c r="S101" i="20"/>
  <c r="R101" i="20"/>
  <c r="Q101" i="20"/>
  <c r="P101" i="20"/>
  <c r="O101" i="20"/>
  <c r="N101" i="20"/>
  <c r="M101" i="20"/>
  <c r="L101" i="20"/>
  <c r="K101" i="20"/>
  <c r="R124" i="19"/>
  <c r="Q124" i="19"/>
  <c r="P124" i="19"/>
  <c r="O124" i="19"/>
  <c r="N124" i="19"/>
  <c r="M124" i="19"/>
  <c r="L124" i="19"/>
  <c r="K124" i="19"/>
  <c r="J124" i="19"/>
  <c r="S123" i="19"/>
  <c r="R123" i="19"/>
  <c r="Q123" i="19"/>
  <c r="P123" i="19"/>
  <c r="O123" i="19"/>
  <c r="N123" i="19"/>
  <c r="M123" i="19"/>
  <c r="L123" i="19"/>
  <c r="K123" i="19"/>
  <c r="J123" i="19"/>
  <c r="S122" i="19"/>
  <c r="R122" i="19"/>
  <c r="Q122" i="19"/>
  <c r="P122" i="19"/>
  <c r="O122" i="19"/>
  <c r="N122" i="19"/>
  <c r="M122" i="19"/>
  <c r="L122" i="19"/>
  <c r="K122" i="19"/>
  <c r="J122" i="19"/>
  <c r="S121" i="19"/>
  <c r="R121" i="19"/>
  <c r="Q121" i="19"/>
  <c r="P121" i="19"/>
  <c r="O121" i="19"/>
  <c r="N121" i="19"/>
  <c r="M121" i="19"/>
  <c r="L121" i="19"/>
  <c r="K121" i="19"/>
  <c r="J121" i="19"/>
  <c r="S120" i="19"/>
  <c r="R120" i="19"/>
  <c r="Q120" i="19"/>
  <c r="P120" i="19"/>
  <c r="O120" i="19"/>
  <c r="N120" i="19"/>
  <c r="M120" i="19"/>
  <c r="L120" i="19"/>
  <c r="K120" i="19"/>
  <c r="J120" i="19"/>
  <c r="S119" i="19"/>
  <c r="R119" i="19"/>
  <c r="Q119" i="19"/>
  <c r="P119" i="19"/>
  <c r="O119" i="19"/>
  <c r="N119" i="19"/>
  <c r="M119" i="19"/>
  <c r="L119" i="19"/>
  <c r="K119" i="19"/>
  <c r="J119" i="19"/>
  <c r="S118" i="19"/>
  <c r="R118" i="19"/>
  <c r="Q118" i="19"/>
  <c r="P118" i="19"/>
  <c r="O118" i="19"/>
  <c r="N118" i="19"/>
  <c r="M118" i="19"/>
  <c r="L118" i="19"/>
  <c r="K118" i="19"/>
  <c r="J118" i="19"/>
  <c r="S117" i="19"/>
  <c r="R117" i="19"/>
  <c r="Q117" i="19"/>
  <c r="P117" i="19"/>
  <c r="O117" i="19"/>
  <c r="N117" i="19"/>
  <c r="M117" i="19"/>
  <c r="L117" i="19"/>
  <c r="K117" i="19"/>
  <c r="J117" i="19"/>
  <c r="S116" i="19"/>
  <c r="R116" i="19"/>
  <c r="Q116" i="19"/>
  <c r="P116" i="19"/>
  <c r="O116" i="19"/>
  <c r="N116" i="19"/>
  <c r="M116" i="19"/>
  <c r="L116" i="19"/>
  <c r="K116" i="19"/>
  <c r="J116" i="19"/>
  <c r="S115" i="19"/>
  <c r="R115" i="19"/>
  <c r="Q115" i="19"/>
  <c r="P115" i="19"/>
  <c r="O115" i="19"/>
  <c r="N115" i="19"/>
  <c r="M115" i="19"/>
  <c r="L115" i="19"/>
  <c r="K115" i="19"/>
  <c r="J115" i="19"/>
  <c r="S114" i="19"/>
  <c r="R114" i="19"/>
  <c r="Q114" i="19"/>
  <c r="P114" i="19"/>
  <c r="O114" i="19"/>
  <c r="N114" i="19"/>
  <c r="M114" i="19"/>
  <c r="L114" i="19"/>
  <c r="K114" i="19"/>
  <c r="J114" i="19"/>
  <c r="S113" i="19"/>
  <c r="R113" i="19"/>
  <c r="Q113" i="19"/>
  <c r="P113" i="19"/>
  <c r="O113" i="19"/>
  <c r="N113" i="19"/>
  <c r="M113" i="19"/>
  <c r="L113" i="19"/>
  <c r="K113" i="19"/>
  <c r="J113" i="19"/>
  <c r="S112" i="19"/>
  <c r="R112" i="19"/>
  <c r="Q112" i="19"/>
  <c r="P112" i="19"/>
  <c r="O112" i="19"/>
  <c r="N112" i="19"/>
  <c r="M112" i="19"/>
  <c r="L112" i="19"/>
  <c r="K112" i="19"/>
  <c r="J112" i="19"/>
  <c r="S111" i="19"/>
  <c r="R111" i="19"/>
  <c r="Q111" i="19"/>
  <c r="P111" i="19"/>
  <c r="O111" i="19"/>
  <c r="N111" i="19"/>
  <c r="M111" i="19"/>
  <c r="L111" i="19"/>
  <c r="K111" i="19"/>
  <c r="J111" i="19"/>
  <c r="S110" i="19"/>
  <c r="R110" i="19"/>
  <c r="Q110" i="19"/>
  <c r="P110" i="19"/>
  <c r="O110" i="19"/>
  <c r="N110" i="19"/>
  <c r="M110" i="19"/>
  <c r="L110" i="19"/>
  <c r="K110" i="19"/>
  <c r="J110" i="19"/>
  <c r="S109" i="19"/>
  <c r="R109" i="19"/>
  <c r="Q109" i="19"/>
  <c r="P109" i="19"/>
  <c r="O109" i="19"/>
  <c r="N109" i="19"/>
  <c r="M109" i="19"/>
  <c r="L109" i="19"/>
  <c r="K109" i="19"/>
  <c r="J109" i="19"/>
  <c r="S108" i="19"/>
  <c r="R108" i="19"/>
  <c r="Q108" i="19"/>
  <c r="P108" i="19"/>
  <c r="O108" i="19"/>
  <c r="N108" i="19"/>
  <c r="M108" i="19"/>
  <c r="L108" i="19"/>
  <c r="K108" i="19"/>
  <c r="J108" i="19"/>
  <c r="S107" i="19"/>
  <c r="R107" i="19"/>
  <c r="Q107" i="19"/>
  <c r="P107" i="19"/>
  <c r="O107" i="19"/>
  <c r="N107" i="19"/>
  <c r="M107" i="19"/>
  <c r="L107" i="19"/>
  <c r="K107" i="19"/>
  <c r="J107" i="19"/>
  <c r="S106" i="19"/>
  <c r="R106" i="19"/>
  <c r="Q106" i="19"/>
  <c r="P106" i="19"/>
  <c r="O106" i="19"/>
  <c r="N106" i="19"/>
  <c r="M106" i="19"/>
  <c r="L106" i="19"/>
  <c r="K106" i="19"/>
  <c r="J106" i="19"/>
  <c r="S105" i="19"/>
  <c r="R105" i="19"/>
  <c r="Q105" i="19"/>
  <c r="P105" i="19"/>
  <c r="O105" i="19"/>
  <c r="N105" i="19"/>
  <c r="M105" i="19"/>
  <c r="L105" i="19"/>
  <c r="K105" i="19"/>
  <c r="J105" i="19"/>
  <c r="S104" i="19"/>
  <c r="R104" i="19"/>
  <c r="Q104" i="19"/>
  <c r="P104" i="19"/>
  <c r="O104" i="19"/>
  <c r="N104" i="19"/>
  <c r="M104" i="19"/>
  <c r="L104" i="19"/>
  <c r="K104" i="19"/>
  <c r="J104" i="19"/>
  <c r="S103" i="19"/>
  <c r="R103" i="19"/>
  <c r="Q103" i="19"/>
  <c r="P103" i="19"/>
  <c r="O103" i="19"/>
  <c r="N103" i="19"/>
  <c r="M103" i="19"/>
  <c r="L103" i="19"/>
  <c r="K103" i="19"/>
  <c r="J103" i="19"/>
  <c r="S102" i="19"/>
  <c r="R102" i="19"/>
  <c r="Q102" i="19"/>
  <c r="P102" i="19"/>
  <c r="O102" i="19"/>
  <c r="N102" i="19"/>
  <c r="M102" i="19"/>
  <c r="L102" i="19"/>
  <c r="K102" i="19"/>
  <c r="J102" i="19"/>
  <c r="S101" i="19"/>
  <c r="R101" i="19"/>
  <c r="Q101" i="19"/>
  <c r="P101" i="19"/>
  <c r="O101" i="19"/>
  <c r="N101" i="19"/>
  <c r="M101" i="19"/>
  <c r="L101" i="19"/>
  <c r="K101" i="19"/>
  <c r="R124" i="18"/>
  <c r="Q124" i="18"/>
  <c r="P124" i="18"/>
  <c r="O124" i="18"/>
  <c r="N124" i="18"/>
  <c r="M124" i="18"/>
  <c r="L124" i="18"/>
  <c r="K124" i="18"/>
  <c r="J124" i="18"/>
  <c r="S123" i="18"/>
  <c r="R123" i="18"/>
  <c r="Q123" i="18"/>
  <c r="P123" i="18"/>
  <c r="O123" i="18"/>
  <c r="N123" i="18"/>
  <c r="M123" i="18"/>
  <c r="L123" i="18"/>
  <c r="K123" i="18"/>
  <c r="J123" i="18"/>
  <c r="S122" i="18"/>
  <c r="R122" i="18"/>
  <c r="Q122" i="18"/>
  <c r="P122" i="18"/>
  <c r="O122" i="18"/>
  <c r="N122" i="18"/>
  <c r="M122" i="18"/>
  <c r="L122" i="18"/>
  <c r="K122" i="18"/>
  <c r="J122" i="18"/>
  <c r="S121" i="18"/>
  <c r="R121" i="18"/>
  <c r="Q121" i="18"/>
  <c r="P121" i="18"/>
  <c r="O121" i="18"/>
  <c r="N121" i="18"/>
  <c r="M121" i="18"/>
  <c r="L121" i="18"/>
  <c r="K121" i="18"/>
  <c r="J121" i="18"/>
  <c r="S120" i="18"/>
  <c r="R120" i="18"/>
  <c r="Q120" i="18"/>
  <c r="P120" i="18"/>
  <c r="O120" i="18"/>
  <c r="N120" i="18"/>
  <c r="M120" i="18"/>
  <c r="L120" i="18"/>
  <c r="K120" i="18"/>
  <c r="J120" i="18"/>
  <c r="S119" i="18"/>
  <c r="R119" i="18"/>
  <c r="Q119" i="18"/>
  <c r="P119" i="18"/>
  <c r="O119" i="18"/>
  <c r="N119" i="18"/>
  <c r="M119" i="18"/>
  <c r="L119" i="18"/>
  <c r="K119" i="18"/>
  <c r="J119" i="18"/>
  <c r="S118" i="18"/>
  <c r="R118" i="18"/>
  <c r="Q118" i="18"/>
  <c r="P118" i="18"/>
  <c r="O118" i="18"/>
  <c r="N118" i="18"/>
  <c r="M118" i="18"/>
  <c r="L118" i="18"/>
  <c r="K118" i="18"/>
  <c r="J118" i="18"/>
  <c r="S117" i="18"/>
  <c r="R117" i="18"/>
  <c r="Q117" i="18"/>
  <c r="P117" i="18"/>
  <c r="O117" i="18"/>
  <c r="N117" i="18"/>
  <c r="M117" i="18"/>
  <c r="L117" i="18"/>
  <c r="K117" i="18"/>
  <c r="J117" i="18"/>
  <c r="S116" i="18"/>
  <c r="R116" i="18"/>
  <c r="Q116" i="18"/>
  <c r="P116" i="18"/>
  <c r="O116" i="18"/>
  <c r="N116" i="18"/>
  <c r="M116" i="18"/>
  <c r="L116" i="18"/>
  <c r="K116" i="18"/>
  <c r="J116" i="18"/>
  <c r="S115" i="18"/>
  <c r="R115" i="18"/>
  <c r="Q115" i="18"/>
  <c r="P115" i="18"/>
  <c r="O115" i="18"/>
  <c r="N115" i="18"/>
  <c r="M115" i="18"/>
  <c r="L115" i="18"/>
  <c r="K115" i="18"/>
  <c r="J115" i="18"/>
  <c r="S114" i="18"/>
  <c r="R114" i="18"/>
  <c r="Q114" i="18"/>
  <c r="P114" i="18"/>
  <c r="O114" i="18"/>
  <c r="N114" i="18"/>
  <c r="M114" i="18"/>
  <c r="L114" i="18"/>
  <c r="K114" i="18"/>
  <c r="J114" i="18"/>
  <c r="S113" i="18"/>
  <c r="R113" i="18"/>
  <c r="Q113" i="18"/>
  <c r="P113" i="18"/>
  <c r="O113" i="18"/>
  <c r="N113" i="18"/>
  <c r="M113" i="18"/>
  <c r="L113" i="18"/>
  <c r="K113" i="18"/>
  <c r="J113" i="18"/>
  <c r="S112" i="18"/>
  <c r="R112" i="18"/>
  <c r="Q112" i="18"/>
  <c r="P112" i="18"/>
  <c r="O112" i="18"/>
  <c r="N112" i="18"/>
  <c r="M112" i="18"/>
  <c r="L112" i="18"/>
  <c r="K112" i="18"/>
  <c r="J112" i="18"/>
  <c r="S111" i="18"/>
  <c r="R111" i="18"/>
  <c r="Q111" i="18"/>
  <c r="P111" i="18"/>
  <c r="O111" i="18"/>
  <c r="N111" i="18"/>
  <c r="M111" i="18"/>
  <c r="L111" i="18"/>
  <c r="K111" i="18"/>
  <c r="J111" i="18"/>
  <c r="S110" i="18"/>
  <c r="R110" i="18"/>
  <c r="Q110" i="18"/>
  <c r="P110" i="18"/>
  <c r="O110" i="18"/>
  <c r="N110" i="18"/>
  <c r="M110" i="18"/>
  <c r="L110" i="18"/>
  <c r="K110" i="18"/>
  <c r="J110" i="18"/>
  <c r="S109" i="18"/>
  <c r="R109" i="18"/>
  <c r="Q109" i="18"/>
  <c r="P109" i="18"/>
  <c r="O109" i="18"/>
  <c r="N109" i="18"/>
  <c r="M109" i="18"/>
  <c r="L109" i="18"/>
  <c r="K109" i="18"/>
  <c r="J109" i="18"/>
  <c r="S108" i="18"/>
  <c r="R108" i="18"/>
  <c r="Q108" i="18"/>
  <c r="P108" i="18"/>
  <c r="O108" i="18"/>
  <c r="N108" i="18"/>
  <c r="M108" i="18"/>
  <c r="L108" i="18"/>
  <c r="K108" i="18"/>
  <c r="J108" i="18"/>
  <c r="S107" i="18"/>
  <c r="R107" i="18"/>
  <c r="Q107" i="18"/>
  <c r="P107" i="18"/>
  <c r="O107" i="18"/>
  <c r="N107" i="18"/>
  <c r="M107" i="18"/>
  <c r="L107" i="18"/>
  <c r="K107" i="18"/>
  <c r="J107" i="18"/>
  <c r="S106" i="18"/>
  <c r="R106" i="18"/>
  <c r="Q106" i="18"/>
  <c r="P106" i="18"/>
  <c r="O106" i="18"/>
  <c r="N106" i="18"/>
  <c r="M106" i="18"/>
  <c r="L106" i="18"/>
  <c r="K106" i="18"/>
  <c r="J106" i="18"/>
  <c r="S105" i="18"/>
  <c r="R105" i="18"/>
  <c r="Q105" i="18"/>
  <c r="P105" i="18"/>
  <c r="O105" i="18"/>
  <c r="N105" i="18"/>
  <c r="M105" i="18"/>
  <c r="L105" i="18"/>
  <c r="K105" i="18"/>
  <c r="J105" i="18"/>
  <c r="S104" i="18"/>
  <c r="R104" i="18"/>
  <c r="Q104" i="18"/>
  <c r="P104" i="18"/>
  <c r="O104" i="18"/>
  <c r="N104" i="18"/>
  <c r="M104" i="18"/>
  <c r="L104" i="18"/>
  <c r="K104" i="18"/>
  <c r="J104" i="18"/>
  <c r="S103" i="18"/>
  <c r="R103" i="18"/>
  <c r="Q103" i="18"/>
  <c r="P103" i="18"/>
  <c r="O103" i="18"/>
  <c r="N103" i="18"/>
  <c r="M103" i="18"/>
  <c r="L103" i="18"/>
  <c r="K103" i="18"/>
  <c r="J103" i="18"/>
  <c r="S102" i="18"/>
  <c r="R102" i="18"/>
  <c r="Q102" i="18"/>
  <c r="P102" i="18"/>
  <c r="O102" i="18"/>
  <c r="N102" i="18"/>
  <c r="M102" i="18"/>
  <c r="L102" i="18"/>
  <c r="K102" i="18"/>
  <c r="J102" i="18"/>
  <c r="S101" i="18"/>
  <c r="R101" i="18"/>
  <c r="Q101" i="18"/>
  <c r="P101" i="18"/>
  <c r="O101" i="18"/>
  <c r="N101" i="18"/>
  <c r="M101" i="18"/>
  <c r="L101" i="18"/>
  <c r="K101" i="18"/>
  <c r="R124" i="17"/>
  <c r="Q124" i="17"/>
  <c r="P124" i="17"/>
  <c r="O124" i="17"/>
  <c r="N124" i="17"/>
  <c r="M124" i="17"/>
  <c r="L124" i="17"/>
  <c r="K124" i="17"/>
  <c r="J124" i="17"/>
  <c r="S123" i="17"/>
  <c r="R123" i="17"/>
  <c r="Q123" i="17"/>
  <c r="P123" i="17"/>
  <c r="O123" i="17"/>
  <c r="N123" i="17"/>
  <c r="M123" i="17"/>
  <c r="L123" i="17"/>
  <c r="K123" i="17"/>
  <c r="J123" i="17"/>
  <c r="S122" i="17"/>
  <c r="R122" i="17"/>
  <c r="Q122" i="17"/>
  <c r="P122" i="17"/>
  <c r="O122" i="17"/>
  <c r="N122" i="17"/>
  <c r="M122" i="17"/>
  <c r="L122" i="17"/>
  <c r="K122" i="17"/>
  <c r="J122" i="17"/>
  <c r="S121" i="17"/>
  <c r="R121" i="17"/>
  <c r="Q121" i="17"/>
  <c r="P121" i="17"/>
  <c r="O121" i="17"/>
  <c r="N121" i="17"/>
  <c r="M121" i="17"/>
  <c r="L121" i="17"/>
  <c r="K121" i="17"/>
  <c r="J121" i="17"/>
  <c r="S120" i="17"/>
  <c r="R120" i="17"/>
  <c r="Q120" i="17"/>
  <c r="P120" i="17"/>
  <c r="O120" i="17"/>
  <c r="N120" i="17"/>
  <c r="M120" i="17"/>
  <c r="L120" i="17"/>
  <c r="K120" i="17"/>
  <c r="J120" i="17"/>
  <c r="S119" i="17"/>
  <c r="R119" i="17"/>
  <c r="Q119" i="17"/>
  <c r="P119" i="17"/>
  <c r="O119" i="17"/>
  <c r="N119" i="17"/>
  <c r="M119" i="17"/>
  <c r="L119" i="17"/>
  <c r="K119" i="17"/>
  <c r="J119" i="17"/>
  <c r="S118" i="17"/>
  <c r="R118" i="17"/>
  <c r="Q118" i="17"/>
  <c r="P118" i="17"/>
  <c r="O118" i="17"/>
  <c r="N118" i="17"/>
  <c r="M118" i="17"/>
  <c r="L118" i="17"/>
  <c r="K118" i="17"/>
  <c r="J118" i="17"/>
  <c r="S117" i="17"/>
  <c r="R117" i="17"/>
  <c r="Q117" i="17"/>
  <c r="P117" i="17"/>
  <c r="O117" i="17"/>
  <c r="N117" i="17"/>
  <c r="M117" i="17"/>
  <c r="L117" i="17"/>
  <c r="K117" i="17"/>
  <c r="J117" i="17"/>
  <c r="S116" i="17"/>
  <c r="R116" i="17"/>
  <c r="Q116" i="17"/>
  <c r="P116" i="17"/>
  <c r="O116" i="17"/>
  <c r="N116" i="17"/>
  <c r="M116" i="17"/>
  <c r="L116" i="17"/>
  <c r="K116" i="17"/>
  <c r="J116" i="17"/>
  <c r="S115" i="17"/>
  <c r="R115" i="17"/>
  <c r="Q115" i="17"/>
  <c r="P115" i="17"/>
  <c r="O115" i="17"/>
  <c r="N115" i="17"/>
  <c r="M115" i="17"/>
  <c r="L115" i="17"/>
  <c r="K115" i="17"/>
  <c r="J115" i="17"/>
  <c r="S114" i="17"/>
  <c r="R114" i="17"/>
  <c r="Q114" i="17"/>
  <c r="P114" i="17"/>
  <c r="O114" i="17"/>
  <c r="N114" i="17"/>
  <c r="M114" i="17"/>
  <c r="L114" i="17"/>
  <c r="K114" i="17"/>
  <c r="J114" i="17"/>
  <c r="S113" i="17"/>
  <c r="R113" i="17"/>
  <c r="Q113" i="17"/>
  <c r="P113" i="17"/>
  <c r="O113" i="17"/>
  <c r="N113" i="17"/>
  <c r="M113" i="17"/>
  <c r="L113" i="17"/>
  <c r="K113" i="17"/>
  <c r="J113" i="17"/>
  <c r="S112" i="17"/>
  <c r="R112" i="17"/>
  <c r="Q112" i="17"/>
  <c r="P112" i="17"/>
  <c r="O112" i="17"/>
  <c r="N112" i="17"/>
  <c r="M112" i="17"/>
  <c r="L112" i="17"/>
  <c r="K112" i="17"/>
  <c r="J112" i="17"/>
  <c r="S111" i="17"/>
  <c r="R111" i="17"/>
  <c r="Q111" i="17"/>
  <c r="P111" i="17"/>
  <c r="O111" i="17"/>
  <c r="N111" i="17"/>
  <c r="M111" i="17"/>
  <c r="L111" i="17"/>
  <c r="K111" i="17"/>
  <c r="J111" i="17"/>
  <c r="S110" i="17"/>
  <c r="R110" i="17"/>
  <c r="Q110" i="17"/>
  <c r="P110" i="17"/>
  <c r="O110" i="17"/>
  <c r="N110" i="17"/>
  <c r="M110" i="17"/>
  <c r="L110" i="17"/>
  <c r="K110" i="17"/>
  <c r="J110" i="17"/>
  <c r="S109" i="17"/>
  <c r="R109" i="17"/>
  <c r="Q109" i="17"/>
  <c r="P109" i="17"/>
  <c r="O109" i="17"/>
  <c r="N109" i="17"/>
  <c r="M109" i="17"/>
  <c r="L109" i="17"/>
  <c r="K109" i="17"/>
  <c r="J109" i="17"/>
  <c r="S108" i="17"/>
  <c r="R108" i="17"/>
  <c r="Q108" i="17"/>
  <c r="P108" i="17"/>
  <c r="O108" i="17"/>
  <c r="N108" i="17"/>
  <c r="M108" i="17"/>
  <c r="L108" i="17"/>
  <c r="K108" i="17"/>
  <c r="J108" i="17"/>
  <c r="S107" i="17"/>
  <c r="R107" i="17"/>
  <c r="Q107" i="17"/>
  <c r="P107" i="17"/>
  <c r="O107" i="17"/>
  <c r="N107" i="17"/>
  <c r="M107" i="17"/>
  <c r="L107" i="17"/>
  <c r="K107" i="17"/>
  <c r="J107" i="17"/>
  <c r="S106" i="17"/>
  <c r="R106" i="17"/>
  <c r="Q106" i="17"/>
  <c r="P106" i="17"/>
  <c r="O106" i="17"/>
  <c r="N106" i="17"/>
  <c r="M106" i="17"/>
  <c r="L106" i="17"/>
  <c r="K106" i="17"/>
  <c r="J106" i="17"/>
  <c r="S105" i="17"/>
  <c r="R105" i="17"/>
  <c r="Q105" i="17"/>
  <c r="P105" i="17"/>
  <c r="O105" i="17"/>
  <c r="N105" i="17"/>
  <c r="M105" i="17"/>
  <c r="L105" i="17"/>
  <c r="K105" i="17"/>
  <c r="J105" i="17"/>
  <c r="S104" i="17"/>
  <c r="R104" i="17"/>
  <c r="Q104" i="17"/>
  <c r="P104" i="17"/>
  <c r="O104" i="17"/>
  <c r="N104" i="17"/>
  <c r="M104" i="17"/>
  <c r="L104" i="17"/>
  <c r="K104" i="17"/>
  <c r="J104" i="17"/>
  <c r="S103" i="17"/>
  <c r="R103" i="17"/>
  <c r="Q103" i="17"/>
  <c r="P103" i="17"/>
  <c r="O103" i="17"/>
  <c r="N103" i="17"/>
  <c r="M103" i="17"/>
  <c r="L103" i="17"/>
  <c r="K103" i="17"/>
  <c r="J103" i="17"/>
  <c r="S102" i="17"/>
  <c r="R102" i="17"/>
  <c r="Q102" i="17"/>
  <c r="P102" i="17"/>
  <c r="O102" i="17"/>
  <c r="N102" i="17"/>
  <c r="M102" i="17"/>
  <c r="L102" i="17"/>
  <c r="K102" i="17"/>
  <c r="J102" i="17"/>
  <c r="S101" i="17"/>
  <c r="R101" i="17"/>
  <c r="Q101" i="17"/>
  <c r="P101" i="17"/>
  <c r="O101" i="17"/>
  <c r="N101" i="17"/>
  <c r="M101" i="17"/>
  <c r="L101" i="17"/>
  <c r="K101" i="17"/>
  <c r="R124" i="16"/>
  <c r="Q124" i="16"/>
  <c r="P124" i="16"/>
  <c r="O124" i="16"/>
  <c r="N124" i="16"/>
  <c r="M124" i="16"/>
  <c r="L124" i="16"/>
  <c r="K124" i="16"/>
  <c r="J124" i="16"/>
  <c r="S123" i="16"/>
  <c r="R123" i="16"/>
  <c r="Q123" i="16"/>
  <c r="P123" i="16"/>
  <c r="O123" i="16"/>
  <c r="N123" i="16"/>
  <c r="M123" i="16"/>
  <c r="L123" i="16"/>
  <c r="K123" i="16"/>
  <c r="J123" i="16"/>
  <c r="S122" i="16"/>
  <c r="R122" i="16"/>
  <c r="Q122" i="16"/>
  <c r="P122" i="16"/>
  <c r="O122" i="16"/>
  <c r="N122" i="16"/>
  <c r="M122" i="16"/>
  <c r="L122" i="16"/>
  <c r="K122" i="16"/>
  <c r="J122" i="16"/>
  <c r="S121" i="16"/>
  <c r="R121" i="16"/>
  <c r="Q121" i="16"/>
  <c r="P121" i="16"/>
  <c r="O121" i="16"/>
  <c r="N121" i="16"/>
  <c r="M121" i="16"/>
  <c r="L121" i="16"/>
  <c r="K121" i="16"/>
  <c r="J121" i="16"/>
  <c r="S120" i="16"/>
  <c r="R120" i="16"/>
  <c r="Q120" i="16"/>
  <c r="P120" i="16"/>
  <c r="O120" i="16"/>
  <c r="N120" i="16"/>
  <c r="M120" i="16"/>
  <c r="L120" i="16"/>
  <c r="K120" i="16"/>
  <c r="J120" i="16"/>
  <c r="S119" i="16"/>
  <c r="R119" i="16"/>
  <c r="Q119" i="16"/>
  <c r="P119" i="16"/>
  <c r="O119" i="16"/>
  <c r="N119" i="16"/>
  <c r="M119" i="16"/>
  <c r="L119" i="16"/>
  <c r="K119" i="16"/>
  <c r="J119" i="16"/>
  <c r="S118" i="16"/>
  <c r="R118" i="16"/>
  <c r="Q118" i="16"/>
  <c r="P118" i="16"/>
  <c r="O118" i="16"/>
  <c r="N118" i="16"/>
  <c r="M118" i="16"/>
  <c r="L118" i="16"/>
  <c r="K118" i="16"/>
  <c r="J118" i="16"/>
  <c r="S117" i="16"/>
  <c r="R117" i="16"/>
  <c r="Q117" i="16"/>
  <c r="P117" i="16"/>
  <c r="O117" i="16"/>
  <c r="N117" i="16"/>
  <c r="M117" i="16"/>
  <c r="L117" i="16"/>
  <c r="K117" i="16"/>
  <c r="J117" i="16"/>
  <c r="S116" i="16"/>
  <c r="R116" i="16"/>
  <c r="Q116" i="16"/>
  <c r="P116" i="16"/>
  <c r="O116" i="16"/>
  <c r="N116" i="16"/>
  <c r="M116" i="16"/>
  <c r="L116" i="16"/>
  <c r="K116" i="16"/>
  <c r="J116" i="16"/>
  <c r="S115" i="16"/>
  <c r="R115" i="16"/>
  <c r="Q115" i="16"/>
  <c r="P115" i="16"/>
  <c r="O115" i="16"/>
  <c r="N115" i="16"/>
  <c r="M115" i="16"/>
  <c r="L115" i="16"/>
  <c r="K115" i="16"/>
  <c r="J115" i="16"/>
  <c r="S114" i="16"/>
  <c r="R114" i="16"/>
  <c r="Q114" i="16"/>
  <c r="P114" i="16"/>
  <c r="O114" i="16"/>
  <c r="N114" i="16"/>
  <c r="M114" i="16"/>
  <c r="L114" i="16"/>
  <c r="K114" i="16"/>
  <c r="J114" i="16"/>
  <c r="S113" i="16"/>
  <c r="R113" i="16"/>
  <c r="Q113" i="16"/>
  <c r="P113" i="16"/>
  <c r="O113" i="16"/>
  <c r="N113" i="16"/>
  <c r="M113" i="16"/>
  <c r="L113" i="16"/>
  <c r="K113" i="16"/>
  <c r="J113" i="16"/>
  <c r="S112" i="16"/>
  <c r="R112" i="16"/>
  <c r="Q112" i="16"/>
  <c r="P112" i="16"/>
  <c r="O112" i="16"/>
  <c r="N112" i="16"/>
  <c r="M112" i="16"/>
  <c r="L112" i="16"/>
  <c r="K112" i="16"/>
  <c r="J112" i="16"/>
  <c r="S111" i="16"/>
  <c r="R111" i="16"/>
  <c r="Q111" i="16"/>
  <c r="P111" i="16"/>
  <c r="O111" i="16"/>
  <c r="N111" i="16"/>
  <c r="M111" i="16"/>
  <c r="L111" i="16"/>
  <c r="K111" i="16"/>
  <c r="J111" i="16"/>
  <c r="S110" i="16"/>
  <c r="R110" i="16"/>
  <c r="Q110" i="16"/>
  <c r="P110" i="16"/>
  <c r="O110" i="16"/>
  <c r="N110" i="16"/>
  <c r="M110" i="16"/>
  <c r="L110" i="16"/>
  <c r="K110" i="16"/>
  <c r="J110" i="16"/>
  <c r="S109" i="16"/>
  <c r="R109" i="16"/>
  <c r="Q109" i="16"/>
  <c r="P109" i="16"/>
  <c r="O109" i="16"/>
  <c r="N109" i="16"/>
  <c r="M109" i="16"/>
  <c r="L109" i="16"/>
  <c r="K109" i="16"/>
  <c r="J109" i="16"/>
  <c r="S108" i="16"/>
  <c r="R108" i="16"/>
  <c r="Q108" i="16"/>
  <c r="P108" i="16"/>
  <c r="O108" i="16"/>
  <c r="N108" i="16"/>
  <c r="M108" i="16"/>
  <c r="L108" i="16"/>
  <c r="K108" i="16"/>
  <c r="J108" i="16"/>
  <c r="S107" i="16"/>
  <c r="R107" i="16"/>
  <c r="Q107" i="16"/>
  <c r="P107" i="16"/>
  <c r="O107" i="16"/>
  <c r="N107" i="16"/>
  <c r="M107" i="16"/>
  <c r="L107" i="16"/>
  <c r="K107" i="16"/>
  <c r="J107" i="16"/>
  <c r="S106" i="16"/>
  <c r="R106" i="16"/>
  <c r="Q106" i="16"/>
  <c r="P106" i="16"/>
  <c r="O106" i="16"/>
  <c r="N106" i="16"/>
  <c r="M106" i="16"/>
  <c r="L106" i="16"/>
  <c r="K106" i="16"/>
  <c r="J106" i="16"/>
  <c r="S105" i="16"/>
  <c r="R105" i="16"/>
  <c r="Q105" i="16"/>
  <c r="P105" i="16"/>
  <c r="O105" i="16"/>
  <c r="N105" i="16"/>
  <c r="M105" i="16"/>
  <c r="L105" i="16"/>
  <c r="K105" i="16"/>
  <c r="J105" i="16"/>
  <c r="S104" i="16"/>
  <c r="R104" i="16"/>
  <c r="Q104" i="16"/>
  <c r="P104" i="16"/>
  <c r="O104" i="16"/>
  <c r="N104" i="16"/>
  <c r="M104" i="16"/>
  <c r="L104" i="16"/>
  <c r="K104" i="16"/>
  <c r="J104" i="16"/>
  <c r="S103" i="16"/>
  <c r="R103" i="16"/>
  <c r="Q103" i="16"/>
  <c r="P103" i="16"/>
  <c r="O103" i="16"/>
  <c r="N103" i="16"/>
  <c r="M103" i="16"/>
  <c r="L103" i="16"/>
  <c r="K103" i="16"/>
  <c r="J103" i="16"/>
  <c r="S102" i="16"/>
  <c r="R102" i="16"/>
  <c r="Q102" i="16"/>
  <c r="P102" i="16"/>
  <c r="O102" i="16"/>
  <c r="N102" i="16"/>
  <c r="M102" i="16"/>
  <c r="L102" i="16"/>
  <c r="K102" i="16"/>
  <c r="J102" i="16"/>
  <c r="S101" i="16"/>
  <c r="R101" i="16"/>
  <c r="Q101" i="16"/>
  <c r="P101" i="16"/>
  <c r="O101" i="16"/>
  <c r="N101" i="16"/>
  <c r="M101" i="16"/>
  <c r="L101" i="16"/>
  <c r="K101" i="16"/>
  <c r="R124" i="15"/>
  <c r="Q124" i="15"/>
  <c r="P124" i="15"/>
  <c r="O124" i="15"/>
  <c r="N124" i="15"/>
  <c r="M124" i="15"/>
  <c r="L124" i="15"/>
  <c r="K124" i="15"/>
  <c r="J124" i="15"/>
  <c r="S123" i="15"/>
  <c r="R123" i="15"/>
  <c r="Q123" i="15"/>
  <c r="P123" i="15"/>
  <c r="O123" i="15"/>
  <c r="N123" i="15"/>
  <c r="M123" i="15"/>
  <c r="L123" i="15"/>
  <c r="K123" i="15"/>
  <c r="J123" i="15"/>
  <c r="S122" i="15"/>
  <c r="R122" i="15"/>
  <c r="Q122" i="15"/>
  <c r="P122" i="15"/>
  <c r="O122" i="15"/>
  <c r="N122" i="15"/>
  <c r="M122" i="15"/>
  <c r="L122" i="15"/>
  <c r="K122" i="15"/>
  <c r="J122" i="15"/>
  <c r="S121" i="15"/>
  <c r="R121" i="15"/>
  <c r="Q121" i="15"/>
  <c r="P121" i="15"/>
  <c r="O121" i="15"/>
  <c r="N121" i="15"/>
  <c r="M121" i="15"/>
  <c r="L121" i="15"/>
  <c r="K121" i="15"/>
  <c r="J121" i="15"/>
  <c r="S120" i="15"/>
  <c r="R120" i="15"/>
  <c r="Q120" i="15"/>
  <c r="P120" i="15"/>
  <c r="O120" i="15"/>
  <c r="N120" i="15"/>
  <c r="M120" i="15"/>
  <c r="L120" i="15"/>
  <c r="K120" i="15"/>
  <c r="J120" i="15"/>
  <c r="S119" i="15"/>
  <c r="R119" i="15"/>
  <c r="Q119" i="15"/>
  <c r="P119" i="15"/>
  <c r="O119" i="15"/>
  <c r="N119" i="15"/>
  <c r="M119" i="15"/>
  <c r="L119" i="15"/>
  <c r="K119" i="15"/>
  <c r="J119" i="15"/>
  <c r="S118" i="15"/>
  <c r="R118" i="15"/>
  <c r="Q118" i="15"/>
  <c r="P118" i="15"/>
  <c r="O118" i="15"/>
  <c r="N118" i="15"/>
  <c r="M118" i="15"/>
  <c r="L118" i="15"/>
  <c r="K118" i="15"/>
  <c r="J118" i="15"/>
  <c r="S117" i="15"/>
  <c r="R117" i="15"/>
  <c r="Q117" i="15"/>
  <c r="P117" i="15"/>
  <c r="O117" i="15"/>
  <c r="N117" i="15"/>
  <c r="M117" i="15"/>
  <c r="L117" i="15"/>
  <c r="K117" i="15"/>
  <c r="J117" i="15"/>
  <c r="S116" i="15"/>
  <c r="R116" i="15"/>
  <c r="Q116" i="15"/>
  <c r="P116" i="15"/>
  <c r="O116" i="15"/>
  <c r="N116" i="15"/>
  <c r="M116" i="15"/>
  <c r="L116" i="15"/>
  <c r="K116" i="15"/>
  <c r="J116" i="15"/>
  <c r="S115" i="15"/>
  <c r="R115" i="15"/>
  <c r="Q115" i="15"/>
  <c r="P115" i="15"/>
  <c r="O115" i="15"/>
  <c r="N115" i="15"/>
  <c r="M115" i="15"/>
  <c r="L115" i="15"/>
  <c r="K115" i="15"/>
  <c r="J115" i="15"/>
  <c r="S114" i="15"/>
  <c r="R114" i="15"/>
  <c r="Q114" i="15"/>
  <c r="P114" i="15"/>
  <c r="O114" i="15"/>
  <c r="N114" i="15"/>
  <c r="M114" i="15"/>
  <c r="L114" i="15"/>
  <c r="K114" i="15"/>
  <c r="J114" i="15"/>
  <c r="S113" i="15"/>
  <c r="R113" i="15"/>
  <c r="Q113" i="15"/>
  <c r="P113" i="15"/>
  <c r="O113" i="15"/>
  <c r="N113" i="15"/>
  <c r="M113" i="15"/>
  <c r="L113" i="15"/>
  <c r="K113" i="15"/>
  <c r="J113" i="15"/>
  <c r="S112" i="15"/>
  <c r="R112" i="15"/>
  <c r="Q112" i="15"/>
  <c r="P112" i="15"/>
  <c r="O112" i="15"/>
  <c r="N112" i="15"/>
  <c r="M112" i="15"/>
  <c r="L112" i="15"/>
  <c r="K112" i="15"/>
  <c r="J112" i="15"/>
  <c r="S111" i="15"/>
  <c r="R111" i="15"/>
  <c r="Q111" i="15"/>
  <c r="P111" i="15"/>
  <c r="O111" i="15"/>
  <c r="N111" i="15"/>
  <c r="M111" i="15"/>
  <c r="L111" i="15"/>
  <c r="K111" i="15"/>
  <c r="J111" i="15"/>
  <c r="S110" i="15"/>
  <c r="R110" i="15"/>
  <c r="Q110" i="15"/>
  <c r="P110" i="15"/>
  <c r="O110" i="15"/>
  <c r="N110" i="15"/>
  <c r="M110" i="15"/>
  <c r="L110" i="15"/>
  <c r="K110" i="15"/>
  <c r="J110" i="15"/>
  <c r="S109" i="15"/>
  <c r="R109" i="15"/>
  <c r="Q109" i="15"/>
  <c r="P109" i="15"/>
  <c r="O109" i="15"/>
  <c r="N109" i="15"/>
  <c r="M109" i="15"/>
  <c r="L109" i="15"/>
  <c r="K109" i="15"/>
  <c r="J109" i="15"/>
  <c r="S108" i="15"/>
  <c r="R108" i="15"/>
  <c r="Q108" i="15"/>
  <c r="P108" i="15"/>
  <c r="O108" i="15"/>
  <c r="N108" i="15"/>
  <c r="M108" i="15"/>
  <c r="L108" i="15"/>
  <c r="K108" i="15"/>
  <c r="J108" i="15"/>
  <c r="S107" i="15"/>
  <c r="R107" i="15"/>
  <c r="Q107" i="15"/>
  <c r="P107" i="15"/>
  <c r="O107" i="15"/>
  <c r="N107" i="15"/>
  <c r="M107" i="15"/>
  <c r="L107" i="15"/>
  <c r="K107" i="15"/>
  <c r="J107" i="15"/>
  <c r="S106" i="15"/>
  <c r="R106" i="15"/>
  <c r="Q106" i="15"/>
  <c r="P106" i="15"/>
  <c r="O106" i="15"/>
  <c r="N106" i="15"/>
  <c r="M106" i="15"/>
  <c r="L106" i="15"/>
  <c r="K106" i="15"/>
  <c r="J106" i="15"/>
  <c r="S105" i="15"/>
  <c r="R105" i="15"/>
  <c r="Q105" i="15"/>
  <c r="P105" i="15"/>
  <c r="O105" i="15"/>
  <c r="N105" i="15"/>
  <c r="M105" i="15"/>
  <c r="L105" i="15"/>
  <c r="K105" i="15"/>
  <c r="J105" i="15"/>
  <c r="S104" i="15"/>
  <c r="R104" i="15"/>
  <c r="Q104" i="15"/>
  <c r="P104" i="15"/>
  <c r="O104" i="15"/>
  <c r="N104" i="15"/>
  <c r="M104" i="15"/>
  <c r="L104" i="15"/>
  <c r="K104" i="15"/>
  <c r="J104" i="15"/>
  <c r="S103" i="15"/>
  <c r="R103" i="15"/>
  <c r="Q103" i="15"/>
  <c r="P103" i="15"/>
  <c r="O103" i="15"/>
  <c r="N103" i="15"/>
  <c r="M103" i="15"/>
  <c r="L103" i="15"/>
  <c r="K103" i="15"/>
  <c r="J103" i="15"/>
  <c r="S102" i="15"/>
  <c r="R102" i="15"/>
  <c r="Q102" i="15"/>
  <c r="P102" i="15"/>
  <c r="O102" i="15"/>
  <c r="N102" i="15"/>
  <c r="M102" i="15"/>
  <c r="L102" i="15"/>
  <c r="K102" i="15"/>
  <c r="J102" i="15"/>
  <c r="S101" i="15"/>
  <c r="R101" i="15"/>
  <c r="Q101" i="15"/>
  <c r="P101" i="15"/>
  <c r="O101" i="15"/>
  <c r="N101" i="15"/>
  <c r="M101" i="15"/>
  <c r="L101" i="15"/>
  <c r="K101" i="15"/>
  <c r="R124" i="14"/>
  <c r="Q124" i="14"/>
  <c r="P124" i="14"/>
  <c r="O124" i="14"/>
  <c r="N124" i="14"/>
  <c r="M124" i="14"/>
  <c r="L124" i="14"/>
  <c r="K124" i="14"/>
  <c r="J124" i="14"/>
  <c r="S123" i="14"/>
  <c r="R123" i="14"/>
  <c r="Q123" i="14"/>
  <c r="P123" i="14"/>
  <c r="O123" i="14"/>
  <c r="N123" i="14"/>
  <c r="M123" i="14"/>
  <c r="L123" i="14"/>
  <c r="K123" i="14"/>
  <c r="J123" i="14"/>
  <c r="S122" i="14"/>
  <c r="R122" i="14"/>
  <c r="Q122" i="14"/>
  <c r="P122" i="14"/>
  <c r="O122" i="14"/>
  <c r="N122" i="14"/>
  <c r="M122" i="14"/>
  <c r="L122" i="14"/>
  <c r="K122" i="14"/>
  <c r="J122" i="14"/>
  <c r="S121" i="14"/>
  <c r="R121" i="14"/>
  <c r="Q121" i="14"/>
  <c r="P121" i="14"/>
  <c r="O121" i="14"/>
  <c r="N121" i="14"/>
  <c r="M121" i="14"/>
  <c r="L121" i="14"/>
  <c r="K121" i="14"/>
  <c r="J121" i="14"/>
  <c r="S120" i="14"/>
  <c r="R120" i="14"/>
  <c r="Q120" i="14"/>
  <c r="P120" i="14"/>
  <c r="O120" i="14"/>
  <c r="N120" i="14"/>
  <c r="M120" i="14"/>
  <c r="L120" i="14"/>
  <c r="K120" i="14"/>
  <c r="J120" i="14"/>
  <c r="S119" i="14"/>
  <c r="R119" i="14"/>
  <c r="Q119" i="14"/>
  <c r="P119" i="14"/>
  <c r="O119" i="14"/>
  <c r="N119" i="14"/>
  <c r="M119" i="14"/>
  <c r="L119" i="14"/>
  <c r="K119" i="14"/>
  <c r="J119" i="14"/>
  <c r="S118" i="14"/>
  <c r="R118" i="14"/>
  <c r="Q118" i="14"/>
  <c r="P118" i="14"/>
  <c r="O118" i="14"/>
  <c r="N118" i="14"/>
  <c r="M118" i="14"/>
  <c r="L118" i="14"/>
  <c r="K118" i="14"/>
  <c r="J118" i="14"/>
  <c r="S117" i="14"/>
  <c r="R117" i="14"/>
  <c r="Q117" i="14"/>
  <c r="P117" i="14"/>
  <c r="O117" i="14"/>
  <c r="N117" i="14"/>
  <c r="M117" i="14"/>
  <c r="L117" i="14"/>
  <c r="K117" i="14"/>
  <c r="J117" i="14"/>
  <c r="S116" i="14"/>
  <c r="R116" i="14"/>
  <c r="Q116" i="14"/>
  <c r="P116" i="14"/>
  <c r="O116" i="14"/>
  <c r="N116" i="14"/>
  <c r="M116" i="14"/>
  <c r="L116" i="14"/>
  <c r="K116" i="14"/>
  <c r="J116" i="14"/>
  <c r="S115" i="14"/>
  <c r="R115" i="14"/>
  <c r="Q115" i="14"/>
  <c r="P115" i="14"/>
  <c r="O115" i="14"/>
  <c r="N115" i="14"/>
  <c r="M115" i="14"/>
  <c r="L115" i="14"/>
  <c r="K115" i="14"/>
  <c r="J115" i="14"/>
  <c r="S114" i="14"/>
  <c r="R114" i="14"/>
  <c r="Q114" i="14"/>
  <c r="P114" i="14"/>
  <c r="O114" i="14"/>
  <c r="N114" i="14"/>
  <c r="M114" i="14"/>
  <c r="L114" i="14"/>
  <c r="K114" i="14"/>
  <c r="J114" i="14"/>
  <c r="S113" i="14"/>
  <c r="R113" i="14"/>
  <c r="Q113" i="14"/>
  <c r="P113" i="14"/>
  <c r="O113" i="14"/>
  <c r="N113" i="14"/>
  <c r="M113" i="14"/>
  <c r="L113" i="14"/>
  <c r="K113" i="14"/>
  <c r="J113" i="14"/>
  <c r="S112" i="14"/>
  <c r="R112" i="14"/>
  <c r="Q112" i="14"/>
  <c r="P112" i="14"/>
  <c r="O112" i="14"/>
  <c r="N112" i="14"/>
  <c r="M112" i="14"/>
  <c r="L112" i="14"/>
  <c r="K112" i="14"/>
  <c r="J112" i="14"/>
  <c r="S111" i="14"/>
  <c r="R111" i="14"/>
  <c r="Q111" i="14"/>
  <c r="P111" i="14"/>
  <c r="O111" i="14"/>
  <c r="N111" i="14"/>
  <c r="M111" i="14"/>
  <c r="L111" i="14"/>
  <c r="K111" i="14"/>
  <c r="J111" i="14"/>
  <c r="S110" i="14"/>
  <c r="R110" i="14"/>
  <c r="Q110" i="14"/>
  <c r="P110" i="14"/>
  <c r="O110" i="14"/>
  <c r="N110" i="14"/>
  <c r="M110" i="14"/>
  <c r="L110" i="14"/>
  <c r="K110" i="14"/>
  <c r="J110" i="14"/>
  <c r="S109" i="14"/>
  <c r="R109" i="14"/>
  <c r="Q109" i="14"/>
  <c r="P109" i="14"/>
  <c r="O109" i="14"/>
  <c r="N109" i="14"/>
  <c r="M109" i="14"/>
  <c r="L109" i="14"/>
  <c r="K109" i="14"/>
  <c r="J109" i="14"/>
  <c r="S108" i="14"/>
  <c r="R108" i="14"/>
  <c r="Q108" i="14"/>
  <c r="P108" i="14"/>
  <c r="O108" i="14"/>
  <c r="N108" i="14"/>
  <c r="M108" i="14"/>
  <c r="L108" i="14"/>
  <c r="K108" i="14"/>
  <c r="J108" i="14"/>
  <c r="S107" i="14"/>
  <c r="R107" i="14"/>
  <c r="Q107" i="14"/>
  <c r="P107" i="14"/>
  <c r="O107" i="14"/>
  <c r="N107" i="14"/>
  <c r="M107" i="14"/>
  <c r="L107" i="14"/>
  <c r="K107" i="14"/>
  <c r="J107" i="14"/>
  <c r="S106" i="14"/>
  <c r="R106" i="14"/>
  <c r="Q106" i="14"/>
  <c r="P106" i="14"/>
  <c r="O106" i="14"/>
  <c r="N106" i="14"/>
  <c r="M106" i="14"/>
  <c r="L106" i="14"/>
  <c r="K106" i="14"/>
  <c r="J106" i="14"/>
  <c r="S105" i="14"/>
  <c r="R105" i="14"/>
  <c r="Q105" i="14"/>
  <c r="P105" i="14"/>
  <c r="O105" i="14"/>
  <c r="N105" i="14"/>
  <c r="M105" i="14"/>
  <c r="L105" i="14"/>
  <c r="K105" i="14"/>
  <c r="J105" i="14"/>
  <c r="S104" i="14"/>
  <c r="R104" i="14"/>
  <c r="Q104" i="14"/>
  <c r="P104" i="14"/>
  <c r="O104" i="14"/>
  <c r="N104" i="14"/>
  <c r="M104" i="14"/>
  <c r="L104" i="14"/>
  <c r="K104" i="14"/>
  <c r="J104" i="14"/>
  <c r="S103" i="14"/>
  <c r="R103" i="14"/>
  <c r="Q103" i="14"/>
  <c r="P103" i="14"/>
  <c r="O103" i="14"/>
  <c r="N103" i="14"/>
  <c r="M103" i="14"/>
  <c r="L103" i="14"/>
  <c r="K103" i="14"/>
  <c r="J103" i="14"/>
  <c r="S102" i="14"/>
  <c r="R102" i="14"/>
  <c r="Q102" i="14"/>
  <c r="P102" i="14"/>
  <c r="O102" i="14"/>
  <c r="N102" i="14"/>
  <c r="M102" i="14"/>
  <c r="L102" i="14"/>
  <c r="K102" i="14"/>
  <c r="J102" i="14"/>
  <c r="S101" i="14"/>
  <c r="R101" i="14"/>
  <c r="Q101" i="14"/>
  <c r="P101" i="14"/>
  <c r="O101" i="14"/>
  <c r="N101" i="14"/>
  <c r="M101" i="14"/>
  <c r="L101" i="14"/>
  <c r="K101" i="14"/>
  <c r="R124" i="13"/>
  <c r="Q124" i="13"/>
  <c r="P124" i="13"/>
  <c r="O124" i="13"/>
  <c r="N124" i="13"/>
  <c r="M124" i="13"/>
  <c r="L124" i="13"/>
  <c r="K124" i="13"/>
  <c r="J124" i="13"/>
  <c r="S123" i="13"/>
  <c r="R123" i="13"/>
  <c r="Q123" i="13"/>
  <c r="P123" i="13"/>
  <c r="O123" i="13"/>
  <c r="N123" i="13"/>
  <c r="M123" i="13"/>
  <c r="L123" i="13"/>
  <c r="K123" i="13"/>
  <c r="J123" i="13"/>
  <c r="S122" i="13"/>
  <c r="R122" i="13"/>
  <c r="Q122" i="13"/>
  <c r="P122" i="13"/>
  <c r="O122" i="13"/>
  <c r="N122" i="13"/>
  <c r="M122" i="13"/>
  <c r="L122" i="13"/>
  <c r="K122" i="13"/>
  <c r="J122" i="13"/>
  <c r="S121" i="13"/>
  <c r="R121" i="13"/>
  <c r="Q121" i="13"/>
  <c r="P121" i="13"/>
  <c r="O121" i="13"/>
  <c r="N121" i="13"/>
  <c r="M121" i="13"/>
  <c r="L121" i="13"/>
  <c r="K121" i="13"/>
  <c r="J121" i="13"/>
  <c r="S120" i="13"/>
  <c r="R120" i="13"/>
  <c r="Q120" i="13"/>
  <c r="P120" i="13"/>
  <c r="O120" i="13"/>
  <c r="N120" i="13"/>
  <c r="M120" i="13"/>
  <c r="L120" i="13"/>
  <c r="K120" i="13"/>
  <c r="J120" i="13"/>
  <c r="S119" i="13"/>
  <c r="R119" i="13"/>
  <c r="Q119" i="13"/>
  <c r="P119" i="13"/>
  <c r="O119" i="13"/>
  <c r="N119" i="13"/>
  <c r="M119" i="13"/>
  <c r="L119" i="13"/>
  <c r="K119" i="13"/>
  <c r="J119" i="13"/>
  <c r="S118" i="13"/>
  <c r="R118" i="13"/>
  <c r="Q118" i="13"/>
  <c r="P118" i="13"/>
  <c r="O118" i="13"/>
  <c r="N118" i="13"/>
  <c r="M118" i="13"/>
  <c r="L118" i="13"/>
  <c r="K118" i="13"/>
  <c r="J118" i="13"/>
  <c r="S117" i="13"/>
  <c r="R117" i="13"/>
  <c r="Q117" i="13"/>
  <c r="P117" i="13"/>
  <c r="O117" i="13"/>
  <c r="N117" i="13"/>
  <c r="M117" i="13"/>
  <c r="L117" i="13"/>
  <c r="K117" i="13"/>
  <c r="J117" i="13"/>
  <c r="S116" i="13"/>
  <c r="R116" i="13"/>
  <c r="Q116" i="13"/>
  <c r="P116" i="13"/>
  <c r="O116" i="13"/>
  <c r="N116" i="13"/>
  <c r="M116" i="13"/>
  <c r="L116" i="13"/>
  <c r="K116" i="13"/>
  <c r="J116" i="13"/>
  <c r="S115" i="13"/>
  <c r="R115" i="13"/>
  <c r="Q115" i="13"/>
  <c r="P115" i="13"/>
  <c r="O115" i="13"/>
  <c r="N115" i="13"/>
  <c r="M115" i="13"/>
  <c r="L115" i="13"/>
  <c r="K115" i="13"/>
  <c r="J115" i="13"/>
  <c r="S114" i="13"/>
  <c r="R114" i="13"/>
  <c r="Q114" i="13"/>
  <c r="P114" i="13"/>
  <c r="O114" i="13"/>
  <c r="N114" i="13"/>
  <c r="M114" i="13"/>
  <c r="L114" i="13"/>
  <c r="K114" i="13"/>
  <c r="J114" i="13"/>
  <c r="S113" i="13"/>
  <c r="R113" i="13"/>
  <c r="Q113" i="13"/>
  <c r="P113" i="13"/>
  <c r="O113" i="13"/>
  <c r="N113" i="13"/>
  <c r="M113" i="13"/>
  <c r="L113" i="13"/>
  <c r="K113" i="13"/>
  <c r="J113" i="13"/>
  <c r="S112" i="13"/>
  <c r="R112" i="13"/>
  <c r="Q112" i="13"/>
  <c r="P112" i="13"/>
  <c r="O112" i="13"/>
  <c r="N112" i="13"/>
  <c r="M112" i="13"/>
  <c r="L112" i="13"/>
  <c r="K112" i="13"/>
  <c r="J112" i="13"/>
  <c r="S111" i="13"/>
  <c r="R111" i="13"/>
  <c r="Q111" i="13"/>
  <c r="P111" i="13"/>
  <c r="O111" i="13"/>
  <c r="N111" i="13"/>
  <c r="M111" i="13"/>
  <c r="L111" i="13"/>
  <c r="K111" i="13"/>
  <c r="J111" i="13"/>
  <c r="S110" i="13"/>
  <c r="R110" i="13"/>
  <c r="Q110" i="13"/>
  <c r="P110" i="13"/>
  <c r="O110" i="13"/>
  <c r="N110" i="13"/>
  <c r="M110" i="13"/>
  <c r="L110" i="13"/>
  <c r="K110" i="13"/>
  <c r="J110" i="13"/>
  <c r="S109" i="13"/>
  <c r="R109" i="13"/>
  <c r="Q109" i="13"/>
  <c r="P109" i="13"/>
  <c r="O109" i="13"/>
  <c r="N109" i="13"/>
  <c r="M109" i="13"/>
  <c r="L109" i="13"/>
  <c r="K109" i="13"/>
  <c r="J109" i="13"/>
  <c r="S108" i="13"/>
  <c r="R108" i="13"/>
  <c r="Q108" i="13"/>
  <c r="P108" i="13"/>
  <c r="O108" i="13"/>
  <c r="N108" i="13"/>
  <c r="M108" i="13"/>
  <c r="L108" i="13"/>
  <c r="K108" i="13"/>
  <c r="J108" i="13"/>
  <c r="S107" i="13"/>
  <c r="R107" i="13"/>
  <c r="Q107" i="13"/>
  <c r="P107" i="13"/>
  <c r="O107" i="13"/>
  <c r="N107" i="13"/>
  <c r="M107" i="13"/>
  <c r="L107" i="13"/>
  <c r="K107" i="13"/>
  <c r="J107" i="13"/>
  <c r="S106" i="13"/>
  <c r="R106" i="13"/>
  <c r="Q106" i="13"/>
  <c r="P106" i="13"/>
  <c r="O106" i="13"/>
  <c r="N106" i="13"/>
  <c r="M106" i="13"/>
  <c r="L106" i="13"/>
  <c r="K106" i="13"/>
  <c r="J106" i="13"/>
  <c r="S105" i="13"/>
  <c r="R105" i="13"/>
  <c r="Q105" i="13"/>
  <c r="P105" i="13"/>
  <c r="O105" i="13"/>
  <c r="N105" i="13"/>
  <c r="M105" i="13"/>
  <c r="L105" i="13"/>
  <c r="K105" i="13"/>
  <c r="J105" i="13"/>
  <c r="S104" i="13"/>
  <c r="R104" i="13"/>
  <c r="Q104" i="13"/>
  <c r="P104" i="13"/>
  <c r="O104" i="13"/>
  <c r="N104" i="13"/>
  <c r="M104" i="13"/>
  <c r="L104" i="13"/>
  <c r="K104" i="13"/>
  <c r="J104" i="13"/>
  <c r="S103" i="13"/>
  <c r="R103" i="13"/>
  <c r="Q103" i="13"/>
  <c r="P103" i="13"/>
  <c r="O103" i="13"/>
  <c r="N103" i="13"/>
  <c r="M103" i="13"/>
  <c r="L103" i="13"/>
  <c r="K103" i="13"/>
  <c r="J103" i="13"/>
  <c r="S102" i="13"/>
  <c r="R102" i="13"/>
  <c r="Q102" i="13"/>
  <c r="P102" i="13"/>
  <c r="O102" i="13"/>
  <c r="N102" i="13"/>
  <c r="M102" i="13"/>
  <c r="L102" i="13"/>
  <c r="K102" i="13"/>
  <c r="J102" i="13"/>
  <c r="S101" i="13"/>
  <c r="R101" i="13"/>
  <c r="Q101" i="13"/>
  <c r="P101" i="13"/>
  <c r="O101" i="13"/>
  <c r="N101" i="13"/>
  <c r="M101" i="13"/>
  <c r="L101" i="13"/>
  <c r="K101" i="13"/>
  <c r="R124" i="12"/>
  <c r="Q124" i="12"/>
  <c r="P124" i="12"/>
  <c r="O124" i="12"/>
  <c r="N124" i="12"/>
  <c r="M124" i="12"/>
  <c r="L124" i="12"/>
  <c r="K124" i="12"/>
  <c r="J124" i="12"/>
  <c r="S123" i="12"/>
  <c r="R123" i="12"/>
  <c r="Q123" i="12"/>
  <c r="P123" i="12"/>
  <c r="O123" i="12"/>
  <c r="N123" i="12"/>
  <c r="M123" i="12"/>
  <c r="L123" i="12"/>
  <c r="K123" i="12"/>
  <c r="J123" i="12"/>
  <c r="S122" i="12"/>
  <c r="R122" i="12"/>
  <c r="Q122" i="12"/>
  <c r="P122" i="12"/>
  <c r="O122" i="12"/>
  <c r="N122" i="12"/>
  <c r="M122" i="12"/>
  <c r="L122" i="12"/>
  <c r="K122" i="12"/>
  <c r="J122" i="12"/>
  <c r="S121" i="12"/>
  <c r="R121" i="12"/>
  <c r="Q121" i="12"/>
  <c r="P121" i="12"/>
  <c r="O121" i="12"/>
  <c r="N121" i="12"/>
  <c r="M121" i="12"/>
  <c r="L121" i="12"/>
  <c r="K121" i="12"/>
  <c r="J121" i="12"/>
  <c r="S120" i="12"/>
  <c r="R120" i="12"/>
  <c r="Q120" i="12"/>
  <c r="P120" i="12"/>
  <c r="O120" i="12"/>
  <c r="N120" i="12"/>
  <c r="M120" i="12"/>
  <c r="L120" i="12"/>
  <c r="K120" i="12"/>
  <c r="J120" i="12"/>
  <c r="S119" i="12"/>
  <c r="R119" i="12"/>
  <c r="Q119" i="12"/>
  <c r="P119" i="12"/>
  <c r="O119" i="12"/>
  <c r="N119" i="12"/>
  <c r="M119" i="12"/>
  <c r="L119" i="12"/>
  <c r="K119" i="12"/>
  <c r="J119" i="12"/>
  <c r="S118" i="12"/>
  <c r="R118" i="12"/>
  <c r="Q118" i="12"/>
  <c r="P118" i="12"/>
  <c r="O118" i="12"/>
  <c r="N118" i="12"/>
  <c r="M118" i="12"/>
  <c r="L118" i="12"/>
  <c r="K118" i="12"/>
  <c r="J118" i="12"/>
  <c r="S117" i="12"/>
  <c r="R117" i="12"/>
  <c r="Q117" i="12"/>
  <c r="P117" i="12"/>
  <c r="O117" i="12"/>
  <c r="N117" i="12"/>
  <c r="M117" i="12"/>
  <c r="L117" i="12"/>
  <c r="K117" i="12"/>
  <c r="J117" i="12"/>
  <c r="S116" i="12"/>
  <c r="R116" i="12"/>
  <c r="Q116" i="12"/>
  <c r="P116" i="12"/>
  <c r="O116" i="12"/>
  <c r="N116" i="12"/>
  <c r="M116" i="12"/>
  <c r="L116" i="12"/>
  <c r="K116" i="12"/>
  <c r="J116" i="12"/>
  <c r="S115" i="12"/>
  <c r="R115" i="12"/>
  <c r="Q115" i="12"/>
  <c r="P115" i="12"/>
  <c r="O115" i="12"/>
  <c r="N115" i="12"/>
  <c r="M115" i="12"/>
  <c r="L115" i="12"/>
  <c r="K115" i="12"/>
  <c r="J115" i="12"/>
  <c r="S114" i="12"/>
  <c r="R114" i="12"/>
  <c r="Q114" i="12"/>
  <c r="P114" i="12"/>
  <c r="O114" i="12"/>
  <c r="N114" i="12"/>
  <c r="M114" i="12"/>
  <c r="L114" i="12"/>
  <c r="K114" i="12"/>
  <c r="J114" i="12"/>
  <c r="S113" i="12"/>
  <c r="R113" i="12"/>
  <c r="Q113" i="12"/>
  <c r="P113" i="12"/>
  <c r="O113" i="12"/>
  <c r="N113" i="12"/>
  <c r="M113" i="12"/>
  <c r="L113" i="12"/>
  <c r="K113" i="12"/>
  <c r="J113" i="12"/>
  <c r="S112" i="12"/>
  <c r="R112" i="12"/>
  <c r="Q112" i="12"/>
  <c r="P112" i="12"/>
  <c r="O112" i="12"/>
  <c r="N112" i="12"/>
  <c r="M112" i="12"/>
  <c r="L112" i="12"/>
  <c r="K112" i="12"/>
  <c r="J112" i="12"/>
  <c r="S111" i="12"/>
  <c r="R111" i="12"/>
  <c r="Q111" i="12"/>
  <c r="P111" i="12"/>
  <c r="O111" i="12"/>
  <c r="N111" i="12"/>
  <c r="M111" i="12"/>
  <c r="L111" i="12"/>
  <c r="K111" i="12"/>
  <c r="J111" i="12"/>
  <c r="S110" i="12"/>
  <c r="R110" i="12"/>
  <c r="Q110" i="12"/>
  <c r="P110" i="12"/>
  <c r="O110" i="12"/>
  <c r="N110" i="12"/>
  <c r="M110" i="12"/>
  <c r="L110" i="12"/>
  <c r="K110" i="12"/>
  <c r="J110" i="12"/>
  <c r="S109" i="12"/>
  <c r="R109" i="12"/>
  <c r="Q109" i="12"/>
  <c r="P109" i="12"/>
  <c r="O109" i="12"/>
  <c r="N109" i="12"/>
  <c r="M109" i="12"/>
  <c r="L109" i="12"/>
  <c r="K109" i="12"/>
  <c r="J109" i="12"/>
  <c r="S108" i="12"/>
  <c r="R108" i="12"/>
  <c r="Q108" i="12"/>
  <c r="P108" i="12"/>
  <c r="O108" i="12"/>
  <c r="N108" i="12"/>
  <c r="M108" i="12"/>
  <c r="L108" i="12"/>
  <c r="K108" i="12"/>
  <c r="J108" i="12"/>
  <c r="S107" i="12"/>
  <c r="R107" i="12"/>
  <c r="Q107" i="12"/>
  <c r="P107" i="12"/>
  <c r="O107" i="12"/>
  <c r="N107" i="12"/>
  <c r="M107" i="12"/>
  <c r="L107" i="12"/>
  <c r="K107" i="12"/>
  <c r="J107" i="12"/>
  <c r="S106" i="12"/>
  <c r="R106" i="12"/>
  <c r="Q106" i="12"/>
  <c r="P106" i="12"/>
  <c r="O106" i="12"/>
  <c r="N106" i="12"/>
  <c r="M106" i="12"/>
  <c r="L106" i="12"/>
  <c r="K106" i="12"/>
  <c r="J106" i="12"/>
  <c r="S105" i="12"/>
  <c r="R105" i="12"/>
  <c r="Q105" i="12"/>
  <c r="P105" i="12"/>
  <c r="O105" i="12"/>
  <c r="N105" i="12"/>
  <c r="M105" i="12"/>
  <c r="L105" i="12"/>
  <c r="K105" i="12"/>
  <c r="J105" i="12"/>
  <c r="S104" i="12"/>
  <c r="R104" i="12"/>
  <c r="Q104" i="12"/>
  <c r="P104" i="12"/>
  <c r="O104" i="12"/>
  <c r="N104" i="12"/>
  <c r="M104" i="12"/>
  <c r="L104" i="12"/>
  <c r="K104" i="12"/>
  <c r="J104" i="12"/>
  <c r="S103" i="12"/>
  <c r="R103" i="12"/>
  <c r="Q103" i="12"/>
  <c r="P103" i="12"/>
  <c r="O103" i="12"/>
  <c r="N103" i="12"/>
  <c r="M103" i="12"/>
  <c r="L103" i="12"/>
  <c r="K103" i="12"/>
  <c r="J103" i="12"/>
  <c r="S102" i="12"/>
  <c r="R102" i="12"/>
  <c r="Q102" i="12"/>
  <c r="P102" i="12"/>
  <c r="O102" i="12"/>
  <c r="N102" i="12"/>
  <c r="M102" i="12"/>
  <c r="L102" i="12"/>
  <c r="K102" i="12"/>
  <c r="J102" i="12"/>
  <c r="S101" i="12"/>
  <c r="R101" i="12"/>
  <c r="Q101" i="12"/>
  <c r="P101" i="12"/>
  <c r="O101" i="12"/>
  <c r="N101" i="12"/>
  <c r="M101" i="12"/>
  <c r="L101" i="12"/>
  <c r="K101" i="12"/>
  <c r="R124" i="11"/>
  <c r="Q124" i="11"/>
  <c r="P124" i="11"/>
  <c r="O124" i="11"/>
  <c r="N124" i="11"/>
  <c r="M124" i="11"/>
  <c r="L124" i="11"/>
  <c r="K124" i="11"/>
  <c r="J124" i="11"/>
  <c r="S123" i="11"/>
  <c r="R123" i="11"/>
  <c r="Q123" i="11"/>
  <c r="P123" i="11"/>
  <c r="O123" i="11"/>
  <c r="N123" i="11"/>
  <c r="M123" i="11"/>
  <c r="L123" i="11"/>
  <c r="K123" i="11"/>
  <c r="J123" i="11"/>
  <c r="S122" i="11"/>
  <c r="R122" i="11"/>
  <c r="Q122" i="11"/>
  <c r="P122" i="11"/>
  <c r="O122" i="11"/>
  <c r="N122" i="11"/>
  <c r="M122" i="11"/>
  <c r="L122" i="11"/>
  <c r="K122" i="11"/>
  <c r="J122" i="11"/>
  <c r="S121" i="11"/>
  <c r="R121" i="11"/>
  <c r="Q121" i="11"/>
  <c r="P121" i="11"/>
  <c r="O121" i="11"/>
  <c r="N121" i="11"/>
  <c r="M121" i="11"/>
  <c r="L121" i="11"/>
  <c r="K121" i="11"/>
  <c r="J121" i="11"/>
  <c r="S120" i="11"/>
  <c r="R120" i="11"/>
  <c r="Q120" i="11"/>
  <c r="P120" i="11"/>
  <c r="O120" i="11"/>
  <c r="N120" i="11"/>
  <c r="M120" i="11"/>
  <c r="L120" i="11"/>
  <c r="K120" i="11"/>
  <c r="J120" i="11"/>
  <c r="S119" i="11"/>
  <c r="R119" i="11"/>
  <c r="Q119" i="11"/>
  <c r="P119" i="11"/>
  <c r="O119" i="11"/>
  <c r="N119" i="11"/>
  <c r="M119" i="11"/>
  <c r="L119" i="11"/>
  <c r="K119" i="11"/>
  <c r="J119" i="11"/>
  <c r="S118" i="11"/>
  <c r="R118" i="11"/>
  <c r="Q118" i="11"/>
  <c r="P118" i="11"/>
  <c r="O118" i="11"/>
  <c r="N118" i="11"/>
  <c r="M118" i="11"/>
  <c r="L118" i="11"/>
  <c r="K118" i="11"/>
  <c r="J118" i="11"/>
  <c r="S117" i="11"/>
  <c r="R117" i="11"/>
  <c r="Q117" i="11"/>
  <c r="P117" i="11"/>
  <c r="O117" i="11"/>
  <c r="N117" i="11"/>
  <c r="M117" i="11"/>
  <c r="L117" i="11"/>
  <c r="K117" i="11"/>
  <c r="J117" i="11"/>
  <c r="S116" i="11"/>
  <c r="R116" i="11"/>
  <c r="Q116" i="11"/>
  <c r="P116" i="11"/>
  <c r="O116" i="11"/>
  <c r="N116" i="11"/>
  <c r="M116" i="11"/>
  <c r="L116" i="11"/>
  <c r="K116" i="11"/>
  <c r="J116" i="11"/>
  <c r="S115" i="11"/>
  <c r="R115" i="11"/>
  <c r="Q115" i="11"/>
  <c r="P115" i="11"/>
  <c r="O115" i="11"/>
  <c r="N115" i="11"/>
  <c r="M115" i="11"/>
  <c r="L115" i="11"/>
  <c r="K115" i="11"/>
  <c r="J115" i="11"/>
  <c r="S114" i="11"/>
  <c r="R114" i="11"/>
  <c r="Q114" i="11"/>
  <c r="P114" i="11"/>
  <c r="O114" i="11"/>
  <c r="N114" i="11"/>
  <c r="M114" i="11"/>
  <c r="L114" i="11"/>
  <c r="K114" i="11"/>
  <c r="J114" i="11"/>
  <c r="S113" i="11"/>
  <c r="R113" i="11"/>
  <c r="Q113" i="11"/>
  <c r="P113" i="11"/>
  <c r="O113" i="11"/>
  <c r="N113" i="11"/>
  <c r="M113" i="11"/>
  <c r="L113" i="11"/>
  <c r="K113" i="11"/>
  <c r="J113" i="11"/>
  <c r="S112" i="11"/>
  <c r="R112" i="11"/>
  <c r="Q112" i="11"/>
  <c r="P112" i="11"/>
  <c r="O112" i="11"/>
  <c r="N112" i="11"/>
  <c r="M112" i="11"/>
  <c r="L112" i="11"/>
  <c r="K112" i="11"/>
  <c r="J112" i="11"/>
  <c r="S111" i="11"/>
  <c r="R111" i="11"/>
  <c r="Q111" i="11"/>
  <c r="P111" i="11"/>
  <c r="O111" i="11"/>
  <c r="N111" i="11"/>
  <c r="M111" i="11"/>
  <c r="L111" i="11"/>
  <c r="K111" i="11"/>
  <c r="J111" i="11"/>
  <c r="S110" i="11"/>
  <c r="R110" i="11"/>
  <c r="Q110" i="11"/>
  <c r="P110" i="11"/>
  <c r="O110" i="11"/>
  <c r="N110" i="11"/>
  <c r="M110" i="11"/>
  <c r="L110" i="11"/>
  <c r="K110" i="11"/>
  <c r="J110" i="11"/>
  <c r="S109" i="11"/>
  <c r="R109" i="11"/>
  <c r="Q109" i="11"/>
  <c r="P109" i="11"/>
  <c r="O109" i="11"/>
  <c r="N109" i="11"/>
  <c r="M109" i="11"/>
  <c r="L109" i="11"/>
  <c r="K109" i="11"/>
  <c r="J109" i="11"/>
  <c r="S108" i="11"/>
  <c r="R108" i="11"/>
  <c r="Q108" i="11"/>
  <c r="P108" i="11"/>
  <c r="O108" i="11"/>
  <c r="N108" i="11"/>
  <c r="M108" i="11"/>
  <c r="L108" i="11"/>
  <c r="K108" i="11"/>
  <c r="J108" i="11"/>
  <c r="S107" i="11"/>
  <c r="R107" i="11"/>
  <c r="Q107" i="11"/>
  <c r="P107" i="11"/>
  <c r="O107" i="11"/>
  <c r="N107" i="11"/>
  <c r="M107" i="11"/>
  <c r="L107" i="11"/>
  <c r="K107" i="11"/>
  <c r="J107" i="11"/>
  <c r="S106" i="11"/>
  <c r="R106" i="11"/>
  <c r="Q106" i="11"/>
  <c r="P106" i="11"/>
  <c r="O106" i="11"/>
  <c r="N106" i="11"/>
  <c r="M106" i="11"/>
  <c r="L106" i="11"/>
  <c r="K106" i="11"/>
  <c r="J106" i="11"/>
  <c r="S105" i="11"/>
  <c r="R105" i="11"/>
  <c r="Q105" i="11"/>
  <c r="P105" i="11"/>
  <c r="O105" i="11"/>
  <c r="N105" i="11"/>
  <c r="M105" i="11"/>
  <c r="L105" i="11"/>
  <c r="K105" i="11"/>
  <c r="J105" i="11"/>
  <c r="S104" i="11"/>
  <c r="R104" i="11"/>
  <c r="Q104" i="11"/>
  <c r="P104" i="11"/>
  <c r="O104" i="11"/>
  <c r="N104" i="11"/>
  <c r="M104" i="11"/>
  <c r="L104" i="11"/>
  <c r="K104" i="11"/>
  <c r="J104" i="11"/>
  <c r="S103" i="11"/>
  <c r="R103" i="11"/>
  <c r="Q103" i="11"/>
  <c r="P103" i="11"/>
  <c r="O103" i="11"/>
  <c r="N103" i="11"/>
  <c r="M103" i="11"/>
  <c r="L103" i="11"/>
  <c r="K103" i="11"/>
  <c r="J103" i="11"/>
  <c r="S102" i="11"/>
  <c r="R102" i="11"/>
  <c r="Q102" i="11"/>
  <c r="P102" i="11"/>
  <c r="O102" i="11"/>
  <c r="N102" i="11"/>
  <c r="M102" i="11"/>
  <c r="L102" i="11"/>
  <c r="K102" i="11"/>
  <c r="J102" i="11"/>
  <c r="S101" i="11"/>
  <c r="R101" i="11"/>
  <c r="Q101" i="11"/>
  <c r="P101" i="11"/>
  <c r="O101" i="11"/>
  <c r="N101" i="11"/>
  <c r="M101" i="11"/>
  <c r="L101" i="11"/>
  <c r="K101" i="11"/>
  <c r="R124" i="10"/>
  <c r="Q124" i="10"/>
  <c r="P124" i="10"/>
  <c r="O124" i="10"/>
  <c r="N124" i="10"/>
  <c r="M124" i="10"/>
  <c r="L124" i="10"/>
  <c r="K124" i="10"/>
  <c r="J124" i="10"/>
  <c r="S123" i="10"/>
  <c r="R123" i="10"/>
  <c r="Q123" i="10"/>
  <c r="P123" i="10"/>
  <c r="O123" i="10"/>
  <c r="N123" i="10"/>
  <c r="M123" i="10"/>
  <c r="L123" i="10"/>
  <c r="K123" i="10"/>
  <c r="J123" i="10"/>
  <c r="S122" i="10"/>
  <c r="R122" i="10"/>
  <c r="Q122" i="10"/>
  <c r="P122" i="10"/>
  <c r="O122" i="10"/>
  <c r="N122" i="10"/>
  <c r="M122" i="10"/>
  <c r="L122" i="10"/>
  <c r="K122" i="10"/>
  <c r="J122" i="10"/>
  <c r="S121" i="10"/>
  <c r="R121" i="10"/>
  <c r="Q121" i="10"/>
  <c r="P121" i="10"/>
  <c r="O121" i="10"/>
  <c r="N121" i="10"/>
  <c r="M121" i="10"/>
  <c r="L121" i="10"/>
  <c r="K121" i="10"/>
  <c r="J121" i="10"/>
  <c r="S120" i="10"/>
  <c r="R120" i="10"/>
  <c r="Q120" i="10"/>
  <c r="P120" i="10"/>
  <c r="O120" i="10"/>
  <c r="N120" i="10"/>
  <c r="M120" i="10"/>
  <c r="L120" i="10"/>
  <c r="K120" i="10"/>
  <c r="J120" i="10"/>
  <c r="S119" i="10"/>
  <c r="R119" i="10"/>
  <c r="Q119" i="10"/>
  <c r="P119" i="10"/>
  <c r="O119" i="10"/>
  <c r="N119" i="10"/>
  <c r="M119" i="10"/>
  <c r="L119" i="10"/>
  <c r="K119" i="10"/>
  <c r="J119" i="10"/>
  <c r="S118" i="10"/>
  <c r="R118" i="10"/>
  <c r="Q118" i="10"/>
  <c r="P118" i="10"/>
  <c r="O118" i="10"/>
  <c r="N118" i="10"/>
  <c r="M118" i="10"/>
  <c r="L118" i="10"/>
  <c r="K118" i="10"/>
  <c r="J118" i="10"/>
  <c r="S117" i="10"/>
  <c r="R117" i="10"/>
  <c r="Q117" i="10"/>
  <c r="P117" i="10"/>
  <c r="O117" i="10"/>
  <c r="N117" i="10"/>
  <c r="M117" i="10"/>
  <c r="L117" i="10"/>
  <c r="K117" i="10"/>
  <c r="J117" i="10"/>
  <c r="S116" i="10"/>
  <c r="R116" i="10"/>
  <c r="Q116" i="10"/>
  <c r="P116" i="10"/>
  <c r="O116" i="10"/>
  <c r="N116" i="10"/>
  <c r="M116" i="10"/>
  <c r="L116" i="10"/>
  <c r="K116" i="10"/>
  <c r="J116" i="10"/>
  <c r="S115" i="10"/>
  <c r="R115" i="10"/>
  <c r="Q115" i="10"/>
  <c r="P115" i="10"/>
  <c r="O115" i="10"/>
  <c r="N115" i="10"/>
  <c r="M115" i="10"/>
  <c r="L115" i="10"/>
  <c r="K115" i="10"/>
  <c r="J115" i="10"/>
  <c r="S114" i="10"/>
  <c r="R114" i="10"/>
  <c r="Q114" i="10"/>
  <c r="P114" i="10"/>
  <c r="O114" i="10"/>
  <c r="N114" i="10"/>
  <c r="M114" i="10"/>
  <c r="L114" i="10"/>
  <c r="K114" i="10"/>
  <c r="J114" i="10"/>
  <c r="S113" i="10"/>
  <c r="R113" i="10"/>
  <c r="Q113" i="10"/>
  <c r="P113" i="10"/>
  <c r="O113" i="10"/>
  <c r="N113" i="10"/>
  <c r="M113" i="10"/>
  <c r="L113" i="10"/>
  <c r="K113" i="10"/>
  <c r="J113" i="10"/>
  <c r="S112" i="10"/>
  <c r="R112" i="10"/>
  <c r="Q112" i="10"/>
  <c r="P112" i="10"/>
  <c r="O112" i="10"/>
  <c r="N112" i="10"/>
  <c r="M112" i="10"/>
  <c r="L112" i="10"/>
  <c r="K112" i="10"/>
  <c r="J112" i="10"/>
  <c r="S111" i="10"/>
  <c r="R111" i="10"/>
  <c r="Q111" i="10"/>
  <c r="P111" i="10"/>
  <c r="O111" i="10"/>
  <c r="N111" i="10"/>
  <c r="M111" i="10"/>
  <c r="L111" i="10"/>
  <c r="K111" i="10"/>
  <c r="J111" i="10"/>
  <c r="S110" i="10"/>
  <c r="R110" i="10"/>
  <c r="Q110" i="10"/>
  <c r="P110" i="10"/>
  <c r="O110" i="10"/>
  <c r="N110" i="10"/>
  <c r="M110" i="10"/>
  <c r="L110" i="10"/>
  <c r="K110" i="10"/>
  <c r="J110" i="10"/>
  <c r="S109" i="10"/>
  <c r="R109" i="10"/>
  <c r="Q109" i="10"/>
  <c r="P109" i="10"/>
  <c r="O109" i="10"/>
  <c r="N109" i="10"/>
  <c r="M109" i="10"/>
  <c r="L109" i="10"/>
  <c r="K109" i="10"/>
  <c r="J109" i="10"/>
  <c r="S108" i="10"/>
  <c r="R108" i="10"/>
  <c r="Q108" i="10"/>
  <c r="P108" i="10"/>
  <c r="O108" i="10"/>
  <c r="N108" i="10"/>
  <c r="M108" i="10"/>
  <c r="L108" i="10"/>
  <c r="K108" i="10"/>
  <c r="J108" i="10"/>
  <c r="S107" i="10"/>
  <c r="R107" i="10"/>
  <c r="Q107" i="10"/>
  <c r="P107" i="10"/>
  <c r="O107" i="10"/>
  <c r="N107" i="10"/>
  <c r="M107" i="10"/>
  <c r="L107" i="10"/>
  <c r="K107" i="10"/>
  <c r="J107" i="10"/>
  <c r="S106" i="10"/>
  <c r="R106" i="10"/>
  <c r="Q106" i="10"/>
  <c r="P106" i="10"/>
  <c r="O106" i="10"/>
  <c r="N106" i="10"/>
  <c r="M106" i="10"/>
  <c r="L106" i="10"/>
  <c r="K106" i="10"/>
  <c r="J106" i="10"/>
  <c r="S105" i="10"/>
  <c r="R105" i="10"/>
  <c r="Q105" i="10"/>
  <c r="P105" i="10"/>
  <c r="O105" i="10"/>
  <c r="N105" i="10"/>
  <c r="M105" i="10"/>
  <c r="L105" i="10"/>
  <c r="K105" i="10"/>
  <c r="J105" i="10"/>
  <c r="S104" i="10"/>
  <c r="R104" i="10"/>
  <c r="Q104" i="10"/>
  <c r="P104" i="10"/>
  <c r="O104" i="10"/>
  <c r="N104" i="10"/>
  <c r="M104" i="10"/>
  <c r="L104" i="10"/>
  <c r="K104" i="10"/>
  <c r="J104" i="10"/>
  <c r="S103" i="10"/>
  <c r="R103" i="10"/>
  <c r="Q103" i="10"/>
  <c r="P103" i="10"/>
  <c r="O103" i="10"/>
  <c r="N103" i="10"/>
  <c r="M103" i="10"/>
  <c r="L103" i="10"/>
  <c r="K103" i="10"/>
  <c r="J103" i="10"/>
  <c r="S102" i="10"/>
  <c r="R102" i="10"/>
  <c r="Q102" i="10"/>
  <c r="P102" i="10"/>
  <c r="O102" i="10"/>
  <c r="N102" i="10"/>
  <c r="M102" i="10"/>
  <c r="L102" i="10"/>
  <c r="K102" i="10"/>
  <c r="J102" i="10"/>
  <c r="S101" i="10"/>
  <c r="R101" i="10"/>
  <c r="Q101" i="10"/>
  <c r="P101" i="10"/>
  <c r="O101" i="10"/>
  <c r="N101" i="10"/>
  <c r="M101" i="10"/>
  <c r="L101" i="10"/>
  <c r="K101" i="10"/>
  <c r="R124" i="9"/>
  <c r="Q124" i="9"/>
  <c r="P124" i="9"/>
  <c r="O124" i="9"/>
  <c r="N124" i="9"/>
  <c r="M124" i="9"/>
  <c r="L124" i="9"/>
  <c r="K124" i="9"/>
  <c r="J124" i="9"/>
  <c r="S123" i="9"/>
  <c r="R123" i="9"/>
  <c r="Q123" i="9"/>
  <c r="P123" i="9"/>
  <c r="O123" i="9"/>
  <c r="N123" i="9"/>
  <c r="M123" i="9"/>
  <c r="L123" i="9"/>
  <c r="K123" i="9"/>
  <c r="J123" i="9"/>
  <c r="S122" i="9"/>
  <c r="R122" i="9"/>
  <c r="Q122" i="9"/>
  <c r="P122" i="9"/>
  <c r="O122" i="9"/>
  <c r="N122" i="9"/>
  <c r="M122" i="9"/>
  <c r="L122" i="9"/>
  <c r="K122" i="9"/>
  <c r="J122" i="9"/>
  <c r="S121" i="9"/>
  <c r="R121" i="9"/>
  <c r="Q121" i="9"/>
  <c r="P121" i="9"/>
  <c r="O121" i="9"/>
  <c r="N121" i="9"/>
  <c r="M121" i="9"/>
  <c r="L121" i="9"/>
  <c r="K121" i="9"/>
  <c r="J121" i="9"/>
  <c r="S120" i="9"/>
  <c r="R120" i="9"/>
  <c r="Q120" i="9"/>
  <c r="P120" i="9"/>
  <c r="O120" i="9"/>
  <c r="N120" i="9"/>
  <c r="M120" i="9"/>
  <c r="L120" i="9"/>
  <c r="K120" i="9"/>
  <c r="J120" i="9"/>
  <c r="S119" i="9"/>
  <c r="R119" i="9"/>
  <c r="Q119" i="9"/>
  <c r="P119" i="9"/>
  <c r="O119" i="9"/>
  <c r="N119" i="9"/>
  <c r="M119" i="9"/>
  <c r="L119" i="9"/>
  <c r="K119" i="9"/>
  <c r="J119" i="9"/>
  <c r="S118" i="9"/>
  <c r="R118" i="9"/>
  <c r="Q118" i="9"/>
  <c r="P118" i="9"/>
  <c r="O118" i="9"/>
  <c r="N118" i="9"/>
  <c r="M118" i="9"/>
  <c r="L118" i="9"/>
  <c r="K118" i="9"/>
  <c r="J118" i="9"/>
  <c r="S117" i="9"/>
  <c r="R117" i="9"/>
  <c r="Q117" i="9"/>
  <c r="P117" i="9"/>
  <c r="O117" i="9"/>
  <c r="N117" i="9"/>
  <c r="M117" i="9"/>
  <c r="L117" i="9"/>
  <c r="K117" i="9"/>
  <c r="J117" i="9"/>
  <c r="S116" i="9"/>
  <c r="R116" i="9"/>
  <c r="Q116" i="9"/>
  <c r="P116" i="9"/>
  <c r="O116" i="9"/>
  <c r="N116" i="9"/>
  <c r="M116" i="9"/>
  <c r="L116" i="9"/>
  <c r="K116" i="9"/>
  <c r="J116" i="9"/>
  <c r="S115" i="9"/>
  <c r="R115" i="9"/>
  <c r="Q115" i="9"/>
  <c r="P115" i="9"/>
  <c r="O115" i="9"/>
  <c r="N115" i="9"/>
  <c r="M115" i="9"/>
  <c r="L115" i="9"/>
  <c r="K115" i="9"/>
  <c r="J115" i="9"/>
  <c r="S114" i="9"/>
  <c r="R114" i="9"/>
  <c r="Q114" i="9"/>
  <c r="P114" i="9"/>
  <c r="O114" i="9"/>
  <c r="N114" i="9"/>
  <c r="M114" i="9"/>
  <c r="L114" i="9"/>
  <c r="K114" i="9"/>
  <c r="J114" i="9"/>
  <c r="S113" i="9"/>
  <c r="R113" i="9"/>
  <c r="Q113" i="9"/>
  <c r="P113" i="9"/>
  <c r="O113" i="9"/>
  <c r="N113" i="9"/>
  <c r="M113" i="9"/>
  <c r="L113" i="9"/>
  <c r="K113" i="9"/>
  <c r="J113" i="9"/>
  <c r="S112" i="9"/>
  <c r="R112" i="9"/>
  <c r="Q112" i="9"/>
  <c r="P112" i="9"/>
  <c r="O112" i="9"/>
  <c r="N112" i="9"/>
  <c r="M112" i="9"/>
  <c r="L112" i="9"/>
  <c r="K112" i="9"/>
  <c r="J112" i="9"/>
  <c r="S111" i="9"/>
  <c r="R111" i="9"/>
  <c r="Q111" i="9"/>
  <c r="P111" i="9"/>
  <c r="O111" i="9"/>
  <c r="N111" i="9"/>
  <c r="M111" i="9"/>
  <c r="L111" i="9"/>
  <c r="K111" i="9"/>
  <c r="J111" i="9"/>
  <c r="S110" i="9"/>
  <c r="R110" i="9"/>
  <c r="Q110" i="9"/>
  <c r="P110" i="9"/>
  <c r="O110" i="9"/>
  <c r="N110" i="9"/>
  <c r="M110" i="9"/>
  <c r="L110" i="9"/>
  <c r="K110" i="9"/>
  <c r="J110" i="9"/>
  <c r="S109" i="9"/>
  <c r="R109" i="9"/>
  <c r="Q109" i="9"/>
  <c r="P109" i="9"/>
  <c r="O109" i="9"/>
  <c r="N109" i="9"/>
  <c r="M109" i="9"/>
  <c r="L109" i="9"/>
  <c r="K109" i="9"/>
  <c r="J109" i="9"/>
  <c r="S108" i="9"/>
  <c r="R108" i="9"/>
  <c r="Q108" i="9"/>
  <c r="P108" i="9"/>
  <c r="O108" i="9"/>
  <c r="N108" i="9"/>
  <c r="M108" i="9"/>
  <c r="L108" i="9"/>
  <c r="K108" i="9"/>
  <c r="J108" i="9"/>
  <c r="S107" i="9"/>
  <c r="R107" i="9"/>
  <c r="Q107" i="9"/>
  <c r="P107" i="9"/>
  <c r="O107" i="9"/>
  <c r="N107" i="9"/>
  <c r="M107" i="9"/>
  <c r="L107" i="9"/>
  <c r="K107" i="9"/>
  <c r="J107" i="9"/>
  <c r="S106" i="9"/>
  <c r="R106" i="9"/>
  <c r="Q106" i="9"/>
  <c r="P106" i="9"/>
  <c r="O106" i="9"/>
  <c r="N106" i="9"/>
  <c r="M106" i="9"/>
  <c r="L106" i="9"/>
  <c r="K106" i="9"/>
  <c r="J106" i="9"/>
  <c r="S105" i="9"/>
  <c r="R105" i="9"/>
  <c r="Q105" i="9"/>
  <c r="P105" i="9"/>
  <c r="O105" i="9"/>
  <c r="N105" i="9"/>
  <c r="M105" i="9"/>
  <c r="L105" i="9"/>
  <c r="K105" i="9"/>
  <c r="J105" i="9"/>
  <c r="S104" i="9"/>
  <c r="R104" i="9"/>
  <c r="Q104" i="9"/>
  <c r="P104" i="9"/>
  <c r="O104" i="9"/>
  <c r="N104" i="9"/>
  <c r="M104" i="9"/>
  <c r="L104" i="9"/>
  <c r="K104" i="9"/>
  <c r="J104" i="9"/>
  <c r="S103" i="9"/>
  <c r="R103" i="9"/>
  <c r="Q103" i="9"/>
  <c r="P103" i="9"/>
  <c r="O103" i="9"/>
  <c r="N103" i="9"/>
  <c r="M103" i="9"/>
  <c r="L103" i="9"/>
  <c r="K103" i="9"/>
  <c r="J103" i="9"/>
  <c r="S102" i="9"/>
  <c r="R102" i="9"/>
  <c r="Q102" i="9"/>
  <c r="P102" i="9"/>
  <c r="O102" i="9"/>
  <c r="N102" i="9"/>
  <c r="M102" i="9"/>
  <c r="L102" i="9"/>
  <c r="K102" i="9"/>
  <c r="J102" i="9"/>
  <c r="S101" i="9"/>
  <c r="R101" i="9"/>
  <c r="Q101" i="9"/>
  <c r="P101" i="9"/>
  <c r="O101" i="9"/>
  <c r="N101" i="9"/>
  <c r="M101" i="9"/>
  <c r="L101" i="9"/>
  <c r="K101" i="9"/>
  <c r="R124" i="8"/>
  <c r="Q124" i="8"/>
  <c r="P124" i="8"/>
  <c r="O124" i="8"/>
  <c r="N124" i="8"/>
  <c r="M124" i="8"/>
  <c r="L124" i="8"/>
  <c r="K124" i="8"/>
  <c r="J124" i="8"/>
  <c r="S123" i="8"/>
  <c r="R123" i="8"/>
  <c r="Q123" i="8"/>
  <c r="P123" i="8"/>
  <c r="O123" i="8"/>
  <c r="N123" i="8"/>
  <c r="M123" i="8"/>
  <c r="L123" i="8"/>
  <c r="K123" i="8"/>
  <c r="J123" i="8"/>
  <c r="S122" i="8"/>
  <c r="R122" i="8"/>
  <c r="Q122" i="8"/>
  <c r="P122" i="8"/>
  <c r="O122" i="8"/>
  <c r="N122" i="8"/>
  <c r="M122" i="8"/>
  <c r="L122" i="8"/>
  <c r="K122" i="8"/>
  <c r="J122" i="8"/>
  <c r="S121" i="8"/>
  <c r="R121" i="8"/>
  <c r="Q121" i="8"/>
  <c r="P121" i="8"/>
  <c r="O121" i="8"/>
  <c r="N121" i="8"/>
  <c r="M121" i="8"/>
  <c r="L121" i="8"/>
  <c r="K121" i="8"/>
  <c r="J121" i="8"/>
  <c r="S120" i="8"/>
  <c r="R120" i="8"/>
  <c r="Q120" i="8"/>
  <c r="P120" i="8"/>
  <c r="O120" i="8"/>
  <c r="N120" i="8"/>
  <c r="M120" i="8"/>
  <c r="L120" i="8"/>
  <c r="K120" i="8"/>
  <c r="J120" i="8"/>
  <c r="S119" i="8"/>
  <c r="R119" i="8"/>
  <c r="Q119" i="8"/>
  <c r="P119" i="8"/>
  <c r="O119" i="8"/>
  <c r="N119" i="8"/>
  <c r="M119" i="8"/>
  <c r="L119" i="8"/>
  <c r="K119" i="8"/>
  <c r="J119" i="8"/>
  <c r="S118" i="8"/>
  <c r="R118" i="8"/>
  <c r="Q118" i="8"/>
  <c r="P118" i="8"/>
  <c r="O118" i="8"/>
  <c r="N118" i="8"/>
  <c r="M118" i="8"/>
  <c r="L118" i="8"/>
  <c r="K118" i="8"/>
  <c r="J118" i="8"/>
  <c r="S117" i="8"/>
  <c r="R117" i="8"/>
  <c r="Q117" i="8"/>
  <c r="P117" i="8"/>
  <c r="O117" i="8"/>
  <c r="N117" i="8"/>
  <c r="M117" i="8"/>
  <c r="L117" i="8"/>
  <c r="K117" i="8"/>
  <c r="J117" i="8"/>
  <c r="S116" i="8"/>
  <c r="R116" i="8"/>
  <c r="Q116" i="8"/>
  <c r="P116" i="8"/>
  <c r="O116" i="8"/>
  <c r="N116" i="8"/>
  <c r="M116" i="8"/>
  <c r="L116" i="8"/>
  <c r="K116" i="8"/>
  <c r="J116" i="8"/>
  <c r="S115" i="8"/>
  <c r="R115" i="8"/>
  <c r="Q115" i="8"/>
  <c r="P115" i="8"/>
  <c r="O115" i="8"/>
  <c r="N115" i="8"/>
  <c r="M115" i="8"/>
  <c r="L115" i="8"/>
  <c r="K115" i="8"/>
  <c r="J115" i="8"/>
  <c r="S114" i="8"/>
  <c r="R114" i="8"/>
  <c r="Q114" i="8"/>
  <c r="P114" i="8"/>
  <c r="O114" i="8"/>
  <c r="N114" i="8"/>
  <c r="M114" i="8"/>
  <c r="L114" i="8"/>
  <c r="K114" i="8"/>
  <c r="J114" i="8"/>
  <c r="S113" i="8"/>
  <c r="R113" i="8"/>
  <c r="Q113" i="8"/>
  <c r="P113" i="8"/>
  <c r="O113" i="8"/>
  <c r="N113" i="8"/>
  <c r="M113" i="8"/>
  <c r="L113" i="8"/>
  <c r="K113" i="8"/>
  <c r="J113" i="8"/>
  <c r="S112" i="8"/>
  <c r="R112" i="8"/>
  <c r="Q112" i="8"/>
  <c r="P112" i="8"/>
  <c r="O112" i="8"/>
  <c r="N112" i="8"/>
  <c r="M112" i="8"/>
  <c r="L112" i="8"/>
  <c r="K112" i="8"/>
  <c r="J112" i="8"/>
  <c r="S111" i="8"/>
  <c r="R111" i="8"/>
  <c r="Q111" i="8"/>
  <c r="P111" i="8"/>
  <c r="O111" i="8"/>
  <c r="N111" i="8"/>
  <c r="M111" i="8"/>
  <c r="L111" i="8"/>
  <c r="K111" i="8"/>
  <c r="J111" i="8"/>
  <c r="S110" i="8"/>
  <c r="R110" i="8"/>
  <c r="Q110" i="8"/>
  <c r="P110" i="8"/>
  <c r="O110" i="8"/>
  <c r="N110" i="8"/>
  <c r="M110" i="8"/>
  <c r="L110" i="8"/>
  <c r="K110" i="8"/>
  <c r="J110" i="8"/>
  <c r="S109" i="8"/>
  <c r="R109" i="8"/>
  <c r="Q109" i="8"/>
  <c r="P109" i="8"/>
  <c r="O109" i="8"/>
  <c r="N109" i="8"/>
  <c r="M109" i="8"/>
  <c r="L109" i="8"/>
  <c r="K109" i="8"/>
  <c r="J109" i="8"/>
  <c r="S108" i="8"/>
  <c r="R108" i="8"/>
  <c r="Q108" i="8"/>
  <c r="P108" i="8"/>
  <c r="O108" i="8"/>
  <c r="N108" i="8"/>
  <c r="M108" i="8"/>
  <c r="L108" i="8"/>
  <c r="K108" i="8"/>
  <c r="J108" i="8"/>
  <c r="S107" i="8"/>
  <c r="R107" i="8"/>
  <c r="Q107" i="8"/>
  <c r="P107" i="8"/>
  <c r="O107" i="8"/>
  <c r="N107" i="8"/>
  <c r="M107" i="8"/>
  <c r="L107" i="8"/>
  <c r="K107" i="8"/>
  <c r="J107" i="8"/>
  <c r="S106" i="8"/>
  <c r="R106" i="8"/>
  <c r="Q106" i="8"/>
  <c r="P106" i="8"/>
  <c r="O106" i="8"/>
  <c r="N106" i="8"/>
  <c r="M106" i="8"/>
  <c r="L106" i="8"/>
  <c r="K106" i="8"/>
  <c r="J106" i="8"/>
  <c r="S105" i="8"/>
  <c r="R105" i="8"/>
  <c r="Q105" i="8"/>
  <c r="P105" i="8"/>
  <c r="O105" i="8"/>
  <c r="N105" i="8"/>
  <c r="M105" i="8"/>
  <c r="L105" i="8"/>
  <c r="K105" i="8"/>
  <c r="J105" i="8"/>
  <c r="S104" i="8"/>
  <c r="R104" i="8"/>
  <c r="Q104" i="8"/>
  <c r="P104" i="8"/>
  <c r="O104" i="8"/>
  <c r="N104" i="8"/>
  <c r="M104" i="8"/>
  <c r="L104" i="8"/>
  <c r="K104" i="8"/>
  <c r="J104" i="8"/>
  <c r="S103" i="8"/>
  <c r="R103" i="8"/>
  <c r="Q103" i="8"/>
  <c r="P103" i="8"/>
  <c r="O103" i="8"/>
  <c r="N103" i="8"/>
  <c r="M103" i="8"/>
  <c r="L103" i="8"/>
  <c r="K103" i="8"/>
  <c r="J103" i="8"/>
  <c r="S102" i="8"/>
  <c r="R102" i="8"/>
  <c r="Q102" i="8"/>
  <c r="P102" i="8"/>
  <c r="O102" i="8"/>
  <c r="N102" i="8"/>
  <c r="M102" i="8"/>
  <c r="L102" i="8"/>
  <c r="K102" i="8"/>
  <c r="J102" i="8"/>
  <c r="S101" i="8"/>
  <c r="R101" i="8"/>
  <c r="Q101" i="8"/>
  <c r="P101" i="8"/>
  <c r="O101" i="8"/>
  <c r="N101" i="8"/>
  <c r="M101" i="8"/>
  <c r="L101" i="8"/>
  <c r="K101" i="8"/>
  <c r="R124" i="7"/>
  <c r="Q124" i="7"/>
  <c r="P124" i="7"/>
  <c r="O124" i="7"/>
  <c r="N124" i="7"/>
  <c r="M124" i="7"/>
  <c r="L124" i="7"/>
  <c r="K124" i="7"/>
  <c r="J124" i="7"/>
  <c r="S123" i="7"/>
  <c r="R123" i="7"/>
  <c r="Q123" i="7"/>
  <c r="P123" i="7"/>
  <c r="O123" i="7"/>
  <c r="N123" i="7"/>
  <c r="M123" i="7"/>
  <c r="L123" i="7"/>
  <c r="K123" i="7"/>
  <c r="J123" i="7"/>
  <c r="S122" i="7"/>
  <c r="R122" i="7"/>
  <c r="Q122" i="7"/>
  <c r="P122" i="7"/>
  <c r="O122" i="7"/>
  <c r="N122" i="7"/>
  <c r="M122" i="7"/>
  <c r="L122" i="7"/>
  <c r="K122" i="7"/>
  <c r="J122" i="7"/>
  <c r="S121" i="7"/>
  <c r="R121" i="7"/>
  <c r="Q121" i="7"/>
  <c r="P121" i="7"/>
  <c r="O121" i="7"/>
  <c r="N121" i="7"/>
  <c r="M121" i="7"/>
  <c r="L121" i="7"/>
  <c r="K121" i="7"/>
  <c r="J121" i="7"/>
  <c r="S120" i="7"/>
  <c r="R120" i="7"/>
  <c r="Q120" i="7"/>
  <c r="P120" i="7"/>
  <c r="O120" i="7"/>
  <c r="N120" i="7"/>
  <c r="M120" i="7"/>
  <c r="L120" i="7"/>
  <c r="K120" i="7"/>
  <c r="J120" i="7"/>
  <c r="S119" i="7"/>
  <c r="R119" i="7"/>
  <c r="Q119" i="7"/>
  <c r="P119" i="7"/>
  <c r="O119" i="7"/>
  <c r="N119" i="7"/>
  <c r="M119" i="7"/>
  <c r="L119" i="7"/>
  <c r="K119" i="7"/>
  <c r="J119" i="7"/>
  <c r="S118" i="7"/>
  <c r="R118" i="7"/>
  <c r="Q118" i="7"/>
  <c r="P118" i="7"/>
  <c r="O118" i="7"/>
  <c r="N118" i="7"/>
  <c r="M118" i="7"/>
  <c r="L118" i="7"/>
  <c r="K118" i="7"/>
  <c r="J118" i="7"/>
  <c r="S117" i="7"/>
  <c r="R117" i="7"/>
  <c r="Q117" i="7"/>
  <c r="P117" i="7"/>
  <c r="O117" i="7"/>
  <c r="N117" i="7"/>
  <c r="M117" i="7"/>
  <c r="L117" i="7"/>
  <c r="K117" i="7"/>
  <c r="J117" i="7"/>
  <c r="S116" i="7"/>
  <c r="R116" i="7"/>
  <c r="Q116" i="7"/>
  <c r="P116" i="7"/>
  <c r="O116" i="7"/>
  <c r="N116" i="7"/>
  <c r="M116" i="7"/>
  <c r="L116" i="7"/>
  <c r="K116" i="7"/>
  <c r="J116" i="7"/>
  <c r="S115" i="7"/>
  <c r="R115" i="7"/>
  <c r="Q115" i="7"/>
  <c r="P115" i="7"/>
  <c r="O115" i="7"/>
  <c r="N115" i="7"/>
  <c r="M115" i="7"/>
  <c r="L115" i="7"/>
  <c r="K115" i="7"/>
  <c r="J115" i="7"/>
  <c r="S114" i="7"/>
  <c r="R114" i="7"/>
  <c r="Q114" i="7"/>
  <c r="P114" i="7"/>
  <c r="O114" i="7"/>
  <c r="N114" i="7"/>
  <c r="M114" i="7"/>
  <c r="L114" i="7"/>
  <c r="K114" i="7"/>
  <c r="J114" i="7"/>
  <c r="S113" i="7"/>
  <c r="R113" i="7"/>
  <c r="Q113" i="7"/>
  <c r="P113" i="7"/>
  <c r="O113" i="7"/>
  <c r="N113" i="7"/>
  <c r="M113" i="7"/>
  <c r="L113" i="7"/>
  <c r="K113" i="7"/>
  <c r="J113" i="7"/>
  <c r="S112" i="7"/>
  <c r="R112" i="7"/>
  <c r="Q112" i="7"/>
  <c r="P112" i="7"/>
  <c r="O112" i="7"/>
  <c r="N112" i="7"/>
  <c r="M112" i="7"/>
  <c r="L112" i="7"/>
  <c r="K112" i="7"/>
  <c r="J112" i="7"/>
  <c r="S111" i="7"/>
  <c r="R111" i="7"/>
  <c r="Q111" i="7"/>
  <c r="P111" i="7"/>
  <c r="O111" i="7"/>
  <c r="N111" i="7"/>
  <c r="M111" i="7"/>
  <c r="L111" i="7"/>
  <c r="K111" i="7"/>
  <c r="J111" i="7"/>
  <c r="S110" i="7"/>
  <c r="R110" i="7"/>
  <c r="Q110" i="7"/>
  <c r="P110" i="7"/>
  <c r="O110" i="7"/>
  <c r="N110" i="7"/>
  <c r="M110" i="7"/>
  <c r="L110" i="7"/>
  <c r="K110" i="7"/>
  <c r="J110" i="7"/>
  <c r="S109" i="7"/>
  <c r="R109" i="7"/>
  <c r="Q109" i="7"/>
  <c r="P109" i="7"/>
  <c r="O109" i="7"/>
  <c r="N109" i="7"/>
  <c r="M109" i="7"/>
  <c r="L109" i="7"/>
  <c r="K109" i="7"/>
  <c r="J109" i="7"/>
  <c r="S108" i="7"/>
  <c r="R108" i="7"/>
  <c r="Q108" i="7"/>
  <c r="P108" i="7"/>
  <c r="O108" i="7"/>
  <c r="N108" i="7"/>
  <c r="M108" i="7"/>
  <c r="L108" i="7"/>
  <c r="K108" i="7"/>
  <c r="J108" i="7"/>
  <c r="S107" i="7"/>
  <c r="R107" i="7"/>
  <c r="Q107" i="7"/>
  <c r="P107" i="7"/>
  <c r="O107" i="7"/>
  <c r="N107" i="7"/>
  <c r="M107" i="7"/>
  <c r="L107" i="7"/>
  <c r="K107" i="7"/>
  <c r="J107" i="7"/>
  <c r="S106" i="7"/>
  <c r="R106" i="7"/>
  <c r="Q106" i="7"/>
  <c r="P106" i="7"/>
  <c r="O106" i="7"/>
  <c r="N106" i="7"/>
  <c r="M106" i="7"/>
  <c r="L106" i="7"/>
  <c r="K106" i="7"/>
  <c r="J106" i="7"/>
  <c r="S105" i="7"/>
  <c r="R105" i="7"/>
  <c r="Q105" i="7"/>
  <c r="P105" i="7"/>
  <c r="O105" i="7"/>
  <c r="N105" i="7"/>
  <c r="M105" i="7"/>
  <c r="L105" i="7"/>
  <c r="K105" i="7"/>
  <c r="J105" i="7"/>
  <c r="S104" i="7"/>
  <c r="R104" i="7"/>
  <c r="Q104" i="7"/>
  <c r="P104" i="7"/>
  <c r="O104" i="7"/>
  <c r="N104" i="7"/>
  <c r="M104" i="7"/>
  <c r="L104" i="7"/>
  <c r="K104" i="7"/>
  <c r="J104" i="7"/>
  <c r="S103" i="7"/>
  <c r="R103" i="7"/>
  <c r="Q103" i="7"/>
  <c r="P103" i="7"/>
  <c r="O103" i="7"/>
  <c r="N103" i="7"/>
  <c r="M103" i="7"/>
  <c r="L103" i="7"/>
  <c r="K103" i="7"/>
  <c r="J103" i="7"/>
  <c r="S102" i="7"/>
  <c r="R102" i="7"/>
  <c r="Q102" i="7"/>
  <c r="P102" i="7"/>
  <c r="O102" i="7"/>
  <c r="N102" i="7"/>
  <c r="M102" i="7"/>
  <c r="L102" i="7"/>
  <c r="K102" i="7"/>
  <c r="J102" i="7"/>
  <c r="S101" i="7"/>
  <c r="R101" i="7"/>
  <c r="Q101" i="7"/>
  <c r="P101" i="7"/>
  <c r="O101" i="7"/>
  <c r="N101" i="7"/>
  <c r="M101" i="7"/>
  <c r="L101" i="7"/>
  <c r="K101" i="7"/>
  <c r="R124" i="6"/>
  <c r="Q124" i="6"/>
  <c r="P124" i="6"/>
  <c r="O124" i="6"/>
  <c r="N124" i="6"/>
  <c r="M124" i="6"/>
  <c r="L124" i="6"/>
  <c r="K124" i="6"/>
  <c r="J124" i="6"/>
  <c r="S123" i="6"/>
  <c r="R123" i="6"/>
  <c r="Q123" i="6"/>
  <c r="P123" i="6"/>
  <c r="O123" i="6"/>
  <c r="N123" i="6"/>
  <c r="M123" i="6"/>
  <c r="L123" i="6"/>
  <c r="K123" i="6"/>
  <c r="J123" i="6"/>
  <c r="S122" i="6"/>
  <c r="R122" i="6"/>
  <c r="Q122" i="6"/>
  <c r="P122" i="6"/>
  <c r="O122" i="6"/>
  <c r="N122" i="6"/>
  <c r="M122" i="6"/>
  <c r="L122" i="6"/>
  <c r="K122" i="6"/>
  <c r="J122" i="6"/>
  <c r="S121" i="6"/>
  <c r="R121" i="6"/>
  <c r="Q121" i="6"/>
  <c r="P121" i="6"/>
  <c r="O121" i="6"/>
  <c r="N121" i="6"/>
  <c r="M121" i="6"/>
  <c r="L121" i="6"/>
  <c r="K121" i="6"/>
  <c r="J121" i="6"/>
  <c r="S120" i="6"/>
  <c r="R120" i="6"/>
  <c r="Q120" i="6"/>
  <c r="P120" i="6"/>
  <c r="O120" i="6"/>
  <c r="N120" i="6"/>
  <c r="M120" i="6"/>
  <c r="L120" i="6"/>
  <c r="K120" i="6"/>
  <c r="J120" i="6"/>
  <c r="S119" i="6"/>
  <c r="R119" i="6"/>
  <c r="Q119" i="6"/>
  <c r="P119" i="6"/>
  <c r="O119" i="6"/>
  <c r="N119" i="6"/>
  <c r="M119" i="6"/>
  <c r="L119" i="6"/>
  <c r="K119" i="6"/>
  <c r="J119" i="6"/>
  <c r="S118" i="6"/>
  <c r="R118" i="6"/>
  <c r="Q118" i="6"/>
  <c r="P118" i="6"/>
  <c r="O118" i="6"/>
  <c r="N118" i="6"/>
  <c r="M118" i="6"/>
  <c r="L118" i="6"/>
  <c r="K118" i="6"/>
  <c r="J118" i="6"/>
  <c r="S117" i="6"/>
  <c r="R117" i="6"/>
  <c r="Q117" i="6"/>
  <c r="P117" i="6"/>
  <c r="O117" i="6"/>
  <c r="N117" i="6"/>
  <c r="M117" i="6"/>
  <c r="L117" i="6"/>
  <c r="K117" i="6"/>
  <c r="J117" i="6"/>
  <c r="S116" i="6"/>
  <c r="R116" i="6"/>
  <c r="Q116" i="6"/>
  <c r="P116" i="6"/>
  <c r="O116" i="6"/>
  <c r="N116" i="6"/>
  <c r="M116" i="6"/>
  <c r="L116" i="6"/>
  <c r="K116" i="6"/>
  <c r="J116" i="6"/>
  <c r="S115" i="6"/>
  <c r="R115" i="6"/>
  <c r="Q115" i="6"/>
  <c r="P115" i="6"/>
  <c r="O115" i="6"/>
  <c r="N115" i="6"/>
  <c r="M115" i="6"/>
  <c r="L115" i="6"/>
  <c r="K115" i="6"/>
  <c r="J115" i="6"/>
  <c r="S114" i="6"/>
  <c r="R114" i="6"/>
  <c r="Q114" i="6"/>
  <c r="P114" i="6"/>
  <c r="O114" i="6"/>
  <c r="N114" i="6"/>
  <c r="M114" i="6"/>
  <c r="L114" i="6"/>
  <c r="K114" i="6"/>
  <c r="J114" i="6"/>
  <c r="S113" i="6"/>
  <c r="R113" i="6"/>
  <c r="Q113" i="6"/>
  <c r="P113" i="6"/>
  <c r="O113" i="6"/>
  <c r="N113" i="6"/>
  <c r="M113" i="6"/>
  <c r="L113" i="6"/>
  <c r="K113" i="6"/>
  <c r="J113" i="6"/>
  <c r="S112" i="6"/>
  <c r="R112" i="6"/>
  <c r="Q112" i="6"/>
  <c r="P112" i="6"/>
  <c r="O112" i="6"/>
  <c r="N112" i="6"/>
  <c r="M112" i="6"/>
  <c r="L112" i="6"/>
  <c r="K112" i="6"/>
  <c r="J112" i="6"/>
  <c r="S111" i="6"/>
  <c r="R111" i="6"/>
  <c r="Q111" i="6"/>
  <c r="P111" i="6"/>
  <c r="O111" i="6"/>
  <c r="N111" i="6"/>
  <c r="M111" i="6"/>
  <c r="L111" i="6"/>
  <c r="K111" i="6"/>
  <c r="J111" i="6"/>
  <c r="S110" i="6"/>
  <c r="R110" i="6"/>
  <c r="Q110" i="6"/>
  <c r="P110" i="6"/>
  <c r="O110" i="6"/>
  <c r="N110" i="6"/>
  <c r="M110" i="6"/>
  <c r="L110" i="6"/>
  <c r="K110" i="6"/>
  <c r="J110" i="6"/>
  <c r="S109" i="6"/>
  <c r="R109" i="6"/>
  <c r="Q109" i="6"/>
  <c r="P109" i="6"/>
  <c r="O109" i="6"/>
  <c r="N109" i="6"/>
  <c r="M109" i="6"/>
  <c r="L109" i="6"/>
  <c r="K109" i="6"/>
  <c r="J109" i="6"/>
  <c r="S108" i="6"/>
  <c r="R108" i="6"/>
  <c r="Q108" i="6"/>
  <c r="P108" i="6"/>
  <c r="O108" i="6"/>
  <c r="N108" i="6"/>
  <c r="M108" i="6"/>
  <c r="L108" i="6"/>
  <c r="K108" i="6"/>
  <c r="J108" i="6"/>
  <c r="S107" i="6"/>
  <c r="R107" i="6"/>
  <c r="Q107" i="6"/>
  <c r="P107" i="6"/>
  <c r="O107" i="6"/>
  <c r="N107" i="6"/>
  <c r="M107" i="6"/>
  <c r="L107" i="6"/>
  <c r="K107" i="6"/>
  <c r="J107" i="6"/>
  <c r="S106" i="6"/>
  <c r="R106" i="6"/>
  <c r="Q106" i="6"/>
  <c r="P106" i="6"/>
  <c r="O106" i="6"/>
  <c r="N106" i="6"/>
  <c r="M106" i="6"/>
  <c r="L106" i="6"/>
  <c r="K106" i="6"/>
  <c r="J106" i="6"/>
  <c r="S105" i="6"/>
  <c r="R105" i="6"/>
  <c r="Q105" i="6"/>
  <c r="P105" i="6"/>
  <c r="O105" i="6"/>
  <c r="N105" i="6"/>
  <c r="M105" i="6"/>
  <c r="L105" i="6"/>
  <c r="K105" i="6"/>
  <c r="J105" i="6"/>
  <c r="S104" i="6"/>
  <c r="R104" i="6"/>
  <c r="Q104" i="6"/>
  <c r="P104" i="6"/>
  <c r="O104" i="6"/>
  <c r="N104" i="6"/>
  <c r="M104" i="6"/>
  <c r="L104" i="6"/>
  <c r="K104" i="6"/>
  <c r="J104" i="6"/>
  <c r="S103" i="6"/>
  <c r="R103" i="6"/>
  <c r="Q103" i="6"/>
  <c r="P103" i="6"/>
  <c r="O103" i="6"/>
  <c r="N103" i="6"/>
  <c r="M103" i="6"/>
  <c r="L103" i="6"/>
  <c r="K103" i="6"/>
  <c r="J103" i="6"/>
  <c r="S102" i="6"/>
  <c r="R102" i="6"/>
  <c r="Q102" i="6"/>
  <c r="P102" i="6"/>
  <c r="O102" i="6"/>
  <c r="N102" i="6"/>
  <c r="M102" i="6"/>
  <c r="L102" i="6"/>
  <c r="K102" i="6"/>
  <c r="J102" i="6"/>
  <c r="S101" i="6"/>
  <c r="R101" i="6"/>
  <c r="Q101" i="6"/>
  <c r="P101" i="6"/>
  <c r="O101" i="6"/>
  <c r="N101" i="6"/>
  <c r="M101" i="6"/>
  <c r="L101" i="6"/>
  <c r="K101" i="6"/>
  <c r="R124" i="5"/>
  <c r="Q124" i="5"/>
  <c r="P124" i="5"/>
  <c r="O124" i="5"/>
  <c r="N124" i="5"/>
  <c r="M124" i="5"/>
  <c r="L124" i="5"/>
  <c r="K124" i="5"/>
  <c r="J124" i="5"/>
  <c r="S123" i="5"/>
  <c r="R123" i="5"/>
  <c r="Q123" i="5"/>
  <c r="P123" i="5"/>
  <c r="O123" i="5"/>
  <c r="N123" i="5"/>
  <c r="M123" i="5"/>
  <c r="L123" i="5"/>
  <c r="K123" i="5"/>
  <c r="J123" i="5"/>
  <c r="S122" i="5"/>
  <c r="R122" i="5"/>
  <c r="Q122" i="5"/>
  <c r="P122" i="5"/>
  <c r="O122" i="5"/>
  <c r="N122" i="5"/>
  <c r="M122" i="5"/>
  <c r="L122" i="5"/>
  <c r="K122" i="5"/>
  <c r="J122" i="5"/>
  <c r="S121" i="5"/>
  <c r="R121" i="5"/>
  <c r="Q121" i="5"/>
  <c r="P121" i="5"/>
  <c r="O121" i="5"/>
  <c r="N121" i="5"/>
  <c r="M121" i="5"/>
  <c r="L121" i="5"/>
  <c r="K121" i="5"/>
  <c r="J121" i="5"/>
  <c r="S120" i="5"/>
  <c r="R120" i="5"/>
  <c r="Q120" i="5"/>
  <c r="P120" i="5"/>
  <c r="O120" i="5"/>
  <c r="N120" i="5"/>
  <c r="M120" i="5"/>
  <c r="L120" i="5"/>
  <c r="K120" i="5"/>
  <c r="J120" i="5"/>
  <c r="S119" i="5"/>
  <c r="R119" i="5"/>
  <c r="Q119" i="5"/>
  <c r="P119" i="5"/>
  <c r="O119" i="5"/>
  <c r="N119" i="5"/>
  <c r="M119" i="5"/>
  <c r="L119" i="5"/>
  <c r="K119" i="5"/>
  <c r="J119" i="5"/>
  <c r="S118" i="5"/>
  <c r="R118" i="5"/>
  <c r="Q118" i="5"/>
  <c r="P118" i="5"/>
  <c r="O118" i="5"/>
  <c r="N118" i="5"/>
  <c r="M118" i="5"/>
  <c r="L118" i="5"/>
  <c r="K118" i="5"/>
  <c r="J118" i="5"/>
  <c r="S117" i="5"/>
  <c r="R117" i="5"/>
  <c r="Q117" i="5"/>
  <c r="P117" i="5"/>
  <c r="O117" i="5"/>
  <c r="N117" i="5"/>
  <c r="M117" i="5"/>
  <c r="L117" i="5"/>
  <c r="K117" i="5"/>
  <c r="J117" i="5"/>
  <c r="S116" i="5"/>
  <c r="R116" i="5"/>
  <c r="Q116" i="5"/>
  <c r="P116" i="5"/>
  <c r="O116" i="5"/>
  <c r="N116" i="5"/>
  <c r="M116" i="5"/>
  <c r="L116" i="5"/>
  <c r="K116" i="5"/>
  <c r="J116" i="5"/>
  <c r="S115" i="5"/>
  <c r="R115" i="5"/>
  <c r="Q115" i="5"/>
  <c r="P115" i="5"/>
  <c r="O115" i="5"/>
  <c r="N115" i="5"/>
  <c r="M115" i="5"/>
  <c r="L115" i="5"/>
  <c r="K115" i="5"/>
  <c r="J115" i="5"/>
  <c r="S114" i="5"/>
  <c r="R114" i="5"/>
  <c r="Q114" i="5"/>
  <c r="P114" i="5"/>
  <c r="O114" i="5"/>
  <c r="N114" i="5"/>
  <c r="M114" i="5"/>
  <c r="L114" i="5"/>
  <c r="K114" i="5"/>
  <c r="J114" i="5"/>
  <c r="S113" i="5"/>
  <c r="R113" i="5"/>
  <c r="Q113" i="5"/>
  <c r="P113" i="5"/>
  <c r="O113" i="5"/>
  <c r="N113" i="5"/>
  <c r="M113" i="5"/>
  <c r="L113" i="5"/>
  <c r="K113" i="5"/>
  <c r="J113" i="5"/>
  <c r="S112" i="5"/>
  <c r="R112" i="5"/>
  <c r="Q112" i="5"/>
  <c r="P112" i="5"/>
  <c r="O112" i="5"/>
  <c r="N112" i="5"/>
  <c r="M112" i="5"/>
  <c r="L112" i="5"/>
  <c r="K112" i="5"/>
  <c r="J112" i="5"/>
  <c r="S111" i="5"/>
  <c r="R111" i="5"/>
  <c r="Q111" i="5"/>
  <c r="P111" i="5"/>
  <c r="O111" i="5"/>
  <c r="N111" i="5"/>
  <c r="M111" i="5"/>
  <c r="L111" i="5"/>
  <c r="K111" i="5"/>
  <c r="J111" i="5"/>
  <c r="S110" i="5"/>
  <c r="R110" i="5"/>
  <c r="Q110" i="5"/>
  <c r="P110" i="5"/>
  <c r="O110" i="5"/>
  <c r="N110" i="5"/>
  <c r="M110" i="5"/>
  <c r="L110" i="5"/>
  <c r="K110" i="5"/>
  <c r="J110" i="5"/>
  <c r="S109" i="5"/>
  <c r="R109" i="5"/>
  <c r="Q109" i="5"/>
  <c r="P109" i="5"/>
  <c r="O109" i="5"/>
  <c r="N109" i="5"/>
  <c r="M109" i="5"/>
  <c r="L109" i="5"/>
  <c r="K109" i="5"/>
  <c r="J109" i="5"/>
  <c r="S108" i="5"/>
  <c r="R108" i="5"/>
  <c r="Q108" i="5"/>
  <c r="P108" i="5"/>
  <c r="O108" i="5"/>
  <c r="N108" i="5"/>
  <c r="M108" i="5"/>
  <c r="L108" i="5"/>
  <c r="K108" i="5"/>
  <c r="J108" i="5"/>
  <c r="S107" i="5"/>
  <c r="R107" i="5"/>
  <c r="Q107" i="5"/>
  <c r="P107" i="5"/>
  <c r="O107" i="5"/>
  <c r="N107" i="5"/>
  <c r="M107" i="5"/>
  <c r="L107" i="5"/>
  <c r="K107" i="5"/>
  <c r="J107" i="5"/>
  <c r="S106" i="5"/>
  <c r="R106" i="5"/>
  <c r="Q106" i="5"/>
  <c r="P106" i="5"/>
  <c r="O106" i="5"/>
  <c r="N106" i="5"/>
  <c r="M106" i="5"/>
  <c r="L106" i="5"/>
  <c r="K106" i="5"/>
  <c r="J106" i="5"/>
  <c r="S105" i="5"/>
  <c r="R105" i="5"/>
  <c r="Q105" i="5"/>
  <c r="P105" i="5"/>
  <c r="O105" i="5"/>
  <c r="N105" i="5"/>
  <c r="M105" i="5"/>
  <c r="L105" i="5"/>
  <c r="K105" i="5"/>
  <c r="J105" i="5"/>
  <c r="S104" i="5"/>
  <c r="R104" i="5"/>
  <c r="Q104" i="5"/>
  <c r="P104" i="5"/>
  <c r="O104" i="5"/>
  <c r="N104" i="5"/>
  <c r="M104" i="5"/>
  <c r="L104" i="5"/>
  <c r="K104" i="5"/>
  <c r="J104" i="5"/>
  <c r="S103" i="5"/>
  <c r="R103" i="5"/>
  <c r="Q103" i="5"/>
  <c r="P103" i="5"/>
  <c r="O103" i="5"/>
  <c r="N103" i="5"/>
  <c r="M103" i="5"/>
  <c r="L103" i="5"/>
  <c r="K103" i="5"/>
  <c r="J103" i="5"/>
  <c r="S102" i="5"/>
  <c r="R102" i="5"/>
  <c r="Q102" i="5"/>
  <c r="P102" i="5"/>
  <c r="O102" i="5"/>
  <c r="N102" i="5"/>
  <c r="M102" i="5"/>
  <c r="L102" i="5"/>
  <c r="K102" i="5"/>
  <c r="J102" i="5"/>
  <c r="S101" i="5"/>
  <c r="R101" i="5"/>
  <c r="Q101" i="5"/>
  <c r="P101" i="5"/>
  <c r="O101" i="5"/>
  <c r="N101" i="5"/>
  <c r="M101" i="5"/>
  <c r="L101" i="5"/>
  <c r="K101" i="5"/>
  <c r="R124" i="4"/>
  <c r="Q124" i="4"/>
  <c r="P124" i="4"/>
  <c r="O124" i="4"/>
  <c r="N124" i="4"/>
  <c r="M124" i="4"/>
  <c r="L124" i="4"/>
  <c r="K124" i="4"/>
  <c r="J124" i="4"/>
  <c r="S123" i="4"/>
  <c r="R123" i="4"/>
  <c r="Q123" i="4"/>
  <c r="P123" i="4"/>
  <c r="O123" i="4"/>
  <c r="N123" i="4"/>
  <c r="M123" i="4"/>
  <c r="L123" i="4"/>
  <c r="K123" i="4"/>
  <c r="J123" i="4"/>
  <c r="S122" i="4"/>
  <c r="R122" i="4"/>
  <c r="Q122" i="4"/>
  <c r="P122" i="4"/>
  <c r="O122" i="4"/>
  <c r="N122" i="4"/>
  <c r="M122" i="4"/>
  <c r="L122" i="4"/>
  <c r="K122" i="4"/>
  <c r="J122" i="4"/>
  <c r="S121" i="4"/>
  <c r="R121" i="4"/>
  <c r="Q121" i="4"/>
  <c r="P121" i="4"/>
  <c r="O121" i="4"/>
  <c r="N121" i="4"/>
  <c r="M121" i="4"/>
  <c r="L121" i="4"/>
  <c r="K121" i="4"/>
  <c r="J121" i="4"/>
  <c r="S120" i="4"/>
  <c r="R120" i="4"/>
  <c r="Q120" i="4"/>
  <c r="P120" i="4"/>
  <c r="O120" i="4"/>
  <c r="N120" i="4"/>
  <c r="M120" i="4"/>
  <c r="L120" i="4"/>
  <c r="K120" i="4"/>
  <c r="J120" i="4"/>
  <c r="S119" i="4"/>
  <c r="R119" i="4"/>
  <c r="Q119" i="4"/>
  <c r="P119" i="4"/>
  <c r="O119" i="4"/>
  <c r="N119" i="4"/>
  <c r="M119" i="4"/>
  <c r="L119" i="4"/>
  <c r="K119" i="4"/>
  <c r="J119" i="4"/>
  <c r="S118" i="4"/>
  <c r="R118" i="4"/>
  <c r="Q118" i="4"/>
  <c r="P118" i="4"/>
  <c r="O118" i="4"/>
  <c r="N118" i="4"/>
  <c r="M118" i="4"/>
  <c r="L118" i="4"/>
  <c r="K118" i="4"/>
  <c r="J118" i="4"/>
  <c r="S117" i="4"/>
  <c r="R117" i="4"/>
  <c r="Q117" i="4"/>
  <c r="P117" i="4"/>
  <c r="O117" i="4"/>
  <c r="N117" i="4"/>
  <c r="M117" i="4"/>
  <c r="L117" i="4"/>
  <c r="K117" i="4"/>
  <c r="J117" i="4"/>
  <c r="S116" i="4"/>
  <c r="R116" i="4"/>
  <c r="Q116" i="4"/>
  <c r="P116" i="4"/>
  <c r="O116" i="4"/>
  <c r="N116" i="4"/>
  <c r="M116" i="4"/>
  <c r="L116" i="4"/>
  <c r="K116" i="4"/>
  <c r="J116" i="4"/>
  <c r="S115" i="4"/>
  <c r="R115" i="4"/>
  <c r="Q115" i="4"/>
  <c r="P115" i="4"/>
  <c r="O115" i="4"/>
  <c r="N115" i="4"/>
  <c r="M115" i="4"/>
  <c r="L115" i="4"/>
  <c r="K115" i="4"/>
  <c r="J115" i="4"/>
  <c r="S114" i="4"/>
  <c r="R114" i="4"/>
  <c r="Q114" i="4"/>
  <c r="P114" i="4"/>
  <c r="O114" i="4"/>
  <c r="N114" i="4"/>
  <c r="M114" i="4"/>
  <c r="L114" i="4"/>
  <c r="K114" i="4"/>
  <c r="J114" i="4"/>
  <c r="S113" i="4"/>
  <c r="R113" i="4"/>
  <c r="Q113" i="4"/>
  <c r="P113" i="4"/>
  <c r="O113" i="4"/>
  <c r="N113" i="4"/>
  <c r="M113" i="4"/>
  <c r="L113" i="4"/>
  <c r="K113" i="4"/>
  <c r="J113" i="4"/>
  <c r="S112" i="4"/>
  <c r="R112" i="4"/>
  <c r="Q112" i="4"/>
  <c r="P112" i="4"/>
  <c r="O112" i="4"/>
  <c r="N112" i="4"/>
  <c r="M112" i="4"/>
  <c r="L112" i="4"/>
  <c r="K112" i="4"/>
  <c r="J112" i="4"/>
  <c r="S111" i="4"/>
  <c r="R111" i="4"/>
  <c r="Q111" i="4"/>
  <c r="P111" i="4"/>
  <c r="O111" i="4"/>
  <c r="N111" i="4"/>
  <c r="M111" i="4"/>
  <c r="L111" i="4"/>
  <c r="K111" i="4"/>
  <c r="J111" i="4"/>
  <c r="S110" i="4"/>
  <c r="R110" i="4"/>
  <c r="Q110" i="4"/>
  <c r="P110" i="4"/>
  <c r="O110" i="4"/>
  <c r="N110" i="4"/>
  <c r="M110" i="4"/>
  <c r="L110" i="4"/>
  <c r="K110" i="4"/>
  <c r="J110" i="4"/>
  <c r="S109" i="4"/>
  <c r="R109" i="4"/>
  <c r="Q109" i="4"/>
  <c r="P109" i="4"/>
  <c r="O109" i="4"/>
  <c r="N109" i="4"/>
  <c r="M109" i="4"/>
  <c r="L109" i="4"/>
  <c r="K109" i="4"/>
  <c r="J109" i="4"/>
  <c r="S108" i="4"/>
  <c r="R108" i="4"/>
  <c r="Q108" i="4"/>
  <c r="P108" i="4"/>
  <c r="O108" i="4"/>
  <c r="N108" i="4"/>
  <c r="M108" i="4"/>
  <c r="L108" i="4"/>
  <c r="K108" i="4"/>
  <c r="J108" i="4"/>
  <c r="S107" i="4"/>
  <c r="R107" i="4"/>
  <c r="Q107" i="4"/>
  <c r="P107" i="4"/>
  <c r="O107" i="4"/>
  <c r="N107" i="4"/>
  <c r="M107" i="4"/>
  <c r="L107" i="4"/>
  <c r="K107" i="4"/>
  <c r="J107" i="4"/>
  <c r="S106" i="4"/>
  <c r="R106" i="4"/>
  <c r="Q106" i="4"/>
  <c r="P106" i="4"/>
  <c r="O106" i="4"/>
  <c r="N106" i="4"/>
  <c r="M106" i="4"/>
  <c r="L106" i="4"/>
  <c r="K106" i="4"/>
  <c r="J106" i="4"/>
  <c r="S105" i="4"/>
  <c r="R105" i="4"/>
  <c r="Q105" i="4"/>
  <c r="P105" i="4"/>
  <c r="O105" i="4"/>
  <c r="N105" i="4"/>
  <c r="M105" i="4"/>
  <c r="L105" i="4"/>
  <c r="K105" i="4"/>
  <c r="J105" i="4"/>
  <c r="S104" i="4"/>
  <c r="R104" i="4"/>
  <c r="Q104" i="4"/>
  <c r="P104" i="4"/>
  <c r="O104" i="4"/>
  <c r="N104" i="4"/>
  <c r="M104" i="4"/>
  <c r="L104" i="4"/>
  <c r="K104" i="4"/>
  <c r="J104" i="4"/>
  <c r="S103" i="4"/>
  <c r="R103" i="4"/>
  <c r="Q103" i="4"/>
  <c r="P103" i="4"/>
  <c r="O103" i="4"/>
  <c r="N103" i="4"/>
  <c r="M103" i="4"/>
  <c r="L103" i="4"/>
  <c r="K103" i="4"/>
  <c r="J103" i="4"/>
  <c r="S102" i="4"/>
  <c r="R102" i="4"/>
  <c r="Q102" i="4"/>
  <c r="P102" i="4"/>
  <c r="O102" i="4"/>
  <c r="N102" i="4"/>
  <c r="M102" i="4"/>
  <c r="L102" i="4"/>
  <c r="K102" i="4"/>
  <c r="J102" i="4"/>
  <c r="S101" i="4"/>
  <c r="R101" i="4"/>
  <c r="Q101" i="4"/>
  <c r="P101" i="4"/>
  <c r="O101" i="4"/>
  <c r="N101" i="4"/>
  <c r="M101" i="4"/>
  <c r="L101" i="4"/>
  <c r="K101" i="4"/>
  <c r="R124" i="3"/>
  <c r="Q124" i="3"/>
  <c r="P124" i="3"/>
  <c r="O124" i="3"/>
  <c r="N124" i="3"/>
  <c r="M124" i="3"/>
  <c r="L124" i="3"/>
  <c r="K124" i="3"/>
  <c r="J124" i="3"/>
  <c r="S123" i="3"/>
  <c r="R123" i="3"/>
  <c r="Q123" i="3"/>
  <c r="P123" i="3"/>
  <c r="O123" i="3"/>
  <c r="N123" i="3"/>
  <c r="M123" i="3"/>
  <c r="L123" i="3"/>
  <c r="K123" i="3"/>
  <c r="J123" i="3"/>
  <c r="S122" i="3"/>
  <c r="R122" i="3"/>
  <c r="Q122" i="3"/>
  <c r="P122" i="3"/>
  <c r="O122" i="3"/>
  <c r="N122" i="3"/>
  <c r="M122" i="3"/>
  <c r="L122" i="3"/>
  <c r="K122" i="3"/>
  <c r="J122" i="3"/>
  <c r="S121" i="3"/>
  <c r="R121" i="3"/>
  <c r="Q121" i="3"/>
  <c r="P121" i="3"/>
  <c r="O121" i="3"/>
  <c r="N121" i="3"/>
  <c r="M121" i="3"/>
  <c r="L121" i="3"/>
  <c r="K121" i="3"/>
  <c r="J121" i="3"/>
  <c r="S120" i="3"/>
  <c r="R120" i="3"/>
  <c r="Q120" i="3"/>
  <c r="P120" i="3"/>
  <c r="O120" i="3"/>
  <c r="N120" i="3"/>
  <c r="M120" i="3"/>
  <c r="L120" i="3"/>
  <c r="K120" i="3"/>
  <c r="J120" i="3"/>
  <c r="S119" i="3"/>
  <c r="R119" i="3"/>
  <c r="Q119" i="3"/>
  <c r="P119" i="3"/>
  <c r="O119" i="3"/>
  <c r="N119" i="3"/>
  <c r="M119" i="3"/>
  <c r="L119" i="3"/>
  <c r="K119" i="3"/>
  <c r="J119" i="3"/>
  <c r="S118" i="3"/>
  <c r="R118" i="3"/>
  <c r="Q118" i="3"/>
  <c r="P118" i="3"/>
  <c r="O118" i="3"/>
  <c r="N118" i="3"/>
  <c r="M118" i="3"/>
  <c r="L118" i="3"/>
  <c r="K118" i="3"/>
  <c r="J118" i="3"/>
  <c r="S117" i="3"/>
  <c r="R117" i="3"/>
  <c r="Q117" i="3"/>
  <c r="P117" i="3"/>
  <c r="O117" i="3"/>
  <c r="N117" i="3"/>
  <c r="M117" i="3"/>
  <c r="L117" i="3"/>
  <c r="K117" i="3"/>
  <c r="J117" i="3"/>
  <c r="S116" i="3"/>
  <c r="R116" i="3"/>
  <c r="Q116" i="3"/>
  <c r="P116" i="3"/>
  <c r="O116" i="3"/>
  <c r="N116" i="3"/>
  <c r="M116" i="3"/>
  <c r="L116" i="3"/>
  <c r="K116" i="3"/>
  <c r="J116" i="3"/>
  <c r="S115" i="3"/>
  <c r="R115" i="3"/>
  <c r="Q115" i="3"/>
  <c r="P115" i="3"/>
  <c r="O115" i="3"/>
  <c r="N115" i="3"/>
  <c r="M115" i="3"/>
  <c r="L115" i="3"/>
  <c r="K115" i="3"/>
  <c r="J115" i="3"/>
  <c r="S114" i="3"/>
  <c r="R114" i="3"/>
  <c r="Q114" i="3"/>
  <c r="P114" i="3"/>
  <c r="O114" i="3"/>
  <c r="N114" i="3"/>
  <c r="M114" i="3"/>
  <c r="L114" i="3"/>
  <c r="K114" i="3"/>
  <c r="J114" i="3"/>
  <c r="S113" i="3"/>
  <c r="R113" i="3"/>
  <c r="Q113" i="3"/>
  <c r="P113" i="3"/>
  <c r="O113" i="3"/>
  <c r="N113" i="3"/>
  <c r="M113" i="3"/>
  <c r="L113" i="3"/>
  <c r="K113" i="3"/>
  <c r="J113" i="3"/>
  <c r="S112" i="3"/>
  <c r="R112" i="3"/>
  <c r="Q112" i="3"/>
  <c r="P112" i="3"/>
  <c r="O112" i="3"/>
  <c r="N112" i="3"/>
  <c r="M112" i="3"/>
  <c r="L112" i="3"/>
  <c r="K112" i="3"/>
  <c r="J112" i="3"/>
  <c r="S111" i="3"/>
  <c r="R111" i="3"/>
  <c r="Q111" i="3"/>
  <c r="P111" i="3"/>
  <c r="O111" i="3"/>
  <c r="N111" i="3"/>
  <c r="M111" i="3"/>
  <c r="L111" i="3"/>
  <c r="K111" i="3"/>
  <c r="J111" i="3"/>
  <c r="S110" i="3"/>
  <c r="R110" i="3"/>
  <c r="Q110" i="3"/>
  <c r="P110" i="3"/>
  <c r="O110" i="3"/>
  <c r="N110" i="3"/>
  <c r="M110" i="3"/>
  <c r="L110" i="3"/>
  <c r="K110" i="3"/>
  <c r="J110" i="3"/>
  <c r="S109" i="3"/>
  <c r="R109" i="3"/>
  <c r="Q109" i="3"/>
  <c r="P109" i="3"/>
  <c r="O109" i="3"/>
  <c r="N109" i="3"/>
  <c r="M109" i="3"/>
  <c r="L109" i="3"/>
  <c r="K109" i="3"/>
  <c r="J109" i="3"/>
  <c r="S108" i="3"/>
  <c r="R108" i="3"/>
  <c r="Q108" i="3"/>
  <c r="P108" i="3"/>
  <c r="O108" i="3"/>
  <c r="N108" i="3"/>
  <c r="M108" i="3"/>
  <c r="L108" i="3"/>
  <c r="K108" i="3"/>
  <c r="J108" i="3"/>
  <c r="S107" i="3"/>
  <c r="R107" i="3"/>
  <c r="Q107" i="3"/>
  <c r="P107" i="3"/>
  <c r="O107" i="3"/>
  <c r="N107" i="3"/>
  <c r="M107" i="3"/>
  <c r="L107" i="3"/>
  <c r="K107" i="3"/>
  <c r="J107" i="3"/>
  <c r="S106" i="3"/>
  <c r="R106" i="3"/>
  <c r="Q106" i="3"/>
  <c r="P106" i="3"/>
  <c r="O106" i="3"/>
  <c r="N106" i="3"/>
  <c r="M106" i="3"/>
  <c r="L106" i="3"/>
  <c r="K106" i="3"/>
  <c r="J106" i="3"/>
  <c r="S105" i="3"/>
  <c r="R105" i="3"/>
  <c r="Q105" i="3"/>
  <c r="P105" i="3"/>
  <c r="O105" i="3"/>
  <c r="N105" i="3"/>
  <c r="M105" i="3"/>
  <c r="L105" i="3"/>
  <c r="K105" i="3"/>
  <c r="J105" i="3"/>
  <c r="S104" i="3"/>
  <c r="R104" i="3"/>
  <c r="Q104" i="3"/>
  <c r="P104" i="3"/>
  <c r="O104" i="3"/>
  <c r="N104" i="3"/>
  <c r="M104" i="3"/>
  <c r="L104" i="3"/>
  <c r="K104" i="3"/>
  <c r="J104" i="3"/>
  <c r="S103" i="3"/>
  <c r="R103" i="3"/>
  <c r="Q103" i="3"/>
  <c r="P103" i="3"/>
  <c r="O103" i="3"/>
  <c r="N103" i="3"/>
  <c r="M103" i="3"/>
  <c r="L103" i="3"/>
  <c r="K103" i="3"/>
  <c r="J103" i="3"/>
  <c r="S102" i="3"/>
  <c r="R102" i="3"/>
  <c r="Q102" i="3"/>
  <c r="P102" i="3"/>
  <c r="O102" i="3"/>
  <c r="N102" i="3"/>
  <c r="M102" i="3"/>
  <c r="L102" i="3"/>
  <c r="K102" i="3"/>
  <c r="J102" i="3"/>
  <c r="S101" i="3"/>
  <c r="R101" i="3"/>
  <c r="Q101" i="3"/>
  <c r="P101" i="3"/>
  <c r="O101" i="3"/>
  <c r="N101" i="3"/>
  <c r="M101" i="3"/>
  <c r="L101" i="3"/>
  <c r="K101" i="3"/>
  <c r="S74" i="16" l="1"/>
  <c r="S75" i="16"/>
  <c r="S76" i="16"/>
  <c r="S77" i="16"/>
  <c r="S78" i="16"/>
  <c r="S79" i="16"/>
  <c r="S80" i="16"/>
  <c r="S81" i="16"/>
  <c r="S82" i="16"/>
  <c r="S83" i="16"/>
  <c r="S84" i="16"/>
  <c r="S85" i="16"/>
  <c r="S86" i="16"/>
  <c r="S87" i="16"/>
  <c r="S88" i="16"/>
  <c r="S89" i="16"/>
  <c r="S90" i="16"/>
  <c r="S91" i="16"/>
  <c r="S92" i="16"/>
  <c r="S93" i="16"/>
  <c r="S94" i="16"/>
  <c r="S95" i="16"/>
  <c r="S96" i="16"/>
  <c r="S73" i="16"/>
  <c r="R96" i="16"/>
  <c r="K73" i="16"/>
  <c r="L73" i="16"/>
  <c r="M73" i="16"/>
  <c r="N73" i="16"/>
  <c r="O73" i="16"/>
  <c r="P73" i="16"/>
  <c r="Q73" i="16"/>
  <c r="R73" i="16"/>
  <c r="K74" i="16"/>
  <c r="L74" i="16"/>
  <c r="M74" i="16"/>
  <c r="N74" i="16"/>
  <c r="O74" i="16"/>
  <c r="P74" i="16"/>
  <c r="Q74" i="16"/>
  <c r="R74" i="16"/>
  <c r="K75" i="16"/>
  <c r="L75" i="16"/>
  <c r="M75" i="16"/>
  <c r="N75" i="16"/>
  <c r="O75" i="16"/>
  <c r="P75" i="16"/>
  <c r="Q75" i="16"/>
  <c r="R75" i="16"/>
  <c r="K76" i="16"/>
  <c r="L76" i="16"/>
  <c r="M76" i="16"/>
  <c r="N76" i="16"/>
  <c r="O76" i="16"/>
  <c r="P76" i="16"/>
  <c r="Q76" i="16"/>
  <c r="R76" i="16"/>
  <c r="K77" i="16"/>
  <c r="L77" i="16"/>
  <c r="M77" i="16"/>
  <c r="N77" i="16"/>
  <c r="O77" i="16"/>
  <c r="P77" i="16"/>
  <c r="Q77" i="16"/>
  <c r="R77" i="16"/>
  <c r="K78" i="16"/>
  <c r="L78" i="16"/>
  <c r="M78" i="16"/>
  <c r="N78" i="16"/>
  <c r="O78" i="16"/>
  <c r="P78" i="16"/>
  <c r="Q78" i="16"/>
  <c r="R78" i="16"/>
  <c r="K79" i="16"/>
  <c r="L79" i="16"/>
  <c r="M79" i="16"/>
  <c r="N79" i="16"/>
  <c r="O79" i="16"/>
  <c r="P79" i="16"/>
  <c r="Q79" i="16"/>
  <c r="R79" i="16"/>
  <c r="K80" i="16"/>
  <c r="L80" i="16"/>
  <c r="M80" i="16"/>
  <c r="N80" i="16"/>
  <c r="O80" i="16"/>
  <c r="P80" i="16"/>
  <c r="Q80" i="16"/>
  <c r="R80" i="16"/>
  <c r="K81" i="16"/>
  <c r="L81" i="16"/>
  <c r="M81" i="16"/>
  <c r="N81" i="16"/>
  <c r="O81" i="16"/>
  <c r="P81" i="16"/>
  <c r="Q81" i="16"/>
  <c r="R81" i="16"/>
  <c r="K82" i="16"/>
  <c r="L82" i="16"/>
  <c r="M82" i="16"/>
  <c r="N82" i="16"/>
  <c r="O82" i="16"/>
  <c r="P82" i="16"/>
  <c r="Q82" i="16"/>
  <c r="R82" i="16"/>
  <c r="K83" i="16"/>
  <c r="L83" i="16"/>
  <c r="M83" i="16"/>
  <c r="N83" i="16"/>
  <c r="O83" i="16"/>
  <c r="P83" i="16"/>
  <c r="Q83" i="16"/>
  <c r="R83" i="16"/>
  <c r="K84" i="16"/>
  <c r="L84" i="16"/>
  <c r="M84" i="16"/>
  <c r="N84" i="16"/>
  <c r="O84" i="16"/>
  <c r="P84" i="16"/>
  <c r="Q84" i="16"/>
  <c r="R84" i="16"/>
  <c r="K85" i="16"/>
  <c r="L85" i="16"/>
  <c r="M85" i="16"/>
  <c r="N85" i="16"/>
  <c r="O85" i="16"/>
  <c r="P85" i="16"/>
  <c r="Q85" i="16"/>
  <c r="R85" i="16"/>
  <c r="K86" i="16"/>
  <c r="L86" i="16"/>
  <c r="M86" i="16"/>
  <c r="N86" i="16"/>
  <c r="O86" i="16"/>
  <c r="P86" i="16"/>
  <c r="Q86" i="16"/>
  <c r="R86" i="16"/>
  <c r="K87" i="16"/>
  <c r="L87" i="16"/>
  <c r="M87" i="16"/>
  <c r="N87" i="16"/>
  <c r="O87" i="16"/>
  <c r="P87" i="16"/>
  <c r="Q87" i="16"/>
  <c r="R87" i="16"/>
  <c r="K88" i="16"/>
  <c r="L88" i="16"/>
  <c r="M88" i="16"/>
  <c r="N88" i="16"/>
  <c r="O88" i="16"/>
  <c r="P88" i="16"/>
  <c r="Q88" i="16"/>
  <c r="R88" i="16"/>
  <c r="K89" i="16"/>
  <c r="L89" i="16"/>
  <c r="M89" i="16"/>
  <c r="N89" i="16"/>
  <c r="O89" i="16"/>
  <c r="P89" i="16"/>
  <c r="Q89" i="16"/>
  <c r="R89" i="16"/>
  <c r="K90" i="16"/>
  <c r="L90" i="16"/>
  <c r="M90" i="16"/>
  <c r="N90" i="16"/>
  <c r="O90" i="16"/>
  <c r="P90" i="16"/>
  <c r="Q90" i="16"/>
  <c r="R90" i="16"/>
  <c r="K91" i="16"/>
  <c r="L91" i="16"/>
  <c r="M91" i="16"/>
  <c r="N91" i="16"/>
  <c r="O91" i="16"/>
  <c r="P91" i="16"/>
  <c r="Q91" i="16"/>
  <c r="R91" i="16"/>
  <c r="K92" i="16"/>
  <c r="L92" i="16"/>
  <c r="M92" i="16"/>
  <c r="N92" i="16"/>
  <c r="O92" i="16"/>
  <c r="P92" i="16"/>
  <c r="Q92" i="16"/>
  <c r="R92" i="16"/>
  <c r="K93" i="16"/>
  <c r="L93" i="16"/>
  <c r="M93" i="16"/>
  <c r="N93" i="16"/>
  <c r="O93" i="16"/>
  <c r="P93" i="16"/>
  <c r="Q93" i="16"/>
  <c r="R93" i="16"/>
  <c r="K94" i="16"/>
  <c r="L94" i="16"/>
  <c r="M94" i="16"/>
  <c r="N94" i="16"/>
  <c r="O94" i="16"/>
  <c r="P94" i="16"/>
  <c r="Q94" i="16"/>
  <c r="R94" i="16"/>
  <c r="K95" i="16"/>
  <c r="L95" i="16"/>
  <c r="M95" i="16"/>
  <c r="N95" i="16"/>
  <c r="O95" i="16"/>
  <c r="P95" i="16"/>
  <c r="Q95" i="16"/>
  <c r="R95" i="16"/>
  <c r="K96" i="16"/>
  <c r="L96" i="16"/>
  <c r="M96" i="16"/>
  <c r="N96" i="16"/>
  <c r="O96" i="16"/>
  <c r="P96" i="16"/>
  <c r="Q96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73" i="16"/>
  <c r="S96" i="26"/>
  <c r="R96" i="26"/>
  <c r="Q96" i="26"/>
  <c r="P96" i="26"/>
  <c r="O96" i="26"/>
  <c r="N96" i="26"/>
  <c r="M96" i="26"/>
  <c r="L96" i="26"/>
  <c r="K96" i="26"/>
  <c r="J96" i="26"/>
  <c r="S95" i="26"/>
  <c r="R95" i="26"/>
  <c r="Q95" i="26"/>
  <c r="P95" i="26"/>
  <c r="O95" i="26"/>
  <c r="N95" i="26"/>
  <c r="M95" i="26"/>
  <c r="L95" i="26"/>
  <c r="K95" i="26"/>
  <c r="J95" i="26"/>
  <c r="S94" i="26"/>
  <c r="R94" i="26"/>
  <c r="Q94" i="26"/>
  <c r="P94" i="26"/>
  <c r="O94" i="26"/>
  <c r="N94" i="26"/>
  <c r="M94" i="26"/>
  <c r="L94" i="26"/>
  <c r="K94" i="26"/>
  <c r="J94" i="26"/>
  <c r="S93" i="26"/>
  <c r="R93" i="26"/>
  <c r="Q93" i="26"/>
  <c r="P93" i="26"/>
  <c r="O93" i="26"/>
  <c r="N93" i="26"/>
  <c r="M93" i="26"/>
  <c r="L93" i="26"/>
  <c r="K93" i="26"/>
  <c r="J93" i="26"/>
  <c r="S92" i="26"/>
  <c r="R92" i="26"/>
  <c r="Q92" i="26"/>
  <c r="P92" i="26"/>
  <c r="O92" i="26"/>
  <c r="N92" i="26"/>
  <c r="M92" i="26"/>
  <c r="L92" i="26"/>
  <c r="K92" i="26"/>
  <c r="J92" i="26"/>
  <c r="S91" i="26"/>
  <c r="R91" i="26"/>
  <c r="Q91" i="26"/>
  <c r="P91" i="26"/>
  <c r="O91" i="26"/>
  <c r="N91" i="26"/>
  <c r="M91" i="26"/>
  <c r="L91" i="26"/>
  <c r="K91" i="26"/>
  <c r="J91" i="26"/>
  <c r="S90" i="26"/>
  <c r="R90" i="26"/>
  <c r="Q90" i="26"/>
  <c r="P90" i="26"/>
  <c r="O90" i="26"/>
  <c r="N90" i="26"/>
  <c r="M90" i="26"/>
  <c r="L90" i="26"/>
  <c r="K90" i="26"/>
  <c r="J90" i="26"/>
  <c r="S89" i="26"/>
  <c r="R89" i="26"/>
  <c r="Q89" i="26"/>
  <c r="P89" i="26"/>
  <c r="O89" i="26"/>
  <c r="N89" i="26"/>
  <c r="M89" i="26"/>
  <c r="L89" i="26"/>
  <c r="K89" i="26"/>
  <c r="J89" i="26"/>
  <c r="S88" i="26"/>
  <c r="R88" i="26"/>
  <c r="Q88" i="26"/>
  <c r="P88" i="26"/>
  <c r="O88" i="26"/>
  <c r="N88" i="26"/>
  <c r="M88" i="26"/>
  <c r="L88" i="26"/>
  <c r="K88" i="26"/>
  <c r="J88" i="26"/>
  <c r="S87" i="26"/>
  <c r="R87" i="26"/>
  <c r="Q87" i="26"/>
  <c r="P87" i="26"/>
  <c r="O87" i="26"/>
  <c r="N87" i="26"/>
  <c r="M87" i="26"/>
  <c r="L87" i="26"/>
  <c r="K87" i="26"/>
  <c r="J87" i="26"/>
  <c r="S86" i="26"/>
  <c r="R86" i="26"/>
  <c r="Q86" i="26"/>
  <c r="P86" i="26"/>
  <c r="O86" i="26"/>
  <c r="N86" i="26"/>
  <c r="M86" i="26"/>
  <c r="L86" i="26"/>
  <c r="K86" i="26"/>
  <c r="J86" i="26"/>
  <c r="S85" i="26"/>
  <c r="R85" i="26"/>
  <c r="Q85" i="26"/>
  <c r="P85" i="26"/>
  <c r="O85" i="26"/>
  <c r="N85" i="26"/>
  <c r="M85" i="26"/>
  <c r="L85" i="26"/>
  <c r="K85" i="26"/>
  <c r="J85" i="26"/>
  <c r="S84" i="26"/>
  <c r="R84" i="26"/>
  <c r="Q84" i="26"/>
  <c r="P84" i="26"/>
  <c r="O84" i="26"/>
  <c r="N84" i="26"/>
  <c r="M84" i="26"/>
  <c r="L84" i="26"/>
  <c r="K84" i="26"/>
  <c r="J84" i="26"/>
  <c r="S83" i="26"/>
  <c r="R83" i="26"/>
  <c r="Q83" i="26"/>
  <c r="P83" i="26"/>
  <c r="O83" i="26"/>
  <c r="N83" i="26"/>
  <c r="M83" i="26"/>
  <c r="L83" i="26"/>
  <c r="K83" i="26"/>
  <c r="J83" i="26"/>
  <c r="S82" i="26"/>
  <c r="R82" i="26"/>
  <c r="Q82" i="26"/>
  <c r="P82" i="26"/>
  <c r="O82" i="26"/>
  <c r="N82" i="26"/>
  <c r="M82" i="26"/>
  <c r="L82" i="26"/>
  <c r="K82" i="26"/>
  <c r="J82" i="26"/>
  <c r="S81" i="26"/>
  <c r="R81" i="26"/>
  <c r="Q81" i="26"/>
  <c r="P81" i="26"/>
  <c r="O81" i="26"/>
  <c r="N81" i="26"/>
  <c r="M81" i="26"/>
  <c r="L81" i="26"/>
  <c r="K81" i="26"/>
  <c r="J81" i="26"/>
  <c r="S80" i="26"/>
  <c r="R80" i="26"/>
  <c r="Q80" i="26"/>
  <c r="P80" i="26"/>
  <c r="O80" i="26"/>
  <c r="N80" i="26"/>
  <c r="M80" i="26"/>
  <c r="L80" i="26"/>
  <c r="K80" i="26"/>
  <c r="J80" i="26"/>
  <c r="S79" i="26"/>
  <c r="R79" i="26"/>
  <c r="Q79" i="26"/>
  <c r="P79" i="26"/>
  <c r="O79" i="26"/>
  <c r="N79" i="26"/>
  <c r="M79" i="26"/>
  <c r="L79" i="26"/>
  <c r="K79" i="26"/>
  <c r="J79" i="26"/>
  <c r="S78" i="26"/>
  <c r="R78" i="26"/>
  <c r="Q78" i="26"/>
  <c r="P78" i="26"/>
  <c r="O78" i="26"/>
  <c r="N78" i="26"/>
  <c r="M78" i="26"/>
  <c r="L78" i="26"/>
  <c r="K78" i="26"/>
  <c r="J78" i="26"/>
  <c r="S77" i="26"/>
  <c r="R77" i="26"/>
  <c r="Q77" i="26"/>
  <c r="P77" i="26"/>
  <c r="O77" i="26"/>
  <c r="N77" i="26"/>
  <c r="M77" i="26"/>
  <c r="L77" i="26"/>
  <c r="K77" i="26"/>
  <c r="J77" i="26"/>
  <c r="S76" i="26"/>
  <c r="R76" i="26"/>
  <c r="Q76" i="26"/>
  <c r="P76" i="26"/>
  <c r="O76" i="26"/>
  <c r="N76" i="26"/>
  <c r="M76" i="26"/>
  <c r="L76" i="26"/>
  <c r="K76" i="26"/>
  <c r="J76" i="26"/>
  <c r="S75" i="26"/>
  <c r="R75" i="26"/>
  <c r="Q75" i="26"/>
  <c r="P75" i="26"/>
  <c r="O75" i="26"/>
  <c r="N75" i="26"/>
  <c r="M75" i="26"/>
  <c r="L75" i="26"/>
  <c r="K75" i="26"/>
  <c r="J75" i="26"/>
  <c r="S74" i="26"/>
  <c r="R74" i="26"/>
  <c r="Q74" i="26"/>
  <c r="P74" i="26"/>
  <c r="O74" i="26"/>
  <c r="N74" i="26"/>
  <c r="M74" i="26"/>
  <c r="L74" i="26"/>
  <c r="K74" i="26"/>
  <c r="J74" i="26"/>
  <c r="S73" i="26"/>
  <c r="R73" i="26"/>
  <c r="Q73" i="26"/>
  <c r="P73" i="26"/>
  <c r="O73" i="26"/>
  <c r="N73" i="26"/>
  <c r="M73" i="26"/>
  <c r="L73" i="26"/>
  <c r="K73" i="26"/>
  <c r="J73" i="26"/>
  <c r="S96" i="25"/>
  <c r="R96" i="25"/>
  <c r="Q96" i="25"/>
  <c r="P96" i="25"/>
  <c r="O96" i="25"/>
  <c r="N96" i="25"/>
  <c r="M96" i="25"/>
  <c r="L96" i="25"/>
  <c r="K96" i="25"/>
  <c r="J96" i="25"/>
  <c r="S95" i="25"/>
  <c r="R95" i="25"/>
  <c r="Q95" i="25"/>
  <c r="P95" i="25"/>
  <c r="O95" i="25"/>
  <c r="N95" i="25"/>
  <c r="M95" i="25"/>
  <c r="L95" i="25"/>
  <c r="K95" i="25"/>
  <c r="J95" i="25"/>
  <c r="S94" i="25"/>
  <c r="R94" i="25"/>
  <c r="Q94" i="25"/>
  <c r="P94" i="25"/>
  <c r="O94" i="25"/>
  <c r="N94" i="25"/>
  <c r="M94" i="25"/>
  <c r="L94" i="25"/>
  <c r="K94" i="25"/>
  <c r="J94" i="25"/>
  <c r="S93" i="25"/>
  <c r="R93" i="25"/>
  <c r="Q93" i="25"/>
  <c r="P93" i="25"/>
  <c r="O93" i="25"/>
  <c r="N93" i="25"/>
  <c r="M93" i="25"/>
  <c r="L93" i="25"/>
  <c r="K93" i="25"/>
  <c r="J93" i="25"/>
  <c r="S92" i="25"/>
  <c r="R92" i="25"/>
  <c r="Q92" i="25"/>
  <c r="P92" i="25"/>
  <c r="O92" i="25"/>
  <c r="N92" i="25"/>
  <c r="M92" i="25"/>
  <c r="L92" i="25"/>
  <c r="K92" i="25"/>
  <c r="J92" i="25"/>
  <c r="S91" i="25"/>
  <c r="R91" i="25"/>
  <c r="Q91" i="25"/>
  <c r="P91" i="25"/>
  <c r="O91" i="25"/>
  <c r="N91" i="25"/>
  <c r="M91" i="25"/>
  <c r="L91" i="25"/>
  <c r="K91" i="25"/>
  <c r="J91" i="25"/>
  <c r="S90" i="25"/>
  <c r="R90" i="25"/>
  <c r="Q90" i="25"/>
  <c r="P90" i="25"/>
  <c r="O90" i="25"/>
  <c r="N90" i="25"/>
  <c r="M90" i="25"/>
  <c r="L90" i="25"/>
  <c r="K90" i="25"/>
  <c r="J90" i="25"/>
  <c r="S89" i="25"/>
  <c r="R89" i="25"/>
  <c r="Q89" i="25"/>
  <c r="P89" i="25"/>
  <c r="O89" i="25"/>
  <c r="N89" i="25"/>
  <c r="M89" i="25"/>
  <c r="L89" i="25"/>
  <c r="K89" i="25"/>
  <c r="J89" i="25"/>
  <c r="S88" i="25"/>
  <c r="R88" i="25"/>
  <c r="Q88" i="25"/>
  <c r="P88" i="25"/>
  <c r="O88" i="25"/>
  <c r="N88" i="25"/>
  <c r="M88" i="25"/>
  <c r="L88" i="25"/>
  <c r="K88" i="25"/>
  <c r="J88" i="25"/>
  <c r="S87" i="25"/>
  <c r="R87" i="25"/>
  <c r="Q87" i="25"/>
  <c r="P87" i="25"/>
  <c r="O87" i="25"/>
  <c r="N87" i="25"/>
  <c r="M87" i="25"/>
  <c r="L87" i="25"/>
  <c r="K87" i="25"/>
  <c r="J87" i="25"/>
  <c r="S86" i="25"/>
  <c r="R86" i="25"/>
  <c r="Q86" i="25"/>
  <c r="P86" i="25"/>
  <c r="O86" i="25"/>
  <c r="N86" i="25"/>
  <c r="M86" i="25"/>
  <c r="L86" i="25"/>
  <c r="K86" i="25"/>
  <c r="J86" i="25"/>
  <c r="S85" i="25"/>
  <c r="R85" i="25"/>
  <c r="Q85" i="25"/>
  <c r="P85" i="25"/>
  <c r="O85" i="25"/>
  <c r="N85" i="25"/>
  <c r="M85" i="25"/>
  <c r="L85" i="25"/>
  <c r="K85" i="25"/>
  <c r="J85" i="25"/>
  <c r="S84" i="25"/>
  <c r="R84" i="25"/>
  <c r="Q84" i="25"/>
  <c r="P84" i="25"/>
  <c r="O84" i="25"/>
  <c r="N84" i="25"/>
  <c r="M84" i="25"/>
  <c r="L84" i="25"/>
  <c r="K84" i="25"/>
  <c r="J84" i="25"/>
  <c r="S83" i="25"/>
  <c r="R83" i="25"/>
  <c r="Q83" i="25"/>
  <c r="P83" i="25"/>
  <c r="O83" i="25"/>
  <c r="N83" i="25"/>
  <c r="M83" i="25"/>
  <c r="L83" i="25"/>
  <c r="K83" i="25"/>
  <c r="J83" i="25"/>
  <c r="S82" i="25"/>
  <c r="R82" i="25"/>
  <c r="Q82" i="25"/>
  <c r="P82" i="25"/>
  <c r="O82" i="25"/>
  <c r="N82" i="25"/>
  <c r="M82" i="25"/>
  <c r="L82" i="25"/>
  <c r="K82" i="25"/>
  <c r="J82" i="25"/>
  <c r="S81" i="25"/>
  <c r="R81" i="25"/>
  <c r="Q81" i="25"/>
  <c r="P81" i="25"/>
  <c r="O81" i="25"/>
  <c r="N81" i="25"/>
  <c r="M81" i="25"/>
  <c r="L81" i="25"/>
  <c r="K81" i="25"/>
  <c r="J81" i="25"/>
  <c r="S80" i="25"/>
  <c r="R80" i="25"/>
  <c r="Q80" i="25"/>
  <c r="P80" i="25"/>
  <c r="O80" i="25"/>
  <c r="N80" i="25"/>
  <c r="M80" i="25"/>
  <c r="L80" i="25"/>
  <c r="K80" i="25"/>
  <c r="J80" i="25"/>
  <c r="S79" i="25"/>
  <c r="R79" i="25"/>
  <c r="Q79" i="25"/>
  <c r="P79" i="25"/>
  <c r="O79" i="25"/>
  <c r="N79" i="25"/>
  <c r="M79" i="25"/>
  <c r="L79" i="25"/>
  <c r="K79" i="25"/>
  <c r="J79" i="25"/>
  <c r="S78" i="25"/>
  <c r="R78" i="25"/>
  <c r="Q78" i="25"/>
  <c r="P78" i="25"/>
  <c r="O78" i="25"/>
  <c r="N78" i="25"/>
  <c r="M78" i="25"/>
  <c r="L78" i="25"/>
  <c r="K78" i="25"/>
  <c r="J78" i="25"/>
  <c r="S77" i="25"/>
  <c r="R77" i="25"/>
  <c r="Q77" i="25"/>
  <c r="P77" i="25"/>
  <c r="O77" i="25"/>
  <c r="N77" i="25"/>
  <c r="M77" i="25"/>
  <c r="L77" i="25"/>
  <c r="K77" i="25"/>
  <c r="J77" i="25"/>
  <c r="S76" i="25"/>
  <c r="R76" i="25"/>
  <c r="Q76" i="25"/>
  <c r="P76" i="25"/>
  <c r="O76" i="25"/>
  <c r="N76" i="25"/>
  <c r="M76" i="25"/>
  <c r="L76" i="25"/>
  <c r="K76" i="25"/>
  <c r="J76" i="25"/>
  <c r="S75" i="25"/>
  <c r="R75" i="25"/>
  <c r="Q75" i="25"/>
  <c r="P75" i="25"/>
  <c r="O75" i="25"/>
  <c r="N75" i="25"/>
  <c r="M75" i="25"/>
  <c r="L75" i="25"/>
  <c r="K75" i="25"/>
  <c r="J75" i="25"/>
  <c r="S74" i="25"/>
  <c r="R74" i="25"/>
  <c r="Q74" i="25"/>
  <c r="P74" i="25"/>
  <c r="O74" i="25"/>
  <c r="N74" i="25"/>
  <c r="M74" i="25"/>
  <c r="L74" i="25"/>
  <c r="K74" i="25"/>
  <c r="J74" i="25"/>
  <c r="S73" i="25"/>
  <c r="R73" i="25"/>
  <c r="Q73" i="25"/>
  <c r="P73" i="25"/>
  <c r="O73" i="25"/>
  <c r="N73" i="25"/>
  <c r="M73" i="25"/>
  <c r="L73" i="25"/>
  <c r="K73" i="25"/>
  <c r="J73" i="25"/>
  <c r="S96" i="24"/>
  <c r="R96" i="24"/>
  <c r="Q96" i="24"/>
  <c r="P96" i="24"/>
  <c r="O96" i="24"/>
  <c r="N96" i="24"/>
  <c r="M96" i="24"/>
  <c r="L96" i="24"/>
  <c r="K96" i="24"/>
  <c r="J96" i="24"/>
  <c r="S95" i="24"/>
  <c r="R95" i="24"/>
  <c r="Q95" i="24"/>
  <c r="P95" i="24"/>
  <c r="O95" i="24"/>
  <c r="N95" i="24"/>
  <c r="M95" i="24"/>
  <c r="L95" i="24"/>
  <c r="K95" i="24"/>
  <c r="J95" i="24"/>
  <c r="S94" i="24"/>
  <c r="R94" i="24"/>
  <c r="Q94" i="24"/>
  <c r="P94" i="24"/>
  <c r="O94" i="24"/>
  <c r="N94" i="24"/>
  <c r="M94" i="24"/>
  <c r="L94" i="24"/>
  <c r="K94" i="24"/>
  <c r="J94" i="24"/>
  <c r="S93" i="24"/>
  <c r="R93" i="24"/>
  <c r="Q93" i="24"/>
  <c r="P93" i="24"/>
  <c r="O93" i="24"/>
  <c r="N93" i="24"/>
  <c r="M93" i="24"/>
  <c r="L93" i="24"/>
  <c r="K93" i="24"/>
  <c r="J93" i="24"/>
  <c r="S92" i="24"/>
  <c r="R92" i="24"/>
  <c r="Q92" i="24"/>
  <c r="P92" i="24"/>
  <c r="O92" i="24"/>
  <c r="N92" i="24"/>
  <c r="M92" i="24"/>
  <c r="L92" i="24"/>
  <c r="K92" i="24"/>
  <c r="J92" i="24"/>
  <c r="S91" i="24"/>
  <c r="R91" i="24"/>
  <c r="Q91" i="24"/>
  <c r="P91" i="24"/>
  <c r="O91" i="24"/>
  <c r="N91" i="24"/>
  <c r="M91" i="24"/>
  <c r="L91" i="24"/>
  <c r="K91" i="24"/>
  <c r="J91" i="24"/>
  <c r="S90" i="24"/>
  <c r="R90" i="24"/>
  <c r="Q90" i="24"/>
  <c r="P90" i="24"/>
  <c r="O90" i="24"/>
  <c r="N90" i="24"/>
  <c r="M90" i="24"/>
  <c r="L90" i="24"/>
  <c r="K90" i="24"/>
  <c r="J90" i="24"/>
  <c r="S89" i="24"/>
  <c r="R89" i="24"/>
  <c r="Q89" i="24"/>
  <c r="P89" i="24"/>
  <c r="O89" i="24"/>
  <c r="N89" i="24"/>
  <c r="M89" i="24"/>
  <c r="L89" i="24"/>
  <c r="K89" i="24"/>
  <c r="J89" i="24"/>
  <c r="S88" i="24"/>
  <c r="R88" i="24"/>
  <c r="Q88" i="24"/>
  <c r="P88" i="24"/>
  <c r="O88" i="24"/>
  <c r="N88" i="24"/>
  <c r="M88" i="24"/>
  <c r="L88" i="24"/>
  <c r="K88" i="24"/>
  <c r="J88" i="24"/>
  <c r="S87" i="24"/>
  <c r="R87" i="24"/>
  <c r="Q87" i="24"/>
  <c r="P87" i="24"/>
  <c r="O87" i="24"/>
  <c r="N87" i="24"/>
  <c r="M87" i="24"/>
  <c r="L87" i="24"/>
  <c r="K87" i="24"/>
  <c r="J87" i="24"/>
  <c r="S86" i="24"/>
  <c r="R86" i="24"/>
  <c r="Q86" i="24"/>
  <c r="P86" i="24"/>
  <c r="O86" i="24"/>
  <c r="N86" i="24"/>
  <c r="M86" i="24"/>
  <c r="L86" i="24"/>
  <c r="K86" i="24"/>
  <c r="J86" i="24"/>
  <c r="S85" i="24"/>
  <c r="R85" i="24"/>
  <c r="Q85" i="24"/>
  <c r="P85" i="24"/>
  <c r="O85" i="24"/>
  <c r="N85" i="24"/>
  <c r="M85" i="24"/>
  <c r="L85" i="24"/>
  <c r="K85" i="24"/>
  <c r="J85" i="24"/>
  <c r="S84" i="24"/>
  <c r="R84" i="24"/>
  <c r="Q84" i="24"/>
  <c r="P84" i="24"/>
  <c r="O84" i="24"/>
  <c r="N84" i="24"/>
  <c r="M84" i="24"/>
  <c r="L84" i="24"/>
  <c r="K84" i="24"/>
  <c r="J84" i="24"/>
  <c r="S83" i="24"/>
  <c r="R83" i="24"/>
  <c r="Q83" i="24"/>
  <c r="P83" i="24"/>
  <c r="O83" i="24"/>
  <c r="N83" i="24"/>
  <c r="M83" i="24"/>
  <c r="L83" i="24"/>
  <c r="K83" i="24"/>
  <c r="J83" i="24"/>
  <c r="S82" i="24"/>
  <c r="R82" i="24"/>
  <c r="Q82" i="24"/>
  <c r="P82" i="24"/>
  <c r="O82" i="24"/>
  <c r="N82" i="24"/>
  <c r="M82" i="24"/>
  <c r="L82" i="24"/>
  <c r="K82" i="24"/>
  <c r="J82" i="24"/>
  <c r="S81" i="24"/>
  <c r="R81" i="24"/>
  <c r="Q81" i="24"/>
  <c r="P81" i="24"/>
  <c r="O81" i="24"/>
  <c r="N81" i="24"/>
  <c r="M81" i="24"/>
  <c r="L81" i="24"/>
  <c r="K81" i="24"/>
  <c r="J81" i="24"/>
  <c r="S80" i="24"/>
  <c r="R80" i="24"/>
  <c r="Q80" i="24"/>
  <c r="P80" i="24"/>
  <c r="O80" i="24"/>
  <c r="N80" i="24"/>
  <c r="M80" i="24"/>
  <c r="L80" i="24"/>
  <c r="K80" i="24"/>
  <c r="J80" i="24"/>
  <c r="S79" i="24"/>
  <c r="R79" i="24"/>
  <c r="Q79" i="24"/>
  <c r="P79" i="24"/>
  <c r="O79" i="24"/>
  <c r="N79" i="24"/>
  <c r="M79" i="24"/>
  <c r="L79" i="24"/>
  <c r="K79" i="24"/>
  <c r="J79" i="24"/>
  <c r="S78" i="24"/>
  <c r="R78" i="24"/>
  <c r="Q78" i="24"/>
  <c r="P78" i="24"/>
  <c r="O78" i="24"/>
  <c r="N78" i="24"/>
  <c r="M78" i="24"/>
  <c r="L78" i="24"/>
  <c r="K78" i="24"/>
  <c r="J78" i="24"/>
  <c r="S77" i="24"/>
  <c r="R77" i="24"/>
  <c r="Q77" i="24"/>
  <c r="P77" i="24"/>
  <c r="O77" i="24"/>
  <c r="N77" i="24"/>
  <c r="M77" i="24"/>
  <c r="L77" i="24"/>
  <c r="K77" i="24"/>
  <c r="J77" i="24"/>
  <c r="S76" i="24"/>
  <c r="R76" i="24"/>
  <c r="Q76" i="24"/>
  <c r="P76" i="24"/>
  <c r="O76" i="24"/>
  <c r="N76" i="24"/>
  <c r="M76" i="24"/>
  <c r="L76" i="24"/>
  <c r="K76" i="24"/>
  <c r="J76" i="24"/>
  <c r="S75" i="24"/>
  <c r="R75" i="24"/>
  <c r="Q75" i="24"/>
  <c r="P75" i="24"/>
  <c r="O75" i="24"/>
  <c r="N75" i="24"/>
  <c r="M75" i="24"/>
  <c r="L75" i="24"/>
  <c r="K75" i="24"/>
  <c r="J75" i="24"/>
  <c r="S74" i="24"/>
  <c r="R74" i="24"/>
  <c r="Q74" i="24"/>
  <c r="P74" i="24"/>
  <c r="O74" i="24"/>
  <c r="N74" i="24"/>
  <c r="M74" i="24"/>
  <c r="L74" i="24"/>
  <c r="K74" i="24"/>
  <c r="J74" i="24"/>
  <c r="S73" i="24"/>
  <c r="R73" i="24"/>
  <c r="Q73" i="24"/>
  <c r="P73" i="24"/>
  <c r="O73" i="24"/>
  <c r="N73" i="24"/>
  <c r="M73" i="24"/>
  <c r="L73" i="24"/>
  <c r="K73" i="24"/>
  <c r="J73" i="24"/>
  <c r="S96" i="23"/>
  <c r="R96" i="23"/>
  <c r="Q96" i="23"/>
  <c r="P96" i="23"/>
  <c r="O96" i="23"/>
  <c r="N96" i="23"/>
  <c r="M96" i="23"/>
  <c r="L96" i="23"/>
  <c r="K96" i="23"/>
  <c r="J96" i="23"/>
  <c r="S95" i="23"/>
  <c r="R95" i="23"/>
  <c r="Q95" i="23"/>
  <c r="P95" i="23"/>
  <c r="O95" i="23"/>
  <c r="N95" i="23"/>
  <c r="M95" i="23"/>
  <c r="L95" i="23"/>
  <c r="K95" i="23"/>
  <c r="J95" i="23"/>
  <c r="S94" i="23"/>
  <c r="R94" i="23"/>
  <c r="Q94" i="23"/>
  <c r="P94" i="23"/>
  <c r="O94" i="23"/>
  <c r="N94" i="23"/>
  <c r="M94" i="23"/>
  <c r="L94" i="23"/>
  <c r="K94" i="23"/>
  <c r="J94" i="23"/>
  <c r="S93" i="23"/>
  <c r="R93" i="23"/>
  <c r="Q93" i="23"/>
  <c r="P93" i="23"/>
  <c r="O93" i="23"/>
  <c r="N93" i="23"/>
  <c r="M93" i="23"/>
  <c r="L93" i="23"/>
  <c r="K93" i="23"/>
  <c r="J93" i="23"/>
  <c r="S92" i="23"/>
  <c r="R92" i="23"/>
  <c r="Q92" i="23"/>
  <c r="P92" i="23"/>
  <c r="O92" i="23"/>
  <c r="N92" i="23"/>
  <c r="M92" i="23"/>
  <c r="L92" i="23"/>
  <c r="K92" i="23"/>
  <c r="J92" i="23"/>
  <c r="S91" i="23"/>
  <c r="R91" i="23"/>
  <c r="Q91" i="23"/>
  <c r="P91" i="23"/>
  <c r="O91" i="23"/>
  <c r="N91" i="23"/>
  <c r="M91" i="23"/>
  <c r="L91" i="23"/>
  <c r="K91" i="23"/>
  <c r="J91" i="23"/>
  <c r="S90" i="23"/>
  <c r="R90" i="23"/>
  <c r="Q90" i="23"/>
  <c r="P90" i="23"/>
  <c r="O90" i="23"/>
  <c r="N90" i="23"/>
  <c r="M90" i="23"/>
  <c r="L90" i="23"/>
  <c r="K90" i="23"/>
  <c r="J90" i="23"/>
  <c r="S89" i="23"/>
  <c r="R89" i="23"/>
  <c r="Q89" i="23"/>
  <c r="P89" i="23"/>
  <c r="O89" i="23"/>
  <c r="N89" i="23"/>
  <c r="M89" i="23"/>
  <c r="L89" i="23"/>
  <c r="K89" i="23"/>
  <c r="J89" i="23"/>
  <c r="S88" i="23"/>
  <c r="R88" i="23"/>
  <c r="Q88" i="23"/>
  <c r="P88" i="23"/>
  <c r="O88" i="23"/>
  <c r="N88" i="23"/>
  <c r="M88" i="23"/>
  <c r="L88" i="23"/>
  <c r="K88" i="23"/>
  <c r="J88" i="23"/>
  <c r="S87" i="23"/>
  <c r="R87" i="23"/>
  <c r="Q87" i="23"/>
  <c r="P87" i="23"/>
  <c r="O87" i="23"/>
  <c r="N87" i="23"/>
  <c r="M87" i="23"/>
  <c r="L87" i="23"/>
  <c r="K87" i="23"/>
  <c r="J87" i="23"/>
  <c r="S86" i="23"/>
  <c r="R86" i="23"/>
  <c r="Q86" i="23"/>
  <c r="P86" i="23"/>
  <c r="O86" i="23"/>
  <c r="N86" i="23"/>
  <c r="M86" i="23"/>
  <c r="L86" i="23"/>
  <c r="K86" i="23"/>
  <c r="J86" i="23"/>
  <c r="S85" i="23"/>
  <c r="R85" i="23"/>
  <c r="Q85" i="23"/>
  <c r="P85" i="23"/>
  <c r="O85" i="23"/>
  <c r="N85" i="23"/>
  <c r="M85" i="23"/>
  <c r="L85" i="23"/>
  <c r="K85" i="23"/>
  <c r="J85" i="23"/>
  <c r="S84" i="23"/>
  <c r="R84" i="23"/>
  <c r="Q84" i="23"/>
  <c r="P84" i="23"/>
  <c r="O84" i="23"/>
  <c r="N84" i="23"/>
  <c r="M84" i="23"/>
  <c r="L84" i="23"/>
  <c r="K84" i="23"/>
  <c r="J84" i="23"/>
  <c r="S83" i="23"/>
  <c r="R83" i="23"/>
  <c r="Q83" i="23"/>
  <c r="P83" i="23"/>
  <c r="O83" i="23"/>
  <c r="N83" i="23"/>
  <c r="M83" i="23"/>
  <c r="L83" i="23"/>
  <c r="K83" i="23"/>
  <c r="J83" i="23"/>
  <c r="S82" i="23"/>
  <c r="R82" i="23"/>
  <c r="Q82" i="23"/>
  <c r="P82" i="23"/>
  <c r="O82" i="23"/>
  <c r="N82" i="23"/>
  <c r="M82" i="23"/>
  <c r="L82" i="23"/>
  <c r="K82" i="23"/>
  <c r="J82" i="23"/>
  <c r="S81" i="23"/>
  <c r="R81" i="23"/>
  <c r="Q81" i="23"/>
  <c r="P81" i="23"/>
  <c r="O81" i="23"/>
  <c r="N81" i="23"/>
  <c r="M81" i="23"/>
  <c r="L81" i="23"/>
  <c r="K81" i="23"/>
  <c r="J81" i="23"/>
  <c r="S80" i="23"/>
  <c r="R80" i="23"/>
  <c r="Q80" i="23"/>
  <c r="P80" i="23"/>
  <c r="O80" i="23"/>
  <c r="N80" i="23"/>
  <c r="M80" i="23"/>
  <c r="L80" i="23"/>
  <c r="K80" i="23"/>
  <c r="J80" i="23"/>
  <c r="S79" i="23"/>
  <c r="R79" i="23"/>
  <c r="Q79" i="23"/>
  <c r="P79" i="23"/>
  <c r="O79" i="23"/>
  <c r="N79" i="23"/>
  <c r="M79" i="23"/>
  <c r="L79" i="23"/>
  <c r="K79" i="23"/>
  <c r="J79" i="23"/>
  <c r="S78" i="23"/>
  <c r="R78" i="23"/>
  <c r="Q78" i="23"/>
  <c r="P78" i="23"/>
  <c r="O78" i="23"/>
  <c r="N78" i="23"/>
  <c r="M78" i="23"/>
  <c r="L78" i="23"/>
  <c r="K78" i="23"/>
  <c r="J78" i="23"/>
  <c r="S77" i="23"/>
  <c r="R77" i="23"/>
  <c r="Q77" i="23"/>
  <c r="P77" i="23"/>
  <c r="O77" i="23"/>
  <c r="N77" i="23"/>
  <c r="M77" i="23"/>
  <c r="L77" i="23"/>
  <c r="K77" i="23"/>
  <c r="J77" i="23"/>
  <c r="S76" i="23"/>
  <c r="R76" i="23"/>
  <c r="Q76" i="23"/>
  <c r="P76" i="23"/>
  <c r="O76" i="23"/>
  <c r="N76" i="23"/>
  <c r="M76" i="23"/>
  <c r="L76" i="23"/>
  <c r="K76" i="23"/>
  <c r="J76" i="23"/>
  <c r="S75" i="23"/>
  <c r="R75" i="23"/>
  <c r="Q75" i="23"/>
  <c r="P75" i="23"/>
  <c r="O75" i="23"/>
  <c r="N75" i="23"/>
  <c r="M75" i="23"/>
  <c r="L75" i="23"/>
  <c r="K75" i="23"/>
  <c r="J75" i="23"/>
  <c r="S74" i="23"/>
  <c r="R74" i="23"/>
  <c r="Q74" i="23"/>
  <c r="P74" i="23"/>
  <c r="O74" i="23"/>
  <c r="N74" i="23"/>
  <c r="M74" i="23"/>
  <c r="L74" i="23"/>
  <c r="K74" i="23"/>
  <c r="J74" i="23"/>
  <c r="S73" i="23"/>
  <c r="R73" i="23"/>
  <c r="Q73" i="23"/>
  <c r="P73" i="23"/>
  <c r="O73" i="23"/>
  <c r="N73" i="23"/>
  <c r="M73" i="23"/>
  <c r="L73" i="23"/>
  <c r="K73" i="23"/>
  <c r="J73" i="23"/>
  <c r="S96" i="22"/>
  <c r="R96" i="22"/>
  <c r="Q96" i="22"/>
  <c r="P96" i="22"/>
  <c r="O96" i="22"/>
  <c r="N96" i="22"/>
  <c r="M96" i="22"/>
  <c r="L96" i="22"/>
  <c r="K96" i="22"/>
  <c r="J96" i="22"/>
  <c r="S95" i="22"/>
  <c r="R95" i="22"/>
  <c r="Q95" i="22"/>
  <c r="P95" i="22"/>
  <c r="O95" i="22"/>
  <c r="N95" i="22"/>
  <c r="M95" i="22"/>
  <c r="L95" i="22"/>
  <c r="K95" i="22"/>
  <c r="J95" i="22"/>
  <c r="S94" i="22"/>
  <c r="R94" i="22"/>
  <c r="Q94" i="22"/>
  <c r="P94" i="22"/>
  <c r="O94" i="22"/>
  <c r="N94" i="22"/>
  <c r="M94" i="22"/>
  <c r="L94" i="22"/>
  <c r="K94" i="22"/>
  <c r="J94" i="22"/>
  <c r="S93" i="22"/>
  <c r="R93" i="22"/>
  <c r="Q93" i="22"/>
  <c r="P93" i="22"/>
  <c r="O93" i="22"/>
  <c r="N93" i="22"/>
  <c r="M93" i="22"/>
  <c r="L93" i="22"/>
  <c r="K93" i="22"/>
  <c r="J93" i="22"/>
  <c r="S92" i="22"/>
  <c r="R92" i="22"/>
  <c r="Q92" i="22"/>
  <c r="P92" i="22"/>
  <c r="O92" i="22"/>
  <c r="N92" i="22"/>
  <c r="M92" i="22"/>
  <c r="L92" i="22"/>
  <c r="K92" i="22"/>
  <c r="J92" i="22"/>
  <c r="S91" i="22"/>
  <c r="R91" i="22"/>
  <c r="Q91" i="22"/>
  <c r="P91" i="22"/>
  <c r="O91" i="22"/>
  <c r="N91" i="22"/>
  <c r="M91" i="22"/>
  <c r="L91" i="22"/>
  <c r="K91" i="22"/>
  <c r="J91" i="22"/>
  <c r="S90" i="22"/>
  <c r="R90" i="22"/>
  <c r="Q90" i="22"/>
  <c r="P90" i="22"/>
  <c r="O90" i="22"/>
  <c r="N90" i="22"/>
  <c r="M90" i="22"/>
  <c r="L90" i="22"/>
  <c r="K90" i="22"/>
  <c r="J90" i="22"/>
  <c r="S89" i="22"/>
  <c r="R89" i="22"/>
  <c r="Q89" i="22"/>
  <c r="P89" i="22"/>
  <c r="O89" i="22"/>
  <c r="N89" i="22"/>
  <c r="M89" i="22"/>
  <c r="L89" i="22"/>
  <c r="K89" i="22"/>
  <c r="J89" i="22"/>
  <c r="S88" i="22"/>
  <c r="R88" i="22"/>
  <c r="Q88" i="22"/>
  <c r="P88" i="22"/>
  <c r="O88" i="22"/>
  <c r="N88" i="22"/>
  <c r="M88" i="22"/>
  <c r="L88" i="22"/>
  <c r="K88" i="22"/>
  <c r="J88" i="22"/>
  <c r="S87" i="22"/>
  <c r="R87" i="22"/>
  <c r="Q87" i="22"/>
  <c r="P87" i="22"/>
  <c r="O87" i="22"/>
  <c r="N87" i="22"/>
  <c r="M87" i="22"/>
  <c r="L87" i="22"/>
  <c r="K87" i="22"/>
  <c r="J87" i="22"/>
  <c r="S86" i="22"/>
  <c r="R86" i="22"/>
  <c r="Q86" i="22"/>
  <c r="P86" i="22"/>
  <c r="O86" i="22"/>
  <c r="N86" i="22"/>
  <c r="M86" i="22"/>
  <c r="L86" i="22"/>
  <c r="K86" i="22"/>
  <c r="J86" i="22"/>
  <c r="S85" i="22"/>
  <c r="R85" i="22"/>
  <c r="Q85" i="22"/>
  <c r="P85" i="22"/>
  <c r="O85" i="22"/>
  <c r="N85" i="22"/>
  <c r="M85" i="22"/>
  <c r="L85" i="22"/>
  <c r="K85" i="22"/>
  <c r="J85" i="22"/>
  <c r="S84" i="22"/>
  <c r="R84" i="22"/>
  <c r="Q84" i="22"/>
  <c r="P84" i="22"/>
  <c r="O84" i="22"/>
  <c r="N84" i="22"/>
  <c r="M84" i="22"/>
  <c r="L84" i="22"/>
  <c r="K84" i="22"/>
  <c r="J84" i="22"/>
  <c r="S83" i="22"/>
  <c r="R83" i="22"/>
  <c r="Q83" i="22"/>
  <c r="P83" i="22"/>
  <c r="O83" i="22"/>
  <c r="N83" i="22"/>
  <c r="M83" i="22"/>
  <c r="L83" i="22"/>
  <c r="K83" i="22"/>
  <c r="J83" i="22"/>
  <c r="S82" i="22"/>
  <c r="R82" i="22"/>
  <c r="Q82" i="22"/>
  <c r="P82" i="22"/>
  <c r="O82" i="22"/>
  <c r="N82" i="22"/>
  <c r="M82" i="22"/>
  <c r="L82" i="22"/>
  <c r="K82" i="22"/>
  <c r="J82" i="22"/>
  <c r="S81" i="22"/>
  <c r="R81" i="22"/>
  <c r="Q81" i="22"/>
  <c r="P81" i="22"/>
  <c r="O81" i="22"/>
  <c r="N81" i="22"/>
  <c r="M81" i="22"/>
  <c r="L81" i="22"/>
  <c r="K81" i="22"/>
  <c r="J81" i="22"/>
  <c r="S80" i="22"/>
  <c r="R80" i="22"/>
  <c r="Q80" i="22"/>
  <c r="P80" i="22"/>
  <c r="O80" i="22"/>
  <c r="N80" i="22"/>
  <c r="M80" i="22"/>
  <c r="L80" i="22"/>
  <c r="K80" i="22"/>
  <c r="J80" i="22"/>
  <c r="S79" i="22"/>
  <c r="R79" i="22"/>
  <c r="Q79" i="22"/>
  <c r="P79" i="22"/>
  <c r="O79" i="22"/>
  <c r="N79" i="22"/>
  <c r="M79" i="22"/>
  <c r="L79" i="22"/>
  <c r="K79" i="22"/>
  <c r="J79" i="22"/>
  <c r="S78" i="22"/>
  <c r="R78" i="22"/>
  <c r="Q78" i="22"/>
  <c r="P78" i="22"/>
  <c r="O78" i="22"/>
  <c r="N78" i="22"/>
  <c r="M78" i="22"/>
  <c r="L78" i="22"/>
  <c r="K78" i="22"/>
  <c r="J78" i="22"/>
  <c r="S77" i="22"/>
  <c r="R77" i="22"/>
  <c r="Q77" i="22"/>
  <c r="P77" i="22"/>
  <c r="O77" i="22"/>
  <c r="N77" i="22"/>
  <c r="M77" i="22"/>
  <c r="L77" i="22"/>
  <c r="K77" i="22"/>
  <c r="J77" i="22"/>
  <c r="S76" i="22"/>
  <c r="R76" i="22"/>
  <c r="Q76" i="22"/>
  <c r="P76" i="22"/>
  <c r="O76" i="22"/>
  <c r="N76" i="22"/>
  <c r="M76" i="22"/>
  <c r="L76" i="22"/>
  <c r="K76" i="22"/>
  <c r="J76" i="22"/>
  <c r="S75" i="22"/>
  <c r="R75" i="22"/>
  <c r="Q75" i="22"/>
  <c r="P75" i="22"/>
  <c r="O75" i="22"/>
  <c r="N75" i="22"/>
  <c r="M75" i="22"/>
  <c r="L75" i="22"/>
  <c r="K75" i="22"/>
  <c r="J75" i="22"/>
  <c r="S74" i="22"/>
  <c r="R74" i="22"/>
  <c r="Q74" i="22"/>
  <c r="P74" i="22"/>
  <c r="O74" i="22"/>
  <c r="N74" i="22"/>
  <c r="M74" i="22"/>
  <c r="L74" i="22"/>
  <c r="K74" i="22"/>
  <c r="J74" i="22"/>
  <c r="S73" i="22"/>
  <c r="R73" i="22"/>
  <c r="Q73" i="22"/>
  <c r="P73" i="22"/>
  <c r="O73" i="22"/>
  <c r="N73" i="22"/>
  <c r="M73" i="22"/>
  <c r="L73" i="22"/>
  <c r="K73" i="22"/>
  <c r="J73" i="22"/>
  <c r="S96" i="21"/>
  <c r="R96" i="21"/>
  <c r="Q96" i="21"/>
  <c r="P96" i="21"/>
  <c r="O96" i="21"/>
  <c r="N96" i="21"/>
  <c r="M96" i="21"/>
  <c r="L96" i="21"/>
  <c r="K96" i="21"/>
  <c r="J96" i="21"/>
  <c r="S95" i="21"/>
  <c r="R95" i="21"/>
  <c r="Q95" i="21"/>
  <c r="P95" i="21"/>
  <c r="O95" i="21"/>
  <c r="N95" i="21"/>
  <c r="M95" i="21"/>
  <c r="L95" i="21"/>
  <c r="K95" i="21"/>
  <c r="J95" i="21"/>
  <c r="S94" i="21"/>
  <c r="R94" i="21"/>
  <c r="Q94" i="21"/>
  <c r="P94" i="21"/>
  <c r="O94" i="21"/>
  <c r="N94" i="21"/>
  <c r="M94" i="21"/>
  <c r="L94" i="21"/>
  <c r="K94" i="21"/>
  <c r="J94" i="21"/>
  <c r="S93" i="21"/>
  <c r="R93" i="21"/>
  <c r="Q93" i="21"/>
  <c r="P93" i="21"/>
  <c r="O93" i="21"/>
  <c r="N93" i="21"/>
  <c r="M93" i="21"/>
  <c r="L93" i="21"/>
  <c r="K93" i="21"/>
  <c r="J93" i="21"/>
  <c r="S92" i="21"/>
  <c r="R92" i="21"/>
  <c r="Q92" i="21"/>
  <c r="P92" i="21"/>
  <c r="O92" i="21"/>
  <c r="N92" i="21"/>
  <c r="M92" i="21"/>
  <c r="L92" i="21"/>
  <c r="K92" i="21"/>
  <c r="J92" i="21"/>
  <c r="S91" i="21"/>
  <c r="R91" i="21"/>
  <c r="Q91" i="21"/>
  <c r="P91" i="21"/>
  <c r="O91" i="21"/>
  <c r="N91" i="21"/>
  <c r="M91" i="21"/>
  <c r="L91" i="21"/>
  <c r="K91" i="21"/>
  <c r="J91" i="21"/>
  <c r="S90" i="21"/>
  <c r="R90" i="21"/>
  <c r="Q90" i="21"/>
  <c r="P90" i="21"/>
  <c r="O90" i="21"/>
  <c r="N90" i="21"/>
  <c r="M90" i="21"/>
  <c r="L90" i="21"/>
  <c r="K90" i="21"/>
  <c r="J90" i="21"/>
  <c r="S89" i="21"/>
  <c r="R89" i="21"/>
  <c r="Q89" i="21"/>
  <c r="P89" i="21"/>
  <c r="O89" i="21"/>
  <c r="N89" i="21"/>
  <c r="M89" i="21"/>
  <c r="L89" i="21"/>
  <c r="K89" i="21"/>
  <c r="J89" i="21"/>
  <c r="S88" i="21"/>
  <c r="R88" i="21"/>
  <c r="Q88" i="21"/>
  <c r="P88" i="21"/>
  <c r="O88" i="21"/>
  <c r="N88" i="21"/>
  <c r="M88" i="21"/>
  <c r="L88" i="21"/>
  <c r="K88" i="21"/>
  <c r="J88" i="21"/>
  <c r="S87" i="21"/>
  <c r="R87" i="21"/>
  <c r="Q87" i="21"/>
  <c r="P87" i="21"/>
  <c r="O87" i="21"/>
  <c r="N87" i="21"/>
  <c r="M87" i="21"/>
  <c r="L87" i="21"/>
  <c r="K87" i="21"/>
  <c r="J87" i="21"/>
  <c r="S86" i="21"/>
  <c r="R86" i="21"/>
  <c r="Q86" i="21"/>
  <c r="P86" i="21"/>
  <c r="O86" i="21"/>
  <c r="N86" i="21"/>
  <c r="M86" i="21"/>
  <c r="L86" i="21"/>
  <c r="K86" i="21"/>
  <c r="J86" i="21"/>
  <c r="S85" i="21"/>
  <c r="R85" i="21"/>
  <c r="Q85" i="21"/>
  <c r="P85" i="21"/>
  <c r="O85" i="21"/>
  <c r="N85" i="21"/>
  <c r="M85" i="21"/>
  <c r="L85" i="21"/>
  <c r="K85" i="21"/>
  <c r="J85" i="21"/>
  <c r="S84" i="21"/>
  <c r="R84" i="21"/>
  <c r="Q84" i="21"/>
  <c r="P84" i="21"/>
  <c r="O84" i="21"/>
  <c r="N84" i="21"/>
  <c r="M84" i="21"/>
  <c r="L84" i="21"/>
  <c r="K84" i="21"/>
  <c r="J84" i="21"/>
  <c r="S83" i="21"/>
  <c r="R83" i="21"/>
  <c r="Q83" i="21"/>
  <c r="P83" i="21"/>
  <c r="O83" i="21"/>
  <c r="N83" i="21"/>
  <c r="M83" i="21"/>
  <c r="L83" i="21"/>
  <c r="K83" i="21"/>
  <c r="J83" i="21"/>
  <c r="S82" i="21"/>
  <c r="R82" i="21"/>
  <c r="Q82" i="21"/>
  <c r="P82" i="21"/>
  <c r="O82" i="21"/>
  <c r="N82" i="21"/>
  <c r="M82" i="21"/>
  <c r="L82" i="21"/>
  <c r="K82" i="21"/>
  <c r="J82" i="21"/>
  <c r="S81" i="21"/>
  <c r="R81" i="21"/>
  <c r="Q81" i="21"/>
  <c r="P81" i="21"/>
  <c r="O81" i="21"/>
  <c r="N81" i="21"/>
  <c r="M81" i="21"/>
  <c r="L81" i="21"/>
  <c r="K81" i="21"/>
  <c r="J81" i="21"/>
  <c r="S80" i="21"/>
  <c r="R80" i="21"/>
  <c r="Q80" i="21"/>
  <c r="P80" i="21"/>
  <c r="O80" i="21"/>
  <c r="N80" i="21"/>
  <c r="M80" i="21"/>
  <c r="L80" i="21"/>
  <c r="K80" i="21"/>
  <c r="J80" i="21"/>
  <c r="S79" i="21"/>
  <c r="R79" i="21"/>
  <c r="Q79" i="21"/>
  <c r="P79" i="21"/>
  <c r="O79" i="21"/>
  <c r="N79" i="21"/>
  <c r="M79" i="21"/>
  <c r="L79" i="21"/>
  <c r="K79" i="21"/>
  <c r="J79" i="21"/>
  <c r="S78" i="21"/>
  <c r="R78" i="21"/>
  <c r="Q78" i="21"/>
  <c r="P78" i="21"/>
  <c r="O78" i="21"/>
  <c r="N78" i="21"/>
  <c r="M78" i="21"/>
  <c r="L78" i="21"/>
  <c r="K78" i="21"/>
  <c r="J78" i="21"/>
  <c r="S77" i="21"/>
  <c r="R77" i="21"/>
  <c r="Q77" i="21"/>
  <c r="P77" i="21"/>
  <c r="O77" i="21"/>
  <c r="N77" i="21"/>
  <c r="M77" i="21"/>
  <c r="L77" i="21"/>
  <c r="K77" i="21"/>
  <c r="J77" i="21"/>
  <c r="S76" i="21"/>
  <c r="R76" i="21"/>
  <c r="Q76" i="21"/>
  <c r="P76" i="21"/>
  <c r="O76" i="21"/>
  <c r="N76" i="21"/>
  <c r="M76" i="21"/>
  <c r="L76" i="21"/>
  <c r="K76" i="21"/>
  <c r="J76" i="21"/>
  <c r="S75" i="21"/>
  <c r="R75" i="21"/>
  <c r="Q75" i="21"/>
  <c r="P75" i="21"/>
  <c r="O75" i="21"/>
  <c r="N75" i="21"/>
  <c r="M75" i="21"/>
  <c r="L75" i="21"/>
  <c r="K75" i="21"/>
  <c r="J75" i="21"/>
  <c r="S74" i="21"/>
  <c r="R74" i="21"/>
  <c r="Q74" i="21"/>
  <c r="P74" i="21"/>
  <c r="O74" i="21"/>
  <c r="N74" i="21"/>
  <c r="M74" i="21"/>
  <c r="L74" i="21"/>
  <c r="K74" i="21"/>
  <c r="J74" i="21"/>
  <c r="S73" i="21"/>
  <c r="R73" i="21"/>
  <c r="Q73" i="21"/>
  <c r="P73" i="21"/>
  <c r="O73" i="21"/>
  <c r="N73" i="21"/>
  <c r="M73" i="21"/>
  <c r="L73" i="21"/>
  <c r="K73" i="21"/>
  <c r="J73" i="21"/>
  <c r="S96" i="20"/>
  <c r="R96" i="20"/>
  <c r="Q96" i="20"/>
  <c r="P96" i="20"/>
  <c r="O96" i="20"/>
  <c r="N96" i="20"/>
  <c r="M96" i="20"/>
  <c r="L96" i="20"/>
  <c r="K96" i="20"/>
  <c r="J96" i="20"/>
  <c r="S95" i="20"/>
  <c r="R95" i="20"/>
  <c r="Q95" i="20"/>
  <c r="P95" i="20"/>
  <c r="O95" i="20"/>
  <c r="N95" i="20"/>
  <c r="M95" i="20"/>
  <c r="L95" i="20"/>
  <c r="K95" i="20"/>
  <c r="J95" i="20"/>
  <c r="S94" i="20"/>
  <c r="R94" i="20"/>
  <c r="Q94" i="20"/>
  <c r="P94" i="20"/>
  <c r="O94" i="20"/>
  <c r="N94" i="20"/>
  <c r="M94" i="20"/>
  <c r="L94" i="20"/>
  <c r="K94" i="20"/>
  <c r="J94" i="20"/>
  <c r="S93" i="20"/>
  <c r="R93" i="20"/>
  <c r="Q93" i="20"/>
  <c r="P93" i="20"/>
  <c r="O93" i="20"/>
  <c r="N93" i="20"/>
  <c r="M93" i="20"/>
  <c r="L93" i="20"/>
  <c r="K93" i="20"/>
  <c r="J93" i="20"/>
  <c r="S92" i="20"/>
  <c r="R92" i="20"/>
  <c r="Q92" i="20"/>
  <c r="P92" i="20"/>
  <c r="O92" i="20"/>
  <c r="N92" i="20"/>
  <c r="M92" i="20"/>
  <c r="L92" i="20"/>
  <c r="K92" i="20"/>
  <c r="J92" i="20"/>
  <c r="S91" i="20"/>
  <c r="R91" i="20"/>
  <c r="Q91" i="20"/>
  <c r="P91" i="20"/>
  <c r="O91" i="20"/>
  <c r="N91" i="20"/>
  <c r="M91" i="20"/>
  <c r="L91" i="20"/>
  <c r="K91" i="20"/>
  <c r="J91" i="20"/>
  <c r="S90" i="20"/>
  <c r="R90" i="20"/>
  <c r="Q90" i="20"/>
  <c r="P90" i="20"/>
  <c r="O90" i="20"/>
  <c r="N90" i="20"/>
  <c r="M90" i="20"/>
  <c r="L90" i="20"/>
  <c r="K90" i="20"/>
  <c r="J90" i="20"/>
  <c r="S89" i="20"/>
  <c r="R89" i="20"/>
  <c r="Q89" i="20"/>
  <c r="P89" i="20"/>
  <c r="O89" i="20"/>
  <c r="N89" i="20"/>
  <c r="M89" i="20"/>
  <c r="L89" i="20"/>
  <c r="K89" i="20"/>
  <c r="J89" i="20"/>
  <c r="S88" i="20"/>
  <c r="R88" i="20"/>
  <c r="Q88" i="20"/>
  <c r="P88" i="20"/>
  <c r="O88" i="20"/>
  <c r="N88" i="20"/>
  <c r="M88" i="20"/>
  <c r="L88" i="20"/>
  <c r="K88" i="20"/>
  <c r="J88" i="20"/>
  <c r="S87" i="20"/>
  <c r="R87" i="20"/>
  <c r="Q87" i="20"/>
  <c r="P87" i="20"/>
  <c r="O87" i="20"/>
  <c r="N87" i="20"/>
  <c r="M87" i="20"/>
  <c r="L87" i="20"/>
  <c r="K87" i="20"/>
  <c r="J87" i="20"/>
  <c r="S86" i="20"/>
  <c r="R86" i="20"/>
  <c r="Q86" i="20"/>
  <c r="P86" i="20"/>
  <c r="O86" i="20"/>
  <c r="N86" i="20"/>
  <c r="M86" i="20"/>
  <c r="L86" i="20"/>
  <c r="K86" i="20"/>
  <c r="J86" i="20"/>
  <c r="S85" i="20"/>
  <c r="R85" i="20"/>
  <c r="Q85" i="20"/>
  <c r="P85" i="20"/>
  <c r="O85" i="20"/>
  <c r="N85" i="20"/>
  <c r="M85" i="20"/>
  <c r="L85" i="20"/>
  <c r="K85" i="20"/>
  <c r="J85" i="20"/>
  <c r="S84" i="20"/>
  <c r="R84" i="20"/>
  <c r="Q84" i="20"/>
  <c r="P84" i="20"/>
  <c r="O84" i="20"/>
  <c r="N84" i="20"/>
  <c r="M84" i="20"/>
  <c r="L84" i="20"/>
  <c r="K84" i="20"/>
  <c r="J84" i="20"/>
  <c r="S83" i="20"/>
  <c r="R83" i="20"/>
  <c r="Q83" i="20"/>
  <c r="P83" i="20"/>
  <c r="O83" i="20"/>
  <c r="N83" i="20"/>
  <c r="M83" i="20"/>
  <c r="L83" i="20"/>
  <c r="K83" i="20"/>
  <c r="J83" i="20"/>
  <c r="S82" i="20"/>
  <c r="R82" i="20"/>
  <c r="Q82" i="20"/>
  <c r="P82" i="20"/>
  <c r="O82" i="20"/>
  <c r="N82" i="20"/>
  <c r="M82" i="20"/>
  <c r="L82" i="20"/>
  <c r="K82" i="20"/>
  <c r="J82" i="20"/>
  <c r="S81" i="20"/>
  <c r="R81" i="20"/>
  <c r="Q81" i="20"/>
  <c r="P81" i="20"/>
  <c r="O81" i="20"/>
  <c r="N81" i="20"/>
  <c r="M81" i="20"/>
  <c r="L81" i="20"/>
  <c r="K81" i="20"/>
  <c r="J81" i="20"/>
  <c r="S80" i="20"/>
  <c r="R80" i="20"/>
  <c r="Q80" i="20"/>
  <c r="P80" i="20"/>
  <c r="O80" i="20"/>
  <c r="N80" i="20"/>
  <c r="M80" i="20"/>
  <c r="L80" i="20"/>
  <c r="K80" i="20"/>
  <c r="J80" i="20"/>
  <c r="S79" i="20"/>
  <c r="R79" i="20"/>
  <c r="Q79" i="20"/>
  <c r="P79" i="20"/>
  <c r="O79" i="20"/>
  <c r="N79" i="20"/>
  <c r="M79" i="20"/>
  <c r="L79" i="20"/>
  <c r="K79" i="20"/>
  <c r="J79" i="20"/>
  <c r="S78" i="20"/>
  <c r="R78" i="20"/>
  <c r="Q78" i="20"/>
  <c r="P78" i="20"/>
  <c r="O78" i="20"/>
  <c r="N78" i="20"/>
  <c r="M78" i="20"/>
  <c r="L78" i="20"/>
  <c r="K78" i="20"/>
  <c r="J78" i="20"/>
  <c r="S77" i="20"/>
  <c r="R77" i="20"/>
  <c r="Q77" i="20"/>
  <c r="P77" i="20"/>
  <c r="O77" i="20"/>
  <c r="N77" i="20"/>
  <c r="M77" i="20"/>
  <c r="L77" i="20"/>
  <c r="K77" i="20"/>
  <c r="J77" i="20"/>
  <c r="S76" i="20"/>
  <c r="R76" i="20"/>
  <c r="Q76" i="20"/>
  <c r="P76" i="20"/>
  <c r="O76" i="20"/>
  <c r="N76" i="20"/>
  <c r="M76" i="20"/>
  <c r="L76" i="20"/>
  <c r="K76" i="20"/>
  <c r="J76" i="20"/>
  <c r="S75" i="20"/>
  <c r="R75" i="20"/>
  <c r="Q75" i="20"/>
  <c r="P75" i="20"/>
  <c r="O75" i="20"/>
  <c r="N75" i="20"/>
  <c r="M75" i="20"/>
  <c r="L75" i="20"/>
  <c r="K75" i="20"/>
  <c r="J75" i="20"/>
  <c r="S74" i="20"/>
  <c r="R74" i="20"/>
  <c r="Q74" i="20"/>
  <c r="P74" i="20"/>
  <c r="O74" i="20"/>
  <c r="N74" i="20"/>
  <c r="M74" i="20"/>
  <c r="L74" i="20"/>
  <c r="K74" i="20"/>
  <c r="J74" i="20"/>
  <c r="S73" i="20"/>
  <c r="R73" i="20"/>
  <c r="Q73" i="20"/>
  <c r="P73" i="20"/>
  <c r="O73" i="20"/>
  <c r="N73" i="20"/>
  <c r="M73" i="20"/>
  <c r="L73" i="20"/>
  <c r="K73" i="20"/>
  <c r="J73" i="20"/>
  <c r="S96" i="19"/>
  <c r="R96" i="19"/>
  <c r="Q96" i="19"/>
  <c r="P96" i="19"/>
  <c r="O96" i="19"/>
  <c r="N96" i="19"/>
  <c r="M96" i="19"/>
  <c r="L96" i="19"/>
  <c r="K96" i="19"/>
  <c r="J96" i="19"/>
  <c r="S95" i="19"/>
  <c r="R95" i="19"/>
  <c r="Q95" i="19"/>
  <c r="P95" i="19"/>
  <c r="O95" i="19"/>
  <c r="N95" i="19"/>
  <c r="M95" i="19"/>
  <c r="L95" i="19"/>
  <c r="K95" i="19"/>
  <c r="J95" i="19"/>
  <c r="S94" i="19"/>
  <c r="R94" i="19"/>
  <c r="Q94" i="19"/>
  <c r="P94" i="19"/>
  <c r="O94" i="19"/>
  <c r="N94" i="19"/>
  <c r="M94" i="19"/>
  <c r="L94" i="19"/>
  <c r="K94" i="19"/>
  <c r="J94" i="19"/>
  <c r="S93" i="19"/>
  <c r="R93" i="19"/>
  <c r="Q93" i="19"/>
  <c r="P93" i="19"/>
  <c r="O93" i="19"/>
  <c r="N93" i="19"/>
  <c r="M93" i="19"/>
  <c r="L93" i="19"/>
  <c r="K93" i="19"/>
  <c r="J93" i="19"/>
  <c r="S92" i="19"/>
  <c r="R92" i="19"/>
  <c r="Q92" i="19"/>
  <c r="P92" i="19"/>
  <c r="O92" i="19"/>
  <c r="N92" i="19"/>
  <c r="M92" i="19"/>
  <c r="L92" i="19"/>
  <c r="K92" i="19"/>
  <c r="J92" i="19"/>
  <c r="S91" i="19"/>
  <c r="R91" i="19"/>
  <c r="Q91" i="19"/>
  <c r="P91" i="19"/>
  <c r="O91" i="19"/>
  <c r="N91" i="19"/>
  <c r="M91" i="19"/>
  <c r="L91" i="19"/>
  <c r="K91" i="19"/>
  <c r="J91" i="19"/>
  <c r="S90" i="19"/>
  <c r="R90" i="19"/>
  <c r="Q90" i="19"/>
  <c r="P90" i="19"/>
  <c r="O90" i="19"/>
  <c r="N90" i="19"/>
  <c r="M90" i="19"/>
  <c r="L90" i="19"/>
  <c r="K90" i="19"/>
  <c r="J90" i="19"/>
  <c r="S89" i="19"/>
  <c r="R89" i="19"/>
  <c r="Q89" i="19"/>
  <c r="P89" i="19"/>
  <c r="O89" i="19"/>
  <c r="N89" i="19"/>
  <c r="M89" i="19"/>
  <c r="L89" i="19"/>
  <c r="K89" i="19"/>
  <c r="J89" i="19"/>
  <c r="S88" i="19"/>
  <c r="R88" i="19"/>
  <c r="Q88" i="19"/>
  <c r="P88" i="19"/>
  <c r="O88" i="19"/>
  <c r="N88" i="19"/>
  <c r="M88" i="19"/>
  <c r="L88" i="19"/>
  <c r="K88" i="19"/>
  <c r="J88" i="19"/>
  <c r="S87" i="19"/>
  <c r="R87" i="19"/>
  <c r="Q87" i="19"/>
  <c r="P87" i="19"/>
  <c r="O87" i="19"/>
  <c r="N87" i="19"/>
  <c r="M87" i="19"/>
  <c r="L87" i="19"/>
  <c r="K87" i="19"/>
  <c r="J87" i="19"/>
  <c r="S86" i="19"/>
  <c r="R86" i="19"/>
  <c r="Q86" i="19"/>
  <c r="P86" i="19"/>
  <c r="O86" i="19"/>
  <c r="N86" i="19"/>
  <c r="M86" i="19"/>
  <c r="L86" i="19"/>
  <c r="K86" i="19"/>
  <c r="J86" i="19"/>
  <c r="S85" i="19"/>
  <c r="R85" i="19"/>
  <c r="Q85" i="19"/>
  <c r="P85" i="19"/>
  <c r="O85" i="19"/>
  <c r="N85" i="19"/>
  <c r="M85" i="19"/>
  <c r="L85" i="19"/>
  <c r="K85" i="19"/>
  <c r="J85" i="19"/>
  <c r="S84" i="19"/>
  <c r="R84" i="19"/>
  <c r="Q84" i="19"/>
  <c r="P84" i="19"/>
  <c r="O84" i="19"/>
  <c r="N84" i="19"/>
  <c r="M84" i="19"/>
  <c r="L84" i="19"/>
  <c r="K84" i="19"/>
  <c r="J84" i="19"/>
  <c r="S83" i="19"/>
  <c r="R83" i="19"/>
  <c r="Q83" i="19"/>
  <c r="P83" i="19"/>
  <c r="O83" i="19"/>
  <c r="N83" i="19"/>
  <c r="M83" i="19"/>
  <c r="L83" i="19"/>
  <c r="K83" i="19"/>
  <c r="J83" i="19"/>
  <c r="S82" i="19"/>
  <c r="R82" i="19"/>
  <c r="Q82" i="19"/>
  <c r="P82" i="19"/>
  <c r="O82" i="19"/>
  <c r="N82" i="19"/>
  <c r="M82" i="19"/>
  <c r="L82" i="19"/>
  <c r="K82" i="19"/>
  <c r="J82" i="19"/>
  <c r="S81" i="19"/>
  <c r="R81" i="19"/>
  <c r="Q81" i="19"/>
  <c r="P81" i="19"/>
  <c r="O81" i="19"/>
  <c r="N81" i="19"/>
  <c r="M81" i="19"/>
  <c r="L81" i="19"/>
  <c r="K81" i="19"/>
  <c r="J81" i="19"/>
  <c r="S80" i="19"/>
  <c r="R80" i="19"/>
  <c r="Q80" i="19"/>
  <c r="P80" i="19"/>
  <c r="O80" i="19"/>
  <c r="N80" i="19"/>
  <c r="M80" i="19"/>
  <c r="L80" i="19"/>
  <c r="K80" i="19"/>
  <c r="J80" i="19"/>
  <c r="S79" i="19"/>
  <c r="R79" i="19"/>
  <c r="Q79" i="19"/>
  <c r="P79" i="19"/>
  <c r="O79" i="19"/>
  <c r="N79" i="19"/>
  <c r="M79" i="19"/>
  <c r="L79" i="19"/>
  <c r="K79" i="19"/>
  <c r="J79" i="19"/>
  <c r="S78" i="19"/>
  <c r="R78" i="19"/>
  <c r="Q78" i="19"/>
  <c r="P78" i="19"/>
  <c r="O78" i="19"/>
  <c r="N78" i="19"/>
  <c r="M78" i="19"/>
  <c r="L78" i="19"/>
  <c r="K78" i="19"/>
  <c r="J78" i="19"/>
  <c r="S77" i="19"/>
  <c r="R77" i="19"/>
  <c r="Q77" i="19"/>
  <c r="P77" i="19"/>
  <c r="O77" i="19"/>
  <c r="N77" i="19"/>
  <c r="M77" i="19"/>
  <c r="L77" i="19"/>
  <c r="K77" i="19"/>
  <c r="J77" i="19"/>
  <c r="S76" i="19"/>
  <c r="R76" i="19"/>
  <c r="Q76" i="19"/>
  <c r="P76" i="19"/>
  <c r="O76" i="19"/>
  <c r="N76" i="19"/>
  <c r="M76" i="19"/>
  <c r="L76" i="19"/>
  <c r="K76" i="19"/>
  <c r="J76" i="19"/>
  <c r="S75" i="19"/>
  <c r="R75" i="19"/>
  <c r="Q75" i="19"/>
  <c r="P75" i="19"/>
  <c r="O75" i="19"/>
  <c r="N75" i="19"/>
  <c r="M75" i="19"/>
  <c r="L75" i="19"/>
  <c r="K75" i="19"/>
  <c r="J75" i="19"/>
  <c r="S74" i="19"/>
  <c r="R74" i="19"/>
  <c r="Q74" i="19"/>
  <c r="P74" i="19"/>
  <c r="O74" i="19"/>
  <c r="N74" i="19"/>
  <c r="M74" i="19"/>
  <c r="L74" i="19"/>
  <c r="K74" i="19"/>
  <c r="J74" i="19"/>
  <c r="S73" i="19"/>
  <c r="R73" i="19"/>
  <c r="Q73" i="19"/>
  <c r="P73" i="19"/>
  <c r="O73" i="19"/>
  <c r="N73" i="19"/>
  <c r="M73" i="19"/>
  <c r="L73" i="19"/>
  <c r="K73" i="19"/>
  <c r="J73" i="19"/>
  <c r="S96" i="18"/>
  <c r="R96" i="18"/>
  <c r="Q96" i="18"/>
  <c r="P96" i="18"/>
  <c r="O96" i="18"/>
  <c r="N96" i="18"/>
  <c r="M96" i="18"/>
  <c r="L96" i="18"/>
  <c r="K96" i="18"/>
  <c r="J96" i="18"/>
  <c r="S95" i="18"/>
  <c r="R95" i="18"/>
  <c r="Q95" i="18"/>
  <c r="P95" i="18"/>
  <c r="O95" i="18"/>
  <c r="N95" i="18"/>
  <c r="M95" i="18"/>
  <c r="L95" i="18"/>
  <c r="K95" i="18"/>
  <c r="J95" i="18"/>
  <c r="S94" i="18"/>
  <c r="R94" i="18"/>
  <c r="Q94" i="18"/>
  <c r="P94" i="18"/>
  <c r="O94" i="18"/>
  <c r="N94" i="18"/>
  <c r="M94" i="18"/>
  <c r="L94" i="18"/>
  <c r="K94" i="18"/>
  <c r="J94" i="18"/>
  <c r="S93" i="18"/>
  <c r="R93" i="18"/>
  <c r="Q93" i="18"/>
  <c r="P93" i="18"/>
  <c r="O93" i="18"/>
  <c r="N93" i="18"/>
  <c r="M93" i="18"/>
  <c r="L93" i="18"/>
  <c r="K93" i="18"/>
  <c r="J93" i="18"/>
  <c r="S92" i="18"/>
  <c r="R92" i="18"/>
  <c r="Q92" i="18"/>
  <c r="P92" i="18"/>
  <c r="O92" i="18"/>
  <c r="N92" i="18"/>
  <c r="M92" i="18"/>
  <c r="L92" i="18"/>
  <c r="K92" i="18"/>
  <c r="J92" i="18"/>
  <c r="S91" i="18"/>
  <c r="R91" i="18"/>
  <c r="Q91" i="18"/>
  <c r="P91" i="18"/>
  <c r="O91" i="18"/>
  <c r="N91" i="18"/>
  <c r="M91" i="18"/>
  <c r="L91" i="18"/>
  <c r="K91" i="18"/>
  <c r="J91" i="18"/>
  <c r="S90" i="18"/>
  <c r="R90" i="18"/>
  <c r="Q90" i="18"/>
  <c r="P90" i="18"/>
  <c r="O90" i="18"/>
  <c r="N90" i="18"/>
  <c r="M90" i="18"/>
  <c r="L90" i="18"/>
  <c r="K90" i="18"/>
  <c r="J90" i="18"/>
  <c r="S89" i="18"/>
  <c r="R89" i="18"/>
  <c r="Q89" i="18"/>
  <c r="P89" i="18"/>
  <c r="O89" i="18"/>
  <c r="N89" i="18"/>
  <c r="M89" i="18"/>
  <c r="L89" i="18"/>
  <c r="K89" i="18"/>
  <c r="J89" i="18"/>
  <c r="S88" i="18"/>
  <c r="R88" i="18"/>
  <c r="Q88" i="18"/>
  <c r="P88" i="18"/>
  <c r="O88" i="18"/>
  <c r="N88" i="18"/>
  <c r="M88" i="18"/>
  <c r="L88" i="18"/>
  <c r="K88" i="18"/>
  <c r="J88" i="18"/>
  <c r="S87" i="18"/>
  <c r="R87" i="18"/>
  <c r="Q87" i="18"/>
  <c r="P87" i="18"/>
  <c r="O87" i="18"/>
  <c r="N87" i="18"/>
  <c r="M87" i="18"/>
  <c r="L87" i="18"/>
  <c r="K87" i="18"/>
  <c r="J87" i="18"/>
  <c r="S86" i="18"/>
  <c r="R86" i="18"/>
  <c r="Q86" i="18"/>
  <c r="P86" i="18"/>
  <c r="O86" i="18"/>
  <c r="N86" i="18"/>
  <c r="M86" i="18"/>
  <c r="L86" i="18"/>
  <c r="K86" i="18"/>
  <c r="J86" i="18"/>
  <c r="S85" i="18"/>
  <c r="R85" i="18"/>
  <c r="Q85" i="18"/>
  <c r="P85" i="18"/>
  <c r="O85" i="18"/>
  <c r="N85" i="18"/>
  <c r="M85" i="18"/>
  <c r="L85" i="18"/>
  <c r="K85" i="18"/>
  <c r="J85" i="18"/>
  <c r="S84" i="18"/>
  <c r="R84" i="18"/>
  <c r="Q84" i="18"/>
  <c r="P84" i="18"/>
  <c r="O84" i="18"/>
  <c r="N84" i="18"/>
  <c r="M84" i="18"/>
  <c r="L84" i="18"/>
  <c r="K84" i="18"/>
  <c r="J84" i="18"/>
  <c r="S83" i="18"/>
  <c r="R83" i="18"/>
  <c r="Q83" i="18"/>
  <c r="P83" i="18"/>
  <c r="O83" i="18"/>
  <c r="N83" i="18"/>
  <c r="M83" i="18"/>
  <c r="L83" i="18"/>
  <c r="K83" i="18"/>
  <c r="J83" i="18"/>
  <c r="S82" i="18"/>
  <c r="R82" i="18"/>
  <c r="Q82" i="18"/>
  <c r="P82" i="18"/>
  <c r="O82" i="18"/>
  <c r="N82" i="18"/>
  <c r="M82" i="18"/>
  <c r="L82" i="18"/>
  <c r="K82" i="18"/>
  <c r="J82" i="18"/>
  <c r="S81" i="18"/>
  <c r="R81" i="18"/>
  <c r="Q81" i="18"/>
  <c r="P81" i="18"/>
  <c r="O81" i="18"/>
  <c r="N81" i="18"/>
  <c r="M81" i="18"/>
  <c r="L81" i="18"/>
  <c r="K81" i="18"/>
  <c r="J81" i="18"/>
  <c r="S80" i="18"/>
  <c r="R80" i="18"/>
  <c r="Q80" i="18"/>
  <c r="P80" i="18"/>
  <c r="O80" i="18"/>
  <c r="N80" i="18"/>
  <c r="M80" i="18"/>
  <c r="L80" i="18"/>
  <c r="K80" i="18"/>
  <c r="J80" i="18"/>
  <c r="S79" i="18"/>
  <c r="R79" i="18"/>
  <c r="Q79" i="18"/>
  <c r="P79" i="18"/>
  <c r="O79" i="18"/>
  <c r="N79" i="18"/>
  <c r="M79" i="18"/>
  <c r="L79" i="18"/>
  <c r="K79" i="18"/>
  <c r="J79" i="18"/>
  <c r="S78" i="18"/>
  <c r="R78" i="18"/>
  <c r="Q78" i="18"/>
  <c r="P78" i="18"/>
  <c r="O78" i="18"/>
  <c r="N78" i="18"/>
  <c r="M78" i="18"/>
  <c r="L78" i="18"/>
  <c r="K78" i="18"/>
  <c r="J78" i="18"/>
  <c r="S77" i="18"/>
  <c r="R77" i="18"/>
  <c r="Q77" i="18"/>
  <c r="P77" i="18"/>
  <c r="O77" i="18"/>
  <c r="N77" i="18"/>
  <c r="M77" i="18"/>
  <c r="L77" i="18"/>
  <c r="K77" i="18"/>
  <c r="J77" i="18"/>
  <c r="S76" i="18"/>
  <c r="R76" i="18"/>
  <c r="Q76" i="18"/>
  <c r="P76" i="18"/>
  <c r="O76" i="18"/>
  <c r="N76" i="18"/>
  <c r="M76" i="18"/>
  <c r="L76" i="18"/>
  <c r="K76" i="18"/>
  <c r="J76" i="18"/>
  <c r="S75" i="18"/>
  <c r="R75" i="18"/>
  <c r="Q75" i="18"/>
  <c r="P75" i="18"/>
  <c r="O75" i="18"/>
  <c r="N75" i="18"/>
  <c r="M75" i="18"/>
  <c r="L75" i="18"/>
  <c r="K75" i="18"/>
  <c r="J75" i="18"/>
  <c r="S74" i="18"/>
  <c r="R74" i="18"/>
  <c r="Q74" i="18"/>
  <c r="P74" i="18"/>
  <c r="O74" i="18"/>
  <c r="N74" i="18"/>
  <c r="M74" i="18"/>
  <c r="L74" i="18"/>
  <c r="K74" i="18"/>
  <c r="J74" i="18"/>
  <c r="S73" i="18"/>
  <c r="R73" i="18"/>
  <c r="Q73" i="18"/>
  <c r="P73" i="18"/>
  <c r="O73" i="18"/>
  <c r="N73" i="18"/>
  <c r="M73" i="18"/>
  <c r="L73" i="18"/>
  <c r="K73" i="18"/>
  <c r="J73" i="18"/>
  <c r="S96" i="17"/>
  <c r="R96" i="17"/>
  <c r="Q96" i="17"/>
  <c r="P96" i="17"/>
  <c r="O96" i="17"/>
  <c r="N96" i="17"/>
  <c r="M96" i="17"/>
  <c r="L96" i="17"/>
  <c r="K96" i="17"/>
  <c r="J96" i="17"/>
  <c r="S95" i="17"/>
  <c r="R95" i="17"/>
  <c r="Q95" i="17"/>
  <c r="P95" i="17"/>
  <c r="O95" i="17"/>
  <c r="N95" i="17"/>
  <c r="M95" i="17"/>
  <c r="L95" i="17"/>
  <c r="K95" i="17"/>
  <c r="J95" i="17"/>
  <c r="S94" i="17"/>
  <c r="R94" i="17"/>
  <c r="Q94" i="17"/>
  <c r="P94" i="17"/>
  <c r="O94" i="17"/>
  <c r="N94" i="17"/>
  <c r="M94" i="17"/>
  <c r="L94" i="17"/>
  <c r="K94" i="17"/>
  <c r="J94" i="17"/>
  <c r="S93" i="17"/>
  <c r="R93" i="17"/>
  <c r="Q93" i="17"/>
  <c r="P93" i="17"/>
  <c r="O93" i="17"/>
  <c r="N93" i="17"/>
  <c r="M93" i="17"/>
  <c r="L93" i="17"/>
  <c r="K93" i="17"/>
  <c r="J93" i="17"/>
  <c r="S92" i="17"/>
  <c r="R92" i="17"/>
  <c r="Q92" i="17"/>
  <c r="P92" i="17"/>
  <c r="O92" i="17"/>
  <c r="N92" i="17"/>
  <c r="M92" i="17"/>
  <c r="L92" i="17"/>
  <c r="K92" i="17"/>
  <c r="J92" i="17"/>
  <c r="S91" i="17"/>
  <c r="R91" i="17"/>
  <c r="Q91" i="17"/>
  <c r="P91" i="17"/>
  <c r="O91" i="17"/>
  <c r="N91" i="17"/>
  <c r="M91" i="17"/>
  <c r="L91" i="17"/>
  <c r="K91" i="17"/>
  <c r="J91" i="17"/>
  <c r="S90" i="17"/>
  <c r="R90" i="17"/>
  <c r="Q90" i="17"/>
  <c r="P90" i="17"/>
  <c r="O90" i="17"/>
  <c r="N90" i="17"/>
  <c r="M90" i="17"/>
  <c r="L90" i="17"/>
  <c r="K90" i="17"/>
  <c r="J90" i="17"/>
  <c r="S89" i="17"/>
  <c r="R89" i="17"/>
  <c r="Q89" i="17"/>
  <c r="P89" i="17"/>
  <c r="O89" i="17"/>
  <c r="N89" i="17"/>
  <c r="M89" i="17"/>
  <c r="L89" i="17"/>
  <c r="K89" i="17"/>
  <c r="J89" i="17"/>
  <c r="S88" i="17"/>
  <c r="R88" i="17"/>
  <c r="Q88" i="17"/>
  <c r="P88" i="17"/>
  <c r="O88" i="17"/>
  <c r="N88" i="17"/>
  <c r="M88" i="17"/>
  <c r="L88" i="17"/>
  <c r="K88" i="17"/>
  <c r="J88" i="17"/>
  <c r="S87" i="17"/>
  <c r="R87" i="17"/>
  <c r="Q87" i="17"/>
  <c r="P87" i="17"/>
  <c r="O87" i="17"/>
  <c r="N87" i="17"/>
  <c r="M87" i="17"/>
  <c r="L87" i="17"/>
  <c r="K87" i="17"/>
  <c r="J87" i="17"/>
  <c r="S86" i="17"/>
  <c r="R86" i="17"/>
  <c r="Q86" i="17"/>
  <c r="P86" i="17"/>
  <c r="O86" i="17"/>
  <c r="N86" i="17"/>
  <c r="M86" i="17"/>
  <c r="L86" i="17"/>
  <c r="K86" i="17"/>
  <c r="J86" i="17"/>
  <c r="S85" i="17"/>
  <c r="R85" i="17"/>
  <c r="Q85" i="17"/>
  <c r="P85" i="17"/>
  <c r="O85" i="17"/>
  <c r="N85" i="17"/>
  <c r="M85" i="17"/>
  <c r="L85" i="17"/>
  <c r="K85" i="17"/>
  <c r="J85" i="17"/>
  <c r="S84" i="17"/>
  <c r="R84" i="17"/>
  <c r="Q84" i="17"/>
  <c r="P84" i="17"/>
  <c r="O84" i="17"/>
  <c r="N84" i="17"/>
  <c r="M84" i="17"/>
  <c r="L84" i="17"/>
  <c r="K84" i="17"/>
  <c r="J84" i="17"/>
  <c r="S83" i="17"/>
  <c r="R83" i="17"/>
  <c r="Q83" i="17"/>
  <c r="P83" i="17"/>
  <c r="O83" i="17"/>
  <c r="N83" i="17"/>
  <c r="M83" i="17"/>
  <c r="L83" i="17"/>
  <c r="K83" i="17"/>
  <c r="J83" i="17"/>
  <c r="S82" i="17"/>
  <c r="R82" i="17"/>
  <c r="Q82" i="17"/>
  <c r="P82" i="17"/>
  <c r="O82" i="17"/>
  <c r="N82" i="17"/>
  <c r="M82" i="17"/>
  <c r="L82" i="17"/>
  <c r="K82" i="17"/>
  <c r="J82" i="17"/>
  <c r="S81" i="17"/>
  <c r="R81" i="17"/>
  <c r="Q81" i="17"/>
  <c r="P81" i="17"/>
  <c r="O81" i="17"/>
  <c r="N81" i="17"/>
  <c r="M81" i="17"/>
  <c r="L81" i="17"/>
  <c r="K81" i="17"/>
  <c r="J81" i="17"/>
  <c r="S80" i="17"/>
  <c r="R80" i="17"/>
  <c r="Q80" i="17"/>
  <c r="P80" i="17"/>
  <c r="O80" i="17"/>
  <c r="N80" i="17"/>
  <c r="M80" i="17"/>
  <c r="L80" i="17"/>
  <c r="K80" i="17"/>
  <c r="J80" i="17"/>
  <c r="S79" i="17"/>
  <c r="R79" i="17"/>
  <c r="Q79" i="17"/>
  <c r="P79" i="17"/>
  <c r="O79" i="17"/>
  <c r="N79" i="17"/>
  <c r="M79" i="17"/>
  <c r="L79" i="17"/>
  <c r="K79" i="17"/>
  <c r="J79" i="17"/>
  <c r="S78" i="17"/>
  <c r="R78" i="17"/>
  <c r="Q78" i="17"/>
  <c r="P78" i="17"/>
  <c r="O78" i="17"/>
  <c r="N78" i="17"/>
  <c r="M78" i="17"/>
  <c r="L78" i="17"/>
  <c r="K78" i="17"/>
  <c r="J78" i="17"/>
  <c r="S77" i="17"/>
  <c r="R77" i="17"/>
  <c r="Q77" i="17"/>
  <c r="P77" i="17"/>
  <c r="O77" i="17"/>
  <c r="N77" i="17"/>
  <c r="M77" i="17"/>
  <c r="L77" i="17"/>
  <c r="K77" i="17"/>
  <c r="J77" i="17"/>
  <c r="S76" i="17"/>
  <c r="R76" i="17"/>
  <c r="Q76" i="17"/>
  <c r="P76" i="17"/>
  <c r="O76" i="17"/>
  <c r="N76" i="17"/>
  <c r="M76" i="17"/>
  <c r="L76" i="17"/>
  <c r="K76" i="17"/>
  <c r="J76" i="17"/>
  <c r="S75" i="17"/>
  <c r="R75" i="17"/>
  <c r="Q75" i="17"/>
  <c r="P75" i="17"/>
  <c r="O75" i="17"/>
  <c r="N75" i="17"/>
  <c r="M75" i="17"/>
  <c r="L75" i="17"/>
  <c r="K75" i="17"/>
  <c r="J75" i="17"/>
  <c r="S74" i="17"/>
  <c r="R74" i="17"/>
  <c r="Q74" i="17"/>
  <c r="P74" i="17"/>
  <c r="O74" i="17"/>
  <c r="N74" i="17"/>
  <c r="M74" i="17"/>
  <c r="L74" i="17"/>
  <c r="K74" i="17"/>
  <c r="J74" i="17"/>
  <c r="S73" i="17"/>
  <c r="R73" i="17"/>
  <c r="Q73" i="17"/>
  <c r="P73" i="17"/>
  <c r="O73" i="17"/>
  <c r="N73" i="17"/>
  <c r="M73" i="17"/>
  <c r="L73" i="17"/>
  <c r="K73" i="17"/>
  <c r="J73" i="17"/>
  <c r="S96" i="15"/>
  <c r="R96" i="15"/>
  <c r="Q96" i="15"/>
  <c r="P96" i="15"/>
  <c r="O96" i="15"/>
  <c r="N96" i="15"/>
  <c r="M96" i="15"/>
  <c r="L96" i="15"/>
  <c r="K96" i="15"/>
  <c r="J96" i="15"/>
  <c r="S95" i="15"/>
  <c r="R95" i="15"/>
  <c r="Q95" i="15"/>
  <c r="P95" i="15"/>
  <c r="O95" i="15"/>
  <c r="N95" i="15"/>
  <c r="M95" i="15"/>
  <c r="L95" i="15"/>
  <c r="K95" i="15"/>
  <c r="J95" i="15"/>
  <c r="S94" i="15"/>
  <c r="R94" i="15"/>
  <c r="Q94" i="15"/>
  <c r="P94" i="15"/>
  <c r="O94" i="15"/>
  <c r="N94" i="15"/>
  <c r="M94" i="15"/>
  <c r="L94" i="15"/>
  <c r="K94" i="15"/>
  <c r="J94" i="15"/>
  <c r="S93" i="15"/>
  <c r="R93" i="15"/>
  <c r="Q93" i="15"/>
  <c r="P93" i="15"/>
  <c r="O93" i="15"/>
  <c r="N93" i="15"/>
  <c r="M93" i="15"/>
  <c r="L93" i="15"/>
  <c r="K93" i="15"/>
  <c r="J93" i="15"/>
  <c r="S92" i="15"/>
  <c r="R92" i="15"/>
  <c r="Q92" i="15"/>
  <c r="P92" i="15"/>
  <c r="O92" i="15"/>
  <c r="N92" i="15"/>
  <c r="M92" i="15"/>
  <c r="L92" i="15"/>
  <c r="K92" i="15"/>
  <c r="J92" i="15"/>
  <c r="S91" i="15"/>
  <c r="R91" i="15"/>
  <c r="Q91" i="15"/>
  <c r="P91" i="15"/>
  <c r="O91" i="15"/>
  <c r="N91" i="15"/>
  <c r="M91" i="15"/>
  <c r="L91" i="15"/>
  <c r="K91" i="15"/>
  <c r="J91" i="15"/>
  <c r="S90" i="15"/>
  <c r="R90" i="15"/>
  <c r="Q90" i="15"/>
  <c r="P90" i="15"/>
  <c r="O90" i="15"/>
  <c r="N90" i="15"/>
  <c r="M90" i="15"/>
  <c r="L90" i="15"/>
  <c r="K90" i="15"/>
  <c r="J90" i="15"/>
  <c r="S89" i="15"/>
  <c r="R89" i="15"/>
  <c r="Q89" i="15"/>
  <c r="P89" i="15"/>
  <c r="O89" i="15"/>
  <c r="N89" i="15"/>
  <c r="M89" i="15"/>
  <c r="L89" i="15"/>
  <c r="K89" i="15"/>
  <c r="J89" i="15"/>
  <c r="S88" i="15"/>
  <c r="R88" i="15"/>
  <c r="Q88" i="15"/>
  <c r="P88" i="15"/>
  <c r="O88" i="15"/>
  <c r="N88" i="15"/>
  <c r="M88" i="15"/>
  <c r="L88" i="15"/>
  <c r="K88" i="15"/>
  <c r="J88" i="15"/>
  <c r="S87" i="15"/>
  <c r="R87" i="15"/>
  <c r="Q87" i="15"/>
  <c r="P87" i="15"/>
  <c r="O87" i="15"/>
  <c r="N87" i="15"/>
  <c r="M87" i="15"/>
  <c r="L87" i="15"/>
  <c r="K87" i="15"/>
  <c r="J87" i="15"/>
  <c r="S86" i="15"/>
  <c r="R86" i="15"/>
  <c r="Q86" i="15"/>
  <c r="P86" i="15"/>
  <c r="O86" i="15"/>
  <c r="N86" i="15"/>
  <c r="M86" i="15"/>
  <c r="L86" i="15"/>
  <c r="K86" i="15"/>
  <c r="J86" i="15"/>
  <c r="S85" i="15"/>
  <c r="R85" i="15"/>
  <c r="Q85" i="15"/>
  <c r="P85" i="15"/>
  <c r="O85" i="15"/>
  <c r="N85" i="15"/>
  <c r="M85" i="15"/>
  <c r="L85" i="15"/>
  <c r="K85" i="15"/>
  <c r="J85" i="15"/>
  <c r="S84" i="15"/>
  <c r="R84" i="15"/>
  <c r="Q84" i="15"/>
  <c r="P84" i="15"/>
  <c r="O84" i="15"/>
  <c r="N84" i="15"/>
  <c r="M84" i="15"/>
  <c r="L84" i="15"/>
  <c r="K84" i="15"/>
  <c r="J84" i="15"/>
  <c r="S83" i="15"/>
  <c r="R83" i="15"/>
  <c r="Q83" i="15"/>
  <c r="P83" i="15"/>
  <c r="O83" i="15"/>
  <c r="N83" i="15"/>
  <c r="M83" i="15"/>
  <c r="L83" i="15"/>
  <c r="K83" i="15"/>
  <c r="J83" i="15"/>
  <c r="S82" i="15"/>
  <c r="R82" i="15"/>
  <c r="Q82" i="15"/>
  <c r="P82" i="15"/>
  <c r="O82" i="15"/>
  <c r="N82" i="15"/>
  <c r="M82" i="15"/>
  <c r="L82" i="15"/>
  <c r="K82" i="15"/>
  <c r="J82" i="15"/>
  <c r="S81" i="15"/>
  <c r="R81" i="15"/>
  <c r="Q81" i="15"/>
  <c r="P81" i="15"/>
  <c r="O81" i="15"/>
  <c r="N81" i="15"/>
  <c r="M81" i="15"/>
  <c r="L81" i="15"/>
  <c r="K81" i="15"/>
  <c r="J81" i="15"/>
  <c r="S80" i="15"/>
  <c r="R80" i="15"/>
  <c r="Q80" i="15"/>
  <c r="P80" i="15"/>
  <c r="O80" i="15"/>
  <c r="N80" i="15"/>
  <c r="M80" i="15"/>
  <c r="L80" i="15"/>
  <c r="K80" i="15"/>
  <c r="J80" i="15"/>
  <c r="S79" i="15"/>
  <c r="R79" i="15"/>
  <c r="Q79" i="15"/>
  <c r="P79" i="15"/>
  <c r="O79" i="15"/>
  <c r="N79" i="15"/>
  <c r="M79" i="15"/>
  <c r="L79" i="15"/>
  <c r="K79" i="15"/>
  <c r="J79" i="15"/>
  <c r="S78" i="15"/>
  <c r="R78" i="15"/>
  <c r="Q78" i="15"/>
  <c r="P78" i="15"/>
  <c r="O78" i="15"/>
  <c r="N78" i="15"/>
  <c r="M78" i="15"/>
  <c r="L78" i="15"/>
  <c r="K78" i="15"/>
  <c r="J78" i="15"/>
  <c r="S77" i="15"/>
  <c r="R77" i="15"/>
  <c r="Q77" i="15"/>
  <c r="P77" i="15"/>
  <c r="O77" i="15"/>
  <c r="N77" i="15"/>
  <c r="M77" i="15"/>
  <c r="L77" i="15"/>
  <c r="K77" i="15"/>
  <c r="J77" i="15"/>
  <c r="S76" i="15"/>
  <c r="R76" i="15"/>
  <c r="Q76" i="15"/>
  <c r="P76" i="15"/>
  <c r="O76" i="15"/>
  <c r="N76" i="15"/>
  <c r="M76" i="15"/>
  <c r="L76" i="15"/>
  <c r="K76" i="15"/>
  <c r="J76" i="15"/>
  <c r="S75" i="15"/>
  <c r="R75" i="15"/>
  <c r="Q75" i="15"/>
  <c r="P75" i="15"/>
  <c r="O75" i="15"/>
  <c r="N75" i="15"/>
  <c r="M75" i="15"/>
  <c r="L75" i="15"/>
  <c r="K75" i="15"/>
  <c r="J75" i="15"/>
  <c r="S74" i="15"/>
  <c r="R74" i="15"/>
  <c r="Q74" i="15"/>
  <c r="P74" i="15"/>
  <c r="O74" i="15"/>
  <c r="N74" i="15"/>
  <c r="M74" i="15"/>
  <c r="L74" i="15"/>
  <c r="K74" i="15"/>
  <c r="J74" i="15"/>
  <c r="S73" i="15"/>
  <c r="R73" i="15"/>
  <c r="Q73" i="15"/>
  <c r="P73" i="15"/>
  <c r="O73" i="15"/>
  <c r="N73" i="15"/>
  <c r="M73" i="15"/>
  <c r="L73" i="15"/>
  <c r="K73" i="15"/>
  <c r="J73" i="15"/>
  <c r="S96" i="14"/>
  <c r="R96" i="14"/>
  <c r="Q96" i="14"/>
  <c r="P96" i="14"/>
  <c r="O96" i="14"/>
  <c r="N96" i="14"/>
  <c r="M96" i="14"/>
  <c r="L96" i="14"/>
  <c r="K96" i="14"/>
  <c r="J96" i="14"/>
  <c r="S95" i="14"/>
  <c r="R95" i="14"/>
  <c r="Q95" i="14"/>
  <c r="P95" i="14"/>
  <c r="O95" i="14"/>
  <c r="N95" i="14"/>
  <c r="M95" i="14"/>
  <c r="L95" i="14"/>
  <c r="K95" i="14"/>
  <c r="J95" i="14"/>
  <c r="S94" i="14"/>
  <c r="R94" i="14"/>
  <c r="Q94" i="14"/>
  <c r="P94" i="14"/>
  <c r="O94" i="14"/>
  <c r="N94" i="14"/>
  <c r="M94" i="14"/>
  <c r="L94" i="14"/>
  <c r="K94" i="14"/>
  <c r="J94" i="14"/>
  <c r="S93" i="14"/>
  <c r="R93" i="14"/>
  <c r="Q93" i="14"/>
  <c r="P93" i="14"/>
  <c r="O93" i="14"/>
  <c r="N93" i="14"/>
  <c r="M93" i="14"/>
  <c r="L93" i="14"/>
  <c r="K93" i="14"/>
  <c r="J93" i="14"/>
  <c r="S92" i="14"/>
  <c r="R92" i="14"/>
  <c r="Q92" i="14"/>
  <c r="P92" i="14"/>
  <c r="O92" i="14"/>
  <c r="N92" i="14"/>
  <c r="M92" i="14"/>
  <c r="L92" i="14"/>
  <c r="K92" i="14"/>
  <c r="J92" i="14"/>
  <c r="S91" i="14"/>
  <c r="R91" i="14"/>
  <c r="Q91" i="14"/>
  <c r="P91" i="14"/>
  <c r="O91" i="14"/>
  <c r="N91" i="14"/>
  <c r="M91" i="14"/>
  <c r="L91" i="14"/>
  <c r="K91" i="14"/>
  <c r="J91" i="14"/>
  <c r="S90" i="14"/>
  <c r="R90" i="14"/>
  <c r="Q90" i="14"/>
  <c r="P90" i="14"/>
  <c r="O90" i="14"/>
  <c r="N90" i="14"/>
  <c r="M90" i="14"/>
  <c r="L90" i="14"/>
  <c r="K90" i="14"/>
  <c r="J90" i="14"/>
  <c r="S89" i="14"/>
  <c r="R89" i="14"/>
  <c r="Q89" i="14"/>
  <c r="P89" i="14"/>
  <c r="O89" i="14"/>
  <c r="N89" i="14"/>
  <c r="M89" i="14"/>
  <c r="L89" i="14"/>
  <c r="K89" i="14"/>
  <c r="J89" i="14"/>
  <c r="S88" i="14"/>
  <c r="R88" i="14"/>
  <c r="Q88" i="14"/>
  <c r="P88" i="14"/>
  <c r="O88" i="14"/>
  <c r="N88" i="14"/>
  <c r="M88" i="14"/>
  <c r="L88" i="14"/>
  <c r="K88" i="14"/>
  <c r="J88" i="14"/>
  <c r="S87" i="14"/>
  <c r="R87" i="14"/>
  <c r="Q87" i="14"/>
  <c r="P87" i="14"/>
  <c r="O87" i="14"/>
  <c r="N87" i="14"/>
  <c r="M87" i="14"/>
  <c r="L87" i="14"/>
  <c r="K87" i="14"/>
  <c r="J87" i="14"/>
  <c r="S86" i="14"/>
  <c r="R86" i="14"/>
  <c r="Q86" i="14"/>
  <c r="P86" i="14"/>
  <c r="O86" i="14"/>
  <c r="N86" i="14"/>
  <c r="M86" i="14"/>
  <c r="L86" i="14"/>
  <c r="K86" i="14"/>
  <c r="J86" i="14"/>
  <c r="S85" i="14"/>
  <c r="R85" i="14"/>
  <c r="Q85" i="14"/>
  <c r="P85" i="14"/>
  <c r="O85" i="14"/>
  <c r="N85" i="14"/>
  <c r="M85" i="14"/>
  <c r="L85" i="14"/>
  <c r="K85" i="14"/>
  <c r="J85" i="14"/>
  <c r="S84" i="14"/>
  <c r="R84" i="14"/>
  <c r="Q84" i="14"/>
  <c r="P84" i="14"/>
  <c r="O84" i="14"/>
  <c r="N84" i="14"/>
  <c r="M84" i="14"/>
  <c r="L84" i="14"/>
  <c r="K84" i="14"/>
  <c r="J84" i="14"/>
  <c r="S83" i="14"/>
  <c r="R83" i="14"/>
  <c r="Q83" i="14"/>
  <c r="P83" i="14"/>
  <c r="O83" i="14"/>
  <c r="N83" i="14"/>
  <c r="M83" i="14"/>
  <c r="L83" i="14"/>
  <c r="K83" i="14"/>
  <c r="J83" i="14"/>
  <c r="S82" i="14"/>
  <c r="R82" i="14"/>
  <c r="Q82" i="14"/>
  <c r="P82" i="14"/>
  <c r="O82" i="14"/>
  <c r="N82" i="14"/>
  <c r="M82" i="14"/>
  <c r="L82" i="14"/>
  <c r="K82" i="14"/>
  <c r="J82" i="14"/>
  <c r="S81" i="14"/>
  <c r="R81" i="14"/>
  <c r="Q81" i="14"/>
  <c r="P81" i="14"/>
  <c r="O81" i="14"/>
  <c r="N81" i="14"/>
  <c r="M81" i="14"/>
  <c r="L81" i="14"/>
  <c r="K81" i="14"/>
  <c r="J81" i="14"/>
  <c r="S80" i="14"/>
  <c r="R80" i="14"/>
  <c r="Q80" i="14"/>
  <c r="P80" i="14"/>
  <c r="O80" i="14"/>
  <c r="N80" i="14"/>
  <c r="M80" i="14"/>
  <c r="L80" i="14"/>
  <c r="K80" i="14"/>
  <c r="J80" i="14"/>
  <c r="S79" i="14"/>
  <c r="R79" i="14"/>
  <c r="Q79" i="14"/>
  <c r="P79" i="14"/>
  <c r="O79" i="14"/>
  <c r="N79" i="14"/>
  <c r="M79" i="14"/>
  <c r="L79" i="14"/>
  <c r="K79" i="14"/>
  <c r="J79" i="14"/>
  <c r="S78" i="14"/>
  <c r="R78" i="14"/>
  <c r="Q78" i="14"/>
  <c r="P78" i="14"/>
  <c r="O78" i="14"/>
  <c r="N78" i="14"/>
  <c r="M78" i="14"/>
  <c r="L78" i="14"/>
  <c r="K78" i="14"/>
  <c r="J78" i="14"/>
  <c r="S77" i="14"/>
  <c r="R77" i="14"/>
  <c r="Q77" i="14"/>
  <c r="P77" i="14"/>
  <c r="O77" i="14"/>
  <c r="N77" i="14"/>
  <c r="M77" i="14"/>
  <c r="L77" i="14"/>
  <c r="K77" i="14"/>
  <c r="J77" i="14"/>
  <c r="S76" i="14"/>
  <c r="R76" i="14"/>
  <c r="Q76" i="14"/>
  <c r="P76" i="14"/>
  <c r="O76" i="14"/>
  <c r="N76" i="14"/>
  <c r="M76" i="14"/>
  <c r="L76" i="14"/>
  <c r="K76" i="14"/>
  <c r="J76" i="14"/>
  <c r="S75" i="14"/>
  <c r="R75" i="14"/>
  <c r="Q75" i="14"/>
  <c r="P75" i="14"/>
  <c r="O75" i="14"/>
  <c r="N75" i="14"/>
  <c r="M75" i="14"/>
  <c r="L75" i="14"/>
  <c r="K75" i="14"/>
  <c r="J75" i="14"/>
  <c r="S74" i="14"/>
  <c r="R74" i="14"/>
  <c r="Q74" i="14"/>
  <c r="P74" i="14"/>
  <c r="O74" i="14"/>
  <c r="N74" i="14"/>
  <c r="M74" i="14"/>
  <c r="L74" i="14"/>
  <c r="K74" i="14"/>
  <c r="J74" i="14"/>
  <c r="S73" i="14"/>
  <c r="R73" i="14"/>
  <c r="Q73" i="14"/>
  <c r="P73" i="14"/>
  <c r="O73" i="14"/>
  <c r="N73" i="14"/>
  <c r="M73" i="14"/>
  <c r="L73" i="14"/>
  <c r="K73" i="14"/>
  <c r="J73" i="14"/>
  <c r="S96" i="13"/>
  <c r="R96" i="13"/>
  <c r="Q96" i="13"/>
  <c r="P96" i="13"/>
  <c r="O96" i="13"/>
  <c r="N96" i="13"/>
  <c r="M96" i="13"/>
  <c r="L96" i="13"/>
  <c r="K96" i="13"/>
  <c r="J96" i="13"/>
  <c r="S95" i="13"/>
  <c r="R95" i="13"/>
  <c r="Q95" i="13"/>
  <c r="P95" i="13"/>
  <c r="O95" i="13"/>
  <c r="N95" i="13"/>
  <c r="M95" i="13"/>
  <c r="L95" i="13"/>
  <c r="K95" i="13"/>
  <c r="J95" i="13"/>
  <c r="S94" i="13"/>
  <c r="R94" i="13"/>
  <c r="Q94" i="13"/>
  <c r="P94" i="13"/>
  <c r="O94" i="13"/>
  <c r="N94" i="13"/>
  <c r="M94" i="13"/>
  <c r="L94" i="13"/>
  <c r="K94" i="13"/>
  <c r="J94" i="13"/>
  <c r="S93" i="13"/>
  <c r="R93" i="13"/>
  <c r="Q93" i="13"/>
  <c r="P93" i="13"/>
  <c r="O93" i="13"/>
  <c r="N93" i="13"/>
  <c r="M93" i="13"/>
  <c r="L93" i="13"/>
  <c r="K93" i="13"/>
  <c r="J93" i="13"/>
  <c r="S92" i="13"/>
  <c r="R92" i="13"/>
  <c r="Q92" i="13"/>
  <c r="P92" i="13"/>
  <c r="O92" i="13"/>
  <c r="N92" i="13"/>
  <c r="M92" i="13"/>
  <c r="L92" i="13"/>
  <c r="K92" i="13"/>
  <c r="J92" i="13"/>
  <c r="S91" i="13"/>
  <c r="R91" i="13"/>
  <c r="Q91" i="13"/>
  <c r="P91" i="13"/>
  <c r="O91" i="13"/>
  <c r="N91" i="13"/>
  <c r="M91" i="13"/>
  <c r="L91" i="13"/>
  <c r="K91" i="13"/>
  <c r="J91" i="13"/>
  <c r="S90" i="13"/>
  <c r="R90" i="13"/>
  <c r="Q90" i="13"/>
  <c r="P90" i="13"/>
  <c r="O90" i="13"/>
  <c r="N90" i="13"/>
  <c r="M90" i="13"/>
  <c r="L90" i="13"/>
  <c r="K90" i="13"/>
  <c r="J90" i="13"/>
  <c r="S89" i="13"/>
  <c r="R89" i="13"/>
  <c r="Q89" i="13"/>
  <c r="P89" i="13"/>
  <c r="O89" i="13"/>
  <c r="N89" i="13"/>
  <c r="M89" i="13"/>
  <c r="L89" i="13"/>
  <c r="K89" i="13"/>
  <c r="J89" i="13"/>
  <c r="S88" i="13"/>
  <c r="R88" i="13"/>
  <c r="Q88" i="13"/>
  <c r="P88" i="13"/>
  <c r="O88" i="13"/>
  <c r="N88" i="13"/>
  <c r="M88" i="13"/>
  <c r="L88" i="13"/>
  <c r="K88" i="13"/>
  <c r="J88" i="13"/>
  <c r="S87" i="13"/>
  <c r="R87" i="13"/>
  <c r="Q87" i="13"/>
  <c r="P87" i="13"/>
  <c r="O87" i="13"/>
  <c r="N87" i="13"/>
  <c r="M87" i="13"/>
  <c r="L87" i="13"/>
  <c r="K87" i="13"/>
  <c r="J87" i="13"/>
  <c r="S86" i="13"/>
  <c r="R86" i="13"/>
  <c r="Q86" i="13"/>
  <c r="P86" i="13"/>
  <c r="O86" i="13"/>
  <c r="N86" i="13"/>
  <c r="M86" i="13"/>
  <c r="L86" i="13"/>
  <c r="K86" i="13"/>
  <c r="J86" i="13"/>
  <c r="S85" i="13"/>
  <c r="R85" i="13"/>
  <c r="Q85" i="13"/>
  <c r="P85" i="13"/>
  <c r="O85" i="13"/>
  <c r="N85" i="13"/>
  <c r="M85" i="13"/>
  <c r="L85" i="13"/>
  <c r="K85" i="13"/>
  <c r="J85" i="13"/>
  <c r="S84" i="13"/>
  <c r="R84" i="13"/>
  <c r="Q84" i="13"/>
  <c r="P84" i="13"/>
  <c r="O84" i="13"/>
  <c r="N84" i="13"/>
  <c r="M84" i="13"/>
  <c r="L84" i="13"/>
  <c r="K84" i="13"/>
  <c r="J84" i="13"/>
  <c r="S83" i="13"/>
  <c r="R83" i="13"/>
  <c r="Q83" i="13"/>
  <c r="P83" i="13"/>
  <c r="O83" i="13"/>
  <c r="N83" i="13"/>
  <c r="M83" i="13"/>
  <c r="L83" i="13"/>
  <c r="K83" i="13"/>
  <c r="J83" i="13"/>
  <c r="S82" i="13"/>
  <c r="R82" i="13"/>
  <c r="Q82" i="13"/>
  <c r="P82" i="13"/>
  <c r="O82" i="13"/>
  <c r="N82" i="13"/>
  <c r="M82" i="13"/>
  <c r="L82" i="13"/>
  <c r="K82" i="13"/>
  <c r="J82" i="13"/>
  <c r="S81" i="13"/>
  <c r="R81" i="13"/>
  <c r="Q81" i="13"/>
  <c r="P81" i="13"/>
  <c r="O81" i="13"/>
  <c r="N81" i="13"/>
  <c r="M81" i="13"/>
  <c r="L81" i="13"/>
  <c r="K81" i="13"/>
  <c r="J81" i="13"/>
  <c r="S80" i="13"/>
  <c r="R80" i="13"/>
  <c r="Q80" i="13"/>
  <c r="P80" i="13"/>
  <c r="O80" i="13"/>
  <c r="N80" i="13"/>
  <c r="M80" i="13"/>
  <c r="L80" i="13"/>
  <c r="K80" i="13"/>
  <c r="J80" i="13"/>
  <c r="S79" i="13"/>
  <c r="R79" i="13"/>
  <c r="Q79" i="13"/>
  <c r="P79" i="13"/>
  <c r="O79" i="13"/>
  <c r="N79" i="13"/>
  <c r="M79" i="13"/>
  <c r="L79" i="13"/>
  <c r="K79" i="13"/>
  <c r="J79" i="13"/>
  <c r="S78" i="13"/>
  <c r="R78" i="13"/>
  <c r="Q78" i="13"/>
  <c r="P78" i="13"/>
  <c r="O78" i="13"/>
  <c r="N78" i="13"/>
  <c r="M78" i="13"/>
  <c r="L78" i="13"/>
  <c r="K78" i="13"/>
  <c r="J78" i="13"/>
  <c r="S77" i="13"/>
  <c r="R77" i="13"/>
  <c r="Q77" i="13"/>
  <c r="P77" i="13"/>
  <c r="O77" i="13"/>
  <c r="N77" i="13"/>
  <c r="M77" i="13"/>
  <c r="L77" i="13"/>
  <c r="K77" i="13"/>
  <c r="J77" i="13"/>
  <c r="S76" i="13"/>
  <c r="R76" i="13"/>
  <c r="Q76" i="13"/>
  <c r="P76" i="13"/>
  <c r="O76" i="13"/>
  <c r="N76" i="13"/>
  <c r="M76" i="13"/>
  <c r="L76" i="13"/>
  <c r="K76" i="13"/>
  <c r="J76" i="13"/>
  <c r="S75" i="13"/>
  <c r="R75" i="13"/>
  <c r="Q75" i="13"/>
  <c r="P75" i="13"/>
  <c r="O75" i="13"/>
  <c r="N75" i="13"/>
  <c r="M75" i="13"/>
  <c r="L75" i="13"/>
  <c r="K75" i="13"/>
  <c r="J75" i="13"/>
  <c r="S74" i="13"/>
  <c r="R74" i="13"/>
  <c r="Q74" i="13"/>
  <c r="P74" i="13"/>
  <c r="O74" i="13"/>
  <c r="N74" i="13"/>
  <c r="M74" i="13"/>
  <c r="L74" i="13"/>
  <c r="K74" i="13"/>
  <c r="J74" i="13"/>
  <c r="S73" i="13"/>
  <c r="R73" i="13"/>
  <c r="Q73" i="13"/>
  <c r="P73" i="13"/>
  <c r="O73" i="13"/>
  <c r="N73" i="13"/>
  <c r="M73" i="13"/>
  <c r="L73" i="13"/>
  <c r="K73" i="13"/>
  <c r="J73" i="13"/>
  <c r="S96" i="12"/>
  <c r="R96" i="12"/>
  <c r="Q96" i="12"/>
  <c r="P96" i="12"/>
  <c r="O96" i="12"/>
  <c r="N96" i="12"/>
  <c r="M96" i="12"/>
  <c r="L96" i="12"/>
  <c r="K96" i="12"/>
  <c r="J96" i="12"/>
  <c r="S95" i="12"/>
  <c r="R95" i="12"/>
  <c r="Q95" i="12"/>
  <c r="P95" i="12"/>
  <c r="O95" i="12"/>
  <c r="N95" i="12"/>
  <c r="M95" i="12"/>
  <c r="L95" i="12"/>
  <c r="K95" i="12"/>
  <c r="J95" i="12"/>
  <c r="S94" i="12"/>
  <c r="R94" i="12"/>
  <c r="Q94" i="12"/>
  <c r="P94" i="12"/>
  <c r="O94" i="12"/>
  <c r="N94" i="12"/>
  <c r="M94" i="12"/>
  <c r="L94" i="12"/>
  <c r="K94" i="12"/>
  <c r="J94" i="12"/>
  <c r="S93" i="12"/>
  <c r="R93" i="12"/>
  <c r="Q93" i="12"/>
  <c r="P93" i="12"/>
  <c r="O93" i="12"/>
  <c r="N93" i="12"/>
  <c r="M93" i="12"/>
  <c r="L93" i="12"/>
  <c r="K93" i="12"/>
  <c r="J93" i="12"/>
  <c r="S92" i="12"/>
  <c r="R92" i="12"/>
  <c r="Q92" i="12"/>
  <c r="P92" i="12"/>
  <c r="O92" i="12"/>
  <c r="N92" i="12"/>
  <c r="M92" i="12"/>
  <c r="L92" i="12"/>
  <c r="K92" i="12"/>
  <c r="J92" i="12"/>
  <c r="S91" i="12"/>
  <c r="R91" i="12"/>
  <c r="Q91" i="12"/>
  <c r="P91" i="12"/>
  <c r="O91" i="12"/>
  <c r="N91" i="12"/>
  <c r="M91" i="12"/>
  <c r="L91" i="12"/>
  <c r="K91" i="12"/>
  <c r="J91" i="12"/>
  <c r="S90" i="12"/>
  <c r="R90" i="12"/>
  <c r="Q90" i="12"/>
  <c r="P90" i="12"/>
  <c r="O90" i="12"/>
  <c r="N90" i="12"/>
  <c r="M90" i="12"/>
  <c r="L90" i="12"/>
  <c r="K90" i="12"/>
  <c r="J90" i="12"/>
  <c r="S89" i="12"/>
  <c r="R89" i="12"/>
  <c r="Q89" i="12"/>
  <c r="P89" i="12"/>
  <c r="O89" i="12"/>
  <c r="N89" i="12"/>
  <c r="M89" i="12"/>
  <c r="L89" i="12"/>
  <c r="K89" i="12"/>
  <c r="J89" i="12"/>
  <c r="S88" i="12"/>
  <c r="R88" i="12"/>
  <c r="Q88" i="12"/>
  <c r="P88" i="12"/>
  <c r="O88" i="12"/>
  <c r="N88" i="12"/>
  <c r="M88" i="12"/>
  <c r="L88" i="12"/>
  <c r="K88" i="12"/>
  <c r="J88" i="12"/>
  <c r="S87" i="12"/>
  <c r="R87" i="12"/>
  <c r="Q87" i="12"/>
  <c r="P87" i="12"/>
  <c r="O87" i="12"/>
  <c r="N87" i="12"/>
  <c r="M87" i="12"/>
  <c r="L87" i="12"/>
  <c r="K87" i="12"/>
  <c r="J87" i="12"/>
  <c r="S86" i="12"/>
  <c r="R86" i="12"/>
  <c r="Q86" i="12"/>
  <c r="P86" i="12"/>
  <c r="O86" i="12"/>
  <c r="N86" i="12"/>
  <c r="M86" i="12"/>
  <c r="L86" i="12"/>
  <c r="K86" i="12"/>
  <c r="J86" i="12"/>
  <c r="S85" i="12"/>
  <c r="R85" i="12"/>
  <c r="Q85" i="12"/>
  <c r="P85" i="12"/>
  <c r="O85" i="12"/>
  <c r="N85" i="12"/>
  <c r="M85" i="12"/>
  <c r="L85" i="12"/>
  <c r="K85" i="12"/>
  <c r="J85" i="12"/>
  <c r="S84" i="12"/>
  <c r="R84" i="12"/>
  <c r="Q84" i="12"/>
  <c r="P84" i="12"/>
  <c r="O84" i="12"/>
  <c r="N84" i="12"/>
  <c r="M84" i="12"/>
  <c r="L84" i="12"/>
  <c r="K84" i="12"/>
  <c r="J84" i="12"/>
  <c r="S83" i="12"/>
  <c r="R83" i="12"/>
  <c r="Q83" i="12"/>
  <c r="P83" i="12"/>
  <c r="O83" i="12"/>
  <c r="N83" i="12"/>
  <c r="M83" i="12"/>
  <c r="L83" i="12"/>
  <c r="K83" i="12"/>
  <c r="J83" i="12"/>
  <c r="S82" i="12"/>
  <c r="R82" i="12"/>
  <c r="Q82" i="12"/>
  <c r="P82" i="12"/>
  <c r="O82" i="12"/>
  <c r="N82" i="12"/>
  <c r="M82" i="12"/>
  <c r="L82" i="12"/>
  <c r="K82" i="12"/>
  <c r="J82" i="12"/>
  <c r="S81" i="12"/>
  <c r="R81" i="12"/>
  <c r="Q81" i="12"/>
  <c r="P81" i="12"/>
  <c r="O81" i="12"/>
  <c r="N81" i="12"/>
  <c r="M81" i="12"/>
  <c r="L81" i="12"/>
  <c r="K81" i="12"/>
  <c r="J81" i="12"/>
  <c r="S80" i="12"/>
  <c r="R80" i="12"/>
  <c r="Q80" i="12"/>
  <c r="P80" i="12"/>
  <c r="O80" i="12"/>
  <c r="N80" i="12"/>
  <c r="M80" i="12"/>
  <c r="L80" i="12"/>
  <c r="K80" i="12"/>
  <c r="J80" i="12"/>
  <c r="S79" i="12"/>
  <c r="R79" i="12"/>
  <c r="Q79" i="12"/>
  <c r="P79" i="12"/>
  <c r="O79" i="12"/>
  <c r="N79" i="12"/>
  <c r="M79" i="12"/>
  <c r="L79" i="12"/>
  <c r="K79" i="12"/>
  <c r="J79" i="12"/>
  <c r="S78" i="12"/>
  <c r="R78" i="12"/>
  <c r="Q78" i="12"/>
  <c r="P78" i="12"/>
  <c r="O78" i="12"/>
  <c r="N78" i="12"/>
  <c r="M78" i="12"/>
  <c r="L78" i="12"/>
  <c r="K78" i="12"/>
  <c r="J78" i="12"/>
  <c r="S77" i="12"/>
  <c r="R77" i="12"/>
  <c r="Q77" i="12"/>
  <c r="P77" i="12"/>
  <c r="O77" i="12"/>
  <c r="N77" i="12"/>
  <c r="M77" i="12"/>
  <c r="L77" i="12"/>
  <c r="K77" i="12"/>
  <c r="J77" i="12"/>
  <c r="S76" i="12"/>
  <c r="R76" i="12"/>
  <c r="Q76" i="12"/>
  <c r="P76" i="12"/>
  <c r="O76" i="12"/>
  <c r="N76" i="12"/>
  <c r="M76" i="12"/>
  <c r="L76" i="12"/>
  <c r="K76" i="12"/>
  <c r="J76" i="12"/>
  <c r="S75" i="12"/>
  <c r="R75" i="12"/>
  <c r="Q75" i="12"/>
  <c r="P75" i="12"/>
  <c r="O75" i="12"/>
  <c r="N75" i="12"/>
  <c r="M75" i="12"/>
  <c r="L75" i="12"/>
  <c r="K75" i="12"/>
  <c r="J75" i="12"/>
  <c r="S74" i="12"/>
  <c r="R74" i="12"/>
  <c r="Q74" i="12"/>
  <c r="P74" i="12"/>
  <c r="O74" i="12"/>
  <c r="N74" i="12"/>
  <c r="M74" i="12"/>
  <c r="L74" i="12"/>
  <c r="K74" i="12"/>
  <c r="J74" i="12"/>
  <c r="S73" i="12"/>
  <c r="R73" i="12"/>
  <c r="Q73" i="12"/>
  <c r="P73" i="12"/>
  <c r="O73" i="12"/>
  <c r="N73" i="12"/>
  <c r="M73" i="12"/>
  <c r="L73" i="12"/>
  <c r="K73" i="12"/>
  <c r="J73" i="12"/>
  <c r="S96" i="11"/>
  <c r="R96" i="11"/>
  <c r="Q96" i="11"/>
  <c r="P96" i="11"/>
  <c r="O96" i="11"/>
  <c r="N96" i="11"/>
  <c r="M96" i="11"/>
  <c r="L96" i="11"/>
  <c r="K96" i="11"/>
  <c r="J96" i="11"/>
  <c r="S95" i="11"/>
  <c r="R95" i="11"/>
  <c r="Q95" i="11"/>
  <c r="P95" i="11"/>
  <c r="O95" i="11"/>
  <c r="N95" i="11"/>
  <c r="M95" i="11"/>
  <c r="L95" i="11"/>
  <c r="K95" i="11"/>
  <c r="J95" i="11"/>
  <c r="S94" i="11"/>
  <c r="R94" i="11"/>
  <c r="Q94" i="11"/>
  <c r="P94" i="11"/>
  <c r="O94" i="11"/>
  <c r="N94" i="11"/>
  <c r="M94" i="11"/>
  <c r="L94" i="11"/>
  <c r="K94" i="11"/>
  <c r="J94" i="11"/>
  <c r="S93" i="11"/>
  <c r="R93" i="11"/>
  <c r="Q93" i="11"/>
  <c r="P93" i="11"/>
  <c r="O93" i="11"/>
  <c r="N93" i="11"/>
  <c r="M93" i="11"/>
  <c r="L93" i="11"/>
  <c r="K93" i="11"/>
  <c r="J93" i="11"/>
  <c r="S92" i="11"/>
  <c r="R92" i="11"/>
  <c r="Q92" i="11"/>
  <c r="P92" i="11"/>
  <c r="O92" i="11"/>
  <c r="N92" i="11"/>
  <c r="M92" i="11"/>
  <c r="L92" i="11"/>
  <c r="K92" i="11"/>
  <c r="J92" i="11"/>
  <c r="S91" i="11"/>
  <c r="R91" i="11"/>
  <c r="Q91" i="11"/>
  <c r="P91" i="11"/>
  <c r="O91" i="11"/>
  <c r="N91" i="11"/>
  <c r="M91" i="11"/>
  <c r="L91" i="11"/>
  <c r="K91" i="11"/>
  <c r="J91" i="11"/>
  <c r="S90" i="11"/>
  <c r="R90" i="11"/>
  <c r="Q90" i="11"/>
  <c r="P90" i="11"/>
  <c r="O90" i="11"/>
  <c r="N90" i="11"/>
  <c r="M90" i="11"/>
  <c r="L90" i="11"/>
  <c r="K90" i="11"/>
  <c r="J90" i="11"/>
  <c r="S89" i="11"/>
  <c r="R89" i="11"/>
  <c r="Q89" i="11"/>
  <c r="P89" i="11"/>
  <c r="O89" i="11"/>
  <c r="N89" i="11"/>
  <c r="M89" i="11"/>
  <c r="L89" i="11"/>
  <c r="K89" i="11"/>
  <c r="J89" i="11"/>
  <c r="S88" i="11"/>
  <c r="R88" i="11"/>
  <c r="Q88" i="11"/>
  <c r="P88" i="11"/>
  <c r="O88" i="11"/>
  <c r="N88" i="11"/>
  <c r="M88" i="11"/>
  <c r="L88" i="11"/>
  <c r="K88" i="11"/>
  <c r="J88" i="11"/>
  <c r="S87" i="11"/>
  <c r="R87" i="11"/>
  <c r="Q87" i="11"/>
  <c r="P87" i="11"/>
  <c r="O87" i="11"/>
  <c r="N87" i="11"/>
  <c r="M87" i="11"/>
  <c r="L87" i="11"/>
  <c r="K87" i="11"/>
  <c r="J87" i="11"/>
  <c r="S86" i="11"/>
  <c r="R86" i="11"/>
  <c r="Q86" i="11"/>
  <c r="P86" i="11"/>
  <c r="O86" i="11"/>
  <c r="N86" i="11"/>
  <c r="M86" i="11"/>
  <c r="L86" i="11"/>
  <c r="K86" i="11"/>
  <c r="J86" i="11"/>
  <c r="S85" i="11"/>
  <c r="R85" i="11"/>
  <c r="Q85" i="11"/>
  <c r="P85" i="11"/>
  <c r="O85" i="11"/>
  <c r="N85" i="11"/>
  <c r="M85" i="11"/>
  <c r="L85" i="11"/>
  <c r="K85" i="11"/>
  <c r="J85" i="11"/>
  <c r="S84" i="11"/>
  <c r="R84" i="11"/>
  <c r="Q84" i="11"/>
  <c r="P84" i="11"/>
  <c r="O84" i="11"/>
  <c r="N84" i="11"/>
  <c r="M84" i="11"/>
  <c r="L84" i="11"/>
  <c r="K84" i="11"/>
  <c r="J84" i="11"/>
  <c r="S83" i="11"/>
  <c r="R83" i="11"/>
  <c r="Q83" i="11"/>
  <c r="P83" i="11"/>
  <c r="O83" i="11"/>
  <c r="N83" i="11"/>
  <c r="M83" i="11"/>
  <c r="L83" i="11"/>
  <c r="K83" i="11"/>
  <c r="J83" i="11"/>
  <c r="S82" i="11"/>
  <c r="R82" i="11"/>
  <c r="Q82" i="11"/>
  <c r="P82" i="11"/>
  <c r="O82" i="11"/>
  <c r="N82" i="11"/>
  <c r="M82" i="11"/>
  <c r="L82" i="11"/>
  <c r="K82" i="11"/>
  <c r="J82" i="11"/>
  <c r="S81" i="11"/>
  <c r="R81" i="11"/>
  <c r="Q81" i="11"/>
  <c r="P81" i="11"/>
  <c r="O81" i="11"/>
  <c r="N81" i="11"/>
  <c r="M81" i="11"/>
  <c r="L81" i="11"/>
  <c r="K81" i="11"/>
  <c r="J81" i="11"/>
  <c r="S80" i="11"/>
  <c r="R80" i="11"/>
  <c r="Q80" i="11"/>
  <c r="P80" i="11"/>
  <c r="O80" i="11"/>
  <c r="N80" i="11"/>
  <c r="M80" i="11"/>
  <c r="L80" i="11"/>
  <c r="K80" i="11"/>
  <c r="J80" i="11"/>
  <c r="S79" i="11"/>
  <c r="R79" i="11"/>
  <c r="Q79" i="11"/>
  <c r="P79" i="11"/>
  <c r="O79" i="11"/>
  <c r="N79" i="11"/>
  <c r="M79" i="11"/>
  <c r="L79" i="11"/>
  <c r="K79" i="11"/>
  <c r="J79" i="11"/>
  <c r="S78" i="11"/>
  <c r="R78" i="11"/>
  <c r="Q78" i="11"/>
  <c r="P78" i="11"/>
  <c r="O78" i="11"/>
  <c r="N78" i="11"/>
  <c r="M78" i="11"/>
  <c r="L78" i="11"/>
  <c r="K78" i="11"/>
  <c r="J78" i="11"/>
  <c r="S77" i="11"/>
  <c r="R77" i="11"/>
  <c r="Q77" i="11"/>
  <c r="P77" i="11"/>
  <c r="O77" i="11"/>
  <c r="N77" i="11"/>
  <c r="M77" i="11"/>
  <c r="L77" i="11"/>
  <c r="K77" i="11"/>
  <c r="J77" i="11"/>
  <c r="S76" i="11"/>
  <c r="R76" i="11"/>
  <c r="Q76" i="11"/>
  <c r="P76" i="11"/>
  <c r="O76" i="11"/>
  <c r="N76" i="11"/>
  <c r="M76" i="11"/>
  <c r="L76" i="11"/>
  <c r="K76" i="11"/>
  <c r="J76" i="11"/>
  <c r="S75" i="11"/>
  <c r="R75" i="11"/>
  <c r="Q75" i="11"/>
  <c r="P75" i="11"/>
  <c r="O75" i="11"/>
  <c r="N75" i="11"/>
  <c r="M75" i="11"/>
  <c r="L75" i="11"/>
  <c r="K75" i="11"/>
  <c r="J75" i="11"/>
  <c r="S74" i="11"/>
  <c r="R74" i="11"/>
  <c r="Q74" i="11"/>
  <c r="P74" i="11"/>
  <c r="O74" i="11"/>
  <c r="N74" i="11"/>
  <c r="M74" i="11"/>
  <c r="L74" i="11"/>
  <c r="K74" i="11"/>
  <c r="J74" i="11"/>
  <c r="S73" i="11"/>
  <c r="R73" i="11"/>
  <c r="Q73" i="11"/>
  <c r="P73" i="11"/>
  <c r="O73" i="11"/>
  <c r="N73" i="11"/>
  <c r="M73" i="11"/>
  <c r="L73" i="11"/>
  <c r="K73" i="11"/>
  <c r="J73" i="11"/>
  <c r="S96" i="10"/>
  <c r="R96" i="10"/>
  <c r="Q96" i="10"/>
  <c r="P96" i="10"/>
  <c r="O96" i="10"/>
  <c r="N96" i="10"/>
  <c r="M96" i="10"/>
  <c r="L96" i="10"/>
  <c r="K96" i="10"/>
  <c r="J96" i="10"/>
  <c r="S95" i="10"/>
  <c r="R95" i="10"/>
  <c r="Q95" i="10"/>
  <c r="P95" i="10"/>
  <c r="O95" i="10"/>
  <c r="N95" i="10"/>
  <c r="M95" i="10"/>
  <c r="L95" i="10"/>
  <c r="K95" i="10"/>
  <c r="J95" i="10"/>
  <c r="S94" i="10"/>
  <c r="R94" i="10"/>
  <c r="Q94" i="10"/>
  <c r="P94" i="10"/>
  <c r="O94" i="10"/>
  <c r="N94" i="10"/>
  <c r="M94" i="10"/>
  <c r="L94" i="10"/>
  <c r="K94" i="10"/>
  <c r="J94" i="10"/>
  <c r="S93" i="10"/>
  <c r="R93" i="10"/>
  <c r="Q93" i="10"/>
  <c r="P93" i="10"/>
  <c r="O93" i="10"/>
  <c r="N93" i="10"/>
  <c r="M93" i="10"/>
  <c r="L93" i="10"/>
  <c r="K93" i="10"/>
  <c r="J93" i="10"/>
  <c r="S92" i="10"/>
  <c r="R92" i="10"/>
  <c r="Q92" i="10"/>
  <c r="P92" i="10"/>
  <c r="O92" i="10"/>
  <c r="N92" i="10"/>
  <c r="M92" i="10"/>
  <c r="L92" i="10"/>
  <c r="K92" i="10"/>
  <c r="J92" i="10"/>
  <c r="S91" i="10"/>
  <c r="R91" i="10"/>
  <c r="Q91" i="10"/>
  <c r="P91" i="10"/>
  <c r="O91" i="10"/>
  <c r="N91" i="10"/>
  <c r="M91" i="10"/>
  <c r="L91" i="10"/>
  <c r="K91" i="10"/>
  <c r="J91" i="10"/>
  <c r="S90" i="10"/>
  <c r="R90" i="10"/>
  <c r="Q90" i="10"/>
  <c r="P90" i="10"/>
  <c r="O90" i="10"/>
  <c r="N90" i="10"/>
  <c r="M90" i="10"/>
  <c r="L90" i="10"/>
  <c r="K90" i="10"/>
  <c r="J90" i="10"/>
  <c r="S89" i="10"/>
  <c r="R89" i="10"/>
  <c r="Q89" i="10"/>
  <c r="P89" i="10"/>
  <c r="O89" i="10"/>
  <c r="N89" i="10"/>
  <c r="M89" i="10"/>
  <c r="L89" i="10"/>
  <c r="K89" i="10"/>
  <c r="J89" i="10"/>
  <c r="S88" i="10"/>
  <c r="R88" i="10"/>
  <c r="Q88" i="10"/>
  <c r="P88" i="10"/>
  <c r="O88" i="10"/>
  <c r="N88" i="10"/>
  <c r="M88" i="10"/>
  <c r="L88" i="10"/>
  <c r="K88" i="10"/>
  <c r="J88" i="10"/>
  <c r="S87" i="10"/>
  <c r="R87" i="10"/>
  <c r="Q87" i="10"/>
  <c r="P87" i="10"/>
  <c r="O87" i="10"/>
  <c r="N87" i="10"/>
  <c r="M87" i="10"/>
  <c r="L87" i="10"/>
  <c r="K87" i="10"/>
  <c r="J87" i="10"/>
  <c r="S86" i="10"/>
  <c r="R86" i="10"/>
  <c r="Q86" i="10"/>
  <c r="P86" i="10"/>
  <c r="O86" i="10"/>
  <c r="N86" i="10"/>
  <c r="M86" i="10"/>
  <c r="L86" i="10"/>
  <c r="K86" i="10"/>
  <c r="J86" i="10"/>
  <c r="S85" i="10"/>
  <c r="R85" i="10"/>
  <c r="Q85" i="10"/>
  <c r="P85" i="10"/>
  <c r="O85" i="10"/>
  <c r="N85" i="10"/>
  <c r="M85" i="10"/>
  <c r="L85" i="10"/>
  <c r="K85" i="10"/>
  <c r="J85" i="10"/>
  <c r="S84" i="10"/>
  <c r="R84" i="10"/>
  <c r="Q84" i="10"/>
  <c r="P84" i="10"/>
  <c r="O84" i="10"/>
  <c r="N84" i="10"/>
  <c r="M84" i="10"/>
  <c r="L84" i="10"/>
  <c r="K84" i="10"/>
  <c r="J84" i="10"/>
  <c r="S83" i="10"/>
  <c r="R83" i="10"/>
  <c r="Q83" i="10"/>
  <c r="P83" i="10"/>
  <c r="O83" i="10"/>
  <c r="N83" i="10"/>
  <c r="M83" i="10"/>
  <c r="L83" i="10"/>
  <c r="K83" i="10"/>
  <c r="J83" i="10"/>
  <c r="S82" i="10"/>
  <c r="R82" i="10"/>
  <c r="Q82" i="10"/>
  <c r="P82" i="10"/>
  <c r="O82" i="10"/>
  <c r="N82" i="10"/>
  <c r="M82" i="10"/>
  <c r="L82" i="10"/>
  <c r="K82" i="10"/>
  <c r="J82" i="10"/>
  <c r="S81" i="10"/>
  <c r="R81" i="10"/>
  <c r="Q81" i="10"/>
  <c r="P81" i="10"/>
  <c r="O81" i="10"/>
  <c r="N81" i="10"/>
  <c r="M81" i="10"/>
  <c r="L81" i="10"/>
  <c r="K81" i="10"/>
  <c r="J81" i="10"/>
  <c r="S80" i="10"/>
  <c r="R80" i="10"/>
  <c r="Q80" i="10"/>
  <c r="P80" i="10"/>
  <c r="O80" i="10"/>
  <c r="N80" i="10"/>
  <c r="M80" i="10"/>
  <c r="L80" i="10"/>
  <c r="K80" i="10"/>
  <c r="J80" i="10"/>
  <c r="S79" i="10"/>
  <c r="R79" i="10"/>
  <c r="Q79" i="10"/>
  <c r="P79" i="10"/>
  <c r="O79" i="10"/>
  <c r="N79" i="10"/>
  <c r="M79" i="10"/>
  <c r="L79" i="10"/>
  <c r="K79" i="10"/>
  <c r="J79" i="10"/>
  <c r="S78" i="10"/>
  <c r="R78" i="10"/>
  <c r="Q78" i="10"/>
  <c r="P78" i="10"/>
  <c r="O78" i="10"/>
  <c r="N78" i="10"/>
  <c r="M78" i="10"/>
  <c r="L78" i="10"/>
  <c r="K78" i="10"/>
  <c r="J78" i="10"/>
  <c r="S77" i="10"/>
  <c r="R77" i="10"/>
  <c r="Q77" i="10"/>
  <c r="P77" i="10"/>
  <c r="O77" i="10"/>
  <c r="N77" i="10"/>
  <c r="M77" i="10"/>
  <c r="L77" i="10"/>
  <c r="K77" i="10"/>
  <c r="J77" i="10"/>
  <c r="S76" i="10"/>
  <c r="R76" i="10"/>
  <c r="Q76" i="10"/>
  <c r="P76" i="10"/>
  <c r="O76" i="10"/>
  <c r="N76" i="10"/>
  <c r="M76" i="10"/>
  <c r="L76" i="10"/>
  <c r="K76" i="10"/>
  <c r="J76" i="10"/>
  <c r="S75" i="10"/>
  <c r="R75" i="10"/>
  <c r="Q75" i="10"/>
  <c r="P75" i="10"/>
  <c r="O75" i="10"/>
  <c r="N75" i="10"/>
  <c r="M75" i="10"/>
  <c r="L75" i="10"/>
  <c r="K75" i="10"/>
  <c r="J75" i="10"/>
  <c r="S74" i="10"/>
  <c r="R74" i="10"/>
  <c r="Q74" i="10"/>
  <c r="P74" i="10"/>
  <c r="O74" i="10"/>
  <c r="N74" i="10"/>
  <c r="M74" i="10"/>
  <c r="L74" i="10"/>
  <c r="K74" i="10"/>
  <c r="J74" i="10"/>
  <c r="S73" i="10"/>
  <c r="R73" i="10"/>
  <c r="Q73" i="10"/>
  <c r="P73" i="10"/>
  <c r="O73" i="10"/>
  <c r="N73" i="10"/>
  <c r="M73" i="10"/>
  <c r="L73" i="10"/>
  <c r="K73" i="10"/>
  <c r="J73" i="10"/>
  <c r="S96" i="9"/>
  <c r="R96" i="9"/>
  <c r="Q96" i="9"/>
  <c r="P96" i="9"/>
  <c r="O96" i="9"/>
  <c r="N96" i="9"/>
  <c r="M96" i="9"/>
  <c r="L96" i="9"/>
  <c r="K96" i="9"/>
  <c r="J96" i="9"/>
  <c r="S95" i="9"/>
  <c r="R95" i="9"/>
  <c r="Q95" i="9"/>
  <c r="P95" i="9"/>
  <c r="O95" i="9"/>
  <c r="N95" i="9"/>
  <c r="M95" i="9"/>
  <c r="L95" i="9"/>
  <c r="K95" i="9"/>
  <c r="J95" i="9"/>
  <c r="S94" i="9"/>
  <c r="R94" i="9"/>
  <c r="Q94" i="9"/>
  <c r="P94" i="9"/>
  <c r="O94" i="9"/>
  <c r="N94" i="9"/>
  <c r="M94" i="9"/>
  <c r="L94" i="9"/>
  <c r="K94" i="9"/>
  <c r="J94" i="9"/>
  <c r="S93" i="9"/>
  <c r="R93" i="9"/>
  <c r="Q93" i="9"/>
  <c r="P93" i="9"/>
  <c r="O93" i="9"/>
  <c r="N93" i="9"/>
  <c r="M93" i="9"/>
  <c r="L93" i="9"/>
  <c r="K93" i="9"/>
  <c r="J93" i="9"/>
  <c r="S92" i="9"/>
  <c r="R92" i="9"/>
  <c r="Q92" i="9"/>
  <c r="P92" i="9"/>
  <c r="O92" i="9"/>
  <c r="N92" i="9"/>
  <c r="M92" i="9"/>
  <c r="L92" i="9"/>
  <c r="K92" i="9"/>
  <c r="J92" i="9"/>
  <c r="S91" i="9"/>
  <c r="R91" i="9"/>
  <c r="Q91" i="9"/>
  <c r="P91" i="9"/>
  <c r="O91" i="9"/>
  <c r="N91" i="9"/>
  <c r="M91" i="9"/>
  <c r="L91" i="9"/>
  <c r="K91" i="9"/>
  <c r="J91" i="9"/>
  <c r="S90" i="9"/>
  <c r="R90" i="9"/>
  <c r="Q90" i="9"/>
  <c r="P90" i="9"/>
  <c r="O90" i="9"/>
  <c r="N90" i="9"/>
  <c r="M90" i="9"/>
  <c r="L90" i="9"/>
  <c r="K90" i="9"/>
  <c r="J90" i="9"/>
  <c r="S89" i="9"/>
  <c r="R89" i="9"/>
  <c r="Q89" i="9"/>
  <c r="P89" i="9"/>
  <c r="O89" i="9"/>
  <c r="N89" i="9"/>
  <c r="M89" i="9"/>
  <c r="L89" i="9"/>
  <c r="K89" i="9"/>
  <c r="J89" i="9"/>
  <c r="S88" i="9"/>
  <c r="R88" i="9"/>
  <c r="Q88" i="9"/>
  <c r="P88" i="9"/>
  <c r="O88" i="9"/>
  <c r="N88" i="9"/>
  <c r="M88" i="9"/>
  <c r="L88" i="9"/>
  <c r="K88" i="9"/>
  <c r="J88" i="9"/>
  <c r="S87" i="9"/>
  <c r="R87" i="9"/>
  <c r="Q87" i="9"/>
  <c r="P87" i="9"/>
  <c r="O87" i="9"/>
  <c r="N87" i="9"/>
  <c r="M87" i="9"/>
  <c r="L87" i="9"/>
  <c r="K87" i="9"/>
  <c r="J87" i="9"/>
  <c r="S86" i="9"/>
  <c r="R86" i="9"/>
  <c r="Q86" i="9"/>
  <c r="P86" i="9"/>
  <c r="O86" i="9"/>
  <c r="N86" i="9"/>
  <c r="M86" i="9"/>
  <c r="L86" i="9"/>
  <c r="K86" i="9"/>
  <c r="J86" i="9"/>
  <c r="S85" i="9"/>
  <c r="R85" i="9"/>
  <c r="Q85" i="9"/>
  <c r="P85" i="9"/>
  <c r="O85" i="9"/>
  <c r="N85" i="9"/>
  <c r="M85" i="9"/>
  <c r="L85" i="9"/>
  <c r="K85" i="9"/>
  <c r="J85" i="9"/>
  <c r="S84" i="9"/>
  <c r="R84" i="9"/>
  <c r="Q84" i="9"/>
  <c r="P84" i="9"/>
  <c r="O84" i="9"/>
  <c r="N84" i="9"/>
  <c r="M84" i="9"/>
  <c r="L84" i="9"/>
  <c r="K84" i="9"/>
  <c r="J84" i="9"/>
  <c r="S83" i="9"/>
  <c r="R83" i="9"/>
  <c r="Q83" i="9"/>
  <c r="P83" i="9"/>
  <c r="O83" i="9"/>
  <c r="N83" i="9"/>
  <c r="M83" i="9"/>
  <c r="L83" i="9"/>
  <c r="K83" i="9"/>
  <c r="J83" i="9"/>
  <c r="S82" i="9"/>
  <c r="R82" i="9"/>
  <c r="Q82" i="9"/>
  <c r="P82" i="9"/>
  <c r="O82" i="9"/>
  <c r="N82" i="9"/>
  <c r="M82" i="9"/>
  <c r="L82" i="9"/>
  <c r="K82" i="9"/>
  <c r="J82" i="9"/>
  <c r="S81" i="9"/>
  <c r="R81" i="9"/>
  <c r="Q81" i="9"/>
  <c r="P81" i="9"/>
  <c r="O81" i="9"/>
  <c r="N81" i="9"/>
  <c r="M81" i="9"/>
  <c r="L81" i="9"/>
  <c r="K81" i="9"/>
  <c r="J81" i="9"/>
  <c r="S80" i="9"/>
  <c r="R80" i="9"/>
  <c r="Q80" i="9"/>
  <c r="P80" i="9"/>
  <c r="O80" i="9"/>
  <c r="N80" i="9"/>
  <c r="M80" i="9"/>
  <c r="L80" i="9"/>
  <c r="K80" i="9"/>
  <c r="J80" i="9"/>
  <c r="S79" i="9"/>
  <c r="R79" i="9"/>
  <c r="Q79" i="9"/>
  <c r="P79" i="9"/>
  <c r="O79" i="9"/>
  <c r="N79" i="9"/>
  <c r="M79" i="9"/>
  <c r="L79" i="9"/>
  <c r="K79" i="9"/>
  <c r="J79" i="9"/>
  <c r="S78" i="9"/>
  <c r="R78" i="9"/>
  <c r="Q78" i="9"/>
  <c r="P78" i="9"/>
  <c r="O78" i="9"/>
  <c r="N78" i="9"/>
  <c r="M78" i="9"/>
  <c r="L78" i="9"/>
  <c r="K78" i="9"/>
  <c r="J78" i="9"/>
  <c r="S77" i="9"/>
  <c r="R77" i="9"/>
  <c r="Q77" i="9"/>
  <c r="P77" i="9"/>
  <c r="O77" i="9"/>
  <c r="N77" i="9"/>
  <c r="M77" i="9"/>
  <c r="L77" i="9"/>
  <c r="K77" i="9"/>
  <c r="J77" i="9"/>
  <c r="S76" i="9"/>
  <c r="R76" i="9"/>
  <c r="Q76" i="9"/>
  <c r="P76" i="9"/>
  <c r="O76" i="9"/>
  <c r="N76" i="9"/>
  <c r="M76" i="9"/>
  <c r="L76" i="9"/>
  <c r="K76" i="9"/>
  <c r="J76" i="9"/>
  <c r="S75" i="9"/>
  <c r="R75" i="9"/>
  <c r="Q75" i="9"/>
  <c r="P75" i="9"/>
  <c r="O75" i="9"/>
  <c r="N75" i="9"/>
  <c r="M75" i="9"/>
  <c r="L75" i="9"/>
  <c r="K75" i="9"/>
  <c r="J75" i="9"/>
  <c r="S74" i="9"/>
  <c r="R74" i="9"/>
  <c r="Q74" i="9"/>
  <c r="P74" i="9"/>
  <c r="O74" i="9"/>
  <c r="N74" i="9"/>
  <c r="M74" i="9"/>
  <c r="L74" i="9"/>
  <c r="K74" i="9"/>
  <c r="J74" i="9"/>
  <c r="S73" i="9"/>
  <c r="R73" i="9"/>
  <c r="Q73" i="9"/>
  <c r="P73" i="9"/>
  <c r="O73" i="9"/>
  <c r="N73" i="9"/>
  <c r="M73" i="9"/>
  <c r="L73" i="9"/>
  <c r="K73" i="9"/>
  <c r="J73" i="9"/>
  <c r="S96" i="8"/>
  <c r="R96" i="8"/>
  <c r="Q96" i="8"/>
  <c r="P96" i="8"/>
  <c r="O96" i="8"/>
  <c r="N96" i="8"/>
  <c r="M96" i="8"/>
  <c r="L96" i="8"/>
  <c r="K96" i="8"/>
  <c r="J96" i="8"/>
  <c r="S95" i="8"/>
  <c r="R95" i="8"/>
  <c r="Q95" i="8"/>
  <c r="P95" i="8"/>
  <c r="O95" i="8"/>
  <c r="N95" i="8"/>
  <c r="M95" i="8"/>
  <c r="L95" i="8"/>
  <c r="K95" i="8"/>
  <c r="J95" i="8"/>
  <c r="S94" i="8"/>
  <c r="R94" i="8"/>
  <c r="Q94" i="8"/>
  <c r="P94" i="8"/>
  <c r="O94" i="8"/>
  <c r="N94" i="8"/>
  <c r="M94" i="8"/>
  <c r="L94" i="8"/>
  <c r="K94" i="8"/>
  <c r="J94" i="8"/>
  <c r="S93" i="8"/>
  <c r="R93" i="8"/>
  <c r="Q93" i="8"/>
  <c r="P93" i="8"/>
  <c r="O93" i="8"/>
  <c r="N93" i="8"/>
  <c r="M93" i="8"/>
  <c r="L93" i="8"/>
  <c r="K93" i="8"/>
  <c r="J93" i="8"/>
  <c r="S92" i="8"/>
  <c r="R92" i="8"/>
  <c r="Q92" i="8"/>
  <c r="P92" i="8"/>
  <c r="O92" i="8"/>
  <c r="N92" i="8"/>
  <c r="M92" i="8"/>
  <c r="L92" i="8"/>
  <c r="K92" i="8"/>
  <c r="J92" i="8"/>
  <c r="S91" i="8"/>
  <c r="R91" i="8"/>
  <c r="Q91" i="8"/>
  <c r="P91" i="8"/>
  <c r="O91" i="8"/>
  <c r="N91" i="8"/>
  <c r="M91" i="8"/>
  <c r="L91" i="8"/>
  <c r="K91" i="8"/>
  <c r="J91" i="8"/>
  <c r="S90" i="8"/>
  <c r="R90" i="8"/>
  <c r="Q90" i="8"/>
  <c r="P90" i="8"/>
  <c r="O90" i="8"/>
  <c r="N90" i="8"/>
  <c r="M90" i="8"/>
  <c r="L90" i="8"/>
  <c r="K90" i="8"/>
  <c r="J90" i="8"/>
  <c r="S89" i="8"/>
  <c r="R89" i="8"/>
  <c r="Q89" i="8"/>
  <c r="P89" i="8"/>
  <c r="O89" i="8"/>
  <c r="N89" i="8"/>
  <c r="M89" i="8"/>
  <c r="L89" i="8"/>
  <c r="K89" i="8"/>
  <c r="J89" i="8"/>
  <c r="S88" i="8"/>
  <c r="R88" i="8"/>
  <c r="Q88" i="8"/>
  <c r="P88" i="8"/>
  <c r="O88" i="8"/>
  <c r="N88" i="8"/>
  <c r="M88" i="8"/>
  <c r="L88" i="8"/>
  <c r="K88" i="8"/>
  <c r="J88" i="8"/>
  <c r="S87" i="8"/>
  <c r="R87" i="8"/>
  <c r="Q87" i="8"/>
  <c r="P87" i="8"/>
  <c r="O87" i="8"/>
  <c r="N87" i="8"/>
  <c r="M87" i="8"/>
  <c r="L87" i="8"/>
  <c r="K87" i="8"/>
  <c r="J87" i="8"/>
  <c r="S86" i="8"/>
  <c r="R86" i="8"/>
  <c r="Q86" i="8"/>
  <c r="P86" i="8"/>
  <c r="O86" i="8"/>
  <c r="N86" i="8"/>
  <c r="M86" i="8"/>
  <c r="L86" i="8"/>
  <c r="K86" i="8"/>
  <c r="J86" i="8"/>
  <c r="S85" i="8"/>
  <c r="R85" i="8"/>
  <c r="Q85" i="8"/>
  <c r="P85" i="8"/>
  <c r="O85" i="8"/>
  <c r="N85" i="8"/>
  <c r="M85" i="8"/>
  <c r="L85" i="8"/>
  <c r="K85" i="8"/>
  <c r="J85" i="8"/>
  <c r="S84" i="8"/>
  <c r="R84" i="8"/>
  <c r="Q84" i="8"/>
  <c r="P84" i="8"/>
  <c r="O84" i="8"/>
  <c r="N84" i="8"/>
  <c r="M84" i="8"/>
  <c r="L84" i="8"/>
  <c r="K84" i="8"/>
  <c r="J84" i="8"/>
  <c r="S83" i="8"/>
  <c r="R83" i="8"/>
  <c r="Q83" i="8"/>
  <c r="P83" i="8"/>
  <c r="O83" i="8"/>
  <c r="N83" i="8"/>
  <c r="M83" i="8"/>
  <c r="L83" i="8"/>
  <c r="K83" i="8"/>
  <c r="J83" i="8"/>
  <c r="S82" i="8"/>
  <c r="R82" i="8"/>
  <c r="Q82" i="8"/>
  <c r="P82" i="8"/>
  <c r="O82" i="8"/>
  <c r="N82" i="8"/>
  <c r="M82" i="8"/>
  <c r="L82" i="8"/>
  <c r="K82" i="8"/>
  <c r="J82" i="8"/>
  <c r="S81" i="8"/>
  <c r="R81" i="8"/>
  <c r="Q81" i="8"/>
  <c r="P81" i="8"/>
  <c r="O81" i="8"/>
  <c r="N81" i="8"/>
  <c r="M81" i="8"/>
  <c r="L81" i="8"/>
  <c r="K81" i="8"/>
  <c r="J81" i="8"/>
  <c r="S80" i="8"/>
  <c r="R80" i="8"/>
  <c r="Q80" i="8"/>
  <c r="P80" i="8"/>
  <c r="O80" i="8"/>
  <c r="N80" i="8"/>
  <c r="M80" i="8"/>
  <c r="L80" i="8"/>
  <c r="K80" i="8"/>
  <c r="J80" i="8"/>
  <c r="S79" i="8"/>
  <c r="R79" i="8"/>
  <c r="Q79" i="8"/>
  <c r="P79" i="8"/>
  <c r="O79" i="8"/>
  <c r="N79" i="8"/>
  <c r="M79" i="8"/>
  <c r="L79" i="8"/>
  <c r="K79" i="8"/>
  <c r="J79" i="8"/>
  <c r="S78" i="8"/>
  <c r="R78" i="8"/>
  <c r="Q78" i="8"/>
  <c r="P78" i="8"/>
  <c r="O78" i="8"/>
  <c r="N78" i="8"/>
  <c r="M78" i="8"/>
  <c r="L78" i="8"/>
  <c r="K78" i="8"/>
  <c r="J78" i="8"/>
  <c r="S77" i="8"/>
  <c r="R77" i="8"/>
  <c r="Q77" i="8"/>
  <c r="P77" i="8"/>
  <c r="O77" i="8"/>
  <c r="N77" i="8"/>
  <c r="M77" i="8"/>
  <c r="L77" i="8"/>
  <c r="K77" i="8"/>
  <c r="J77" i="8"/>
  <c r="S76" i="8"/>
  <c r="R76" i="8"/>
  <c r="Q76" i="8"/>
  <c r="P76" i="8"/>
  <c r="O76" i="8"/>
  <c r="N76" i="8"/>
  <c r="M76" i="8"/>
  <c r="L76" i="8"/>
  <c r="K76" i="8"/>
  <c r="J76" i="8"/>
  <c r="S75" i="8"/>
  <c r="R75" i="8"/>
  <c r="Q75" i="8"/>
  <c r="P75" i="8"/>
  <c r="O75" i="8"/>
  <c r="N75" i="8"/>
  <c r="M75" i="8"/>
  <c r="L75" i="8"/>
  <c r="K75" i="8"/>
  <c r="J75" i="8"/>
  <c r="S74" i="8"/>
  <c r="R74" i="8"/>
  <c r="Q74" i="8"/>
  <c r="P74" i="8"/>
  <c r="O74" i="8"/>
  <c r="N74" i="8"/>
  <c r="M74" i="8"/>
  <c r="L74" i="8"/>
  <c r="K74" i="8"/>
  <c r="J74" i="8"/>
  <c r="S73" i="8"/>
  <c r="R73" i="8"/>
  <c r="Q73" i="8"/>
  <c r="P73" i="8"/>
  <c r="O73" i="8"/>
  <c r="N73" i="8"/>
  <c r="M73" i="8"/>
  <c r="L73" i="8"/>
  <c r="K73" i="8"/>
  <c r="J73" i="8"/>
  <c r="S96" i="7"/>
  <c r="R96" i="7"/>
  <c r="Q96" i="7"/>
  <c r="P96" i="7"/>
  <c r="O96" i="7"/>
  <c r="N96" i="7"/>
  <c r="M96" i="7"/>
  <c r="L96" i="7"/>
  <c r="K96" i="7"/>
  <c r="J96" i="7"/>
  <c r="S95" i="7"/>
  <c r="R95" i="7"/>
  <c r="Q95" i="7"/>
  <c r="P95" i="7"/>
  <c r="O95" i="7"/>
  <c r="N95" i="7"/>
  <c r="M95" i="7"/>
  <c r="L95" i="7"/>
  <c r="K95" i="7"/>
  <c r="J95" i="7"/>
  <c r="S94" i="7"/>
  <c r="R94" i="7"/>
  <c r="Q94" i="7"/>
  <c r="P94" i="7"/>
  <c r="O94" i="7"/>
  <c r="N94" i="7"/>
  <c r="M94" i="7"/>
  <c r="L94" i="7"/>
  <c r="K94" i="7"/>
  <c r="J94" i="7"/>
  <c r="S93" i="7"/>
  <c r="R93" i="7"/>
  <c r="Q93" i="7"/>
  <c r="P93" i="7"/>
  <c r="O93" i="7"/>
  <c r="N93" i="7"/>
  <c r="M93" i="7"/>
  <c r="L93" i="7"/>
  <c r="K93" i="7"/>
  <c r="J93" i="7"/>
  <c r="S92" i="7"/>
  <c r="R92" i="7"/>
  <c r="Q92" i="7"/>
  <c r="P92" i="7"/>
  <c r="O92" i="7"/>
  <c r="N92" i="7"/>
  <c r="M92" i="7"/>
  <c r="L92" i="7"/>
  <c r="K92" i="7"/>
  <c r="J92" i="7"/>
  <c r="S91" i="7"/>
  <c r="R91" i="7"/>
  <c r="Q91" i="7"/>
  <c r="P91" i="7"/>
  <c r="O91" i="7"/>
  <c r="N91" i="7"/>
  <c r="M91" i="7"/>
  <c r="L91" i="7"/>
  <c r="K91" i="7"/>
  <c r="J91" i="7"/>
  <c r="S90" i="7"/>
  <c r="R90" i="7"/>
  <c r="Q90" i="7"/>
  <c r="P90" i="7"/>
  <c r="O90" i="7"/>
  <c r="N90" i="7"/>
  <c r="M90" i="7"/>
  <c r="L90" i="7"/>
  <c r="K90" i="7"/>
  <c r="J90" i="7"/>
  <c r="S89" i="7"/>
  <c r="R89" i="7"/>
  <c r="Q89" i="7"/>
  <c r="P89" i="7"/>
  <c r="O89" i="7"/>
  <c r="N89" i="7"/>
  <c r="M89" i="7"/>
  <c r="L89" i="7"/>
  <c r="K89" i="7"/>
  <c r="J89" i="7"/>
  <c r="S88" i="7"/>
  <c r="R88" i="7"/>
  <c r="Q88" i="7"/>
  <c r="P88" i="7"/>
  <c r="O88" i="7"/>
  <c r="N88" i="7"/>
  <c r="M88" i="7"/>
  <c r="L88" i="7"/>
  <c r="K88" i="7"/>
  <c r="J88" i="7"/>
  <c r="S87" i="7"/>
  <c r="R87" i="7"/>
  <c r="Q87" i="7"/>
  <c r="P87" i="7"/>
  <c r="O87" i="7"/>
  <c r="N87" i="7"/>
  <c r="M87" i="7"/>
  <c r="L87" i="7"/>
  <c r="K87" i="7"/>
  <c r="J87" i="7"/>
  <c r="S86" i="7"/>
  <c r="R86" i="7"/>
  <c r="Q86" i="7"/>
  <c r="P86" i="7"/>
  <c r="O86" i="7"/>
  <c r="N86" i="7"/>
  <c r="M86" i="7"/>
  <c r="L86" i="7"/>
  <c r="K86" i="7"/>
  <c r="J86" i="7"/>
  <c r="S85" i="7"/>
  <c r="R85" i="7"/>
  <c r="Q85" i="7"/>
  <c r="P85" i="7"/>
  <c r="O85" i="7"/>
  <c r="N85" i="7"/>
  <c r="M85" i="7"/>
  <c r="L85" i="7"/>
  <c r="K85" i="7"/>
  <c r="J85" i="7"/>
  <c r="S84" i="7"/>
  <c r="R84" i="7"/>
  <c r="Q84" i="7"/>
  <c r="P84" i="7"/>
  <c r="O84" i="7"/>
  <c r="N84" i="7"/>
  <c r="M84" i="7"/>
  <c r="L84" i="7"/>
  <c r="K84" i="7"/>
  <c r="J84" i="7"/>
  <c r="S83" i="7"/>
  <c r="R83" i="7"/>
  <c r="Q83" i="7"/>
  <c r="P83" i="7"/>
  <c r="O83" i="7"/>
  <c r="N83" i="7"/>
  <c r="M83" i="7"/>
  <c r="L83" i="7"/>
  <c r="K83" i="7"/>
  <c r="J83" i="7"/>
  <c r="S82" i="7"/>
  <c r="R82" i="7"/>
  <c r="Q82" i="7"/>
  <c r="P82" i="7"/>
  <c r="O82" i="7"/>
  <c r="N82" i="7"/>
  <c r="M82" i="7"/>
  <c r="L82" i="7"/>
  <c r="K82" i="7"/>
  <c r="J82" i="7"/>
  <c r="S81" i="7"/>
  <c r="R81" i="7"/>
  <c r="Q81" i="7"/>
  <c r="P81" i="7"/>
  <c r="O81" i="7"/>
  <c r="N81" i="7"/>
  <c r="M81" i="7"/>
  <c r="L81" i="7"/>
  <c r="K81" i="7"/>
  <c r="J81" i="7"/>
  <c r="S80" i="7"/>
  <c r="R80" i="7"/>
  <c r="Q80" i="7"/>
  <c r="P80" i="7"/>
  <c r="O80" i="7"/>
  <c r="N80" i="7"/>
  <c r="M80" i="7"/>
  <c r="L80" i="7"/>
  <c r="K80" i="7"/>
  <c r="J80" i="7"/>
  <c r="S79" i="7"/>
  <c r="R79" i="7"/>
  <c r="Q79" i="7"/>
  <c r="P79" i="7"/>
  <c r="O79" i="7"/>
  <c r="N79" i="7"/>
  <c r="M79" i="7"/>
  <c r="L79" i="7"/>
  <c r="K79" i="7"/>
  <c r="J79" i="7"/>
  <c r="S78" i="7"/>
  <c r="R78" i="7"/>
  <c r="Q78" i="7"/>
  <c r="P78" i="7"/>
  <c r="O78" i="7"/>
  <c r="N78" i="7"/>
  <c r="M78" i="7"/>
  <c r="L78" i="7"/>
  <c r="K78" i="7"/>
  <c r="J78" i="7"/>
  <c r="S77" i="7"/>
  <c r="R77" i="7"/>
  <c r="Q77" i="7"/>
  <c r="P77" i="7"/>
  <c r="O77" i="7"/>
  <c r="N77" i="7"/>
  <c r="M77" i="7"/>
  <c r="L77" i="7"/>
  <c r="K77" i="7"/>
  <c r="J77" i="7"/>
  <c r="S76" i="7"/>
  <c r="R76" i="7"/>
  <c r="Q76" i="7"/>
  <c r="P76" i="7"/>
  <c r="O76" i="7"/>
  <c r="N76" i="7"/>
  <c r="M76" i="7"/>
  <c r="L76" i="7"/>
  <c r="K76" i="7"/>
  <c r="J76" i="7"/>
  <c r="S75" i="7"/>
  <c r="R75" i="7"/>
  <c r="Q75" i="7"/>
  <c r="P75" i="7"/>
  <c r="O75" i="7"/>
  <c r="N75" i="7"/>
  <c r="M75" i="7"/>
  <c r="L75" i="7"/>
  <c r="K75" i="7"/>
  <c r="J75" i="7"/>
  <c r="S74" i="7"/>
  <c r="R74" i="7"/>
  <c r="Q74" i="7"/>
  <c r="P74" i="7"/>
  <c r="O74" i="7"/>
  <c r="N74" i="7"/>
  <c r="M74" i="7"/>
  <c r="L74" i="7"/>
  <c r="K74" i="7"/>
  <c r="J74" i="7"/>
  <c r="S73" i="7"/>
  <c r="R73" i="7"/>
  <c r="Q73" i="7"/>
  <c r="P73" i="7"/>
  <c r="O73" i="7"/>
  <c r="N73" i="7"/>
  <c r="M73" i="7"/>
  <c r="L73" i="7"/>
  <c r="K73" i="7"/>
  <c r="J73" i="7"/>
  <c r="S96" i="6"/>
  <c r="R96" i="6"/>
  <c r="Q96" i="6"/>
  <c r="P96" i="6"/>
  <c r="O96" i="6"/>
  <c r="N96" i="6"/>
  <c r="M96" i="6"/>
  <c r="L96" i="6"/>
  <c r="K96" i="6"/>
  <c r="J96" i="6"/>
  <c r="S95" i="6"/>
  <c r="R95" i="6"/>
  <c r="Q95" i="6"/>
  <c r="P95" i="6"/>
  <c r="O95" i="6"/>
  <c r="N95" i="6"/>
  <c r="M95" i="6"/>
  <c r="L95" i="6"/>
  <c r="K95" i="6"/>
  <c r="J95" i="6"/>
  <c r="S94" i="6"/>
  <c r="R94" i="6"/>
  <c r="Q94" i="6"/>
  <c r="P94" i="6"/>
  <c r="O94" i="6"/>
  <c r="N94" i="6"/>
  <c r="M94" i="6"/>
  <c r="L94" i="6"/>
  <c r="K94" i="6"/>
  <c r="J94" i="6"/>
  <c r="S93" i="6"/>
  <c r="R93" i="6"/>
  <c r="Q93" i="6"/>
  <c r="P93" i="6"/>
  <c r="O93" i="6"/>
  <c r="N93" i="6"/>
  <c r="M93" i="6"/>
  <c r="L93" i="6"/>
  <c r="K93" i="6"/>
  <c r="J93" i="6"/>
  <c r="S92" i="6"/>
  <c r="R92" i="6"/>
  <c r="Q92" i="6"/>
  <c r="P92" i="6"/>
  <c r="O92" i="6"/>
  <c r="N92" i="6"/>
  <c r="M92" i="6"/>
  <c r="L92" i="6"/>
  <c r="K92" i="6"/>
  <c r="J92" i="6"/>
  <c r="S91" i="6"/>
  <c r="R91" i="6"/>
  <c r="Q91" i="6"/>
  <c r="P91" i="6"/>
  <c r="O91" i="6"/>
  <c r="N91" i="6"/>
  <c r="M91" i="6"/>
  <c r="L91" i="6"/>
  <c r="K91" i="6"/>
  <c r="J91" i="6"/>
  <c r="S90" i="6"/>
  <c r="R90" i="6"/>
  <c r="Q90" i="6"/>
  <c r="P90" i="6"/>
  <c r="O90" i="6"/>
  <c r="N90" i="6"/>
  <c r="M90" i="6"/>
  <c r="L90" i="6"/>
  <c r="K90" i="6"/>
  <c r="J90" i="6"/>
  <c r="S89" i="6"/>
  <c r="R89" i="6"/>
  <c r="Q89" i="6"/>
  <c r="P89" i="6"/>
  <c r="O89" i="6"/>
  <c r="N89" i="6"/>
  <c r="M89" i="6"/>
  <c r="L89" i="6"/>
  <c r="K89" i="6"/>
  <c r="J89" i="6"/>
  <c r="S88" i="6"/>
  <c r="R88" i="6"/>
  <c r="Q88" i="6"/>
  <c r="P88" i="6"/>
  <c r="O88" i="6"/>
  <c r="N88" i="6"/>
  <c r="M88" i="6"/>
  <c r="L88" i="6"/>
  <c r="K88" i="6"/>
  <c r="J88" i="6"/>
  <c r="S87" i="6"/>
  <c r="R87" i="6"/>
  <c r="Q87" i="6"/>
  <c r="P87" i="6"/>
  <c r="O87" i="6"/>
  <c r="N87" i="6"/>
  <c r="M87" i="6"/>
  <c r="L87" i="6"/>
  <c r="K87" i="6"/>
  <c r="J87" i="6"/>
  <c r="S86" i="6"/>
  <c r="R86" i="6"/>
  <c r="Q86" i="6"/>
  <c r="P86" i="6"/>
  <c r="O86" i="6"/>
  <c r="N86" i="6"/>
  <c r="M86" i="6"/>
  <c r="L86" i="6"/>
  <c r="K86" i="6"/>
  <c r="J86" i="6"/>
  <c r="S85" i="6"/>
  <c r="R85" i="6"/>
  <c r="Q85" i="6"/>
  <c r="P85" i="6"/>
  <c r="O85" i="6"/>
  <c r="N85" i="6"/>
  <c r="M85" i="6"/>
  <c r="L85" i="6"/>
  <c r="K85" i="6"/>
  <c r="J85" i="6"/>
  <c r="S84" i="6"/>
  <c r="R84" i="6"/>
  <c r="Q84" i="6"/>
  <c r="P84" i="6"/>
  <c r="O84" i="6"/>
  <c r="N84" i="6"/>
  <c r="M84" i="6"/>
  <c r="L84" i="6"/>
  <c r="K84" i="6"/>
  <c r="J84" i="6"/>
  <c r="S83" i="6"/>
  <c r="R83" i="6"/>
  <c r="Q83" i="6"/>
  <c r="P83" i="6"/>
  <c r="O83" i="6"/>
  <c r="N83" i="6"/>
  <c r="M83" i="6"/>
  <c r="L83" i="6"/>
  <c r="K83" i="6"/>
  <c r="J83" i="6"/>
  <c r="S82" i="6"/>
  <c r="R82" i="6"/>
  <c r="Q82" i="6"/>
  <c r="P82" i="6"/>
  <c r="O82" i="6"/>
  <c r="N82" i="6"/>
  <c r="M82" i="6"/>
  <c r="L82" i="6"/>
  <c r="K82" i="6"/>
  <c r="J82" i="6"/>
  <c r="S81" i="6"/>
  <c r="R81" i="6"/>
  <c r="Q81" i="6"/>
  <c r="P81" i="6"/>
  <c r="O81" i="6"/>
  <c r="N81" i="6"/>
  <c r="M81" i="6"/>
  <c r="L81" i="6"/>
  <c r="K81" i="6"/>
  <c r="J81" i="6"/>
  <c r="S80" i="6"/>
  <c r="R80" i="6"/>
  <c r="Q80" i="6"/>
  <c r="P80" i="6"/>
  <c r="O80" i="6"/>
  <c r="N80" i="6"/>
  <c r="M80" i="6"/>
  <c r="L80" i="6"/>
  <c r="K80" i="6"/>
  <c r="J80" i="6"/>
  <c r="S79" i="6"/>
  <c r="R79" i="6"/>
  <c r="Q79" i="6"/>
  <c r="P79" i="6"/>
  <c r="O79" i="6"/>
  <c r="N79" i="6"/>
  <c r="M79" i="6"/>
  <c r="L79" i="6"/>
  <c r="K79" i="6"/>
  <c r="J79" i="6"/>
  <c r="S78" i="6"/>
  <c r="R78" i="6"/>
  <c r="Q78" i="6"/>
  <c r="P78" i="6"/>
  <c r="O78" i="6"/>
  <c r="N78" i="6"/>
  <c r="M78" i="6"/>
  <c r="L78" i="6"/>
  <c r="K78" i="6"/>
  <c r="J78" i="6"/>
  <c r="S77" i="6"/>
  <c r="R77" i="6"/>
  <c r="Q77" i="6"/>
  <c r="P77" i="6"/>
  <c r="O77" i="6"/>
  <c r="N77" i="6"/>
  <c r="M77" i="6"/>
  <c r="L77" i="6"/>
  <c r="K77" i="6"/>
  <c r="J77" i="6"/>
  <c r="S76" i="6"/>
  <c r="R76" i="6"/>
  <c r="Q76" i="6"/>
  <c r="P76" i="6"/>
  <c r="O76" i="6"/>
  <c r="N76" i="6"/>
  <c r="M76" i="6"/>
  <c r="L76" i="6"/>
  <c r="K76" i="6"/>
  <c r="J76" i="6"/>
  <c r="S75" i="6"/>
  <c r="R75" i="6"/>
  <c r="Q75" i="6"/>
  <c r="P75" i="6"/>
  <c r="O75" i="6"/>
  <c r="N75" i="6"/>
  <c r="M75" i="6"/>
  <c r="L75" i="6"/>
  <c r="K75" i="6"/>
  <c r="J75" i="6"/>
  <c r="S74" i="6"/>
  <c r="R74" i="6"/>
  <c r="Q74" i="6"/>
  <c r="P74" i="6"/>
  <c r="O74" i="6"/>
  <c r="N74" i="6"/>
  <c r="M74" i="6"/>
  <c r="L74" i="6"/>
  <c r="K74" i="6"/>
  <c r="J74" i="6"/>
  <c r="S73" i="6"/>
  <c r="R73" i="6"/>
  <c r="Q73" i="6"/>
  <c r="P73" i="6"/>
  <c r="O73" i="6"/>
  <c r="N73" i="6"/>
  <c r="M73" i="6"/>
  <c r="L73" i="6"/>
  <c r="K73" i="6"/>
  <c r="J73" i="6"/>
  <c r="S96" i="5"/>
  <c r="R96" i="5"/>
  <c r="Q96" i="5"/>
  <c r="P96" i="5"/>
  <c r="O96" i="5"/>
  <c r="N96" i="5"/>
  <c r="M96" i="5"/>
  <c r="L96" i="5"/>
  <c r="K96" i="5"/>
  <c r="J96" i="5"/>
  <c r="S95" i="5"/>
  <c r="R95" i="5"/>
  <c r="Q95" i="5"/>
  <c r="P95" i="5"/>
  <c r="O95" i="5"/>
  <c r="N95" i="5"/>
  <c r="M95" i="5"/>
  <c r="L95" i="5"/>
  <c r="K95" i="5"/>
  <c r="J95" i="5"/>
  <c r="S94" i="5"/>
  <c r="R94" i="5"/>
  <c r="Q94" i="5"/>
  <c r="P94" i="5"/>
  <c r="O94" i="5"/>
  <c r="N94" i="5"/>
  <c r="M94" i="5"/>
  <c r="L94" i="5"/>
  <c r="K94" i="5"/>
  <c r="J94" i="5"/>
  <c r="S93" i="5"/>
  <c r="R93" i="5"/>
  <c r="Q93" i="5"/>
  <c r="P93" i="5"/>
  <c r="O93" i="5"/>
  <c r="N93" i="5"/>
  <c r="M93" i="5"/>
  <c r="L93" i="5"/>
  <c r="K93" i="5"/>
  <c r="J93" i="5"/>
  <c r="S92" i="5"/>
  <c r="R92" i="5"/>
  <c r="Q92" i="5"/>
  <c r="P92" i="5"/>
  <c r="O92" i="5"/>
  <c r="N92" i="5"/>
  <c r="M92" i="5"/>
  <c r="L92" i="5"/>
  <c r="K92" i="5"/>
  <c r="J92" i="5"/>
  <c r="S91" i="5"/>
  <c r="R91" i="5"/>
  <c r="Q91" i="5"/>
  <c r="P91" i="5"/>
  <c r="O91" i="5"/>
  <c r="N91" i="5"/>
  <c r="M91" i="5"/>
  <c r="L91" i="5"/>
  <c r="K91" i="5"/>
  <c r="J91" i="5"/>
  <c r="S90" i="5"/>
  <c r="R90" i="5"/>
  <c r="Q90" i="5"/>
  <c r="P90" i="5"/>
  <c r="O90" i="5"/>
  <c r="N90" i="5"/>
  <c r="M90" i="5"/>
  <c r="L90" i="5"/>
  <c r="K90" i="5"/>
  <c r="J90" i="5"/>
  <c r="S89" i="5"/>
  <c r="R89" i="5"/>
  <c r="Q89" i="5"/>
  <c r="P89" i="5"/>
  <c r="O89" i="5"/>
  <c r="N89" i="5"/>
  <c r="M89" i="5"/>
  <c r="L89" i="5"/>
  <c r="K89" i="5"/>
  <c r="J89" i="5"/>
  <c r="S88" i="5"/>
  <c r="R88" i="5"/>
  <c r="Q88" i="5"/>
  <c r="P88" i="5"/>
  <c r="O88" i="5"/>
  <c r="N88" i="5"/>
  <c r="M88" i="5"/>
  <c r="L88" i="5"/>
  <c r="K88" i="5"/>
  <c r="J88" i="5"/>
  <c r="S87" i="5"/>
  <c r="R87" i="5"/>
  <c r="Q87" i="5"/>
  <c r="P87" i="5"/>
  <c r="O87" i="5"/>
  <c r="N87" i="5"/>
  <c r="M87" i="5"/>
  <c r="L87" i="5"/>
  <c r="K87" i="5"/>
  <c r="J87" i="5"/>
  <c r="S86" i="5"/>
  <c r="R86" i="5"/>
  <c r="Q86" i="5"/>
  <c r="P86" i="5"/>
  <c r="O86" i="5"/>
  <c r="N86" i="5"/>
  <c r="M86" i="5"/>
  <c r="L86" i="5"/>
  <c r="K86" i="5"/>
  <c r="J86" i="5"/>
  <c r="S85" i="5"/>
  <c r="R85" i="5"/>
  <c r="Q85" i="5"/>
  <c r="P85" i="5"/>
  <c r="O85" i="5"/>
  <c r="N85" i="5"/>
  <c r="M85" i="5"/>
  <c r="L85" i="5"/>
  <c r="K85" i="5"/>
  <c r="J85" i="5"/>
  <c r="S84" i="5"/>
  <c r="R84" i="5"/>
  <c r="Q84" i="5"/>
  <c r="P84" i="5"/>
  <c r="O84" i="5"/>
  <c r="N84" i="5"/>
  <c r="M84" i="5"/>
  <c r="L84" i="5"/>
  <c r="K84" i="5"/>
  <c r="J84" i="5"/>
  <c r="S83" i="5"/>
  <c r="R83" i="5"/>
  <c r="Q83" i="5"/>
  <c r="P83" i="5"/>
  <c r="O83" i="5"/>
  <c r="N83" i="5"/>
  <c r="M83" i="5"/>
  <c r="L83" i="5"/>
  <c r="K83" i="5"/>
  <c r="J83" i="5"/>
  <c r="S82" i="5"/>
  <c r="R82" i="5"/>
  <c r="Q82" i="5"/>
  <c r="P82" i="5"/>
  <c r="O82" i="5"/>
  <c r="N82" i="5"/>
  <c r="M82" i="5"/>
  <c r="L82" i="5"/>
  <c r="K82" i="5"/>
  <c r="J82" i="5"/>
  <c r="S81" i="5"/>
  <c r="R81" i="5"/>
  <c r="Q81" i="5"/>
  <c r="P81" i="5"/>
  <c r="O81" i="5"/>
  <c r="N81" i="5"/>
  <c r="M81" i="5"/>
  <c r="L81" i="5"/>
  <c r="K81" i="5"/>
  <c r="J81" i="5"/>
  <c r="S80" i="5"/>
  <c r="R80" i="5"/>
  <c r="Q80" i="5"/>
  <c r="P80" i="5"/>
  <c r="O80" i="5"/>
  <c r="N80" i="5"/>
  <c r="M80" i="5"/>
  <c r="L80" i="5"/>
  <c r="K80" i="5"/>
  <c r="J80" i="5"/>
  <c r="S79" i="5"/>
  <c r="R79" i="5"/>
  <c r="Q79" i="5"/>
  <c r="P79" i="5"/>
  <c r="O79" i="5"/>
  <c r="N79" i="5"/>
  <c r="M79" i="5"/>
  <c r="L79" i="5"/>
  <c r="K79" i="5"/>
  <c r="J79" i="5"/>
  <c r="S78" i="5"/>
  <c r="R78" i="5"/>
  <c r="Q78" i="5"/>
  <c r="P78" i="5"/>
  <c r="O78" i="5"/>
  <c r="N78" i="5"/>
  <c r="M78" i="5"/>
  <c r="L78" i="5"/>
  <c r="K78" i="5"/>
  <c r="J78" i="5"/>
  <c r="S77" i="5"/>
  <c r="R77" i="5"/>
  <c r="Q77" i="5"/>
  <c r="P77" i="5"/>
  <c r="O77" i="5"/>
  <c r="N77" i="5"/>
  <c r="M77" i="5"/>
  <c r="L77" i="5"/>
  <c r="K77" i="5"/>
  <c r="J77" i="5"/>
  <c r="S76" i="5"/>
  <c r="R76" i="5"/>
  <c r="Q76" i="5"/>
  <c r="P76" i="5"/>
  <c r="O76" i="5"/>
  <c r="N76" i="5"/>
  <c r="M76" i="5"/>
  <c r="L76" i="5"/>
  <c r="K76" i="5"/>
  <c r="J76" i="5"/>
  <c r="S75" i="5"/>
  <c r="R75" i="5"/>
  <c r="Q75" i="5"/>
  <c r="P75" i="5"/>
  <c r="O75" i="5"/>
  <c r="N75" i="5"/>
  <c r="M75" i="5"/>
  <c r="L75" i="5"/>
  <c r="K75" i="5"/>
  <c r="J75" i="5"/>
  <c r="S74" i="5"/>
  <c r="R74" i="5"/>
  <c r="Q74" i="5"/>
  <c r="P74" i="5"/>
  <c r="O74" i="5"/>
  <c r="N74" i="5"/>
  <c r="M74" i="5"/>
  <c r="L74" i="5"/>
  <c r="K74" i="5"/>
  <c r="J74" i="5"/>
  <c r="S73" i="5"/>
  <c r="R73" i="5"/>
  <c r="Q73" i="5"/>
  <c r="P73" i="5"/>
  <c r="O73" i="5"/>
  <c r="N73" i="5"/>
  <c r="M73" i="5"/>
  <c r="L73" i="5"/>
  <c r="K73" i="5"/>
  <c r="J73" i="5"/>
  <c r="S96" i="4"/>
  <c r="R96" i="4"/>
  <c r="Q96" i="4"/>
  <c r="P96" i="4"/>
  <c r="O96" i="4"/>
  <c r="N96" i="4"/>
  <c r="M96" i="4"/>
  <c r="L96" i="4"/>
  <c r="K96" i="4"/>
  <c r="J96" i="4"/>
  <c r="S95" i="4"/>
  <c r="R95" i="4"/>
  <c r="Q95" i="4"/>
  <c r="P95" i="4"/>
  <c r="O95" i="4"/>
  <c r="N95" i="4"/>
  <c r="M95" i="4"/>
  <c r="L95" i="4"/>
  <c r="K95" i="4"/>
  <c r="J95" i="4"/>
  <c r="S94" i="4"/>
  <c r="R94" i="4"/>
  <c r="Q94" i="4"/>
  <c r="P94" i="4"/>
  <c r="O94" i="4"/>
  <c r="N94" i="4"/>
  <c r="M94" i="4"/>
  <c r="L94" i="4"/>
  <c r="K94" i="4"/>
  <c r="J94" i="4"/>
  <c r="S93" i="4"/>
  <c r="R93" i="4"/>
  <c r="Q93" i="4"/>
  <c r="P93" i="4"/>
  <c r="O93" i="4"/>
  <c r="N93" i="4"/>
  <c r="M93" i="4"/>
  <c r="L93" i="4"/>
  <c r="K93" i="4"/>
  <c r="J93" i="4"/>
  <c r="S92" i="4"/>
  <c r="R92" i="4"/>
  <c r="Q92" i="4"/>
  <c r="P92" i="4"/>
  <c r="O92" i="4"/>
  <c r="N92" i="4"/>
  <c r="M92" i="4"/>
  <c r="L92" i="4"/>
  <c r="K92" i="4"/>
  <c r="J92" i="4"/>
  <c r="S91" i="4"/>
  <c r="R91" i="4"/>
  <c r="Q91" i="4"/>
  <c r="P91" i="4"/>
  <c r="O91" i="4"/>
  <c r="N91" i="4"/>
  <c r="M91" i="4"/>
  <c r="L91" i="4"/>
  <c r="K91" i="4"/>
  <c r="J91" i="4"/>
  <c r="S90" i="4"/>
  <c r="R90" i="4"/>
  <c r="Q90" i="4"/>
  <c r="P90" i="4"/>
  <c r="O90" i="4"/>
  <c r="N90" i="4"/>
  <c r="M90" i="4"/>
  <c r="L90" i="4"/>
  <c r="K90" i="4"/>
  <c r="J90" i="4"/>
  <c r="S89" i="4"/>
  <c r="R89" i="4"/>
  <c r="Q89" i="4"/>
  <c r="P89" i="4"/>
  <c r="O89" i="4"/>
  <c r="N89" i="4"/>
  <c r="M89" i="4"/>
  <c r="L89" i="4"/>
  <c r="K89" i="4"/>
  <c r="J89" i="4"/>
  <c r="S88" i="4"/>
  <c r="R88" i="4"/>
  <c r="Q88" i="4"/>
  <c r="P88" i="4"/>
  <c r="O88" i="4"/>
  <c r="N88" i="4"/>
  <c r="M88" i="4"/>
  <c r="L88" i="4"/>
  <c r="K88" i="4"/>
  <c r="J88" i="4"/>
  <c r="S87" i="4"/>
  <c r="R87" i="4"/>
  <c r="Q87" i="4"/>
  <c r="P87" i="4"/>
  <c r="O87" i="4"/>
  <c r="N87" i="4"/>
  <c r="M87" i="4"/>
  <c r="L87" i="4"/>
  <c r="K87" i="4"/>
  <c r="J87" i="4"/>
  <c r="S86" i="4"/>
  <c r="R86" i="4"/>
  <c r="Q86" i="4"/>
  <c r="P86" i="4"/>
  <c r="O86" i="4"/>
  <c r="N86" i="4"/>
  <c r="M86" i="4"/>
  <c r="L86" i="4"/>
  <c r="K86" i="4"/>
  <c r="J86" i="4"/>
  <c r="S85" i="4"/>
  <c r="R85" i="4"/>
  <c r="Q85" i="4"/>
  <c r="P85" i="4"/>
  <c r="O85" i="4"/>
  <c r="N85" i="4"/>
  <c r="M85" i="4"/>
  <c r="L85" i="4"/>
  <c r="K85" i="4"/>
  <c r="J85" i="4"/>
  <c r="S84" i="4"/>
  <c r="R84" i="4"/>
  <c r="Q84" i="4"/>
  <c r="P84" i="4"/>
  <c r="O84" i="4"/>
  <c r="N84" i="4"/>
  <c r="M84" i="4"/>
  <c r="L84" i="4"/>
  <c r="K84" i="4"/>
  <c r="J84" i="4"/>
  <c r="S83" i="4"/>
  <c r="R83" i="4"/>
  <c r="Q83" i="4"/>
  <c r="P83" i="4"/>
  <c r="O83" i="4"/>
  <c r="N83" i="4"/>
  <c r="M83" i="4"/>
  <c r="L83" i="4"/>
  <c r="K83" i="4"/>
  <c r="J83" i="4"/>
  <c r="S82" i="4"/>
  <c r="R82" i="4"/>
  <c r="Q82" i="4"/>
  <c r="P82" i="4"/>
  <c r="O82" i="4"/>
  <c r="N82" i="4"/>
  <c r="M82" i="4"/>
  <c r="L82" i="4"/>
  <c r="K82" i="4"/>
  <c r="J82" i="4"/>
  <c r="S81" i="4"/>
  <c r="R81" i="4"/>
  <c r="Q81" i="4"/>
  <c r="P81" i="4"/>
  <c r="O81" i="4"/>
  <c r="N81" i="4"/>
  <c r="M81" i="4"/>
  <c r="L81" i="4"/>
  <c r="K81" i="4"/>
  <c r="J81" i="4"/>
  <c r="S80" i="4"/>
  <c r="R80" i="4"/>
  <c r="Q80" i="4"/>
  <c r="P80" i="4"/>
  <c r="O80" i="4"/>
  <c r="N80" i="4"/>
  <c r="M80" i="4"/>
  <c r="L80" i="4"/>
  <c r="K80" i="4"/>
  <c r="J80" i="4"/>
  <c r="S79" i="4"/>
  <c r="R79" i="4"/>
  <c r="Q79" i="4"/>
  <c r="P79" i="4"/>
  <c r="O79" i="4"/>
  <c r="N79" i="4"/>
  <c r="M79" i="4"/>
  <c r="L79" i="4"/>
  <c r="K79" i="4"/>
  <c r="J79" i="4"/>
  <c r="S78" i="4"/>
  <c r="R78" i="4"/>
  <c r="Q78" i="4"/>
  <c r="P78" i="4"/>
  <c r="O78" i="4"/>
  <c r="N78" i="4"/>
  <c r="M78" i="4"/>
  <c r="L78" i="4"/>
  <c r="K78" i="4"/>
  <c r="J78" i="4"/>
  <c r="S77" i="4"/>
  <c r="R77" i="4"/>
  <c r="Q77" i="4"/>
  <c r="P77" i="4"/>
  <c r="O77" i="4"/>
  <c r="N77" i="4"/>
  <c r="M77" i="4"/>
  <c r="L77" i="4"/>
  <c r="K77" i="4"/>
  <c r="J77" i="4"/>
  <c r="S76" i="4"/>
  <c r="R76" i="4"/>
  <c r="Q76" i="4"/>
  <c r="P76" i="4"/>
  <c r="O76" i="4"/>
  <c r="N76" i="4"/>
  <c r="M76" i="4"/>
  <c r="L76" i="4"/>
  <c r="K76" i="4"/>
  <c r="J76" i="4"/>
  <c r="S75" i="4"/>
  <c r="R75" i="4"/>
  <c r="Q75" i="4"/>
  <c r="P75" i="4"/>
  <c r="O75" i="4"/>
  <c r="N75" i="4"/>
  <c r="M75" i="4"/>
  <c r="L75" i="4"/>
  <c r="K75" i="4"/>
  <c r="J75" i="4"/>
  <c r="S74" i="4"/>
  <c r="R74" i="4"/>
  <c r="Q74" i="4"/>
  <c r="P74" i="4"/>
  <c r="O74" i="4"/>
  <c r="N74" i="4"/>
  <c r="M74" i="4"/>
  <c r="L74" i="4"/>
  <c r="K74" i="4"/>
  <c r="J74" i="4"/>
  <c r="S73" i="4"/>
  <c r="R73" i="4"/>
  <c r="Q73" i="4"/>
  <c r="P73" i="4"/>
  <c r="O73" i="4"/>
  <c r="N73" i="4"/>
  <c r="M73" i="4"/>
  <c r="L73" i="4"/>
  <c r="K73" i="4"/>
  <c r="J73" i="4"/>
  <c r="S96" i="3"/>
  <c r="R96" i="3"/>
  <c r="Q96" i="3"/>
  <c r="P96" i="3"/>
  <c r="O96" i="3"/>
  <c r="N96" i="3"/>
  <c r="M96" i="3"/>
  <c r="L96" i="3"/>
  <c r="K96" i="3"/>
  <c r="J96" i="3"/>
  <c r="S95" i="3"/>
  <c r="R95" i="3"/>
  <c r="Q95" i="3"/>
  <c r="P95" i="3"/>
  <c r="O95" i="3"/>
  <c r="N95" i="3"/>
  <c r="M95" i="3"/>
  <c r="L95" i="3"/>
  <c r="K95" i="3"/>
  <c r="J95" i="3"/>
  <c r="S94" i="3"/>
  <c r="R94" i="3"/>
  <c r="Q94" i="3"/>
  <c r="P94" i="3"/>
  <c r="O94" i="3"/>
  <c r="N94" i="3"/>
  <c r="M94" i="3"/>
  <c r="L94" i="3"/>
  <c r="K94" i="3"/>
  <c r="J94" i="3"/>
  <c r="S93" i="3"/>
  <c r="R93" i="3"/>
  <c r="Q93" i="3"/>
  <c r="P93" i="3"/>
  <c r="O93" i="3"/>
  <c r="N93" i="3"/>
  <c r="M93" i="3"/>
  <c r="L93" i="3"/>
  <c r="K93" i="3"/>
  <c r="J93" i="3"/>
  <c r="S92" i="3"/>
  <c r="R92" i="3"/>
  <c r="Q92" i="3"/>
  <c r="P92" i="3"/>
  <c r="O92" i="3"/>
  <c r="N92" i="3"/>
  <c r="M92" i="3"/>
  <c r="L92" i="3"/>
  <c r="K92" i="3"/>
  <c r="J92" i="3"/>
  <c r="S91" i="3"/>
  <c r="R91" i="3"/>
  <c r="Q91" i="3"/>
  <c r="P91" i="3"/>
  <c r="O91" i="3"/>
  <c r="N91" i="3"/>
  <c r="M91" i="3"/>
  <c r="L91" i="3"/>
  <c r="K91" i="3"/>
  <c r="J91" i="3"/>
  <c r="S90" i="3"/>
  <c r="R90" i="3"/>
  <c r="Q90" i="3"/>
  <c r="P90" i="3"/>
  <c r="O90" i="3"/>
  <c r="N90" i="3"/>
  <c r="M90" i="3"/>
  <c r="L90" i="3"/>
  <c r="K90" i="3"/>
  <c r="J90" i="3"/>
  <c r="S89" i="3"/>
  <c r="R89" i="3"/>
  <c r="Q89" i="3"/>
  <c r="P89" i="3"/>
  <c r="O89" i="3"/>
  <c r="N89" i="3"/>
  <c r="M89" i="3"/>
  <c r="L89" i="3"/>
  <c r="K89" i="3"/>
  <c r="J89" i="3"/>
  <c r="S88" i="3"/>
  <c r="R88" i="3"/>
  <c r="Q88" i="3"/>
  <c r="P88" i="3"/>
  <c r="O88" i="3"/>
  <c r="N88" i="3"/>
  <c r="M88" i="3"/>
  <c r="L88" i="3"/>
  <c r="K88" i="3"/>
  <c r="J88" i="3"/>
  <c r="S87" i="3"/>
  <c r="R87" i="3"/>
  <c r="Q87" i="3"/>
  <c r="P87" i="3"/>
  <c r="O87" i="3"/>
  <c r="N87" i="3"/>
  <c r="M87" i="3"/>
  <c r="L87" i="3"/>
  <c r="K87" i="3"/>
  <c r="J87" i="3"/>
  <c r="S86" i="3"/>
  <c r="R86" i="3"/>
  <c r="Q86" i="3"/>
  <c r="P86" i="3"/>
  <c r="O86" i="3"/>
  <c r="N86" i="3"/>
  <c r="M86" i="3"/>
  <c r="L86" i="3"/>
  <c r="K86" i="3"/>
  <c r="J86" i="3"/>
  <c r="S85" i="3"/>
  <c r="R85" i="3"/>
  <c r="Q85" i="3"/>
  <c r="P85" i="3"/>
  <c r="O85" i="3"/>
  <c r="N85" i="3"/>
  <c r="M85" i="3"/>
  <c r="L85" i="3"/>
  <c r="K85" i="3"/>
  <c r="J85" i="3"/>
  <c r="S84" i="3"/>
  <c r="R84" i="3"/>
  <c r="Q84" i="3"/>
  <c r="P84" i="3"/>
  <c r="O84" i="3"/>
  <c r="N84" i="3"/>
  <c r="M84" i="3"/>
  <c r="L84" i="3"/>
  <c r="K84" i="3"/>
  <c r="J84" i="3"/>
  <c r="S83" i="3"/>
  <c r="R83" i="3"/>
  <c r="Q83" i="3"/>
  <c r="P83" i="3"/>
  <c r="O83" i="3"/>
  <c r="N83" i="3"/>
  <c r="M83" i="3"/>
  <c r="L83" i="3"/>
  <c r="K83" i="3"/>
  <c r="J83" i="3"/>
  <c r="S82" i="3"/>
  <c r="R82" i="3"/>
  <c r="Q82" i="3"/>
  <c r="P82" i="3"/>
  <c r="O82" i="3"/>
  <c r="N82" i="3"/>
  <c r="M82" i="3"/>
  <c r="L82" i="3"/>
  <c r="K82" i="3"/>
  <c r="J82" i="3"/>
  <c r="S81" i="3"/>
  <c r="R81" i="3"/>
  <c r="Q81" i="3"/>
  <c r="P81" i="3"/>
  <c r="O81" i="3"/>
  <c r="N81" i="3"/>
  <c r="M81" i="3"/>
  <c r="L81" i="3"/>
  <c r="K81" i="3"/>
  <c r="J81" i="3"/>
  <c r="S80" i="3"/>
  <c r="R80" i="3"/>
  <c r="Q80" i="3"/>
  <c r="P80" i="3"/>
  <c r="O80" i="3"/>
  <c r="N80" i="3"/>
  <c r="M80" i="3"/>
  <c r="L80" i="3"/>
  <c r="K80" i="3"/>
  <c r="J80" i="3"/>
  <c r="S79" i="3"/>
  <c r="R79" i="3"/>
  <c r="Q79" i="3"/>
  <c r="P79" i="3"/>
  <c r="O79" i="3"/>
  <c r="N79" i="3"/>
  <c r="M79" i="3"/>
  <c r="L79" i="3"/>
  <c r="K79" i="3"/>
  <c r="J79" i="3"/>
  <c r="S78" i="3"/>
  <c r="R78" i="3"/>
  <c r="Q78" i="3"/>
  <c r="P78" i="3"/>
  <c r="O78" i="3"/>
  <c r="N78" i="3"/>
  <c r="M78" i="3"/>
  <c r="L78" i="3"/>
  <c r="K78" i="3"/>
  <c r="J78" i="3"/>
  <c r="S77" i="3"/>
  <c r="R77" i="3"/>
  <c r="Q77" i="3"/>
  <c r="P77" i="3"/>
  <c r="O77" i="3"/>
  <c r="N77" i="3"/>
  <c r="M77" i="3"/>
  <c r="L77" i="3"/>
  <c r="K77" i="3"/>
  <c r="J77" i="3"/>
  <c r="S76" i="3"/>
  <c r="R76" i="3"/>
  <c r="Q76" i="3"/>
  <c r="P76" i="3"/>
  <c r="O76" i="3"/>
  <c r="N76" i="3"/>
  <c r="M76" i="3"/>
  <c r="L76" i="3"/>
  <c r="K76" i="3"/>
  <c r="J76" i="3"/>
  <c r="S75" i="3"/>
  <c r="R75" i="3"/>
  <c r="Q75" i="3"/>
  <c r="P75" i="3"/>
  <c r="O75" i="3"/>
  <c r="N75" i="3"/>
  <c r="M75" i="3"/>
  <c r="L75" i="3"/>
  <c r="K75" i="3"/>
  <c r="J75" i="3"/>
  <c r="S74" i="3"/>
  <c r="R74" i="3"/>
  <c r="Q74" i="3"/>
  <c r="P74" i="3"/>
  <c r="O74" i="3"/>
  <c r="N74" i="3"/>
  <c r="M74" i="3"/>
  <c r="L74" i="3"/>
  <c r="K74" i="3"/>
  <c r="J74" i="3"/>
  <c r="S73" i="3"/>
  <c r="R73" i="3"/>
  <c r="Q73" i="3"/>
  <c r="P73" i="3"/>
  <c r="O73" i="3"/>
  <c r="N73" i="3"/>
  <c r="M73" i="3"/>
  <c r="L73" i="3"/>
  <c r="K73" i="3"/>
  <c r="J73" i="3"/>
  <c r="J96" i="2"/>
  <c r="J124" i="2" s="1"/>
  <c r="S96" i="2"/>
  <c r="S73" i="2"/>
  <c r="S101" i="2" s="1"/>
  <c r="J73" i="2"/>
  <c r="R96" i="2"/>
  <c r="R124" i="2" s="1"/>
  <c r="Q96" i="2"/>
  <c r="Q124" i="2" s="1"/>
  <c r="P96" i="2"/>
  <c r="P124" i="2" s="1"/>
  <c r="O96" i="2"/>
  <c r="O124" i="2" s="1"/>
  <c r="N96" i="2"/>
  <c r="N124" i="2" s="1"/>
  <c r="M96" i="2"/>
  <c r="M124" i="2" s="1"/>
  <c r="L96" i="2"/>
  <c r="L124" i="2" s="1"/>
  <c r="K96" i="2"/>
  <c r="K124" i="2" s="1"/>
  <c r="S95" i="2"/>
  <c r="S123" i="2" s="1"/>
  <c r="R95" i="2"/>
  <c r="R123" i="2" s="1"/>
  <c r="Q95" i="2"/>
  <c r="Q123" i="2" s="1"/>
  <c r="P95" i="2"/>
  <c r="P123" i="2" s="1"/>
  <c r="O95" i="2"/>
  <c r="O123" i="2" s="1"/>
  <c r="N95" i="2"/>
  <c r="N123" i="2" s="1"/>
  <c r="M95" i="2"/>
  <c r="M123" i="2" s="1"/>
  <c r="L95" i="2"/>
  <c r="L123" i="2" s="1"/>
  <c r="K95" i="2"/>
  <c r="K123" i="2" s="1"/>
  <c r="J95" i="2"/>
  <c r="J123" i="2" s="1"/>
  <c r="S94" i="2"/>
  <c r="S122" i="2" s="1"/>
  <c r="R94" i="2"/>
  <c r="R122" i="2" s="1"/>
  <c r="Q94" i="2"/>
  <c r="Q122" i="2" s="1"/>
  <c r="P94" i="2"/>
  <c r="P122" i="2" s="1"/>
  <c r="O94" i="2"/>
  <c r="O122" i="2" s="1"/>
  <c r="N94" i="2"/>
  <c r="N122" i="2" s="1"/>
  <c r="M94" i="2"/>
  <c r="M122" i="2" s="1"/>
  <c r="L94" i="2"/>
  <c r="L122" i="2" s="1"/>
  <c r="K94" i="2"/>
  <c r="K122" i="2" s="1"/>
  <c r="J94" i="2"/>
  <c r="J122" i="2" s="1"/>
  <c r="S93" i="2"/>
  <c r="S121" i="2" s="1"/>
  <c r="R93" i="2"/>
  <c r="R121" i="2" s="1"/>
  <c r="Q93" i="2"/>
  <c r="Q121" i="2" s="1"/>
  <c r="P93" i="2"/>
  <c r="P121" i="2" s="1"/>
  <c r="O93" i="2"/>
  <c r="O121" i="2" s="1"/>
  <c r="N93" i="2"/>
  <c r="N121" i="2" s="1"/>
  <c r="M93" i="2"/>
  <c r="M121" i="2" s="1"/>
  <c r="L93" i="2"/>
  <c r="L121" i="2" s="1"/>
  <c r="K93" i="2"/>
  <c r="K121" i="2" s="1"/>
  <c r="J93" i="2"/>
  <c r="J121" i="2" s="1"/>
  <c r="S92" i="2"/>
  <c r="S120" i="2" s="1"/>
  <c r="R92" i="2"/>
  <c r="R120" i="2" s="1"/>
  <c r="Q92" i="2"/>
  <c r="Q120" i="2" s="1"/>
  <c r="P92" i="2"/>
  <c r="P120" i="2" s="1"/>
  <c r="O92" i="2"/>
  <c r="O120" i="2" s="1"/>
  <c r="N92" i="2"/>
  <c r="N120" i="2" s="1"/>
  <c r="M92" i="2"/>
  <c r="M120" i="2" s="1"/>
  <c r="L92" i="2"/>
  <c r="L120" i="2" s="1"/>
  <c r="K92" i="2"/>
  <c r="K120" i="2" s="1"/>
  <c r="J92" i="2"/>
  <c r="J120" i="2" s="1"/>
  <c r="S91" i="2"/>
  <c r="S119" i="2" s="1"/>
  <c r="R91" i="2"/>
  <c r="R119" i="2" s="1"/>
  <c r="Q91" i="2"/>
  <c r="Q119" i="2" s="1"/>
  <c r="P91" i="2"/>
  <c r="P119" i="2" s="1"/>
  <c r="O91" i="2"/>
  <c r="O119" i="2" s="1"/>
  <c r="N91" i="2"/>
  <c r="N119" i="2" s="1"/>
  <c r="M91" i="2"/>
  <c r="M119" i="2" s="1"/>
  <c r="L91" i="2"/>
  <c r="L119" i="2" s="1"/>
  <c r="K91" i="2"/>
  <c r="K119" i="2" s="1"/>
  <c r="J91" i="2"/>
  <c r="J119" i="2" s="1"/>
  <c r="S90" i="2"/>
  <c r="S118" i="2" s="1"/>
  <c r="R90" i="2"/>
  <c r="R118" i="2" s="1"/>
  <c r="Q90" i="2"/>
  <c r="Q118" i="2" s="1"/>
  <c r="P90" i="2"/>
  <c r="P118" i="2" s="1"/>
  <c r="O90" i="2"/>
  <c r="O118" i="2" s="1"/>
  <c r="N90" i="2"/>
  <c r="N118" i="2" s="1"/>
  <c r="M90" i="2"/>
  <c r="M118" i="2" s="1"/>
  <c r="L90" i="2"/>
  <c r="L118" i="2" s="1"/>
  <c r="K90" i="2"/>
  <c r="K118" i="2" s="1"/>
  <c r="J90" i="2"/>
  <c r="J118" i="2" s="1"/>
  <c r="S89" i="2"/>
  <c r="S117" i="2" s="1"/>
  <c r="R89" i="2"/>
  <c r="R117" i="2" s="1"/>
  <c r="Q89" i="2"/>
  <c r="Q117" i="2" s="1"/>
  <c r="P89" i="2"/>
  <c r="P117" i="2" s="1"/>
  <c r="O89" i="2"/>
  <c r="O117" i="2" s="1"/>
  <c r="N89" i="2"/>
  <c r="N117" i="2" s="1"/>
  <c r="M89" i="2"/>
  <c r="M117" i="2" s="1"/>
  <c r="L89" i="2"/>
  <c r="L117" i="2" s="1"/>
  <c r="K89" i="2"/>
  <c r="K117" i="2" s="1"/>
  <c r="J89" i="2"/>
  <c r="J117" i="2" s="1"/>
  <c r="S88" i="2"/>
  <c r="S116" i="2" s="1"/>
  <c r="R88" i="2"/>
  <c r="R116" i="2" s="1"/>
  <c r="Q88" i="2"/>
  <c r="Q116" i="2" s="1"/>
  <c r="P88" i="2"/>
  <c r="P116" i="2" s="1"/>
  <c r="O88" i="2"/>
  <c r="O116" i="2" s="1"/>
  <c r="N88" i="2"/>
  <c r="N116" i="2" s="1"/>
  <c r="M88" i="2"/>
  <c r="M116" i="2" s="1"/>
  <c r="L88" i="2"/>
  <c r="L116" i="2" s="1"/>
  <c r="K88" i="2"/>
  <c r="K116" i="2" s="1"/>
  <c r="J88" i="2"/>
  <c r="J116" i="2" s="1"/>
  <c r="S87" i="2"/>
  <c r="S115" i="2" s="1"/>
  <c r="R87" i="2"/>
  <c r="R115" i="2" s="1"/>
  <c r="Q87" i="2"/>
  <c r="Q115" i="2" s="1"/>
  <c r="P87" i="2"/>
  <c r="P115" i="2" s="1"/>
  <c r="O87" i="2"/>
  <c r="O115" i="2" s="1"/>
  <c r="N87" i="2"/>
  <c r="N115" i="2" s="1"/>
  <c r="M87" i="2"/>
  <c r="M115" i="2" s="1"/>
  <c r="L87" i="2"/>
  <c r="L115" i="2" s="1"/>
  <c r="K87" i="2"/>
  <c r="K115" i="2" s="1"/>
  <c r="J87" i="2"/>
  <c r="J115" i="2" s="1"/>
  <c r="S86" i="2"/>
  <c r="S114" i="2" s="1"/>
  <c r="R86" i="2"/>
  <c r="R114" i="2" s="1"/>
  <c r="Q86" i="2"/>
  <c r="Q114" i="2" s="1"/>
  <c r="P86" i="2"/>
  <c r="P114" i="2" s="1"/>
  <c r="O86" i="2"/>
  <c r="O114" i="2" s="1"/>
  <c r="N86" i="2"/>
  <c r="N114" i="2" s="1"/>
  <c r="M86" i="2"/>
  <c r="M114" i="2" s="1"/>
  <c r="L86" i="2"/>
  <c r="L114" i="2" s="1"/>
  <c r="K86" i="2"/>
  <c r="K114" i="2" s="1"/>
  <c r="J86" i="2"/>
  <c r="J114" i="2" s="1"/>
  <c r="S85" i="2"/>
  <c r="S113" i="2" s="1"/>
  <c r="R85" i="2"/>
  <c r="R113" i="2" s="1"/>
  <c r="Q85" i="2"/>
  <c r="Q113" i="2" s="1"/>
  <c r="P85" i="2"/>
  <c r="P113" i="2" s="1"/>
  <c r="O85" i="2"/>
  <c r="O113" i="2" s="1"/>
  <c r="N85" i="2"/>
  <c r="N113" i="2" s="1"/>
  <c r="M85" i="2"/>
  <c r="M113" i="2" s="1"/>
  <c r="L85" i="2"/>
  <c r="L113" i="2" s="1"/>
  <c r="K85" i="2"/>
  <c r="K113" i="2" s="1"/>
  <c r="J85" i="2"/>
  <c r="J113" i="2" s="1"/>
  <c r="S84" i="2"/>
  <c r="S112" i="2" s="1"/>
  <c r="R84" i="2"/>
  <c r="R112" i="2" s="1"/>
  <c r="Q84" i="2"/>
  <c r="Q112" i="2" s="1"/>
  <c r="P84" i="2"/>
  <c r="P112" i="2" s="1"/>
  <c r="O84" i="2"/>
  <c r="O112" i="2" s="1"/>
  <c r="N84" i="2"/>
  <c r="N112" i="2" s="1"/>
  <c r="M84" i="2"/>
  <c r="M112" i="2" s="1"/>
  <c r="L84" i="2"/>
  <c r="L112" i="2" s="1"/>
  <c r="K84" i="2"/>
  <c r="K112" i="2" s="1"/>
  <c r="J84" i="2"/>
  <c r="J112" i="2" s="1"/>
  <c r="S83" i="2"/>
  <c r="S111" i="2" s="1"/>
  <c r="R83" i="2"/>
  <c r="R111" i="2" s="1"/>
  <c r="Q83" i="2"/>
  <c r="Q111" i="2" s="1"/>
  <c r="P83" i="2"/>
  <c r="P111" i="2" s="1"/>
  <c r="O83" i="2"/>
  <c r="O111" i="2" s="1"/>
  <c r="N83" i="2"/>
  <c r="N111" i="2" s="1"/>
  <c r="M83" i="2"/>
  <c r="M111" i="2" s="1"/>
  <c r="L83" i="2"/>
  <c r="L111" i="2" s="1"/>
  <c r="K83" i="2"/>
  <c r="K111" i="2" s="1"/>
  <c r="J83" i="2"/>
  <c r="J111" i="2" s="1"/>
  <c r="S82" i="2"/>
  <c r="S110" i="2" s="1"/>
  <c r="R82" i="2"/>
  <c r="R110" i="2" s="1"/>
  <c r="Q82" i="2"/>
  <c r="Q110" i="2" s="1"/>
  <c r="P82" i="2"/>
  <c r="P110" i="2" s="1"/>
  <c r="O82" i="2"/>
  <c r="O110" i="2" s="1"/>
  <c r="N82" i="2"/>
  <c r="N110" i="2" s="1"/>
  <c r="M82" i="2"/>
  <c r="M110" i="2" s="1"/>
  <c r="L82" i="2"/>
  <c r="L110" i="2" s="1"/>
  <c r="K82" i="2"/>
  <c r="K110" i="2" s="1"/>
  <c r="J82" i="2"/>
  <c r="J110" i="2" s="1"/>
  <c r="S81" i="2"/>
  <c r="S109" i="2" s="1"/>
  <c r="R81" i="2"/>
  <c r="R109" i="2" s="1"/>
  <c r="Q81" i="2"/>
  <c r="Q109" i="2" s="1"/>
  <c r="P81" i="2"/>
  <c r="P109" i="2" s="1"/>
  <c r="O81" i="2"/>
  <c r="O109" i="2" s="1"/>
  <c r="N81" i="2"/>
  <c r="N109" i="2" s="1"/>
  <c r="M81" i="2"/>
  <c r="M109" i="2" s="1"/>
  <c r="L81" i="2"/>
  <c r="L109" i="2" s="1"/>
  <c r="K81" i="2"/>
  <c r="K109" i="2" s="1"/>
  <c r="J81" i="2"/>
  <c r="J109" i="2" s="1"/>
  <c r="S80" i="2"/>
  <c r="S108" i="2" s="1"/>
  <c r="R80" i="2"/>
  <c r="R108" i="2" s="1"/>
  <c r="Q80" i="2"/>
  <c r="Q108" i="2" s="1"/>
  <c r="P80" i="2"/>
  <c r="P108" i="2" s="1"/>
  <c r="O80" i="2"/>
  <c r="O108" i="2" s="1"/>
  <c r="N80" i="2"/>
  <c r="N108" i="2" s="1"/>
  <c r="M80" i="2"/>
  <c r="M108" i="2" s="1"/>
  <c r="L80" i="2"/>
  <c r="L108" i="2" s="1"/>
  <c r="K80" i="2"/>
  <c r="K108" i="2" s="1"/>
  <c r="J80" i="2"/>
  <c r="J108" i="2" s="1"/>
  <c r="S79" i="2"/>
  <c r="S107" i="2" s="1"/>
  <c r="R79" i="2"/>
  <c r="R107" i="2" s="1"/>
  <c r="Q79" i="2"/>
  <c r="Q107" i="2" s="1"/>
  <c r="P79" i="2"/>
  <c r="P107" i="2" s="1"/>
  <c r="O79" i="2"/>
  <c r="O107" i="2" s="1"/>
  <c r="N79" i="2"/>
  <c r="N107" i="2" s="1"/>
  <c r="M79" i="2"/>
  <c r="M107" i="2" s="1"/>
  <c r="L79" i="2"/>
  <c r="L107" i="2" s="1"/>
  <c r="K79" i="2"/>
  <c r="K107" i="2" s="1"/>
  <c r="J79" i="2"/>
  <c r="J107" i="2" s="1"/>
  <c r="S78" i="2"/>
  <c r="S106" i="2" s="1"/>
  <c r="R78" i="2"/>
  <c r="R106" i="2" s="1"/>
  <c r="Q78" i="2"/>
  <c r="Q106" i="2" s="1"/>
  <c r="P78" i="2"/>
  <c r="P106" i="2" s="1"/>
  <c r="O78" i="2"/>
  <c r="O106" i="2" s="1"/>
  <c r="N78" i="2"/>
  <c r="N106" i="2" s="1"/>
  <c r="M78" i="2"/>
  <c r="M106" i="2" s="1"/>
  <c r="L78" i="2"/>
  <c r="L106" i="2" s="1"/>
  <c r="K78" i="2"/>
  <c r="K106" i="2" s="1"/>
  <c r="J78" i="2"/>
  <c r="J106" i="2" s="1"/>
  <c r="S77" i="2"/>
  <c r="S105" i="2" s="1"/>
  <c r="R77" i="2"/>
  <c r="R105" i="2" s="1"/>
  <c r="Q77" i="2"/>
  <c r="Q105" i="2" s="1"/>
  <c r="P77" i="2"/>
  <c r="P105" i="2" s="1"/>
  <c r="O77" i="2"/>
  <c r="O105" i="2" s="1"/>
  <c r="N77" i="2"/>
  <c r="N105" i="2" s="1"/>
  <c r="M77" i="2"/>
  <c r="M105" i="2" s="1"/>
  <c r="L77" i="2"/>
  <c r="L105" i="2" s="1"/>
  <c r="K77" i="2"/>
  <c r="K105" i="2" s="1"/>
  <c r="J77" i="2"/>
  <c r="J105" i="2" s="1"/>
  <c r="S76" i="2"/>
  <c r="S104" i="2" s="1"/>
  <c r="R76" i="2"/>
  <c r="R104" i="2" s="1"/>
  <c r="Q76" i="2"/>
  <c r="Q104" i="2" s="1"/>
  <c r="P76" i="2"/>
  <c r="P104" i="2" s="1"/>
  <c r="O76" i="2"/>
  <c r="O104" i="2" s="1"/>
  <c r="N76" i="2"/>
  <c r="N104" i="2" s="1"/>
  <c r="M76" i="2"/>
  <c r="M104" i="2" s="1"/>
  <c r="L76" i="2"/>
  <c r="L104" i="2" s="1"/>
  <c r="K76" i="2"/>
  <c r="K104" i="2" s="1"/>
  <c r="J76" i="2"/>
  <c r="J104" i="2" s="1"/>
  <c r="S75" i="2"/>
  <c r="S103" i="2" s="1"/>
  <c r="R75" i="2"/>
  <c r="R103" i="2" s="1"/>
  <c r="Q75" i="2"/>
  <c r="Q103" i="2" s="1"/>
  <c r="P75" i="2"/>
  <c r="P103" i="2" s="1"/>
  <c r="O75" i="2"/>
  <c r="O103" i="2" s="1"/>
  <c r="N75" i="2"/>
  <c r="N103" i="2" s="1"/>
  <c r="M75" i="2"/>
  <c r="M103" i="2" s="1"/>
  <c r="L75" i="2"/>
  <c r="L103" i="2" s="1"/>
  <c r="K75" i="2"/>
  <c r="K103" i="2" s="1"/>
  <c r="J75" i="2"/>
  <c r="J103" i="2" s="1"/>
  <c r="S74" i="2"/>
  <c r="S102" i="2" s="1"/>
  <c r="R74" i="2"/>
  <c r="R102" i="2" s="1"/>
  <c r="Q74" i="2"/>
  <c r="Q102" i="2" s="1"/>
  <c r="P74" i="2"/>
  <c r="P102" i="2" s="1"/>
  <c r="O74" i="2"/>
  <c r="O102" i="2" s="1"/>
  <c r="N74" i="2"/>
  <c r="N102" i="2" s="1"/>
  <c r="M74" i="2"/>
  <c r="M102" i="2" s="1"/>
  <c r="L74" i="2"/>
  <c r="L102" i="2" s="1"/>
  <c r="K74" i="2"/>
  <c r="K102" i="2" s="1"/>
  <c r="J74" i="2"/>
  <c r="J102" i="2" s="1"/>
  <c r="R73" i="2"/>
  <c r="R101" i="2" s="1"/>
  <c r="Q73" i="2"/>
  <c r="Q101" i="2" s="1"/>
  <c r="P73" i="2"/>
  <c r="P101" i="2" s="1"/>
  <c r="O73" i="2"/>
  <c r="O101" i="2" s="1"/>
  <c r="N73" i="2"/>
  <c r="N101" i="2" s="1"/>
  <c r="M73" i="2"/>
  <c r="M101" i="2" s="1"/>
  <c r="L73" i="2"/>
  <c r="L101" i="2" s="1"/>
  <c r="K73" i="2"/>
  <c r="K101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D27" i="1"/>
</calcChain>
</file>

<file path=xl/sharedStrings.xml><?xml version="1.0" encoding="utf-8"?>
<sst xmlns="http://schemas.openxmlformats.org/spreadsheetml/2006/main" count="1845" uniqueCount="81">
  <si>
    <t>503TDR.9</t>
  </si>
  <si>
    <t>rat</t>
  </si>
  <si>
    <t>cnt</t>
  </si>
  <si>
    <t>Date</t>
  </si>
  <si>
    <t>DOY</t>
  </si>
  <si>
    <t>Standard</t>
  </si>
  <si>
    <t>2020-0422</t>
  </si>
  <si>
    <t>2020-0427</t>
  </si>
  <si>
    <t>2020-0504</t>
  </si>
  <si>
    <t>2020-0511</t>
  </si>
  <si>
    <t>2020-0518</t>
  </si>
  <si>
    <t>2020-0526</t>
  </si>
  <si>
    <t>2020-0601</t>
  </si>
  <si>
    <t>2020-0608</t>
  </si>
  <si>
    <t>2020-0615</t>
  </si>
  <si>
    <t>2020-0622</t>
  </si>
  <si>
    <t>2020-0629</t>
  </si>
  <si>
    <t>2020-0706</t>
  </si>
  <si>
    <t>2020-0714</t>
  </si>
  <si>
    <t>2020-0720</t>
  </si>
  <si>
    <t>2020-0727</t>
  </si>
  <si>
    <t>2020-0803</t>
  </si>
  <si>
    <t>2020-0810</t>
  </si>
  <si>
    <t>2020-0817</t>
  </si>
  <si>
    <t>2020-0824</t>
  </si>
  <si>
    <t>2020-0901</t>
  </si>
  <si>
    <t>2020-0907</t>
  </si>
  <si>
    <t>2020-0914</t>
  </si>
  <si>
    <t>2020-0921</t>
  </si>
  <si>
    <t>2020-1015</t>
  </si>
  <si>
    <t>2020-1028</t>
  </si>
  <si>
    <t>PlotID</t>
  </si>
  <si>
    <t>190cm</t>
  </si>
  <si>
    <t>170cm</t>
  </si>
  <si>
    <t>150cm</t>
  </si>
  <si>
    <t>130cm</t>
  </si>
  <si>
    <t>110cm</t>
  </si>
  <si>
    <t>90cm</t>
  </si>
  <si>
    <t>70cm</t>
  </si>
  <si>
    <t>50cm</t>
  </si>
  <si>
    <t>30cm</t>
  </si>
  <si>
    <t>10cm</t>
  </si>
  <si>
    <t>p11-11</t>
  </si>
  <si>
    <t>p12-11</t>
  </si>
  <si>
    <t>p13-11</t>
  </si>
  <si>
    <t>p14-11</t>
  </si>
  <si>
    <t>p21-11</t>
  </si>
  <si>
    <t>p22-11</t>
  </si>
  <si>
    <t>p23-11</t>
  </si>
  <si>
    <t>p24-11</t>
  </si>
  <si>
    <t>p31-11</t>
  </si>
  <si>
    <t>p32-11</t>
  </si>
  <si>
    <t>p33-11</t>
  </si>
  <si>
    <t>p34-11</t>
  </si>
  <si>
    <t>p41-11</t>
  </si>
  <si>
    <t>p42-11</t>
  </si>
  <si>
    <t>p43-11</t>
  </si>
  <si>
    <t>p44-11</t>
  </si>
  <si>
    <t>p51-11</t>
  </si>
  <si>
    <t>p52-11</t>
  </si>
  <si>
    <t>p53-11</t>
  </si>
  <si>
    <t>p54-11</t>
  </si>
  <si>
    <t>p61-11</t>
  </si>
  <si>
    <t>p62-11</t>
  </si>
  <si>
    <t>p63-11</t>
  </si>
  <si>
    <t>p64-11</t>
  </si>
  <si>
    <t>TubeID</t>
  </si>
  <si>
    <t>Year</t>
  </si>
  <si>
    <t>Experiment</t>
  </si>
  <si>
    <t>d190cm</t>
  </si>
  <si>
    <t>d170cm</t>
  </si>
  <si>
    <t>d150cm</t>
  </si>
  <si>
    <t>d130cm</t>
  </si>
  <si>
    <t>d110cm</t>
  </si>
  <si>
    <t>d090cm</t>
  </si>
  <si>
    <t>d070cm</t>
  </si>
  <si>
    <t>d050cm</t>
  </si>
  <si>
    <t>d030cm</t>
  </si>
  <si>
    <t>d010cm</t>
  </si>
  <si>
    <t>PIT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</si>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</sst>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D659-6E1A-4B71-9E4B-6FABCB643FE3}">
  <dimension ref="A1:N601"/>
  <sheetViews>
    <sheetView tabSelected="1" workbookViewId="0"/>
  </sheetViews>
  <sheetFormatPr defaultRowHeight="15" x14ac:dyDescent="0.25"/>
  <sheetData>
    <row r="1" spans="1:14" x14ac:dyDescent="0.25">
      <c r="A1" t="s">
        <v>67</v>
      </c>
      <c r="B1" t="s">
        <v>4</v>
      </c>
      <c r="C1" t="s">
        <v>68</v>
      </c>
      <c r="D1" t="s">
        <v>66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</row>
    <row r="2" spans="1:14" x14ac:dyDescent="0.25">
      <c r="A2">
        <v>2020</v>
      </c>
      <c r="B2">
        <v>113</v>
      </c>
      <c r="C2" t="s">
        <v>79</v>
      </c>
      <c r="D2">
        <v>11</v>
      </c>
      <c r="E2" s="4">
        <v>0.15880949999999999</v>
      </c>
      <c r="F2" s="4">
        <v>0.18331200000000003</v>
      </c>
      <c r="G2" s="4">
        <v>0.232317</v>
      </c>
      <c r="H2" s="4">
        <v>0.25236449999999999</v>
      </c>
      <c r="I2" s="4">
        <v>0.22786200000000001</v>
      </c>
      <c r="J2" s="4">
        <v>0.25236449999999999</v>
      </c>
      <c r="K2" s="4">
        <v>0.25681949999999998</v>
      </c>
      <c r="L2" s="4">
        <v>0.2389995</v>
      </c>
      <c r="M2" s="4">
        <v>0.22786200000000001</v>
      </c>
      <c r="N2" s="4">
        <v>0.10000350000000001</v>
      </c>
    </row>
    <row r="3" spans="1:14" x14ac:dyDescent="0.25">
      <c r="A3">
        <v>2020</v>
      </c>
      <c r="B3">
        <v>113</v>
      </c>
      <c r="C3" t="s">
        <v>79</v>
      </c>
      <c r="D3">
        <v>12</v>
      </c>
      <c r="E3" s="4">
        <v>0.19667699999999996</v>
      </c>
      <c r="F3" s="4">
        <v>0.21449699999999999</v>
      </c>
      <c r="G3" s="4">
        <v>0.156582</v>
      </c>
      <c r="H3" s="4">
        <v>0.156582</v>
      </c>
      <c r="I3" s="4">
        <v>0.129852</v>
      </c>
      <c r="J3" s="4">
        <v>0.129852</v>
      </c>
      <c r="K3" s="4">
        <v>0.16103699999999999</v>
      </c>
      <c r="L3" s="4">
        <v>0.21672450000000001</v>
      </c>
      <c r="M3" s="4">
        <v>0.17885699999999999</v>
      </c>
      <c r="N3" s="4">
        <v>6.0799500000000013E-2</v>
      </c>
    </row>
    <row r="4" spans="1:14" x14ac:dyDescent="0.25">
      <c r="A4">
        <v>2020</v>
      </c>
      <c r="B4">
        <v>113</v>
      </c>
      <c r="C4" t="s">
        <v>79</v>
      </c>
      <c r="D4">
        <v>13</v>
      </c>
      <c r="E4" s="4">
        <v>0.18776700000000002</v>
      </c>
      <c r="F4" s="4">
        <v>0.17217450000000001</v>
      </c>
      <c r="G4" s="4">
        <v>0.19222199999999998</v>
      </c>
      <c r="H4" s="4">
        <v>0.21449699999999999</v>
      </c>
      <c r="I4" s="4">
        <v>0.2122695</v>
      </c>
      <c r="J4" s="4">
        <v>0.22340700000000002</v>
      </c>
      <c r="K4" s="4">
        <v>0.2211795</v>
      </c>
      <c r="L4" s="4">
        <v>0.21004199999999998</v>
      </c>
      <c r="M4" s="4">
        <v>0.21895199999999998</v>
      </c>
      <c r="N4" s="4">
        <v>0.10980450000000001</v>
      </c>
    </row>
    <row r="5" spans="1:14" x14ac:dyDescent="0.25">
      <c r="A5">
        <v>2020</v>
      </c>
      <c r="B5">
        <v>113</v>
      </c>
      <c r="C5" t="s">
        <v>79</v>
      </c>
      <c r="D5">
        <v>14</v>
      </c>
      <c r="E5" s="4">
        <v>0.2389995</v>
      </c>
      <c r="F5" s="4">
        <v>0.24790949999999998</v>
      </c>
      <c r="G5" s="4">
        <v>0.25236449999999999</v>
      </c>
      <c r="H5" s="4">
        <v>0.25236449999999999</v>
      </c>
      <c r="I5" s="4">
        <v>0.20781449999999999</v>
      </c>
      <c r="J5" s="4">
        <v>0.2211795</v>
      </c>
      <c r="K5" s="4">
        <v>0.25681949999999998</v>
      </c>
      <c r="L5" s="4">
        <v>0.22563449999999999</v>
      </c>
      <c r="M5" s="4">
        <v>0.2122695</v>
      </c>
      <c r="N5" s="4">
        <v>7.795125E-2</v>
      </c>
    </row>
    <row r="6" spans="1:14" x14ac:dyDescent="0.25">
      <c r="A6">
        <v>2020</v>
      </c>
      <c r="B6">
        <v>113</v>
      </c>
      <c r="C6" t="s">
        <v>79</v>
      </c>
      <c r="D6">
        <v>21</v>
      </c>
      <c r="E6" s="4">
        <v>0.24345450000000002</v>
      </c>
      <c r="F6" s="4">
        <v>0.2122695</v>
      </c>
      <c r="G6" s="4">
        <v>0.23454450000000002</v>
      </c>
      <c r="H6" s="4">
        <v>0.23008950000000003</v>
      </c>
      <c r="I6" s="4">
        <v>0.2389995</v>
      </c>
      <c r="J6" s="4">
        <v>0.232317</v>
      </c>
      <c r="K6" s="4">
        <v>0.21004199999999998</v>
      </c>
      <c r="L6" s="4">
        <v>0.22563449999999999</v>
      </c>
      <c r="M6" s="4">
        <v>0.21004199999999998</v>
      </c>
      <c r="N6" s="4">
        <v>9.5103000000000007E-2</v>
      </c>
    </row>
    <row r="7" spans="1:14" x14ac:dyDescent="0.25">
      <c r="A7">
        <v>2020</v>
      </c>
      <c r="B7">
        <v>113</v>
      </c>
      <c r="C7" t="s">
        <v>79</v>
      </c>
      <c r="D7">
        <v>22</v>
      </c>
      <c r="E7" s="4">
        <v>0.2211795</v>
      </c>
      <c r="F7" s="4">
        <v>0.21449699999999999</v>
      </c>
      <c r="G7" s="4">
        <v>0.20335949999999997</v>
      </c>
      <c r="H7" s="4">
        <v>0.18776700000000002</v>
      </c>
      <c r="I7" s="4">
        <v>0.17662950000000002</v>
      </c>
      <c r="J7" s="4">
        <v>0.147672</v>
      </c>
      <c r="K7" s="4">
        <v>0.15212699999999998</v>
      </c>
      <c r="L7" s="4">
        <v>0.2122695</v>
      </c>
      <c r="M7" s="4">
        <v>0.21004199999999998</v>
      </c>
      <c r="N7" s="4">
        <v>6.0799500000000013E-2</v>
      </c>
    </row>
    <row r="8" spans="1:14" x14ac:dyDescent="0.25">
      <c r="A8">
        <v>2020</v>
      </c>
      <c r="B8">
        <v>113</v>
      </c>
      <c r="C8" t="s">
        <v>79</v>
      </c>
      <c r="D8">
        <v>23</v>
      </c>
      <c r="E8" s="4">
        <v>0.19667699999999996</v>
      </c>
      <c r="F8" s="4">
        <v>0.20781449999999999</v>
      </c>
      <c r="G8" s="4">
        <v>0.24568199999999998</v>
      </c>
      <c r="H8" s="4">
        <v>0.25904699999999997</v>
      </c>
      <c r="I8" s="4">
        <v>0.18331200000000003</v>
      </c>
      <c r="J8" s="4">
        <v>0.12316949999999999</v>
      </c>
      <c r="K8" s="4">
        <v>0.13207950000000002</v>
      </c>
      <c r="L8" s="4">
        <v>0.20335949999999997</v>
      </c>
      <c r="M8" s="4">
        <v>0.18999449999999996</v>
      </c>
      <c r="N8" s="4">
        <v>9.0202500000000005E-2</v>
      </c>
    </row>
    <row r="9" spans="1:14" x14ac:dyDescent="0.25">
      <c r="A9">
        <v>2020</v>
      </c>
      <c r="B9">
        <v>113</v>
      </c>
      <c r="C9" t="s">
        <v>79</v>
      </c>
      <c r="D9">
        <v>24</v>
      </c>
      <c r="E9" s="4">
        <v>0.12094200000000001</v>
      </c>
      <c r="F9" s="4">
        <v>9.8666999999999977E-2</v>
      </c>
      <c r="G9" s="4">
        <v>9.6439499999999997E-2</v>
      </c>
      <c r="H9" s="4">
        <v>0.10980450000000001</v>
      </c>
      <c r="I9" s="4">
        <v>0.11203200000000002</v>
      </c>
      <c r="J9" s="4">
        <v>0.11203200000000002</v>
      </c>
      <c r="K9" s="4">
        <v>0.1276245</v>
      </c>
      <c r="L9" s="4">
        <v>0.165492</v>
      </c>
      <c r="M9" s="4">
        <v>0.21449699999999999</v>
      </c>
      <c r="N9" s="4">
        <v>0.11225475</v>
      </c>
    </row>
    <row r="10" spans="1:14" x14ac:dyDescent="0.25">
      <c r="A10">
        <v>2020</v>
      </c>
      <c r="B10">
        <v>113</v>
      </c>
      <c r="C10" t="s">
        <v>79</v>
      </c>
      <c r="D10">
        <v>31</v>
      </c>
      <c r="E10" s="4">
        <v>0.24790949999999998</v>
      </c>
      <c r="F10" s="4">
        <v>0.23677200000000004</v>
      </c>
      <c r="G10" s="4">
        <v>0.24122700000000002</v>
      </c>
      <c r="H10" s="4">
        <v>0.232317</v>
      </c>
      <c r="I10" s="4">
        <v>0.21672450000000001</v>
      </c>
      <c r="J10" s="4">
        <v>0.156582</v>
      </c>
      <c r="K10" s="4">
        <v>0.14098950000000002</v>
      </c>
      <c r="L10" s="4">
        <v>0.16103699999999999</v>
      </c>
      <c r="M10" s="4">
        <v>0.16326450000000001</v>
      </c>
      <c r="N10" s="4">
        <v>6.5700000000000008E-2</v>
      </c>
    </row>
    <row r="11" spans="1:14" x14ac:dyDescent="0.25">
      <c r="A11">
        <v>2020</v>
      </c>
      <c r="B11">
        <v>113</v>
      </c>
      <c r="C11" t="s">
        <v>79</v>
      </c>
      <c r="D11">
        <v>32</v>
      </c>
      <c r="E11" s="4">
        <v>0.14321700000000001</v>
      </c>
      <c r="F11" s="4">
        <v>0.13430700000000001</v>
      </c>
      <c r="G11" s="4">
        <v>0.1142595</v>
      </c>
      <c r="H11" s="4">
        <v>9.6439499999999997E-2</v>
      </c>
      <c r="I11" s="4">
        <v>9.8666999999999977E-2</v>
      </c>
      <c r="J11" s="4">
        <v>0.1142595</v>
      </c>
      <c r="K11" s="4">
        <v>0.14321700000000001</v>
      </c>
      <c r="L11" s="4">
        <v>0.20558699999999999</v>
      </c>
      <c r="M11" s="4">
        <v>0.20113199999999998</v>
      </c>
      <c r="N11" s="4">
        <v>6.8150250000000009E-2</v>
      </c>
    </row>
    <row r="12" spans="1:14" x14ac:dyDescent="0.25">
      <c r="A12">
        <v>2020</v>
      </c>
      <c r="B12">
        <v>113</v>
      </c>
      <c r="C12" t="s">
        <v>79</v>
      </c>
      <c r="D12">
        <v>33</v>
      </c>
      <c r="E12" s="4">
        <v>0.17662950000000002</v>
      </c>
      <c r="F12" s="4">
        <v>0.16994700000000001</v>
      </c>
      <c r="G12" s="4">
        <v>0.22563449999999999</v>
      </c>
      <c r="H12" s="4">
        <v>0.24790949999999998</v>
      </c>
      <c r="I12" s="4">
        <v>0.21449699999999999</v>
      </c>
      <c r="J12" s="4">
        <v>0.2211795</v>
      </c>
      <c r="K12" s="4">
        <v>0.22340700000000002</v>
      </c>
      <c r="L12" s="4">
        <v>0.21004199999999998</v>
      </c>
      <c r="M12" s="4">
        <v>0.20113199999999998</v>
      </c>
      <c r="N12" s="4">
        <v>6.5700000000000008E-2</v>
      </c>
    </row>
    <row r="13" spans="1:14" x14ac:dyDescent="0.25">
      <c r="A13">
        <v>2020</v>
      </c>
      <c r="B13">
        <v>113</v>
      </c>
      <c r="C13" t="s">
        <v>79</v>
      </c>
      <c r="D13">
        <v>34</v>
      </c>
      <c r="E13" s="4">
        <v>0.10980450000000001</v>
      </c>
      <c r="F13" s="4">
        <v>0.13430700000000001</v>
      </c>
      <c r="G13" s="4">
        <v>0.1855395</v>
      </c>
      <c r="H13" s="4">
        <v>0.22340700000000002</v>
      </c>
      <c r="I13" s="4">
        <v>0.22563449999999999</v>
      </c>
      <c r="J13" s="4">
        <v>0.21672450000000001</v>
      </c>
      <c r="K13" s="4">
        <v>0.24568199999999998</v>
      </c>
      <c r="L13" s="4">
        <v>0.23454450000000002</v>
      </c>
      <c r="M13" s="4">
        <v>0.18999449999999996</v>
      </c>
      <c r="N13" s="4">
        <v>6.5700000000000008E-2</v>
      </c>
    </row>
    <row r="14" spans="1:14" x14ac:dyDescent="0.25">
      <c r="A14">
        <v>2020</v>
      </c>
      <c r="B14">
        <v>113</v>
      </c>
      <c r="C14" t="s">
        <v>79</v>
      </c>
      <c r="D14">
        <v>41</v>
      </c>
      <c r="E14" s="4">
        <v>0.18776700000000002</v>
      </c>
      <c r="F14" s="4">
        <v>0.22786200000000001</v>
      </c>
      <c r="G14" s="4">
        <v>0.27463949999999998</v>
      </c>
      <c r="H14" s="4">
        <v>0.25459199999999998</v>
      </c>
      <c r="I14" s="4">
        <v>0.267957</v>
      </c>
      <c r="J14" s="4">
        <v>0.25459199999999998</v>
      </c>
      <c r="K14" s="4">
        <v>0.19222199999999998</v>
      </c>
      <c r="L14" s="4">
        <v>0.2122695</v>
      </c>
      <c r="M14" s="4">
        <v>0.2122695</v>
      </c>
      <c r="N14" s="4">
        <v>8.775224999999999E-2</v>
      </c>
    </row>
    <row r="15" spans="1:14" x14ac:dyDescent="0.25">
      <c r="A15">
        <v>2020</v>
      </c>
      <c r="B15">
        <v>113</v>
      </c>
      <c r="C15" t="s">
        <v>79</v>
      </c>
      <c r="D15">
        <v>42</v>
      </c>
      <c r="E15" s="4">
        <v>0.17662950000000002</v>
      </c>
      <c r="F15" s="4">
        <v>0.18999449999999996</v>
      </c>
      <c r="G15" s="4">
        <v>0.22786200000000001</v>
      </c>
      <c r="H15" s="4">
        <v>0.22786200000000001</v>
      </c>
      <c r="I15" s="4">
        <v>0.24790949999999998</v>
      </c>
      <c r="J15" s="4">
        <v>0.21004199999999998</v>
      </c>
      <c r="K15" s="4">
        <v>0.18776700000000002</v>
      </c>
      <c r="L15" s="4">
        <v>0.20113199999999998</v>
      </c>
      <c r="M15" s="4">
        <v>0.18108450000000001</v>
      </c>
      <c r="N15" s="4">
        <v>6.5700000000000008E-2</v>
      </c>
    </row>
    <row r="16" spans="1:14" x14ac:dyDescent="0.25">
      <c r="A16">
        <v>2020</v>
      </c>
      <c r="B16">
        <v>113</v>
      </c>
      <c r="C16" t="s">
        <v>79</v>
      </c>
      <c r="D16">
        <v>43</v>
      </c>
      <c r="E16" s="4">
        <v>0.19890449999999998</v>
      </c>
      <c r="F16" s="4">
        <v>0.19890449999999998</v>
      </c>
      <c r="G16" s="4">
        <v>0.23454450000000002</v>
      </c>
      <c r="H16" s="4">
        <v>0.17885699999999999</v>
      </c>
      <c r="I16" s="4">
        <v>0.19667699999999996</v>
      </c>
      <c r="J16" s="4">
        <v>0.19890449999999998</v>
      </c>
      <c r="K16" s="4">
        <v>0.21449699999999999</v>
      </c>
      <c r="L16" s="4">
        <v>0.19667699999999996</v>
      </c>
      <c r="M16" s="4">
        <v>0.1855395</v>
      </c>
      <c r="N16" s="4">
        <v>8.775224999999999E-2</v>
      </c>
    </row>
    <row r="17" spans="1:14" x14ac:dyDescent="0.25">
      <c r="A17">
        <v>2020</v>
      </c>
      <c r="B17">
        <v>113</v>
      </c>
      <c r="C17" t="s">
        <v>79</v>
      </c>
      <c r="D17">
        <v>44</v>
      </c>
      <c r="E17" s="4">
        <v>0.147672</v>
      </c>
      <c r="F17" s="4">
        <v>0.174402</v>
      </c>
      <c r="G17" s="4">
        <v>0.26127450000000002</v>
      </c>
      <c r="H17" s="4">
        <v>0.24345450000000002</v>
      </c>
      <c r="I17" s="4">
        <v>0.25236449999999999</v>
      </c>
      <c r="J17" s="4">
        <v>0.24568199999999998</v>
      </c>
      <c r="K17" s="4">
        <v>0.25459199999999998</v>
      </c>
      <c r="L17" s="4">
        <v>0.19890449999999998</v>
      </c>
      <c r="M17" s="4">
        <v>0.19667699999999996</v>
      </c>
      <c r="N17" s="4">
        <v>0.10000350000000001</v>
      </c>
    </row>
    <row r="18" spans="1:14" x14ac:dyDescent="0.25">
      <c r="A18">
        <v>2020</v>
      </c>
      <c r="B18">
        <v>113</v>
      </c>
      <c r="C18" t="s">
        <v>79</v>
      </c>
      <c r="D18">
        <v>51</v>
      </c>
      <c r="E18" s="4">
        <v>0.23677200000000004</v>
      </c>
      <c r="F18" s="4">
        <v>0.232317</v>
      </c>
      <c r="G18" s="4">
        <v>0.2389995</v>
      </c>
      <c r="H18" s="4">
        <v>0.24122700000000002</v>
      </c>
      <c r="I18" s="4">
        <v>0.2122695</v>
      </c>
      <c r="J18" s="4">
        <v>0.21449699999999999</v>
      </c>
      <c r="K18" s="4">
        <v>0.1944495</v>
      </c>
      <c r="L18" s="4">
        <v>0.21004199999999998</v>
      </c>
      <c r="M18" s="4">
        <v>0.20558699999999999</v>
      </c>
      <c r="N18" s="4">
        <v>8.5302000000000003E-2</v>
      </c>
    </row>
    <row r="19" spans="1:14" x14ac:dyDescent="0.25">
      <c r="A19">
        <v>2020</v>
      </c>
      <c r="B19">
        <v>113</v>
      </c>
      <c r="C19" t="s">
        <v>79</v>
      </c>
      <c r="D19">
        <v>52</v>
      </c>
      <c r="E19" s="4">
        <v>0.22340700000000002</v>
      </c>
      <c r="F19" s="4">
        <v>0.22563449999999999</v>
      </c>
      <c r="G19" s="4">
        <v>0.267957</v>
      </c>
      <c r="H19" s="4">
        <v>0.27909450000000002</v>
      </c>
      <c r="I19" s="4">
        <v>0.2880045</v>
      </c>
      <c r="J19" s="4">
        <v>0.27018449999999999</v>
      </c>
      <c r="K19" s="4">
        <v>0.232317</v>
      </c>
      <c r="L19" s="4">
        <v>0.20113199999999998</v>
      </c>
      <c r="M19" s="4">
        <v>0.20558699999999999</v>
      </c>
      <c r="N19" s="4">
        <v>8.775224999999999E-2</v>
      </c>
    </row>
    <row r="20" spans="1:14" x14ac:dyDescent="0.25">
      <c r="A20">
        <v>2020</v>
      </c>
      <c r="B20">
        <v>113</v>
      </c>
      <c r="C20" t="s">
        <v>79</v>
      </c>
      <c r="D20">
        <v>53</v>
      </c>
      <c r="E20" s="4" t="s">
        <v>80</v>
      </c>
      <c r="F20" s="4">
        <v>0.24122700000000002</v>
      </c>
      <c r="G20" s="4">
        <v>0.24568199999999998</v>
      </c>
      <c r="H20" s="4">
        <v>0.267957</v>
      </c>
      <c r="I20" s="4">
        <v>0.23454450000000002</v>
      </c>
      <c r="J20" s="4">
        <v>0.21449699999999999</v>
      </c>
      <c r="K20" s="4">
        <v>0.20113199999999998</v>
      </c>
      <c r="L20" s="4">
        <v>0.16103699999999999</v>
      </c>
      <c r="M20" s="4">
        <v>0.16103699999999999</v>
      </c>
      <c r="N20" s="4">
        <v>5.5899000000000011E-2</v>
      </c>
    </row>
    <row r="21" spans="1:14" x14ac:dyDescent="0.25">
      <c r="A21">
        <v>2020</v>
      </c>
      <c r="B21">
        <v>113</v>
      </c>
      <c r="C21" t="s">
        <v>79</v>
      </c>
      <c r="D21">
        <v>54</v>
      </c>
      <c r="E21" s="4" t="s">
        <v>80</v>
      </c>
      <c r="F21" s="4">
        <v>0.21672450000000001</v>
      </c>
      <c r="G21" s="4">
        <v>0.21449699999999999</v>
      </c>
      <c r="H21" s="4">
        <v>0.25013699999999994</v>
      </c>
      <c r="I21" s="4">
        <v>0.26127450000000002</v>
      </c>
      <c r="J21" s="4">
        <v>0.25904699999999997</v>
      </c>
      <c r="K21" s="4">
        <v>0.25013699999999994</v>
      </c>
      <c r="L21" s="4">
        <v>0.20558699999999999</v>
      </c>
      <c r="M21" s="4">
        <v>0.19222199999999998</v>
      </c>
      <c r="N21" s="4">
        <v>9.7553250000000022E-2</v>
      </c>
    </row>
    <row r="22" spans="1:14" x14ac:dyDescent="0.25">
      <c r="A22">
        <v>2020</v>
      </c>
      <c r="B22">
        <v>113</v>
      </c>
      <c r="C22" t="s">
        <v>79</v>
      </c>
      <c r="D22">
        <v>61</v>
      </c>
      <c r="E22" s="4">
        <v>0.18108450000000001</v>
      </c>
      <c r="F22" s="4">
        <v>0.1454445</v>
      </c>
      <c r="G22" s="4">
        <v>0.15435450000000001</v>
      </c>
      <c r="H22" s="4">
        <v>0.1944495</v>
      </c>
      <c r="I22" s="4">
        <v>0.20781449999999999</v>
      </c>
      <c r="J22" s="4">
        <v>0.15435450000000001</v>
      </c>
      <c r="K22" s="4">
        <v>0.147672</v>
      </c>
      <c r="L22" s="4">
        <v>0.18331200000000003</v>
      </c>
      <c r="M22" s="4">
        <v>0.1855395</v>
      </c>
      <c r="N22" s="4">
        <v>8.775224999999999E-2</v>
      </c>
    </row>
    <row r="23" spans="1:14" x14ac:dyDescent="0.25">
      <c r="A23">
        <v>2020</v>
      </c>
      <c r="B23">
        <v>113</v>
      </c>
      <c r="C23" t="s">
        <v>79</v>
      </c>
      <c r="D23">
        <v>62</v>
      </c>
      <c r="E23" s="4">
        <v>0.20781449999999999</v>
      </c>
      <c r="F23" s="4">
        <v>0.23008950000000003</v>
      </c>
      <c r="G23" s="4">
        <v>0.25236449999999999</v>
      </c>
      <c r="H23" s="4">
        <v>0.18776700000000002</v>
      </c>
      <c r="I23" s="4">
        <v>0.2211795</v>
      </c>
      <c r="J23" s="4">
        <v>0.24568199999999998</v>
      </c>
      <c r="K23" s="4">
        <v>0.19222199999999998</v>
      </c>
      <c r="L23" s="4">
        <v>0.20335949999999997</v>
      </c>
      <c r="M23" s="4">
        <v>0.20781449999999999</v>
      </c>
      <c r="N23" s="4">
        <v>9.5103000000000007E-2</v>
      </c>
    </row>
    <row r="24" spans="1:14" x14ac:dyDescent="0.25">
      <c r="A24">
        <v>2020</v>
      </c>
      <c r="B24">
        <v>113</v>
      </c>
      <c r="C24" t="s">
        <v>79</v>
      </c>
      <c r="D24">
        <v>63</v>
      </c>
      <c r="E24" s="4">
        <v>0.24568199999999998</v>
      </c>
      <c r="F24" s="4">
        <v>0.22786200000000001</v>
      </c>
      <c r="G24" s="4">
        <v>0.20558699999999999</v>
      </c>
      <c r="H24" s="4">
        <v>0.19222199999999998</v>
      </c>
      <c r="I24" s="4">
        <v>0.20113199999999998</v>
      </c>
      <c r="J24" s="4">
        <v>0.20335949999999997</v>
      </c>
      <c r="K24" s="4">
        <v>0.15212699999999998</v>
      </c>
      <c r="L24" s="4">
        <v>0.15212699999999998</v>
      </c>
      <c r="M24" s="4">
        <v>0.174402</v>
      </c>
      <c r="N24" s="4">
        <v>6.5700000000000008E-2</v>
      </c>
    </row>
    <row r="25" spans="1:14" x14ac:dyDescent="0.25">
      <c r="A25">
        <v>2020</v>
      </c>
      <c r="B25">
        <v>113</v>
      </c>
      <c r="C25" t="s">
        <v>79</v>
      </c>
      <c r="D25">
        <v>64</v>
      </c>
      <c r="E25" s="4">
        <v>0.24568199999999998</v>
      </c>
      <c r="F25" s="4">
        <v>0.23454450000000002</v>
      </c>
      <c r="G25" s="4">
        <v>0.20335949999999997</v>
      </c>
      <c r="H25" s="4">
        <v>0.22563449999999999</v>
      </c>
      <c r="I25" s="4">
        <v>0.24122700000000002</v>
      </c>
      <c r="J25" s="4">
        <v>0.23008950000000003</v>
      </c>
      <c r="K25" s="4">
        <v>0.19222199999999998</v>
      </c>
      <c r="L25" s="4">
        <v>0.165492</v>
      </c>
      <c r="M25" s="4">
        <v>0.18776700000000002</v>
      </c>
      <c r="N25" s="4">
        <v>8.775224999999999E-2</v>
      </c>
    </row>
    <row r="26" spans="1:14" x14ac:dyDescent="0.25">
      <c r="A26">
        <v>2020</v>
      </c>
      <c r="B26">
        <v>118</v>
      </c>
      <c r="C26" t="s">
        <v>79</v>
      </c>
      <c r="D26">
        <v>11</v>
      </c>
      <c r="E26" s="4">
        <v>0.165492</v>
      </c>
      <c r="F26" s="4">
        <v>0.18331200000000003</v>
      </c>
      <c r="G26" s="4">
        <v>0.21449699999999999</v>
      </c>
      <c r="H26" s="4">
        <v>0.24790949999999998</v>
      </c>
      <c r="I26" s="4">
        <v>0.23008950000000003</v>
      </c>
      <c r="J26" s="4">
        <v>0.25013699999999994</v>
      </c>
      <c r="K26" s="4">
        <v>0.26127450000000002</v>
      </c>
      <c r="L26" s="4">
        <v>0.24345450000000002</v>
      </c>
      <c r="M26" s="4">
        <v>0.24345450000000002</v>
      </c>
      <c r="N26" s="4">
        <v>0.20046375000000005</v>
      </c>
    </row>
    <row r="27" spans="1:14" x14ac:dyDescent="0.25">
      <c r="A27">
        <v>2020</v>
      </c>
      <c r="B27">
        <v>118</v>
      </c>
      <c r="C27" t="s">
        <v>79</v>
      </c>
      <c r="D27">
        <v>12</v>
      </c>
      <c r="E27" s="4">
        <v>0.20335949999999997</v>
      </c>
      <c r="F27" s="4">
        <v>0.21449699999999999</v>
      </c>
      <c r="G27" s="4">
        <v>0.16771949999999999</v>
      </c>
      <c r="H27" s="4">
        <v>0.15435450000000001</v>
      </c>
      <c r="I27" s="4">
        <v>0.13207950000000002</v>
      </c>
      <c r="J27" s="4">
        <v>0.1365345</v>
      </c>
      <c r="K27" s="4">
        <v>0.16103699999999999</v>
      </c>
      <c r="L27" s="4">
        <v>0.22340700000000002</v>
      </c>
      <c r="M27" s="4">
        <v>0.19667699999999996</v>
      </c>
      <c r="N27" s="4">
        <v>0.16371000000000005</v>
      </c>
    </row>
    <row r="28" spans="1:14" x14ac:dyDescent="0.25">
      <c r="A28">
        <v>2020</v>
      </c>
      <c r="B28">
        <v>118</v>
      </c>
      <c r="C28" t="s">
        <v>79</v>
      </c>
      <c r="D28">
        <v>13</v>
      </c>
      <c r="E28" s="4">
        <v>0.18776700000000002</v>
      </c>
      <c r="F28" s="4">
        <v>0.18331200000000003</v>
      </c>
      <c r="G28" s="4">
        <v>0.19890449999999998</v>
      </c>
      <c r="H28" s="4">
        <v>0.22340700000000002</v>
      </c>
      <c r="I28" s="4">
        <v>0.21895199999999998</v>
      </c>
      <c r="J28" s="4">
        <v>0.23008950000000003</v>
      </c>
      <c r="K28" s="4">
        <v>0.22340700000000002</v>
      </c>
      <c r="L28" s="4">
        <v>0.21449699999999999</v>
      </c>
      <c r="M28" s="4">
        <v>0.23677200000000004</v>
      </c>
      <c r="N28" s="4">
        <v>0.20046375000000005</v>
      </c>
    </row>
    <row r="29" spans="1:14" x14ac:dyDescent="0.25">
      <c r="A29">
        <v>2020</v>
      </c>
      <c r="B29">
        <v>118</v>
      </c>
      <c r="C29" t="s">
        <v>79</v>
      </c>
      <c r="D29">
        <v>14</v>
      </c>
      <c r="E29" s="4">
        <v>0.2389995</v>
      </c>
      <c r="F29" s="4">
        <v>0.24568199999999998</v>
      </c>
      <c r="G29" s="4">
        <v>0.25013699999999994</v>
      </c>
      <c r="H29" s="4">
        <v>0.25013699999999994</v>
      </c>
      <c r="I29" s="4">
        <v>0.21672450000000001</v>
      </c>
      <c r="J29" s="4">
        <v>0.22786200000000001</v>
      </c>
      <c r="K29" s="4">
        <v>0.25904699999999997</v>
      </c>
      <c r="L29" s="4">
        <v>0.22563449999999999</v>
      </c>
      <c r="M29" s="4">
        <v>0.22340700000000002</v>
      </c>
      <c r="N29" s="4">
        <v>0.15880950000000002</v>
      </c>
    </row>
    <row r="30" spans="1:14" x14ac:dyDescent="0.25">
      <c r="A30">
        <v>2020</v>
      </c>
      <c r="B30">
        <v>118</v>
      </c>
      <c r="C30" t="s">
        <v>79</v>
      </c>
      <c r="D30">
        <v>21</v>
      </c>
      <c r="E30" s="4">
        <v>0.24122700000000002</v>
      </c>
      <c r="F30" s="4">
        <v>0.2211795</v>
      </c>
      <c r="G30" s="4">
        <v>0.23008950000000003</v>
      </c>
      <c r="H30" s="4">
        <v>0.23454450000000002</v>
      </c>
      <c r="I30" s="4">
        <v>0.24122700000000002</v>
      </c>
      <c r="J30" s="4">
        <v>0.2389995</v>
      </c>
      <c r="K30" s="4">
        <v>0.21004199999999998</v>
      </c>
      <c r="L30" s="4">
        <v>0.23454450000000002</v>
      </c>
      <c r="M30" s="4">
        <v>0.23008950000000003</v>
      </c>
      <c r="N30" s="4">
        <v>0.19556325000000005</v>
      </c>
    </row>
    <row r="31" spans="1:14" x14ac:dyDescent="0.25">
      <c r="A31">
        <v>2020</v>
      </c>
      <c r="B31">
        <v>118</v>
      </c>
      <c r="C31" t="s">
        <v>79</v>
      </c>
      <c r="D31">
        <v>22</v>
      </c>
      <c r="E31" s="4">
        <v>0.22786200000000001</v>
      </c>
      <c r="F31" s="4">
        <v>0.21004199999999998</v>
      </c>
      <c r="G31" s="4">
        <v>0.2122695</v>
      </c>
      <c r="H31" s="4">
        <v>0.1944495</v>
      </c>
      <c r="I31" s="4">
        <v>0.18108450000000001</v>
      </c>
      <c r="J31" s="4">
        <v>0.14989949999999999</v>
      </c>
      <c r="K31" s="4">
        <v>0.15435450000000001</v>
      </c>
      <c r="L31" s="4">
        <v>0.21672450000000001</v>
      </c>
      <c r="M31" s="4">
        <v>0.2122695</v>
      </c>
      <c r="N31" s="4">
        <v>0.12205575000000003</v>
      </c>
    </row>
    <row r="32" spans="1:14" x14ac:dyDescent="0.25">
      <c r="A32">
        <v>2020</v>
      </c>
      <c r="B32">
        <v>118</v>
      </c>
      <c r="C32" t="s">
        <v>79</v>
      </c>
      <c r="D32">
        <v>23</v>
      </c>
      <c r="E32" s="4">
        <v>0.20335949999999997</v>
      </c>
      <c r="F32" s="4">
        <v>0.20781449999999999</v>
      </c>
      <c r="G32" s="4">
        <v>0.24790949999999998</v>
      </c>
      <c r="H32" s="4">
        <v>0.25904699999999997</v>
      </c>
      <c r="I32" s="4">
        <v>0.1855395</v>
      </c>
      <c r="J32" s="4">
        <v>0.12316949999999999</v>
      </c>
      <c r="K32" s="4">
        <v>0.1365345</v>
      </c>
      <c r="L32" s="4">
        <v>0.19890449999999998</v>
      </c>
      <c r="M32" s="4">
        <v>0.18999449999999996</v>
      </c>
      <c r="N32" s="4">
        <v>0.17106074999999998</v>
      </c>
    </row>
    <row r="33" spans="1:14" x14ac:dyDescent="0.25">
      <c r="A33">
        <v>2020</v>
      </c>
      <c r="B33">
        <v>118</v>
      </c>
      <c r="C33" t="s">
        <v>79</v>
      </c>
      <c r="D33">
        <v>24</v>
      </c>
      <c r="E33" s="4">
        <v>0.12316949999999999</v>
      </c>
      <c r="F33" s="4">
        <v>0.1008945</v>
      </c>
      <c r="G33" s="4">
        <v>0.1008945</v>
      </c>
      <c r="H33" s="4">
        <v>0.10980450000000001</v>
      </c>
      <c r="I33" s="4">
        <v>0.11203200000000002</v>
      </c>
      <c r="J33" s="4">
        <v>0.11648700000000002</v>
      </c>
      <c r="K33" s="4">
        <v>0.1276245</v>
      </c>
      <c r="L33" s="4">
        <v>0.16771949999999999</v>
      </c>
      <c r="M33" s="4">
        <v>0.232317</v>
      </c>
      <c r="N33" s="4">
        <v>0.18576225000000005</v>
      </c>
    </row>
    <row r="34" spans="1:14" x14ac:dyDescent="0.25">
      <c r="A34">
        <v>2020</v>
      </c>
      <c r="B34">
        <v>118</v>
      </c>
      <c r="C34" t="s">
        <v>79</v>
      </c>
      <c r="D34">
        <v>31</v>
      </c>
      <c r="E34" s="4">
        <v>0.2389995</v>
      </c>
      <c r="F34" s="4">
        <v>0.23454450000000002</v>
      </c>
      <c r="G34" s="4">
        <v>0.24345450000000002</v>
      </c>
      <c r="H34" s="4">
        <v>0.23454450000000002</v>
      </c>
      <c r="I34" s="4">
        <v>0.21672450000000001</v>
      </c>
      <c r="J34" s="4">
        <v>0.16103699999999999</v>
      </c>
      <c r="K34" s="4">
        <v>0.14321700000000001</v>
      </c>
      <c r="L34" s="4">
        <v>0.16103699999999999</v>
      </c>
      <c r="M34" s="4">
        <v>0.165492</v>
      </c>
      <c r="N34" s="4">
        <v>0.14655825</v>
      </c>
    </row>
    <row r="35" spans="1:14" x14ac:dyDescent="0.25">
      <c r="A35">
        <v>2020</v>
      </c>
      <c r="B35">
        <v>118</v>
      </c>
      <c r="C35" t="s">
        <v>79</v>
      </c>
      <c r="D35">
        <v>32</v>
      </c>
      <c r="E35" s="4">
        <v>0.1454445</v>
      </c>
      <c r="F35" s="4">
        <v>0.13207950000000002</v>
      </c>
      <c r="G35" s="4">
        <v>0.11648700000000002</v>
      </c>
      <c r="H35" s="4">
        <v>9.8666999999999977E-2</v>
      </c>
      <c r="I35" s="4">
        <v>0.1008945</v>
      </c>
      <c r="J35" s="4">
        <v>0.11871450000000003</v>
      </c>
      <c r="K35" s="4">
        <v>0.14098950000000002</v>
      </c>
      <c r="L35" s="4">
        <v>0.20335949999999997</v>
      </c>
      <c r="M35" s="4">
        <v>0.22786200000000001</v>
      </c>
      <c r="N35" s="4">
        <v>0.17841150000000003</v>
      </c>
    </row>
    <row r="36" spans="1:14" x14ac:dyDescent="0.25">
      <c r="A36">
        <v>2020</v>
      </c>
      <c r="B36">
        <v>118</v>
      </c>
      <c r="C36" t="s">
        <v>79</v>
      </c>
      <c r="D36">
        <v>33</v>
      </c>
      <c r="E36" s="4">
        <v>0.174402</v>
      </c>
      <c r="F36" s="4">
        <v>0.18108450000000001</v>
      </c>
      <c r="G36" s="4">
        <v>0.22563449999999999</v>
      </c>
      <c r="H36" s="4">
        <v>0.24568199999999998</v>
      </c>
      <c r="I36" s="4">
        <v>0.21672450000000001</v>
      </c>
      <c r="J36" s="4">
        <v>0.21895199999999998</v>
      </c>
      <c r="K36" s="4">
        <v>0.22563449999999999</v>
      </c>
      <c r="L36" s="4">
        <v>0.20781449999999999</v>
      </c>
      <c r="M36" s="4">
        <v>0.20781449999999999</v>
      </c>
      <c r="N36" s="4">
        <v>0.15145875</v>
      </c>
    </row>
    <row r="37" spans="1:14" x14ac:dyDescent="0.25">
      <c r="A37">
        <v>2020</v>
      </c>
      <c r="B37">
        <v>118</v>
      </c>
      <c r="C37" t="s">
        <v>79</v>
      </c>
      <c r="D37">
        <v>34</v>
      </c>
      <c r="E37" s="4">
        <v>0.1142595</v>
      </c>
      <c r="F37" s="4">
        <v>0.13207950000000002</v>
      </c>
      <c r="G37" s="4">
        <v>0.18331200000000003</v>
      </c>
      <c r="H37" s="4">
        <v>0.22563449999999999</v>
      </c>
      <c r="I37" s="4">
        <v>0.22786200000000001</v>
      </c>
      <c r="J37" s="4">
        <v>0.2122695</v>
      </c>
      <c r="K37" s="4">
        <v>0.2389995</v>
      </c>
      <c r="L37" s="4">
        <v>0.23008950000000003</v>
      </c>
      <c r="M37" s="4">
        <v>0.20558699999999999</v>
      </c>
      <c r="N37" s="4">
        <v>0.16616025000000004</v>
      </c>
    </row>
    <row r="38" spans="1:14" x14ac:dyDescent="0.25">
      <c r="A38">
        <v>2020</v>
      </c>
      <c r="B38">
        <v>118</v>
      </c>
      <c r="C38" t="s">
        <v>79</v>
      </c>
      <c r="D38">
        <v>41</v>
      </c>
      <c r="E38" s="4">
        <v>0.18999449999999996</v>
      </c>
      <c r="F38" s="4">
        <v>0.22563449999999999</v>
      </c>
      <c r="G38" s="4">
        <v>0.27909450000000002</v>
      </c>
      <c r="H38" s="4">
        <v>0.25904699999999997</v>
      </c>
      <c r="I38" s="4">
        <v>0.267957</v>
      </c>
      <c r="J38" s="4">
        <v>0.26127450000000002</v>
      </c>
      <c r="K38" s="4">
        <v>0.1944495</v>
      </c>
      <c r="L38" s="4">
        <v>0.2122695</v>
      </c>
      <c r="M38" s="4">
        <v>0.21895199999999998</v>
      </c>
      <c r="N38" s="4">
        <v>0.19066275000000005</v>
      </c>
    </row>
    <row r="39" spans="1:14" x14ac:dyDescent="0.25">
      <c r="A39">
        <v>2020</v>
      </c>
      <c r="B39">
        <v>118</v>
      </c>
      <c r="C39" t="s">
        <v>79</v>
      </c>
      <c r="D39">
        <v>42</v>
      </c>
      <c r="E39" s="4">
        <v>0.18331200000000003</v>
      </c>
      <c r="F39" s="4">
        <v>0.1944495</v>
      </c>
      <c r="G39" s="4">
        <v>0.232317</v>
      </c>
      <c r="H39" s="4">
        <v>0.23008950000000003</v>
      </c>
      <c r="I39" s="4">
        <v>0.25459199999999998</v>
      </c>
      <c r="J39" s="4">
        <v>0.20335949999999997</v>
      </c>
      <c r="K39" s="4">
        <v>0.18776700000000002</v>
      </c>
      <c r="L39" s="4">
        <v>0.19667699999999996</v>
      </c>
      <c r="M39" s="4">
        <v>0.2122695</v>
      </c>
      <c r="N39" s="4">
        <v>0.17106074999999998</v>
      </c>
    </row>
    <row r="40" spans="1:14" x14ac:dyDescent="0.25">
      <c r="A40">
        <v>2020</v>
      </c>
      <c r="B40">
        <v>118</v>
      </c>
      <c r="C40" t="s">
        <v>79</v>
      </c>
      <c r="D40">
        <v>43</v>
      </c>
      <c r="E40" s="4">
        <v>0.20335949999999997</v>
      </c>
      <c r="F40" s="4">
        <v>0.20558699999999999</v>
      </c>
      <c r="G40" s="4">
        <v>0.232317</v>
      </c>
      <c r="H40" s="4">
        <v>0.18776700000000002</v>
      </c>
      <c r="I40" s="4">
        <v>0.19890449999999998</v>
      </c>
      <c r="J40" s="4">
        <v>0.19890449999999998</v>
      </c>
      <c r="K40" s="4">
        <v>0.21449699999999999</v>
      </c>
      <c r="L40" s="4">
        <v>0.19890449999999998</v>
      </c>
      <c r="M40" s="4">
        <v>0.20113199999999998</v>
      </c>
      <c r="N40" s="4">
        <v>0.20291400000000004</v>
      </c>
    </row>
    <row r="41" spans="1:14" x14ac:dyDescent="0.25">
      <c r="A41">
        <v>2020</v>
      </c>
      <c r="B41">
        <v>118</v>
      </c>
      <c r="C41" t="s">
        <v>79</v>
      </c>
      <c r="D41">
        <v>44</v>
      </c>
      <c r="E41" s="4">
        <v>0.156582</v>
      </c>
      <c r="F41" s="4">
        <v>0.17885699999999999</v>
      </c>
      <c r="G41" s="4">
        <v>0.25904699999999997</v>
      </c>
      <c r="H41" s="4">
        <v>0.24122700000000002</v>
      </c>
      <c r="I41" s="4">
        <v>0.26350199999999996</v>
      </c>
      <c r="J41" s="4">
        <v>0.2389995</v>
      </c>
      <c r="K41" s="4">
        <v>0.24790949999999998</v>
      </c>
      <c r="L41" s="4">
        <v>0.20558699999999999</v>
      </c>
      <c r="M41" s="4">
        <v>0.22563449999999999</v>
      </c>
      <c r="N41" s="4">
        <v>0.19311300000000003</v>
      </c>
    </row>
    <row r="42" spans="1:14" x14ac:dyDescent="0.25">
      <c r="A42">
        <v>2020</v>
      </c>
      <c r="B42">
        <v>118</v>
      </c>
      <c r="C42" t="s">
        <v>79</v>
      </c>
      <c r="D42">
        <v>51</v>
      </c>
      <c r="E42" s="4">
        <v>0.23454450000000002</v>
      </c>
      <c r="F42" s="4">
        <v>0.232317</v>
      </c>
      <c r="G42" s="4">
        <v>0.23454450000000002</v>
      </c>
      <c r="H42" s="4">
        <v>0.24345450000000002</v>
      </c>
      <c r="I42" s="4">
        <v>0.21449699999999999</v>
      </c>
      <c r="J42" s="4">
        <v>0.21672450000000001</v>
      </c>
      <c r="K42" s="4">
        <v>0.19890449999999998</v>
      </c>
      <c r="L42" s="4">
        <v>0.20781449999999999</v>
      </c>
      <c r="M42" s="4">
        <v>0.20781449999999999</v>
      </c>
      <c r="N42" s="4">
        <v>0.20536425000000005</v>
      </c>
    </row>
    <row r="43" spans="1:14" x14ac:dyDescent="0.25">
      <c r="A43">
        <v>2020</v>
      </c>
      <c r="B43">
        <v>118</v>
      </c>
      <c r="C43" t="s">
        <v>79</v>
      </c>
      <c r="D43">
        <v>52</v>
      </c>
      <c r="E43" s="4">
        <v>0.2211795</v>
      </c>
      <c r="F43" s="4">
        <v>0.22340700000000002</v>
      </c>
      <c r="G43" s="4">
        <v>0.26572949999999995</v>
      </c>
      <c r="H43" s="4">
        <v>0.27686699999999997</v>
      </c>
      <c r="I43" s="4">
        <v>0.28577700000000006</v>
      </c>
      <c r="J43" s="4">
        <v>0.267957</v>
      </c>
      <c r="K43" s="4">
        <v>0.2389995</v>
      </c>
      <c r="L43" s="4">
        <v>0.19890449999999998</v>
      </c>
      <c r="M43" s="4">
        <v>0.232317</v>
      </c>
      <c r="N43" s="4">
        <v>0.20536425000000005</v>
      </c>
    </row>
    <row r="44" spans="1:14" x14ac:dyDescent="0.25">
      <c r="A44">
        <v>2020</v>
      </c>
      <c r="B44">
        <v>118</v>
      </c>
      <c r="C44" t="s">
        <v>79</v>
      </c>
      <c r="D44">
        <v>53</v>
      </c>
      <c r="E44" s="4">
        <v>0.22340700000000002</v>
      </c>
      <c r="F44" s="4">
        <v>0.21449699999999999</v>
      </c>
      <c r="G44" s="4">
        <v>0.25459199999999998</v>
      </c>
      <c r="H44" s="4">
        <v>0.27463949999999998</v>
      </c>
      <c r="I44" s="4">
        <v>0.2389995</v>
      </c>
      <c r="J44" s="4">
        <v>0.22563449999999999</v>
      </c>
      <c r="K44" s="4">
        <v>0.19890449999999998</v>
      </c>
      <c r="L44" s="4">
        <v>0.15880949999999999</v>
      </c>
      <c r="M44" s="4">
        <v>0.17217450000000001</v>
      </c>
      <c r="N44" s="4">
        <v>0.14165775</v>
      </c>
    </row>
    <row r="45" spans="1:14" x14ac:dyDescent="0.25">
      <c r="A45">
        <v>2020</v>
      </c>
      <c r="B45">
        <v>118</v>
      </c>
      <c r="C45" t="s">
        <v>79</v>
      </c>
      <c r="D45">
        <v>54</v>
      </c>
      <c r="E45" s="4">
        <v>0.21449699999999999</v>
      </c>
      <c r="F45" s="4">
        <v>0.21672450000000001</v>
      </c>
      <c r="G45" s="4">
        <v>0.22340700000000002</v>
      </c>
      <c r="H45" s="4">
        <v>0.25459199999999998</v>
      </c>
      <c r="I45" s="4">
        <v>0.26350199999999996</v>
      </c>
      <c r="J45" s="4">
        <v>0.26127450000000002</v>
      </c>
      <c r="K45" s="4">
        <v>0.25681949999999998</v>
      </c>
      <c r="L45" s="4">
        <v>0.21449699999999999</v>
      </c>
      <c r="M45" s="4">
        <v>0.2211795</v>
      </c>
      <c r="N45" s="4">
        <v>0.20291400000000004</v>
      </c>
    </row>
    <row r="46" spans="1:14" x14ac:dyDescent="0.25">
      <c r="A46">
        <v>2020</v>
      </c>
      <c r="B46">
        <v>118</v>
      </c>
      <c r="C46" t="s">
        <v>79</v>
      </c>
      <c r="D46">
        <v>61</v>
      </c>
      <c r="E46" s="4">
        <v>0.18331200000000003</v>
      </c>
      <c r="F46" s="4">
        <v>0.147672</v>
      </c>
      <c r="G46" s="4">
        <v>0.15880949999999999</v>
      </c>
      <c r="H46" s="4">
        <v>0.20113199999999998</v>
      </c>
      <c r="I46" s="4">
        <v>0.20558699999999999</v>
      </c>
      <c r="J46" s="4">
        <v>0.15435450000000001</v>
      </c>
      <c r="K46" s="4">
        <v>0.15435450000000001</v>
      </c>
      <c r="L46" s="4">
        <v>0.18108450000000001</v>
      </c>
      <c r="M46" s="4">
        <v>0.20113199999999998</v>
      </c>
      <c r="N46" s="4">
        <v>0.20781450000000004</v>
      </c>
    </row>
    <row r="47" spans="1:14" x14ac:dyDescent="0.25">
      <c r="A47">
        <v>2020</v>
      </c>
      <c r="B47">
        <v>118</v>
      </c>
      <c r="C47" t="s">
        <v>79</v>
      </c>
      <c r="D47">
        <v>62</v>
      </c>
      <c r="E47" s="4">
        <v>0.21004199999999998</v>
      </c>
      <c r="F47" s="4">
        <v>0.23677200000000004</v>
      </c>
      <c r="G47" s="4">
        <v>0.25236449999999999</v>
      </c>
      <c r="H47" s="4">
        <v>0.18999449999999996</v>
      </c>
      <c r="I47" s="4">
        <v>0.22340700000000002</v>
      </c>
      <c r="J47" s="4">
        <v>0.24568199999999998</v>
      </c>
      <c r="K47" s="4">
        <v>0.18999449999999996</v>
      </c>
      <c r="L47" s="4">
        <v>0.21004199999999998</v>
      </c>
      <c r="M47" s="4">
        <v>0.2389995</v>
      </c>
      <c r="N47" s="4">
        <v>0.20781450000000004</v>
      </c>
    </row>
    <row r="48" spans="1:14" x14ac:dyDescent="0.25">
      <c r="A48">
        <v>2020</v>
      </c>
      <c r="B48">
        <v>118</v>
      </c>
      <c r="C48" t="s">
        <v>79</v>
      </c>
      <c r="D48">
        <v>63</v>
      </c>
      <c r="E48" s="4">
        <v>0.24122700000000002</v>
      </c>
      <c r="F48" s="4">
        <v>0.22563449999999999</v>
      </c>
      <c r="G48" s="4">
        <v>0.20781449999999999</v>
      </c>
      <c r="H48" s="4">
        <v>0.18776700000000002</v>
      </c>
      <c r="I48" s="4">
        <v>0.20558699999999999</v>
      </c>
      <c r="J48" s="4">
        <v>0.20335949999999997</v>
      </c>
      <c r="K48" s="4">
        <v>0.15435450000000001</v>
      </c>
      <c r="L48" s="4">
        <v>0.15880949999999999</v>
      </c>
      <c r="M48" s="4">
        <v>0.19890449999999998</v>
      </c>
      <c r="N48" s="4">
        <v>0.17596124999999996</v>
      </c>
    </row>
    <row r="49" spans="1:14" x14ac:dyDescent="0.25">
      <c r="A49">
        <v>2020</v>
      </c>
      <c r="B49">
        <v>118</v>
      </c>
      <c r="C49" t="s">
        <v>79</v>
      </c>
      <c r="D49">
        <v>64</v>
      </c>
      <c r="E49" s="4">
        <v>0.25904699999999997</v>
      </c>
      <c r="F49" s="4">
        <v>0.24122700000000002</v>
      </c>
      <c r="G49" s="4">
        <v>0.19667699999999996</v>
      </c>
      <c r="H49" s="4">
        <v>0.2211795</v>
      </c>
      <c r="I49" s="4">
        <v>0.24568199999999998</v>
      </c>
      <c r="J49" s="4">
        <v>0.23677200000000004</v>
      </c>
      <c r="K49" s="4">
        <v>0.19890449999999998</v>
      </c>
      <c r="L49" s="4">
        <v>0.17885699999999999</v>
      </c>
      <c r="M49" s="4">
        <v>0.2211795</v>
      </c>
      <c r="N49" s="4">
        <v>0.20046375000000005</v>
      </c>
    </row>
    <row r="50" spans="1:14" x14ac:dyDescent="0.25">
      <c r="A50">
        <v>2020</v>
      </c>
      <c r="B50">
        <v>125</v>
      </c>
      <c r="C50" t="s">
        <v>79</v>
      </c>
      <c r="D50">
        <v>11</v>
      </c>
      <c r="E50" s="4">
        <v>0.16326450000000001</v>
      </c>
      <c r="F50" s="4">
        <v>0.18776700000000002</v>
      </c>
      <c r="G50" s="4">
        <v>0.21895199999999998</v>
      </c>
      <c r="H50" s="4">
        <v>0.25236449999999999</v>
      </c>
      <c r="I50" s="4">
        <v>0.232317</v>
      </c>
      <c r="J50" s="4">
        <v>0.267957</v>
      </c>
      <c r="K50" s="4">
        <v>0.27463949999999998</v>
      </c>
      <c r="L50" s="4">
        <v>0.26350199999999996</v>
      </c>
      <c r="M50" s="4">
        <v>0.25681949999999998</v>
      </c>
      <c r="N50" s="4">
        <v>0.232317</v>
      </c>
    </row>
    <row r="51" spans="1:14" x14ac:dyDescent="0.25">
      <c r="A51">
        <v>2020</v>
      </c>
      <c r="B51">
        <v>125</v>
      </c>
      <c r="C51" t="s">
        <v>79</v>
      </c>
      <c r="D51">
        <v>12</v>
      </c>
      <c r="E51" s="4">
        <v>0.20335949999999997</v>
      </c>
      <c r="F51" s="4">
        <v>0.21449699999999999</v>
      </c>
      <c r="G51" s="4">
        <v>0.16326450000000001</v>
      </c>
      <c r="H51" s="4">
        <v>0.15435450000000001</v>
      </c>
      <c r="I51" s="4">
        <v>0.13207950000000002</v>
      </c>
      <c r="J51" s="4">
        <v>0.138762</v>
      </c>
      <c r="K51" s="4">
        <v>0.16103699999999999</v>
      </c>
      <c r="L51" s="4">
        <v>0.24568199999999998</v>
      </c>
      <c r="M51" s="4">
        <v>0.2389995</v>
      </c>
      <c r="N51" s="4">
        <v>0.19066275000000005</v>
      </c>
    </row>
    <row r="52" spans="1:14" x14ac:dyDescent="0.25">
      <c r="A52">
        <v>2020</v>
      </c>
      <c r="B52">
        <v>125</v>
      </c>
      <c r="C52" t="s">
        <v>79</v>
      </c>
      <c r="D52">
        <v>13</v>
      </c>
      <c r="E52" s="4">
        <v>0.18999449999999996</v>
      </c>
      <c r="F52" s="4">
        <v>0.17885699999999999</v>
      </c>
      <c r="G52" s="4">
        <v>0.19667699999999996</v>
      </c>
      <c r="H52" s="4">
        <v>0.2211795</v>
      </c>
      <c r="I52" s="4">
        <v>0.22786200000000001</v>
      </c>
      <c r="J52" s="4">
        <v>0.23677200000000004</v>
      </c>
      <c r="K52" s="4">
        <v>0.24122700000000002</v>
      </c>
      <c r="L52" s="4">
        <v>0.23454450000000002</v>
      </c>
      <c r="M52" s="4">
        <v>0.25681949999999998</v>
      </c>
      <c r="N52" s="4">
        <v>0.22986674999999998</v>
      </c>
    </row>
    <row r="53" spans="1:14" x14ac:dyDescent="0.25">
      <c r="A53">
        <v>2020</v>
      </c>
      <c r="B53">
        <v>125</v>
      </c>
      <c r="C53" t="s">
        <v>79</v>
      </c>
      <c r="D53">
        <v>14</v>
      </c>
      <c r="E53" s="4">
        <v>0.23454450000000002</v>
      </c>
      <c r="F53" s="4">
        <v>0.24122700000000002</v>
      </c>
      <c r="G53" s="4">
        <v>0.25236449999999999</v>
      </c>
      <c r="H53" s="4">
        <v>0.24790949999999998</v>
      </c>
      <c r="I53" s="4">
        <v>0.2211795</v>
      </c>
      <c r="J53" s="4">
        <v>0.23454450000000002</v>
      </c>
      <c r="K53" s="4">
        <v>0.26350199999999996</v>
      </c>
      <c r="L53" s="4">
        <v>0.24345450000000002</v>
      </c>
      <c r="M53" s="4">
        <v>0.24790949999999998</v>
      </c>
      <c r="N53" s="4">
        <v>0.19311300000000003</v>
      </c>
    </row>
    <row r="54" spans="1:14" x14ac:dyDescent="0.25">
      <c r="A54">
        <v>2020</v>
      </c>
      <c r="B54">
        <v>125</v>
      </c>
      <c r="C54" t="s">
        <v>79</v>
      </c>
      <c r="D54">
        <v>21</v>
      </c>
      <c r="E54" s="4">
        <v>0.24345450000000002</v>
      </c>
      <c r="F54" s="4">
        <v>0.21895199999999998</v>
      </c>
      <c r="G54" s="4">
        <v>0.232317</v>
      </c>
      <c r="H54" s="4">
        <v>0.232317</v>
      </c>
      <c r="I54" s="4">
        <v>0.24345450000000002</v>
      </c>
      <c r="J54" s="4">
        <v>0.2389995</v>
      </c>
      <c r="K54" s="4">
        <v>0.21449699999999999</v>
      </c>
      <c r="L54" s="4">
        <v>0.25013699999999994</v>
      </c>
      <c r="M54" s="4">
        <v>0.25681949999999998</v>
      </c>
      <c r="N54" s="4">
        <v>0.242118</v>
      </c>
    </row>
    <row r="55" spans="1:14" x14ac:dyDescent="0.25">
      <c r="A55">
        <v>2020</v>
      </c>
      <c r="B55">
        <v>125</v>
      </c>
      <c r="C55" t="s">
        <v>79</v>
      </c>
      <c r="D55">
        <v>22</v>
      </c>
      <c r="E55" s="4">
        <v>0.22563449999999999</v>
      </c>
      <c r="F55" s="4">
        <v>0.21449699999999999</v>
      </c>
      <c r="G55" s="4">
        <v>0.2122695</v>
      </c>
      <c r="H55" s="4">
        <v>0.20113199999999998</v>
      </c>
      <c r="I55" s="4">
        <v>0.19222199999999998</v>
      </c>
      <c r="J55" s="4">
        <v>0.15880949999999999</v>
      </c>
      <c r="K55" s="4">
        <v>0.16103699999999999</v>
      </c>
      <c r="L55" s="4">
        <v>0.21895199999999998</v>
      </c>
      <c r="M55" s="4">
        <v>0.232317</v>
      </c>
      <c r="N55" s="4">
        <v>0.17106074999999998</v>
      </c>
    </row>
    <row r="56" spans="1:14" x14ac:dyDescent="0.25">
      <c r="A56">
        <v>2020</v>
      </c>
      <c r="B56">
        <v>125</v>
      </c>
      <c r="C56" t="s">
        <v>79</v>
      </c>
      <c r="D56">
        <v>23</v>
      </c>
      <c r="E56" s="4">
        <v>0.19890449999999998</v>
      </c>
      <c r="F56" s="4">
        <v>0.20558699999999999</v>
      </c>
      <c r="G56" s="4">
        <v>0.2389995</v>
      </c>
      <c r="H56" s="4">
        <v>0.25904699999999997</v>
      </c>
      <c r="I56" s="4">
        <v>0.1855395</v>
      </c>
      <c r="J56" s="4">
        <v>0.1276245</v>
      </c>
      <c r="K56" s="4">
        <v>0.13430700000000001</v>
      </c>
      <c r="L56" s="4">
        <v>0.19667699999999996</v>
      </c>
      <c r="M56" s="4">
        <v>0.21449699999999999</v>
      </c>
      <c r="N56" s="4">
        <v>0.21271500000000004</v>
      </c>
    </row>
    <row r="57" spans="1:14" x14ac:dyDescent="0.25">
      <c r="A57">
        <v>2020</v>
      </c>
      <c r="B57">
        <v>125</v>
      </c>
      <c r="C57" t="s">
        <v>79</v>
      </c>
      <c r="D57">
        <v>24</v>
      </c>
      <c r="E57" s="4">
        <v>0.1276245</v>
      </c>
      <c r="F57" s="4">
        <v>0.10312200000000001</v>
      </c>
      <c r="G57" s="4">
        <v>9.6439499999999997E-2</v>
      </c>
      <c r="H57" s="4">
        <v>0.1142595</v>
      </c>
      <c r="I57" s="4">
        <v>0.12539700000000001</v>
      </c>
      <c r="J57" s="4">
        <v>0.13207950000000002</v>
      </c>
      <c r="K57" s="4">
        <v>0.15212699999999998</v>
      </c>
      <c r="L57" s="4">
        <v>0.18331200000000003</v>
      </c>
      <c r="M57" s="4">
        <v>0.2389995</v>
      </c>
      <c r="N57" s="4">
        <v>0.21026475000000006</v>
      </c>
    </row>
    <row r="58" spans="1:14" x14ac:dyDescent="0.25">
      <c r="A58">
        <v>2020</v>
      </c>
      <c r="B58">
        <v>125</v>
      </c>
      <c r="C58" t="s">
        <v>79</v>
      </c>
      <c r="D58">
        <v>31</v>
      </c>
      <c r="E58" s="4">
        <v>0.25459199999999998</v>
      </c>
      <c r="F58" s="4">
        <v>0.23454450000000002</v>
      </c>
      <c r="G58" s="4">
        <v>0.23454450000000002</v>
      </c>
      <c r="H58" s="4">
        <v>0.23008950000000003</v>
      </c>
      <c r="I58" s="4">
        <v>0.21672450000000001</v>
      </c>
      <c r="J58" s="4">
        <v>0.156582</v>
      </c>
      <c r="K58" s="4">
        <v>0.14321700000000001</v>
      </c>
      <c r="L58" s="4">
        <v>0.156582</v>
      </c>
      <c r="M58" s="4">
        <v>0.17662950000000002</v>
      </c>
      <c r="N58" s="4">
        <v>0.18821250000000003</v>
      </c>
    </row>
    <row r="59" spans="1:14" x14ac:dyDescent="0.25">
      <c r="A59">
        <v>2020</v>
      </c>
      <c r="B59">
        <v>125</v>
      </c>
      <c r="C59" t="s">
        <v>79</v>
      </c>
      <c r="D59">
        <v>32</v>
      </c>
      <c r="E59" s="4">
        <v>0.14989949999999999</v>
      </c>
      <c r="F59" s="4">
        <v>0.1365345</v>
      </c>
      <c r="G59" s="4">
        <v>0.11871450000000003</v>
      </c>
      <c r="H59" s="4">
        <v>0.1008945</v>
      </c>
      <c r="I59" s="4">
        <v>0.10980450000000001</v>
      </c>
      <c r="J59" s="4">
        <v>0.1365345</v>
      </c>
      <c r="K59" s="4">
        <v>0.156582</v>
      </c>
      <c r="L59" s="4">
        <v>0.22340700000000002</v>
      </c>
      <c r="M59" s="4">
        <v>0.25013699999999994</v>
      </c>
      <c r="N59" s="4">
        <v>0.20291400000000004</v>
      </c>
    </row>
    <row r="60" spans="1:14" x14ac:dyDescent="0.25">
      <c r="A60">
        <v>2020</v>
      </c>
      <c r="B60">
        <v>125</v>
      </c>
      <c r="C60" t="s">
        <v>79</v>
      </c>
      <c r="D60">
        <v>33</v>
      </c>
      <c r="E60" s="4">
        <v>0.18776700000000002</v>
      </c>
      <c r="F60" s="4">
        <v>0.18331200000000003</v>
      </c>
      <c r="G60" s="4">
        <v>0.232317</v>
      </c>
      <c r="H60" s="4">
        <v>0.25681949999999998</v>
      </c>
      <c r="I60" s="4">
        <v>0.23008950000000003</v>
      </c>
      <c r="J60" s="4">
        <v>0.23008950000000003</v>
      </c>
      <c r="K60" s="4">
        <v>0.23454450000000002</v>
      </c>
      <c r="L60" s="4">
        <v>0.21895199999999998</v>
      </c>
      <c r="M60" s="4">
        <v>0.2389995</v>
      </c>
      <c r="N60" s="4">
        <v>0.19066275000000005</v>
      </c>
    </row>
    <row r="61" spans="1:14" x14ac:dyDescent="0.25">
      <c r="A61">
        <v>2020</v>
      </c>
      <c r="B61">
        <v>125</v>
      </c>
      <c r="C61" t="s">
        <v>79</v>
      </c>
      <c r="D61">
        <v>34</v>
      </c>
      <c r="E61" s="4">
        <v>0.11648700000000002</v>
      </c>
      <c r="F61" s="4">
        <v>0.13430700000000001</v>
      </c>
      <c r="G61" s="4">
        <v>0.17885699999999999</v>
      </c>
      <c r="H61" s="4">
        <v>0.21672450000000001</v>
      </c>
      <c r="I61" s="4">
        <v>0.22786200000000001</v>
      </c>
      <c r="J61" s="4">
        <v>0.22340700000000002</v>
      </c>
      <c r="K61" s="4">
        <v>0.25236449999999999</v>
      </c>
      <c r="L61" s="4">
        <v>0.25236449999999999</v>
      </c>
      <c r="M61" s="4">
        <v>0.22786200000000001</v>
      </c>
      <c r="N61" s="4">
        <v>0.19556325000000005</v>
      </c>
    </row>
    <row r="62" spans="1:14" x14ac:dyDescent="0.25">
      <c r="A62">
        <v>2020</v>
      </c>
      <c r="B62">
        <v>125</v>
      </c>
      <c r="C62" t="s">
        <v>79</v>
      </c>
      <c r="D62">
        <v>41</v>
      </c>
      <c r="E62" s="4">
        <v>0.19222199999999998</v>
      </c>
      <c r="F62" s="4">
        <v>0.2211795</v>
      </c>
      <c r="G62" s="4">
        <v>0.27241199999999993</v>
      </c>
      <c r="H62" s="4">
        <v>0.25013699999999994</v>
      </c>
      <c r="I62" s="4">
        <v>0.26350199999999996</v>
      </c>
      <c r="J62" s="4">
        <v>0.25681949999999998</v>
      </c>
      <c r="K62" s="4">
        <v>0.20335949999999997</v>
      </c>
      <c r="L62" s="4">
        <v>0.22563449999999999</v>
      </c>
      <c r="M62" s="4">
        <v>0.24568199999999998</v>
      </c>
      <c r="N62" s="4">
        <v>0.23476724999999998</v>
      </c>
    </row>
    <row r="63" spans="1:14" x14ac:dyDescent="0.25">
      <c r="A63">
        <v>2020</v>
      </c>
      <c r="B63">
        <v>125</v>
      </c>
      <c r="C63" t="s">
        <v>79</v>
      </c>
      <c r="D63">
        <v>42</v>
      </c>
      <c r="E63" s="4">
        <v>0.18776700000000002</v>
      </c>
      <c r="F63" s="4">
        <v>0.1944495</v>
      </c>
      <c r="G63" s="4">
        <v>0.22563449999999999</v>
      </c>
      <c r="H63" s="4">
        <v>0.23454450000000002</v>
      </c>
      <c r="I63" s="4">
        <v>0.25681949999999998</v>
      </c>
      <c r="J63" s="4">
        <v>0.23008950000000003</v>
      </c>
      <c r="K63" s="4">
        <v>0.21004199999999998</v>
      </c>
      <c r="L63" s="4">
        <v>0.23677200000000004</v>
      </c>
      <c r="M63" s="4">
        <v>0.23454450000000002</v>
      </c>
      <c r="N63" s="4">
        <v>0.20536425000000005</v>
      </c>
    </row>
    <row r="64" spans="1:14" x14ac:dyDescent="0.25">
      <c r="A64">
        <v>2020</v>
      </c>
      <c r="B64">
        <v>125</v>
      </c>
      <c r="C64" t="s">
        <v>79</v>
      </c>
      <c r="D64">
        <v>43</v>
      </c>
      <c r="E64" s="4">
        <v>0.20113199999999998</v>
      </c>
      <c r="F64" s="4">
        <v>0.20113199999999998</v>
      </c>
      <c r="G64" s="4">
        <v>0.22563449999999999</v>
      </c>
      <c r="H64" s="4">
        <v>0.19222199999999998</v>
      </c>
      <c r="I64" s="4">
        <v>0.20113199999999998</v>
      </c>
      <c r="J64" s="4">
        <v>0.21004199999999998</v>
      </c>
      <c r="K64" s="4">
        <v>0.23008950000000003</v>
      </c>
      <c r="L64" s="4">
        <v>0.2211795</v>
      </c>
      <c r="M64" s="4">
        <v>0.23454450000000002</v>
      </c>
      <c r="N64" s="4">
        <v>0.21761549999999999</v>
      </c>
    </row>
    <row r="65" spans="1:14" x14ac:dyDescent="0.25">
      <c r="A65">
        <v>2020</v>
      </c>
      <c r="B65">
        <v>125</v>
      </c>
      <c r="C65" t="s">
        <v>79</v>
      </c>
      <c r="D65">
        <v>44</v>
      </c>
      <c r="E65" s="4">
        <v>0.156582</v>
      </c>
      <c r="F65" s="4">
        <v>0.1855395</v>
      </c>
      <c r="G65" s="4">
        <v>0.25459199999999998</v>
      </c>
      <c r="H65" s="4">
        <v>0.24122700000000002</v>
      </c>
      <c r="I65" s="4">
        <v>0.25459199999999998</v>
      </c>
      <c r="J65" s="4">
        <v>0.24345450000000002</v>
      </c>
      <c r="K65" s="4">
        <v>0.25681949999999998</v>
      </c>
      <c r="L65" s="4">
        <v>0.21672450000000001</v>
      </c>
      <c r="M65" s="4">
        <v>0.23008950000000003</v>
      </c>
      <c r="N65" s="4">
        <v>0.21516524999999997</v>
      </c>
    </row>
    <row r="66" spans="1:14" x14ac:dyDescent="0.25">
      <c r="A66">
        <v>2020</v>
      </c>
      <c r="B66">
        <v>125</v>
      </c>
      <c r="C66" t="s">
        <v>79</v>
      </c>
      <c r="D66">
        <v>51</v>
      </c>
      <c r="E66" s="4">
        <v>0.2389995</v>
      </c>
      <c r="F66" s="4">
        <v>0.23677200000000004</v>
      </c>
      <c r="G66" s="4">
        <v>0.24122700000000002</v>
      </c>
      <c r="H66" s="4">
        <v>0.24345450000000002</v>
      </c>
      <c r="I66" s="4">
        <v>0.2211795</v>
      </c>
      <c r="J66" s="4">
        <v>0.232317</v>
      </c>
      <c r="K66" s="4">
        <v>0.21895199999999998</v>
      </c>
      <c r="L66" s="4">
        <v>0.23677200000000004</v>
      </c>
      <c r="M66" s="4">
        <v>0.25236449999999999</v>
      </c>
      <c r="N66" s="4">
        <v>0.242118</v>
      </c>
    </row>
    <row r="67" spans="1:14" x14ac:dyDescent="0.25">
      <c r="A67">
        <v>2020</v>
      </c>
      <c r="B67">
        <v>125</v>
      </c>
      <c r="C67" t="s">
        <v>79</v>
      </c>
      <c r="D67">
        <v>52</v>
      </c>
      <c r="E67" s="4">
        <v>0.22786200000000001</v>
      </c>
      <c r="F67" s="4">
        <v>0.22340700000000002</v>
      </c>
      <c r="G67" s="4">
        <v>0.25904699999999997</v>
      </c>
      <c r="H67" s="4">
        <v>0.27909450000000002</v>
      </c>
      <c r="I67" s="4">
        <v>0.29468700000000003</v>
      </c>
      <c r="J67" s="4">
        <v>0.28577700000000006</v>
      </c>
      <c r="K67" s="4">
        <v>0.25681949999999998</v>
      </c>
      <c r="L67" s="4">
        <v>0.232317</v>
      </c>
      <c r="M67" s="4">
        <v>0.24345450000000002</v>
      </c>
      <c r="N67" s="4">
        <v>0.232317</v>
      </c>
    </row>
    <row r="68" spans="1:14" x14ac:dyDescent="0.25">
      <c r="A68">
        <v>2020</v>
      </c>
      <c r="B68">
        <v>125</v>
      </c>
      <c r="C68" t="s">
        <v>79</v>
      </c>
      <c r="D68">
        <v>53</v>
      </c>
      <c r="E68" s="4">
        <v>0.21895199999999998</v>
      </c>
      <c r="F68" s="4">
        <v>0.21004199999999998</v>
      </c>
      <c r="G68" s="4">
        <v>0.24790949999999998</v>
      </c>
      <c r="H68" s="4">
        <v>0.26572949999999995</v>
      </c>
      <c r="I68" s="4">
        <v>0.24345450000000002</v>
      </c>
      <c r="J68" s="4">
        <v>0.232317</v>
      </c>
      <c r="K68" s="4">
        <v>0.22563449999999999</v>
      </c>
      <c r="L68" s="4">
        <v>0.19890449999999998</v>
      </c>
      <c r="M68" s="4">
        <v>0.2211795</v>
      </c>
      <c r="N68" s="4">
        <v>0.18821250000000003</v>
      </c>
    </row>
    <row r="69" spans="1:14" x14ac:dyDescent="0.25">
      <c r="A69">
        <v>2020</v>
      </c>
      <c r="B69">
        <v>125</v>
      </c>
      <c r="C69" t="s">
        <v>79</v>
      </c>
      <c r="D69">
        <v>54</v>
      </c>
      <c r="E69" s="4">
        <v>0.21895199999999998</v>
      </c>
      <c r="F69" s="4">
        <v>0.21449699999999999</v>
      </c>
      <c r="G69" s="4">
        <v>0.21895199999999998</v>
      </c>
      <c r="H69" s="4">
        <v>0.25904699999999997</v>
      </c>
      <c r="I69" s="4">
        <v>0.27463949999999998</v>
      </c>
      <c r="J69" s="4">
        <v>0.27686699999999997</v>
      </c>
      <c r="K69" s="4">
        <v>0.267957</v>
      </c>
      <c r="L69" s="4">
        <v>0.24122700000000002</v>
      </c>
      <c r="M69" s="4">
        <v>0.22786200000000001</v>
      </c>
      <c r="N69" s="4">
        <v>0.22496624999999998</v>
      </c>
    </row>
    <row r="70" spans="1:14" x14ac:dyDescent="0.25">
      <c r="A70">
        <v>2020</v>
      </c>
      <c r="B70">
        <v>125</v>
      </c>
      <c r="C70" t="s">
        <v>79</v>
      </c>
      <c r="D70">
        <v>61</v>
      </c>
      <c r="E70" s="4">
        <v>0.18331200000000003</v>
      </c>
      <c r="F70" s="4">
        <v>0.147672</v>
      </c>
      <c r="G70" s="4">
        <v>0.15880949999999999</v>
      </c>
      <c r="H70" s="4">
        <v>0.19667699999999996</v>
      </c>
      <c r="I70" s="4">
        <v>0.21004199999999998</v>
      </c>
      <c r="J70" s="4">
        <v>0.156582</v>
      </c>
      <c r="K70" s="4">
        <v>0.15435450000000001</v>
      </c>
      <c r="L70" s="4">
        <v>0.21672450000000001</v>
      </c>
      <c r="M70" s="4">
        <v>0.25013699999999994</v>
      </c>
      <c r="N70" s="4">
        <v>0.2372175</v>
      </c>
    </row>
    <row r="71" spans="1:14" x14ac:dyDescent="0.25">
      <c r="A71">
        <v>2020</v>
      </c>
      <c r="B71">
        <v>125</v>
      </c>
      <c r="C71" t="s">
        <v>79</v>
      </c>
      <c r="D71">
        <v>62</v>
      </c>
      <c r="E71" s="4">
        <v>0.2122695</v>
      </c>
      <c r="F71" s="4">
        <v>0.232317</v>
      </c>
      <c r="G71" s="4">
        <v>0.25013699999999994</v>
      </c>
      <c r="H71" s="4">
        <v>0.19667699999999996</v>
      </c>
      <c r="I71" s="4">
        <v>0.2389995</v>
      </c>
      <c r="J71" s="4">
        <v>0.25904699999999997</v>
      </c>
      <c r="K71" s="4">
        <v>0.21895199999999998</v>
      </c>
      <c r="L71" s="4">
        <v>0.22340700000000002</v>
      </c>
      <c r="M71" s="4">
        <v>0.25013699999999994</v>
      </c>
      <c r="N71" s="4">
        <v>0.242118</v>
      </c>
    </row>
    <row r="72" spans="1:14" x14ac:dyDescent="0.25">
      <c r="A72">
        <v>2020</v>
      </c>
      <c r="B72">
        <v>125</v>
      </c>
      <c r="C72" t="s">
        <v>79</v>
      </c>
      <c r="D72">
        <v>63</v>
      </c>
      <c r="E72" s="4">
        <v>0.24568199999999998</v>
      </c>
      <c r="F72" s="4">
        <v>0.22340700000000002</v>
      </c>
      <c r="G72" s="4">
        <v>0.21004199999999998</v>
      </c>
      <c r="H72" s="4">
        <v>0.18999449999999996</v>
      </c>
      <c r="I72" s="4">
        <v>0.19890449999999998</v>
      </c>
      <c r="J72" s="4">
        <v>0.20558699999999999</v>
      </c>
      <c r="K72" s="4">
        <v>0.17662950000000002</v>
      </c>
      <c r="L72" s="4">
        <v>0.18776700000000002</v>
      </c>
      <c r="M72" s="4">
        <v>0.22340700000000002</v>
      </c>
      <c r="N72" s="4">
        <v>0.21761549999999999</v>
      </c>
    </row>
    <row r="73" spans="1:14" x14ac:dyDescent="0.25">
      <c r="A73">
        <v>2020</v>
      </c>
      <c r="B73">
        <v>125</v>
      </c>
      <c r="C73" t="s">
        <v>79</v>
      </c>
      <c r="D73">
        <v>64</v>
      </c>
      <c r="E73" s="4">
        <v>0.24568199999999998</v>
      </c>
      <c r="F73" s="4">
        <v>0.2389995</v>
      </c>
      <c r="G73" s="4">
        <v>0.20781449999999999</v>
      </c>
      <c r="H73" s="4">
        <v>0.22340700000000002</v>
      </c>
      <c r="I73" s="4">
        <v>0.24568199999999998</v>
      </c>
      <c r="J73" s="4">
        <v>0.2389995</v>
      </c>
      <c r="K73" s="4">
        <v>0.22563449999999999</v>
      </c>
      <c r="L73" s="4">
        <v>0.20335949999999997</v>
      </c>
      <c r="M73" s="4">
        <v>0.22786200000000001</v>
      </c>
      <c r="N73" s="4">
        <v>0.22986674999999998</v>
      </c>
    </row>
    <row r="74" spans="1:14" x14ac:dyDescent="0.25">
      <c r="A74">
        <v>2020</v>
      </c>
      <c r="B74">
        <v>132</v>
      </c>
      <c r="C74" t="s">
        <v>79</v>
      </c>
      <c r="D74">
        <v>11</v>
      </c>
      <c r="E74" s="4">
        <v>0.1855395</v>
      </c>
      <c r="F74" s="4">
        <v>0.20781449999999999</v>
      </c>
      <c r="G74" s="4">
        <v>0.2389995</v>
      </c>
      <c r="H74" s="4">
        <v>0.26350199999999996</v>
      </c>
      <c r="I74" s="4">
        <v>0.25013699999999994</v>
      </c>
      <c r="J74" s="4">
        <v>0.27463949999999998</v>
      </c>
      <c r="K74" s="4">
        <v>0.28132200000000002</v>
      </c>
      <c r="L74" s="4">
        <v>0.267957</v>
      </c>
      <c r="M74" s="4">
        <v>0.267957</v>
      </c>
      <c r="N74" s="4">
        <v>0.2470185</v>
      </c>
    </row>
    <row r="75" spans="1:14" x14ac:dyDescent="0.25">
      <c r="A75">
        <v>2020</v>
      </c>
      <c r="B75">
        <v>132</v>
      </c>
      <c r="C75" t="s">
        <v>79</v>
      </c>
      <c r="D75">
        <v>12</v>
      </c>
      <c r="E75" s="4">
        <v>0.20781449999999999</v>
      </c>
      <c r="F75" s="4">
        <v>0.2211795</v>
      </c>
      <c r="G75" s="4">
        <v>0.16326450000000001</v>
      </c>
      <c r="H75" s="4">
        <v>0.15880949999999999</v>
      </c>
      <c r="I75" s="4">
        <v>0.1454445</v>
      </c>
      <c r="J75" s="4">
        <v>0.18999449999999996</v>
      </c>
      <c r="K75" s="4">
        <v>0.20781449999999999</v>
      </c>
      <c r="L75" s="4">
        <v>0.24568199999999998</v>
      </c>
      <c r="M75" s="4">
        <v>0.24790949999999998</v>
      </c>
      <c r="N75" s="4">
        <v>0.22496624999999998</v>
      </c>
    </row>
    <row r="76" spans="1:14" x14ac:dyDescent="0.25">
      <c r="A76">
        <v>2020</v>
      </c>
      <c r="B76">
        <v>132</v>
      </c>
      <c r="C76" t="s">
        <v>79</v>
      </c>
      <c r="D76">
        <v>13</v>
      </c>
      <c r="E76" s="4">
        <v>0.1944495</v>
      </c>
      <c r="F76" s="4">
        <v>0.18331200000000003</v>
      </c>
      <c r="G76" s="4">
        <v>0.20113199999999998</v>
      </c>
      <c r="H76" s="4">
        <v>0.2389995</v>
      </c>
      <c r="I76" s="4">
        <v>0.25904699999999997</v>
      </c>
      <c r="J76" s="4">
        <v>0.26350199999999996</v>
      </c>
      <c r="K76" s="4">
        <v>0.25459199999999998</v>
      </c>
      <c r="L76" s="4">
        <v>0.24122700000000002</v>
      </c>
      <c r="M76" s="4">
        <v>0.25904699999999997</v>
      </c>
      <c r="N76" s="4">
        <v>0.25436925000000005</v>
      </c>
    </row>
    <row r="77" spans="1:14" x14ac:dyDescent="0.25">
      <c r="A77">
        <v>2020</v>
      </c>
      <c r="B77">
        <v>132</v>
      </c>
      <c r="C77" t="s">
        <v>79</v>
      </c>
      <c r="D77">
        <v>14</v>
      </c>
      <c r="E77" s="4">
        <v>0.25459199999999998</v>
      </c>
      <c r="F77" s="4">
        <v>0.26127450000000002</v>
      </c>
      <c r="G77" s="4">
        <v>0.27018449999999999</v>
      </c>
      <c r="H77" s="4">
        <v>0.27018449999999999</v>
      </c>
      <c r="I77" s="4">
        <v>0.24122700000000002</v>
      </c>
      <c r="J77" s="4">
        <v>0.24568199999999998</v>
      </c>
      <c r="K77" s="4">
        <v>0.27686699999999997</v>
      </c>
      <c r="L77" s="4">
        <v>0.25681949999999998</v>
      </c>
      <c r="M77" s="4">
        <v>0.25236449999999999</v>
      </c>
      <c r="N77" s="4">
        <v>0.21516524999999997</v>
      </c>
    </row>
    <row r="78" spans="1:14" x14ac:dyDescent="0.25">
      <c r="A78">
        <v>2020</v>
      </c>
      <c r="B78">
        <v>132</v>
      </c>
      <c r="C78" t="s">
        <v>79</v>
      </c>
      <c r="D78">
        <v>21</v>
      </c>
      <c r="E78" s="4">
        <v>0.24790949999999998</v>
      </c>
      <c r="F78" s="4">
        <v>0.22786200000000001</v>
      </c>
      <c r="G78" s="4">
        <v>0.23454450000000002</v>
      </c>
      <c r="H78" s="4">
        <v>0.25013699999999994</v>
      </c>
      <c r="I78" s="4">
        <v>0.25904699999999997</v>
      </c>
      <c r="J78" s="4">
        <v>0.25236449999999999</v>
      </c>
      <c r="K78" s="4">
        <v>0.22563449999999999</v>
      </c>
      <c r="L78" s="4">
        <v>0.25459199999999998</v>
      </c>
      <c r="M78" s="4">
        <v>0.27018449999999999</v>
      </c>
      <c r="N78" s="4">
        <v>0.25926975000000002</v>
      </c>
    </row>
    <row r="79" spans="1:14" x14ac:dyDescent="0.25">
      <c r="A79">
        <v>2020</v>
      </c>
      <c r="B79">
        <v>132</v>
      </c>
      <c r="C79" t="s">
        <v>79</v>
      </c>
      <c r="D79">
        <v>22</v>
      </c>
      <c r="E79" s="4">
        <v>0.24345450000000002</v>
      </c>
      <c r="F79" s="4">
        <v>0.22563449999999999</v>
      </c>
      <c r="G79" s="4">
        <v>0.23454450000000002</v>
      </c>
      <c r="H79" s="4">
        <v>0.24122700000000002</v>
      </c>
      <c r="I79" s="4">
        <v>0.23677200000000004</v>
      </c>
      <c r="J79" s="4">
        <v>0.18776700000000002</v>
      </c>
      <c r="K79" s="4">
        <v>0.1855395</v>
      </c>
      <c r="L79" s="4">
        <v>0.22786200000000001</v>
      </c>
      <c r="M79" s="4">
        <v>0.24122700000000002</v>
      </c>
      <c r="N79" s="4">
        <v>0.20046375000000005</v>
      </c>
    </row>
    <row r="80" spans="1:14" x14ac:dyDescent="0.25">
      <c r="A80">
        <v>2020</v>
      </c>
      <c r="B80">
        <v>132</v>
      </c>
      <c r="C80" t="s">
        <v>79</v>
      </c>
      <c r="D80">
        <v>23</v>
      </c>
      <c r="E80" s="4">
        <v>0.20335949999999997</v>
      </c>
      <c r="F80" s="4">
        <v>0.20558699999999999</v>
      </c>
      <c r="G80" s="4">
        <v>0.24122700000000002</v>
      </c>
      <c r="H80" s="4">
        <v>0.25459199999999998</v>
      </c>
      <c r="I80" s="4">
        <v>0.1944495</v>
      </c>
      <c r="J80" s="4">
        <v>0.1276245</v>
      </c>
      <c r="K80" s="4">
        <v>0.138762</v>
      </c>
      <c r="L80" s="4">
        <v>0.2122695</v>
      </c>
      <c r="M80" s="4">
        <v>0.24122700000000002</v>
      </c>
      <c r="N80" s="4">
        <v>0.242118</v>
      </c>
    </row>
    <row r="81" spans="1:14" x14ac:dyDescent="0.25">
      <c r="A81">
        <v>2020</v>
      </c>
      <c r="B81">
        <v>132</v>
      </c>
      <c r="C81" t="s">
        <v>79</v>
      </c>
      <c r="D81">
        <v>24</v>
      </c>
      <c r="E81" s="4">
        <v>0.129852</v>
      </c>
      <c r="F81" s="4">
        <v>0.10980450000000001</v>
      </c>
      <c r="G81" s="4">
        <v>0.11648700000000002</v>
      </c>
      <c r="H81" s="4">
        <v>0.13430700000000001</v>
      </c>
      <c r="I81" s="4">
        <v>0.14098950000000002</v>
      </c>
      <c r="J81" s="4">
        <v>0.14321700000000001</v>
      </c>
      <c r="K81" s="4">
        <v>0.16103699999999999</v>
      </c>
      <c r="L81" s="4">
        <v>0.1855395</v>
      </c>
      <c r="M81" s="4">
        <v>0.24568199999999998</v>
      </c>
      <c r="N81" s="4">
        <v>0.242118</v>
      </c>
    </row>
    <row r="82" spans="1:14" x14ac:dyDescent="0.25">
      <c r="A82">
        <v>2020</v>
      </c>
      <c r="B82">
        <v>132</v>
      </c>
      <c r="C82" t="s">
        <v>79</v>
      </c>
      <c r="D82">
        <v>31</v>
      </c>
      <c r="E82" s="4">
        <v>0.25236449999999999</v>
      </c>
      <c r="F82" s="4">
        <v>0.2389995</v>
      </c>
      <c r="G82" s="4">
        <v>0.24345450000000002</v>
      </c>
      <c r="H82" s="4">
        <v>0.23677200000000004</v>
      </c>
      <c r="I82" s="4">
        <v>0.21449699999999999</v>
      </c>
      <c r="J82" s="4">
        <v>0.16103699999999999</v>
      </c>
      <c r="K82" s="4">
        <v>0.147672</v>
      </c>
      <c r="L82" s="4">
        <v>0.16994700000000001</v>
      </c>
      <c r="M82" s="4">
        <v>0.21449699999999999</v>
      </c>
      <c r="N82" s="4">
        <v>0.22251599999999999</v>
      </c>
    </row>
    <row r="83" spans="1:14" x14ac:dyDescent="0.25">
      <c r="A83">
        <v>2020</v>
      </c>
      <c r="B83">
        <v>132</v>
      </c>
      <c r="C83" t="s">
        <v>79</v>
      </c>
      <c r="D83">
        <v>32</v>
      </c>
      <c r="E83" s="4">
        <v>0.15212699999999998</v>
      </c>
      <c r="F83" s="4">
        <v>0.14098950000000002</v>
      </c>
      <c r="G83" s="4">
        <v>0.12316949999999999</v>
      </c>
      <c r="H83" s="4">
        <v>0.14098950000000002</v>
      </c>
      <c r="I83" s="4">
        <v>0.1454445</v>
      </c>
      <c r="J83" s="4">
        <v>0.15880949999999999</v>
      </c>
      <c r="K83" s="4">
        <v>0.18108450000000001</v>
      </c>
      <c r="L83" s="4">
        <v>0.23008950000000003</v>
      </c>
      <c r="M83" s="4">
        <v>0.25236449999999999</v>
      </c>
      <c r="N83" s="4">
        <v>0.22986674999999998</v>
      </c>
    </row>
    <row r="84" spans="1:14" x14ac:dyDescent="0.25">
      <c r="A84">
        <v>2020</v>
      </c>
      <c r="B84">
        <v>132</v>
      </c>
      <c r="C84" t="s">
        <v>79</v>
      </c>
      <c r="D84">
        <v>33</v>
      </c>
      <c r="E84" s="4">
        <v>0.19890449999999998</v>
      </c>
      <c r="F84" s="4">
        <v>0.20113199999999998</v>
      </c>
      <c r="G84" s="4">
        <v>0.24122700000000002</v>
      </c>
      <c r="H84" s="4">
        <v>0.25904699999999997</v>
      </c>
      <c r="I84" s="4">
        <v>0.2389995</v>
      </c>
      <c r="J84" s="4">
        <v>0.2389995</v>
      </c>
      <c r="K84" s="4">
        <v>0.24345450000000002</v>
      </c>
      <c r="L84" s="4">
        <v>0.232317</v>
      </c>
      <c r="M84" s="4">
        <v>0.25013699999999994</v>
      </c>
      <c r="N84" s="4">
        <v>0.22006574999999998</v>
      </c>
    </row>
    <row r="85" spans="1:14" x14ac:dyDescent="0.25">
      <c r="A85">
        <v>2020</v>
      </c>
      <c r="B85">
        <v>132</v>
      </c>
      <c r="C85" t="s">
        <v>79</v>
      </c>
      <c r="D85">
        <v>34</v>
      </c>
      <c r="E85" s="4">
        <v>0.12316949999999999</v>
      </c>
      <c r="F85" s="4">
        <v>0.1365345</v>
      </c>
      <c r="G85" s="4">
        <v>0.1855395</v>
      </c>
      <c r="H85" s="4">
        <v>0.22563449999999999</v>
      </c>
      <c r="I85" s="4">
        <v>0.24790949999999998</v>
      </c>
      <c r="J85" s="4">
        <v>0.25904699999999997</v>
      </c>
      <c r="K85" s="4">
        <v>0.27686699999999997</v>
      </c>
      <c r="L85" s="4">
        <v>0.26350199999999996</v>
      </c>
      <c r="M85" s="4">
        <v>0.2389995</v>
      </c>
      <c r="N85" s="4">
        <v>0.22006574999999998</v>
      </c>
    </row>
    <row r="86" spans="1:14" x14ac:dyDescent="0.25">
      <c r="A86">
        <v>2020</v>
      </c>
      <c r="B86">
        <v>132</v>
      </c>
      <c r="C86" t="s">
        <v>79</v>
      </c>
      <c r="D86">
        <v>41</v>
      </c>
      <c r="E86" s="4">
        <v>0.20558699999999999</v>
      </c>
      <c r="F86" s="4">
        <v>0.23677200000000004</v>
      </c>
      <c r="G86" s="4">
        <v>0.27909450000000002</v>
      </c>
      <c r="H86" s="4">
        <v>0.27241199999999993</v>
      </c>
      <c r="I86" s="4">
        <v>0.27686699999999997</v>
      </c>
      <c r="J86" s="4">
        <v>0.28354950000000001</v>
      </c>
      <c r="K86" s="4">
        <v>0.23008950000000003</v>
      </c>
      <c r="L86" s="4">
        <v>0.2389995</v>
      </c>
      <c r="M86" s="4">
        <v>0.25236449999999999</v>
      </c>
      <c r="N86" s="4">
        <v>0.25926975000000002</v>
      </c>
    </row>
    <row r="87" spans="1:14" x14ac:dyDescent="0.25">
      <c r="A87">
        <v>2020</v>
      </c>
      <c r="B87">
        <v>132</v>
      </c>
      <c r="C87" t="s">
        <v>79</v>
      </c>
      <c r="D87">
        <v>42</v>
      </c>
      <c r="E87" s="4">
        <v>0.19222199999999998</v>
      </c>
      <c r="F87" s="4">
        <v>0.21449699999999999</v>
      </c>
      <c r="G87" s="4">
        <v>0.24568199999999998</v>
      </c>
      <c r="H87" s="4">
        <v>0.25904699999999997</v>
      </c>
      <c r="I87" s="4">
        <v>0.27686699999999997</v>
      </c>
      <c r="J87" s="4">
        <v>0.25013699999999994</v>
      </c>
      <c r="K87" s="4">
        <v>0.23008950000000003</v>
      </c>
      <c r="L87" s="4">
        <v>0.2389995</v>
      </c>
      <c r="M87" s="4">
        <v>0.24122700000000002</v>
      </c>
      <c r="N87" s="4">
        <v>0.22251599999999999</v>
      </c>
    </row>
    <row r="88" spans="1:14" x14ac:dyDescent="0.25">
      <c r="A88">
        <v>2020</v>
      </c>
      <c r="B88">
        <v>132</v>
      </c>
      <c r="C88" t="s">
        <v>79</v>
      </c>
      <c r="D88">
        <v>43</v>
      </c>
      <c r="E88" s="4">
        <v>0.20781449999999999</v>
      </c>
      <c r="F88" s="4">
        <v>0.20335949999999997</v>
      </c>
      <c r="G88" s="4">
        <v>0.232317</v>
      </c>
      <c r="H88" s="4">
        <v>0.20113199999999998</v>
      </c>
      <c r="I88" s="4">
        <v>0.22563449999999999</v>
      </c>
      <c r="J88" s="4">
        <v>0.23677200000000004</v>
      </c>
      <c r="K88" s="4">
        <v>0.24122700000000002</v>
      </c>
      <c r="L88" s="4">
        <v>0.22563449999999999</v>
      </c>
      <c r="M88" s="4">
        <v>0.24345450000000002</v>
      </c>
      <c r="N88" s="4">
        <v>0.23966774999999998</v>
      </c>
    </row>
    <row r="89" spans="1:14" x14ac:dyDescent="0.25">
      <c r="A89">
        <v>2020</v>
      </c>
      <c r="B89">
        <v>132</v>
      </c>
      <c r="C89" t="s">
        <v>79</v>
      </c>
      <c r="D89">
        <v>44</v>
      </c>
      <c r="E89" s="4">
        <v>0.15880949999999999</v>
      </c>
      <c r="F89" s="4">
        <v>0.18331200000000003</v>
      </c>
      <c r="G89" s="4">
        <v>0.26127450000000002</v>
      </c>
      <c r="H89" s="4">
        <v>0.25013699999999994</v>
      </c>
      <c r="I89" s="4">
        <v>0.26127450000000002</v>
      </c>
      <c r="J89" s="4">
        <v>0.25459199999999998</v>
      </c>
      <c r="K89" s="4">
        <v>0.26572949999999995</v>
      </c>
      <c r="L89" s="4">
        <v>0.23008950000000003</v>
      </c>
      <c r="M89" s="4">
        <v>0.2389995</v>
      </c>
      <c r="N89" s="4">
        <v>0.242118</v>
      </c>
    </row>
    <row r="90" spans="1:14" x14ac:dyDescent="0.25">
      <c r="A90">
        <v>2020</v>
      </c>
      <c r="B90">
        <v>132</v>
      </c>
      <c r="C90" t="s">
        <v>79</v>
      </c>
      <c r="D90">
        <v>51</v>
      </c>
      <c r="E90" s="4">
        <v>0.24122700000000002</v>
      </c>
      <c r="F90" s="4">
        <v>0.2389995</v>
      </c>
      <c r="G90" s="4">
        <v>0.25236449999999999</v>
      </c>
      <c r="H90" s="4">
        <v>0.267957</v>
      </c>
      <c r="I90" s="4">
        <v>0.24568199999999998</v>
      </c>
      <c r="J90" s="4">
        <v>0.25013699999999994</v>
      </c>
      <c r="K90" s="4">
        <v>0.23008950000000003</v>
      </c>
      <c r="L90" s="4">
        <v>0.2389995</v>
      </c>
      <c r="M90" s="4">
        <v>0.25459199999999998</v>
      </c>
      <c r="N90" s="4">
        <v>0.25926975000000002</v>
      </c>
    </row>
    <row r="91" spans="1:14" x14ac:dyDescent="0.25">
      <c r="A91">
        <v>2020</v>
      </c>
      <c r="B91">
        <v>132</v>
      </c>
      <c r="C91" t="s">
        <v>79</v>
      </c>
      <c r="D91">
        <v>52</v>
      </c>
      <c r="E91" s="4">
        <v>0.232317</v>
      </c>
      <c r="F91" s="4">
        <v>0.232317</v>
      </c>
      <c r="G91" s="4">
        <v>0.27686699999999997</v>
      </c>
      <c r="H91" s="4">
        <v>0.29245950000000004</v>
      </c>
      <c r="I91" s="4">
        <v>0.31027949999999999</v>
      </c>
      <c r="J91" s="4">
        <v>0.29691449999999997</v>
      </c>
      <c r="K91" s="4">
        <v>0.26572949999999995</v>
      </c>
      <c r="L91" s="4">
        <v>0.2389995</v>
      </c>
      <c r="M91" s="4">
        <v>0.25236449999999999</v>
      </c>
      <c r="N91" s="4">
        <v>0.24946875000000004</v>
      </c>
    </row>
    <row r="92" spans="1:14" x14ac:dyDescent="0.25">
      <c r="A92">
        <v>2020</v>
      </c>
      <c r="B92">
        <v>132</v>
      </c>
      <c r="C92" t="s">
        <v>79</v>
      </c>
      <c r="D92">
        <v>53</v>
      </c>
      <c r="E92" s="4">
        <v>0.22563449999999999</v>
      </c>
      <c r="F92" s="4">
        <v>0.2211795</v>
      </c>
      <c r="G92" s="4">
        <v>0.25013699999999994</v>
      </c>
      <c r="H92" s="4">
        <v>0.27241199999999993</v>
      </c>
      <c r="I92" s="4">
        <v>0.267957</v>
      </c>
      <c r="J92" s="4">
        <v>0.25681949999999998</v>
      </c>
      <c r="K92" s="4">
        <v>0.24122700000000002</v>
      </c>
      <c r="L92" s="4">
        <v>0.21004199999999998</v>
      </c>
      <c r="M92" s="4">
        <v>0.22563449999999999</v>
      </c>
      <c r="N92" s="4">
        <v>0.20536425000000005</v>
      </c>
    </row>
    <row r="93" spans="1:14" x14ac:dyDescent="0.25">
      <c r="A93">
        <v>2020</v>
      </c>
      <c r="B93">
        <v>132</v>
      </c>
      <c r="C93" t="s">
        <v>79</v>
      </c>
      <c r="D93">
        <v>54</v>
      </c>
      <c r="E93" s="4">
        <v>0.232317</v>
      </c>
      <c r="F93" s="4">
        <v>0.232317</v>
      </c>
      <c r="G93" s="4">
        <v>0.24122700000000002</v>
      </c>
      <c r="H93" s="4">
        <v>0.27018449999999999</v>
      </c>
      <c r="I93" s="4">
        <v>0.28577700000000006</v>
      </c>
      <c r="J93" s="4">
        <v>0.27686699999999997</v>
      </c>
      <c r="K93" s="4">
        <v>0.27463949999999998</v>
      </c>
      <c r="L93" s="4">
        <v>0.25013699999999994</v>
      </c>
      <c r="M93" s="4">
        <v>0.23677200000000004</v>
      </c>
      <c r="N93" s="4">
        <v>0.24946875000000004</v>
      </c>
    </row>
    <row r="94" spans="1:14" x14ac:dyDescent="0.25">
      <c r="A94">
        <v>2020</v>
      </c>
      <c r="B94">
        <v>132</v>
      </c>
      <c r="C94" t="s">
        <v>79</v>
      </c>
      <c r="D94">
        <v>61</v>
      </c>
      <c r="E94" s="4">
        <v>0.18331200000000003</v>
      </c>
      <c r="F94" s="4">
        <v>0.14098950000000002</v>
      </c>
      <c r="G94" s="4">
        <v>0.15880949999999999</v>
      </c>
      <c r="H94" s="4">
        <v>0.19890449999999998</v>
      </c>
      <c r="I94" s="4">
        <v>0.20335949999999997</v>
      </c>
      <c r="J94" s="4">
        <v>0.165492</v>
      </c>
      <c r="K94" s="4">
        <v>0.19890449999999998</v>
      </c>
      <c r="L94" s="4">
        <v>0.23677200000000004</v>
      </c>
      <c r="M94" s="4">
        <v>0.25681949999999998</v>
      </c>
      <c r="N94" s="4">
        <v>0.25926975000000002</v>
      </c>
    </row>
    <row r="95" spans="1:14" x14ac:dyDescent="0.25">
      <c r="A95">
        <v>2020</v>
      </c>
      <c r="B95">
        <v>132</v>
      </c>
      <c r="C95" t="s">
        <v>79</v>
      </c>
      <c r="D95">
        <v>62</v>
      </c>
      <c r="E95" s="4">
        <v>0.23677200000000004</v>
      </c>
      <c r="F95" s="4">
        <v>0.25013699999999994</v>
      </c>
      <c r="G95" s="4">
        <v>0.267957</v>
      </c>
      <c r="H95" s="4">
        <v>0.21449699999999999</v>
      </c>
      <c r="I95" s="4">
        <v>0.24790949999999998</v>
      </c>
      <c r="J95" s="4">
        <v>0.267957</v>
      </c>
      <c r="K95" s="4">
        <v>0.22563449999999999</v>
      </c>
      <c r="L95" s="4">
        <v>0.23008950000000003</v>
      </c>
      <c r="M95" s="4">
        <v>0.25904699999999997</v>
      </c>
      <c r="N95" s="4">
        <v>0.25436925000000005</v>
      </c>
    </row>
    <row r="96" spans="1:14" x14ac:dyDescent="0.25">
      <c r="A96">
        <v>2020</v>
      </c>
      <c r="B96">
        <v>132</v>
      </c>
      <c r="C96" t="s">
        <v>79</v>
      </c>
      <c r="D96">
        <v>63</v>
      </c>
      <c r="E96" s="4">
        <v>0.24790949999999998</v>
      </c>
      <c r="F96" s="4">
        <v>0.22563449999999999</v>
      </c>
      <c r="G96" s="4">
        <v>0.21004199999999998</v>
      </c>
      <c r="H96" s="4">
        <v>0.20558699999999999</v>
      </c>
      <c r="I96" s="4">
        <v>0.22563449999999999</v>
      </c>
      <c r="J96" s="4">
        <v>0.23454450000000002</v>
      </c>
      <c r="K96" s="4">
        <v>0.20113199999999998</v>
      </c>
      <c r="L96" s="4">
        <v>0.20781449999999999</v>
      </c>
      <c r="M96" s="4">
        <v>0.232317</v>
      </c>
      <c r="N96" s="4">
        <v>0.22986674999999998</v>
      </c>
    </row>
    <row r="97" spans="1:14" x14ac:dyDescent="0.25">
      <c r="A97">
        <v>2020</v>
      </c>
      <c r="B97">
        <v>132</v>
      </c>
      <c r="C97" t="s">
        <v>79</v>
      </c>
      <c r="D97">
        <v>64</v>
      </c>
      <c r="E97" s="4">
        <v>0.25904699999999997</v>
      </c>
      <c r="F97" s="4">
        <v>0.24568199999999998</v>
      </c>
      <c r="G97" s="4">
        <v>0.2122695</v>
      </c>
      <c r="H97" s="4">
        <v>0.2389995</v>
      </c>
      <c r="I97" s="4">
        <v>0.267957</v>
      </c>
      <c r="J97" s="4">
        <v>0.25904699999999997</v>
      </c>
      <c r="K97" s="4">
        <v>0.2389995</v>
      </c>
      <c r="L97" s="4">
        <v>0.2122695</v>
      </c>
      <c r="M97" s="4">
        <v>0.23008950000000003</v>
      </c>
      <c r="N97" s="4">
        <v>0.2470185</v>
      </c>
    </row>
    <row r="98" spans="1:14" x14ac:dyDescent="0.25">
      <c r="A98">
        <v>2020</v>
      </c>
      <c r="B98">
        <v>139</v>
      </c>
      <c r="C98" t="s">
        <v>79</v>
      </c>
      <c r="D98">
        <v>11</v>
      </c>
      <c r="E98" s="4">
        <v>0.18999449999999996</v>
      </c>
      <c r="F98" s="4">
        <v>0.2122695</v>
      </c>
      <c r="G98" s="4">
        <v>0.2389995</v>
      </c>
      <c r="H98" s="4">
        <v>0.26127450000000002</v>
      </c>
      <c r="I98" s="4">
        <v>0.24790949999999998</v>
      </c>
      <c r="J98" s="4">
        <v>0.27463949999999998</v>
      </c>
      <c r="K98" s="4">
        <v>0.27909450000000002</v>
      </c>
      <c r="L98" s="4">
        <v>0.26350199999999996</v>
      </c>
      <c r="M98" s="4">
        <v>0.26572949999999995</v>
      </c>
      <c r="N98" s="4">
        <v>0.27887174999999997</v>
      </c>
    </row>
    <row r="99" spans="1:14" x14ac:dyDescent="0.25">
      <c r="A99">
        <v>2020</v>
      </c>
      <c r="B99">
        <v>139</v>
      </c>
      <c r="C99" t="s">
        <v>79</v>
      </c>
      <c r="D99">
        <v>12</v>
      </c>
      <c r="E99" s="4">
        <v>0.20781449999999999</v>
      </c>
      <c r="F99" s="4">
        <v>0.21895199999999998</v>
      </c>
      <c r="G99" s="4">
        <v>0.17662950000000002</v>
      </c>
      <c r="H99" s="4">
        <v>0.1944495</v>
      </c>
      <c r="I99" s="4">
        <v>0.19890449999999998</v>
      </c>
      <c r="J99" s="4">
        <v>0.21449699999999999</v>
      </c>
      <c r="K99" s="4">
        <v>0.2122695</v>
      </c>
      <c r="L99" s="4">
        <v>0.24345450000000002</v>
      </c>
      <c r="M99" s="4">
        <v>0.25013699999999994</v>
      </c>
      <c r="N99" s="4">
        <v>0.23966774999999998</v>
      </c>
    </row>
    <row r="100" spans="1:14" x14ac:dyDescent="0.25">
      <c r="A100">
        <v>2020</v>
      </c>
      <c r="B100">
        <v>139</v>
      </c>
      <c r="C100" t="s">
        <v>79</v>
      </c>
      <c r="D100">
        <v>13</v>
      </c>
      <c r="E100" s="4">
        <v>0.20335949999999997</v>
      </c>
      <c r="F100" s="4">
        <v>0.19890449999999998</v>
      </c>
      <c r="G100" s="4">
        <v>0.21449699999999999</v>
      </c>
      <c r="H100" s="4">
        <v>0.25013699999999994</v>
      </c>
      <c r="I100" s="4">
        <v>0.267957</v>
      </c>
      <c r="J100" s="4">
        <v>0.26350199999999996</v>
      </c>
      <c r="K100" s="4">
        <v>0.25681949999999998</v>
      </c>
      <c r="L100" s="4">
        <v>0.24122700000000002</v>
      </c>
      <c r="M100" s="4">
        <v>0.26127450000000002</v>
      </c>
      <c r="N100" s="4">
        <v>0.26907075000000008</v>
      </c>
    </row>
    <row r="101" spans="1:14" x14ac:dyDescent="0.25">
      <c r="A101">
        <v>2020</v>
      </c>
      <c r="B101">
        <v>139</v>
      </c>
      <c r="C101" t="s">
        <v>79</v>
      </c>
      <c r="D101">
        <v>14</v>
      </c>
      <c r="E101" s="4">
        <v>0.26572949999999995</v>
      </c>
      <c r="F101" s="4">
        <v>0.26572949999999995</v>
      </c>
      <c r="G101" s="4">
        <v>0.267957</v>
      </c>
      <c r="H101" s="4">
        <v>0.27018449999999999</v>
      </c>
      <c r="I101" s="4">
        <v>0.24345450000000002</v>
      </c>
      <c r="J101" s="4">
        <v>0.24790949999999998</v>
      </c>
      <c r="K101" s="4">
        <v>0.27463949999999998</v>
      </c>
      <c r="L101" s="4">
        <v>0.25459199999999998</v>
      </c>
      <c r="M101" s="4">
        <v>0.25236449999999999</v>
      </c>
      <c r="N101" s="4">
        <v>0.24456824999999999</v>
      </c>
    </row>
    <row r="102" spans="1:14" x14ac:dyDescent="0.25">
      <c r="A102">
        <v>2020</v>
      </c>
      <c r="B102">
        <v>139</v>
      </c>
      <c r="C102" t="s">
        <v>79</v>
      </c>
      <c r="D102">
        <v>21</v>
      </c>
      <c r="E102" s="4">
        <v>0.25681949999999998</v>
      </c>
      <c r="F102" s="4">
        <v>0.232317</v>
      </c>
      <c r="G102" s="4">
        <v>0.25236449999999999</v>
      </c>
      <c r="H102" s="4">
        <v>0.25236449999999999</v>
      </c>
      <c r="I102" s="4">
        <v>0.25904699999999997</v>
      </c>
      <c r="J102" s="4">
        <v>0.25904699999999997</v>
      </c>
      <c r="K102" s="4">
        <v>0.232317</v>
      </c>
      <c r="L102" s="4">
        <v>0.25459199999999998</v>
      </c>
      <c r="M102" s="4">
        <v>0.26572949999999995</v>
      </c>
      <c r="N102" s="4">
        <v>0.28132200000000002</v>
      </c>
    </row>
    <row r="103" spans="1:14" x14ac:dyDescent="0.25">
      <c r="A103">
        <v>2020</v>
      </c>
      <c r="B103">
        <v>139</v>
      </c>
      <c r="C103" t="s">
        <v>79</v>
      </c>
      <c r="D103">
        <v>22</v>
      </c>
      <c r="E103" s="4">
        <v>0.25236449999999999</v>
      </c>
      <c r="F103" s="4">
        <v>0.23454450000000002</v>
      </c>
      <c r="G103" s="4">
        <v>0.24122700000000002</v>
      </c>
      <c r="H103" s="4">
        <v>0.25236449999999999</v>
      </c>
      <c r="I103" s="4">
        <v>0.25013699999999994</v>
      </c>
      <c r="J103" s="4">
        <v>0.19890449999999998</v>
      </c>
      <c r="K103" s="4">
        <v>0.1855395</v>
      </c>
      <c r="L103" s="4">
        <v>0.23677200000000004</v>
      </c>
      <c r="M103" s="4">
        <v>0.23677200000000004</v>
      </c>
      <c r="N103" s="4">
        <v>0.22986674999999998</v>
      </c>
    </row>
    <row r="104" spans="1:14" x14ac:dyDescent="0.25">
      <c r="A104">
        <v>2020</v>
      </c>
      <c r="B104">
        <v>139</v>
      </c>
      <c r="C104" t="s">
        <v>79</v>
      </c>
      <c r="D104">
        <v>23</v>
      </c>
      <c r="E104" s="4">
        <v>0.19890449999999998</v>
      </c>
      <c r="F104" s="4">
        <v>0.20558699999999999</v>
      </c>
      <c r="G104" s="4">
        <v>0.24790949999999998</v>
      </c>
      <c r="H104" s="4">
        <v>0.25459199999999998</v>
      </c>
      <c r="I104" s="4">
        <v>0.19667699999999996</v>
      </c>
      <c r="J104" s="4">
        <v>0.12539700000000001</v>
      </c>
      <c r="K104" s="4">
        <v>0.14989949999999999</v>
      </c>
      <c r="L104" s="4">
        <v>0.21672450000000001</v>
      </c>
      <c r="M104" s="4">
        <v>0.2389995</v>
      </c>
      <c r="N104" s="4">
        <v>0.25681950000000003</v>
      </c>
    </row>
    <row r="105" spans="1:14" x14ac:dyDescent="0.25">
      <c r="A105">
        <v>2020</v>
      </c>
      <c r="B105">
        <v>139</v>
      </c>
      <c r="C105" t="s">
        <v>79</v>
      </c>
      <c r="D105">
        <v>24</v>
      </c>
      <c r="E105" s="4">
        <v>0.14321700000000001</v>
      </c>
      <c r="F105" s="4">
        <v>0.12539700000000001</v>
      </c>
      <c r="G105" s="4">
        <v>0.129852</v>
      </c>
      <c r="H105" s="4">
        <v>0.138762</v>
      </c>
      <c r="I105" s="4">
        <v>0.1454445</v>
      </c>
      <c r="J105" s="4">
        <v>0.1454445</v>
      </c>
      <c r="K105" s="4">
        <v>0.15212699999999998</v>
      </c>
      <c r="L105" s="4">
        <v>0.18776700000000002</v>
      </c>
      <c r="M105" s="4">
        <v>0.2389995</v>
      </c>
      <c r="N105" s="4">
        <v>0.25926975000000002</v>
      </c>
    </row>
    <row r="106" spans="1:14" x14ac:dyDescent="0.25">
      <c r="A106">
        <v>2020</v>
      </c>
      <c r="B106">
        <v>139</v>
      </c>
      <c r="C106" t="s">
        <v>79</v>
      </c>
      <c r="D106">
        <v>31</v>
      </c>
      <c r="E106" s="4">
        <v>0.25236449999999999</v>
      </c>
      <c r="F106" s="4">
        <v>0.24122700000000002</v>
      </c>
      <c r="G106" s="4">
        <v>0.24122700000000002</v>
      </c>
      <c r="H106" s="4">
        <v>0.24345450000000002</v>
      </c>
      <c r="I106" s="4">
        <v>0.2211795</v>
      </c>
      <c r="J106" s="4">
        <v>0.16771949999999999</v>
      </c>
      <c r="K106" s="4">
        <v>0.17885699999999999</v>
      </c>
      <c r="L106" s="4">
        <v>0.1944495</v>
      </c>
      <c r="M106" s="4">
        <v>0.23008950000000003</v>
      </c>
      <c r="N106" s="4">
        <v>0.2372175</v>
      </c>
    </row>
    <row r="107" spans="1:14" x14ac:dyDescent="0.25">
      <c r="A107">
        <v>2020</v>
      </c>
      <c r="B107">
        <v>139</v>
      </c>
      <c r="C107" t="s">
        <v>79</v>
      </c>
      <c r="D107">
        <v>32</v>
      </c>
      <c r="E107" s="4">
        <v>0.18999449999999996</v>
      </c>
      <c r="F107" s="4">
        <v>0.17885699999999999</v>
      </c>
      <c r="G107" s="4">
        <v>0.16326450000000001</v>
      </c>
      <c r="H107" s="4">
        <v>0.156582</v>
      </c>
      <c r="I107" s="4">
        <v>0.15880949999999999</v>
      </c>
      <c r="J107" s="4">
        <v>0.15880949999999999</v>
      </c>
      <c r="K107" s="4">
        <v>0.17662950000000002</v>
      </c>
      <c r="L107" s="4">
        <v>0.23454450000000002</v>
      </c>
      <c r="M107" s="4">
        <v>0.25459199999999998</v>
      </c>
      <c r="N107" s="4">
        <v>0.22496624999999998</v>
      </c>
    </row>
    <row r="108" spans="1:14" x14ac:dyDescent="0.25">
      <c r="A108">
        <v>2020</v>
      </c>
      <c r="B108">
        <v>139</v>
      </c>
      <c r="C108" t="s">
        <v>79</v>
      </c>
      <c r="D108">
        <v>33</v>
      </c>
      <c r="E108" s="4">
        <v>0.20558699999999999</v>
      </c>
      <c r="F108" s="4">
        <v>0.20558699999999999</v>
      </c>
      <c r="G108" s="4">
        <v>0.24568199999999998</v>
      </c>
      <c r="H108" s="4">
        <v>0.26350199999999996</v>
      </c>
      <c r="I108" s="4">
        <v>0.24345450000000002</v>
      </c>
      <c r="J108" s="4">
        <v>0.2389995</v>
      </c>
      <c r="K108" s="4">
        <v>0.24568199999999998</v>
      </c>
      <c r="L108" s="4">
        <v>0.22786200000000001</v>
      </c>
      <c r="M108" s="4">
        <v>0.25236449999999999</v>
      </c>
      <c r="N108" s="4">
        <v>0.21026475000000006</v>
      </c>
    </row>
    <row r="109" spans="1:14" x14ac:dyDescent="0.25">
      <c r="A109">
        <v>2020</v>
      </c>
      <c r="B109">
        <v>139</v>
      </c>
      <c r="C109" t="s">
        <v>79</v>
      </c>
      <c r="D109">
        <v>34</v>
      </c>
      <c r="E109" s="4">
        <v>0.11871450000000003</v>
      </c>
      <c r="F109" s="4">
        <v>0.14321700000000001</v>
      </c>
      <c r="G109" s="4">
        <v>0.19890449999999998</v>
      </c>
      <c r="H109" s="4">
        <v>0.24345450000000002</v>
      </c>
      <c r="I109" s="4">
        <v>0.25681949999999998</v>
      </c>
      <c r="J109" s="4">
        <v>0.267957</v>
      </c>
      <c r="K109" s="4">
        <v>0.27463949999999998</v>
      </c>
      <c r="L109" s="4">
        <v>0.25904699999999997</v>
      </c>
      <c r="M109" s="4">
        <v>0.24568199999999998</v>
      </c>
      <c r="N109" s="4">
        <v>0.20291400000000004</v>
      </c>
    </row>
    <row r="110" spans="1:14" x14ac:dyDescent="0.25">
      <c r="A110">
        <v>2020</v>
      </c>
      <c r="B110">
        <v>139</v>
      </c>
      <c r="C110" t="s">
        <v>79</v>
      </c>
      <c r="D110">
        <v>41</v>
      </c>
      <c r="E110" s="4">
        <v>0.232317</v>
      </c>
      <c r="F110" s="4">
        <v>0.24790949999999998</v>
      </c>
      <c r="G110" s="4">
        <v>0.29245950000000004</v>
      </c>
      <c r="H110" s="4">
        <v>0.27241199999999993</v>
      </c>
      <c r="I110" s="4">
        <v>0.28354950000000001</v>
      </c>
      <c r="J110" s="4">
        <v>0.28577700000000006</v>
      </c>
      <c r="K110" s="4">
        <v>0.22786200000000001</v>
      </c>
      <c r="L110" s="4">
        <v>0.24122700000000002</v>
      </c>
      <c r="M110" s="4">
        <v>0.25459199999999998</v>
      </c>
      <c r="N110" s="4">
        <v>0.24946875000000004</v>
      </c>
    </row>
    <row r="111" spans="1:14" x14ac:dyDescent="0.25">
      <c r="A111">
        <v>2020</v>
      </c>
      <c r="B111">
        <v>139</v>
      </c>
      <c r="C111" t="s">
        <v>79</v>
      </c>
      <c r="D111">
        <v>42</v>
      </c>
      <c r="E111" s="4">
        <v>0.22563449999999999</v>
      </c>
      <c r="F111" s="4">
        <v>0.232317</v>
      </c>
      <c r="G111" s="4">
        <v>0.25236449999999999</v>
      </c>
      <c r="H111" s="4">
        <v>0.25904699999999997</v>
      </c>
      <c r="I111" s="4">
        <v>0.28354950000000001</v>
      </c>
      <c r="J111" s="4">
        <v>0.25459199999999998</v>
      </c>
      <c r="K111" s="4">
        <v>0.22563449999999999</v>
      </c>
      <c r="L111" s="4">
        <v>0.2389995</v>
      </c>
      <c r="M111" s="4">
        <v>0.24122700000000002</v>
      </c>
      <c r="N111" s="4">
        <v>0.21026475000000006</v>
      </c>
    </row>
    <row r="112" spans="1:14" x14ac:dyDescent="0.25">
      <c r="A112">
        <v>2020</v>
      </c>
      <c r="B112">
        <v>139</v>
      </c>
      <c r="C112" t="s">
        <v>79</v>
      </c>
      <c r="D112">
        <v>43</v>
      </c>
      <c r="E112" s="4">
        <v>0.232317</v>
      </c>
      <c r="F112" s="4">
        <v>0.22563449999999999</v>
      </c>
      <c r="G112" s="4">
        <v>0.25236449999999999</v>
      </c>
      <c r="H112" s="4">
        <v>0.22340700000000002</v>
      </c>
      <c r="I112" s="4">
        <v>0.22786200000000001</v>
      </c>
      <c r="J112" s="4">
        <v>0.24122700000000002</v>
      </c>
      <c r="K112" s="4">
        <v>0.24790949999999998</v>
      </c>
      <c r="L112" s="4">
        <v>0.22786200000000001</v>
      </c>
      <c r="M112" s="4">
        <v>0.2389995</v>
      </c>
      <c r="N112" s="4">
        <v>0.22741649999999999</v>
      </c>
    </row>
    <row r="113" spans="1:14" x14ac:dyDescent="0.25">
      <c r="A113">
        <v>2020</v>
      </c>
      <c r="B113">
        <v>139</v>
      </c>
      <c r="C113" t="s">
        <v>79</v>
      </c>
      <c r="D113">
        <v>44</v>
      </c>
      <c r="E113" s="4">
        <v>0.17217450000000001</v>
      </c>
      <c r="F113" s="4">
        <v>0.19667699999999996</v>
      </c>
      <c r="G113" s="4">
        <v>0.26350199999999996</v>
      </c>
      <c r="H113" s="4">
        <v>0.25681949999999998</v>
      </c>
      <c r="I113" s="4">
        <v>0.27241199999999993</v>
      </c>
      <c r="J113" s="4">
        <v>0.25904699999999997</v>
      </c>
      <c r="K113" s="4">
        <v>0.27018449999999999</v>
      </c>
      <c r="L113" s="4">
        <v>0.23008950000000003</v>
      </c>
      <c r="M113" s="4">
        <v>0.23677200000000004</v>
      </c>
      <c r="N113" s="4">
        <v>0.22006574999999998</v>
      </c>
    </row>
    <row r="114" spans="1:14" x14ac:dyDescent="0.25">
      <c r="A114">
        <v>2020</v>
      </c>
      <c r="B114">
        <v>139</v>
      </c>
      <c r="C114" t="s">
        <v>79</v>
      </c>
      <c r="D114">
        <v>51</v>
      </c>
      <c r="E114" s="4">
        <v>0.26127450000000002</v>
      </c>
      <c r="F114" s="4">
        <v>0.25904699999999997</v>
      </c>
      <c r="G114" s="4">
        <v>0.27018449999999999</v>
      </c>
      <c r="H114" s="4">
        <v>0.28577700000000006</v>
      </c>
      <c r="I114" s="4">
        <v>0.24790949999999998</v>
      </c>
      <c r="J114" s="4">
        <v>0.25236449999999999</v>
      </c>
      <c r="K114" s="4">
        <v>0.23454450000000002</v>
      </c>
      <c r="L114" s="4">
        <v>0.24568199999999998</v>
      </c>
      <c r="M114" s="4">
        <v>0.25459199999999998</v>
      </c>
      <c r="N114" s="4">
        <v>0.2470185</v>
      </c>
    </row>
    <row r="115" spans="1:14" x14ac:dyDescent="0.25">
      <c r="A115">
        <v>2020</v>
      </c>
      <c r="B115">
        <v>139</v>
      </c>
      <c r="C115" t="s">
        <v>79</v>
      </c>
      <c r="D115">
        <v>52</v>
      </c>
      <c r="E115" s="4">
        <v>0.25013699999999994</v>
      </c>
      <c r="F115" s="4">
        <v>0.24790949999999998</v>
      </c>
      <c r="G115" s="4">
        <v>0.27909450000000002</v>
      </c>
      <c r="H115" s="4">
        <v>0.29245950000000004</v>
      </c>
      <c r="I115" s="4">
        <v>0.29914200000000002</v>
      </c>
      <c r="J115" s="4">
        <v>0.29468700000000003</v>
      </c>
      <c r="K115" s="4">
        <v>0.26572949999999995</v>
      </c>
      <c r="L115" s="4">
        <v>0.2389995</v>
      </c>
      <c r="M115" s="4">
        <v>0.25459199999999998</v>
      </c>
      <c r="N115" s="4">
        <v>0.23966774999999998</v>
      </c>
    </row>
    <row r="116" spans="1:14" x14ac:dyDescent="0.25">
      <c r="A116">
        <v>2020</v>
      </c>
      <c r="B116">
        <v>139</v>
      </c>
      <c r="C116" t="s">
        <v>79</v>
      </c>
      <c r="D116">
        <v>53</v>
      </c>
      <c r="E116" s="4">
        <v>0.232317</v>
      </c>
      <c r="F116" s="4">
        <v>0.22786200000000001</v>
      </c>
      <c r="G116" s="4">
        <v>0.25459199999999998</v>
      </c>
      <c r="H116" s="4">
        <v>0.27909450000000002</v>
      </c>
      <c r="I116" s="4">
        <v>0.27686699999999997</v>
      </c>
      <c r="J116" s="4">
        <v>0.27241199999999993</v>
      </c>
      <c r="K116" s="4">
        <v>0.25681949999999998</v>
      </c>
      <c r="L116" s="4">
        <v>0.21672450000000001</v>
      </c>
      <c r="M116" s="4">
        <v>0.22340700000000002</v>
      </c>
      <c r="N116" s="4">
        <v>0.20046375000000005</v>
      </c>
    </row>
    <row r="117" spans="1:14" x14ac:dyDescent="0.25">
      <c r="A117">
        <v>2020</v>
      </c>
      <c r="B117">
        <v>139</v>
      </c>
      <c r="C117" t="s">
        <v>79</v>
      </c>
      <c r="D117">
        <v>54</v>
      </c>
      <c r="E117" s="4">
        <v>0.25236449999999999</v>
      </c>
      <c r="F117" s="4">
        <v>0.25013699999999994</v>
      </c>
      <c r="G117" s="4">
        <v>0.24790949999999998</v>
      </c>
      <c r="H117" s="4">
        <v>0.28132200000000002</v>
      </c>
      <c r="I117" s="4">
        <v>0.29023199999999999</v>
      </c>
      <c r="J117" s="4">
        <v>0.28132200000000002</v>
      </c>
      <c r="K117" s="4">
        <v>0.27463949999999998</v>
      </c>
      <c r="L117" s="4">
        <v>0.25459199999999998</v>
      </c>
      <c r="M117" s="4">
        <v>0.232317</v>
      </c>
      <c r="N117" s="4">
        <v>0.24456824999999999</v>
      </c>
    </row>
    <row r="118" spans="1:14" x14ac:dyDescent="0.25">
      <c r="A118">
        <v>2020</v>
      </c>
      <c r="B118">
        <v>139</v>
      </c>
      <c r="C118" t="s">
        <v>79</v>
      </c>
      <c r="D118">
        <v>61</v>
      </c>
      <c r="E118" s="4">
        <v>0.18776700000000002</v>
      </c>
      <c r="F118" s="4">
        <v>0.147672</v>
      </c>
      <c r="G118" s="4">
        <v>0.16103699999999999</v>
      </c>
      <c r="H118" s="4">
        <v>0.20113199999999998</v>
      </c>
      <c r="I118" s="4">
        <v>0.22786200000000001</v>
      </c>
      <c r="J118" s="4">
        <v>0.20113199999999998</v>
      </c>
      <c r="K118" s="4">
        <v>0.2211795</v>
      </c>
      <c r="L118" s="4">
        <v>0.23008950000000003</v>
      </c>
      <c r="M118" s="4">
        <v>0.25904699999999997</v>
      </c>
      <c r="N118" s="4">
        <v>0.25436925000000005</v>
      </c>
    </row>
    <row r="119" spans="1:14" x14ac:dyDescent="0.25">
      <c r="A119">
        <v>2020</v>
      </c>
      <c r="B119">
        <v>139</v>
      </c>
      <c r="C119" t="s">
        <v>79</v>
      </c>
      <c r="D119">
        <v>62</v>
      </c>
      <c r="E119" s="4">
        <v>0.25236449999999999</v>
      </c>
      <c r="F119" s="4">
        <v>0.25904699999999997</v>
      </c>
      <c r="G119" s="4">
        <v>0.26572949999999995</v>
      </c>
      <c r="H119" s="4">
        <v>0.2211795</v>
      </c>
      <c r="I119" s="4">
        <v>0.24568199999999998</v>
      </c>
      <c r="J119" s="4">
        <v>0.27241199999999993</v>
      </c>
      <c r="K119" s="4">
        <v>0.23454450000000002</v>
      </c>
      <c r="L119" s="4">
        <v>0.22786200000000001</v>
      </c>
      <c r="M119" s="4">
        <v>0.25904699999999997</v>
      </c>
      <c r="N119" s="4">
        <v>0.24456824999999999</v>
      </c>
    </row>
    <row r="120" spans="1:14" x14ac:dyDescent="0.25">
      <c r="A120">
        <v>2020</v>
      </c>
      <c r="B120">
        <v>139</v>
      </c>
      <c r="C120" t="s">
        <v>79</v>
      </c>
      <c r="D120">
        <v>63</v>
      </c>
      <c r="E120" s="4">
        <v>0.25236449999999999</v>
      </c>
      <c r="F120" s="4">
        <v>0.232317</v>
      </c>
      <c r="G120" s="4">
        <v>0.22340700000000002</v>
      </c>
      <c r="H120" s="4">
        <v>0.21672450000000001</v>
      </c>
      <c r="I120" s="4">
        <v>0.232317</v>
      </c>
      <c r="J120" s="4">
        <v>0.24122700000000002</v>
      </c>
      <c r="K120" s="4">
        <v>0.20558699999999999</v>
      </c>
      <c r="L120" s="4">
        <v>0.19890449999999998</v>
      </c>
      <c r="M120" s="4">
        <v>0.22786200000000001</v>
      </c>
      <c r="N120" s="4">
        <v>0.22496624999999998</v>
      </c>
    </row>
    <row r="121" spans="1:14" x14ac:dyDescent="0.25">
      <c r="A121">
        <v>2020</v>
      </c>
      <c r="B121">
        <v>139</v>
      </c>
      <c r="C121" t="s">
        <v>79</v>
      </c>
      <c r="D121">
        <v>64</v>
      </c>
      <c r="E121" s="4">
        <v>0.27241199999999993</v>
      </c>
      <c r="F121" s="4">
        <v>0.25904699999999997</v>
      </c>
      <c r="G121" s="4">
        <v>0.22340700000000002</v>
      </c>
      <c r="H121" s="4">
        <v>0.24568199999999998</v>
      </c>
      <c r="I121" s="4">
        <v>0.27241199999999993</v>
      </c>
      <c r="J121" s="4">
        <v>0.25459199999999998</v>
      </c>
      <c r="K121" s="4">
        <v>0.24122700000000002</v>
      </c>
      <c r="L121" s="4">
        <v>0.20558699999999999</v>
      </c>
      <c r="M121" s="4">
        <v>0.22340700000000002</v>
      </c>
      <c r="N121" s="4">
        <v>0.23476724999999998</v>
      </c>
    </row>
    <row r="122" spans="1:14" x14ac:dyDescent="0.25">
      <c r="A122">
        <v>2020</v>
      </c>
      <c r="B122">
        <v>147</v>
      </c>
      <c r="C122" t="s">
        <v>79</v>
      </c>
      <c r="D122">
        <v>11</v>
      </c>
      <c r="E122" s="4">
        <v>0.18999449999999996</v>
      </c>
      <c r="F122" s="4">
        <v>0.20781449999999999</v>
      </c>
      <c r="G122" s="4">
        <v>0.23454450000000002</v>
      </c>
      <c r="H122" s="4">
        <v>0.25904699999999997</v>
      </c>
      <c r="I122" s="4">
        <v>0.25013699999999994</v>
      </c>
      <c r="J122" s="4">
        <v>0.27018449999999999</v>
      </c>
      <c r="K122" s="4">
        <v>0.27909450000000002</v>
      </c>
      <c r="L122" s="4">
        <v>0.25904699999999997</v>
      </c>
      <c r="M122" s="4">
        <v>0.267957</v>
      </c>
      <c r="N122" s="4">
        <v>0.25436925000000005</v>
      </c>
    </row>
    <row r="123" spans="1:14" x14ac:dyDescent="0.25">
      <c r="A123">
        <v>2020</v>
      </c>
      <c r="B123">
        <v>147</v>
      </c>
      <c r="C123" t="s">
        <v>79</v>
      </c>
      <c r="D123">
        <v>12</v>
      </c>
      <c r="E123" s="4">
        <v>0.2211795</v>
      </c>
      <c r="F123" s="4">
        <v>0.232317</v>
      </c>
      <c r="G123" s="4">
        <v>0.19890449999999998</v>
      </c>
      <c r="H123" s="4">
        <v>0.2122695</v>
      </c>
      <c r="I123" s="4">
        <v>0.20335949999999997</v>
      </c>
      <c r="J123" s="4">
        <v>0.21672450000000001</v>
      </c>
      <c r="K123" s="4">
        <v>0.20558699999999999</v>
      </c>
      <c r="L123" s="4">
        <v>0.24345450000000002</v>
      </c>
      <c r="M123" s="4">
        <v>0.25013699999999994</v>
      </c>
      <c r="N123" s="4">
        <v>0.22496624999999998</v>
      </c>
    </row>
    <row r="124" spans="1:14" x14ac:dyDescent="0.25">
      <c r="A124">
        <v>2020</v>
      </c>
      <c r="B124">
        <v>147</v>
      </c>
      <c r="C124" t="s">
        <v>79</v>
      </c>
      <c r="D124">
        <v>13</v>
      </c>
      <c r="E124" s="4">
        <v>0.21004199999999998</v>
      </c>
      <c r="F124" s="4">
        <v>0.20335949999999997</v>
      </c>
      <c r="G124" s="4">
        <v>0.21672450000000001</v>
      </c>
      <c r="H124" s="4">
        <v>0.25459199999999998</v>
      </c>
      <c r="I124" s="4">
        <v>0.26350199999999996</v>
      </c>
      <c r="J124" s="4">
        <v>0.26350199999999996</v>
      </c>
      <c r="K124" s="4">
        <v>0.25904699999999997</v>
      </c>
      <c r="L124" s="4">
        <v>0.23677200000000004</v>
      </c>
      <c r="M124" s="4">
        <v>0.25013699999999994</v>
      </c>
      <c r="N124" s="4">
        <v>0.242118</v>
      </c>
    </row>
    <row r="125" spans="1:14" x14ac:dyDescent="0.25">
      <c r="A125">
        <v>2020</v>
      </c>
      <c r="B125">
        <v>147</v>
      </c>
      <c r="C125" t="s">
        <v>79</v>
      </c>
      <c r="D125">
        <v>14</v>
      </c>
      <c r="E125" s="4">
        <v>0.267957</v>
      </c>
      <c r="F125" s="4">
        <v>0.26350199999999996</v>
      </c>
      <c r="G125" s="4">
        <v>0.27241199999999993</v>
      </c>
      <c r="H125" s="4">
        <v>0.26572949999999995</v>
      </c>
      <c r="I125" s="4">
        <v>0.24568199999999998</v>
      </c>
      <c r="J125" s="4">
        <v>0.24122700000000002</v>
      </c>
      <c r="K125" s="4">
        <v>0.27686699999999997</v>
      </c>
      <c r="L125" s="4">
        <v>0.25681949999999998</v>
      </c>
      <c r="M125" s="4">
        <v>0.24568199999999998</v>
      </c>
      <c r="N125" s="4">
        <v>0.22496624999999998</v>
      </c>
    </row>
    <row r="126" spans="1:14" x14ac:dyDescent="0.25">
      <c r="A126">
        <v>2020</v>
      </c>
      <c r="B126">
        <v>147</v>
      </c>
      <c r="C126" t="s">
        <v>79</v>
      </c>
      <c r="D126">
        <v>21</v>
      </c>
      <c r="E126" s="4">
        <v>0.26572949999999995</v>
      </c>
      <c r="F126" s="4">
        <v>0.24790949999999998</v>
      </c>
      <c r="G126" s="4">
        <v>0.25236449999999999</v>
      </c>
      <c r="H126" s="4">
        <v>0.25236449999999999</v>
      </c>
      <c r="I126" s="4">
        <v>0.25904699999999997</v>
      </c>
      <c r="J126" s="4">
        <v>0.26127450000000002</v>
      </c>
      <c r="K126" s="4">
        <v>0.22563449999999999</v>
      </c>
      <c r="L126" s="4">
        <v>0.25236449999999999</v>
      </c>
      <c r="M126" s="4">
        <v>0.26572949999999995</v>
      </c>
      <c r="N126" s="4">
        <v>0.27642149999999999</v>
      </c>
    </row>
    <row r="127" spans="1:14" x14ac:dyDescent="0.25">
      <c r="A127">
        <v>2020</v>
      </c>
      <c r="B127">
        <v>147</v>
      </c>
      <c r="C127" t="s">
        <v>79</v>
      </c>
      <c r="D127">
        <v>22</v>
      </c>
      <c r="E127" s="4">
        <v>0.25681949999999998</v>
      </c>
      <c r="F127" s="4">
        <v>0.2389995</v>
      </c>
      <c r="G127" s="4">
        <v>0.24568199999999998</v>
      </c>
      <c r="H127" s="4">
        <v>0.25236449999999999</v>
      </c>
      <c r="I127" s="4">
        <v>0.24345450000000002</v>
      </c>
      <c r="J127" s="4">
        <v>0.1944495</v>
      </c>
      <c r="K127" s="4">
        <v>0.1855395</v>
      </c>
      <c r="L127" s="4">
        <v>0.23454450000000002</v>
      </c>
      <c r="M127" s="4">
        <v>0.24345450000000002</v>
      </c>
      <c r="N127" s="4">
        <v>0.20536425000000005</v>
      </c>
    </row>
    <row r="128" spans="1:14" x14ac:dyDescent="0.25">
      <c r="A128">
        <v>2020</v>
      </c>
      <c r="B128">
        <v>147</v>
      </c>
      <c r="C128" t="s">
        <v>79</v>
      </c>
      <c r="D128">
        <v>23</v>
      </c>
      <c r="E128" s="4">
        <v>0.21004199999999998</v>
      </c>
      <c r="F128" s="4">
        <v>0.21672450000000001</v>
      </c>
      <c r="G128" s="4">
        <v>0.25681949999999998</v>
      </c>
      <c r="H128" s="4">
        <v>0.267957</v>
      </c>
      <c r="I128" s="4">
        <v>0.21449699999999999</v>
      </c>
      <c r="J128" s="4">
        <v>0.16103699999999999</v>
      </c>
      <c r="K128" s="4">
        <v>0.17662950000000002</v>
      </c>
      <c r="L128" s="4">
        <v>0.21672450000000001</v>
      </c>
      <c r="M128" s="4">
        <v>0.23677200000000004</v>
      </c>
      <c r="N128" s="4">
        <v>0.24946875000000004</v>
      </c>
    </row>
    <row r="129" spans="1:14" x14ac:dyDescent="0.25">
      <c r="A129">
        <v>2020</v>
      </c>
      <c r="B129">
        <v>147</v>
      </c>
      <c r="C129" t="s">
        <v>79</v>
      </c>
      <c r="D129">
        <v>24</v>
      </c>
      <c r="E129" s="4">
        <v>0.16994700000000001</v>
      </c>
      <c r="F129" s="4">
        <v>0.1365345</v>
      </c>
      <c r="G129" s="4">
        <v>0.13430700000000001</v>
      </c>
      <c r="H129" s="4">
        <v>0.14098950000000002</v>
      </c>
      <c r="I129" s="4">
        <v>0.14321700000000001</v>
      </c>
      <c r="J129" s="4">
        <v>0.14098950000000002</v>
      </c>
      <c r="K129" s="4">
        <v>0.15880949999999999</v>
      </c>
      <c r="L129" s="4">
        <v>0.1855395</v>
      </c>
      <c r="M129" s="4">
        <v>0.232317</v>
      </c>
      <c r="N129" s="4">
        <v>0.2372175</v>
      </c>
    </row>
    <row r="130" spans="1:14" x14ac:dyDescent="0.25">
      <c r="A130">
        <v>2020</v>
      </c>
      <c r="B130">
        <v>147</v>
      </c>
      <c r="C130" t="s">
        <v>79</v>
      </c>
      <c r="D130">
        <v>31</v>
      </c>
      <c r="E130" s="4">
        <v>0.25459199999999998</v>
      </c>
      <c r="F130" s="4">
        <v>0.23677200000000004</v>
      </c>
      <c r="G130" s="4">
        <v>0.24568199999999998</v>
      </c>
      <c r="H130" s="4">
        <v>0.2389995</v>
      </c>
      <c r="I130" s="4">
        <v>0.21895199999999998</v>
      </c>
      <c r="J130" s="4">
        <v>0.18999449999999996</v>
      </c>
      <c r="K130" s="4">
        <v>0.1944495</v>
      </c>
      <c r="L130" s="4">
        <v>0.20558699999999999</v>
      </c>
      <c r="M130" s="4">
        <v>0.232317</v>
      </c>
      <c r="N130" s="4">
        <v>0.22496624999999998</v>
      </c>
    </row>
    <row r="131" spans="1:14" x14ac:dyDescent="0.25">
      <c r="A131">
        <v>2020</v>
      </c>
      <c r="B131">
        <v>147</v>
      </c>
      <c r="C131" t="s">
        <v>79</v>
      </c>
      <c r="D131">
        <v>32</v>
      </c>
      <c r="E131" s="4">
        <v>0.20781449999999999</v>
      </c>
      <c r="F131" s="4">
        <v>0.19222199999999998</v>
      </c>
      <c r="G131" s="4">
        <v>0.16994700000000001</v>
      </c>
      <c r="H131" s="4">
        <v>0.165492</v>
      </c>
      <c r="I131" s="4">
        <v>0.14989949999999999</v>
      </c>
      <c r="J131" s="4">
        <v>0.156582</v>
      </c>
      <c r="K131" s="4">
        <v>0.17885699999999999</v>
      </c>
      <c r="L131" s="4">
        <v>0.22786200000000001</v>
      </c>
      <c r="M131" s="4">
        <v>0.25236449999999999</v>
      </c>
      <c r="N131" s="4">
        <v>0.23966774999999998</v>
      </c>
    </row>
    <row r="132" spans="1:14" x14ac:dyDescent="0.25">
      <c r="A132">
        <v>2020</v>
      </c>
      <c r="B132">
        <v>147</v>
      </c>
      <c r="C132" t="s">
        <v>79</v>
      </c>
      <c r="D132">
        <v>33</v>
      </c>
      <c r="E132" s="4">
        <v>0.20113199999999998</v>
      </c>
      <c r="F132" s="4">
        <v>0.20781449999999999</v>
      </c>
      <c r="G132" s="4">
        <v>0.24122700000000002</v>
      </c>
      <c r="H132" s="4">
        <v>0.25681949999999998</v>
      </c>
      <c r="I132" s="4">
        <v>0.24568199999999998</v>
      </c>
      <c r="J132" s="4">
        <v>0.24122700000000002</v>
      </c>
      <c r="K132" s="4">
        <v>0.24345450000000002</v>
      </c>
      <c r="L132" s="4">
        <v>0.22786200000000001</v>
      </c>
      <c r="M132" s="4">
        <v>0.25236449999999999</v>
      </c>
      <c r="N132" s="4">
        <v>0.22251599999999999</v>
      </c>
    </row>
    <row r="133" spans="1:14" x14ac:dyDescent="0.25">
      <c r="A133">
        <v>2020</v>
      </c>
      <c r="B133">
        <v>147</v>
      </c>
      <c r="C133" t="s">
        <v>79</v>
      </c>
      <c r="D133">
        <v>34</v>
      </c>
      <c r="E133" s="4">
        <v>0.147672</v>
      </c>
      <c r="F133" s="4">
        <v>0.17217450000000001</v>
      </c>
      <c r="G133" s="4">
        <v>0.22340700000000002</v>
      </c>
      <c r="H133" s="4">
        <v>0.25013699999999994</v>
      </c>
      <c r="I133" s="4">
        <v>0.26350199999999996</v>
      </c>
      <c r="J133" s="4">
        <v>0.26572949999999995</v>
      </c>
      <c r="K133" s="4">
        <v>0.27241199999999993</v>
      </c>
      <c r="L133" s="4">
        <v>0.25681949999999998</v>
      </c>
      <c r="M133" s="4">
        <v>0.23677200000000004</v>
      </c>
      <c r="N133" s="4">
        <v>0.22496624999999998</v>
      </c>
    </row>
    <row r="134" spans="1:14" x14ac:dyDescent="0.25">
      <c r="A134">
        <v>2020</v>
      </c>
      <c r="B134">
        <v>147</v>
      </c>
      <c r="C134" t="s">
        <v>79</v>
      </c>
      <c r="D134">
        <v>41</v>
      </c>
      <c r="E134" s="4">
        <v>0.22786200000000001</v>
      </c>
      <c r="F134" s="4">
        <v>0.25236449999999999</v>
      </c>
      <c r="G134" s="4">
        <v>0.2880045</v>
      </c>
      <c r="H134" s="4">
        <v>0.27463949999999998</v>
      </c>
      <c r="I134" s="4">
        <v>0.27686699999999997</v>
      </c>
      <c r="J134" s="4">
        <v>0.28577700000000006</v>
      </c>
      <c r="K134" s="4">
        <v>0.22786200000000001</v>
      </c>
      <c r="L134" s="4">
        <v>0.23677200000000004</v>
      </c>
      <c r="M134" s="4">
        <v>0.25236449999999999</v>
      </c>
      <c r="N134" s="4">
        <v>0.25681950000000003</v>
      </c>
    </row>
    <row r="135" spans="1:14" x14ac:dyDescent="0.25">
      <c r="A135">
        <v>2020</v>
      </c>
      <c r="B135">
        <v>147</v>
      </c>
      <c r="C135" t="s">
        <v>79</v>
      </c>
      <c r="D135">
        <v>42</v>
      </c>
      <c r="E135" s="4">
        <v>0.23008950000000003</v>
      </c>
      <c r="F135" s="4">
        <v>0.232317</v>
      </c>
      <c r="G135" s="4">
        <v>0.24790949999999998</v>
      </c>
      <c r="H135" s="4">
        <v>0.25459199999999998</v>
      </c>
      <c r="I135" s="4">
        <v>0.27909450000000002</v>
      </c>
      <c r="J135" s="4">
        <v>0.24345450000000002</v>
      </c>
      <c r="K135" s="4">
        <v>0.2211795</v>
      </c>
      <c r="L135" s="4">
        <v>0.232317</v>
      </c>
      <c r="M135" s="4">
        <v>0.24122700000000002</v>
      </c>
      <c r="N135" s="4">
        <v>0.232317</v>
      </c>
    </row>
    <row r="136" spans="1:14" x14ac:dyDescent="0.25">
      <c r="A136">
        <v>2020</v>
      </c>
      <c r="B136">
        <v>147</v>
      </c>
      <c r="C136" t="s">
        <v>79</v>
      </c>
      <c r="D136">
        <v>43</v>
      </c>
      <c r="E136" s="4">
        <v>0.23454450000000002</v>
      </c>
      <c r="F136" s="4">
        <v>0.23677200000000004</v>
      </c>
      <c r="G136" s="4">
        <v>0.25459199999999998</v>
      </c>
      <c r="H136" s="4">
        <v>0.22340700000000002</v>
      </c>
      <c r="I136" s="4">
        <v>0.23008950000000003</v>
      </c>
      <c r="J136" s="4">
        <v>0.23008950000000003</v>
      </c>
      <c r="K136" s="4">
        <v>0.24345450000000002</v>
      </c>
      <c r="L136" s="4">
        <v>0.22786200000000001</v>
      </c>
      <c r="M136" s="4">
        <v>0.232317</v>
      </c>
      <c r="N136" s="4">
        <v>0.23966774999999998</v>
      </c>
    </row>
    <row r="137" spans="1:14" x14ac:dyDescent="0.25">
      <c r="A137">
        <v>2020</v>
      </c>
      <c r="B137">
        <v>147</v>
      </c>
      <c r="C137" t="s">
        <v>79</v>
      </c>
      <c r="D137">
        <v>44</v>
      </c>
      <c r="E137" s="4">
        <v>0.18999449999999996</v>
      </c>
      <c r="F137" s="4">
        <v>0.19890449999999998</v>
      </c>
      <c r="G137" s="4">
        <v>0.267957</v>
      </c>
      <c r="H137" s="4">
        <v>0.25904699999999997</v>
      </c>
      <c r="I137" s="4">
        <v>0.26350199999999996</v>
      </c>
      <c r="J137" s="4">
        <v>0.25459199999999998</v>
      </c>
      <c r="K137" s="4">
        <v>0.26572949999999995</v>
      </c>
      <c r="L137" s="4">
        <v>0.23008950000000003</v>
      </c>
      <c r="M137" s="4">
        <v>0.22563449999999999</v>
      </c>
      <c r="N137" s="4">
        <v>0.21761549999999999</v>
      </c>
    </row>
    <row r="138" spans="1:14" x14ac:dyDescent="0.25">
      <c r="A138">
        <v>2020</v>
      </c>
      <c r="B138">
        <v>147</v>
      </c>
      <c r="C138" t="s">
        <v>79</v>
      </c>
      <c r="D138">
        <v>51</v>
      </c>
      <c r="E138" s="4">
        <v>0.27463949999999998</v>
      </c>
      <c r="F138" s="4">
        <v>0.267957</v>
      </c>
      <c r="G138" s="4">
        <v>0.27463949999999998</v>
      </c>
      <c r="H138" s="4">
        <v>0.28132200000000002</v>
      </c>
      <c r="I138" s="4">
        <v>0.25013699999999994</v>
      </c>
      <c r="J138" s="4">
        <v>0.25904699999999997</v>
      </c>
      <c r="K138" s="4">
        <v>0.23008950000000003</v>
      </c>
      <c r="L138" s="4">
        <v>0.24122700000000002</v>
      </c>
      <c r="M138" s="4">
        <v>0.25904699999999997</v>
      </c>
      <c r="N138" s="4">
        <v>0.26907075000000008</v>
      </c>
    </row>
    <row r="139" spans="1:14" x14ac:dyDescent="0.25">
      <c r="A139">
        <v>2020</v>
      </c>
      <c r="B139">
        <v>147</v>
      </c>
      <c r="C139" t="s">
        <v>79</v>
      </c>
      <c r="D139">
        <v>52</v>
      </c>
      <c r="E139" s="4">
        <v>0.25681949999999998</v>
      </c>
      <c r="F139" s="4">
        <v>0.25013699999999994</v>
      </c>
      <c r="G139" s="4">
        <v>0.27686699999999997</v>
      </c>
      <c r="H139" s="4">
        <v>0.2880045</v>
      </c>
      <c r="I139" s="4">
        <v>0.30136949999999996</v>
      </c>
      <c r="J139" s="4">
        <v>0.29023199999999999</v>
      </c>
      <c r="K139" s="4">
        <v>0.27018449999999999</v>
      </c>
      <c r="L139" s="4">
        <v>0.2389995</v>
      </c>
      <c r="M139" s="4">
        <v>0.24790949999999998</v>
      </c>
      <c r="N139" s="4">
        <v>0.26172000000000001</v>
      </c>
    </row>
    <row r="140" spans="1:14" x14ac:dyDescent="0.25">
      <c r="A140">
        <v>2020</v>
      </c>
      <c r="B140">
        <v>147</v>
      </c>
      <c r="C140" t="s">
        <v>79</v>
      </c>
      <c r="D140">
        <v>53</v>
      </c>
      <c r="E140" s="4">
        <v>0.24345450000000002</v>
      </c>
      <c r="F140" s="4">
        <v>0.24345450000000002</v>
      </c>
      <c r="G140" s="4">
        <v>0.25904699999999997</v>
      </c>
      <c r="H140" s="4">
        <v>0.28354950000000001</v>
      </c>
      <c r="I140" s="4">
        <v>0.28132200000000002</v>
      </c>
      <c r="J140" s="4">
        <v>0.27463949999999998</v>
      </c>
      <c r="K140" s="4">
        <v>0.25013699999999994</v>
      </c>
      <c r="L140" s="4">
        <v>0.21449699999999999</v>
      </c>
      <c r="M140" s="4">
        <v>0.2211795</v>
      </c>
      <c r="N140" s="4">
        <v>0.21026475000000006</v>
      </c>
    </row>
    <row r="141" spans="1:14" x14ac:dyDescent="0.25">
      <c r="A141">
        <v>2020</v>
      </c>
      <c r="B141">
        <v>147</v>
      </c>
      <c r="C141" t="s">
        <v>79</v>
      </c>
      <c r="D141">
        <v>54</v>
      </c>
      <c r="E141" s="4">
        <v>0.25681949999999998</v>
      </c>
      <c r="F141" s="4">
        <v>0.25013699999999994</v>
      </c>
      <c r="G141" s="4">
        <v>0.24790949999999998</v>
      </c>
      <c r="H141" s="4">
        <v>0.27463949999999998</v>
      </c>
      <c r="I141" s="4">
        <v>0.28577700000000006</v>
      </c>
      <c r="J141" s="4">
        <v>0.2880045</v>
      </c>
      <c r="K141" s="4">
        <v>0.27686699999999997</v>
      </c>
      <c r="L141" s="4">
        <v>0.25013699999999994</v>
      </c>
      <c r="M141" s="4">
        <v>0.23008950000000003</v>
      </c>
      <c r="N141" s="4">
        <v>0.26172000000000001</v>
      </c>
    </row>
    <row r="142" spans="1:14" x14ac:dyDescent="0.25">
      <c r="A142">
        <v>2020</v>
      </c>
      <c r="B142">
        <v>147</v>
      </c>
      <c r="C142" t="s">
        <v>79</v>
      </c>
      <c r="D142">
        <v>61</v>
      </c>
      <c r="E142" s="4">
        <v>0.18999449999999996</v>
      </c>
      <c r="F142" s="4">
        <v>0.156582</v>
      </c>
      <c r="G142" s="4">
        <v>0.17662950000000002</v>
      </c>
      <c r="H142" s="4">
        <v>0.21895199999999998</v>
      </c>
      <c r="I142" s="4">
        <v>0.23677200000000004</v>
      </c>
      <c r="J142" s="4">
        <v>0.21004199999999998</v>
      </c>
      <c r="K142" s="4">
        <v>0.2122695</v>
      </c>
      <c r="L142" s="4">
        <v>0.23008950000000003</v>
      </c>
      <c r="M142" s="4">
        <v>0.25013699999999994</v>
      </c>
      <c r="N142" s="4">
        <v>0.24456824999999999</v>
      </c>
    </row>
    <row r="143" spans="1:14" x14ac:dyDescent="0.25">
      <c r="A143">
        <v>2020</v>
      </c>
      <c r="B143">
        <v>147</v>
      </c>
      <c r="C143" t="s">
        <v>79</v>
      </c>
      <c r="D143">
        <v>62</v>
      </c>
      <c r="E143" s="4">
        <v>0.25236449999999999</v>
      </c>
      <c r="F143" s="4">
        <v>0.25904699999999997</v>
      </c>
      <c r="G143" s="4">
        <v>0.27241199999999993</v>
      </c>
      <c r="H143" s="4">
        <v>0.21449699999999999</v>
      </c>
      <c r="I143" s="4">
        <v>0.24345450000000002</v>
      </c>
      <c r="J143" s="4">
        <v>0.267957</v>
      </c>
      <c r="K143" s="4">
        <v>0.22340700000000002</v>
      </c>
      <c r="L143" s="4">
        <v>0.22563449999999999</v>
      </c>
      <c r="M143" s="4">
        <v>0.25681949999999998</v>
      </c>
      <c r="N143" s="4">
        <v>0.25681950000000003</v>
      </c>
    </row>
    <row r="144" spans="1:14" x14ac:dyDescent="0.25">
      <c r="A144">
        <v>2020</v>
      </c>
      <c r="B144">
        <v>147</v>
      </c>
      <c r="C144" t="s">
        <v>79</v>
      </c>
      <c r="D144">
        <v>63</v>
      </c>
      <c r="E144" s="4">
        <v>0.267957</v>
      </c>
      <c r="F144" s="4">
        <v>0.23677200000000004</v>
      </c>
      <c r="G144" s="4">
        <v>0.23008950000000003</v>
      </c>
      <c r="H144" s="4">
        <v>0.21672450000000001</v>
      </c>
      <c r="I144" s="4">
        <v>0.23008950000000003</v>
      </c>
      <c r="J144" s="4">
        <v>0.23008950000000003</v>
      </c>
      <c r="K144" s="4">
        <v>0.1944495</v>
      </c>
      <c r="L144" s="4">
        <v>0.19890449999999998</v>
      </c>
      <c r="M144" s="4">
        <v>0.21895199999999998</v>
      </c>
      <c r="N144" s="4">
        <v>0.23476724999999998</v>
      </c>
    </row>
    <row r="145" spans="1:14" x14ac:dyDescent="0.25">
      <c r="A145">
        <v>2020</v>
      </c>
      <c r="B145">
        <v>147</v>
      </c>
      <c r="C145" t="s">
        <v>79</v>
      </c>
      <c r="D145">
        <v>64</v>
      </c>
      <c r="E145" s="4">
        <v>0.28132200000000002</v>
      </c>
      <c r="F145" s="4">
        <v>0.26572949999999995</v>
      </c>
      <c r="G145" s="4">
        <v>0.22340700000000002</v>
      </c>
      <c r="H145" s="4">
        <v>0.24568199999999998</v>
      </c>
      <c r="I145" s="4">
        <v>0.267957</v>
      </c>
      <c r="J145" s="4">
        <v>0.25681949999999998</v>
      </c>
      <c r="K145" s="4">
        <v>0.23454450000000002</v>
      </c>
      <c r="L145" s="4">
        <v>0.20335949999999997</v>
      </c>
      <c r="M145" s="4">
        <v>0.2211795</v>
      </c>
      <c r="N145" s="4">
        <v>0.24456824999999999</v>
      </c>
    </row>
    <row r="146" spans="1:14" x14ac:dyDescent="0.25">
      <c r="A146">
        <v>2020</v>
      </c>
      <c r="B146">
        <v>153</v>
      </c>
      <c r="C146" t="s">
        <v>79</v>
      </c>
      <c r="D146">
        <v>11</v>
      </c>
      <c r="E146" s="4">
        <v>0.19222199999999998</v>
      </c>
      <c r="F146" s="4">
        <v>0.20558699999999999</v>
      </c>
      <c r="G146" s="4">
        <v>0.2389995</v>
      </c>
      <c r="H146" s="4">
        <v>0.26572949999999995</v>
      </c>
      <c r="I146" s="4">
        <v>0.24790949999999998</v>
      </c>
      <c r="J146" s="4">
        <v>0.27463949999999998</v>
      </c>
      <c r="K146" s="4">
        <v>0.28577700000000006</v>
      </c>
      <c r="L146" s="4">
        <v>0.26350199999999996</v>
      </c>
      <c r="M146" s="4">
        <v>0.26572949999999995</v>
      </c>
      <c r="N146" s="4">
        <v>0.25191900000000006</v>
      </c>
    </row>
    <row r="147" spans="1:14" x14ac:dyDescent="0.25">
      <c r="A147">
        <v>2020</v>
      </c>
      <c r="B147">
        <v>153</v>
      </c>
      <c r="C147" t="s">
        <v>79</v>
      </c>
      <c r="D147">
        <v>12</v>
      </c>
      <c r="E147" s="4">
        <v>0.2389995</v>
      </c>
      <c r="F147" s="4">
        <v>0.25013699999999994</v>
      </c>
      <c r="G147" s="4">
        <v>0.21004199999999998</v>
      </c>
      <c r="H147" s="4">
        <v>0.2122695</v>
      </c>
      <c r="I147" s="4">
        <v>0.20781449999999999</v>
      </c>
      <c r="J147" s="4">
        <v>0.21449699999999999</v>
      </c>
      <c r="K147" s="4">
        <v>0.20781449999999999</v>
      </c>
      <c r="L147" s="4">
        <v>0.25013699999999994</v>
      </c>
      <c r="M147" s="4">
        <v>0.24790949999999998</v>
      </c>
      <c r="N147" s="4">
        <v>0.22251599999999999</v>
      </c>
    </row>
    <row r="148" spans="1:14" x14ac:dyDescent="0.25">
      <c r="A148">
        <v>2020</v>
      </c>
      <c r="B148">
        <v>153</v>
      </c>
      <c r="C148" t="s">
        <v>79</v>
      </c>
      <c r="D148">
        <v>13</v>
      </c>
      <c r="E148" s="4">
        <v>0.22786200000000001</v>
      </c>
      <c r="F148" s="4">
        <v>0.2122695</v>
      </c>
      <c r="G148" s="4">
        <v>0.22563449999999999</v>
      </c>
      <c r="H148" s="4">
        <v>0.25459199999999998</v>
      </c>
      <c r="I148" s="4">
        <v>0.26572949999999995</v>
      </c>
      <c r="J148" s="4">
        <v>0.267957</v>
      </c>
      <c r="K148" s="4">
        <v>0.25459199999999998</v>
      </c>
      <c r="L148" s="4">
        <v>0.23454450000000002</v>
      </c>
      <c r="M148" s="4">
        <v>0.24568199999999998</v>
      </c>
      <c r="N148" s="4">
        <v>0.22251599999999999</v>
      </c>
    </row>
    <row r="149" spans="1:14" x14ac:dyDescent="0.25">
      <c r="A149">
        <v>2020</v>
      </c>
      <c r="B149">
        <v>153</v>
      </c>
      <c r="C149" t="s">
        <v>79</v>
      </c>
      <c r="D149">
        <v>14</v>
      </c>
      <c r="E149" s="4">
        <v>0.26127450000000002</v>
      </c>
      <c r="F149" s="4">
        <v>0.27018449999999999</v>
      </c>
      <c r="G149" s="4">
        <v>0.27018449999999999</v>
      </c>
      <c r="H149" s="4">
        <v>0.27463949999999998</v>
      </c>
      <c r="I149" s="4">
        <v>0.24790949999999998</v>
      </c>
      <c r="J149" s="4">
        <v>0.24568199999999998</v>
      </c>
      <c r="K149" s="4">
        <v>0.28354950000000001</v>
      </c>
      <c r="L149" s="4">
        <v>0.25904699999999997</v>
      </c>
      <c r="M149" s="4">
        <v>0.25459199999999998</v>
      </c>
      <c r="N149" s="4">
        <v>0.22986674999999998</v>
      </c>
    </row>
    <row r="150" spans="1:14" x14ac:dyDescent="0.25">
      <c r="A150">
        <v>2020</v>
      </c>
      <c r="B150">
        <v>153</v>
      </c>
      <c r="C150" t="s">
        <v>79</v>
      </c>
      <c r="D150">
        <v>21</v>
      </c>
      <c r="E150" s="4">
        <v>0.27463949999999998</v>
      </c>
      <c r="F150" s="4">
        <v>0.25459199999999998</v>
      </c>
      <c r="G150" s="4">
        <v>0.26127450000000002</v>
      </c>
      <c r="H150" s="4">
        <v>0.26127450000000002</v>
      </c>
      <c r="I150" s="4">
        <v>0.26572949999999995</v>
      </c>
      <c r="J150" s="4">
        <v>0.26572949999999995</v>
      </c>
      <c r="K150" s="4">
        <v>0.22786200000000001</v>
      </c>
      <c r="L150" s="4">
        <v>0.26127450000000002</v>
      </c>
      <c r="M150" s="4">
        <v>0.27241199999999993</v>
      </c>
      <c r="N150" s="4">
        <v>0.25926975000000002</v>
      </c>
    </row>
    <row r="151" spans="1:14" x14ac:dyDescent="0.25">
      <c r="A151">
        <v>2020</v>
      </c>
      <c r="B151">
        <v>153</v>
      </c>
      <c r="C151" t="s">
        <v>79</v>
      </c>
      <c r="D151">
        <v>22</v>
      </c>
      <c r="E151" s="4">
        <v>0.25681949999999998</v>
      </c>
      <c r="F151" s="4">
        <v>0.24345450000000002</v>
      </c>
      <c r="G151" s="4">
        <v>0.24790949999999998</v>
      </c>
      <c r="H151" s="4">
        <v>0.26350199999999996</v>
      </c>
      <c r="I151" s="4">
        <v>0.24790949999999998</v>
      </c>
      <c r="J151" s="4">
        <v>0.20558699999999999</v>
      </c>
      <c r="K151" s="4">
        <v>0.18776700000000002</v>
      </c>
      <c r="L151" s="4">
        <v>0.24122700000000002</v>
      </c>
      <c r="M151" s="4">
        <v>0.2389995</v>
      </c>
      <c r="N151" s="4">
        <v>0.21026475000000006</v>
      </c>
    </row>
    <row r="152" spans="1:14" x14ac:dyDescent="0.25">
      <c r="A152">
        <v>2020</v>
      </c>
      <c r="B152">
        <v>153</v>
      </c>
      <c r="C152" t="s">
        <v>79</v>
      </c>
      <c r="D152">
        <v>23</v>
      </c>
      <c r="E152" s="4">
        <v>0.22340700000000002</v>
      </c>
      <c r="F152" s="4">
        <v>0.23008950000000003</v>
      </c>
      <c r="G152" s="4">
        <v>0.26350199999999996</v>
      </c>
      <c r="H152" s="4">
        <v>0.27241199999999993</v>
      </c>
      <c r="I152" s="4">
        <v>0.23677200000000004</v>
      </c>
      <c r="J152" s="4">
        <v>0.18331200000000003</v>
      </c>
      <c r="K152" s="4">
        <v>0.18999449999999996</v>
      </c>
      <c r="L152" s="4">
        <v>0.21449699999999999</v>
      </c>
      <c r="M152" s="4">
        <v>0.24122700000000002</v>
      </c>
      <c r="N152" s="4">
        <v>0.23966774999999998</v>
      </c>
    </row>
    <row r="153" spans="1:14" x14ac:dyDescent="0.25">
      <c r="A153">
        <v>2020</v>
      </c>
      <c r="B153">
        <v>153</v>
      </c>
      <c r="C153" t="s">
        <v>79</v>
      </c>
      <c r="D153">
        <v>24</v>
      </c>
      <c r="E153" s="4">
        <v>0.17662950000000002</v>
      </c>
      <c r="F153" s="4">
        <v>0.1454445</v>
      </c>
      <c r="G153" s="4">
        <v>0.1365345</v>
      </c>
      <c r="H153" s="4">
        <v>0.14321700000000001</v>
      </c>
      <c r="I153" s="4">
        <v>0.14098950000000002</v>
      </c>
      <c r="J153" s="4">
        <v>0.14098950000000002</v>
      </c>
      <c r="K153" s="4">
        <v>0.156582</v>
      </c>
      <c r="L153" s="4">
        <v>0.17662950000000002</v>
      </c>
      <c r="M153" s="4">
        <v>0.2211795</v>
      </c>
      <c r="N153" s="4">
        <v>0.22006574999999998</v>
      </c>
    </row>
    <row r="154" spans="1:14" x14ac:dyDescent="0.25">
      <c r="A154">
        <v>2020</v>
      </c>
      <c r="B154">
        <v>153</v>
      </c>
      <c r="C154" t="s">
        <v>79</v>
      </c>
      <c r="D154">
        <v>31</v>
      </c>
      <c r="E154" s="4">
        <v>0.26350199999999996</v>
      </c>
      <c r="F154" s="4">
        <v>0.24568199999999998</v>
      </c>
      <c r="G154" s="4">
        <v>0.25013699999999994</v>
      </c>
      <c r="H154" s="4">
        <v>0.24568199999999998</v>
      </c>
      <c r="I154" s="4">
        <v>0.22563449999999999</v>
      </c>
      <c r="J154" s="4">
        <v>0.20335949999999997</v>
      </c>
      <c r="K154" s="4">
        <v>0.1944495</v>
      </c>
      <c r="L154" s="4">
        <v>0.21004199999999998</v>
      </c>
      <c r="M154" s="4">
        <v>0.22340700000000002</v>
      </c>
      <c r="N154" s="4">
        <v>0.21516524999999997</v>
      </c>
    </row>
    <row r="155" spans="1:14" x14ac:dyDescent="0.25">
      <c r="A155">
        <v>2020</v>
      </c>
      <c r="B155">
        <v>153</v>
      </c>
      <c r="C155" t="s">
        <v>79</v>
      </c>
      <c r="D155">
        <v>32</v>
      </c>
      <c r="E155" s="4">
        <v>0.21449699999999999</v>
      </c>
      <c r="F155" s="4">
        <v>0.1944495</v>
      </c>
      <c r="G155" s="4">
        <v>0.17217450000000001</v>
      </c>
      <c r="H155" s="4">
        <v>0.16103699999999999</v>
      </c>
      <c r="I155" s="4">
        <v>0.15435450000000001</v>
      </c>
      <c r="J155" s="4">
        <v>0.15435450000000001</v>
      </c>
      <c r="K155" s="4">
        <v>0.17885699999999999</v>
      </c>
      <c r="L155" s="4">
        <v>0.23008950000000003</v>
      </c>
      <c r="M155" s="4">
        <v>0.24790949999999998</v>
      </c>
      <c r="N155" s="4">
        <v>0.22741649999999999</v>
      </c>
    </row>
    <row r="156" spans="1:14" x14ac:dyDescent="0.25">
      <c r="A156">
        <v>2020</v>
      </c>
      <c r="B156">
        <v>153</v>
      </c>
      <c r="C156" t="s">
        <v>79</v>
      </c>
      <c r="D156">
        <v>33</v>
      </c>
      <c r="E156" s="4">
        <v>0.20558699999999999</v>
      </c>
      <c r="F156" s="4">
        <v>0.20335949999999997</v>
      </c>
      <c r="G156" s="4">
        <v>0.24790949999999998</v>
      </c>
      <c r="H156" s="4">
        <v>0.26127450000000002</v>
      </c>
      <c r="I156" s="4">
        <v>0.24345450000000002</v>
      </c>
      <c r="J156" s="4">
        <v>0.23677200000000004</v>
      </c>
      <c r="K156" s="4">
        <v>0.24568199999999998</v>
      </c>
      <c r="L156" s="4">
        <v>0.232317</v>
      </c>
      <c r="M156" s="4">
        <v>0.25459199999999998</v>
      </c>
      <c r="N156" s="4">
        <v>0.21761549999999999</v>
      </c>
    </row>
    <row r="157" spans="1:14" x14ac:dyDescent="0.25">
      <c r="A157">
        <v>2020</v>
      </c>
      <c r="B157">
        <v>153</v>
      </c>
      <c r="C157" t="s">
        <v>79</v>
      </c>
      <c r="D157">
        <v>34</v>
      </c>
      <c r="E157" s="4">
        <v>0.165492</v>
      </c>
      <c r="F157" s="4">
        <v>0.18108450000000001</v>
      </c>
      <c r="G157" s="4">
        <v>0.22786200000000001</v>
      </c>
      <c r="H157" s="4">
        <v>0.25459199999999998</v>
      </c>
      <c r="I157" s="4">
        <v>0.26127450000000002</v>
      </c>
      <c r="J157" s="4">
        <v>0.27463949999999998</v>
      </c>
      <c r="K157" s="4">
        <v>0.27909450000000002</v>
      </c>
      <c r="L157" s="4">
        <v>0.267957</v>
      </c>
      <c r="M157" s="4">
        <v>0.23454450000000002</v>
      </c>
      <c r="N157" s="4">
        <v>0.22251599999999999</v>
      </c>
    </row>
    <row r="158" spans="1:14" x14ac:dyDescent="0.25">
      <c r="A158">
        <v>2020</v>
      </c>
      <c r="B158">
        <v>153</v>
      </c>
      <c r="C158" t="s">
        <v>79</v>
      </c>
      <c r="D158">
        <v>41</v>
      </c>
      <c r="E158" s="4">
        <v>0.22786200000000001</v>
      </c>
      <c r="F158" s="4">
        <v>0.25459199999999998</v>
      </c>
      <c r="G158" s="4">
        <v>0.29245950000000004</v>
      </c>
      <c r="H158" s="4">
        <v>0.28132200000000002</v>
      </c>
      <c r="I158" s="4">
        <v>0.28132200000000002</v>
      </c>
      <c r="J158" s="4">
        <v>0.28577700000000006</v>
      </c>
      <c r="K158" s="4">
        <v>0.22786200000000001</v>
      </c>
      <c r="L158" s="4">
        <v>0.2389995</v>
      </c>
      <c r="M158" s="4">
        <v>0.2389995</v>
      </c>
      <c r="N158" s="4">
        <v>0.22986674999999998</v>
      </c>
    </row>
    <row r="159" spans="1:14" x14ac:dyDescent="0.25">
      <c r="A159">
        <v>2020</v>
      </c>
      <c r="B159">
        <v>153</v>
      </c>
      <c r="C159" t="s">
        <v>79</v>
      </c>
      <c r="D159">
        <v>42</v>
      </c>
      <c r="E159" s="4">
        <v>0.2389995</v>
      </c>
      <c r="F159" s="4">
        <v>0.23008950000000003</v>
      </c>
      <c r="G159" s="4">
        <v>0.25904699999999997</v>
      </c>
      <c r="H159" s="4">
        <v>0.25681949999999998</v>
      </c>
      <c r="I159" s="4">
        <v>0.28132200000000002</v>
      </c>
      <c r="J159" s="4">
        <v>0.24568199999999998</v>
      </c>
      <c r="K159" s="4">
        <v>0.21672450000000001</v>
      </c>
      <c r="L159" s="4">
        <v>0.232317</v>
      </c>
      <c r="M159" s="4">
        <v>0.2389995</v>
      </c>
      <c r="N159" s="4">
        <v>0.21516524999999997</v>
      </c>
    </row>
    <row r="160" spans="1:14" x14ac:dyDescent="0.25">
      <c r="A160">
        <v>2020</v>
      </c>
      <c r="B160">
        <v>153</v>
      </c>
      <c r="C160" t="s">
        <v>79</v>
      </c>
      <c r="D160">
        <v>43</v>
      </c>
      <c r="E160" s="4">
        <v>0.24122700000000002</v>
      </c>
      <c r="F160" s="4">
        <v>0.23454450000000002</v>
      </c>
      <c r="G160" s="4">
        <v>0.25459199999999998</v>
      </c>
      <c r="H160" s="4">
        <v>0.22563449999999999</v>
      </c>
      <c r="I160" s="4">
        <v>0.232317</v>
      </c>
      <c r="J160" s="4">
        <v>0.23677200000000004</v>
      </c>
      <c r="K160" s="4">
        <v>0.25013699999999994</v>
      </c>
      <c r="L160" s="4">
        <v>0.22786200000000001</v>
      </c>
      <c r="M160" s="4">
        <v>0.23454450000000002</v>
      </c>
      <c r="N160" s="4">
        <v>0.22251599999999999</v>
      </c>
    </row>
    <row r="161" spans="1:14" x14ac:dyDescent="0.25">
      <c r="A161">
        <v>2020</v>
      </c>
      <c r="B161">
        <v>153</v>
      </c>
      <c r="C161" t="s">
        <v>79</v>
      </c>
      <c r="D161">
        <v>44</v>
      </c>
      <c r="E161" s="4">
        <v>0.19222199999999998</v>
      </c>
      <c r="F161" s="4">
        <v>0.20781449999999999</v>
      </c>
      <c r="G161" s="4">
        <v>0.26350199999999996</v>
      </c>
      <c r="H161" s="4">
        <v>0.25459199999999998</v>
      </c>
      <c r="I161" s="4">
        <v>0.27463949999999998</v>
      </c>
      <c r="J161" s="4">
        <v>0.25681949999999998</v>
      </c>
      <c r="K161" s="4">
        <v>0.27018449999999999</v>
      </c>
      <c r="L161" s="4">
        <v>0.23008950000000003</v>
      </c>
      <c r="M161" s="4">
        <v>0.21449699999999999</v>
      </c>
      <c r="N161" s="4">
        <v>0.19066275000000005</v>
      </c>
    </row>
    <row r="162" spans="1:14" x14ac:dyDescent="0.25">
      <c r="A162">
        <v>2020</v>
      </c>
      <c r="B162">
        <v>153</v>
      </c>
      <c r="C162" t="s">
        <v>79</v>
      </c>
      <c r="D162">
        <v>51</v>
      </c>
      <c r="E162" s="4">
        <v>0.28132200000000002</v>
      </c>
      <c r="F162" s="4">
        <v>0.27241199999999993</v>
      </c>
      <c r="G162" s="4">
        <v>0.27463949999999998</v>
      </c>
      <c r="H162" s="4">
        <v>0.28354950000000001</v>
      </c>
      <c r="I162" s="4">
        <v>0.25681949999999998</v>
      </c>
      <c r="J162" s="4">
        <v>0.25459199999999998</v>
      </c>
      <c r="K162" s="4">
        <v>0.23677200000000004</v>
      </c>
      <c r="L162" s="4">
        <v>0.24568199999999998</v>
      </c>
      <c r="M162" s="4">
        <v>0.26572949999999995</v>
      </c>
      <c r="N162" s="4">
        <v>0.26907075000000008</v>
      </c>
    </row>
    <row r="163" spans="1:14" x14ac:dyDescent="0.25">
      <c r="A163">
        <v>2020</v>
      </c>
      <c r="B163">
        <v>153</v>
      </c>
      <c r="C163" t="s">
        <v>79</v>
      </c>
      <c r="D163">
        <v>52</v>
      </c>
      <c r="E163" s="4">
        <v>0.27018449999999999</v>
      </c>
      <c r="F163" s="4">
        <v>0.26572949999999995</v>
      </c>
      <c r="G163" s="4">
        <v>0.28577700000000006</v>
      </c>
      <c r="H163" s="4">
        <v>0.29245950000000004</v>
      </c>
      <c r="I163" s="4">
        <v>0.30805199999999994</v>
      </c>
      <c r="J163" s="4">
        <v>0.29023199999999999</v>
      </c>
      <c r="K163" s="4">
        <v>0.267957</v>
      </c>
      <c r="L163" s="4">
        <v>0.24345450000000002</v>
      </c>
      <c r="M163" s="4">
        <v>0.25681949999999998</v>
      </c>
      <c r="N163" s="4">
        <v>0.26662050000000004</v>
      </c>
    </row>
    <row r="164" spans="1:14" x14ac:dyDescent="0.25">
      <c r="A164">
        <v>2020</v>
      </c>
      <c r="B164">
        <v>153</v>
      </c>
      <c r="C164" t="s">
        <v>79</v>
      </c>
      <c r="D164">
        <v>53</v>
      </c>
      <c r="E164" s="4">
        <v>0.25236449999999999</v>
      </c>
      <c r="F164" s="4">
        <v>0.24568199999999998</v>
      </c>
      <c r="G164" s="4">
        <v>0.26572949999999995</v>
      </c>
      <c r="H164" s="4">
        <v>0.29023199999999999</v>
      </c>
      <c r="I164" s="4">
        <v>0.2880045</v>
      </c>
      <c r="J164" s="4">
        <v>0.27241199999999993</v>
      </c>
      <c r="K164" s="4">
        <v>0.25681949999999998</v>
      </c>
      <c r="L164" s="4">
        <v>0.21004199999999998</v>
      </c>
      <c r="M164" s="4">
        <v>0.21895199999999998</v>
      </c>
      <c r="N164" s="4">
        <v>0.20781450000000004</v>
      </c>
    </row>
    <row r="165" spans="1:14" x14ac:dyDescent="0.25">
      <c r="A165">
        <v>2020</v>
      </c>
      <c r="B165">
        <v>153</v>
      </c>
      <c r="C165" t="s">
        <v>79</v>
      </c>
      <c r="D165">
        <v>54</v>
      </c>
      <c r="E165" s="4">
        <v>0.25681949999999998</v>
      </c>
      <c r="F165" s="4">
        <v>0.25013699999999994</v>
      </c>
      <c r="G165" s="4">
        <v>0.25236449999999999</v>
      </c>
      <c r="H165" s="4">
        <v>0.27909450000000002</v>
      </c>
      <c r="I165" s="4">
        <v>0.29023199999999999</v>
      </c>
      <c r="J165" s="4">
        <v>0.28354950000000001</v>
      </c>
      <c r="K165" s="4">
        <v>0.28132200000000002</v>
      </c>
      <c r="L165" s="4">
        <v>0.25013699999999994</v>
      </c>
      <c r="M165" s="4">
        <v>0.22786200000000001</v>
      </c>
      <c r="N165" s="4">
        <v>0.26417025000000005</v>
      </c>
    </row>
    <row r="166" spans="1:14" x14ac:dyDescent="0.25">
      <c r="A166">
        <v>2020</v>
      </c>
      <c r="B166">
        <v>153</v>
      </c>
      <c r="C166" t="s">
        <v>79</v>
      </c>
      <c r="D166">
        <v>61</v>
      </c>
      <c r="E166" s="4">
        <v>0.20558699999999999</v>
      </c>
      <c r="F166" s="4">
        <v>0.16771949999999999</v>
      </c>
      <c r="G166" s="4">
        <v>0.18776700000000002</v>
      </c>
      <c r="H166" s="4">
        <v>0.22563449999999999</v>
      </c>
      <c r="I166" s="4">
        <v>0.24122700000000002</v>
      </c>
      <c r="J166" s="4">
        <v>0.2122695</v>
      </c>
      <c r="K166" s="4">
        <v>0.2122695</v>
      </c>
      <c r="L166" s="4">
        <v>0.22563449999999999</v>
      </c>
      <c r="M166" s="4">
        <v>0.25013699999999994</v>
      </c>
      <c r="N166" s="4">
        <v>0.26417025000000005</v>
      </c>
    </row>
    <row r="167" spans="1:14" x14ac:dyDescent="0.25">
      <c r="A167">
        <v>2020</v>
      </c>
      <c r="B167">
        <v>153</v>
      </c>
      <c r="C167" t="s">
        <v>79</v>
      </c>
      <c r="D167">
        <v>62</v>
      </c>
      <c r="E167" s="4">
        <v>0.24790949999999998</v>
      </c>
      <c r="F167" s="4">
        <v>0.26127450000000002</v>
      </c>
      <c r="G167" s="4">
        <v>0.27463949999999998</v>
      </c>
      <c r="H167" s="4">
        <v>0.21895199999999998</v>
      </c>
      <c r="I167" s="4">
        <v>0.24790949999999998</v>
      </c>
      <c r="J167" s="4">
        <v>0.27909450000000002</v>
      </c>
      <c r="K167" s="4">
        <v>0.22340700000000002</v>
      </c>
      <c r="L167" s="4">
        <v>0.22340700000000002</v>
      </c>
      <c r="M167" s="4">
        <v>0.25681949999999998</v>
      </c>
      <c r="N167" s="4">
        <v>0.26907075000000008</v>
      </c>
    </row>
    <row r="168" spans="1:14" x14ac:dyDescent="0.25">
      <c r="A168">
        <v>2020</v>
      </c>
      <c r="B168">
        <v>153</v>
      </c>
      <c r="C168" t="s">
        <v>79</v>
      </c>
      <c r="D168">
        <v>63</v>
      </c>
      <c r="E168" s="4">
        <v>0.267957</v>
      </c>
      <c r="F168" s="4">
        <v>0.24568199999999998</v>
      </c>
      <c r="G168" s="4">
        <v>0.23454450000000002</v>
      </c>
      <c r="H168" s="4">
        <v>0.22563449999999999</v>
      </c>
      <c r="I168" s="4">
        <v>0.24122700000000002</v>
      </c>
      <c r="J168" s="4">
        <v>0.24122700000000002</v>
      </c>
      <c r="K168" s="4">
        <v>0.19222199999999998</v>
      </c>
      <c r="L168" s="4">
        <v>0.20113199999999998</v>
      </c>
      <c r="M168" s="4">
        <v>0.22340700000000002</v>
      </c>
      <c r="N168" s="4">
        <v>0.23966774999999998</v>
      </c>
    </row>
    <row r="169" spans="1:14" x14ac:dyDescent="0.25">
      <c r="A169">
        <v>2020</v>
      </c>
      <c r="B169">
        <v>153</v>
      </c>
      <c r="C169" t="s">
        <v>79</v>
      </c>
      <c r="D169">
        <v>64</v>
      </c>
      <c r="E169" s="4">
        <v>0.28577700000000006</v>
      </c>
      <c r="F169" s="4">
        <v>0.26572949999999995</v>
      </c>
      <c r="G169" s="4">
        <v>0.22786200000000001</v>
      </c>
      <c r="H169" s="4">
        <v>0.24568199999999998</v>
      </c>
      <c r="I169" s="4">
        <v>0.27018449999999999</v>
      </c>
      <c r="J169" s="4">
        <v>0.25459199999999998</v>
      </c>
      <c r="K169" s="4">
        <v>0.2389995</v>
      </c>
      <c r="L169" s="4">
        <v>0.20558699999999999</v>
      </c>
      <c r="M169" s="4">
        <v>0.2211795</v>
      </c>
      <c r="N169" s="4">
        <v>0.242118</v>
      </c>
    </row>
    <row r="170" spans="1:14" x14ac:dyDescent="0.25">
      <c r="A170">
        <v>2020</v>
      </c>
      <c r="B170">
        <v>160</v>
      </c>
      <c r="C170" t="s">
        <v>79</v>
      </c>
      <c r="D170">
        <v>11</v>
      </c>
      <c r="E170" s="4">
        <v>0.20113199999999998</v>
      </c>
      <c r="F170" s="4">
        <v>0.21004199999999998</v>
      </c>
      <c r="G170" s="4">
        <v>0.2389995</v>
      </c>
      <c r="H170" s="4">
        <v>0.26572949999999995</v>
      </c>
      <c r="I170" s="4">
        <v>0.24790949999999998</v>
      </c>
      <c r="J170" s="4">
        <v>0.27463949999999998</v>
      </c>
      <c r="K170" s="4">
        <v>0.27909450000000002</v>
      </c>
      <c r="L170" s="4">
        <v>0.26350199999999996</v>
      </c>
      <c r="M170" s="4">
        <v>0.267957</v>
      </c>
      <c r="N170" s="4">
        <v>0.26172000000000001</v>
      </c>
    </row>
    <row r="171" spans="1:14" x14ac:dyDescent="0.25">
      <c r="A171">
        <v>2020</v>
      </c>
      <c r="B171">
        <v>160</v>
      </c>
      <c r="C171" t="s">
        <v>79</v>
      </c>
      <c r="D171">
        <v>12</v>
      </c>
      <c r="E171" s="4">
        <v>0.2389995</v>
      </c>
      <c r="F171" s="4">
        <v>0.25013699999999994</v>
      </c>
      <c r="G171" s="4">
        <v>0.20558699999999999</v>
      </c>
      <c r="H171" s="4">
        <v>0.20781449999999999</v>
      </c>
      <c r="I171" s="4">
        <v>0.19890449999999998</v>
      </c>
      <c r="J171" s="4">
        <v>0.2122695</v>
      </c>
      <c r="K171" s="4">
        <v>0.20335949999999997</v>
      </c>
      <c r="L171" s="4">
        <v>0.24345450000000002</v>
      </c>
      <c r="M171" s="4">
        <v>0.2389995</v>
      </c>
      <c r="N171" s="4">
        <v>0.232317</v>
      </c>
    </row>
    <row r="172" spans="1:14" x14ac:dyDescent="0.25">
      <c r="A172">
        <v>2020</v>
      </c>
      <c r="B172">
        <v>160</v>
      </c>
      <c r="C172" t="s">
        <v>79</v>
      </c>
      <c r="D172">
        <v>13</v>
      </c>
      <c r="E172" s="4">
        <v>0.2211795</v>
      </c>
      <c r="F172" s="4">
        <v>0.21004199999999998</v>
      </c>
      <c r="G172" s="4">
        <v>0.22563449999999999</v>
      </c>
      <c r="H172" s="4">
        <v>0.25236449999999999</v>
      </c>
      <c r="I172" s="4">
        <v>0.26572949999999995</v>
      </c>
      <c r="J172" s="4">
        <v>0.26350199999999996</v>
      </c>
      <c r="K172" s="4">
        <v>0.25904699999999997</v>
      </c>
      <c r="L172" s="4">
        <v>0.23454450000000002</v>
      </c>
      <c r="M172" s="4">
        <v>0.23008950000000003</v>
      </c>
      <c r="N172" s="4">
        <v>0.22006574999999998</v>
      </c>
    </row>
    <row r="173" spans="1:14" x14ac:dyDescent="0.25">
      <c r="A173">
        <v>2020</v>
      </c>
      <c r="B173">
        <v>160</v>
      </c>
      <c r="C173" t="s">
        <v>79</v>
      </c>
      <c r="D173">
        <v>14</v>
      </c>
      <c r="E173" s="4">
        <v>0.26350199999999996</v>
      </c>
      <c r="F173" s="4">
        <v>0.26572949999999995</v>
      </c>
      <c r="G173" s="4">
        <v>0.26572949999999995</v>
      </c>
      <c r="H173" s="4">
        <v>0.23677200000000004</v>
      </c>
      <c r="I173" s="4">
        <v>0.24345450000000002</v>
      </c>
      <c r="J173" s="4">
        <v>0.28132200000000002</v>
      </c>
      <c r="K173" s="4">
        <v>0.25904699999999997</v>
      </c>
      <c r="L173" s="4">
        <v>0.2389995</v>
      </c>
      <c r="M173" s="4">
        <v>0.24122700000000002</v>
      </c>
      <c r="N173" s="4">
        <v>0.25436925000000005</v>
      </c>
    </row>
    <row r="174" spans="1:14" x14ac:dyDescent="0.25">
      <c r="A174">
        <v>2020</v>
      </c>
      <c r="B174">
        <v>160</v>
      </c>
      <c r="C174" t="s">
        <v>79</v>
      </c>
      <c r="D174">
        <v>21</v>
      </c>
      <c r="E174" s="4">
        <v>0.27241199999999993</v>
      </c>
      <c r="F174" s="4">
        <v>0.24568199999999998</v>
      </c>
      <c r="G174" s="4">
        <v>0.25681949999999998</v>
      </c>
      <c r="H174" s="4">
        <v>0.25459199999999998</v>
      </c>
      <c r="I174" s="4">
        <v>0.26350199999999996</v>
      </c>
      <c r="J174" s="4">
        <v>0.25904699999999997</v>
      </c>
      <c r="K174" s="4">
        <v>0.21895199999999998</v>
      </c>
      <c r="L174" s="4">
        <v>0.25459199999999998</v>
      </c>
      <c r="M174" s="4">
        <v>0.25236449999999999</v>
      </c>
      <c r="N174" s="4">
        <v>0.24456824999999999</v>
      </c>
    </row>
    <row r="175" spans="1:14" x14ac:dyDescent="0.25">
      <c r="A175">
        <v>2020</v>
      </c>
      <c r="B175">
        <v>160</v>
      </c>
      <c r="C175" t="s">
        <v>79</v>
      </c>
      <c r="D175">
        <v>22</v>
      </c>
      <c r="E175" s="4">
        <v>0.25904699999999997</v>
      </c>
      <c r="F175" s="4">
        <v>0.25236449999999999</v>
      </c>
      <c r="G175" s="4">
        <v>0.24790949999999998</v>
      </c>
      <c r="H175" s="4">
        <v>0.26127450000000002</v>
      </c>
      <c r="I175" s="4">
        <v>0.24122700000000002</v>
      </c>
      <c r="J175" s="4">
        <v>0.19667699999999996</v>
      </c>
      <c r="K175" s="4">
        <v>0.18776700000000002</v>
      </c>
      <c r="L175" s="4">
        <v>0.23008950000000003</v>
      </c>
      <c r="M175" s="4">
        <v>0.22786200000000001</v>
      </c>
      <c r="N175" s="4">
        <v>0.20291400000000004</v>
      </c>
    </row>
    <row r="176" spans="1:14" x14ac:dyDescent="0.25">
      <c r="A176">
        <v>2020</v>
      </c>
      <c r="B176">
        <v>160</v>
      </c>
      <c r="C176" t="s">
        <v>79</v>
      </c>
      <c r="D176">
        <v>23</v>
      </c>
      <c r="E176" s="4">
        <v>0.23677200000000004</v>
      </c>
      <c r="F176" s="4">
        <v>0.23677200000000004</v>
      </c>
      <c r="G176" s="4">
        <v>0.25681949999999998</v>
      </c>
      <c r="H176" s="4">
        <v>0.27241199999999993</v>
      </c>
      <c r="I176" s="4">
        <v>0.24122700000000002</v>
      </c>
      <c r="J176" s="4">
        <v>0.18999449999999996</v>
      </c>
      <c r="K176" s="4">
        <v>0.19222199999999998</v>
      </c>
      <c r="L176" s="4">
        <v>0.2122695</v>
      </c>
      <c r="M176" s="4">
        <v>0.23008950000000003</v>
      </c>
      <c r="N176" s="4">
        <v>0.2372175</v>
      </c>
    </row>
    <row r="177" spans="1:14" x14ac:dyDescent="0.25">
      <c r="A177">
        <v>2020</v>
      </c>
      <c r="B177">
        <v>160</v>
      </c>
      <c r="C177" t="s">
        <v>79</v>
      </c>
      <c r="D177">
        <v>24</v>
      </c>
      <c r="E177" s="4">
        <v>0.174402</v>
      </c>
      <c r="F177" s="4">
        <v>0.1454445</v>
      </c>
      <c r="G177" s="4">
        <v>0.13207950000000002</v>
      </c>
      <c r="H177" s="4">
        <v>0.138762</v>
      </c>
      <c r="I177" s="4">
        <v>0.14098950000000002</v>
      </c>
      <c r="J177" s="4">
        <v>0.138762</v>
      </c>
      <c r="K177" s="4">
        <v>0.1454445</v>
      </c>
      <c r="L177" s="4">
        <v>0.17217450000000001</v>
      </c>
      <c r="M177" s="4">
        <v>0.2122695</v>
      </c>
      <c r="N177" s="4">
        <v>0.23966774999999998</v>
      </c>
    </row>
    <row r="178" spans="1:14" x14ac:dyDescent="0.25">
      <c r="A178">
        <v>2020</v>
      </c>
      <c r="B178">
        <v>160</v>
      </c>
      <c r="C178" t="s">
        <v>79</v>
      </c>
      <c r="D178">
        <v>31</v>
      </c>
      <c r="E178" s="4">
        <v>0.27463949999999998</v>
      </c>
      <c r="F178" s="4">
        <v>0.25013699999999994</v>
      </c>
      <c r="G178" s="4">
        <v>0.24790949999999998</v>
      </c>
      <c r="H178" s="4">
        <v>0.25681949999999998</v>
      </c>
      <c r="I178" s="4">
        <v>0.25013699999999994</v>
      </c>
      <c r="J178" s="4">
        <v>0.21449699999999999</v>
      </c>
      <c r="K178" s="4">
        <v>0.19890449999999998</v>
      </c>
      <c r="L178" s="4">
        <v>0.20335949999999997</v>
      </c>
      <c r="M178" s="4">
        <v>0.2122695</v>
      </c>
      <c r="N178" s="4">
        <v>0.19311300000000003</v>
      </c>
    </row>
    <row r="179" spans="1:14" x14ac:dyDescent="0.25">
      <c r="A179">
        <v>2020</v>
      </c>
      <c r="B179">
        <v>160</v>
      </c>
      <c r="C179" t="s">
        <v>79</v>
      </c>
      <c r="D179">
        <v>32</v>
      </c>
      <c r="E179" s="4">
        <v>0.20558699999999999</v>
      </c>
      <c r="F179" s="4">
        <v>0.19890449999999998</v>
      </c>
      <c r="G179" s="4">
        <v>0.16994700000000001</v>
      </c>
      <c r="H179" s="4">
        <v>0.16326450000000001</v>
      </c>
      <c r="I179" s="4">
        <v>0.156582</v>
      </c>
      <c r="J179" s="4">
        <v>0.15435450000000001</v>
      </c>
      <c r="K179" s="4">
        <v>0.17217450000000001</v>
      </c>
      <c r="L179" s="4">
        <v>0.22786200000000001</v>
      </c>
      <c r="M179" s="4">
        <v>0.23677200000000004</v>
      </c>
      <c r="N179" s="4">
        <v>0.21271500000000004</v>
      </c>
    </row>
    <row r="180" spans="1:14" x14ac:dyDescent="0.25">
      <c r="A180">
        <v>2020</v>
      </c>
      <c r="B180">
        <v>160</v>
      </c>
      <c r="C180" t="s">
        <v>79</v>
      </c>
      <c r="D180">
        <v>33</v>
      </c>
      <c r="E180" s="4">
        <v>0.20558699999999999</v>
      </c>
      <c r="F180" s="4">
        <v>0.20335949999999997</v>
      </c>
      <c r="G180" s="4">
        <v>0.24568199999999998</v>
      </c>
      <c r="H180" s="4">
        <v>0.26350199999999996</v>
      </c>
      <c r="I180" s="4">
        <v>0.24790949999999998</v>
      </c>
      <c r="J180" s="4">
        <v>0.23677200000000004</v>
      </c>
      <c r="K180" s="4">
        <v>0.24568199999999998</v>
      </c>
      <c r="L180" s="4">
        <v>0.2211795</v>
      </c>
      <c r="M180" s="4">
        <v>0.25236449999999999</v>
      </c>
      <c r="N180" s="4">
        <v>0.23476724999999998</v>
      </c>
    </row>
    <row r="181" spans="1:14" x14ac:dyDescent="0.25">
      <c r="A181">
        <v>2020</v>
      </c>
      <c r="B181">
        <v>160</v>
      </c>
      <c r="C181" t="s">
        <v>79</v>
      </c>
      <c r="D181">
        <v>34</v>
      </c>
      <c r="E181" s="4">
        <v>0.17217450000000001</v>
      </c>
      <c r="F181" s="4">
        <v>0.18331200000000003</v>
      </c>
      <c r="G181" s="4">
        <v>0.22786200000000001</v>
      </c>
      <c r="H181" s="4">
        <v>0.25013699999999994</v>
      </c>
      <c r="I181" s="4">
        <v>0.25681949999999998</v>
      </c>
      <c r="J181" s="4">
        <v>0.267957</v>
      </c>
      <c r="K181" s="4">
        <v>0.27018449999999999</v>
      </c>
      <c r="L181" s="4">
        <v>0.24790949999999998</v>
      </c>
      <c r="M181" s="4">
        <v>0.21895199999999998</v>
      </c>
      <c r="N181" s="4">
        <v>0.19066275000000005</v>
      </c>
    </row>
    <row r="182" spans="1:14" x14ac:dyDescent="0.25">
      <c r="A182">
        <v>2020</v>
      </c>
      <c r="B182">
        <v>160</v>
      </c>
      <c r="C182" t="s">
        <v>79</v>
      </c>
      <c r="D182">
        <v>41</v>
      </c>
      <c r="E182" s="4">
        <v>0.2211795</v>
      </c>
      <c r="F182" s="4">
        <v>0.24790949999999998</v>
      </c>
      <c r="G182" s="4">
        <v>0.29245950000000004</v>
      </c>
      <c r="H182" s="4">
        <v>0.28132200000000002</v>
      </c>
      <c r="I182" s="4">
        <v>0.28132200000000002</v>
      </c>
      <c r="J182" s="4">
        <v>0.2880045</v>
      </c>
      <c r="K182" s="4">
        <v>0.22563449999999999</v>
      </c>
      <c r="L182" s="4">
        <v>0.23454450000000002</v>
      </c>
      <c r="M182" s="4">
        <v>0.22340700000000002</v>
      </c>
      <c r="N182" s="4">
        <v>0.22251599999999999</v>
      </c>
    </row>
    <row r="183" spans="1:14" x14ac:dyDescent="0.25">
      <c r="A183">
        <v>2020</v>
      </c>
      <c r="B183">
        <v>160</v>
      </c>
      <c r="C183" t="s">
        <v>79</v>
      </c>
      <c r="D183">
        <v>42</v>
      </c>
      <c r="E183" s="4">
        <v>0.23008950000000003</v>
      </c>
      <c r="F183" s="4">
        <v>0.23454450000000002</v>
      </c>
      <c r="G183" s="4">
        <v>0.25236449999999999</v>
      </c>
      <c r="H183" s="4">
        <v>0.25459199999999998</v>
      </c>
      <c r="I183" s="4">
        <v>0.27909450000000002</v>
      </c>
      <c r="J183" s="4">
        <v>0.24568199999999998</v>
      </c>
      <c r="K183" s="4">
        <v>0.21672450000000001</v>
      </c>
      <c r="L183" s="4">
        <v>0.22563449999999999</v>
      </c>
      <c r="M183" s="4">
        <v>0.21672450000000001</v>
      </c>
      <c r="N183" s="4">
        <v>0.19801350000000004</v>
      </c>
    </row>
    <row r="184" spans="1:14" x14ac:dyDescent="0.25">
      <c r="A184">
        <v>2020</v>
      </c>
      <c r="B184">
        <v>160</v>
      </c>
      <c r="C184" t="s">
        <v>79</v>
      </c>
      <c r="D184">
        <v>43</v>
      </c>
      <c r="E184" s="4">
        <v>0.24122700000000002</v>
      </c>
      <c r="F184" s="4">
        <v>0.23677200000000004</v>
      </c>
      <c r="G184" s="4">
        <v>0.25459199999999998</v>
      </c>
      <c r="H184" s="4">
        <v>0.22340700000000002</v>
      </c>
      <c r="I184" s="4">
        <v>0.22786200000000001</v>
      </c>
      <c r="J184" s="4">
        <v>0.22786200000000001</v>
      </c>
      <c r="K184" s="4">
        <v>0.24345450000000002</v>
      </c>
      <c r="L184" s="4">
        <v>0.22340700000000002</v>
      </c>
      <c r="M184" s="4">
        <v>0.22340700000000002</v>
      </c>
      <c r="N184" s="4">
        <v>0.22006574999999998</v>
      </c>
    </row>
    <row r="185" spans="1:14" x14ac:dyDescent="0.25">
      <c r="A185">
        <v>2020</v>
      </c>
      <c r="B185">
        <v>160</v>
      </c>
      <c r="C185" t="s">
        <v>79</v>
      </c>
      <c r="D185">
        <v>44</v>
      </c>
      <c r="E185" s="4">
        <v>0.19222199999999998</v>
      </c>
      <c r="F185" s="4">
        <v>0.20113199999999998</v>
      </c>
      <c r="G185" s="4">
        <v>0.26572949999999995</v>
      </c>
      <c r="H185" s="4">
        <v>0.26127450000000002</v>
      </c>
      <c r="I185" s="4">
        <v>0.26572949999999995</v>
      </c>
      <c r="J185" s="4">
        <v>0.25904699999999997</v>
      </c>
      <c r="K185" s="4">
        <v>0.26127450000000002</v>
      </c>
      <c r="L185" s="4">
        <v>0.22340700000000002</v>
      </c>
      <c r="M185" s="4">
        <v>0.18776700000000002</v>
      </c>
      <c r="N185" s="4">
        <v>0.1686105</v>
      </c>
    </row>
    <row r="186" spans="1:14" x14ac:dyDescent="0.25">
      <c r="A186">
        <v>2020</v>
      </c>
      <c r="B186">
        <v>160</v>
      </c>
      <c r="C186" t="s">
        <v>79</v>
      </c>
      <c r="D186">
        <v>51</v>
      </c>
      <c r="E186" s="4">
        <v>0.28354950000000001</v>
      </c>
      <c r="F186" s="4">
        <v>0.27018449999999999</v>
      </c>
      <c r="G186" s="4">
        <v>0.27463949999999998</v>
      </c>
      <c r="H186" s="4">
        <v>0.28577700000000006</v>
      </c>
      <c r="I186" s="4">
        <v>0.25681949999999998</v>
      </c>
      <c r="J186" s="4">
        <v>0.25459199999999998</v>
      </c>
      <c r="K186" s="4">
        <v>0.23677200000000004</v>
      </c>
      <c r="L186" s="4">
        <v>0.2389995</v>
      </c>
      <c r="M186" s="4">
        <v>0.25681949999999998</v>
      </c>
      <c r="N186" s="4">
        <v>0.25681950000000003</v>
      </c>
    </row>
    <row r="187" spans="1:14" x14ac:dyDescent="0.25">
      <c r="A187">
        <v>2020</v>
      </c>
      <c r="B187">
        <v>160</v>
      </c>
      <c r="C187" t="s">
        <v>79</v>
      </c>
      <c r="D187">
        <v>52</v>
      </c>
      <c r="E187" s="4">
        <v>0.26572949999999995</v>
      </c>
      <c r="F187" s="4">
        <v>0.25681949999999998</v>
      </c>
      <c r="G187" s="4">
        <v>0.28354950000000001</v>
      </c>
      <c r="H187" s="4">
        <v>0.29023199999999999</v>
      </c>
      <c r="I187" s="4">
        <v>0.31027949999999999</v>
      </c>
      <c r="J187" s="4">
        <v>0.29914200000000002</v>
      </c>
      <c r="K187" s="4">
        <v>0.27463949999999998</v>
      </c>
      <c r="L187" s="4">
        <v>0.23454450000000002</v>
      </c>
      <c r="M187" s="4">
        <v>0.24568199999999998</v>
      </c>
      <c r="N187" s="4">
        <v>0.2470185</v>
      </c>
    </row>
    <row r="188" spans="1:14" x14ac:dyDescent="0.25">
      <c r="A188">
        <v>2020</v>
      </c>
      <c r="B188">
        <v>160</v>
      </c>
      <c r="C188" t="s">
        <v>79</v>
      </c>
      <c r="D188">
        <v>53</v>
      </c>
      <c r="E188" s="4">
        <v>0.25459199999999998</v>
      </c>
      <c r="F188" s="4">
        <v>0.24568199999999998</v>
      </c>
      <c r="G188" s="4">
        <v>0.27241199999999993</v>
      </c>
      <c r="H188" s="4">
        <v>0.2880045</v>
      </c>
      <c r="I188" s="4">
        <v>0.27909450000000002</v>
      </c>
      <c r="J188" s="4">
        <v>0.27018449999999999</v>
      </c>
      <c r="K188" s="4">
        <v>0.25904699999999997</v>
      </c>
      <c r="L188" s="4">
        <v>0.20558699999999999</v>
      </c>
      <c r="M188" s="4">
        <v>0.2122695</v>
      </c>
      <c r="N188" s="4">
        <v>0.19556325000000005</v>
      </c>
    </row>
    <row r="189" spans="1:14" x14ac:dyDescent="0.25">
      <c r="A189">
        <v>2020</v>
      </c>
      <c r="B189">
        <v>160</v>
      </c>
      <c r="C189" t="s">
        <v>79</v>
      </c>
      <c r="D189">
        <v>54</v>
      </c>
      <c r="E189" s="4">
        <v>0.25459199999999998</v>
      </c>
      <c r="F189" s="4">
        <v>0.24568199999999998</v>
      </c>
      <c r="G189" s="4">
        <v>0.25013699999999994</v>
      </c>
      <c r="H189" s="4">
        <v>0.27463949999999998</v>
      </c>
      <c r="I189" s="4">
        <v>0.28354950000000001</v>
      </c>
      <c r="J189" s="4">
        <v>0.28354950000000001</v>
      </c>
      <c r="K189" s="4">
        <v>0.27018449999999999</v>
      </c>
      <c r="L189" s="4">
        <v>0.24790949999999998</v>
      </c>
      <c r="M189" s="4">
        <v>0.22563449999999999</v>
      </c>
      <c r="N189" s="4">
        <v>0.26417025000000005</v>
      </c>
    </row>
    <row r="190" spans="1:14" x14ac:dyDescent="0.25">
      <c r="A190">
        <v>2020</v>
      </c>
      <c r="B190">
        <v>160</v>
      </c>
      <c r="C190" t="s">
        <v>79</v>
      </c>
      <c r="D190">
        <v>61</v>
      </c>
      <c r="E190" s="4">
        <v>0.2122695</v>
      </c>
      <c r="F190" s="4">
        <v>0.17662950000000002</v>
      </c>
      <c r="G190" s="4">
        <v>0.1855395</v>
      </c>
      <c r="H190" s="4">
        <v>0.2211795</v>
      </c>
      <c r="I190" s="4">
        <v>0.24345450000000002</v>
      </c>
      <c r="J190" s="4">
        <v>0.20558699999999999</v>
      </c>
      <c r="K190" s="4">
        <v>0.21449699999999999</v>
      </c>
      <c r="L190" s="4">
        <v>0.22563449999999999</v>
      </c>
      <c r="M190" s="4">
        <v>0.232317</v>
      </c>
      <c r="N190" s="4">
        <v>0.22496624999999998</v>
      </c>
    </row>
    <row r="191" spans="1:14" x14ac:dyDescent="0.25">
      <c r="A191">
        <v>2020</v>
      </c>
      <c r="B191">
        <v>160</v>
      </c>
      <c r="C191" t="s">
        <v>79</v>
      </c>
      <c r="D191">
        <v>62</v>
      </c>
      <c r="E191" s="4">
        <v>0.25013699999999994</v>
      </c>
      <c r="F191" s="4">
        <v>0.25681949999999998</v>
      </c>
      <c r="G191" s="4">
        <v>0.267957</v>
      </c>
      <c r="H191" s="4">
        <v>0.21672450000000001</v>
      </c>
      <c r="I191" s="4">
        <v>0.24568199999999998</v>
      </c>
      <c r="J191" s="4">
        <v>0.27018449999999999</v>
      </c>
      <c r="K191" s="4">
        <v>0.22786200000000001</v>
      </c>
      <c r="L191" s="4">
        <v>0.21895199999999998</v>
      </c>
      <c r="M191" s="4">
        <v>0.25013699999999994</v>
      </c>
      <c r="N191" s="4">
        <v>0.26172000000000001</v>
      </c>
    </row>
    <row r="192" spans="1:14" x14ac:dyDescent="0.25">
      <c r="A192">
        <v>2020</v>
      </c>
      <c r="B192">
        <v>160</v>
      </c>
      <c r="C192" t="s">
        <v>79</v>
      </c>
      <c r="D192">
        <v>63</v>
      </c>
      <c r="E192" s="4">
        <v>0.26572949999999995</v>
      </c>
      <c r="F192" s="4">
        <v>0.24568199999999998</v>
      </c>
      <c r="G192" s="4">
        <v>0.23677200000000004</v>
      </c>
      <c r="H192" s="4">
        <v>0.22340700000000002</v>
      </c>
      <c r="I192" s="4">
        <v>0.23008950000000003</v>
      </c>
      <c r="J192" s="4">
        <v>0.2389995</v>
      </c>
      <c r="K192" s="4">
        <v>0.1944495</v>
      </c>
      <c r="L192" s="4">
        <v>0.18999449999999996</v>
      </c>
      <c r="M192" s="4">
        <v>0.20335949999999997</v>
      </c>
      <c r="N192" s="4">
        <v>0.21761549999999999</v>
      </c>
    </row>
    <row r="193" spans="1:14" x14ac:dyDescent="0.25">
      <c r="A193">
        <v>2020</v>
      </c>
      <c r="B193">
        <v>160</v>
      </c>
      <c r="C193" t="s">
        <v>79</v>
      </c>
      <c r="D193">
        <v>64</v>
      </c>
      <c r="E193" s="4">
        <v>0.27463949999999998</v>
      </c>
      <c r="F193" s="4">
        <v>0.26350199999999996</v>
      </c>
      <c r="G193" s="4">
        <v>0.2211795</v>
      </c>
      <c r="H193" s="4">
        <v>0.24790949999999998</v>
      </c>
      <c r="I193" s="4">
        <v>0.267957</v>
      </c>
      <c r="J193" s="4">
        <v>0.25459199999999998</v>
      </c>
      <c r="K193" s="4">
        <v>0.23008950000000003</v>
      </c>
      <c r="L193" s="4">
        <v>0.1944495</v>
      </c>
      <c r="M193" s="4">
        <v>0.20335949999999997</v>
      </c>
      <c r="N193" s="4">
        <v>0.20781450000000004</v>
      </c>
    </row>
    <row r="194" spans="1:14" x14ac:dyDescent="0.25">
      <c r="A194">
        <v>2020</v>
      </c>
      <c r="B194">
        <v>167</v>
      </c>
      <c r="C194" t="s">
        <v>79</v>
      </c>
      <c r="D194">
        <v>11</v>
      </c>
      <c r="E194" s="4">
        <v>0.18331200000000003</v>
      </c>
      <c r="F194" s="4">
        <v>0.20335949999999997</v>
      </c>
      <c r="G194" s="4">
        <v>0.23454450000000002</v>
      </c>
      <c r="H194" s="4">
        <v>0.26572949999999995</v>
      </c>
      <c r="I194" s="4">
        <v>0.24790949999999998</v>
      </c>
      <c r="J194" s="4">
        <v>0.26572949999999995</v>
      </c>
      <c r="K194" s="4">
        <v>0.28132200000000002</v>
      </c>
      <c r="L194" s="4">
        <v>0.26127450000000002</v>
      </c>
      <c r="M194" s="4">
        <v>0.25013699999999994</v>
      </c>
      <c r="N194" s="4">
        <v>0.2470185</v>
      </c>
    </row>
    <row r="195" spans="1:14" x14ac:dyDescent="0.25">
      <c r="A195">
        <v>2020</v>
      </c>
      <c r="B195">
        <v>167</v>
      </c>
      <c r="C195" t="s">
        <v>79</v>
      </c>
      <c r="D195">
        <v>12</v>
      </c>
      <c r="E195" s="4">
        <v>0.24345450000000002</v>
      </c>
      <c r="F195" s="4">
        <v>0.24122700000000002</v>
      </c>
      <c r="G195" s="4">
        <v>0.20335949999999997</v>
      </c>
      <c r="H195" s="4">
        <v>0.20558699999999999</v>
      </c>
      <c r="I195" s="4">
        <v>0.20113199999999998</v>
      </c>
      <c r="J195" s="4">
        <v>0.20558699999999999</v>
      </c>
      <c r="K195" s="4">
        <v>0.20558699999999999</v>
      </c>
      <c r="L195" s="4">
        <v>0.24122700000000002</v>
      </c>
      <c r="M195" s="4">
        <v>0.22340700000000002</v>
      </c>
      <c r="N195" s="4">
        <v>0.18576225000000005</v>
      </c>
    </row>
    <row r="196" spans="1:14" x14ac:dyDescent="0.25">
      <c r="A196">
        <v>2020</v>
      </c>
      <c r="B196">
        <v>167</v>
      </c>
      <c r="C196" t="s">
        <v>79</v>
      </c>
      <c r="D196">
        <v>13</v>
      </c>
      <c r="E196" s="4">
        <v>0.22563449999999999</v>
      </c>
      <c r="F196" s="4">
        <v>0.2122695</v>
      </c>
      <c r="G196" s="4">
        <v>0.21672450000000001</v>
      </c>
      <c r="H196" s="4">
        <v>0.25236449999999999</v>
      </c>
      <c r="I196" s="4">
        <v>0.26350199999999996</v>
      </c>
      <c r="J196" s="4">
        <v>0.26127450000000002</v>
      </c>
      <c r="K196" s="4">
        <v>0.25236449999999999</v>
      </c>
      <c r="L196" s="4">
        <v>0.22563449999999999</v>
      </c>
      <c r="M196" s="4">
        <v>0.20558699999999999</v>
      </c>
      <c r="N196" s="4">
        <v>0.20046375000000005</v>
      </c>
    </row>
    <row r="197" spans="1:14" x14ac:dyDescent="0.25">
      <c r="A197">
        <v>2020</v>
      </c>
      <c r="B197">
        <v>167</v>
      </c>
      <c r="C197" t="s">
        <v>79</v>
      </c>
      <c r="D197">
        <v>14</v>
      </c>
      <c r="E197" s="4">
        <v>0.25904699999999997</v>
      </c>
      <c r="F197" s="4">
        <v>0.26127450000000002</v>
      </c>
      <c r="G197" s="4">
        <v>0.267957</v>
      </c>
      <c r="H197" s="4">
        <v>0.26572949999999995</v>
      </c>
      <c r="I197" s="4">
        <v>0.23677200000000004</v>
      </c>
      <c r="J197" s="4">
        <v>0.24122700000000002</v>
      </c>
      <c r="K197" s="4">
        <v>0.27686699999999997</v>
      </c>
      <c r="L197" s="4">
        <v>0.25681949999999998</v>
      </c>
      <c r="M197" s="4">
        <v>0.232317</v>
      </c>
      <c r="N197" s="4">
        <v>0.22496624999999998</v>
      </c>
    </row>
    <row r="198" spans="1:14" x14ac:dyDescent="0.25">
      <c r="A198">
        <v>2020</v>
      </c>
      <c r="B198">
        <v>167</v>
      </c>
      <c r="C198" t="s">
        <v>79</v>
      </c>
      <c r="D198">
        <v>21</v>
      </c>
      <c r="E198" s="4">
        <v>0.267957</v>
      </c>
      <c r="F198" s="4">
        <v>0.24568199999999998</v>
      </c>
      <c r="G198" s="4">
        <v>0.25681949999999998</v>
      </c>
      <c r="H198" s="4">
        <v>0.25459199999999998</v>
      </c>
      <c r="I198" s="4">
        <v>0.25681949999999998</v>
      </c>
      <c r="J198" s="4">
        <v>0.25904699999999997</v>
      </c>
      <c r="K198" s="4">
        <v>0.2211795</v>
      </c>
      <c r="L198" s="4">
        <v>0.24345450000000002</v>
      </c>
      <c r="M198" s="4">
        <v>0.21672450000000001</v>
      </c>
      <c r="N198" s="4">
        <v>0.22251599999999999</v>
      </c>
    </row>
    <row r="199" spans="1:14" x14ac:dyDescent="0.25">
      <c r="A199">
        <v>2020</v>
      </c>
      <c r="B199">
        <v>167</v>
      </c>
      <c r="C199" t="s">
        <v>79</v>
      </c>
      <c r="D199">
        <v>22</v>
      </c>
      <c r="E199" s="4">
        <v>0.26350199999999996</v>
      </c>
      <c r="F199" s="4">
        <v>0.24122700000000002</v>
      </c>
      <c r="G199" s="4">
        <v>0.24568199999999998</v>
      </c>
      <c r="H199" s="4">
        <v>0.25459199999999998</v>
      </c>
      <c r="I199" s="4">
        <v>0.24345450000000002</v>
      </c>
      <c r="J199" s="4">
        <v>0.20335949999999997</v>
      </c>
      <c r="K199" s="4">
        <v>0.17885699999999999</v>
      </c>
      <c r="L199" s="4">
        <v>0.22786200000000001</v>
      </c>
      <c r="M199" s="4">
        <v>0.20558699999999999</v>
      </c>
      <c r="N199" s="4">
        <v>0.18821250000000003</v>
      </c>
    </row>
    <row r="200" spans="1:14" x14ac:dyDescent="0.25">
      <c r="A200">
        <v>2020</v>
      </c>
      <c r="B200">
        <v>167</v>
      </c>
      <c r="C200" t="s">
        <v>79</v>
      </c>
      <c r="D200">
        <v>23</v>
      </c>
      <c r="E200" s="4">
        <v>0.23454450000000002</v>
      </c>
      <c r="F200" s="4">
        <v>0.24122700000000002</v>
      </c>
      <c r="G200" s="4">
        <v>0.26350199999999996</v>
      </c>
      <c r="H200" s="4">
        <v>0.27463949999999998</v>
      </c>
      <c r="I200" s="4">
        <v>0.24122700000000002</v>
      </c>
      <c r="J200" s="4">
        <v>0.1855395</v>
      </c>
      <c r="K200" s="4">
        <v>0.18331200000000003</v>
      </c>
      <c r="L200" s="4">
        <v>0.20558699999999999</v>
      </c>
      <c r="M200" s="4">
        <v>0.20335949999999997</v>
      </c>
      <c r="N200" s="4">
        <v>0.20781450000000004</v>
      </c>
    </row>
    <row r="201" spans="1:14" x14ac:dyDescent="0.25">
      <c r="A201">
        <v>2020</v>
      </c>
      <c r="B201">
        <v>167</v>
      </c>
      <c r="C201" t="s">
        <v>79</v>
      </c>
      <c r="D201">
        <v>24</v>
      </c>
      <c r="E201" s="4">
        <v>0.17885699999999999</v>
      </c>
      <c r="F201" s="4">
        <v>0.147672</v>
      </c>
      <c r="G201" s="4">
        <v>0.13207950000000002</v>
      </c>
      <c r="H201" s="4">
        <v>0.13430700000000001</v>
      </c>
      <c r="I201" s="4">
        <v>0.13430700000000001</v>
      </c>
      <c r="J201" s="4">
        <v>0.129852</v>
      </c>
      <c r="K201" s="4">
        <v>0.14098950000000002</v>
      </c>
      <c r="L201" s="4">
        <v>0.15880949999999999</v>
      </c>
      <c r="M201" s="4">
        <v>0.18108450000000001</v>
      </c>
      <c r="N201" s="4">
        <v>0.20781450000000004</v>
      </c>
    </row>
    <row r="202" spans="1:14" x14ac:dyDescent="0.25">
      <c r="A202">
        <v>2020</v>
      </c>
      <c r="B202">
        <v>167</v>
      </c>
      <c r="C202" t="s">
        <v>79</v>
      </c>
      <c r="D202">
        <v>31</v>
      </c>
      <c r="E202" s="4">
        <v>0.27463949999999998</v>
      </c>
      <c r="F202" s="4">
        <v>0.25681949999999998</v>
      </c>
      <c r="G202" s="4">
        <v>0.25904699999999997</v>
      </c>
      <c r="H202" s="4">
        <v>0.26127450000000002</v>
      </c>
      <c r="I202" s="4">
        <v>0.27018449999999999</v>
      </c>
      <c r="J202" s="4">
        <v>0.22786200000000001</v>
      </c>
      <c r="K202" s="4">
        <v>0.1944495</v>
      </c>
      <c r="L202" s="4">
        <v>0.19667699999999996</v>
      </c>
      <c r="M202" s="4">
        <v>0.18108450000000001</v>
      </c>
      <c r="N202" s="4">
        <v>0.17106074999999998</v>
      </c>
    </row>
    <row r="203" spans="1:14" x14ac:dyDescent="0.25">
      <c r="A203">
        <v>2020</v>
      </c>
      <c r="B203">
        <v>167</v>
      </c>
      <c r="C203" t="s">
        <v>79</v>
      </c>
      <c r="D203">
        <v>32</v>
      </c>
      <c r="E203" s="4">
        <v>0.20558699999999999</v>
      </c>
      <c r="F203" s="4">
        <v>0.19667699999999996</v>
      </c>
      <c r="G203" s="4">
        <v>0.16326450000000001</v>
      </c>
      <c r="H203" s="4">
        <v>0.15880949999999999</v>
      </c>
      <c r="I203" s="4">
        <v>0.15212699999999998</v>
      </c>
      <c r="J203" s="4">
        <v>0.14321700000000001</v>
      </c>
      <c r="K203" s="4">
        <v>0.17217450000000001</v>
      </c>
      <c r="L203" s="4">
        <v>0.21895199999999998</v>
      </c>
      <c r="M203" s="4">
        <v>0.2122695</v>
      </c>
      <c r="N203" s="4">
        <v>0.19066275000000005</v>
      </c>
    </row>
    <row r="204" spans="1:14" x14ac:dyDescent="0.25">
      <c r="A204">
        <v>2020</v>
      </c>
      <c r="B204">
        <v>167</v>
      </c>
      <c r="C204" t="s">
        <v>79</v>
      </c>
      <c r="D204">
        <v>33</v>
      </c>
      <c r="E204" s="4">
        <v>0.20558699999999999</v>
      </c>
      <c r="F204" s="4">
        <v>0.20113199999999998</v>
      </c>
      <c r="G204" s="4">
        <v>0.24568199999999998</v>
      </c>
      <c r="H204" s="4">
        <v>0.26127450000000002</v>
      </c>
      <c r="I204" s="4">
        <v>0.24345450000000002</v>
      </c>
      <c r="J204" s="4">
        <v>0.2389995</v>
      </c>
      <c r="K204" s="4">
        <v>0.24122700000000002</v>
      </c>
      <c r="L204" s="4">
        <v>0.21895199999999998</v>
      </c>
      <c r="M204" s="4">
        <v>0.2211795</v>
      </c>
      <c r="N204" s="4">
        <v>0.19801350000000004</v>
      </c>
    </row>
    <row r="205" spans="1:14" x14ac:dyDescent="0.25">
      <c r="A205">
        <v>2020</v>
      </c>
      <c r="B205">
        <v>167</v>
      </c>
      <c r="C205" t="s">
        <v>79</v>
      </c>
      <c r="D205">
        <v>34</v>
      </c>
      <c r="E205" s="4">
        <v>0.165492</v>
      </c>
      <c r="F205" s="4">
        <v>0.1855395</v>
      </c>
      <c r="G205" s="4">
        <v>0.23008950000000003</v>
      </c>
      <c r="H205" s="4">
        <v>0.24790949999999998</v>
      </c>
      <c r="I205" s="4">
        <v>0.25459199999999998</v>
      </c>
      <c r="J205" s="4">
        <v>0.25681949999999998</v>
      </c>
      <c r="K205" s="4">
        <v>0.267957</v>
      </c>
      <c r="L205" s="4">
        <v>0.24790949999999998</v>
      </c>
      <c r="M205" s="4">
        <v>0.18108450000000001</v>
      </c>
      <c r="N205" s="4">
        <v>0.16616025000000004</v>
      </c>
    </row>
    <row r="206" spans="1:14" x14ac:dyDescent="0.25">
      <c r="A206">
        <v>2020</v>
      </c>
      <c r="B206">
        <v>167</v>
      </c>
      <c r="C206" t="s">
        <v>79</v>
      </c>
      <c r="D206">
        <v>41</v>
      </c>
      <c r="E206" s="4">
        <v>0.22786200000000001</v>
      </c>
      <c r="F206" s="4">
        <v>0.24568199999999998</v>
      </c>
      <c r="G206" s="4">
        <v>0.2880045</v>
      </c>
      <c r="H206" s="4">
        <v>0.27018449999999999</v>
      </c>
      <c r="I206" s="4">
        <v>0.28577700000000006</v>
      </c>
      <c r="J206" s="4">
        <v>0.28132200000000002</v>
      </c>
      <c r="K206" s="4">
        <v>0.2211795</v>
      </c>
      <c r="L206" s="4">
        <v>0.22563449999999999</v>
      </c>
      <c r="M206" s="4">
        <v>0.19667699999999996</v>
      </c>
      <c r="N206" s="4">
        <v>0.21761549999999999</v>
      </c>
    </row>
    <row r="207" spans="1:14" x14ac:dyDescent="0.25">
      <c r="A207">
        <v>2020</v>
      </c>
      <c r="B207">
        <v>167</v>
      </c>
      <c r="C207" t="s">
        <v>79</v>
      </c>
      <c r="D207">
        <v>42</v>
      </c>
      <c r="E207" s="4">
        <v>0.22563449999999999</v>
      </c>
      <c r="F207" s="4">
        <v>0.22786200000000001</v>
      </c>
      <c r="G207" s="4">
        <v>0.25013699999999994</v>
      </c>
      <c r="H207" s="4">
        <v>0.24345450000000002</v>
      </c>
      <c r="I207" s="4">
        <v>0.27909450000000002</v>
      </c>
      <c r="J207" s="4">
        <v>0.23677200000000004</v>
      </c>
      <c r="K207" s="4">
        <v>0.21449699999999999</v>
      </c>
      <c r="L207" s="4">
        <v>0.20781449999999999</v>
      </c>
      <c r="M207" s="4">
        <v>0.18999449999999996</v>
      </c>
      <c r="N207" s="4">
        <v>0.18331200000000003</v>
      </c>
    </row>
    <row r="208" spans="1:14" x14ac:dyDescent="0.25">
      <c r="A208">
        <v>2020</v>
      </c>
      <c r="B208">
        <v>167</v>
      </c>
      <c r="C208" t="s">
        <v>79</v>
      </c>
      <c r="D208">
        <v>43</v>
      </c>
      <c r="E208" s="4">
        <v>0.23454450000000002</v>
      </c>
      <c r="F208" s="4">
        <v>0.23454450000000002</v>
      </c>
      <c r="G208" s="4">
        <v>0.25681949999999998</v>
      </c>
      <c r="H208" s="4">
        <v>0.2211795</v>
      </c>
      <c r="I208" s="4">
        <v>0.22786200000000001</v>
      </c>
      <c r="J208" s="4">
        <v>0.22786200000000001</v>
      </c>
      <c r="K208" s="4">
        <v>0.23677200000000004</v>
      </c>
      <c r="L208" s="4">
        <v>0.21004199999999998</v>
      </c>
      <c r="M208" s="4">
        <v>0.20558699999999999</v>
      </c>
      <c r="N208" s="4">
        <v>0.21026475000000006</v>
      </c>
    </row>
    <row r="209" spans="1:14" x14ac:dyDescent="0.25">
      <c r="A209">
        <v>2020</v>
      </c>
      <c r="B209">
        <v>167</v>
      </c>
      <c r="C209" t="s">
        <v>79</v>
      </c>
      <c r="D209">
        <v>44</v>
      </c>
      <c r="E209" s="4">
        <v>0.18108450000000001</v>
      </c>
      <c r="F209" s="4">
        <v>0.20558699999999999</v>
      </c>
      <c r="G209" s="4">
        <v>0.26350199999999996</v>
      </c>
      <c r="H209" s="4">
        <v>0.25459199999999998</v>
      </c>
      <c r="I209" s="4">
        <v>0.27018449999999999</v>
      </c>
      <c r="J209" s="4">
        <v>0.24790949999999998</v>
      </c>
      <c r="K209" s="4">
        <v>0.26572949999999995</v>
      </c>
      <c r="L209" s="4">
        <v>0.21895199999999998</v>
      </c>
      <c r="M209" s="4">
        <v>0.16994700000000001</v>
      </c>
      <c r="N209" s="4">
        <v>0.1686105</v>
      </c>
    </row>
    <row r="210" spans="1:14" x14ac:dyDescent="0.25">
      <c r="A210">
        <v>2020</v>
      </c>
      <c r="B210">
        <v>167</v>
      </c>
      <c r="C210" t="s">
        <v>79</v>
      </c>
      <c r="D210">
        <v>51</v>
      </c>
      <c r="E210" s="4">
        <v>0.28354950000000001</v>
      </c>
      <c r="F210" s="4">
        <v>0.267957</v>
      </c>
      <c r="G210" s="4">
        <v>0.27241199999999993</v>
      </c>
      <c r="H210" s="4">
        <v>0.27463949999999998</v>
      </c>
      <c r="I210" s="4">
        <v>0.25681949999999998</v>
      </c>
      <c r="J210" s="4">
        <v>0.25236449999999999</v>
      </c>
      <c r="K210" s="4">
        <v>0.232317</v>
      </c>
      <c r="L210" s="4">
        <v>0.24122700000000002</v>
      </c>
      <c r="M210" s="4">
        <v>0.24790949999999998</v>
      </c>
      <c r="N210" s="4">
        <v>0.25926975000000002</v>
      </c>
    </row>
    <row r="211" spans="1:14" x14ac:dyDescent="0.25">
      <c r="A211">
        <v>2020</v>
      </c>
      <c r="B211">
        <v>167</v>
      </c>
      <c r="C211" t="s">
        <v>79</v>
      </c>
      <c r="D211">
        <v>52</v>
      </c>
      <c r="E211" s="4">
        <v>0.27241199999999993</v>
      </c>
      <c r="F211" s="4">
        <v>0.25236449999999999</v>
      </c>
      <c r="G211" s="4">
        <v>0.27909450000000002</v>
      </c>
      <c r="H211" s="4">
        <v>0.28577700000000006</v>
      </c>
      <c r="I211" s="4">
        <v>0.30359700000000001</v>
      </c>
      <c r="J211" s="4">
        <v>0.29914200000000002</v>
      </c>
      <c r="K211" s="4">
        <v>0.27241199999999993</v>
      </c>
      <c r="L211" s="4">
        <v>0.232317</v>
      </c>
      <c r="M211" s="4">
        <v>0.24122700000000002</v>
      </c>
      <c r="N211" s="4">
        <v>0.25436925000000005</v>
      </c>
    </row>
    <row r="212" spans="1:14" x14ac:dyDescent="0.25">
      <c r="A212">
        <v>2020</v>
      </c>
      <c r="B212">
        <v>167</v>
      </c>
      <c r="C212" t="s">
        <v>79</v>
      </c>
      <c r="D212">
        <v>53</v>
      </c>
      <c r="E212" s="4">
        <v>0.25013699999999994</v>
      </c>
      <c r="F212" s="4">
        <v>0.25459199999999998</v>
      </c>
      <c r="G212" s="4">
        <v>0.26350199999999996</v>
      </c>
      <c r="H212" s="4">
        <v>0.28577700000000006</v>
      </c>
      <c r="I212" s="4">
        <v>0.27909450000000002</v>
      </c>
      <c r="J212" s="4">
        <v>0.27241199999999993</v>
      </c>
      <c r="K212" s="4">
        <v>0.25013699999999994</v>
      </c>
      <c r="L212" s="4">
        <v>0.1944495</v>
      </c>
      <c r="M212" s="4">
        <v>0.17662950000000002</v>
      </c>
      <c r="N212" s="4">
        <v>0.17106074999999998</v>
      </c>
    </row>
    <row r="213" spans="1:14" x14ac:dyDescent="0.25">
      <c r="A213">
        <v>2020</v>
      </c>
      <c r="B213">
        <v>167</v>
      </c>
      <c r="C213" t="s">
        <v>79</v>
      </c>
      <c r="D213">
        <v>54</v>
      </c>
      <c r="E213" s="4">
        <v>0.24790949999999998</v>
      </c>
      <c r="F213" s="4">
        <v>0.24568199999999998</v>
      </c>
      <c r="G213" s="4">
        <v>0.24122700000000002</v>
      </c>
      <c r="H213" s="4">
        <v>0.27241199999999993</v>
      </c>
      <c r="I213" s="4">
        <v>0.27909450000000002</v>
      </c>
      <c r="J213" s="4">
        <v>0.28577700000000006</v>
      </c>
      <c r="K213" s="4">
        <v>0.27018449999999999</v>
      </c>
      <c r="L213" s="4">
        <v>0.25236449999999999</v>
      </c>
      <c r="M213" s="4">
        <v>0.21895199999999998</v>
      </c>
      <c r="N213" s="4">
        <v>0.27152100000000001</v>
      </c>
    </row>
    <row r="214" spans="1:14" x14ac:dyDescent="0.25">
      <c r="A214">
        <v>2020</v>
      </c>
      <c r="B214">
        <v>167</v>
      </c>
      <c r="C214" t="s">
        <v>79</v>
      </c>
      <c r="D214">
        <v>61</v>
      </c>
      <c r="E214" s="4">
        <v>0.21672450000000001</v>
      </c>
      <c r="F214" s="4">
        <v>0.17662950000000002</v>
      </c>
      <c r="G214" s="4">
        <v>0.18776700000000002</v>
      </c>
      <c r="H214" s="4">
        <v>0.21895199999999998</v>
      </c>
      <c r="I214" s="4">
        <v>0.23677200000000004</v>
      </c>
      <c r="J214" s="4">
        <v>0.20113199999999998</v>
      </c>
      <c r="K214" s="4">
        <v>0.20558699999999999</v>
      </c>
      <c r="L214" s="4">
        <v>0.21895199999999998</v>
      </c>
      <c r="M214" s="4">
        <v>0.20781449999999999</v>
      </c>
      <c r="N214" s="4">
        <v>0.21516524999999997</v>
      </c>
    </row>
    <row r="215" spans="1:14" x14ac:dyDescent="0.25">
      <c r="A215">
        <v>2020</v>
      </c>
      <c r="B215">
        <v>167</v>
      </c>
      <c r="C215" t="s">
        <v>79</v>
      </c>
      <c r="D215">
        <v>62</v>
      </c>
      <c r="E215" s="4">
        <v>0.24568199999999998</v>
      </c>
      <c r="F215" s="4">
        <v>0.25236449999999999</v>
      </c>
      <c r="G215" s="4">
        <v>0.27018449999999999</v>
      </c>
      <c r="H215" s="4">
        <v>0.2122695</v>
      </c>
      <c r="I215" s="4">
        <v>0.24568199999999998</v>
      </c>
      <c r="J215" s="4">
        <v>0.26350199999999996</v>
      </c>
      <c r="K215" s="4">
        <v>0.2211795</v>
      </c>
      <c r="L215" s="4">
        <v>0.21449699999999999</v>
      </c>
      <c r="M215" s="4">
        <v>0.21895199999999998</v>
      </c>
      <c r="N215" s="4">
        <v>0.25191900000000006</v>
      </c>
    </row>
    <row r="216" spans="1:14" x14ac:dyDescent="0.25">
      <c r="A216">
        <v>2020</v>
      </c>
      <c r="B216">
        <v>167</v>
      </c>
      <c r="C216" t="s">
        <v>79</v>
      </c>
      <c r="D216">
        <v>63</v>
      </c>
      <c r="E216" s="4">
        <v>0.26572949999999995</v>
      </c>
      <c r="F216" s="4">
        <v>0.24790949999999998</v>
      </c>
      <c r="G216" s="4">
        <v>0.23008950000000003</v>
      </c>
      <c r="H216" s="4">
        <v>0.21895199999999998</v>
      </c>
      <c r="I216" s="4">
        <v>0.23454450000000002</v>
      </c>
      <c r="J216" s="4">
        <v>0.23677200000000004</v>
      </c>
      <c r="K216" s="4">
        <v>0.18999449999999996</v>
      </c>
      <c r="L216" s="4">
        <v>0.1855395</v>
      </c>
      <c r="M216" s="4">
        <v>0.17885699999999999</v>
      </c>
      <c r="N216" s="4">
        <v>0.21271500000000004</v>
      </c>
    </row>
    <row r="217" spans="1:14" x14ac:dyDescent="0.25">
      <c r="A217">
        <v>2020</v>
      </c>
      <c r="B217">
        <v>167</v>
      </c>
      <c r="C217" t="s">
        <v>79</v>
      </c>
      <c r="D217">
        <v>64</v>
      </c>
      <c r="E217" s="4">
        <v>0.27463949999999998</v>
      </c>
      <c r="F217" s="4">
        <v>0.25681949999999998</v>
      </c>
      <c r="G217" s="4">
        <v>0.22340700000000002</v>
      </c>
      <c r="H217" s="4">
        <v>0.23677200000000004</v>
      </c>
      <c r="I217" s="4">
        <v>0.267957</v>
      </c>
      <c r="J217" s="4">
        <v>0.24568199999999998</v>
      </c>
      <c r="K217" s="4">
        <v>0.22563449999999999</v>
      </c>
      <c r="L217" s="4">
        <v>0.18776700000000002</v>
      </c>
      <c r="M217" s="4">
        <v>0.17217450000000001</v>
      </c>
      <c r="N217" s="4">
        <v>0.18821250000000003</v>
      </c>
    </row>
    <row r="218" spans="1:14" x14ac:dyDescent="0.25">
      <c r="A218">
        <v>2020</v>
      </c>
      <c r="B218">
        <v>174</v>
      </c>
      <c r="C218" t="s">
        <v>79</v>
      </c>
      <c r="D218">
        <v>11</v>
      </c>
      <c r="E218" s="4">
        <v>0.1855395</v>
      </c>
      <c r="F218" s="4">
        <v>0.20335949999999997</v>
      </c>
      <c r="G218" s="4">
        <v>0.232317</v>
      </c>
      <c r="H218" s="4">
        <v>0.267957</v>
      </c>
      <c r="I218" s="4">
        <v>0.25236449999999999</v>
      </c>
      <c r="J218" s="4">
        <v>0.25904699999999997</v>
      </c>
      <c r="K218" s="4">
        <v>0.27463949999999998</v>
      </c>
      <c r="L218" s="4">
        <v>0.25236449999999999</v>
      </c>
      <c r="M218" s="4">
        <v>0.22563449999999999</v>
      </c>
      <c r="N218" s="4">
        <v>0.232317</v>
      </c>
    </row>
    <row r="219" spans="1:14" x14ac:dyDescent="0.25">
      <c r="A219">
        <v>2020</v>
      </c>
      <c r="B219">
        <v>174</v>
      </c>
      <c r="C219" t="s">
        <v>79</v>
      </c>
      <c r="D219">
        <v>12</v>
      </c>
      <c r="E219" s="4">
        <v>0.24790949999999998</v>
      </c>
      <c r="F219" s="4">
        <v>0.24790949999999998</v>
      </c>
      <c r="G219" s="4">
        <v>0.20558699999999999</v>
      </c>
      <c r="H219" s="4">
        <v>0.20335949999999997</v>
      </c>
      <c r="I219" s="4">
        <v>0.20335949999999997</v>
      </c>
      <c r="J219" s="4">
        <v>0.21004199999999998</v>
      </c>
      <c r="K219" s="4">
        <v>0.20335949999999997</v>
      </c>
      <c r="L219" s="4">
        <v>0.24122700000000002</v>
      </c>
      <c r="M219" s="4">
        <v>0.1855395</v>
      </c>
      <c r="N219" s="4">
        <v>0.1686105</v>
      </c>
    </row>
    <row r="220" spans="1:14" x14ac:dyDescent="0.25">
      <c r="A220">
        <v>2020</v>
      </c>
      <c r="B220">
        <v>174</v>
      </c>
      <c r="C220" t="s">
        <v>79</v>
      </c>
      <c r="D220">
        <v>13</v>
      </c>
      <c r="E220" s="4">
        <v>0.22340700000000002</v>
      </c>
      <c r="F220" s="4">
        <v>0.21004199999999998</v>
      </c>
      <c r="G220" s="4">
        <v>0.22340700000000002</v>
      </c>
      <c r="H220" s="4">
        <v>0.25013699999999994</v>
      </c>
      <c r="I220" s="4">
        <v>0.267957</v>
      </c>
      <c r="J220" s="4">
        <v>0.267957</v>
      </c>
      <c r="K220" s="4">
        <v>0.24790949999999998</v>
      </c>
      <c r="L220" s="4">
        <v>0.21895199999999998</v>
      </c>
      <c r="M220" s="4">
        <v>0.1944495</v>
      </c>
      <c r="N220" s="4">
        <v>0.19556325000000005</v>
      </c>
    </row>
    <row r="221" spans="1:14" x14ac:dyDescent="0.25">
      <c r="A221">
        <v>2020</v>
      </c>
      <c r="B221">
        <v>174</v>
      </c>
      <c r="C221" t="s">
        <v>79</v>
      </c>
      <c r="D221">
        <v>14</v>
      </c>
      <c r="E221" s="4">
        <v>0.26572949999999995</v>
      </c>
      <c r="F221" s="4">
        <v>0.26127450000000002</v>
      </c>
      <c r="G221" s="4">
        <v>0.27018449999999999</v>
      </c>
      <c r="H221" s="4">
        <v>0.26572949999999995</v>
      </c>
      <c r="I221" s="4">
        <v>0.23454450000000002</v>
      </c>
      <c r="J221" s="4">
        <v>0.23677200000000004</v>
      </c>
      <c r="K221" s="4">
        <v>0.27018449999999999</v>
      </c>
      <c r="L221" s="4">
        <v>0.25236449999999999</v>
      </c>
      <c r="M221" s="4">
        <v>0.20781449999999999</v>
      </c>
      <c r="N221" s="4">
        <v>0.20046375000000005</v>
      </c>
    </row>
    <row r="222" spans="1:14" x14ac:dyDescent="0.25">
      <c r="A222">
        <v>2020</v>
      </c>
      <c r="B222">
        <v>174</v>
      </c>
      <c r="C222" t="s">
        <v>79</v>
      </c>
      <c r="D222">
        <v>21</v>
      </c>
      <c r="E222" s="4">
        <v>0.27018449999999999</v>
      </c>
      <c r="F222" s="4">
        <v>0.24345450000000002</v>
      </c>
      <c r="G222" s="4">
        <v>0.25904699999999997</v>
      </c>
      <c r="H222" s="4">
        <v>0.25236449999999999</v>
      </c>
      <c r="I222" s="4">
        <v>0.26350199999999996</v>
      </c>
      <c r="J222" s="4">
        <v>0.26127450000000002</v>
      </c>
      <c r="K222" s="4">
        <v>0.22340700000000002</v>
      </c>
      <c r="L222" s="4">
        <v>0.23677200000000004</v>
      </c>
      <c r="M222" s="4">
        <v>0.19222199999999998</v>
      </c>
      <c r="N222" s="4">
        <v>0.20536425000000005</v>
      </c>
    </row>
    <row r="223" spans="1:14" x14ac:dyDescent="0.25">
      <c r="A223">
        <v>2020</v>
      </c>
      <c r="B223">
        <v>174</v>
      </c>
      <c r="C223" t="s">
        <v>79</v>
      </c>
      <c r="D223">
        <v>22</v>
      </c>
      <c r="E223" s="4">
        <v>0.26350199999999996</v>
      </c>
      <c r="F223" s="4">
        <v>0.24790949999999998</v>
      </c>
      <c r="G223" s="4">
        <v>0.24790949999999998</v>
      </c>
      <c r="H223" s="4">
        <v>0.26127450000000002</v>
      </c>
      <c r="I223" s="4">
        <v>0.24568199999999998</v>
      </c>
      <c r="J223" s="4">
        <v>0.20113199999999998</v>
      </c>
      <c r="K223" s="4">
        <v>0.174402</v>
      </c>
      <c r="L223" s="4">
        <v>0.2211795</v>
      </c>
      <c r="M223" s="4">
        <v>0.19890449999999998</v>
      </c>
      <c r="N223" s="4">
        <v>0.19801350000000004</v>
      </c>
    </row>
    <row r="224" spans="1:14" x14ac:dyDescent="0.25">
      <c r="A224">
        <v>2020</v>
      </c>
      <c r="B224">
        <v>174</v>
      </c>
      <c r="C224" t="s">
        <v>79</v>
      </c>
      <c r="D224">
        <v>23</v>
      </c>
      <c r="E224" s="4">
        <v>0.24790949999999998</v>
      </c>
      <c r="F224" s="4">
        <v>0.2389995</v>
      </c>
      <c r="G224" s="4">
        <v>0.267957</v>
      </c>
      <c r="H224" s="4">
        <v>0.27241199999999993</v>
      </c>
      <c r="I224" s="4">
        <v>0.24568199999999998</v>
      </c>
      <c r="J224" s="4">
        <v>0.1855395</v>
      </c>
      <c r="K224" s="4">
        <v>0.18331200000000003</v>
      </c>
      <c r="L224" s="4">
        <v>0.20113199999999998</v>
      </c>
      <c r="M224" s="4">
        <v>0.18331200000000003</v>
      </c>
      <c r="N224" s="4">
        <v>0.18331200000000003</v>
      </c>
    </row>
    <row r="225" spans="1:14" x14ac:dyDescent="0.25">
      <c r="A225">
        <v>2020</v>
      </c>
      <c r="B225">
        <v>174</v>
      </c>
      <c r="C225" t="s">
        <v>79</v>
      </c>
      <c r="D225">
        <v>24</v>
      </c>
      <c r="E225" s="4">
        <v>0.17885699999999999</v>
      </c>
      <c r="F225" s="4">
        <v>0.1454445</v>
      </c>
      <c r="G225" s="4">
        <v>0.138762</v>
      </c>
      <c r="H225" s="4">
        <v>0.1365345</v>
      </c>
      <c r="I225" s="4">
        <v>0.13207950000000002</v>
      </c>
      <c r="J225" s="4">
        <v>0.1276245</v>
      </c>
      <c r="K225" s="4">
        <v>0.1276245</v>
      </c>
      <c r="L225" s="4">
        <v>0.13207950000000002</v>
      </c>
      <c r="M225" s="4">
        <v>0.16103699999999999</v>
      </c>
      <c r="N225" s="4">
        <v>0.19066275000000005</v>
      </c>
    </row>
    <row r="226" spans="1:14" x14ac:dyDescent="0.25">
      <c r="A226">
        <v>2020</v>
      </c>
      <c r="B226">
        <v>174</v>
      </c>
      <c r="C226" t="s">
        <v>79</v>
      </c>
      <c r="D226">
        <v>31</v>
      </c>
      <c r="E226" s="4">
        <v>0.2880045</v>
      </c>
      <c r="F226" s="4">
        <v>0.26127450000000002</v>
      </c>
      <c r="G226" s="4">
        <v>0.26127450000000002</v>
      </c>
      <c r="H226" s="4">
        <v>0.27241199999999993</v>
      </c>
      <c r="I226" s="4">
        <v>0.27241199999999993</v>
      </c>
      <c r="J226" s="4">
        <v>0.23677200000000004</v>
      </c>
      <c r="K226" s="4">
        <v>0.1944495</v>
      </c>
      <c r="L226" s="4">
        <v>0.18108450000000001</v>
      </c>
      <c r="M226" s="4">
        <v>0.165492</v>
      </c>
      <c r="N226" s="4">
        <v>0.16125975000000004</v>
      </c>
    </row>
    <row r="227" spans="1:14" x14ac:dyDescent="0.25">
      <c r="A227">
        <v>2020</v>
      </c>
      <c r="B227">
        <v>174</v>
      </c>
      <c r="C227" t="s">
        <v>79</v>
      </c>
      <c r="D227">
        <v>32</v>
      </c>
      <c r="E227" s="4">
        <v>0.20781449999999999</v>
      </c>
      <c r="F227" s="4">
        <v>0.18999449999999996</v>
      </c>
      <c r="G227" s="4">
        <v>0.16771949999999999</v>
      </c>
      <c r="H227" s="4">
        <v>0.15212699999999998</v>
      </c>
      <c r="I227" s="4">
        <v>0.15212699999999998</v>
      </c>
      <c r="J227" s="4">
        <v>0.14989949999999999</v>
      </c>
      <c r="K227" s="4">
        <v>0.16326450000000001</v>
      </c>
      <c r="L227" s="4">
        <v>0.20781449999999999</v>
      </c>
      <c r="M227" s="4">
        <v>0.19667699999999996</v>
      </c>
      <c r="N227" s="4">
        <v>0.20781450000000004</v>
      </c>
    </row>
    <row r="228" spans="1:14" x14ac:dyDescent="0.25">
      <c r="A228">
        <v>2020</v>
      </c>
      <c r="B228">
        <v>174</v>
      </c>
      <c r="C228" t="s">
        <v>79</v>
      </c>
      <c r="D228">
        <v>33</v>
      </c>
      <c r="E228" s="4">
        <v>0.19890449999999998</v>
      </c>
      <c r="F228" s="4">
        <v>0.19890449999999998</v>
      </c>
      <c r="G228" s="4">
        <v>0.24122700000000002</v>
      </c>
      <c r="H228" s="4">
        <v>0.25904699999999997</v>
      </c>
      <c r="I228" s="4">
        <v>0.24345450000000002</v>
      </c>
      <c r="J228" s="4">
        <v>0.23008950000000003</v>
      </c>
      <c r="K228" s="4">
        <v>0.232317</v>
      </c>
      <c r="L228" s="4">
        <v>0.21895199999999998</v>
      </c>
      <c r="M228" s="4">
        <v>0.19667699999999996</v>
      </c>
      <c r="N228" s="4">
        <v>0.17596124999999996</v>
      </c>
    </row>
    <row r="229" spans="1:14" x14ac:dyDescent="0.25">
      <c r="A229">
        <v>2020</v>
      </c>
      <c r="B229">
        <v>174</v>
      </c>
      <c r="C229" t="s">
        <v>79</v>
      </c>
      <c r="D229">
        <v>34</v>
      </c>
      <c r="E229" s="4">
        <v>0.165492</v>
      </c>
      <c r="F229" s="4">
        <v>0.18331200000000003</v>
      </c>
      <c r="G229" s="4">
        <v>0.22786200000000001</v>
      </c>
      <c r="H229" s="4">
        <v>0.25013699999999994</v>
      </c>
      <c r="I229" s="4">
        <v>0.25681949999999998</v>
      </c>
      <c r="J229" s="4">
        <v>0.26127450000000002</v>
      </c>
      <c r="K229" s="4">
        <v>0.267957</v>
      </c>
      <c r="L229" s="4">
        <v>0.24568199999999998</v>
      </c>
      <c r="M229" s="4">
        <v>0.18108450000000001</v>
      </c>
      <c r="N229" s="4">
        <v>0.17596124999999996</v>
      </c>
    </row>
    <row r="230" spans="1:14" x14ac:dyDescent="0.25">
      <c r="A230">
        <v>2020</v>
      </c>
      <c r="B230">
        <v>174</v>
      </c>
      <c r="C230" t="s">
        <v>79</v>
      </c>
      <c r="D230">
        <v>41</v>
      </c>
      <c r="E230" s="4">
        <v>0.22563449999999999</v>
      </c>
      <c r="F230" s="4">
        <v>0.24568199999999998</v>
      </c>
      <c r="G230" s="4">
        <v>0.29245950000000004</v>
      </c>
      <c r="H230" s="4">
        <v>0.27463949999999998</v>
      </c>
      <c r="I230" s="4">
        <v>0.27686699999999997</v>
      </c>
      <c r="J230" s="4">
        <v>0.28354950000000001</v>
      </c>
      <c r="K230" s="4">
        <v>0.2211795</v>
      </c>
      <c r="L230" s="4">
        <v>0.21449699999999999</v>
      </c>
      <c r="M230" s="4">
        <v>0.18999449999999996</v>
      </c>
      <c r="N230" s="4">
        <v>0.20781450000000004</v>
      </c>
    </row>
    <row r="231" spans="1:14" x14ac:dyDescent="0.25">
      <c r="A231">
        <v>2020</v>
      </c>
      <c r="B231">
        <v>174</v>
      </c>
      <c r="C231" t="s">
        <v>79</v>
      </c>
      <c r="D231">
        <v>42</v>
      </c>
      <c r="E231" s="4">
        <v>0.23008950000000003</v>
      </c>
      <c r="F231" s="4">
        <v>0.22563449999999999</v>
      </c>
      <c r="G231" s="4">
        <v>0.25459199999999998</v>
      </c>
      <c r="H231" s="4">
        <v>0.25013699999999994</v>
      </c>
      <c r="I231" s="4">
        <v>0.27463949999999998</v>
      </c>
      <c r="J231" s="4">
        <v>0.23454450000000002</v>
      </c>
      <c r="K231" s="4">
        <v>0.20781449999999999</v>
      </c>
      <c r="L231" s="4">
        <v>0.19667699999999996</v>
      </c>
      <c r="M231" s="4">
        <v>0.17662950000000002</v>
      </c>
      <c r="N231" s="4">
        <v>0.17596124999999996</v>
      </c>
    </row>
    <row r="232" spans="1:14" x14ac:dyDescent="0.25">
      <c r="A232">
        <v>2020</v>
      </c>
      <c r="B232">
        <v>174</v>
      </c>
      <c r="C232" t="s">
        <v>79</v>
      </c>
      <c r="D232">
        <v>43</v>
      </c>
      <c r="E232" s="4">
        <v>0.24568199999999998</v>
      </c>
      <c r="F232" s="4">
        <v>0.24122700000000002</v>
      </c>
      <c r="G232" s="4">
        <v>0.25459199999999998</v>
      </c>
      <c r="H232" s="4">
        <v>0.21449699999999999</v>
      </c>
      <c r="I232" s="4">
        <v>0.22786200000000001</v>
      </c>
      <c r="J232" s="4">
        <v>0.23008950000000003</v>
      </c>
      <c r="K232" s="4">
        <v>0.2389995</v>
      </c>
      <c r="L232" s="4">
        <v>0.21449699999999999</v>
      </c>
      <c r="M232" s="4">
        <v>0.17885699999999999</v>
      </c>
      <c r="N232" s="4">
        <v>0.19311300000000003</v>
      </c>
    </row>
    <row r="233" spans="1:14" x14ac:dyDescent="0.25">
      <c r="A233">
        <v>2020</v>
      </c>
      <c r="B233">
        <v>174</v>
      </c>
      <c r="C233" t="s">
        <v>79</v>
      </c>
      <c r="D233">
        <v>44</v>
      </c>
      <c r="E233" s="4">
        <v>0.18776700000000002</v>
      </c>
      <c r="F233" s="4">
        <v>0.20335949999999997</v>
      </c>
      <c r="G233" s="4">
        <v>0.267957</v>
      </c>
      <c r="H233" s="4">
        <v>0.26350199999999996</v>
      </c>
      <c r="I233" s="4">
        <v>0.27241199999999993</v>
      </c>
      <c r="J233" s="4">
        <v>0.25236449999999999</v>
      </c>
      <c r="K233" s="4">
        <v>0.26350199999999996</v>
      </c>
      <c r="L233" s="4">
        <v>0.2122695</v>
      </c>
      <c r="M233" s="4">
        <v>0.15435450000000001</v>
      </c>
      <c r="N233" s="4">
        <v>0.16616025000000004</v>
      </c>
    </row>
    <row r="234" spans="1:14" x14ac:dyDescent="0.25">
      <c r="A234">
        <v>2020</v>
      </c>
      <c r="B234">
        <v>174</v>
      </c>
      <c r="C234" t="s">
        <v>79</v>
      </c>
      <c r="D234">
        <v>51</v>
      </c>
      <c r="E234" s="4">
        <v>0.27686699999999997</v>
      </c>
      <c r="F234" s="4">
        <v>0.27463949999999998</v>
      </c>
      <c r="G234" s="4">
        <v>0.27463949999999998</v>
      </c>
      <c r="H234" s="4">
        <v>0.27463949999999998</v>
      </c>
      <c r="I234" s="4">
        <v>0.25681949999999998</v>
      </c>
      <c r="J234" s="4">
        <v>0.25013699999999994</v>
      </c>
      <c r="K234" s="4">
        <v>0.22786200000000001</v>
      </c>
      <c r="L234" s="4">
        <v>0.2211795</v>
      </c>
      <c r="M234" s="4">
        <v>0.21895199999999998</v>
      </c>
      <c r="N234" s="4">
        <v>0.242118</v>
      </c>
    </row>
    <row r="235" spans="1:14" x14ac:dyDescent="0.25">
      <c r="A235">
        <v>2020</v>
      </c>
      <c r="B235">
        <v>174</v>
      </c>
      <c r="C235" t="s">
        <v>79</v>
      </c>
      <c r="D235">
        <v>52</v>
      </c>
      <c r="E235" s="4">
        <v>0.26572949999999995</v>
      </c>
      <c r="F235" s="4">
        <v>0.25459199999999998</v>
      </c>
      <c r="G235" s="4">
        <v>0.28354950000000001</v>
      </c>
      <c r="H235" s="4">
        <v>0.29023199999999999</v>
      </c>
      <c r="I235" s="4">
        <v>0.30136949999999996</v>
      </c>
      <c r="J235" s="4">
        <v>0.29468700000000003</v>
      </c>
      <c r="K235" s="4">
        <v>0.267957</v>
      </c>
      <c r="L235" s="4">
        <v>0.232317</v>
      </c>
      <c r="M235" s="4">
        <v>0.21004199999999998</v>
      </c>
      <c r="N235" s="4">
        <v>0.22986674999999998</v>
      </c>
    </row>
    <row r="236" spans="1:14" x14ac:dyDescent="0.25">
      <c r="A236">
        <v>2020</v>
      </c>
      <c r="B236">
        <v>174</v>
      </c>
      <c r="C236" t="s">
        <v>79</v>
      </c>
      <c r="D236">
        <v>53</v>
      </c>
      <c r="E236" s="4">
        <v>0.25459199999999998</v>
      </c>
      <c r="F236" s="4">
        <v>0.25013699999999994</v>
      </c>
      <c r="G236" s="4">
        <v>0.27018449999999999</v>
      </c>
      <c r="H236" s="4">
        <v>0.2880045</v>
      </c>
      <c r="I236" s="4">
        <v>0.28132200000000002</v>
      </c>
      <c r="J236" s="4">
        <v>0.27018449999999999</v>
      </c>
      <c r="K236" s="4">
        <v>0.25236449999999999</v>
      </c>
      <c r="L236" s="4">
        <v>0.18776700000000002</v>
      </c>
      <c r="M236" s="4">
        <v>0.14989949999999999</v>
      </c>
      <c r="N236" s="4">
        <v>0.14655825</v>
      </c>
    </row>
    <row r="237" spans="1:14" x14ac:dyDescent="0.25">
      <c r="A237">
        <v>2020</v>
      </c>
      <c r="B237">
        <v>174</v>
      </c>
      <c r="C237" t="s">
        <v>79</v>
      </c>
      <c r="D237">
        <v>54</v>
      </c>
      <c r="E237" s="4">
        <v>0.24790949999999998</v>
      </c>
      <c r="F237" s="4">
        <v>0.24790949999999998</v>
      </c>
      <c r="G237" s="4">
        <v>0.24790949999999998</v>
      </c>
      <c r="H237" s="4">
        <v>0.27686699999999997</v>
      </c>
      <c r="I237" s="4">
        <v>0.29023199999999999</v>
      </c>
      <c r="J237" s="4">
        <v>0.28354950000000001</v>
      </c>
      <c r="K237" s="4">
        <v>0.27018449999999999</v>
      </c>
      <c r="L237" s="4">
        <v>0.23677200000000004</v>
      </c>
      <c r="M237" s="4">
        <v>0.174402</v>
      </c>
      <c r="N237" s="4">
        <v>0.21516524999999997</v>
      </c>
    </row>
    <row r="238" spans="1:14" x14ac:dyDescent="0.25">
      <c r="A238">
        <v>2020</v>
      </c>
      <c r="B238">
        <v>174</v>
      </c>
      <c r="C238" t="s">
        <v>79</v>
      </c>
      <c r="D238">
        <v>61</v>
      </c>
      <c r="E238" s="4">
        <v>0.21895199999999998</v>
      </c>
      <c r="F238" s="4">
        <v>0.17662950000000002</v>
      </c>
      <c r="G238" s="4">
        <v>0.19222199999999998</v>
      </c>
      <c r="H238" s="4">
        <v>0.22786200000000001</v>
      </c>
      <c r="I238" s="4">
        <v>0.2389995</v>
      </c>
      <c r="J238" s="4">
        <v>0.20113199999999998</v>
      </c>
      <c r="K238" s="4">
        <v>0.20781449999999999</v>
      </c>
      <c r="L238" s="4">
        <v>0.2122695</v>
      </c>
      <c r="M238" s="4">
        <v>0.18999449999999996</v>
      </c>
      <c r="N238" s="4">
        <v>0.19801350000000004</v>
      </c>
    </row>
    <row r="239" spans="1:14" x14ac:dyDescent="0.25">
      <c r="A239">
        <v>2020</v>
      </c>
      <c r="B239">
        <v>174</v>
      </c>
      <c r="C239" t="s">
        <v>79</v>
      </c>
      <c r="D239">
        <v>62</v>
      </c>
      <c r="E239" s="4">
        <v>0.24568199999999998</v>
      </c>
      <c r="F239" s="4">
        <v>0.25681949999999998</v>
      </c>
      <c r="G239" s="4">
        <v>0.27241199999999993</v>
      </c>
      <c r="H239" s="4">
        <v>0.21672450000000001</v>
      </c>
      <c r="I239" s="4">
        <v>0.24122700000000002</v>
      </c>
      <c r="J239" s="4">
        <v>0.267957</v>
      </c>
      <c r="K239" s="4">
        <v>0.2211795</v>
      </c>
      <c r="L239" s="4">
        <v>0.20335949999999997</v>
      </c>
      <c r="M239" s="4">
        <v>0.18108450000000001</v>
      </c>
      <c r="N239" s="4">
        <v>0.20536425000000005</v>
      </c>
    </row>
    <row r="240" spans="1:14" x14ac:dyDescent="0.25">
      <c r="A240">
        <v>2020</v>
      </c>
      <c r="B240">
        <v>174</v>
      </c>
      <c r="C240" t="s">
        <v>79</v>
      </c>
      <c r="D240">
        <v>63</v>
      </c>
      <c r="E240" s="4">
        <v>0.267957</v>
      </c>
      <c r="F240" s="4">
        <v>0.24345450000000002</v>
      </c>
      <c r="G240" s="4">
        <v>0.23454450000000002</v>
      </c>
      <c r="H240" s="4">
        <v>0.21672450000000001</v>
      </c>
      <c r="I240" s="4">
        <v>0.23008950000000003</v>
      </c>
      <c r="J240" s="4">
        <v>0.2389995</v>
      </c>
      <c r="K240" s="4">
        <v>0.18999449999999996</v>
      </c>
      <c r="L240" s="4">
        <v>0.17885699999999999</v>
      </c>
      <c r="M240" s="4">
        <v>0.165492</v>
      </c>
      <c r="N240" s="4">
        <v>0.17351100000000003</v>
      </c>
    </row>
    <row r="241" spans="1:14" x14ac:dyDescent="0.25">
      <c r="A241">
        <v>2020</v>
      </c>
      <c r="B241">
        <v>174</v>
      </c>
      <c r="C241" t="s">
        <v>79</v>
      </c>
      <c r="D241">
        <v>64</v>
      </c>
      <c r="E241" s="4">
        <v>0.27686699999999997</v>
      </c>
      <c r="F241" s="4">
        <v>0.26350199999999996</v>
      </c>
      <c r="G241" s="4">
        <v>0.22786200000000001</v>
      </c>
      <c r="H241" s="4">
        <v>0.24345450000000002</v>
      </c>
      <c r="I241" s="4">
        <v>0.25904699999999997</v>
      </c>
      <c r="J241" s="4">
        <v>0.25681949999999998</v>
      </c>
      <c r="K241" s="4">
        <v>0.22563449999999999</v>
      </c>
      <c r="L241" s="4">
        <v>0.17662950000000002</v>
      </c>
      <c r="M241" s="4">
        <v>0.15212699999999998</v>
      </c>
      <c r="N241" s="4">
        <v>0.16371000000000005</v>
      </c>
    </row>
    <row r="242" spans="1:14" x14ac:dyDescent="0.25">
      <c r="A242">
        <v>2020</v>
      </c>
      <c r="B242">
        <v>181</v>
      </c>
      <c r="C242" t="s">
        <v>79</v>
      </c>
      <c r="D242">
        <v>11</v>
      </c>
      <c r="E242" s="4">
        <v>0.18108450000000001</v>
      </c>
      <c r="F242" s="4">
        <v>0.1944495</v>
      </c>
      <c r="G242" s="4">
        <v>0.22786200000000001</v>
      </c>
      <c r="H242" s="4">
        <v>0.26350199999999996</v>
      </c>
      <c r="I242" s="4">
        <v>0.2389995</v>
      </c>
      <c r="J242" s="4">
        <v>0.26127450000000002</v>
      </c>
      <c r="K242" s="4">
        <v>0.26350199999999996</v>
      </c>
      <c r="L242" s="4">
        <v>0.23008950000000003</v>
      </c>
      <c r="M242" s="4">
        <v>0.232317</v>
      </c>
      <c r="N242" s="4">
        <v>0.24456824999999999</v>
      </c>
    </row>
    <row r="243" spans="1:14" x14ac:dyDescent="0.25">
      <c r="A243">
        <v>2020</v>
      </c>
      <c r="B243">
        <v>181</v>
      </c>
      <c r="C243" t="s">
        <v>79</v>
      </c>
      <c r="D243">
        <v>12</v>
      </c>
      <c r="E243" s="4">
        <v>0.2389995</v>
      </c>
      <c r="F243" s="4">
        <v>0.24345450000000002</v>
      </c>
      <c r="G243" s="4">
        <v>0.20335949999999997</v>
      </c>
      <c r="H243" s="4">
        <v>0.20113199999999998</v>
      </c>
      <c r="I243" s="4">
        <v>0.18999449999999996</v>
      </c>
      <c r="J243" s="4">
        <v>0.20558699999999999</v>
      </c>
      <c r="K243" s="4">
        <v>0.1944495</v>
      </c>
      <c r="L243" s="4">
        <v>0.2211795</v>
      </c>
      <c r="M243" s="4">
        <v>0.16771949999999999</v>
      </c>
      <c r="N243" s="4">
        <v>0.15390900000000002</v>
      </c>
    </row>
    <row r="244" spans="1:14" x14ac:dyDescent="0.25">
      <c r="A244">
        <v>2020</v>
      </c>
      <c r="B244">
        <v>181</v>
      </c>
      <c r="C244" t="s">
        <v>79</v>
      </c>
      <c r="D244">
        <v>13</v>
      </c>
      <c r="E244" s="4">
        <v>0.22563449999999999</v>
      </c>
      <c r="F244" s="4">
        <v>0.2122695</v>
      </c>
      <c r="G244" s="4">
        <v>0.21672450000000001</v>
      </c>
      <c r="H244" s="4">
        <v>0.25013699999999994</v>
      </c>
      <c r="I244" s="4">
        <v>0.25681949999999998</v>
      </c>
      <c r="J244" s="4">
        <v>0.25236449999999999</v>
      </c>
      <c r="K244" s="4">
        <v>0.23677200000000004</v>
      </c>
      <c r="L244" s="4">
        <v>0.1944495</v>
      </c>
      <c r="M244" s="4">
        <v>0.18331200000000003</v>
      </c>
      <c r="N244" s="4">
        <v>0.20046375000000005</v>
      </c>
    </row>
    <row r="245" spans="1:14" x14ac:dyDescent="0.25">
      <c r="A245">
        <v>2020</v>
      </c>
      <c r="B245">
        <v>181</v>
      </c>
      <c r="C245" t="s">
        <v>79</v>
      </c>
      <c r="D245">
        <v>14</v>
      </c>
      <c r="E245" s="4">
        <v>0.25681949999999998</v>
      </c>
      <c r="F245" s="4">
        <v>0.25459199999999998</v>
      </c>
      <c r="G245" s="4">
        <v>0.26350199999999996</v>
      </c>
      <c r="H245" s="4">
        <v>0.25904699999999997</v>
      </c>
      <c r="I245" s="4">
        <v>0.232317</v>
      </c>
      <c r="J245" s="4">
        <v>0.23008950000000003</v>
      </c>
      <c r="K245" s="4">
        <v>0.267957</v>
      </c>
      <c r="L245" s="4">
        <v>0.24568199999999998</v>
      </c>
      <c r="M245" s="4">
        <v>0.20781449999999999</v>
      </c>
      <c r="N245" s="4">
        <v>0.20781450000000004</v>
      </c>
    </row>
    <row r="246" spans="1:14" x14ac:dyDescent="0.25">
      <c r="A246">
        <v>2020</v>
      </c>
      <c r="B246">
        <v>181</v>
      </c>
      <c r="C246" t="s">
        <v>79</v>
      </c>
      <c r="D246">
        <v>21</v>
      </c>
      <c r="E246" s="4">
        <v>0.27018449999999999</v>
      </c>
      <c r="F246" s="4">
        <v>0.24345450000000002</v>
      </c>
      <c r="G246" s="4">
        <v>0.25236449999999999</v>
      </c>
      <c r="H246" s="4">
        <v>0.24790949999999998</v>
      </c>
      <c r="I246" s="4">
        <v>0.25904699999999997</v>
      </c>
      <c r="J246" s="4">
        <v>0.25681949999999998</v>
      </c>
      <c r="K246" s="4">
        <v>0.2122695</v>
      </c>
      <c r="L246" s="4">
        <v>0.2211795</v>
      </c>
      <c r="M246" s="4">
        <v>0.18331200000000003</v>
      </c>
      <c r="N246" s="4">
        <v>0.22496624999999998</v>
      </c>
    </row>
    <row r="247" spans="1:14" x14ac:dyDescent="0.25">
      <c r="A247">
        <v>2020</v>
      </c>
      <c r="B247">
        <v>181</v>
      </c>
      <c r="C247" t="s">
        <v>79</v>
      </c>
      <c r="D247">
        <v>22</v>
      </c>
      <c r="E247" s="4">
        <v>0.25681949999999998</v>
      </c>
      <c r="F247" s="4">
        <v>0.24345450000000002</v>
      </c>
      <c r="G247" s="4">
        <v>0.24345450000000002</v>
      </c>
      <c r="H247" s="4">
        <v>0.25013699999999994</v>
      </c>
      <c r="I247" s="4">
        <v>0.2389995</v>
      </c>
      <c r="J247" s="4">
        <v>0.1944495</v>
      </c>
      <c r="K247" s="4">
        <v>0.16326450000000001</v>
      </c>
      <c r="L247" s="4">
        <v>0.20558699999999999</v>
      </c>
      <c r="M247" s="4">
        <v>0.20113199999999998</v>
      </c>
      <c r="N247" s="4">
        <v>0.22006574999999998</v>
      </c>
    </row>
    <row r="248" spans="1:14" x14ac:dyDescent="0.25">
      <c r="A248">
        <v>2020</v>
      </c>
      <c r="B248">
        <v>181</v>
      </c>
      <c r="C248" t="s">
        <v>79</v>
      </c>
      <c r="D248">
        <v>23</v>
      </c>
      <c r="E248" s="4">
        <v>0.24122700000000002</v>
      </c>
      <c r="F248" s="4">
        <v>0.2389995</v>
      </c>
      <c r="G248" s="4">
        <v>0.26350199999999996</v>
      </c>
      <c r="H248" s="4">
        <v>0.27018449999999999</v>
      </c>
      <c r="I248" s="4">
        <v>0.24122700000000002</v>
      </c>
      <c r="J248" s="4">
        <v>0.1855395</v>
      </c>
      <c r="K248" s="4">
        <v>0.17885699999999999</v>
      </c>
      <c r="L248" s="4">
        <v>0.19222199999999998</v>
      </c>
      <c r="M248" s="4">
        <v>0.17217450000000001</v>
      </c>
      <c r="N248" s="4">
        <v>0.18086175000000002</v>
      </c>
    </row>
    <row r="249" spans="1:14" x14ac:dyDescent="0.25">
      <c r="A249">
        <v>2020</v>
      </c>
      <c r="B249">
        <v>181</v>
      </c>
      <c r="C249" t="s">
        <v>79</v>
      </c>
      <c r="D249">
        <v>24</v>
      </c>
      <c r="E249" s="4">
        <v>0.16994700000000001</v>
      </c>
      <c r="F249" s="4">
        <v>0.138762</v>
      </c>
      <c r="G249" s="4">
        <v>0.1276245</v>
      </c>
      <c r="H249" s="4">
        <v>0.129852</v>
      </c>
      <c r="I249" s="4">
        <v>0.12316949999999999</v>
      </c>
      <c r="J249" s="4">
        <v>0.1142595</v>
      </c>
      <c r="K249" s="4">
        <v>0.10757699999999999</v>
      </c>
      <c r="L249" s="4">
        <v>0.12316949999999999</v>
      </c>
      <c r="M249" s="4">
        <v>0.174402</v>
      </c>
      <c r="N249" s="4">
        <v>0.23476724999999998</v>
      </c>
    </row>
    <row r="250" spans="1:14" x14ac:dyDescent="0.25">
      <c r="A250">
        <v>2020</v>
      </c>
      <c r="B250">
        <v>181</v>
      </c>
      <c r="C250" t="s">
        <v>79</v>
      </c>
      <c r="D250">
        <v>31</v>
      </c>
      <c r="E250" s="4">
        <v>0.27909450000000002</v>
      </c>
      <c r="F250" s="4">
        <v>0.25681949999999998</v>
      </c>
      <c r="G250" s="4">
        <v>0.25681949999999998</v>
      </c>
      <c r="H250" s="4">
        <v>0.26572949999999995</v>
      </c>
      <c r="I250" s="4">
        <v>0.27018449999999999</v>
      </c>
      <c r="J250" s="4">
        <v>0.232317</v>
      </c>
      <c r="K250" s="4">
        <v>0.18999449999999996</v>
      </c>
      <c r="L250" s="4">
        <v>0.165492</v>
      </c>
      <c r="M250" s="4">
        <v>0.16771949999999999</v>
      </c>
      <c r="N250" s="4">
        <v>0.20781450000000004</v>
      </c>
    </row>
    <row r="251" spans="1:14" x14ac:dyDescent="0.25">
      <c r="A251">
        <v>2020</v>
      </c>
      <c r="B251">
        <v>181</v>
      </c>
      <c r="C251" t="s">
        <v>79</v>
      </c>
      <c r="D251">
        <v>32</v>
      </c>
      <c r="E251" s="4">
        <v>0.20781449999999999</v>
      </c>
      <c r="F251" s="4">
        <v>0.19222199999999998</v>
      </c>
      <c r="G251" s="4">
        <v>0.165492</v>
      </c>
      <c r="H251" s="4">
        <v>0.15435450000000001</v>
      </c>
      <c r="I251" s="4">
        <v>0.1454445</v>
      </c>
      <c r="J251" s="4">
        <v>0.14098950000000002</v>
      </c>
      <c r="K251" s="4">
        <v>0.15880949999999999</v>
      </c>
      <c r="L251" s="4">
        <v>0.20113199999999998</v>
      </c>
      <c r="M251" s="4">
        <v>0.20781449999999999</v>
      </c>
      <c r="N251" s="4">
        <v>0.22986674999999998</v>
      </c>
    </row>
    <row r="252" spans="1:14" x14ac:dyDescent="0.25">
      <c r="A252">
        <v>2020</v>
      </c>
      <c r="B252">
        <v>181</v>
      </c>
      <c r="C252" t="s">
        <v>79</v>
      </c>
      <c r="D252">
        <v>33</v>
      </c>
      <c r="E252" s="4">
        <v>0.19667699999999996</v>
      </c>
      <c r="F252" s="4">
        <v>0.19667699999999996</v>
      </c>
      <c r="G252" s="4">
        <v>0.23677200000000004</v>
      </c>
      <c r="H252" s="4">
        <v>0.25904699999999997</v>
      </c>
      <c r="I252" s="4">
        <v>0.2389995</v>
      </c>
      <c r="J252" s="4">
        <v>0.22340700000000002</v>
      </c>
      <c r="K252" s="4">
        <v>0.23454450000000002</v>
      </c>
      <c r="L252" s="4">
        <v>0.21672450000000001</v>
      </c>
      <c r="M252" s="4">
        <v>0.22563449999999999</v>
      </c>
      <c r="N252" s="4">
        <v>0.24456824999999999</v>
      </c>
    </row>
    <row r="253" spans="1:14" x14ac:dyDescent="0.25">
      <c r="A253">
        <v>2020</v>
      </c>
      <c r="B253">
        <v>181</v>
      </c>
      <c r="C253" t="s">
        <v>79</v>
      </c>
      <c r="D253">
        <v>34</v>
      </c>
      <c r="E253" s="4">
        <v>0.16326450000000001</v>
      </c>
      <c r="F253" s="4">
        <v>0.17662950000000002</v>
      </c>
      <c r="G253" s="4">
        <v>0.22563449999999999</v>
      </c>
      <c r="H253" s="4">
        <v>0.24568199999999998</v>
      </c>
      <c r="I253" s="4">
        <v>0.25236449999999999</v>
      </c>
      <c r="J253" s="4">
        <v>0.25459199999999998</v>
      </c>
      <c r="K253" s="4">
        <v>0.26350199999999996</v>
      </c>
      <c r="L253" s="4">
        <v>0.21895199999999998</v>
      </c>
      <c r="M253" s="4">
        <v>0.17217450000000001</v>
      </c>
      <c r="N253" s="4">
        <v>0.19311300000000003</v>
      </c>
    </row>
    <row r="254" spans="1:14" x14ac:dyDescent="0.25">
      <c r="A254">
        <v>2020</v>
      </c>
      <c r="B254">
        <v>181</v>
      </c>
      <c r="C254" t="s">
        <v>79</v>
      </c>
      <c r="D254">
        <v>41</v>
      </c>
      <c r="E254" s="4">
        <v>0.22340700000000002</v>
      </c>
      <c r="F254" s="4">
        <v>0.24568199999999998</v>
      </c>
      <c r="G254" s="4">
        <v>0.28354950000000001</v>
      </c>
      <c r="H254" s="4">
        <v>0.267957</v>
      </c>
      <c r="I254" s="4">
        <v>0.27909450000000002</v>
      </c>
      <c r="J254" s="4">
        <v>0.28132200000000002</v>
      </c>
      <c r="K254" s="4">
        <v>0.21895199999999998</v>
      </c>
      <c r="L254" s="4">
        <v>0.20781449999999999</v>
      </c>
      <c r="M254" s="4">
        <v>0.20781449999999999</v>
      </c>
      <c r="N254" s="4">
        <v>0.21761549999999999</v>
      </c>
    </row>
    <row r="255" spans="1:14" x14ac:dyDescent="0.25">
      <c r="A255">
        <v>2020</v>
      </c>
      <c r="B255">
        <v>181</v>
      </c>
      <c r="C255" t="s">
        <v>79</v>
      </c>
      <c r="D255">
        <v>42</v>
      </c>
      <c r="E255" s="4">
        <v>0.22340700000000002</v>
      </c>
      <c r="F255" s="4">
        <v>0.2211795</v>
      </c>
      <c r="G255" s="4">
        <v>0.24345450000000002</v>
      </c>
      <c r="H255" s="4">
        <v>0.24790949999999998</v>
      </c>
      <c r="I255" s="4">
        <v>0.27241199999999993</v>
      </c>
      <c r="J255" s="4">
        <v>0.232317</v>
      </c>
      <c r="K255" s="4">
        <v>0.18776700000000002</v>
      </c>
      <c r="L255" s="4">
        <v>0.174402</v>
      </c>
      <c r="M255" s="4">
        <v>0.165492</v>
      </c>
      <c r="N255" s="4">
        <v>0.18821250000000003</v>
      </c>
    </row>
    <row r="256" spans="1:14" x14ac:dyDescent="0.25">
      <c r="A256">
        <v>2020</v>
      </c>
      <c r="B256">
        <v>181</v>
      </c>
      <c r="C256" t="s">
        <v>79</v>
      </c>
      <c r="D256">
        <v>43</v>
      </c>
      <c r="E256" s="4">
        <v>0.23008950000000003</v>
      </c>
      <c r="F256" s="4">
        <v>0.232317</v>
      </c>
      <c r="G256" s="4">
        <v>0.25013699999999994</v>
      </c>
      <c r="H256" s="4">
        <v>0.2122695</v>
      </c>
      <c r="I256" s="4">
        <v>0.2211795</v>
      </c>
      <c r="J256" s="4">
        <v>0.22340700000000002</v>
      </c>
      <c r="K256" s="4">
        <v>0.23008950000000003</v>
      </c>
      <c r="L256" s="4">
        <v>0.1944495</v>
      </c>
      <c r="M256" s="4">
        <v>0.156582</v>
      </c>
      <c r="N256" s="4">
        <v>0.19066275000000005</v>
      </c>
    </row>
    <row r="257" spans="1:14" x14ac:dyDescent="0.25">
      <c r="A257">
        <v>2020</v>
      </c>
      <c r="B257">
        <v>181</v>
      </c>
      <c r="C257" t="s">
        <v>79</v>
      </c>
      <c r="D257">
        <v>44</v>
      </c>
      <c r="E257" s="4">
        <v>0.1855395</v>
      </c>
      <c r="F257" s="4">
        <v>0.19890449999999998</v>
      </c>
      <c r="G257" s="4">
        <v>0.26350199999999996</v>
      </c>
      <c r="H257" s="4">
        <v>0.25459199999999998</v>
      </c>
      <c r="I257" s="4">
        <v>0.26350199999999996</v>
      </c>
      <c r="J257" s="4">
        <v>0.25013699999999994</v>
      </c>
      <c r="K257" s="4">
        <v>0.25681949999999998</v>
      </c>
      <c r="L257" s="4">
        <v>0.20113199999999998</v>
      </c>
      <c r="M257" s="4">
        <v>0.14321700000000001</v>
      </c>
      <c r="N257" s="4">
        <v>0.16125975000000004</v>
      </c>
    </row>
    <row r="258" spans="1:14" x14ac:dyDescent="0.25">
      <c r="A258">
        <v>2020</v>
      </c>
      <c r="B258">
        <v>181</v>
      </c>
      <c r="C258" t="s">
        <v>79</v>
      </c>
      <c r="D258">
        <v>51</v>
      </c>
      <c r="E258" s="4">
        <v>0.28577700000000006</v>
      </c>
      <c r="F258" s="4">
        <v>0.26350199999999996</v>
      </c>
      <c r="G258" s="4">
        <v>0.26350199999999996</v>
      </c>
      <c r="H258" s="4">
        <v>0.27686699999999997</v>
      </c>
      <c r="I258" s="4">
        <v>0.25236449999999999</v>
      </c>
      <c r="J258" s="4">
        <v>0.24790949999999998</v>
      </c>
      <c r="K258" s="4">
        <v>0.22563449999999999</v>
      </c>
      <c r="L258" s="4">
        <v>0.22340700000000002</v>
      </c>
      <c r="M258" s="4">
        <v>0.23008950000000003</v>
      </c>
      <c r="N258" s="4">
        <v>0.24946875000000004</v>
      </c>
    </row>
    <row r="259" spans="1:14" x14ac:dyDescent="0.25">
      <c r="A259">
        <v>2020</v>
      </c>
      <c r="B259">
        <v>181</v>
      </c>
      <c r="C259" t="s">
        <v>79</v>
      </c>
      <c r="D259">
        <v>52</v>
      </c>
      <c r="E259" s="4">
        <v>0.26127450000000002</v>
      </c>
      <c r="F259" s="4">
        <v>0.25459199999999998</v>
      </c>
      <c r="G259" s="4">
        <v>0.27241199999999993</v>
      </c>
      <c r="H259" s="4">
        <v>0.28354950000000001</v>
      </c>
      <c r="I259" s="4">
        <v>0.30359700000000001</v>
      </c>
      <c r="J259" s="4">
        <v>0.28577700000000006</v>
      </c>
      <c r="K259" s="4">
        <v>0.267957</v>
      </c>
      <c r="L259" s="4">
        <v>0.21895199999999998</v>
      </c>
      <c r="M259" s="4">
        <v>0.20781449999999999</v>
      </c>
      <c r="N259" s="4">
        <v>0.22496624999999998</v>
      </c>
    </row>
    <row r="260" spans="1:14" x14ac:dyDescent="0.25">
      <c r="A260">
        <v>2020</v>
      </c>
      <c r="B260">
        <v>181</v>
      </c>
      <c r="C260" t="s">
        <v>79</v>
      </c>
      <c r="D260">
        <v>53</v>
      </c>
      <c r="E260" s="4">
        <v>0.25236449999999999</v>
      </c>
      <c r="F260" s="4">
        <v>0.24790949999999998</v>
      </c>
      <c r="G260" s="4">
        <v>0.27018449999999999</v>
      </c>
      <c r="H260" s="4">
        <v>0.28354950000000001</v>
      </c>
      <c r="I260" s="4">
        <v>0.27463949999999998</v>
      </c>
      <c r="J260" s="4">
        <v>0.267957</v>
      </c>
      <c r="K260" s="4">
        <v>0.25236449999999999</v>
      </c>
      <c r="L260" s="4">
        <v>0.16994700000000001</v>
      </c>
      <c r="M260" s="4">
        <v>0.14321700000000001</v>
      </c>
      <c r="N260" s="4">
        <v>0.14655825</v>
      </c>
    </row>
    <row r="261" spans="1:14" x14ac:dyDescent="0.25">
      <c r="A261">
        <v>2020</v>
      </c>
      <c r="B261">
        <v>181</v>
      </c>
      <c r="C261" t="s">
        <v>79</v>
      </c>
      <c r="D261">
        <v>54</v>
      </c>
      <c r="E261" s="4">
        <v>0.24122700000000002</v>
      </c>
      <c r="F261" s="4">
        <v>0.24345450000000002</v>
      </c>
      <c r="G261" s="4">
        <v>0.24122700000000002</v>
      </c>
      <c r="H261" s="4">
        <v>0.267957</v>
      </c>
      <c r="I261" s="4">
        <v>0.27909450000000002</v>
      </c>
      <c r="J261" s="4">
        <v>0.27686699999999997</v>
      </c>
      <c r="K261" s="4">
        <v>0.25681949999999998</v>
      </c>
      <c r="L261" s="4">
        <v>0.23008950000000003</v>
      </c>
      <c r="M261" s="4">
        <v>0.19222199999999998</v>
      </c>
      <c r="N261" s="4">
        <v>0.22251599999999999</v>
      </c>
    </row>
    <row r="262" spans="1:14" x14ac:dyDescent="0.25">
      <c r="A262">
        <v>2020</v>
      </c>
      <c r="B262">
        <v>181</v>
      </c>
      <c r="C262" t="s">
        <v>79</v>
      </c>
      <c r="D262">
        <v>61</v>
      </c>
      <c r="E262" s="4">
        <v>0.2122695</v>
      </c>
      <c r="F262" s="4">
        <v>0.174402</v>
      </c>
      <c r="G262" s="4">
        <v>0.1855395</v>
      </c>
      <c r="H262" s="4">
        <v>0.21672450000000001</v>
      </c>
      <c r="I262" s="4">
        <v>0.2389995</v>
      </c>
      <c r="J262" s="4">
        <v>0.1944495</v>
      </c>
      <c r="K262" s="4">
        <v>0.19667699999999996</v>
      </c>
      <c r="L262" s="4">
        <v>0.20558699999999999</v>
      </c>
      <c r="M262" s="4">
        <v>0.1855395</v>
      </c>
      <c r="N262" s="4">
        <v>0.22251599999999999</v>
      </c>
    </row>
    <row r="263" spans="1:14" x14ac:dyDescent="0.25">
      <c r="A263">
        <v>2020</v>
      </c>
      <c r="B263">
        <v>181</v>
      </c>
      <c r="C263" t="s">
        <v>79</v>
      </c>
      <c r="D263">
        <v>62</v>
      </c>
      <c r="E263" s="4">
        <v>0.23677200000000004</v>
      </c>
      <c r="F263" s="4">
        <v>0.24345450000000002</v>
      </c>
      <c r="G263" s="4">
        <v>0.26127450000000002</v>
      </c>
      <c r="H263" s="4">
        <v>0.2122695</v>
      </c>
      <c r="I263" s="4">
        <v>0.232317</v>
      </c>
      <c r="J263" s="4">
        <v>0.26350199999999996</v>
      </c>
      <c r="K263" s="4">
        <v>0.21004199999999998</v>
      </c>
      <c r="L263" s="4">
        <v>0.20335949999999997</v>
      </c>
      <c r="M263" s="4">
        <v>0.2122695</v>
      </c>
      <c r="N263" s="4">
        <v>0.22986674999999998</v>
      </c>
    </row>
    <row r="264" spans="1:14" x14ac:dyDescent="0.25">
      <c r="A264">
        <v>2020</v>
      </c>
      <c r="B264">
        <v>181</v>
      </c>
      <c r="C264" t="s">
        <v>79</v>
      </c>
      <c r="D264">
        <v>63</v>
      </c>
      <c r="E264" s="4">
        <v>0.27018449999999999</v>
      </c>
      <c r="F264" s="4">
        <v>0.23677200000000004</v>
      </c>
      <c r="G264" s="4">
        <v>0.23008950000000003</v>
      </c>
      <c r="H264" s="4">
        <v>0.2122695</v>
      </c>
      <c r="I264" s="4">
        <v>0.22563449999999999</v>
      </c>
      <c r="J264" s="4">
        <v>0.23454450000000002</v>
      </c>
      <c r="K264" s="4">
        <v>0.1855395</v>
      </c>
      <c r="L264" s="4">
        <v>0.165492</v>
      </c>
      <c r="M264" s="4">
        <v>0.147672</v>
      </c>
      <c r="N264" s="4">
        <v>0.17351100000000003</v>
      </c>
    </row>
    <row r="265" spans="1:14" x14ac:dyDescent="0.25">
      <c r="A265">
        <v>2020</v>
      </c>
      <c r="B265">
        <v>181</v>
      </c>
      <c r="C265" t="s">
        <v>79</v>
      </c>
      <c r="D265">
        <v>64</v>
      </c>
      <c r="E265" s="4">
        <v>0.27241199999999993</v>
      </c>
      <c r="F265" s="4">
        <v>0.25459199999999998</v>
      </c>
      <c r="G265" s="4">
        <v>0.21449699999999999</v>
      </c>
      <c r="H265" s="4">
        <v>0.2389995</v>
      </c>
      <c r="I265" s="4">
        <v>0.25459199999999998</v>
      </c>
      <c r="J265" s="4">
        <v>0.24345450000000002</v>
      </c>
      <c r="K265" s="4">
        <v>0.21672450000000001</v>
      </c>
      <c r="L265" s="4">
        <v>0.156582</v>
      </c>
      <c r="M265" s="4">
        <v>0.1365345</v>
      </c>
      <c r="N265" s="4">
        <v>0.19066275000000005</v>
      </c>
    </row>
    <row r="266" spans="1:14" x14ac:dyDescent="0.25">
      <c r="A266">
        <v>2020</v>
      </c>
      <c r="B266">
        <v>188</v>
      </c>
      <c r="C266" t="s">
        <v>79</v>
      </c>
      <c r="D266">
        <v>11</v>
      </c>
      <c r="E266" s="4">
        <v>0.17662950000000002</v>
      </c>
      <c r="F266" s="4">
        <v>0.18776700000000002</v>
      </c>
      <c r="G266" s="4">
        <v>0.2211795</v>
      </c>
      <c r="H266" s="4">
        <v>0.25236449999999999</v>
      </c>
      <c r="I266" s="4">
        <v>0.22786200000000001</v>
      </c>
      <c r="J266" s="4">
        <v>0.2389995</v>
      </c>
      <c r="K266" s="4">
        <v>0.232317</v>
      </c>
      <c r="L266" s="4">
        <v>0.21004199999999998</v>
      </c>
      <c r="M266" s="4">
        <v>0.21672450000000001</v>
      </c>
      <c r="N266" s="4">
        <v>0.21761549999999999</v>
      </c>
    </row>
    <row r="267" spans="1:14" x14ac:dyDescent="0.25">
      <c r="A267">
        <v>2020</v>
      </c>
      <c r="B267">
        <v>188</v>
      </c>
      <c r="C267" t="s">
        <v>79</v>
      </c>
      <c r="D267">
        <v>12</v>
      </c>
      <c r="E267" s="4">
        <v>0.2389995</v>
      </c>
      <c r="F267" s="4">
        <v>0.23677200000000004</v>
      </c>
      <c r="G267" s="4">
        <v>0.20113199999999998</v>
      </c>
      <c r="H267" s="4">
        <v>0.19890449999999998</v>
      </c>
      <c r="I267" s="4">
        <v>0.1855395</v>
      </c>
      <c r="J267" s="4">
        <v>0.19890449999999998</v>
      </c>
      <c r="K267" s="4">
        <v>0.18331200000000003</v>
      </c>
      <c r="L267" s="4">
        <v>0.20558699999999999</v>
      </c>
      <c r="M267" s="4">
        <v>0.16326450000000001</v>
      </c>
      <c r="N267" s="4">
        <v>0.14410800000000001</v>
      </c>
    </row>
    <row r="268" spans="1:14" x14ac:dyDescent="0.25">
      <c r="A268">
        <v>2020</v>
      </c>
      <c r="B268">
        <v>188</v>
      </c>
      <c r="C268" t="s">
        <v>79</v>
      </c>
      <c r="D268">
        <v>13</v>
      </c>
      <c r="E268" s="4">
        <v>0.2122695</v>
      </c>
      <c r="F268" s="4">
        <v>0.20558699999999999</v>
      </c>
      <c r="G268" s="4">
        <v>0.21449699999999999</v>
      </c>
      <c r="H268" s="4">
        <v>0.24568199999999998</v>
      </c>
      <c r="I268" s="4">
        <v>0.25236449999999999</v>
      </c>
      <c r="J268" s="4">
        <v>0.24790949999999998</v>
      </c>
      <c r="K268" s="4">
        <v>0.20781449999999999</v>
      </c>
      <c r="L268" s="4">
        <v>0.17662950000000002</v>
      </c>
      <c r="M268" s="4">
        <v>0.174402</v>
      </c>
      <c r="N268" s="4">
        <v>0.18821250000000003</v>
      </c>
    </row>
    <row r="269" spans="1:14" x14ac:dyDescent="0.25">
      <c r="A269">
        <v>2020</v>
      </c>
      <c r="B269">
        <v>188</v>
      </c>
      <c r="C269" t="s">
        <v>79</v>
      </c>
      <c r="D269">
        <v>14</v>
      </c>
      <c r="E269" s="4">
        <v>0.26127450000000002</v>
      </c>
      <c r="F269" s="4">
        <v>0.24790949999999998</v>
      </c>
      <c r="G269" s="4">
        <v>0.25681949999999998</v>
      </c>
      <c r="H269" s="4">
        <v>0.25459199999999998</v>
      </c>
      <c r="I269" s="4">
        <v>0.23008950000000003</v>
      </c>
      <c r="J269" s="4">
        <v>0.22563449999999999</v>
      </c>
      <c r="K269" s="4">
        <v>0.24122700000000002</v>
      </c>
      <c r="L269" s="4">
        <v>0.19890449999999998</v>
      </c>
      <c r="M269" s="4">
        <v>0.174402</v>
      </c>
      <c r="N269" s="4">
        <v>0.18331200000000003</v>
      </c>
    </row>
    <row r="270" spans="1:14" x14ac:dyDescent="0.25">
      <c r="A270">
        <v>2020</v>
      </c>
      <c r="B270">
        <v>188</v>
      </c>
      <c r="C270" t="s">
        <v>79</v>
      </c>
      <c r="D270">
        <v>21</v>
      </c>
      <c r="E270" s="4">
        <v>0.26350199999999996</v>
      </c>
      <c r="F270" s="4">
        <v>0.23677200000000004</v>
      </c>
      <c r="G270" s="4">
        <v>0.24790949999999998</v>
      </c>
      <c r="H270" s="4">
        <v>0.24790949999999998</v>
      </c>
      <c r="I270" s="4">
        <v>0.24345450000000002</v>
      </c>
      <c r="J270" s="4">
        <v>0.25013699999999994</v>
      </c>
      <c r="K270" s="4">
        <v>0.20558699999999999</v>
      </c>
      <c r="L270" s="4">
        <v>0.21449699999999999</v>
      </c>
      <c r="M270" s="4">
        <v>0.17217450000000001</v>
      </c>
      <c r="N270" s="4">
        <v>0.19801350000000004</v>
      </c>
    </row>
    <row r="271" spans="1:14" x14ac:dyDescent="0.25">
      <c r="A271">
        <v>2020</v>
      </c>
      <c r="B271">
        <v>188</v>
      </c>
      <c r="C271" t="s">
        <v>79</v>
      </c>
      <c r="D271">
        <v>22</v>
      </c>
      <c r="E271" s="4">
        <v>0.25459199999999998</v>
      </c>
      <c r="F271" s="4">
        <v>0.23677200000000004</v>
      </c>
      <c r="G271" s="4">
        <v>0.23454450000000002</v>
      </c>
      <c r="H271" s="4">
        <v>0.24568199999999998</v>
      </c>
      <c r="I271" s="4">
        <v>0.23454450000000002</v>
      </c>
      <c r="J271" s="4">
        <v>0.18776700000000002</v>
      </c>
      <c r="K271" s="4">
        <v>0.147672</v>
      </c>
      <c r="L271" s="4">
        <v>0.1855395</v>
      </c>
      <c r="M271" s="4">
        <v>0.1855395</v>
      </c>
      <c r="N271" s="4">
        <v>0.19311300000000003</v>
      </c>
    </row>
    <row r="272" spans="1:14" x14ac:dyDescent="0.25">
      <c r="A272">
        <v>2020</v>
      </c>
      <c r="B272">
        <v>188</v>
      </c>
      <c r="C272" t="s">
        <v>79</v>
      </c>
      <c r="D272">
        <v>23</v>
      </c>
      <c r="E272" s="4">
        <v>0.232317</v>
      </c>
      <c r="F272" s="4">
        <v>0.232317</v>
      </c>
      <c r="G272" s="4">
        <v>0.25681949999999998</v>
      </c>
      <c r="H272" s="4">
        <v>0.27018449999999999</v>
      </c>
      <c r="I272" s="4">
        <v>0.2389995</v>
      </c>
      <c r="J272" s="4">
        <v>0.18331200000000003</v>
      </c>
      <c r="K272" s="4">
        <v>0.17217450000000001</v>
      </c>
      <c r="L272" s="4">
        <v>0.17662950000000002</v>
      </c>
      <c r="M272" s="4">
        <v>0.165492</v>
      </c>
      <c r="N272" s="4">
        <v>0.17351100000000003</v>
      </c>
    </row>
    <row r="273" spans="1:14" x14ac:dyDescent="0.25">
      <c r="A273">
        <v>2020</v>
      </c>
      <c r="B273">
        <v>188</v>
      </c>
      <c r="C273" t="s">
        <v>79</v>
      </c>
      <c r="D273">
        <v>24</v>
      </c>
      <c r="E273" s="4">
        <v>0.16771949999999999</v>
      </c>
      <c r="F273" s="4">
        <v>0.138762</v>
      </c>
      <c r="G273" s="4">
        <v>0.1276245</v>
      </c>
      <c r="H273" s="4">
        <v>0.12539700000000001</v>
      </c>
      <c r="I273" s="4">
        <v>0.11203200000000002</v>
      </c>
      <c r="J273" s="4">
        <v>9.8666999999999977E-2</v>
      </c>
      <c r="K273" s="4">
        <v>9.421199999999999E-2</v>
      </c>
      <c r="L273" s="4">
        <v>0.10980450000000001</v>
      </c>
      <c r="M273" s="4">
        <v>0.156582</v>
      </c>
      <c r="N273" s="4">
        <v>0.18821250000000003</v>
      </c>
    </row>
    <row r="274" spans="1:14" x14ac:dyDescent="0.25">
      <c r="A274">
        <v>2020</v>
      </c>
      <c r="B274">
        <v>188</v>
      </c>
      <c r="C274" t="s">
        <v>79</v>
      </c>
      <c r="D274">
        <v>31</v>
      </c>
      <c r="E274" s="4">
        <v>0.27463949999999998</v>
      </c>
      <c r="F274" s="4">
        <v>0.25459199999999998</v>
      </c>
      <c r="G274" s="4">
        <v>0.25236449999999999</v>
      </c>
      <c r="H274" s="4">
        <v>0.27018449999999999</v>
      </c>
      <c r="I274" s="4">
        <v>0.26350199999999996</v>
      </c>
      <c r="J274" s="4">
        <v>0.21895199999999998</v>
      </c>
      <c r="K274" s="4">
        <v>0.174402</v>
      </c>
      <c r="L274" s="4">
        <v>0.15212699999999998</v>
      </c>
      <c r="M274" s="4">
        <v>0.15435450000000001</v>
      </c>
      <c r="N274" s="4">
        <v>0.17841150000000003</v>
      </c>
    </row>
    <row r="275" spans="1:14" x14ac:dyDescent="0.25">
      <c r="A275">
        <v>2020</v>
      </c>
      <c r="B275">
        <v>188</v>
      </c>
      <c r="C275" t="s">
        <v>79</v>
      </c>
      <c r="D275">
        <v>32</v>
      </c>
      <c r="E275" s="4">
        <v>0.20113199999999998</v>
      </c>
      <c r="F275" s="4">
        <v>0.18331200000000003</v>
      </c>
      <c r="G275" s="4">
        <v>0.16103699999999999</v>
      </c>
      <c r="H275" s="4">
        <v>0.147672</v>
      </c>
      <c r="I275" s="4">
        <v>0.138762</v>
      </c>
      <c r="J275" s="4">
        <v>0.13430700000000001</v>
      </c>
      <c r="K275" s="4">
        <v>0.14321700000000001</v>
      </c>
      <c r="L275" s="4">
        <v>0.18331200000000003</v>
      </c>
      <c r="M275" s="4">
        <v>0.174402</v>
      </c>
      <c r="N275" s="4">
        <v>0.18821250000000003</v>
      </c>
    </row>
    <row r="276" spans="1:14" x14ac:dyDescent="0.25">
      <c r="A276">
        <v>2020</v>
      </c>
      <c r="B276">
        <v>188</v>
      </c>
      <c r="C276" t="s">
        <v>79</v>
      </c>
      <c r="D276">
        <v>33</v>
      </c>
      <c r="E276" s="4">
        <v>0.1944495</v>
      </c>
      <c r="F276" s="4">
        <v>0.19222199999999998</v>
      </c>
      <c r="G276" s="4">
        <v>0.23008950000000003</v>
      </c>
      <c r="H276" s="4">
        <v>0.25459199999999998</v>
      </c>
      <c r="I276" s="4">
        <v>0.23677200000000004</v>
      </c>
      <c r="J276" s="4">
        <v>0.21672450000000001</v>
      </c>
      <c r="K276" s="4">
        <v>0.22340700000000002</v>
      </c>
      <c r="L276" s="4">
        <v>0.20335949999999997</v>
      </c>
      <c r="M276" s="4">
        <v>0.18331200000000003</v>
      </c>
      <c r="N276" s="4">
        <v>0.19311300000000003</v>
      </c>
    </row>
    <row r="277" spans="1:14" x14ac:dyDescent="0.25">
      <c r="A277">
        <v>2020</v>
      </c>
      <c r="B277">
        <v>188</v>
      </c>
      <c r="C277" t="s">
        <v>79</v>
      </c>
      <c r="D277">
        <v>34</v>
      </c>
      <c r="E277" s="4">
        <v>0.16103699999999999</v>
      </c>
      <c r="F277" s="4">
        <v>0.165492</v>
      </c>
      <c r="G277" s="4">
        <v>0.21895199999999998</v>
      </c>
      <c r="H277" s="4">
        <v>0.24122700000000002</v>
      </c>
      <c r="I277" s="4">
        <v>0.25236449999999999</v>
      </c>
      <c r="J277" s="4">
        <v>0.25236449999999999</v>
      </c>
      <c r="K277" s="4">
        <v>0.24790949999999998</v>
      </c>
      <c r="L277" s="4">
        <v>0.20335949999999997</v>
      </c>
      <c r="M277" s="4">
        <v>0.15435450000000001</v>
      </c>
      <c r="N277" s="4">
        <v>0.15635925000000001</v>
      </c>
    </row>
    <row r="278" spans="1:14" x14ac:dyDescent="0.25">
      <c r="A278">
        <v>2020</v>
      </c>
      <c r="B278">
        <v>188</v>
      </c>
      <c r="C278" t="s">
        <v>79</v>
      </c>
      <c r="D278">
        <v>41</v>
      </c>
      <c r="E278" s="4">
        <v>0.21449699999999999</v>
      </c>
      <c r="F278" s="4">
        <v>0.23677200000000004</v>
      </c>
      <c r="G278" s="4">
        <v>0.28354950000000001</v>
      </c>
      <c r="H278" s="4">
        <v>0.27018449999999999</v>
      </c>
      <c r="I278" s="4">
        <v>0.27241199999999993</v>
      </c>
      <c r="J278" s="4">
        <v>0.27909450000000002</v>
      </c>
      <c r="K278" s="4">
        <v>0.20558699999999999</v>
      </c>
      <c r="L278" s="4">
        <v>0.18331200000000003</v>
      </c>
      <c r="M278" s="4">
        <v>0.17885699999999999</v>
      </c>
      <c r="N278" s="4">
        <v>0.20046375000000005</v>
      </c>
    </row>
    <row r="279" spans="1:14" x14ac:dyDescent="0.25">
      <c r="A279">
        <v>2020</v>
      </c>
      <c r="B279">
        <v>188</v>
      </c>
      <c r="C279" t="s">
        <v>79</v>
      </c>
      <c r="D279">
        <v>42</v>
      </c>
      <c r="E279" s="4">
        <v>0.2211795</v>
      </c>
      <c r="F279" s="4">
        <v>0.22563449999999999</v>
      </c>
      <c r="G279" s="4">
        <v>0.2389995</v>
      </c>
      <c r="H279" s="4">
        <v>0.2389995</v>
      </c>
      <c r="I279" s="4">
        <v>0.26572949999999995</v>
      </c>
      <c r="J279" s="4">
        <v>0.22340700000000002</v>
      </c>
      <c r="K279" s="4">
        <v>0.165492</v>
      </c>
      <c r="L279" s="4">
        <v>0.16103699999999999</v>
      </c>
      <c r="M279" s="4">
        <v>0.16326450000000001</v>
      </c>
      <c r="N279" s="4">
        <v>0.17596124999999996</v>
      </c>
    </row>
    <row r="280" spans="1:14" x14ac:dyDescent="0.25">
      <c r="A280">
        <v>2020</v>
      </c>
      <c r="B280">
        <v>188</v>
      </c>
      <c r="C280" t="s">
        <v>79</v>
      </c>
      <c r="D280">
        <v>43</v>
      </c>
      <c r="E280" s="4">
        <v>0.22786200000000001</v>
      </c>
      <c r="F280" s="4">
        <v>0.22563449999999999</v>
      </c>
      <c r="G280" s="4">
        <v>0.24122700000000002</v>
      </c>
      <c r="H280" s="4">
        <v>0.20335949999999997</v>
      </c>
      <c r="I280" s="4">
        <v>0.2122695</v>
      </c>
      <c r="J280" s="4">
        <v>0.2122695</v>
      </c>
      <c r="K280" s="4">
        <v>0.22563449999999999</v>
      </c>
      <c r="L280" s="4">
        <v>0.17217450000000001</v>
      </c>
      <c r="M280" s="4">
        <v>0.15212699999999998</v>
      </c>
      <c r="N280" s="4">
        <v>0.17596124999999996</v>
      </c>
    </row>
    <row r="281" spans="1:14" x14ac:dyDescent="0.25">
      <c r="A281">
        <v>2020</v>
      </c>
      <c r="B281">
        <v>188</v>
      </c>
      <c r="C281" t="s">
        <v>79</v>
      </c>
      <c r="D281">
        <v>44</v>
      </c>
      <c r="E281" s="4">
        <v>0.17662950000000002</v>
      </c>
      <c r="F281" s="4">
        <v>0.19222199999999998</v>
      </c>
      <c r="G281" s="4">
        <v>0.25904699999999997</v>
      </c>
      <c r="H281" s="4">
        <v>0.24345450000000002</v>
      </c>
      <c r="I281" s="4">
        <v>0.26127450000000002</v>
      </c>
      <c r="J281" s="4">
        <v>0.24345450000000002</v>
      </c>
      <c r="K281" s="4">
        <v>0.25013699999999994</v>
      </c>
      <c r="L281" s="4">
        <v>0.17885699999999999</v>
      </c>
      <c r="M281" s="4">
        <v>0.1365345</v>
      </c>
      <c r="N281" s="4">
        <v>0.15145875</v>
      </c>
    </row>
    <row r="282" spans="1:14" x14ac:dyDescent="0.25">
      <c r="A282">
        <v>2020</v>
      </c>
      <c r="B282">
        <v>188</v>
      </c>
      <c r="C282" t="s">
        <v>79</v>
      </c>
      <c r="D282">
        <v>51</v>
      </c>
      <c r="E282" s="4">
        <v>0.27241199999999993</v>
      </c>
      <c r="F282" s="4">
        <v>0.26127450000000002</v>
      </c>
      <c r="G282" s="4">
        <v>0.26572949999999995</v>
      </c>
      <c r="H282" s="4">
        <v>0.27686699999999997</v>
      </c>
      <c r="I282" s="4">
        <v>0.24122700000000002</v>
      </c>
      <c r="J282" s="4">
        <v>0.22786200000000001</v>
      </c>
      <c r="K282" s="4">
        <v>0.1944495</v>
      </c>
      <c r="L282" s="4">
        <v>0.18776700000000002</v>
      </c>
      <c r="M282" s="4">
        <v>0.19890449999999998</v>
      </c>
      <c r="N282" s="4">
        <v>0.22741649999999999</v>
      </c>
    </row>
    <row r="283" spans="1:14" x14ac:dyDescent="0.25">
      <c r="A283">
        <v>2020</v>
      </c>
      <c r="B283">
        <v>188</v>
      </c>
      <c r="C283" t="s">
        <v>79</v>
      </c>
      <c r="D283">
        <v>52</v>
      </c>
      <c r="E283" s="4">
        <v>0.25013699999999994</v>
      </c>
      <c r="F283" s="4">
        <v>0.24122700000000002</v>
      </c>
      <c r="G283" s="4">
        <v>0.27241199999999993</v>
      </c>
      <c r="H283" s="4">
        <v>0.28577700000000006</v>
      </c>
      <c r="I283" s="4">
        <v>0.29023199999999999</v>
      </c>
      <c r="J283" s="4">
        <v>0.27241199999999993</v>
      </c>
      <c r="K283" s="4">
        <v>0.24568199999999998</v>
      </c>
      <c r="L283" s="4">
        <v>0.18776700000000002</v>
      </c>
      <c r="M283" s="4">
        <v>0.17662950000000002</v>
      </c>
      <c r="N283" s="4">
        <v>0.19801350000000004</v>
      </c>
    </row>
    <row r="284" spans="1:14" x14ac:dyDescent="0.25">
      <c r="A284">
        <v>2020</v>
      </c>
      <c r="B284">
        <v>188</v>
      </c>
      <c r="C284" t="s">
        <v>79</v>
      </c>
      <c r="D284">
        <v>53</v>
      </c>
      <c r="E284" s="4">
        <v>0.25236449999999999</v>
      </c>
      <c r="F284" s="4">
        <v>0.23677200000000004</v>
      </c>
      <c r="G284" s="4">
        <v>0.26127450000000002</v>
      </c>
      <c r="H284" s="4">
        <v>0.27241199999999993</v>
      </c>
      <c r="I284" s="4">
        <v>0.27241199999999993</v>
      </c>
      <c r="J284" s="4">
        <v>0.26350199999999996</v>
      </c>
      <c r="K284" s="4">
        <v>0.2389995</v>
      </c>
      <c r="L284" s="4">
        <v>0.15435450000000001</v>
      </c>
      <c r="M284" s="4">
        <v>0.13430700000000001</v>
      </c>
      <c r="N284" s="4">
        <v>0.14165775</v>
      </c>
    </row>
    <row r="285" spans="1:14" x14ac:dyDescent="0.25">
      <c r="A285">
        <v>2020</v>
      </c>
      <c r="B285">
        <v>188</v>
      </c>
      <c r="C285" t="s">
        <v>79</v>
      </c>
      <c r="D285">
        <v>54</v>
      </c>
      <c r="E285" s="4">
        <v>0.25013699999999994</v>
      </c>
      <c r="F285" s="4">
        <v>0.2389995</v>
      </c>
      <c r="G285" s="4">
        <v>0.2389995</v>
      </c>
      <c r="H285" s="4">
        <v>0.26127450000000002</v>
      </c>
      <c r="I285" s="4">
        <v>0.27018449999999999</v>
      </c>
      <c r="J285" s="4">
        <v>0.26572949999999995</v>
      </c>
      <c r="K285" s="4">
        <v>0.25013699999999994</v>
      </c>
      <c r="L285" s="4">
        <v>0.1855395</v>
      </c>
      <c r="M285" s="4">
        <v>0.1365345</v>
      </c>
      <c r="N285" s="4">
        <v>0.15880950000000002</v>
      </c>
    </row>
    <row r="286" spans="1:14" x14ac:dyDescent="0.25">
      <c r="A286">
        <v>2020</v>
      </c>
      <c r="B286">
        <v>188</v>
      </c>
      <c r="C286" t="s">
        <v>79</v>
      </c>
      <c r="D286">
        <v>61</v>
      </c>
      <c r="E286" s="4">
        <v>0.21004199999999998</v>
      </c>
      <c r="F286" s="4">
        <v>0.16994700000000001</v>
      </c>
      <c r="G286" s="4">
        <v>0.17885699999999999</v>
      </c>
      <c r="H286" s="4">
        <v>0.2122695</v>
      </c>
      <c r="I286" s="4">
        <v>0.232317</v>
      </c>
      <c r="J286" s="4">
        <v>0.18999449999999996</v>
      </c>
      <c r="K286" s="4">
        <v>0.1944495</v>
      </c>
      <c r="L286" s="4">
        <v>0.18776700000000002</v>
      </c>
      <c r="M286" s="4">
        <v>0.17217450000000001</v>
      </c>
      <c r="N286" s="4">
        <v>0.18086175000000002</v>
      </c>
    </row>
    <row r="287" spans="1:14" x14ac:dyDescent="0.25">
      <c r="A287">
        <v>2020</v>
      </c>
      <c r="B287">
        <v>188</v>
      </c>
      <c r="C287" t="s">
        <v>79</v>
      </c>
      <c r="D287">
        <v>62</v>
      </c>
      <c r="E287" s="4">
        <v>0.23454450000000002</v>
      </c>
      <c r="F287" s="4">
        <v>0.24122700000000002</v>
      </c>
      <c r="G287" s="4">
        <v>0.26127450000000002</v>
      </c>
      <c r="H287" s="4">
        <v>0.21004199999999998</v>
      </c>
      <c r="I287" s="4">
        <v>0.22563449999999999</v>
      </c>
      <c r="J287" s="4">
        <v>0.24568199999999998</v>
      </c>
      <c r="K287" s="4">
        <v>0.18331200000000003</v>
      </c>
      <c r="L287" s="4">
        <v>0.165492</v>
      </c>
      <c r="M287" s="4">
        <v>0.17885699999999999</v>
      </c>
      <c r="N287" s="4">
        <v>0.20046375000000005</v>
      </c>
    </row>
    <row r="288" spans="1:14" x14ac:dyDescent="0.25">
      <c r="A288">
        <v>2020</v>
      </c>
      <c r="B288">
        <v>188</v>
      </c>
      <c r="C288" t="s">
        <v>79</v>
      </c>
      <c r="D288">
        <v>63</v>
      </c>
      <c r="E288" s="4">
        <v>0.26127450000000002</v>
      </c>
      <c r="F288" s="4">
        <v>0.2389995</v>
      </c>
      <c r="G288" s="4">
        <v>0.2211795</v>
      </c>
      <c r="H288" s="4">
        <v>0.20781449999999999</v>
      </c>
      <c r="I288" s="4">
        <v>0.21672450000000001</v>
      </c>
      <c r="J288" s="4">
        <v>0.22340700000000002</v>
      </c>
      <c r="K288" s="4">
        <v>0.17885699999999999</v>
      </c>
      <c r="L288" s="4">
        <v>0.15212699999999998</v>
      </c>
      <c r="M288" s="4">
        <v>0.147672</v>
      </c>
      <c r="N288" s="4">
        <v>0.16616025000000004</v>
      </c>
    </row>
    <row r="289" spans="1:14" x14ac:dyDescent="0.25">
      <c r="A289">
        <v>2020</v>
      </c>
      <c r="B289">
        <v>188</v>
      </c>
      <c r="C289" t="s">
        <v>79</v>
      </c>
      <c r="D289">
        <v>64</v>
      </c>
      <c r="E289" s="4">
        <v>0.27018449999999999</v>
      </c>
      <c r="F289" s="4">
        <v>0.25236449999999999</v>
      </c>
      <c r="G289" s="4">
        <v>0.21672450000000001</v>
      </c>
      <c r="H289" s="4">
        <v>0.23677200000000004</v>
      </c>
      <c r="I289" s="4">
        <v>0.26127450000000002</v>
      </c>
      <c r="J289" s="4">
        <v>0.24122700000000002</v>
      </c>
      <c r="K289" s="4">
        <v>0.21449699999999999</v>
      </c>
      <c r="L289" s="4">
        <v>0.14098950000000002</v>
      </c>
      <c r="M289" s="4">
        <v>0.129852</v>
      </c>
      <c r="N289" s="4">
        <v>0.15880950000000002</v>
      </c>
    </row>
    <row r="290" spans="1:14" x14ac:dyDescent="0.25">
      <c r="A290">
        <v>2020</v>
      </c>
      <c r="B290">
        <v>196</v>
      </c>
      <c r="C290" t="s">
        <v>79</v>
      </c>
      <c r="D290">
        <v>11</v>
      </c>
      <c r="E290" s="4">
        <v>0.174402</v>
      </c>
      <c r="F290" s="4">
        <v>0.19222199999999998</v>
      </c>
      <c r="G290" s="4">
        <v>0.22340700000000002</v>
      </c>
      <c r="H290" s="4">
        <v>0.25681949999999998</v>
      </c>
      <c r="I290" s="4">
        <v>0.232317</v>
      </c>
      <c r="J290" s="4">
        <v>0.23677200000000004</v>
      </c>
      <c r="K290" s="4">
        <v>0.22786200000000001</v>
      </c>
      <c r="L290" s="4">
        <v>0.21895199999999998</v>
      </c>
      <c r="M290" s="4">
        <v>0.21449699999999999</v>
      </c>
      <c r="N290" s="4">
        <v>0.20781450000000004</v>
      </c>
    </row>
    <row r="291" spans="1:14" x14ac:dyDescent="0.25">
      <c r="A291">
        <v>2020</v>
      </c>
      <c r="B291">
        <v>196</v>
      </c>
      <c r="C291" t="s">
        <v>79</v>
      </c>
      <c r="D291">
        <v>12</v>
      </c>
      <c r="E291" s="4">
        <v>0.23454450000000002</v>
      </c>
      <c r="F291" s="4">
        <v>0.23677200000000004</v>
      </c>
      <c r="G291" s="4">
        <v>0.20335949999999997</v>
      </c>
      <c r="H291" s="4">
        <v>0.19222199999999998</v>
      </c>
      <c r="I291" s="4">
        <v>0.18776700000000002</v>
      </c>
      <c r="J291" s="4">
        <v>0.18776700000000002</v>
      </c>
      <c r="K291" s="4">
        <v>0.174402</v>
      </c>
      <c r="L291" s="4">
        <v>0.19667699999999996</v>
      </c>
      <c r="M291" s="4">
        <v>0.16103699999999999</v>
      </c>
      <c r="N291" s="4">
        <v>0.15145875</v>
      </c>
    </row>
    <row r="292" spans="1:14" x14ac:dyDescent="0.25">
      <c r="A292">
        <v>2020</v>
      </c>
      <c r="B292">
        <v>196</v>
      </c>
      <c r="C292" t="s">
        <v>79</v>
      </c>
      <c r="D292">
        <v>13</v>
      </c>
      <c r="E292" s="4">
        <v>0.21895199999999998</v>
      </c>
      <c r="F292" s="4">
        <v>0.19890449999999998</v>
      </c>
      <c r="G292" s="4">
        <v>0.21672450000000001</v>
      </c>
      <c r="H292" s="4">
        <v>0.24122700000000002</v>
      </c>
      <c r="I292" s="4">
        <v>0.25236449999999999</v>
      </c>
      <c r="J292" s="4">
        <v>0.23454450000000002</v>
      </c>
      <c r="K292" s="4">
        <v>0.18776700000000002</v>
      </c>
      <c r="L292" s="4">
        <v>0.16103699999999999</v>
      </c>
      <c r="M292" s="4">
        <v>0.17662950000000002</v>
      </c>
      <c r="N292" s="4">
        <v>0.18331200000000003</v>
      </c>
    </row>
    <row r="293" spans="1:14" x14ac:dyDescent="0.25">
      <c r="A293">
        <v>2020</v>
      </c>
      <c r="B293">
        <v>196</v>
      </c>
      <c r="C293" t="s">
        <v>79</v>
      </c>
      <c r="D293">
        <v>14</v>
      </c>
      <c r="E293" s="4">
        <v>0.25681949999999998</v>
      </c>
      <c r="F293" s="4">
        <v>0.25236449999999999</v>
      </c>
      <c r="G293" s="4">
        <v>0.25681949999999998</v>
      </c>
      <c r="H293" s="4">
        <v>0.24790949999999998</v>
      </c>
      <c r="I293" s="4">
        <v>0.21895199999999998</v>
      </c>
      <c r="J293" s="4">
        <v>0.2122695</v>
      </c>
      <c r="K293" s="4">
        <v>0.22563449999999999</v>
      </c>
      <c r="L293" s="4">
        <v>0.18331200000000003</v>
      </c>
      <c r="M293" s="4">
        <v>0.165492</v>
      </c>
      <c r="N293" s="4">
        <v>0.1686105</v>
      </c>
    </row>
    <row r="294" spans="1:14" x14ac:dyDescent="0.25">
      <c r="A294">
        <v>2020</v>
      </c>
      <c r="B294">
        <v>196</v>
      </c>
      <c r="C294" t="s">
        <v>79</v>
      </c>
      <c r="D294">
        <v>21</v>
      </c>
      <c r="E294" s="4">
        <v>0.267957</v>
      </c>
      <c r="F294" s="4">
        <v>0.23677200000000004</v>
      </c>
      <c r="G294" s="4">
        <v>0.25013699999999994</v>
      </c>
      <c r="H294" s="4">
        <v>0.24568199999999998</v>
      </c>
      <c r="I294" s="4">
        <v>0.24345450000000002</v>
      </c>
      <c r="J294" s="4">
        <v>0.24790949999999998</v>
      </c>
      <c r="K294" s="4">
        <v>0.19890449999999998</v>
      </c>
      <c r="L294" s="4">
        <v>0.21004199999999998</v>
      </c>
      <c r="M294" s="4">
        <v>0.1855395</v>
      </c>
      <c r="N294" s="4">
        <v>0.20781450000000004</v>
      </c>
    </row>
    <row r="295" spans="1:14" x14ac:dyDescent="0.25">
      <c r="A295">
        <v>2020</v>
      </c>
      <c r="B295">
        <v>196</v>
      </c>
      <c r="C295" t="s">
        <v>79</v>
      </c>
      <c r="D295">
        <v>22</v>
      </c>
      <c r="E295" s="4">
        <v>0.25904699999999997</v>
      </c>
      <c r="F295" s="4">
        <v>0.24345450000000002</v>
      </c>
      <c r="G295" s="4">
        <v>0.2389995</v>
      </c>
      <c r="H295" s="4">
        <v>0.24790949999999998</v>
      </c>
      <c r="I295" s="4">
        <v>0.232317</v>
      </c>
      <c r="J295" s="4">
        <v>0.17662950000000002</v>
      </c>
      <c r="K295" s="4">
        <v>0.13207950000000002</v>
      </c>
      <c r="L295" s="4">
        <v>0.17885699999999999</v>
      </c>
      <c r="M295" s="4">
        <v>0.18331200000000003</v>
      </c>
      <c r="N295" s="4">
        <v>0.19311300000000003</v>
      </c>
    </row>
    <row r="296" spans="1:14" x14ac:dyDescent="0.25">
      <c r="A296">
        <v>2020</v>
      </c>
      <c r="B296">
        <v>196</v>
      </c>
      <c r="C296" t="s">
        <v>79</v>
      </c>
      <c r="D296">
        <v>23</v>
      </c>
      <c r="E296" s="4">
        <v>0.24122700000000002</v>
      </c>
      <c r="F296" s="4">
        <v>0.23008950000000003</v>
      </c>
      <c r="G296" s="4">
        <v>0.26350199999999996</v>
      </c>
      <c r="H296" s="4">
        <v>0.27463949999999998</v>
      </c>
      <c r="I296" s="4">
        <v>0.24568199999999998</v>
      </c>
      <c r="J296" s="4">
        <v>0.17217450000000001</v>
      </c>
      <c r="K296" s="4">
        <v>0.16326450000000001</v>
      </c>
      <c r="L296" s="4">
        <v>0.15880949999999999</v>
      </c>
      <c r="M296" s="4">
        <v>0.16994700000000001</v>
      </c>
      <c r="N296" s="4">
        <v>0.17106074999999998</v>
      </c>
    </row>
    <row r="297" spans="1:14" x14ac:dyDescent="0.25">
      <c r="A297">
        <v>2020</v>
      </c>
      <c r="B297">
        <v>196</v>
      </c>
      <c r="C297" t="s">
        <v>79</v>
      </c>
      <c r="D297">
        <v>24</v>
      </c>
      <c r="E297" s="4">
        <v>0.16994700000000001</v>
      </c>
      <c r="F297" s="4">
        <v>0.1365345</v>
      </c>
      <c r="G297" s="4">
        <v>0.12316949999999999</v>
      </c>
      <c r="H297" s="4">
        <v>0.11871450000000003</v>
      </c>
      <c r="I297" s="4">
        <v>0.10312200000000001</v>
      </c>
      <c r="J297" s="4">
        <v>8.3074499999999996E-2</v>
      </c>
      <c r="K297" s="4">
        <v>8.0847000000000016E-2</v>
      </c>
      <c r="L297" s="4">
        <v>0.10312200000000001</v>
      </c>
      <c r="M297" s="4">
        <v>0.14098950000000002</v>
      </c>
      <c r="N297" s="4">
        <v>0.18086175000000002</v>
      </c>
    </row>
    <row r="298" spans="1:14" x14ac:dyDescent="0.25">
      <c r="A298">
        <v>2020</v>
      </c>
      <c r="B298">
        <v>196</v>
      </c>
      <c r="C298" t="s">
        <v>79</v>
      </c>
      <c r="D298">
        <v>31</v>
      </c>
      <c r="E298" s="4">
        <v>0.27463949999999998</v>
      </c>
      <c r="F298" s="4">
        <v>0.25904699999999997</v>
      </c>
      <c r="G298" s="4">
        <v>0.25681949999999998</v>
      </c>
      <c r="H298" s="4">
        <v>0.26572949999999995</v>
      </c>
      <c r="I298" s="4">
        <v>0.26350199999999996</v>
      </c>
      <c r="J298" s="4">
        <v>0.22340700000000002</v>
      </c>
      <c r="K298" s="4">
        <v>0.16326450000000001</v>
      </c>
      <c r="L298" s="4">
        <v>0.147672</v>
      </c>
      <c r="M298" s="4">
        <v>0.15212699999999998</v>
      </c>
      <c r="N298" s="4">
        <v>0.16616025000000004</v>
      </c>
    </row>
    <row r="299" spans="1:14" x14ac:dyDescent="0.25">
      <c r="A299">
        <v>2020</v>
      </c>
      <c r="B299">
        <v>196</v>
      </c>
      <c r="C299" t="s">
        <v>79</v>
      </c>
      <c r="D299">
        <v>32</v>
      </c>
      <c r="E299" s="4">
        <v>0.1944495</v>
      </c>
      <c r="F299" s="4">
        <v>0.18108450000000001</v>
      </c>
      <c r="G299" s="4">
        <v>0.16103699999999999</v>
      </c>
      <c r="H299" s="4">
        <v>0.1454445</v>
      </c>
      <c r="I299" s="4">
        <v>0.1365345</v>
      </c>
      <c r="J299" s="4">
        <v>0.12539700000000001</v>
      </c>
      <c r="K299" s="4">
        <v>0.13430700000000001</v>
      </c>
      <c r="L299" s="4">
        <v>0.16994700000000001</v>
      </c>
      <c r="M299" s="4">
        <v>0.174402</v>
      </c>
      <c r="N299" s="4">
        <v>0.18331200000000003</v>
      </c>
    </row>
    <row r="300" spans="1:14" x14ac:dyDescent="0.25">
      <c r="A300">
        <v>2020</v>
      </c>
      <c r="B300">
        <v>196</v>
      </c>
      <c r="C300" t="s">
        <v>79</v>
      </c>
      <c r="D300">
        <v>33</v>
      </c>
      <c r="E300" s="4">
        <v>0.18999449999999996</v>
      </c>
      <c r="F300" s="4">
        <v>0.18776700000000002</v>
      </c>
      <c r="G300" s="4">
        <v>0.232317</v>
      </c>
      <c r="H300" s="4">
        <v>0.25459199999999998</v>
      </c>
      <c r="I300" s="4">
        <v>0.23454450000000002</v>
      </c>
      <c r="J300" s="4">
        <v>0.21672450000000001</v>
      </c>
      <c r="K300" s="4">
        <v>0.22340700000000002</v>
      </c>
      <c r="L300" s="4">
        <v>0.1944495</v>
      </c>
      <c r="M300" s="4">
        <v>0.18108450000000001</v>
      </c>
      <c r="N300" s="4">
        <v>0.18576225000000005</v>
      </c>
    </row>
    <row r="301" spans="1:14" x14ac:dyDescent="0.25">
      <c r="A301">
        <v>2020</v>
      </c>
      <c r="B301">
        <v>196</v>
      </c>
      <c r="C301" t="s">
        <v>79</v>
      </c>
      <c r="D301">
        <v>34</v>
      </c>
      <c r="E301" s="4">
        <v>0.156582</v>
      </c>
      <c r="F301" s="4">
        <v>0.16994700000000001</v>
      </c>
      <c r="G301" s="4">
        <v>0.22340700000000002</v>
      </c>
      <c r="H301" s="4">
        <v>0.24345450000000002</v>
      </c>
      <c r="I301" s="4">
        <v>0.25236449999999999</v>
      </c>
      <c r="J301" s="4">
        <v>0.24568199999999998</v>
      </c>
      <c r="K301" s="4">
        <v>0.24122700000000002</v>
      </c>
      <c r="L301" s="4">
        <v>0.19222199999999998</v>
      </c>
      <c r="M301" s="4">
        <v>0.147672</v>
      </c>
      <c r="N301" s="4">
        <v>0.16125975000000004</v>
      </c>
    </row>
    <row r="302" spans="1:14" x14ac:dyDescent="0.25">
      <c r="A302">
        <v>2020</v>
      </c>
      <c r="B302">
        <v>196</v>
      </c>
      <c r="C302" t="s">
        <v>79</v>
      </c>
      <c r="D302">
        <v>41</v>
      </c>
      <c r="E302" s="4">
        <v>0.21449699999999999</v>
      </c>
      <c r="F302" s="4">
        <v>0.23008950000000003</v>
      </c>
      <c r="G302" s="4">
        <v>0.28354950000000001</v>
      </c>
      <c r="H302" s="4">
        <v>0.26572949999999995</v>
      </c>
      <c r="I302" s="4">
        <v>0.27686699999999997</v>
      </c>
      <c r="J302" s="4">
        <v>0.27241199999999993</v>
      </c>
      <c r="K302" s="4">
        <v>0.1944495</v>
      </c>
      <c r="L302" s="4">
        <v>0.165492</v>
      </c>
      <c r="M302" s="4">
        <v>0.17217450000000001</v>
      </c>
      <c r="N302" s="4">
        <v>0.18576225000000005</v>
      </c>
    </row>
    <row r="303" spans="1:14" x14ac:dyDescent="0.25">
      <c r="A303">
        <v>2020</v>
      </c>
      <c r="B303">
        <v>196</v>
      </c>
      <c r="C303" t="s">
        <v>79</v>
      </c>
      <c r="D303">
        <v>42</v>
      </c>
      <c r="E303" s="4">
        <v>0.22340700000000002</v>
      </c>
      <c r="F303" s="4">
        <v>0.21895199999999998</v>
      </c>
      <c r="G303" s="4">
        <v>0.24568199999999998</v>
      </c>
      <c r="H303" s="4">
        <v>0.2389995</v>
      </c>
      <c r="I303" s="4">
        <v>0.26350199999999996</v>
      </c>
      <c r="J303" s="4">
        <v>0.20558699999999999</v>
      </c>
      <c r="K303" s="4">
        <v>0.156582</v>
      </c>
      <c r="L303" s="4">
        <v>0.14989949999999999</v>
      </c>
      <c r="M303" s="4">
        <v>0.17662950000000002</v>
      </c>
      <c r="N303" s="4">
        <v>0.18331200000000003</v>
      </c>
    </row>
    <row r="304" spans="1:14" x14ac:dyDescent="0.25">
      <c r="A304">
        <v>2020</v>
      </c>
      <c r="B304">
        <v>196</v>
      </c>
      <c r="C304" t="s">
        <v>79</v>
      </c>
      <c r="D304">
        <v>43</v>
      </c>
      <c r="E304" s="4">
        <v>0.232317</v>
      </c>
      <c r="F304" s="4">
        <v>0.21895199999999998</v>
      </c>
      <c r="G304" s="4">
        <v>0.24345450000000002</v>
      </c>
      <c r="H304" s="4">
        <v>0.20558699999999999</v>
      </c>
      <c r="I304" s="4">
        <v>0.21895199999999998</v>
      </c>
      <c r="J304" s="4">
        <v>0.2122695</v>
      </c>
      <c r="K304" s="4">
        <v>0.21672450000000001</v>
      </c>
      <c r="L304" s="4">
        <v>0.165492</v>
      </c>
      <c r="M304" s="4">
        <v>0.1454445</v>
      </c>
      <c r="N304" s="4">
        <v>0.16616025000000004</v>
      </c>
    </row>
    <row r="305" spans="1:14" x14ac:dyDescent="0.25">
      <c r="A305">
        <v>2020</v>
      </c>
      <c r="B305">
        <v>196</v>
      </c>
      <c r="C305" t="s">
        <v>79</v>
      </c>
      <c r="D305">
        <v>44</v>
      </c>
      <c r="E305" s="4">
        <v>0.17885699999999999</v>
      </c>
      <c r="F305" s="4">
        <v>0.18776700000000002</v>
      </c>
      <c r="G305" s="4">
        <v>0.25904699999999997</v>
      </c>
      <c r="H305" s="4">
        <v>0.24568199999999998</v>
      </c>
      <c r="I305" s="4">
        <v>0.26572949999999995</v>
      </c>
      <c r="J305" s="4">
        <v>0.24568199999999998</v>
      </c>
      <c r="K305" s="4">
        <v>0.24122700000000002</v>
      </c>
      <c r="L305" s="4">
        <v>0.16771949999999999</v>
      </c>
      <c r="M305" s="4">
        <v>0.129852</v>
      </c>
      <c r="N305" s="4">
        <v>0.15390900000000002</v>
      </c>
    </row>
    <row r="306" spans="1:14" x14ac:dyDescent="0.25">
      <c r="A306">
        <v>2020</v>
      </c>
      <c r="B306">
        <v>196</v>
      </c>
      <c r="C306" t="s">
        <v>79</v>
      </c>
      <c r="D306">
        <v>51</v>
      </c>
      <c r="E306" s="4">
        <v>0.27686699999999997</v>
      </c>
      <c r="F306" s="4">
        <v>0.26350199999999996</v>
      </c>
      <c r="G306" s="4">
        <v>0.26572949999999995</v>
      </c>
      <c r="H306" s="4">
        <v>0.26572949999999995</v>
      </c>
      <c r="I306" s="4">
        <v>0.23677200000000004</v>
      </c>
      <c r="J306" s="4">
        <v>0.22786200000000001</v>
      </c>
      <c r="K306" s="4">
        <v>0.19222199999999998</v>
      </c>
      <c r="L306" s="4">
        <v>0.18108450000000001</v>
      </c>
      <c r="M306" s="4">
        <v>0.19222199999999998</v>
      </c>
      <c r="N306" s="4">
        <v>0.21271500000000004</v>
      </c>
    </row>
    <row r="307" spans="1:14" x14ac:dyDescent="0.25">
      <c r="A307">
        <v>2020</v>
      </c>
      <c r="B307">
        <v>196</v>
      </c>
      <c r="C307" t="s">
        <v>79</v>
      </c>
      <c r="D307">
        <v>52</v>
      </c>
      <c r="E307" s="4">
        <v>0.25459199999999998</v>
      </c>
      <c r="F307" s="4">
        <v>0.24345450000000002</v>
      </c>
      <c r="G307" s="4">
        <v>0.27463949999999998</v>
      </c>
      <c r="H307" s="4">
        <v>0.28132200000000002</v>
      </c>
      <c r="I307" s="4">
        <v>0.28354950000000001</v>
      </c>
      <c r="J307" s="4">
        <v>0.25904699999999997</v>
      </c>
      <c r="K307" s="4">
        <v>0.24122700000000002</v>
      </c>
      <c r="L307" s="4">
        <v>0.174402</v>
      </c>
      <c r="M307" s="4">
        <v>0.16771949999999999</v>
      </c>
      <c r="N307" s="4">
        <v>0.18576225000000005</v>
      </c>
    </row>
    <row r="308" spans="1:14" x14ac:dyDescent="0.25">
      <c r="A308">
        <v>2020</v>
      </c>
      <c r="B308">
        <v>196</v>
      </c>
      <c r="C308" t="s">
        <v>79</v>
      </c>
      <c r="D308">
        <v>53</v>
      </c>
      <c r="E308" s="4">
        <v>0.25013699999999994</v>
      </c>
      <c r="F308" s="4">
        <v>0.23677200000000004</v>
      </c>
      <c r="G308" s="4">
        <v>0.26572949999999995</v>
      </c>
      <c r="H308" s="4">
        <v>0.28132200000000002</v>
      </c>
      <c r="I308" s="4">
        <v>0.27241199999999993</v>
      </c>
      <c r="J308" s="4">
        <v>0.26127450000000002</v>
      </c>
      <c r="K308" s="4">
        <v>0.232317</v>
      </c>
      <c r="L308" s="4">
        <v>0.14098950000000002</v>
      </c>
      <c r="M308" s="4">
        <v>0.1365345</v>
      </c>
      <c r="N308" s="4">
        <v>0.14410800000000001</v>
      </c>
    </row>
    <row r="309" spans="1:14" x14ac:dyDescent="0.25">
      <c r="A309">
        <v>2020</v>
      </c>
      <c r="B309">
        <v>196</v>
      </c>
      <c r="C309" t="s">
        <v>79</v>
      </c>
      <c r="D309">
        <v>54</v>
      </c>
      <c r="E309" s="4">
        <v>0.24568199999999998</v>
      </c>
      <c r="F309" s="4">
        <v>0.2389995</v>
      </c>
      <c r="G309" s="4">
        <v>0.232317</v>
      </c>
      <c r="H309" s="4">
        <v>0.26350199999999996</v>
      </c>
      <c r="I309" s="4">
        <v>0.27463949999999998</v>
      </c>
      <c r="J309" s="4">
        <v>0.267957</v>
      </c>
      <c r="K309" s="4">
        <v>0.23008950000000003</v>
      </c>
      <c r="L309" s="4">
        <v>0.16994700000000001</v>
      </c>
      <c r="M309" s="4">
        <v>0.13207950000000002</v>
      </c>
      <c r="N309" s="4">
        <v>0.18331200000000003</v>
      </c>
    </row>
    <row r="310" spans="1:14" x14ac:dyDescent="0.25">
      <c r="A310">
        <v>2020</v>
      </c>
      <c r="B310">
        <v>196</v>
      </c>
      <c r="C310" t="s">
        <v>79</v>
      </c>
      <c r="D310">
        <v>61</v>
      </c>
      <c r="E310" s="4">
        <v>0.21004199999999998</v>
      </c>
      <c r="F310" s="4">
        <v>0.16994700000000001</v>
      </c>
      <c r="G310" s="4">
        <v>0.18108450000000001</v>
      </c>
      <c r="H310" s="4">
        <v>0.2122695</v>
      </c>
      <c r="I310" s="4">
        <v>0.22340700000000002</v>
      </c>
      <c r="J310" s="4">
        <v>0.19222199999999998</v>
      </c>
      <c r="K310" s="4">
        <v>0.18331200000000003</v>
      </c>
      <c r="L310" s="4">
        <v>0.17217450000000001</v>
      </c>
      <c r="M310" s="4">
        <v>0.16994700000000001</v>
      </c>
      <c r="N310" s="4">
        <v>0.17106074999999998</v>
      </c>
    </row>
    <row r="311" spans="1:14" x14ac:dyDescent="0.25">
      <c r="A311">
        <v>2020</v>
      </c>
      <c r="B311">
        <v>196</v>
      </c>
      <c r="C311" t="s">
        <v>79</v>
      </c>
      <c r="D311">
        <v>62</v>
      </c>
      <c r="E311" s="4">
        <v>0.232317</v>
      </c>
      <c r="F311" s="4">
        <v>0.24568199999999998</v>
      </c>
      <c r="G311" s="4">
        <v>0.25681949999999998</v>
      </c>
      <c r="H311" s="4">
        <v>0.20558699999999999</v>
      </c>
      <c r="I311" s="4">
        <v>0.21004199999999998</v>
      </c>
      <c r="J311" s="4">
        <v>0.23008950000000003</v>
      </c>
      <c r="K311" s="4">
        <v>0.15212699999999998</v>
      </c>
      <c r="L311" s="4">
        <v>0.147672</v>
      </c>
      <c r="M311" s="4">
        <v>0.17662950000000002</v>
      </c>
      <c r="N311" s="4">
        <v>0.19556325000000005</v>
      </c>
    </row>
    <row r="312" spans="1:14" x14ac:dyDescent="0.25">
      <c r="A312">
        <v>2020</v>
      </c>
      <c r="B312">
        <v>196</v>
      </c>
      <c r="C312" t="s">
        <v>79</v>
      </c>
      <c r="D312">
        <v>63</v>
      </c>
      <c r="E312" s="4">
        <v>0.267957</v>
      </c>
      <c r="F312" s="4">
        <v>0.23677200000000004</v>
      </c>
      <c r="G312" s="4">
        <v>0.22786200000000001</v>
      </c>
      <c r="H312" s="4">
        <v>0.21449699999999999</v>
      </c>
      <c r="I312" s="4">
        <v>0.22340700000000002</v>
      </c>
      <c r="J312" s="4">
        <v>0.22563449999999999</v>
      </c>
      <c r="K312" s="4">
        <v>0.174402</v>
      </c>
      <c r="L312" s="4">
        <v>0.14321700000000001</v>
      </c>
      <c r="M312" s="4">
        <v>0.14321700000000001</v>
      </c>
      <c r="N312" s="4">
        <v>0.1686105</v>
      </c>
    </row>
    <row r="313" spans="1:14" x14ac:dyDescent="0.25">
      <c r="A313">
        <v>2020</v>
      </c>
      <c r="B313">
        <v>196</v>
      </c>
      <c r="C313" t="s">
        <v>79</v>
      </c>
      <c r="D313">
        <v>64</v>
      </c>
      <c r="E313" s="4">
        <v>0.267957</v>
      </c>
      <c r="F313" s="4">
        <v>0.25681949999999998</v>
      </c>
      <c r="G313" s="4">
        <v>0.21895199999999998</v>
      </c>
      <c r="H313" s="4">
        <v>0.23454450000000002</v>
      </c>
      <c r="I313" s="4">
        <v>0.25681949999999998</v>
      </c>
      <c r="J313" s="4">
        <v>0.2389995</v>
      </c>
      <c r="K313" s="4">
        <v>0.1944495</v>
      </c>
      <c r="L313" s="4">
        <v>0.12539700000000001</v>
      </c>
      <c r="M313" s="4">
        <v>0.12316949999999999</v>
      </c>
      <c r="N313" s="4">
        <v>0.17351100000000003</v>
      </c>
    </row>
    <row r="314" spans="1:14" x14ac:dyDescent="0.25">
      <c r="A314">
        <v>2020</v>
      </c>
      <c r="B314">
        <v>202</v>
      </c>
      <c r="C314" t="s">
        <v>79</v>
      </c>
      <c r="D314">
        <v>11</v>
      </c>
      <c r="E314" s="4">
        <v>0.17662950000000002</v>
      </c>
      <c r="F314" s="4">
        <v>0.18999449999999996</v>
      </c>
      <c r="G314" s="4">
        <v>0.21449699999999999</v>
      </c>
      <c r="H314" s="4">
        <v>0.25681949999999998</v>
      </c>
      <c r="I314" s="4">
        <v>0.21895199999999998</v>
      </c>
      <c r="J314" s="4">
        <v>0.22340700000000002</v>
      </c>
      <c r="K314" s="4">
        <v>0.21449699999999999</v>
      </c>
      <c r="L314" s="4">
        <v>0.22563449999999999</v>
      </c>
      <c r="M314" s="4">
        <v>0.23454450000000002</v>
      </c>
      <c r="N314" s="4">
        <v>0.23966774999999998</v>
      </c>
    </row>
    <row r="315" spans="1:14" x14ac:dyDescent="0.25">
      <c r="A315">
        <v>2020</v>
      </c>
      <c r="B315">
        <v>202</v>
      </c>
      <c r="C315" t="s">
        <v>79</v>
      </c>
      <c r="D315">
        <v>12</v>
      </c>
      <c r="E315" s="4">
        <v>0.232317</v>
      </c>
      <c r="F315" s="4">
        <v>0.2389995</v>
      </c>
      <c r="G315" s="4">
        <v>0.19890449999999998</v>
      </c>
      <c r="H315" s="4">
        <v>0.1944495</v>
      </c>
      <c r="I315" s="4">
        <v>0.174402</v>
      </c>
      <c r="J315" s="4">
        <v>0.17662950000000002</v>
      </c>
      <c r="K315" s="4">
        <v>0.15880949999999999</v>
      </c>
      <c r="L315" s="4">
        <v>0.19890449999999998</v>
      </c>
      <c r="M315" s="4">
        <v>0.16994700000000001</v>
      </c>
      <c r="N315" s="4">
        <v>0.13920750000000001</v>
      </c>
    </row>
    <row r="316" spans="1:14" x14ac:dyDescent="0.25">
      <c r="A316">
        <v>2020</v>
      </c>
      <c r="B316">
        <v>202</v>
      </c>
      <c r="C316" t="s">
        <v>79</v>
      </c>
      <c r="D316">
        <v>13</v>
      </c>
      <c r="E316" s="4">
        <v>0.21004199999999998</v>
      </c>
      <c r="F316" s="4">
        <v>0.20113199999999998</v>
      </c>
      <c r="G316" s="4">
        <v>0.2122695</v>
      </c>
      <c r="H316" s="4">
        <v>0.2389995</v>
      </c>
      <c r="I316" s="4">
        <v>0.24790949999999998</v>
      </c>
      <c r="J316" s="4">
        <v>0.22786200000000001</v>
      </c>
      <c r="K316" s="4">
        <v>0.18108450000000001</v>
      </c>
      <c r="L316" s="4">
        <v>0.17885699999999999</v>
      </c>
      <c r="M316" s="4">
        <v>0.2122695</v>
      </c>
      <c r="N316" s="4">
        <v>0.22741649999999999</v>
      </c>
    </row>
    <row r="317" spans="1:14" x14ac:dyDescent="0.25">
      <c r="A317">
        <v>2020</v>
      </c>
      <c r="B317">
        <v>202</v>
      </c>
      <c r="C317" t="s">
        <v>79</v>
      </c>
      <c r="D317">
        <v>14</v>
      </c>
      <c r="E317" s="4">
        <v>0.25236449999999999</v>
      </c>
      <c r="F317" s="4">
        <v>0.24790949999999998</v>
      </c>
      <c r="G317" s="4">
        <v>0.25681949999999998</v>
      </c>
      <c r="H317" s="4">
        <v>0.25236449999999999</v>
      </c>
      <c r="I317" s="4">
        <v>0.21895199999999998</v>
      </c>
      <c r="J317" s="4">
        <v>0.20781449999999999</v>
      </c>
      <c r="K317" s="4">
        <v>0.20558699999999999</v>
      </c>
      <c r="L317" s="4">
        <v>0.18776700000000002</v>
      </c>
      <c r="M317" s="4">
        <v>0.19667699999999996</v>
      </c>
      <c r="N317" s="4">
        <v>0.21271500000000004</v>
      </c>
    </row>
    <row r="318" spans="1:14" x14ac:dyDescent="0.25">
      <c r="A318">
        <v>2020</v>
      </c>
      <c r="B318">
        <v>202</v>
      </c>
      <c r="C318" t="s">
        <v>79</v>
      </c>
      <c r="D318">
        <v>21</v>
      </c>
      <c r="E318" s="4">
        <v>0.26350199999999996</v>
      </c>
      <c r="F318" s="4">
        <v>0.23454450000000002</v>
      </c>
      <c r="G318" s="4">
        <v>0.24790949999999998</v>
      </c>
      <c r="H318" s="4">
        <v>0.2389995</v>
      </c>
      <c r="I318" s="4">
        <v>0.24122700000000002</v>
      </c>
      <c r="J318" s="4">
        <v>0.24122700000000002</v>
      </c>
      <c r="K318" s="4">
        <v>0.19222199999999998</v>
      </c>
      <c r="L318" s="4">
        <v>0.21004199999999998</v>
      </c>
      <c r="M318" s="4">
        <v>0.20113199999999998</v>
      </c>
      <c r="N318" s="4">
        <v>0.22741649999999999</v>
      </c>
    </row>
    <row r="319" spans="1:14" x14ac:dyDescent="0.25">
      <c r="A319">
        <v>2020</v>
      </c>
      <c r="B319">
        <v>202</v>
      </c>
      <c r="C319" t="s">
        <v>79</v>
      </c>
      <c r="D319">
        <v>22</v>
      </c>
      <c r="E319" s="4">
        <v>0.25013699999999994</v>
      </c>
      <c r="F319" s="4">
        <v>0.2389995</v>
      </c>
      <c r="G319" s="4">
        <v>0.23677200000000004</v>
      </c>
      <c r="H319" s="4">
        <v>0.24122700000000002</v>
      </c>
      <c r="I319" s="4">
        <v>0.22563449999999999</v>
      </c>
      <c r="J319" s="4">
        <v>0.16994700000000001</v>
      </c>
      <c r="K319" s="4">
        <v>0.12316949999999999</v>
      </c>
      <c r="L319" s="4">
        <v>0.17217450000000001</v>
      </c>
      <c r="M319" s="4">
        <v>0.17885699999999999</v>
      </c>
      <c r="N319" s="4">
        <v>0.20046375000000005</v>
      </c>
    </row>
    <row r="320" spans="1:14" x14ac:dyDescent="0.25">
      <c r="A320">
        <v>2020</v>
      </c>
      <c r="B320">
        <v>202</v>
      </c>
      <c r="C320" t="s">
        <v>79</v>
      </c>
      <c r="D320">
        <v>23</v>
      </c>
      <c r="E320" s="4">
        <v>0.2389995</v>
      </c>
      <c r="F320" s="4">
        <v>0.232317</v>
      </c>
      <c r="G320" s="4">
        <v>0.26127450000000002</v>
      </c>
      <c r="H320" s="4">
        <v>0.27241199999999993</v>
      </c>
      <c r="I320" s="4">
        <v>0.232317</v>
      </c>
      <c r="J320" s="4">
        <v>0.16994700000000001</v>
      </c>
      <c r="K320" s="4">
        <v>0.15435450000000001</v>
      </c>
      <c r="L320" s="4">
        <v>0.156582</v>
      </c>
      <c r="M320" s="4">
        <v>0.17217450000000001</v>
      </c>
      <c r="N320" s="4">
        <v>0.17596124999999996</v>
      </c>
    </row>
    <row r="321" spans="1:14" x14ac:dyDescent="0.25">
      <c r="A321">
        <v>2020</v>
      </c>
      <c r="B321">
        <v>202</v>
      </c>
      <c r="C321" t="s">
        <v>79</v>
      </c>
      <c r="D321">
        <v>24</v>
      </c>
      <c r="E321" s="4">
        <v>0.156582</v>
      </c>
      <c r="F321" s="4">
        <v>0.129852</v>
      </c>
      <c r="G321" s="4">
        <v>0.12094200000000001</v>
      </c>
      <c r="H321" s="4">
        <v>0.10757699999999999</v>
      </c>
      <c r="I321" s="4">
        <v>8.9757000000000003E-2</v>
      </c>
      <c r="J321" s="4">
        <v>7.6392000000000002E-2</v>
      </c>
      <c r="K321" s="4">
        <v>8.0847000000000016E-2</v>
      </c>
      <c r="L321" s="4">
        <v>9.8666999999999977E-2</v>
      </c>
      <c r="M321" s="4">
        <v>0.13430700000000001</v>
      </c>
      <c r="N321" s="4">
        <v>0.20291400000000004</v>
      </c>
    </row>
    <row r="322" spans="1:14" x14ac:dyDescent="0.25">
      <c r="A322">
        <v>2020</v>
      </c>
      <c r="B322">
        <v>202</v>
      </c>
      <c r="C322" t="s">
        <v>79</v>
      </c>
      <c r="D322">
        <v>31</v>
      </c>
      <c r="E322" s="4">
        <v>0.27463949999999998</v>
      </c>
      <c r="F322" s="4">
        <v>0.25236449999999999</v>
      </c>
      <c r="G322" s="4">
        <v>0.25459199999999998</v>
      </c>
      <c r="H322" s="4">
        <v>0.25904699999999997</v>
      </c>
      <c r="I322" s="4">
        <v>0.25459199999999998</v>
      </c>
      <c r="J322" s="4">
        <v>0.22563449999999999</v>
      </c>
      <c r="K322" s="4">
        <v>0.165492</v>
      </c>
      <c r="L322" s="4">
        <v>0.17885699999999999</v>
      </c>
      <c r="M322" s="4">
        <v>0.20335949999999997</v>
      </c>
      <c r="N322" s="4">
        <v>0.22496624999999998</v>
      </c>
    </row>
    <row r="323" spans="1:14" x14ac:dyDescent="0.25">
      <c r="A323">
        <v>2020</v>
      </c>
      <c r="B323">
        <v>202</v>
      </c>
      <c r="C323" t="s">
        <v>79</v>
      </c>
      <c r="D323">
        <v>32</v>
      </c>
      <c r="E323" s="4">
        <v>0.18776700000000002</v>
      </c>
      <c r="F323" s="4">
        <v>0.174402</v>
      </c>
      <c r="G323" s="4">
        <v>0.15435450000000001</v>
      </c>
      <c r="H323" s="4">
        <v>0.14321700000000001</v>
      </c>
      <c r="I323" s="4">
        <v>0.13207950000000002</v>
      </c>
      <c r="J323" s="4">
        <v>0.11648700000000002</v>
      </c>
      <c r="K323" s="4">
        <v>0.12316949999999999</v>
      </c>
      <c r="L323" s="4">
        <v>0.16771949999999999</v>
      </c>
      <c r="M323" s="4">
        <v>0.16771949999999999</v>
      </c>
      <c r="N323" s="4">
        <v>0.21026475000000006</v>
      </c>
    </row>
    <row r="324" spans="1:14" x14ac:dyDescent="0.25">
      <c r="A324">
        <v>2020</v>
      </c>
      <c r="B324">
        <v>202</v>
      </c>
      <c r="C324" t="s">
        <v>79</v>
      </c>
      <c r="D324">
        <v>33</v>
      </c>
      <c r="E324" s="4">
        <v>0.17885699999999999</v>
      </c>
      <c r="F324" s="4">
        <v>0.18108450000000001</v>
      </c>
      <c r="G324" s="4">
        <v>0.23677200000000004</v>
      </c>
      <c r="H324" s="4">
        <v>0.25236449999999999</v>
      </c>
      <c r="I324" s="4">
        <v>0.23677200000000004</v>
      </c>
      <c r="J324" s="4">
        <v>0.21004199999999998</v>
      </c>
      <c r="K324" s="4">
        <v>0.22340700000000002</v>
      </c>
      <c r="L324" s="4">
        <v>0.20781449999999999</v>
      </c>
      <c r="M324" s="4">
        <v>0.22563449999999999</v>
      </c>
      <c r="N324" s="4">
        <v>0.23966774999999998</v>
      </c>
    </row>
    <row r="325" spans="1:14" x14ac:dyDescent="0.25">
      <c r="A325">
        <v>2020</v>
      </c>
      <c r="B325">
        <v>202</v>
      </c>
      <c r="C325" t="s">
        <v>79</v>
      </c>
      <c r="D325">
        <v>34</v>
      </c>
      <c r="E325" s="4">
        <v>0.15435450000000001</v>
      </c>
      <c r="F325" s="4">
        <v>0.165492</v>
      </c>
      <c r="G325" s="4">
        <v>0.21672450000000001</v>
      </c>
      <c r="H325" s="4">
        <v>0.23677200000000004</v>
      </c>
      <c r="I325" s="4">
        <v>0.24345450000000002</v>
      </c>
      <c r="J325" s="4">
        <v>0.24790949999999998</v>
      </c>
      <c r="K325" s="4">
        <v>0.2211795</v>
      </c>
      <c r="L325" s="4">
        <v>0.18999449999999996</v>
      </c>
      <c r="M325" s="4">
        <v>0.15880949999999999</v>
      </c>
      <c r="N325" s="4">
        <v>0.17351100000000003</v>
      </c>
    </row>
    <row r="326" spans="1:14" x14ac:dyDescent="0.25">
      <c r="A326">
        <v>2020</v>
      </c>
      <c r="B326">
        <v>202</v>
      </c>
      <c r="C326" t="s">
        <v>79</v>
      </c>
      <c r="D326">
        <v>41</v>
      </c>
      <c r="E326" s="4">
        <v>0.2122695</v>
      </c>
      <c r="F326" s="4">
        <v>0.23008950000000003</v>
      </c>
      <c r="G326" s="4">
        <v>0.28354950000000001</v>
      </c>
      <c r="H326" s="4">
        <v>0.26572949999999995</v>
      </c>
      <c r="I326" s="4">
        <v>0.27018449999999999</v>
      </c>
      <c r="J326" s="4">
        <v>0.27018449999999999</v>
      </c>
      <c r="K326" s="4">
        <v>0.1855395</v>
      </c>
      <c r="L326" s="4">
        <v>0.16103699999999999</v>
      </c>
      <c r="M326" s="4">
        <v>0.165492</v>
      </c>
      <c r="N326" s="4">
        <v>0.18821250000000003</v>
      </c>
    </row>
    <row r="327" spans="1:14" x14ac:dyDescent="0.25">
      <c r="A327">
        <v>2020</v>
      </c>
      <c r="B327">
        <v>202</v>
      </c>
      <c r="C327" t="s">
        <v>79</v>
      </c>
      <c r="D327">
        <v>42</v>
      </c>
      <c r="E327" s="4">
        <v>0.21449699999999999</v>
      </c>
      <c r="F327" s="4">
        <v>0.21672450000000001</v>
      </c>
      <c r="G327" s="4">
        <v>0.23677200000000004</v>
      </c>
      <c r="H327" s="4">
        <v>0.22786200000000001</v>
      </c>
      <c r="I327" s="4">
        <v>0.25904699999999997</v>
      </c>
      <c r="J327" s="4">
        <v>0.19667699999999996</v>
      </c>
      <c r="K327" s="4">
        <v>0.14321700000000001</v>
      </c>
      <c r="L327" s="4">
        <v>0.1454445</v>
      </c>
      <c r="M327" s="4">
        <v>0.165492</v>
      </c>
      <c r="N327" s="4">
        <v>0.18821250000000003</v>
      </c>
    </row>
    <row r="328" spans="1:14" x14ac:dyDescent="0.25">
      <c r="A328">
        <v>2020</v>
      </c>
      <c r="B328">
        <v>202</v>
      </c>
      <c r="C328" t="s">
        <v>79</v>
      </c>
      <c r="D328">
        <v>43</v>
      </c>
      <c r="E328" s="4">
        <v>0.22563449999999999</v>
      </c>
      <c r="F328" s="4">
        <v>0.21895199999999998</v>
      </c>
      <c r="G328" s="4">
        <v>0.24568199999999998</v>
      </c>
      <c r="H328" s="4">
        <v>0.20113199999999998</v>
      </c>
      <c r="I328" s="4">
        <v>0.2122695</v>
      </c>
      <c r="J328" s="4">
        <v>0.21004199999999998</v>
      </c>
      <c r="K328" s="4">
        <v>0.21672450000000001</v>
      </c>
      <c r="L328" s="4">
        <v>0.15212699999999998</v>
      </c>
      <c r="M328" s="4">
        <v>0.14321700000000001</v>
      </c>
      <c r="N328" s="4">
        <v>0.16371000000000005</v>
      </c>
    </row>
    <row r="329" spans="1:14" x14ac:dyDescent="0.25">
      <c r="A329">
        <v>2020</v>
      </c>
      <c r="B329">
        <v>202</v>
      </c>
      <c r="C329" t="s">
        <v>79</v>
      </c>
      <c r="D329">
        <v>44</v>
      </c>
      <c r="E329" s="4">
        <v>0.17885699999999999</v>
      </c>
      <c r="F329" s="4">
        <v>0.18776700000000002</v>
      </c>
      <c r="G329" s="4">
        <v>0.25681949999999998</v>
      </c>
      <c r="H329" s="4">
        <v>0.24790949999999998</v>
      </c>
      <c r="I329" s="4">
        <v>0.25681949999999998</v>
      </c>
      <c r="J329" s="4">
        <v>0.24345450000000002</v>
      </c>
      <c r="K329" s="4">
        <v>0.23677200000000004</v>
      </c>
      <c r="L329" s="4">
        <v>0.16326450000000001</v>
      </c>
      <c r="M329" s="4">
        <v>0.129852</v>
      </c>
      <c r="N329" s="4">
        <v>0.15635925000000001</v>
      </c>
    </row>
    <row r="330" spans="1:14" x14ac:dyDescent="0.25">
      <c r="A330">
        <v>2020</v>
      </c>
      <c r="B330">
        <v>202</v>
      </c>
      <c r="C330" t="s">
        <v>79</v>
      </c>
      <c r="D330">
        <v>51</v>
      </c>
      <c r="E330" s="4">
        <v>0.267957</v>
      </c>
      <c r="F330" s="4">
        <v>0.26127450000000002</v>
      </c>
      <c r="G330" s="4">
        <v>0.25681949999999998</v>
      </c>
      <c r="H330" s="4">
        <v>0.26572949999999995</v>
      </c>
      <c r="I330" s="4">
        <v>0.2389995</v>
      </c>
      <c r="J330" s="4">
        <v>0.21895199999999998</v>
      </c>
      <c r="K330" s="4">
        <v>0.20113199999999998</v>
      </c>
      <c r="L330" s="4">
        <v>0.21449699999999999</v>
      </c>
      <c r="M330" s="4">
        <v>0.22786200000000001</v>
      </c>
      <c r="N330" s="4">
        <v>0.2470185</v>
      </c>
    </row>
    <row r="331" spans="1:14" x14ac:dyDescent="0.25">
      <c r="A331">
        <v>2020</v>
      </c>
      <c r="B331">
        <v>202</v>
      </c>
      <c r="C331" t="s">
        <v>79</v>
      </c>
      <c r="D331">
        <v>52</v>
      </c>
      <c r="E331" s="4">
        <v>0.25459199999999998</v>
      </c>
      <c r="F331" s="4">
        <v>0.24568199999999998</v>
      </c>
      <c r="G331" s="4">
        <v>0.27018449999999999</v>
      </c>
      <c r="H331" s="4">
        <v>0.2880045</v>
      </c>
      <c r="I331" s="4">
        <v>0.29245950000000004</v>
      </c>
      <c r="J331" s="4">
        <v>0.24568199999999998</v>
      </c>
      <c r="K331" s="4">
        <v>0.23677200000000004</v>
      </c>
      <c r="L331" s="4">
        <v>0.20558699999999999</v>
      </c>
      <c r="M331" s="4">
        <v>0.1944495</v>
      </c>
      <c r="N331" s="4">
        <v>0.22496624999999998</v>
      </c>
    </row>
    <row r="332" spans="1:14" x14ac:dyDescent="0.25">
      <c r="A332">
        <v>2020</v>
      </c>
      <c r="B332">
        <v>202</v>
      </c>
      <c r="C332" t="s">
        <v>79</v>
      </c>
      <c r="D332">
        <v>53</v>
      </c>
      <c r="E332" s="4">
        <v>0.24790949999999998</v>
      </c>
      <c r="F332" s="4">
        <v>0.24568199999999998</v>
      </c>
      <c r="G332" s="4">
        <v>0.25236449999999999</v>
      </c>
      <c r="H332" s="4">
        <v>0.27909450000000002</v>
      </c>
      <c r="I332" s="4">
        <v>0.26572949999999995</v>
      </c>
      <c r="J332" s="4">
        <v>0.25236449999999999</v>
      </c>
      <c r="K332" s="4">
        <v>0.21895199999999998</v>
      </c>
      <c r="L332" s="4">
        <v>0.13430700000000001</v>
      </c>
      <c r="M332" s="4">
        <v>0.1276245</v>
      </c>
      <c r="N332" s="4">
        <v>0.14410800000000001</v>
      </c>
    </row>
    <row r="333" spans="1:14" x14ac:dyDescent="0.25">
      <c r="A333">
        <v>2020</v>
      </c>
      <c r="B333">
        <v>202</v>
      </c>
      <c r="C333" t="s">
        <v>79</v>
      </c>
      <c r="D333">
        <v>54</v>
      </c>
      <c r="E333" s="4">
        <v>0.23677200000000004</v>
      </c>
      <c r="F333" s="4">
        <v>0.2389995</v>
      </c>
      <c r="G333" s="4">
        <v>0.23008950000000003</v>
      </c>
      <c r="H333" s="4">
        <v>0.26572949999999995</v>
      </c>
      <c r="I333" s="4">
        <v>0.26572949999999995</v>
      </c>
      <c r="J333" s="4">
        <v>0.25459199999999998</v>
      </c>
      <c r="K333" s="4">
        <v>0.2122695</v>
      </c>
      <c r="L333" s="4">
        <v>0.156582</v>
      </c>
      <c r="M333" s="4">
        <v>0.13430700000000001</v>
      </c>
      <c r="N333" s="4">
        <v>0.20781450000000004</v>
      </c>
    </row>
    <row r="334" spans="1:14" x14ac:dyDescent="0.25">
      <c r="A334">
        <v>2020</v>
      </c>
      <c r="B334">
        <v>202</v>
      </c>
      <c r="C334" t="s">
        <v>79</v>
      </c>
      <c r="D334">
        <v>61</v>
      </c>
      <c r="E334" s="4">
        <v>0.21449699999999999</v>
      </c>
      <c r="F334" s="4">
        <v>0.16771949999999999</v>
      </c>
      <c r="G334" s="4">
        <v>0.17885699999999999</v>
      </c>
      <c r="H334" s="4">
        <v>0.2122695</v>
      </c>
      <c r="I334" s="4">
        <v>0.22786200000000001</v>
      </c>
      <c r="J334" s="4">
        <v>0.18776700000000002</v>
      </c>
      <c r="K334" s="4">
        <v>0.17662950000000002</v>
      </c>
      <c r="L334" s="4">
        <v>0.16994700000000001</v>
      </c>
      <c r="M334" s="4">
        <v>0.16994700000000001</v>
      </c>
      <c r="N334" s="4">
        <v>0.17351100000000003</v>
      </c>
    </row>
    <row r="335" spans="1:14" x14ac:dyDescent="0.25">
      <c r="A335">
        <v>2020</v>
      </c>
      <c r="B335">
        <v>202</v>
      </c>
      <c r="C335" t="s">
        <v>79</v>
      </c>
      <c r="D335">
        <v>62</v>
      </c>
      <c r="E335" s="4">
        <v>0.2389995</v>
      </c>
      <c r="F335" s="4">
        <v>0.24122700000000002</v>
      </c>
      <c r="G335" s="4">
        <v>0.25681949999999998</v>
      </c>
      <c r="H335" s="4">
        <v>0.20113199999999998</v>
      </c>
      <c r="I335" s="4">
        <v>0.20558699999999999</v>
      </c>
      <c r="J335" s="4">
        <v>0.20558699999999999</v>
      </c>
      <c r="K335" s="4">
        <v>0.13430700000000001</v>
      </c>
      <c r="L335" s="4">
        <v>0.14098950000000002</v>
      </c>
      <c r="M335" s="4">
        <v>0.18108450000000001</v>
      </c>
      <c r="N335" s="4">
        <v>0.21761549999999999</v>
      </c>
    </row>
    <row r="336" spans="1:14" x14ac:dyDescent="0.25">
      <c r="A336">
        <v>2020</v>
      </c>
      <c r="B336">
        <v>202</v>
      </c>
      <c r="C336" t="s">
        <v>79</v>
      </c>
      <c r="D336">
        <v>63</v>
      </c>
      <c r="E336" s="4">
        <v>0.26572949999999995</v>
      </c>
      <c r="F336" s="4">
        <v>0.23454450000000002</v>
      </c>
      <c r="G336" s="4">
        <v>0.22340700000000002</v>
      </c>
      <c r="H336" s="4">
        <v>0.20781449999999999</v>
      </c>
      <c r="I336" s="4">
        <v>0.22340700000000002</v>
      </c>
      <c r="J336" s="4">
        <v>0.22340700000000002</v>
      </c>
      <c r="K336" s="4">
        <v>0.174402</v>
      </c>
      <c r="L336" s="4">
        <v>0.1454445</v>
      </c>
      <c r="M336" s="4">
        <v>0.14098950000000002</v>
      </c>
      <c r="N336" s="4">
        <v>0.18086175000000002</v>
      </c>
    </row>
    <row r="337" spans="1:14" x14ac:dyDescent="0.25">
      <c r="A337">
        <v>2020</v>
      </c>
      <c r="B337">
        <v>202</v>
      </c>
      <c r="C337" t="s">
        <v>79</v>
      </c>
      <c r="D337">
        <v>64</v>
      </c>
      <c r="E337" s="4">
        <v>0.27018449999999999</v>
      </c>
      <c r="F337" s="4">
        <v>0.25236449999999999</v>
      </c>
      <c r="G337" s="4">
        <v>0.21449699999999999</v>
      </c>
      <c r="H337" s="4">
        <v>0.23677200000000004</v>
      </c>
      <c r="I337" s="4">
        <v>0.25236449999999999</v>
      </c>
      <c r="J337" s="4">
        <v>0.232317</v>
      </c>
      <c r="K337" s="4">
        <v>0.18776700000000002</v>
      </c>
      <c r="L337" s="4">
        <v>0.11871450000000003</v>
      </c>
      <c r="M337" s="4">
        <v>0.12316949999999999</v>
      </c>
      <c r="N337" s="4">
        <v>0.18821250000000003</v>
      </c>
    </row>
    <row r="338" spans="1:14" x14ac:dyDescent="0.25">
      <c r="A338">
        <v>2020</v>
      </c>
      <c r="B338">
        <v>209</v>
      </c>
      <c r="C338" t="s">
        <v>79</v>
      </c>
      <c r="D338">
        <v>11</v>
      </c>
      <c r="E338" s="4">
        <v>0.17073764553425186</v>
      </c>
      <c r="F338" s="4">
        <v>0.18462330407553715</v>
      </c>
      <c r="G338" s="4">
        <v>0.22256742200597357</v>
      </c>
      <c r="H338" s="4">
        <v>0.25439498246459197</v>
      </c>
      <c r="I338" s="4">
        <v>0.22230988274400229</v>
      </c>
      <c r="J338" s="4">
        <v>0.24611080287118217</v>
      </c>
      <c r="K338" s="4">
        <v>0.2622499299547163</v>
      </c>
      <c r="L338" s="4">
        <v>0.24984512216976587</v>
      </c>
      <c r="M338" s="4">
        <v>0.23804123932941515</v>
      </c>
      <c r="N338" s="4">
        <v>0.25515043096637441</v>
      </c>
    </row>
    <row r="339" spans="1:14" x14ac:dyDescent="0.25">
      <c r="A339">
        <v>2020</v>
      </c>
      <c r="B339">
        <v>209</v>
      </c>
      <c r="C339" t="s">
        <v>79</v>
      </c>
      <c r="D339">
        <v>12</v>
      </c>
      <c r="E339" s="4">
        <v>0.23456445929280276</v>
      </c>
      <c r="F339" s="4">
        <v>0.24117463368339917</v>
      </c>
      <c r="G339" s="4">
        <v>0.20050489189709989</v>
      </c>
      <c r="H339" s="4">
        <v>0.1894521652374988</v>
      </c>
      <c r="I339" s="4">
        <v>0.1656512451103189</v>
      </c>
      <c r="J339" s="4">
        <v>0.17290526765584352</v>
      </c>
      <c r="K339" s="4">
        <v>0.1452841818094229</v>
      </c>
      <c r="L339" s="4">
        <v>0.18743477435205702</v>
      </c>
      <c r="M339" s="4">
        <v>0.17309842210232201</v>
      </c>
      <c r="N339" s="4">
        <v>0.15139430079969171</v>
      </c>
    </row>
    <row r="340" spans="1:14" x14ac:dyDescent="0.25">
      <c r="A340">
        <v>2020</v>
      </c>
      <c r="B340">
        <v>209</v>
      </c>
      <c r="C340" t="s">
        <v>79</v>
      </c>
      <c r="D340">
        <v>13</v>
      </c>
      <c r="E340" s="4">
        <v>0.21383254870411408</v>
      </c>
      <c r="F340" s="4">
        <v>0.19689934222950189</v>
      </c>
      <c r="G340" s="4">
        <v>0.2118151578186723</v>
      </c>
      <c r="H340" s="4">
        <v>0.23402791916369595</v>
      </c>
      <c r="I340" s="4">
        <v>0.24246232999325559</v>
      </c>
      <c r="J340" s="4">
        <v>0.21741663676654785</v>
      </c>
      <c r="K340" s="4">
        <v>0.16479278090374799</v>
      </c>
      <c r="L340" s="4">
        <v>0.15826845293380867</v>
      </c>
      <c r="M340" s="4">
        <v>0.18601830841121494</v>
      </c>
      <c r="N340" s="4">
        <v>0.20977630532806629</v>
      </c>
    </row>
    <row r="341" spans="1:14" x14ac:dyDescent="0.25">
      <c r="A341">
        <v>2020</v>
      </c>
      <c r="B341">
        <v>209</v>
      </c>
      <c r="C341" t="s">
        <v>79</v>
      </c>
      <c r="D341">
        <v>14</v>
      </c>
      <c r="E341" s="4">
        <v>0.25321459418055692</v>
      </c>
      <c r="F341" s="4">
        <v>0.24630395731766064</v>
      </c>
      <c r="G341" s="4">
        <v>0.25860145707678961</v>
      </c>
      <c r="H341" s="4">
        <v>0.24819257857211677</v>
      </c>
      <c r="I341" s="4">
        <v>0.21265216042007901</v>
      </c>
      <c r="J341" s="4">
        <v>0.19490341294922442</v>
      </c>
      <c r="K341" s="4">
        <v>0.21546363069659891</v>
      </c>
      <c r="L341" s="4">
        <v>0.23900701156180748</v>
      </c>
      <c r="M341" s="4">
        <v>0.21793171529049044</v>
      </c>
      <c r="N341" s="4">
        <v>0.23458806705848345</v>
      </c>
    </row>
    <row r="342" spans="1:14" x14ac:dyDescent="0.25">
      <c r="A342">
        <v>2020</v>
      </c>
      <c r="B342">
        <v>209</v>
      </c>
      <c r="C342" t="s">
        <v>79</v>
      </c>
      <c r="D342">
        <v>21</v>
      </c>
      <c r="E342" s="4">
        <v>0.26600571085846419</v>
      </c>
      <c r="F342" s="4">
        <v>0.24001570700452834</v>
      </c>
      <c r="G342" s="4">
        <v>0.24321348617400518</v>
      </c>
      <c r="H342" s="4">
        <v>0.24055224713363521</v>
      </c>
      <c r="I342" s="4">
        <v>0.23576630918200209</v>
      </c>
      <c r="J342" s="4">
        <v>0.22589397080643603</v>
      </c>
      <c r="K342" s="4">
        <v>0.18013782859620389</v>
      </c>
      <c r="L342" s="4">
        <v>0.21138592571538684</v>
      </c>
      <c r="M342" s="4">
        <v>0.19623403246940938</v>
      </c>
      <c r="N342" s="4">
        <v>0.23893189594373254</v>
      </c>
    </row>
    <row r="343" spans="1:14" x14ac:dyDescent="0.25">
      <c r="A343">
        <v>2020</v>
      </c>
      <c r="B343">
        <v>209</v>
      </c>
      <c r="C343" t="s">
        <v>79</v>
      </c>
      <c r="D343">
        <v>22</v>
      </c>
      <c r="E343" s="4">
        <v>0.24905104277868773</v>
      </c>
      <c r="F343" s="4">
        <v>0.23634577252143749</v>
      </c>
      <c r="G343" s="4">
        <v>0.22964975171018401</v>
      </c>
      <c r="H343" s="4">
        <v>0.2353585386838809</v>
      </c>
      <c r="I343" s="4">
        <v>0.21829656257828309</v>
      </c>
      <c r="J343" s="4">
        <v>0.16123015444647848</v>
      </c>
      <c r="K343" s="4">
        <v>0.11564570507756045</v>
      </c>
      <c r="L343" s="4">
        <v>0.1742358871760285</v>
      </c>
      <c r="M343" s="4">
        <v>0.1842799183929088</v>
      </c>
      <c r="N343" s="4">
        <v>0.21759047576837848</v>
      </c>
    </row>
    <row r="344" spans="1:14" x14ac:dyDescent="0.25">
      <c r="A344">
        <v>2020</v>
      </c>
      <c r="B344">
        <v>209</v>
      </c>
      <c r="C344" t="s">
        <v>79</v>
      </c>
      <c r="D344">
        <v>23</v>
      </c>
      <c r="E344" s="4">
        <v>0.23338407100876771</v>
      </c>
      <c r="F344" s="4">
        <v>0.2286625178726274</v>
      </c>
      <c r="G344" s="4">
        <v>0.25299997812891417</v>
      </c>
      <c r="H344" s="4">
        <v>0.26755094643029192</v>
      </c>
      <c r="I344" s="4">
        <v>0.2379339313035938</v>
      </c>
      <c r="J344" s="4">
        <v>0.16805494488871761</v>
      </c>
      <c r="K344" s="4">
        <v>0.14562756749205125</v>
      </c>
      <c r="L344" s="4">
        <v>0.15554282907794587</v>
      </c>
      <c r="M344" s="4">
        <v>0.17719758868869831</v>
      </c>
      <c r="N344" s="4">
        <v>0.1685807542152423</v>
      </c>
    </row>
    <row r="345" spans="1:14" x14ac:dyDescent="0.25">
      <c r="A345">
        <v>2020</v>
      </c>
      <c r="B345">
        <v>209</v>
      </c>
      <c r="C345" t="s">
        <v>79</v>
      </c>
      <c r="D345">
        <v>24</v>
      </c>
      <c r="E345" s="4">
        <v>0.15934153319202235</v>
      </c>
      <c r="F345" s="4">
        <v>0.13275060439348685</v>
      </c>
      <c r="G345" s="4">
        <v>0.11525939618460353</v>
      </c>
      <c r="H345" s="4">
        <v>9.9249038732055123E-2</v>
      </c>
      <c r="I345" s="4">
        <v>7.8517128143366408E-2</v>
      </c>
      <c r="J345" s="4">
        <v>7.5147656132575388E-2</v>
      </c>
      <c r="K345" s="4">
        <v>8.6050151556026577E-2</v>
      </c>
      <c r="L345" s="4">
        <v>9.8261804894498497E-2</v>
      </c>
      <c r="M345" s="4">
        <v>0.13633469245592061</v>
      </c>
      <c r="N345" s="4">
        <v>0.22665585778976782</v>
      </c>
    </row>
    <row r="346" spans="1:14" x14ac:dyDescent="0.25">
      <c r="A346">
        <v>2020</v>
      </c>
      <c r="B346">
        <v>209</v>
      </c>
      <c r="C346" t="s">
        <v>79</v>
      </c>
      <c r="D346">
        <v>31</v>
      </c>
      <c r="E346" s="4">
        <v>0.26881718113498404</v>
      </c>
      <c r="F346" s="4">
        <v>0.24926565883033047</v>
      </c>
      <c r="G346" s="4">
        <v>0.25958869091434628</v>
      </c>
      <c r="H346" s="4">
        <v>0.26177777464110219</v>
      </c>
      <c r="I346" s="4">
        <v>0.25692745187397625</v>
      </c>
      <c r="J346" s="4">
        <v>0.21863994826091149</v>
      </c>
      <c r="K346" s="4">
        <v>0.15674467896714517</v>
      </c>
      <c r="L346" s="4">
        <v>0.15526382821081028</v>
      </c>
      <c r="M346" s="4">
        <v>0.16067215271220736</v>
      </c>
      <c r="N346" s="4">
        <v>0.19209408883322093</v>
      </c>
    </row>
    <row r="347" spans="1:14" x14ac:dyDescent="0.25">
      <c r="A347">
        <v>2020</v>
      </c>
      <c r="B347">
        <v>209</v>
      </c>
      <c r="C347" t="s">
        <v>79</v>
      </c>
      <c r="D347">
        <v>32</v>
      </c>
      <c r="E347" s="4">
        <v>0.18436576481356584</v>
      </c>
      <c r="F347" s="4">
        <v>0.16966456527603813</v>
      </c>
      <c r="G347" s="4">
        <v>0.14923311715964929</v>
      </c>
      <c r="H347" s="4">
        <v>0.13852377618267656</v>
      </c>
      <c r="I347" s="4">
        <v>0.12476688727237693</v>
      </c>
      <c r="J347" s="4">
        <v>0.11633247644281725</v>
      </c>
      <c r="K347" s="4">
        <v>0.11738409509586667</v>
      </c>
      <c r="L347" s="4">
        <v>0.15882645466807976</v>
      </c>
      <c r="M347" s="4">
        <v>0.17606012361499182</v>
      </c>
      <c r="N347" s="4">
        <v>0.22972486732825903</v>
      </c>
    </row>
    <row r="348" spans="1:14" x14ac:dyDescent="0.25">
      <c r="A348">
        <v>2020</v>
      </c>
      <c r="B348">
        <v>209</v>
      </c>
      <c r="C348" t="s">
        <v>79</v>
      </c>
      <c r="D348">
        <v>33</v>
      </c>
      <c r="E348" s="4">
        <v>0.18166160256286731</v>
      </c>
      <c r="F348" s="4">
        <v>0.18123237045958185</v>
      </c>
      <c r="G348" s="4">
        <v>0.23171006580595435</v>
      </c>
      <c r="H348" s="4">
        <v>0.24890081154253782</v>
      </c>
      <c r="I348" s="4">
        <v>0.22340442460738028</v>
      </c>
      <c r="J348" s="4">
        <v>0.21419739599190674</v>
      </c>
      <c r="K348" s="4">
        <v>0.2292634428172271</v>
      </c>
      <c r="L348" s="4">
        <v>0.21200831226515077</v>
      </c>
      <c r="M348" s="4">
        <v>0.22615151006840734</v>
      </c>
      <c r="N348" s="4">
        <v>0.25238832238173237</v>
      </c>
    </row>
    <row r="349" spans="1:14" x14ac:dyDescent="0.25">
      <c r="A349">
        <v>2020</v>
      </c>
      <c r="B349">
        <v>209</v>
      </c>
      <c r="C349" t="s">
        <v>79</v>
      </c>
      <c r="D349">
        <v>34</v>
      </c>
      <c r="E349" s="4">
        <v>0.15687344859813085</v>
      </c>
      <c r="F349" s="4">
        <v>0.16444939522111959</v>
      </c>
      <c r="G349" s="4">
        <v>0.22158018816841701</v>
      </c>
      <c r="H349" s="4">
        <v>0.23660331178340882</v>
      </c>
      <c r="I349" s="4">
        <v>0.25433059764909915</v>
      </c>
      <c r="J349" s="4">
        <v>0.24512356903362556</v>
      </c>
      <c r="K349" s="4">
        <v>0.21533486106561323</v>
      </c>
      <c r="L349" s="4">
        <v>0.18363607023798056</v>
      </c>
      <c r="M349" s="4">
        <v>0.15762460477888043</v>
      </c>
      <c r="N349" s="4">
        <v>0.19157471798824549</v>
      </c>
    </row>
    <row r="350" spans="1:14" x14ac:dyDescent="0.25">
      <c r="A350">
        <v>2020</v>
      </c>
      <c r="B350">
        <v>209</v>
      </c>
      <c r="C350" t="s">
        <v>79</v>
      </c>
      <c r="D350">
        <v>41</v>
      </c>
      <c r="E350" s="4">
        <v>0.21426178080739955</v>
      </c>
      <c r="F350" s="4">
        <v>0.23155983456980439</v>
      </c>
      <c r="G350" s="4">
        <v>0.28053521755467775</v>
      </c>
      <c r="H350" s="4">
        <v>0.25602606445707676</v>
      </c>
      <c r="I350" s="4">
        <v>0.26473947615377202</v>
      </c>
      <c r="J350" s="4">
        <v>0.2605973863570672</v>
      </c>
      <c r="K350" s="4">
        <v>0.18279906763657386</v>
      </c>
      <c r="L350" s="4">
        <v>0.15358982300799692</v>
      </c>
      <c r="M350" s="4">
        <v>0.16095115357934289</v>
      </c>
      <c r="N350" s="4">
        <v>0.19509227507467</v>
      </c>
    </row>
    <row r="351" spans="1:14" x14ac:dyDescent="0.25">
      <c r="A351">
        <v>2020</v>
      </c>
      <c r="B351">
        <v>209</v>
      </c>
      <c r="C351" t="s">
        <v>79</v>
      </c>
      <c r="D351">
        <v>42</v>
      </c>
      <c r="E351" s="4">
        <v>0.21505586019847772</v>
      </c>
      <c r="F351" s="4">
        <v>0.21230877473745061</v>
      </c>
      <c r="G351" s="4">
        <v>0.23585215560265918</v>
      </c>
      <c r="H351" s="4">
        <v>0.22960682849985548</v>
      </c>
      <c r="I351" s="4">
        <v>0.24527380026977549</v>
      </c>
      <c r="J351" s="4">
        <v>0.19082570796801232</v>
      </c>
      <c r="K351" s="4">
        <v>0.13607715319394931</v>
      </c>
      <c r="L351" s="4">
        <v>0.14569195230754406</v>
      </c>
      <c r="M351" s="4">
        <v>0.17269065160420077</v>
      </c>
      <c r="N351" s="4">
        <v>0.20045123788418928</v>
      </c>
    </row>
    <row r="352" spans="1:14" x14ac:dyDescent="0.25">
      <c r="A352">
        <v>2020</v>
      </c>
      <c r="B352">
        <v>209</v>
      </c>
      <c r="C352" t="s">
        <v>79</v>
      </c>
      <c r="D352">
        <v>43</v>
      </c>
      <c r="E352" s="4">
        <v>0.2234902710280374</v>
      </c>
      <c r="F352" s="4">
        <v>0.22059295433086037</v>
      </c>
      <c r="G352" s="4">
        <v>0.24057370873879946</v>
      </c>
      <c r="H352" s="4">
        <v>0.20269397562385585</v>
      </c>
      <c r="I352" s="4">
        <v>0.21106400163792272</v>
      </c>
      <c r="J352" s="4">
        <v>0.20563421553136138</v>
      </c>
      <c r="K352" s="4">
        <v>0.20205012746892761</v>
      </c>
      <c r="L352" s="4">
        <v>0.15378297745447539</v>
      </c>
      <c r="M352" s="4">
        <v>0.1441037935253878</v>
      </c>
      <c r="N352" s="4">
        <v>0.16978475026495812</v>
      </c>
    </row>
    <row r="353" spans="1:14" x14ac:dyDescent="0.25">
      <c r="A353">
        <v>2020</v>
      </c>
      <c r="B353">
        <v>209</v>
      </c>
      <c r="C353" t="s">
        <v>79</v>
      </c>
      <c r="D353">
        <v>44</v>
      </c>
      <c r="E353" s="4">
        <v>0.17041572145678774</v>
      </c>
      <c r="F353" s="4">
        <v>0.1917700185952404</v>
      </c>
      <c r="G353" s="4">
        <v>0.25254928442046443</v>
      </c>
      <c r="H353" s="4">
        <v>0.24070247836978517</v>
      </c>
      <c r="I353" s="4">
        <v>0.25862291868195386</v>
      </c>
      <c r="J353" s="4">
        <v>0.23231099075055398</v>
      </c>
      <c r="K353" s="4">
        <v>0.22546473870315059</v>
      </c>
      <c r="L353" s="4">
        <v>0.16202423383755662</v>
      </c>
      <c r="M353" s="4">
        <v>0.12568973629444069</v>
      </c>
      <c r="N353" s="4">
        <v>0.15606863840447055</v>
      </c>
    </row>
    <row r="354" spans="1:14" x14ac:dyDescent="0.25">
      <c r="A354">
        <v>2020</v>
      </c>
      <c r="B354">
        <v>209</v>
      </c>
      <c r="C354" t="s">
        <v>79</v>
      </c>
      <c r="D354">
        <v>51</v>
      </c>
      <c r="E354" s="4">
        <v>0.26752948482512767</v>
      </c>
      <c r="F354" s="4">
        <v>0.25995353820213896</v>
      </c>
      <c r="G354" s="4">
        <v>0.26218554513922343</v>
      </c>
      <c r="H354" s="4">
        <v>0.26424585923499377</v>
      </c>
      <c r="I354" s="4">
        <v>0.23774077685711531</v>
      </c>
      <c r="J354" s="4">
        <v>0.21151469534637246</v>
      </c>
      <c r="K354" s="4">
        <v>0.21348916302148571</v>
      </c>
      <c r="L354" s="4">
        <v>0.21316723894402159</v>
      </c>
      <c r="M354" s="4">
        <v>0.23351284063975336</v>
      </c>
      <c r="N354" s="4">
        <v>0.25727512987763757</v>
      </c>
    </row>
    <row r="355" spans="1:14" x14ac:dyDescent="0.25">
      <c r="A355">
        <v>2020</v>
      </c>
      <c r="B355">
        <v>209</v>
      </c>
      <c r="C355" t="s">
        <v>79</v>
      </c>
      <c r="D355">
        <v>52</v>
      </c>
      <c r="E355" s="4">
        <v>0.25145474255708644</v>
      </c>
      <c r="F355" s="4">
        <v>0.23980109095288565</v>
      </c>
      <c r="G355" s="4">
        <v>0.2690747203969554</v>
      </c>
      <c r="H355" s="4">
        <v>0.28293891733307636</v>
      </c>
      <c r="I355" s="4">
        <v>0.27989136939974951</v>
      </c>
      <c r="J355" s="4">
        <v>0.25855853386646105</v>
      </c>
      <c r="K355" s="4">
        <v>0.25205566750168606</v>
      </c>
      <c r="L355" s="4">
        <v>0.21119277126890837</v>
      </c>
      <c r="M355" s="4">
        <v>0.21400424154542827</v>
      </c>
      <c r="N355" s="4">
        <v>0.24270913845264475</v>
      </c>
    </row>
    <row r="356" spans="1:14" x14ac:dyDescent="0.25">
      <c r="A356">
        <v>2020</v>
      </c>
      <c r="B356">
        <v>209</v>
      </c>
      <c r="C356" t="s">
        <v>79</v>
      </c>
      <c r="D356">
        <v>53</v>
      </c>
      <c r="E356" s="4">
        <v>0.2454240315059254</v>
      </c>
      <c r="F356" s="4">
        <v>0.2407454015801137</v>
      </c>
      <c r="G356" s="4">
        <v>0.25613337248289819</v>
      </c>
      <c r="H356" s="4">
        <v>0.27349581106079585</v>
      </c>
      <c r="I356" s="4">
        <v>0.26622032691010689</v>
      </c>
      <c r="J356" s="4">
        <v>0.24892227314770207</v>
      </c>
      <c r="K356" s="4">
        <v>0.20434651922150493</v>
      </c>
      <c r="L356" s="4">
        <v>0.12777151199537529</v>
      </c>
      <c r="M356" s="4">
        <v>0.12721351026110417</v>
      </c>
      <c r="N356" s="4">
        <v>0.14872662327777245</v>
      </c>
    </row>
    <row r="357" spans="1:14" x14ac:dyDescent="0.25">
      <c r="A357">
        <v>2020</v>
      </c>
      <c r="B357">
        <v>209</v>
      </c>
      <c r="C357" t="s">
        <v>79</v>
      </c>
      <c r="D357">
        <v>54</v>
      </c>
      <c r="E357" s="4">
        <v>0.23458592089796704</v>
      </c>
      <c r="F357" s="4">
        <v>0.23235391396088256</v>
      </c>
      <c r="G357" s="4">
        <v>0.22872690268812021</v>
      </c>
      <c r="H357" s="4">
        <v>0.26400978157818666</v>
      </c>
      <c r="I357" s="4">
        <v>0.26776556248193467</v>
      </c>
      <c r="J357" s="4">
        <v>0.24872911870122366</v>
      </c>
      <c r="K357" s="4">
        <v>0.19271432922246845</v>
      </c>
      <c r="L357" s="4">
        <v>0.16185254099624241</v>
      </c>
      <c r="M357" s="4">
        <v>0.14704403343289335</v>
      </c>
      <c r="N357" s="4">
        <v>0.19041793746989114</v>
      </c>
    </row>
    <row r="358" spans="1:14" x14ac:dyDescent="0.25">
      <c r="A358">
        <v>2020</v>
      </c>
      <c r="B358">
        <v>209</v>
      </c>
      <c r="C358" t="s">
        <v>79</v>
      </c>
      <c r="D358">
        <v>61</v>
      </c>
      <c r="E358" s="4">
        <v>0.20859591704403119</v>
      </c>
      <c r="F358" s="4">
        <v>0.16854856180749589</v>
      </c>
      <c r="G358" s="4">
        <v>0.17646789411311301</v>
      </c>
      <c r="H358" s="4">
        <v>0.21426178080739955</v>
      </c>
      <c r="I358" s="4">
        <v>0.23198906667308986</v>
      </c>
      <c r="J358" s="4">
        <v>0.17900036352249735</v>
      </c>
      <c r="K358" s="4">
        <v>0.17359203902110029</v>
      </c>
      <c r="L358" s="4">
        <v>0.16363385422487714</v>
      </c>
      <c r="M358" s="4">
        <v>0.16790471365256768</v>
      </c>
      <c r="N358" s="4">
        <v>0.19280232180364201</v>
      </c>
    </row>
    <row r="359" spans="1:14" x14ac:dyDescent="0.25">
      <c r="A359">
        <v>2020</v>
      </c>
      <c r="B359">
        <v>209</v>
      </c>
      <c r="C359" t="s">
        <v>79</v>
      </c>
      <c r="D359">
        <v>62</v>
      </c>
      <c r="E359" s="4">
        <v>0.22713874390596395</v>
      </c>
      <c r="F359" s="4">
        <v>0.24239794517776278</v>
      </c>
      <c r="G359" s="4">
        <v>0.25581144840543407</v>
      </c>
      <c r="H359" s="4">
        <v>0.20344513180460541</v>
      </c>
      <c r="I359" s="4">
        <v>0.18779962163984973</v>
      </c>
      <c r="J359" s="4">
        <v>0.1830995301088737</v>
      </c>
      <c r="K359" s="4">
        <v>0.13152729289912324</v>
      </c>
      <c r="L359" s="4">
        <v>0.13654930850756333</v>
      </c>
      <c r="M359" s="4">
        <v>0.16657409413238269</v>
      </c>
      <c r="N359" s="4">
        <v>0.21851117862992583</v>
      </c>
    </row>
    <row r="360" spans="1:14" x14ac:dyDescent="0.25">
      <c r="A360">
        <v>2020</v>
      </c>
      <c r="B360">
        <v>209</v>
      </c>
      <c r="C360" t="s">
        <v>79</v>
      </c>
      <c r="D360">
        <v>63</v>
      </c>
      <c r="E360" s="4">
        <v>0.26162754340495231</v>
      </c>
      <c r="F360" s="4">
        <v>0.2407454015801137</v>
      </c>
      <c r="G360" s="4">
        <v>0.21913356517968974</v>
      </c>
      <c r="H360" s="4">
        <v>0.20578444676751131</v>
      </c>
      <c r="I360" s="4">
        <v>0.2192837964158397</v>
      </c>
      <c r="J360" s="4">
        <v>0.22718166711629248</v>
      </c>
      <c r="K360" s="4">
        <v>0.1751587361980923</v>
      </c>
      <c r="L360" s="4">
        <v>0.13571230590615666</v>
      </c>
      <c r="M360" s="4">
        <v>0.14073432151459678</v>
      </c>
      <c r="N360" s="4">
        <v>0.19837375450428754</v>
      </c>
    </row>
    <row r="361" spans="1:14" x14ac:dyDescent="0.25">
      <c r="A361">
        <v>2020</v>
      </c>
      <c r="B361">
        <v>209</v>
      </c>
      <c r="C361" t="s">
        <v>79</v>
      </c>
      <c r="D361">
        <v>64</v>
      </c>
      <c r="E361" s="4">
        <v>0.26684271345987087</v>
      </c>
      <c r="F361" s="4">
        <v>0.2604256935157529</v>
      </c>
      <c r="G361" s="4">
        <v>0.21200831226515077</v>
      </c>
      <c r="H361" s="4">
        <v>0.23065844715290487</v>
      </c>
      <c r="I361" s="4">
        <v>0.25087527921765101</v>
      </c>
      <c r="J361" s="4">
        <v>0.23434984324116004</v>
      </c>
      <c r="K361" s="4">
        <v>0.18400091752577322</v>
      </c>
      <c r="L361" s="4">
        <v>0.12182664736487137</v>
      </c>
      <c r="M361" s="4">
        <v>0.12384403825031313</v>
      </c>
      <c r="N361" s="4">
        <v>0.18326478446863859</v>
      </c>
    </row>
    <row r="362" spans="1:14" x14ac:dyDescent="0.25">
      <c r="A362">
        <v>2020</v>
      </c>
      <c r="B362">
        <v>216</v>
      </c>
      <c r="C362" t="s">
        <v>79</v>
      </c>
      <c r="D362">
        <v>11</v>
      </c>
      <c r="E362" s="4">
        <v>0.174402</v>
      </c>
      <c r="F362" s="4">
        <v>0.18331200000000003</v>
      </c>
      <c r="G362" s="4">
        <v>0.21672450000000001</v>
      </c>
      <c r="H362" s="4">
        <v>0.26127450000000002</v>
      </c>
      <c r="I362" s="4">
        <v>0.23677200000000004</v>
      </c>
      <c r="J362" s="4">
        <v>0.25681949999999998</v>
      </c>
      <c r="K362" s="4">
        <v>0.267957</v>
      </c>
      <c r="L362" s="4">
        <v>0.25013699999999994</v>
      </c>
      <c r="M362" s="4">
        <v>0.2389995</v>
      </c>
      <c r="N362" s="4">
        <v>0.26907075000000008</v>
      </c>
    </row>
    <row r="363" spans="1:14" x14ac:dyDescent="0.25">
      <c r="A363">
        <v>2020</v>
      </c>
      <c r="B363">
        <v>216</v>
      </c>
      <c r="C363" t="s">
        <v>79</v>
      </c>
      <c r="D363">
        <v>12</v>
      </c>
      <c r="E363" s="4">
        <v>0.23008950000000003</v>
      </c>
      <c r="F363" s="4">
        <v>0.23677200000000004</v>
      </c>
      <c r="G363" s="4">
        <v>0.19890449999999998</v>
      </c>
      <c r="H363" s="4">
        <v>0.1855395</v>
      </c>
      <c r="I363" s="4">
        <v>0.16326450000000001</v>
      </c>
      <c r="J363" s="4">
        <v>0.15880949999999999</v>
      </c>
      <c r="K363" s="4">
        <v>0.138762</v>
      </c>
      <c r="L363" s="4">
        <v>0.18776700000000002</v>
      </c>
      <c r="M363" s="4">
        <v>0.17662950000000002</v>
      </c>
      <c r="N363" s="4">
        <v>0.16371000000000005</v>
      </c>
    </row>
    <row r="364" spans="1:14" x14ac:dyDescent="0.25">
      <c r="A364">
        <v>2020</v>
      </c>
      <c r="B364">
        <v>216</v>
      </c>
      <c r="C364" t="s">
        <v>79</v>
      </c>
      <c r="D364">
        <v>13</v>
      </c>
      <c r="E364" s="4">
        <v>0.21004199999999998</v>
      </c>
      <c r="F364" s="4">
        <v>0.18999449999999996</v>
      </c>
      <c r="G364" s="4">
        <v>0.21004199999999998</v>
      </c>
      <c r="H364" s="4">
        <v>0.23454450000000002</v>
      </c>
      <c r="I364" s="4">
        <v>0.24345450000000002</v>
      </c>
      <c r="J364" s="4">
        <v>0.19667699999999996</v>
      </c>
      <c r="K364" s="4">
        <v>0.156582</v>
      </c>
      <c r="L364" s="4">
        <v>0.15435450000000001</v>
      </c>
      <c r="M364" s="4">
        <v>0.17217450000000001</v>
      </c>
      <c r="N364" s="4">
        <v>0.20046375000000005</v>
      </c>
    </row>
    <row r="365" spans="1:14" x14ac:dyDescent="0.25">
      <c r="A365">
        <v>2020</v>
      </c>
      <c r="B365">
        <v>216</v>
      </c>
      <c r="C365" t="s">
        <v>79</v>
      </c>
      <c r="D365">
        <v>14</v>
      </c>
      <c r="E365" s="4">
        <v>0.25013699999999994</v>
      </c>
      <c r="F365" s="4">
        <v>0.24790949999999998</v>
      </c>
      <c r="G365" s="4">
        <v>0.25681949999999998</v>
      </c>
      <c r="H365" s="4">
        <v>0.24790949999999998</v>
      </c>
      <c r="I365" s="4">
        <v>0.21004199999999998</v>
      </c>
      <c r="J365" s="4">
        <v>0.18776700000000002</v>
      </c>
      <c r="K365" s="4">
        <v>0.24122700000000002</v>
      </c>
      <c r="L365" s="4">
        <v>0.25013699999999994</v>
      </c>
      <c r="M365" s="4">
        <v>0.22563449999999999</v>
      </c>
      <c r="N365" s="4">
        <v>0.2470185</v>
      </c>
    </row>
    <row r="366" spans="1:14" x14ac:dyDescent="0.25">
      <c r="A366">
        <v>2020</v>
      </c>
      <c r="B366">
        <v>216</v>
      </c>
      <c r="C366" t="s">
        <v>79</v>
      </c>
      <c r="D366">
        <v>21</v>
      </c>
      <c r="E366" s="4">
        <v>0.26350199999999996</v>
      </c>
      <c r="F366" s="4">
        <v>0.23454450000000002</v>
      </c>
      <c r="G366" s="4">
        <v>0.24790949999999998</v>
      </c>
      <c r="H366" s="4">
        <v>0.232317</v>
      </c>
      <c r="I366" s="4">
        <v>0.22563449999999999</v>
      </c>
      <c r="J366" s="4">
        <v>0.22563449999999999</v>
      </c>
      <c r="K366" s="4">
        <v>0.174402</v>
      </c>
      <c r="L366" s="4">
        <v>0.20113199999999998</v>
      </c>
      <c r="M366" s="4">
        <v>0.20113199999999998</v>
      </c>
      <c r="N366" s="4">
        <v>0.242118</v>
      </c>
    </row>
    <row r="367" spans="1:14" x14ac:dyDescent="0.25">
      <c r="A367">
        <v>2020</v>
      </c>
      <c r="B367">
        <v>216</v>
      </c>
      <c r="C367" t="s">
        <v>79</v>
      </c>
      <c r="D367">
        <v>22</v>
      </c>
      <c r="E367" s="4">
        <v>0.25459199999999998</v>
      </c>
      <c r="F367" s="4">
        <v>0.232317</v>
      </c>
      <c r="G367" s="4">
        <v>0.23454450000000002</v>
      </c>
      <c r="H367" s="4">
        <v>0.23454450000000002</v>
      </c>
      <c r="I367" s="4">
        <v>0.21004199999999998</v>
      </c>
      <c r="J367" s="4">
        <v>0.16326450000000001</v>
      </c>
      <c r="K367" s="4">
        <v>0.11871450000000003</v>
      </c>
      <c r="L367" s="4">
        <v>0.16994700000000001</v>
      </c>
      <c r="M367" s="4">
        <v>0.18108450000000001</v>
      </c>
      <c r="N367" s="4">
        <v>0.232317</v>
      </c>
    </row>
    <row r="368" spans="1:14" x14ac:dyDescent="0.25">
      <c r="A368">
        <v>2020</v>
      </c>
      <c r="B368">
        <v>216</v>
      </c>
      <c r="C368" t="s">
        <v>79</v>
      </c>
      <c r="D368">
        <v>23</v>
      </c>
      <c r="E368" s="4">
        <v>0.22340700000000002</v>
      </c>
      <c r="F368" s="4">
        <v>0.22786200000000001</v>
      </c>
      <c r="G368" s="4">
        <v>0.25904699999999997</v>
      </c>
      <c r="H368" s="4">
        <v>0.26127450000000002</v>
      </c>
      <c r="I368" s="4">
        <v>0.23454450000000002</v>
      </c>
      <c r="J368" s="4">
        <v>0.15880949999999999</v>
      </c>
      <c r="K368" s="4">
        <v>0.14098950000000002</v>
      </c>
      <c r="L368" s="4">
        <v>0.15212699999999998</v>
      </c>
      <c r="M368" s="4">
        <v>0.16994700000000001</v>
      </c>
      <c r="N368" s="4">
        <v>0.18331200000000003</v>
      </c>
    </row>
    <row r="369" spans="1:14" x14ac:dyDescent="0.25">
      <c r="A369">
        <v>2020</v>
      </c>
      <c r="B369">
        <v>216</v>
      </c>
      <c r="C369" t="s">
        <v>79</v>
      </c>
      <c r="D369">
        <v>24</v>
      </c>
      <c r="E369" s="4">
        <v>0.156582</v>
      </c>
      <c r="F369" s="4">
        <v>0.12094200000000001</v>
      </c>
      <c r="G369" s="4">
        <v>0.10534949999999998</v>
      </c>
      <c r="H369" s="4">
        <v>9.421199999999999E-2</v>
      </c>
      <c r="I369" s="4">
        <v>7.8619499999999995E-2</v>
      </c>
      <c r="J369" s="4">
        <v>6.7481999999999986E-2</v>
      </c>
      <c r="K369" s="4">
        <v>7.8619499999999995E-2</v>
      </c>
      <c r="L369" s="4">
        <v>9.6439499999999997E-2</v>
      </c>
      <c r="M369" s="4">
        <v>0.1365345</v>
      </c>
      <c r="N369" s="4">
        <v>0.22986674999999998</v>
      </c>
    </row>
    <row r="370" spans="1:14" x14ac:dyDescent="0.25">
      <c r="A370">
        <v>2020</v>
      </c>
      <c r="B370">
        <v>216</v>
      </c>
      <c r="C370" t="s">
        <v>79</v>
      </c>
      <c r="D370">
        <v>31</v>
      </c>
      <c r="E370" s="4">
        <v>0.27018449999999999</v>
      </c>
      <c r="F370" s="4">
        <v>0.25459199999999998</v>
      </c>
      <c r="G370" s="4">
        <v>0.25236449999999999</v>
      </c>
      <c r="H370" s="4">
        <v>0.25681949999999998</v>
      </c>
      <c r="I370" s="4">
        <v>0.25681949999999998</v>
      </c>
      <c r="J370" s="4">
        <v>0.21449699999999999</v>
      </c>
      <c r="K370" s="4">
        <v>0.15435450000000001</v>
      </c>
      <c r="L370" s="4">
        <v>0.1454445</v>
      </c>
      <c r="M370" s="4">
        <v>0.147672</v>
      </c>
      <c r="N370" s="4">
        <v>0.18576225000000005</v>
      </c>
    </row>
    <row r="371" spans="1:14" x14ac:dyDescent="0.25">
      <c r="A371">
        <v>2020</v>
      </c>
      <c r="B371">
        <v>216</v>
      </c>
      <c r="C371" t="s">
        <v>79</v>
      </c>
      <c r="D371">
        <v>32</v>
      </c>
      <c r="E371" s="4">
        <v>0.18776700000000002</v>
      </c>
      <c r="F371" s="4">
        <v>0.16771949999999999</v>
      </c>
      <c r="G371" s="4">
        <v>0.1454445</v>
      </c>
      <c r="H371" s="4">
        <v>0.13430700000000001</v>
      </c>
      <c r="I371" s="4">
        <v>0.12316949999999999</v>
      </c>
      <c r="J371" s="4">
        <v>0.11648700000000002</v>
      </c>
      <c r="K371" s="4">
        <v>0.1276245</v>
      </c>
      <c r="L371" s="4">
        <v>0.17217450000000001</v>
      </c>
      <c r="M371" s="4">
        <v>0.20113199999999998</v>
      </c>
      <c r="N371" s="4">
        <v>0.25436925000000005</v>
      </c>
    </row>
    <row r="372" spans="1:14" x14ac:dyDescent="0.25">
      <c r="A372">
        <v>2020</v>
      </c>
      <c r="B372">
        <v>216</v>
      </c>
      <c r="C372" t="s">
        <v>79</v>
      </c>
      <c r="D372">
        <v>33</v>
      </c>
      <c r="E372" s="4">
        <v>0.17885699999999999</v>
      </c>
      <c r="F372" s="4">
        <v>0.18776700000000002</v>
      </c>
      <c r="G372" s="4">
        <v>0.22340700000000002</v>
      </c>
      <c r="H372" s="4">
        <v>0.26127450000000002</v>
      </c>
      <c r="I372" s="4">
        <v>0.24345450000000002</v>
      </c>
      <c r="J372" s="4">
        <v>0.23008950000000003</v>
      </c>
      <c r="K372" s="4">
        <v>0.2389995</v>
      </c>
      <c r="L372" s="4">
        <v>0.21672450000000001</v>
      </c>
      <c r="M372" s="4">
        <v>0.23008950000000003</v>
      </c>
      <c r="N372" s="4">
        <v>0.26172000000000001</v>
      </c>
    </row>
    <row r="373" spans="1:14" x14ac:dyDescent="0.25">
      <c r="A373">
        <v>2020</v>
      </c>
      <c r="B373">
        <v>216</v>
      </c>
      <c r="C373" t="s">
        <v>79</v>
      </c>
      <c r="D373">
        <v>34</v>
      </c>
      <c r="E373" s="4">
        <v>0.14989949999999999</v>
      </c>
      <c r="F373" s="4">
        <v>0.16103699999999999</v>
      </c>
      <c r="G373" s="4">
        <v>0.2122695</v>
      </c>
      <c r="H373" s="4">
        <v>0.24568199999999998</v>
      </c>
      <c r="I373" s="4">
        <v>0.25013699999999994</v>
      </c>
      <c r="J373" s="4">
        <v>0.24122700000000002</v>
      </c>
      <c r="K373" s="4">
        <v>0.2122695</v>
      </c>
      <c r="L373" s="4">
        <v>0.1855395</v>
      </c>
      <c r="M373" s="4">
        <v>0.16771949999999999</v>
      </c>
      <c r="N373" s="4">
        <v>0.22251599999999999</v>
      </c>
    </row>
    <row r="374" spans="1:14" x14ac:dyDescent="0.25">
      <c r="A374">
        <v>2020</v>
      </c>
      <c r="B374">
        <v>216</v>
      </c>
      <c r="C374" t="s">
        <v>79</v>
      </c>
      <c r="D374">
        <v>41</v>
      </c>
      <c r="E374" s="4">
        <v>0.20781449999999999</v>
      </c>
      <c r="F374" s="4">
        <v>0.232317</v>
      </c>
      <c r="G374" s="4">
        <v>0.27909450000000002</v>
      </c>
      <c r="H374" s="4">
        <v>0.25904699999999997</v>
      </c>
      <c r="I374" s="4">
        <v>0.26350199999999996</v>
      </c>
      <c r="J374" s="4">
        <v>0.25459199999999998</v>
      </c>
      <c r="K374" s="4">
        <v>0.17662950000000002</v>
      </c>
      <c r="L374" s="4">
        <v>0.16103699999999999</v>
      </c>
      <c r="M374" s="4">
        <v>0.16771949999999999</v>
      </c>
      <c r="N374" s="4">
        <v>0.21271500000000004</v>
      </c>
    </row>
    <row r="375" spans="1:14" x14ac:dyDescent="0.25">
      <c r="A375">
        <v>2020</v>
      </c>
      <c r="B375">
        <v>216</v>
      </c>
      <c r="C375" t="s">
        <v>79</v>
      </c>
      <c r="D375">
        <v>42</v>
      </c>
      <c r="E375" s="4">
        <v>0.20781449999999999</v>
      </c>
      <c r="F375" s="4">
        <v>0.21004199999999998</v>
      </c>
      <c r="G375" s="4">
        <v>0.23454450000000002</v>
      </c>
      <c r="H375" s="4">
        <v>0.23008950000000003</v>
      </c>
      <c r="I375" s="4">
        <v>0.24568199999999998</v>
      </c>
      <c r="J375" s="4">
        <v>0.18108450000000001</v>
      </c>
      <c r="K375" s="4">
        <v>0.1365345</v>
      </c>
      <c r="L375" s="4">
        <v>0.1454445</v>
      </c>
      <c r="M375" s="4">
        <v>0.1855395</v>
      </c>
      <c r="N375" s="4">
        <v>0.232317</v>
      </c>
    </row>
    <row r="376" spans="1:14" x14ac:dyDescent="0.25">
      <c r="A376">
        <v>2020</v>
      </c>
      <c r="B376">
        <v>216</v>
      </c>
      <c r="C376" t="s">
        <v>79</v>
      </c>
      <c r="D376">
        <v>43</v>
      </c>
      <c r="E376" s="4">
        <v>0.22786200000000001</v>
      </c>
      <c r="F376" s="4">
        <v>0.22340700000000002</v>
      </c>
      <c r="G376" s="4">
        <v>0.24790949999999998</v>
      </c>
      <c r="H376" s="4">
        <v>0.20113199999999998</v>
      </c>
      <c r="I376" s="4">
        <v>0.21449699999999999</v>
      </c>
      <c r="J376" s="4">
        <v>0.19667699999999996</v>
      </c>
      <c r="K376" s="4">
        <v>0.19222199999999998</v>
      </c>
      <c r="L376" s="4">
        <v>0.147672</v>
      </c>
      <c r="M376" s="4">
        <v>0.14098950000000002</v>
      </c>
      <c r="N376" s="4">
        <v>0.19556325000000005</v>
      </c>
    </row>
    <row r="377" spans="1:14" x14ac:dyDescent="0.25">
      <c r="A377">
        <v>2020</v>
      </c>
      <c r="B377">
        <v>216</v>
      </c>
      <c r="C377" t="s">
        <v>79</v>
      </c>
      <c r="D377">
        <v>44</v>
      </c>
      <c r="E377" s="4">
        <v>0.16994700000000001</v>
      </c>
      <c r="F377" s="4">
        <v>0.18776700000000002</v>
      </c>
      <c r="G377" s="4">
        <v>0.25236449999999999</v>
      </c>
      <c r="H377" s="4">
        <v>0.24568199999999998</v>
      </c>
      <c r="I377" s="4">
        <v>0.25681949999999998</v>
      </c>
      <c r="J377" s="4">
        <v>0.23677200000000004</v>
      </c>
      <c r="K377" s="4">
        <v>0.22563449999999999</v>
      </c>
      <c r="L377" s="4">
        <v>0.15880949999999999</v>
      </c>
      <c r="M377" s="4">
        <v>0.12539700000000001</v>
      </c>
      <c r="N377" s="4">
        <v>0.15880950000000002</v>
      </c>
    </row>
    <row r="378" spans="1:14" x14ac:dyDescent="0.25">
      <c r="A378">
        <v>2020</v>
      </c>
      <c r="B378">
        <v>216</v>
      </c>
      <c r="C378" t="s">
        <v>79</v>
      </c>
      <c r="D378">
        <v>51</v>
      </c>
      <c r="E378" s="4">
        <v>0.267957</v>
      </c>
      <c r="F378" s="4">
        <v>0.26350199999999996</v>
      </c>
      <c r="G378" s="4">
        <v>0.25459199999999998</v>
      </c>
      <c r="H378" s="4">
        <v>0.27018449999999999</v>
      </c>
      <c r="I378" s="4">
        <v>0.24568199999999998</v>
      </c>
      <c r="J378" s="4">
        <v>0.232317</v>
      </c>
      <c r="K378" s="4">
        <v>0.21895199999999998</v>
      </c>
      <c r="L378" s="4">
        <v>0.21895199999999998</v>
      </c>
      <c r="M378" s="4">
        <v>0.2389995</v>
      </c>
      <c r="N378" s="4">
        <v>0.25436925000000005</v>
      </c>
    </row>
    <row r="379" spans="1:14" x14ac:dyDescent="0.25">
      <c r="A379">
        <v>2020</v>
      </c>
      <c r="B379">
        <v>216</v>
      </c>
      <c r="C379" t="s">
        <v>79</v>
      </c>
      <c r="D379">
        <v>52</v>
      </c>
      <c r="E379" s="4">
        <v>0.25236449999999999</v>
      </c>
      <c r="F379" s="4">
        <v>0.23454450000000002</v>
      </c>
      <c r="G379" s="4">
        <v>0.27241199999999993</v>
      </c>
      <c r="H379" s="4">
        <v>0.27463949999999998</v>
      </c>
      <c r="I379" s="4">
        <v>0.2880045</v>
      </c>
      <c r="J379" s="4">
        <v>0.27463949999999998</v>
      </c>
      <c r="K379" s="4">
        <v>0.26572949999999995</v>
      </c>
      <c r="L379" s="4">
        <v>0.21672450000000001</v>
      </c>
      <c r="M379" s="4">
        <v>0.2211795</v>
      </c>
      <c r="N379" s="4">
        <v>0.25436925000000005</v>
      </c>
    </row>
    <row r="380" spans="1:14" x14ac:dyDescent="0.25">
      <c r="A380">
        <v>2020</v>
      </c>
      <c r="B380">
        <v>216</v>
      </c>
      <c r="C380" t="s">
        <v>79</v>
      </c>
      <c r="D380">
        <v>53</v>
      </c>
      <c r="E380" s="4">
        <v>0.2389995</v>
      </c>
      <c r="F380" s="4">
        <v>0.23677200000000004</v>
      </c>
      <c r="G380" s="4">
        <v>0.25459199999999998</v>
      </c>
      <c r="H380" s="4">
        <v>0.27686699999999997</v>
      </c>
      <c r="I380" s="4">
        <v>0.26572949999999995</v>
      </c>
      <c r="J380" s="4">
        <v>0.24568199999999998</v>
      </c>
      <c r="K380" s="4">
        <v>0.19667699999999996</v>
      </c>
      <c r="L380" s="4">
        <v>0.129852</v>
      </c>
      <c r="M380" s="4">
        <v>0.129852</v>
      </c>
      <c r="N380" s="4">
        <v>0.18086175000000002</v>
      </c>
    </row>
    <row r="381" spans="1:14" x14ac:dyDescent="0.25">
      <c r="A381">
        <v>2020</v>
      </c>
      <c r="B381">
        <v>216</v>
      </c>
      <c r="C381" t="s">
        <v>79</v>
      </c>
      <c r="D381">
        <v>54</v>
      </c>
      <c r="E381" s="4">
        <v>0.23008950000000003</v>
      </c>
      <c r="F381" s="4">
        <v>0.23454450000000002</v>
      </c>
      <c r="G381" s="4">
        <v>0.22340700000000002</v>
      </c>
      <c r="H381" s="4">
        <v>0.25904699999999997</v>
      </c>
      <c r="I381" s="4">
        <v>0.25681949999999998</v>
      </c>
      <c r="J381" s="4">
        <v>0.23454450000000002</v>
      </c>
      <c r="K381" s="4">
        <v>0.18331200000000003</v>
      </c>
      <c r="L381" s="4">
        <v>0.18776700000000002</v>
      </c>
      <c r="M381" s="4">
        <v>0.18331200000000003</v>
      </c>
      <c r="N381" s="4">
        <v>0.22496624999999998</v>
      </c>
    </row>
    <row r="382" spans="1:14" x14ac:dyDescent="0.25">
      <c r="A382">
        <v>2020</v>
      </c>
      <c r="B382">
        <v>216</v>
      </c>
      <c r="C382" t="s">
        <v>79</v>
      </c>
      <c r="D382">
        <v>61</v>
      </c>
      <c r="E382" s="4">
        <v>0.21004199999999998</v>
      </c>
      <c r="F382" s="4">
        <v>0.165492</v>
      </c>
      <c r="G382" s="4">
        <v>0.174402</v>
      </c>
      <c r="H382" s="4">
        <v>0.2122695</v>
      </c>
      <c r="I382" s="4">
        <v>0.23008950000000003</v>
      </c>
      <c r="J382" s="4">
        <v>0.17885699999999999</v>
      </c>
      <c r="K382" s="4">
        <v>0.17217450000000001</v>
      </c>
      <c r="L382" s="4">
        <v>0.16103699999999999</v>
      </c>
      <c r="M382" s="4">
        <v>0.174402</v>
      </c>
      <c r="N382" s="4">
        <v>0.20781450000000004</v>
      </c>
    </row>
    <row r="383" spans="1:14" x14ac:dyDescent="0.25">
      <c r="A383">
        <v>2020</v>
      </c>
      <c r="B383">
        <v>216</v>
      </c>
      <c r="C383" t="s">
        <v>79</v>
      </c>
      <c r="D383">
        <v>62</v>
      </c>
      <c r="E383" s="4">
        <v>0.22340700000000002</v>
      </c>
      <c r="F383" s="4">
        <v>0.23454450000000002</v>
      </c>
      <c r="G383" s="4">
        <v>0.25013699999999994</v>
      </c>
      <c r="H383" s="4">
        <v>0.18999449999999996</v>
      </c>
      <c r="I383" s="4">
        <v>0.174402</v>
      </c>
      <c r="J383" s="4">
        <v>0.17662950000000002</v>
      </c>
      <c r="K383" s="4">
        <v>0.129852</v>
      </c>
      <c r="L383" s="4">
        <v>0.14989949999999999</v>
      </c>
      <c r="M383" s="4">
        <v>0.20558699999999999</v>
      </c>
      <c r="N383" s="4">
        <v>0.23966774999999998</v>
      </c>
    </row>
    <row r="384" spans="1:14" x14ac:dyDescent="0.25">
      <c r="A384">
        <v>2020</v>
      </c>
      <c r="B384">
        <v>216</v>
      </c>
      <c r="C384" t="s">
        <v>79</v>
      </c>
      <c r="D384">
        <v>63</v>
      </c>
      <c r="E384" s="4">
        <v>0.26127450000000002</v>
      </c>
      <c r="F384" s="4">
        <v>0.23677200000000004</v>
      </c>
      <c r="G384" s="4">
        <v>0.2211795</v>
      </c>
      <c r="H384" s="4">
        <v>0.20335949999999997</v>
      </c>
      <c r="I384" s="4">
        <v>0.21004199999999998</v>
      </c>
      <c r="J384" s="4">
        <v>0.22786200000000001</v>
      </c>
      <c r="K384" s="4">
        <v>0.174402</v>
      </c>
      <c r="L384" s="4">
        <v>0.14321700000000001</v>
      </c>
      <c r="M384" s="4">
        <v>0.16771949999999999</v>
      </c>
      <c r="N384" s="4">
        <v>0.23966774999999998</v>
      </c>
    </row>
    <row r="385" spans="1:14" x14ac:dyDescent="0.25">
      <c r="A385">
        <v>2020</v>
      </c>
      <c r="B385">
        <v>216</v>
      </c>
      <c r="C385" t="s">
        <v>79</v>
      </c>
      <c r="D385">
        <v>64</v>
      </c>
      <c r="E385" s="4">
        <v>0.26127450000000002</v>
      </c>
      <c r="F385" s="4">
        <v>0.25236449999999999</v>
      </c>
      <c r="G385" s="4">
        <v>0.21449699999999999</v>
      </c>
      <c r="H385" s="4">
        <v>0.23008950000000003</v>
      </c>
      <c r="I385" s="4">
        <v>0.24568199999999998</v>
      </c>
      <c r="J385" s="4">
        <v>0.22563449999999999</v>
      </c>
      <c r="K385" s="4">
        <v>0.18776700000000002</v>
      </c>
      <c r="L385" s="4">
        <v>0.12316949999999999</v>
      </c>
      <c r="M385" s="4">
        <v>0.11871450000000003</v>
      </c>
      <c r="N385" s="4">
        <v>0.20046375000000005</v>
      </c>
    </row>
    <row r="386" spans="1:14" x14ac:dyDescent="0.25">
      <c r="A386">
        <v>2020</v>
      </c>
      <c r="B386">
        <v>223</v>
      </c>
      <c r="C386" t="s">
        <v>79</v>
      </c>
      <c r="D386">
        <v>11</v>
      </c>
      <c r="E386" s="4">
        <v>0.17217450000000001</v>
      </c>
      <c r="F386" s="4">
        <v>0.18331200000000003</v>
      </c>
      <c r="G386" s="4">
        <v>0.22340700000000002</v>
      </c>
      <c r="H386" s="4">
        <v>0.25904699999999997</v>
      </c>
      <c r="I386" s="4">
        <v>0.23454450000000002</v>
      </c>
      <c r="J386" s="4">
        <v>0.25459199999999998</v>
      </c>
      <c r="K386" s="4">
        <v>0.267957</v>
      </c>
      <c r="L386" s="4">
        <v>0.24122700000000002</v>
      </c>
      <c r="M386" s="4">
        <v>0.25013699999999994</v>
      </c>
      <c r="N386" s="4">
        <v>0.26417025000000005</v>
      </c>
    </row>
    <row r="387" spans="1:14" x14ac:dyDescent="0.25">
      <c r="A387">
        <v>2020</v>
      </c>
      <c r="B387">
        <v>223</v>
      </c>
      <c r="C387" t="s">
        <v>79</v>
      </c>
      <c r="D387">
        <v>12</v>
      </c>
      <c r="E387" s="4">
        <v>0.2389995</v>
      </c>
      <c r="F387" s="4">
        <v>0.22786200000000001</v>
      </c>
      <c r="G387" s="4">
        <v>0.20113199999999998</v>
      </c>
      <c r="H387" s="4">
        <v>0.18331200000000003</v>
      </c>
      <c r="I387" s="4">
        <v>0.15435450000000001</v>
      </c>
      <c r="J387" s="4">
        <v>0.156582</v>
      </c>
      <c r="K387" s="4">
        <v>0.138762</v>
      </c>
      <c r="L387" s="4">
        <v>0.18776700000000002</v>
      </c>
      <c r="M387" s="4">
        <v>0.17217450000000001</v>
      </c>
      <c r="N387" s="4">
        <v>0.17351100000000003</v>
      </c>
    </row>
    <row r="388" spans="1:14" x14ac:dyDescent="0.25">
      <c r="A388">
        <v>2020</v>
      </c>
      <c r="B388">
        <v>223</v>
      </c>
      <c r="C388" t="s">
        <v>79</v>
      </c>
      <c r="D388">
        <v>13</v>
      </c>
      <c r="E388" s="4">
        <v>0.2122695</v>
      </c>
      <c r="F388" s="4">
        <v>0.19890449999999998</v>
      </c>
      <c r="G388" s="4">
        <v>0.21449699999999999</v>
      </c>
      <c r="H388" s="4">
        <v>0.23677200000000004</v>
      </c>
      <c r="I388" s="4">
        <v>0.24122700000000002</v>
      </c>
      <c r="J388" s="4">
        <v>0.1944495</v>
      </c>
      <c r="K388" s="4">
        <v>0.15435450000000001</v>
      </c>
      <c r="L388" s="4">
        <v>0.16326450000000001</v>
      </c>
      <c r="M388" s="4">
        <v>0.174402</v>
      </c>
      <c r="N388" s="4">
        <v>0.18821250000000003</v>
      </c>
    </row>
    <row r="389" spans="1:14" x14ac:dyDescent="0.25">
      <c r="A389">
        <v>2020</v>
      </c>
      <c r="B389">
        <v>223</v>
      </c>
      <c r="C389" t="s">
        <v>79</v>
      </c>
      <c r="D389">
        <v>14</v>
      </c>
      <c r="E389" s="4">
        <v>0.24790949999999998</v>
      </c>
      <c r="F389" s="4">
        <v>0.24568199999999998</v>
      </c>
      <c r="G389" s="4">
        <v>0.26350199999999996</v>
      </c>
      <c r="H389" s="4">
        <v>0.24122700000000002</v>
      </c>
      <c r="I389" s="4">
        <v>0.21672450000000001</v>
      </c>
      <c r="J389" s="4">
        <v>0.1855395</v>
      </c>
      <c r="K389" s="4">
        <v>0.2211795</v>
      </c>
      <c r="L389" s="4">
        <v>0.24122700000000002</v>
      </c>
      <c r="M389" s="4">
        <v>0.2211795</v>
      </c>
      <c r="N389" s="4">
        <v>0.24456824999999999</v>
      </c>
    </row>
    <row r="390" spans="1:14" x14ac:dyDescent="0.25">
      <c r="A390">
        <v>2020</v>
      </c>
      <c r="B390">
        <v>223</v>
      </c>
      <c r="C390" t="s">
        <v>79</v>
      </c>
      <c r="D390">
        <v>21</v>
      </c>
      <c r="E390" s="4">
        <v>0.26350199999999996</v>
      </c>
      <c r="F390" s="4">
        <v>0.24122700000000002</v>
      </c>
      <c r="G390" s="4">
        <v>0.24122700000000002</v>
      </c>
      <c r="H390" s="4">
        <v>0.24122700000000002</v>
      </c>
      <c r="I390" s="4">
        <v>0.22563449999999999</v>
      </c>
      <c r="J390" s="4">
        <v>0.21672450000000001</v>
      </c>
      <c r="K390" s="4">
        <v>0.17885699999999999</v>
      </c>
      <c r="L390" s="4">
        <v>0.20335949999999997</v>
      </c>
      <c r="M390" s="4">
        <v>0.20113199999999998</v>
      </c>
      <c r="N390" s="4">
        <v>0.2470185</v>
      </c>
    </row>
    <row r="391" spans="1:14" x14ac:dyDescent="0.25">
      <c r="A391">
        <v>2020</v>
      </c>
      <c r="B391">
        <v>223</v>
      </c>
      <c r="C391" t="s">
        <v>79</v>
      </c>
      <c r="D391">
        <v>22</v>
      </c>
      <c r="E391" s="4">
        <v>0.24345450000000002</v>
      </c>
      <c r="F391" s="4">
        <v>0.232317</v>
      </c>
      <c r="G391" s="4">
        <v>0.23008950000000003</v>
      </c>
      <c r="H391" s="4">
        <v>0.2389995</v>
      </c>
      <c r="I391" s="4">
        <v>0.2122695</v>
      </c>
      <c r="J391" s="4">
        <v>0.16771949999999999</v>
      </c>
      <c r="K391" s="4">
        <v>0.13430700000000001</v>
      </c>
      <c r="L391" s="4">
        <v>0.18108450000000001</v>
      </c>
      <c r="M391" s="4">
        <v>0.1944495</v>
      </c>
      <c r="N391" s="4">
        <v>0.24946875000000004</v>
      </c>
    </row>
    <row r="392" spans="1:14" x14ac:dyDescent="0.25">
      <c r="A392">
        <v>2020</v>
      </c>
      <c r="B392">
        <v>223</v>
      </c>
      <c r="C392" t="s">
        <v>79</v>
      </c>
      <c r="D392">
        <v>23</v>
      </c>
      <c r="E392" s="4">
        <v>0.23008950000000003</v>
      </c>
      <c r="F392" s="4">
        <v>0.23008950000000003</v>
      </c>
      <c r="G392" s="4">
        <v>0.25459199999999998</v>
      </c>
      <c r="H392" s="4">
        <v>0.27241199999999993</v>
      </c>
      <c r="I392" s="4">
        <v>0.23454450000000002</v>
      </c>
      <c r="J392" s="4">
        <v>0.15880949999999999</v>
      </c>
      <c r="K392" s="4">
        <v>0.14098950000000002</v>
      </c>
      <c r="L392" s="4">
        <v>0.15435450000000001</v>
      </c>
      <c r="M392" s="4">
        <v>0.17885699999999999</v>
      </c>
      <c r="N392" s="4">
        <v>0.18576225000000005</v>
      </c>
    </row>
    <row r="393" spans="1:14" x14ac:dyDescent="0.25">
      <c r="A393">
        <v>2020</v>
      </c>
      <c r="B393">
        <v>223</v>
      </c>
      <c r="C393" t="s">
        <v>79</v>
      </c>
      <c r="D393">
        <v>24</v>
      </c>
      <c r="E393" s="4">
        <v>0.15212699999999998</v>
      </c>
      <c r="F393" s="4">
        <v>0.11648700000000002</v>
      </c>
      <c r="G393" s="4">
        <v>0.1008945</v>
      </c>
      <c r="H393" s="4">
        <v>8.9757000000000003E-2</v>
      </c>
      <c r="I393" s="4">
        <v>7.1936999999999987E-2</v>
      </c>
      <c r="J393" s="4">
        <v>7.416449999999998E-2</v>
      </c>
      <c r="K393" s="4">
        <v>7.8619499999999995E-2</v>
      </c>
      <c r="L393" s="4">
        <v>0.10312200000000001</v>
      </c>
      <c r="M393" s="4">
        <v>0.13430700000000001</v>
      </c>
      <c r="N393" s="4">
        <v>0.21516524999999997</v>
      </c>
    </row>
    <row r="394" spans="1:14" x14ac:dyDescent="0.25">
      <c r="A394">
        <v>2020</v>
      </c>
      <c r="B394">
        <v>223</v>
      </c>
      <c r="C394" t="s">
        <v>79</v>
      </c>
      <c r="D394">
        <v>31</v>
      </c>
      <c r="E394" s="4">
        <v>0.28132200000000002</v>
      </c>
      <c r="F394" s="4">
        <v>0.25236449999999999</v>
      </c>
      <c r="G394" s="4">
        <v>0.24790949999999998</v>
      </c>
      <c r="H394" s="4">
        <v>0.25904699999999997</v>
      </c>
      <c r="I394" s="4">
        <v>0.25681949999999998</v>
      </c>
      <c r="J394" s="4">
        <v>0.21449699999999999</v>
      </c>
      <c r="K394" s="4">
        <v>0.15880949999999999</v>
      </c>
      <c r="L394" s="4">
        <v>0.14989949999999999</v>
      </c>
      <c r="M394" s="4">
        <v>0.14989949999999999</v>
      </c>
      <c r="N394" s="4">
        <v>0.19066275000000005</v>
      </c>
    </row>
    <row r="395" spans="1:14" x14ac:dyDescent="0.25">
      <c r="A395">
        <v>2020</v>
      </c>
      <c r="B395">
        <v>223</v>
      </c>
      <c r="C395" t="s">
        <v>79</v>
      </c>
      <c r="D395">
        <v>32</v>
      </c>
      <c r="E395" s="4">
        <v>0.18776700000000002</v>
      </c>
      <c r="F395" s="4">
        <v>0.17662950000000002</v>
      </c>
      <c r="G395" s="4">
        <v>0.14989949999999999</v>
      </c>
      <c r="H395" s="4">
        <v>0.13430700000000001</v>
      </c>
      <c r="I395" s="4">
        <v>0.13430700000000001</v>
      </c>
      <c r="J395" s="4">
        <v>0.12094200000000001</v>
      </c>
      <c r="K395" s="4">
        <v>0.1365345</v>
      </c>
      <c r="L395" s="4">
        <v>0.18108450000000001</v>
      </c>
      <c r="M395" s="4">
        <v>0.21449699999999999</v>
      </c>
      <c r="N395" s="4">
        <v>0.25436925000000005</v>
      </c>
    </row>
    <row r="396" spans="1:14" x14ac:dyDescent="0.25">
      <c r="A396">
        <v>2020</v>
      </c>
      <c r="B396">
        <v>223</v>
      </c>
      <c r="C396" t="s">
        <v>79</v>
      </c>
      <c r="D396">
        <v>33</v>
      </c>
      <c r="E396" s="4">
        <v>0.18108450000000001</v>
      </c>
      <c r="F396" s="4">
        <v>0.18776700000000002</v>
      </c>
      <c r="G396" s="4">
        <v>0.23454450000000002</v>
      </c>
      <c r="H396" s="4">
        <v>0.25459199999999998</v>
      </c>
      <c r="I396" s="4">
        <v>0.23454450000000002</v>
      </c>
      <c r="J396" s="4">
        <v>0.22786200000000001</v>
      </c>
      <c r="K396" s="4">
        <v>0.23008950000000003</v>
      </c>
      <c r="L396" s="4">
        <v>0.21895199999999998</v>
      </c>
      <c r="M396" s="4">
        <v>0.2389995</v>
      </c>
      <c r="N396" s="4">
        <v>0.26417025000000005</v>
      </c>
    </row>
    <row r="397" spans="1:14" x14ac:dyDescent="0.25">
      <c r="A397">
        <v>2020</v>
      </c>
      <c r="B397">
        <v>223</v>
      </c>
      <c r="C397" t="s">
        <v>79</v>
      </c>
      <c r="D397">
        <v>34</v>
      </c>
      <c r="E397" s="4">
        <v>0.15212699999999998</v>
      </c>
      <c r="F397" s="4">
        <v>0.16326450000000001</v>
      </c>
      <c r="G397" s="4">
        <v>0.2211795</v>
      </c>
      <c r="H397" s="4">
        <v>0.24345450000000002</v>
      </c>
      <c r="I397" s="4">
        <v>0.24790949999999998</v>
      </c>
      <c r="J397" s="4">
        <v>0.24790949999999998</v>
      </c>
      <c r="K397" s="4">
        <v>0.2122695</v>
      </c>
      <c r="L397" s="4">
        <v>0.1944495</v>
      </c>
      <c r="M397" s="4">
        <v>0.18776700000000002</v>
      </c>
      <c r="N397" s="4">
        <v>0.22006574999999998</v>
      </c>
    </row>
    <row r="398" spans="1:14" x14ac:dyDescent="0.25">
      <c r="A398">
        <v>2020</v>
      </c>
      <c r="B398">
        <v>223</v>
      </c>
      <c r="C398" t="s">
        <v>79</v>
      </c>
      <c r="D398">
        <v>41</v>
      </c>
      <c r="E398" s="4">
        <v>0.21449699999999999</v>
      </c>
      <c r="F398" s="4">
        <v>0.23008950000000003</v>
      </c>
      <c r="G398" s="4">
        <v>0.28577700000000006</v>
      </c>
      <c r="H398" s="4">
        <v>0.25681949999999998</v>
      </c>
      <c r="I398" s="4">
        <v>0.267957</v>
      </c>
      <c r="J398" s="4">
        <v>0.25459199999999998</v>
      </c>
      <c r="K398" s="4">
        <v>0.18776700000000002</v>
      </c>
      <c r="L398" s="4">
        <v>0.16103699999999999</v>
      </c>
      <c r="M398" s="4">
        <v>0.174402</v>
      </c>
      <c r="N398" s="4">
        <v>0.21761549999999999</v>
      </c>
    </row>
    <row r="399" spans="1:14" x14ac:dyDescent="0.25">
      <c r="A399">
        <v>2020</v>
      </c>
      <c r="B399">
        <v>223</v>
      </c>
      <c r="C399" t="s">
        <v>79</v>
      </c>
      <c r="D399">
        <v>42</v>
      </c>
      <c r="E399" s="4">
        <v>0.21449699999999999</v>
      </c>
      <c r="F399" s="4">
        <v>0.21672450000000001</v>
      </c>
      <c r="G399" s="4">
        <v>0.232317</v>
      </c>
      <c r="H399" s="4">
        <v>0.23008950000000003</v>
      </c>
      <c r="I399" s="4">
        <v>0.24568199999999998</v>
      </c>
      <c r="J399" s="4">
        <v>0.18108450000000001</v>
      </c>
      <c r="K399" s="4">
        <v>0.1365345</v>
      </c>
      <c r="L399" s="4">
        <v>0.15212699999999998</v>
      </c>
      <c r="M399" s="4">
        <v>0.18776700000000002</v>
      </c>
      <c r="N399" s="4">
        <v>0.22986674999999998</v>
      </c>
    </row>
    <row r="400" spans="1:14" x14ac:dyDescent="0.25">
      <c r="A400">
        <v>2020</v>
      </c>
      <c r="B400">
        <v>223</v>
      </c>
      <c r="C400" t="s">
        <v>79</v>
      </c>
      <c r="D400">
        <v>43</v>
      </c>
      <c r="E400" s="4">
        <v>0.23008950000000003</v>
      </c>
      <c r="F400" s="4">
        <v>0.22563449999999999</v>
      </c>
      <c r="G400" s="4">
        <v>0.24345450000000002</v>
      </c>
      <c r="H400" s="4">
        <v>0.20335949999999997</v>
      </c>
      <c r="I400" s="4">
        <v>0.20558699999999999</v>
      </c>
      <c r="J400" s="4">
        <v>0.19667699999999996</v>
      </c>
      <c r="K400" s="4">
        <v>0.1855395</v>
      </c>
      <c r="L400" s="4">
        <v>0.1454445</v>
      </c>
      <c r="M400" s="4">
        <v>0.1454445</v>
      </c>
      <c r="N400" s="4">
        <v>0.20781450000000004</v>
      </c>
    </row>
    <row r="401" spans="1:14" x14ac:dyDescent="0.25">
      <c r="A401">
        <v>2020</v>
      </c>
      <c r="B401">
        <v>223</v>
      </c>
      <c r="C401" t="s">
        <v>79</v>
      </c>
      <c r="D401">
        <v>44</v>
      </c>
      <c r="E401" s="4">
        <v>0.165492</v>
      </c>
      <c r="F401" s="4">
        <v>0.18331200000000003</v>
      </c>
      <c r="G401" s="4">
        <v>0.26127450000000002</v>
      </c>
      <c r="H401" s="4">
        <v>0.25013699999999994</v>
      </c>
      <c r="I401" s="4">
        <v>0.25904699999999997</v>
      </c>
      <c r="J401" s="4">
        <v>0.2389995</v>
      </c>
      <c r="K401" s="4">
        <v>0.23008950000000003</v>
      </c>
      <c r="L401" s="4">
        <v>0.165492</v>
      </c>
      <c r="M401" s="4">
        <v>0.1276245</v>
      </c>
      <c r="N401" s="4">
        <v>0.15635925000000001</v>
      </c>
    </row>
    <row r="402" spans="1:14" x14ac:dyDescent="0.25">
      <c r="A402">
        <v>2020</v>
      </c>
      <c r="B402">
        <v>223</v>
      </c>
      <c r="C402" t="s">
        <v>79</v>
      </c>
      <c r="D402">
        <v>51</v>
      </c>
      <c r="E402" s="4">
        <v>0.27018449999999999</v>
      </c>
      <c r="F402" s="4">
        <v>0.267957</v>
      </c>
      <c r="G402" s="4">
        <v>0.27241199999999993</v>
      </c>
      <c r="H402" s="4">
        <v>0.27018449999999999</v>
      </c>
      <c r="I402" s="4">
        <v>0.25013699999999994</v>
      </c>
      <c r="J402" s="4">
        <v>0.23677200000000004</v>
      </c>
      <c r="K402" s="4">
        <v>0.22786200000000001</v>
      </c>
      <c r="L402" s="4">
        <v>0.22563449999999999</v>
      </c>
      <c r="M402" s="4">
        <v>0.2389995</v>
      </c>
      <c r="N402" s="4">
        <v>0.26172000000000001</v>
      </c>
    </row>
    <row r="403" spans="1:14" x14ac:dyDescent="0.25">
      <c r="A403">
        <v>2020</v>
      </c>
      <c r="B403">
        <v>223</v>
      </c>
      <c r="C403" t="s">
        <v>79</v>
      </c>
      <c r="D403">
        <v>52</v>
      </c>
      <c r="E403" s="4">
        <v>0.25681949999999998</v>
      </c>
      <c r="F403" s="4">
        <v>0.23454450000000002</v>
      </c>
      <c r="G403" s="4">
        <v>0.267957</v>
      </c>
      <c r="H403" s="4">
        <v>0.29023199999999999</v>
      </c>
      <c r="I403" s="4">
        <v>0.29914200000000002</v>
      </c>
      <c r="J403" s="4">
        <v>0.28132200000000002</v>
      </c>
      <c r="K403" s="4">
        <v>0.27686699999999997</v>
      </c>
      <c r="L403" s="4">
        <v>0.2211795</v>
      </c>
      <c r="M403" s="4">
        <v>0.22563449999999999</v>
      </c>
      <c r="N403" s="4">
        <v>0.26417025000000005</v>
      </c>
    </row>
    <row r="404" spans="1:14" x14ac:dyDescent="0.25">
      <c r="A404">
        <v>2020</v>
      </c>
      <c r="B404">
        <v>223</v>
      </c>
      <c r="C404" t="s">
        <v>79</v>
      </c>
      <c r="D404">
        <v>53</v>
      </c>
      <c r="E404" s="4">
        <v>0.24790949999999998</v>
      </c>
      <c r="F404" s="4">
        <v>0.23677200000000004</v>
      </c>
      <c r="G404" s="4">
        <v>0.26127450000000002</v>
      </c>
      <c r="H404" s="4">
        <v>0.27463949999999998</v>
      </c>
      <c r="I404" s="4">
        <v>0.26127450000000002</v>
      </c>
      <c r="J404" s="4">
        <v>0.24345450000000002</v>
      </c>
      <c r="K404" s="4">
        <v>0.21004199999999998</v>
      </c>
      <c r="L404" s="4">
        <v>0.13430700000000001</v>
      </c>
      <c r="M404" s="4">
        <v>0.13207950000000002</v>
      </c>
      <c r="N404" s="4">
        <v>0.18576225000000005</v>
      </c>
    </row>
    <row r="405" spans="1:14" x14ac:dyDescent="0.25">
      <c r="A405">
        <v>2020</v>
      </c>
      <c r="B405">
        <v>223</v>
      </c>
      <c r="C405" t="s">
        <v>79</v>
      </c>
      <c r="D405">
        <v>54</v>
      </c>
      <c r="E405" s="4">
        <v>0.24122700000000002</v>
      </c>
      <c r="F405" s="4">
        <v>0.23454450000000002</v>
      </c>
      <c r="G405" s="4">
        <v>0.22786200000000001</v>
      </c>
      <c r="H405" s="4">
        <v>0.26350199999999996</v>
      </c>
      <c r="I405" s="4">
        <v>0.26350199999999996</v>
      </c>
      <c r="J405" s="4">
        <v>0.23454450000000002</v>
      </c>
      <c r="K405" s="4">
        <v>0.19222199999999998</v>
      </c>
      <c r="L405" s="4">
        <v>0.18331200000000003</v>
      </c>
      <c r="M405" s="4">
        <v>0.16326450000000001</v>
      </c>
      <c r="N405" s="4">
        <v>0.21516524999999997</v>
      </c>
    </row>
    <row r="406" spans="1:14" x14ac:dyDescent="0.25">
      <c r="A406">
        <v>2020</v>
      </c>
      <c r="B406">
        <v>223</v>
      </c>
      <c r="C406" t="s">
        <v>79</v>
      </c>
      <c r="D406">
        <v>61</v>
      </c>
      <c r="E406" s="4">
        <v>0.20558699999999999</v>
      </c>
      <c r="F406" s="4">
        <v>0.16771949999999999</v>
      </c>
      <c r="G406" s="4">
        <v>0.17885699999999999</v>
      </c>
      <c r="H406" s="4">
        <v>0.21449699999999999</v>
      </c>
      <c r="I406" s="4">
        <v>0.232317</v>
      </c>
      <c r="J406" s="4">
        <v>0.18776700000000002</v>
      </c>
      <c r="K406" s="4">
        <v>0.174402</v>
      </c>
      <c r="L406" s="4">
        <v>0.165492</v>
      </c>
      <c r="M406" s="4">
        <v>0.17662950000000002</v>
      </c>
      <c r="N406" s="4">
        <v>0.21516524999999997</v>
      </c>
    </row>
    <row r="407" spans="1:14" x14ac:dyDescent="0.25">
      <c r="A407">
        <v>2020</v>
      </c>
      <c r="B407">
        <v>223</v>
      </c>
      <c r="C407" t="s">
        <v>79</v>
      </c>
      <c r="D407">
        <v>62</v>
      </c>
      <c r="E407" s="4">
        <v>0.2211795</v>
      </c>
      <c r="F407" s="4">
        <v>0.24122700000000002</v>
      </c>
      <c r="G407" s="4">
        <v>0.25236449999999999</v>
      </c>
      <c r="H407" s="4">
        <v>0.19222199999999998</v>
      </c>
      <c r="I407" s="4">
        <v>0.174402</v>
      </c>
      <c r="J407" s="4">
        <v>0.16771949999999999</v>
      </c>
      <c r="K407" s="4">
        <v>0.138762</v>
      </c>
      <c r="L407" s="4">
        <v>0.15880949999999999</v>
      </c>
      <c r="M407" s="4">
        <v>0.21672450000000001</v>
      </c>
      <c r="N407" s="4">
        <v>0.23966774999999998</v>
      </c>
    </row>
    <row r="408" spans="1:14" x14ac:dyDescent="0.25">
      <c r="A408">
        <v>2020</v>
      </c>
      <c r="B408">
        <v>223</v>
      </c>
      <c r="C408" t="s">
        <v>79</v>
      </c>
      <c r="D408">
        <v>63</v>
      </c>
      <c r="E408" s="4">
        <v>0.26572949999999995</v>
      </c>
      <c r="F408" s="4">
        <v>0.23677200000000004</v>
      </c>
      <c r="G408" s="4">
        <v>0.22786200000000001</v>
      </c>
      <c r="H408" s="4">
        <v>0.2122695</v>
      </c>
      <c r="I408" s="4">
        <v>0.2122695</v>
      </c>
      <c r="J408" s="4">
        <v>0.22340700000000002</v>
      </c>
      <c r="K408" s="4">
        <v>0.18331200000000003</v>
      </c>
      <c r="L408" s="4">
        <v>0.138762</v>
      </c>
      <c r="M408" s="4">
        <v>0.165492</v>
      </c>
      <c r="N408" s="4">
        <v>0.23476724999999998</v>
      </c>
    </row>
    <row r="409" spans="1:14" x14ac:dyDescent="0.25">
      <c r="A409">
        <v>2020</v>
      </c>
      <c r="B409">
        <v>223</v>
      </c>
      <c r="C409" t="s">
        <v>79</v>
      </c>
      <c r="D409">
        <v>64</v>
      </c>
      <c r="E409" s="4">
        <v>0.27018449999999999</v>
      </c>
      <c r="F409" s="4">
        <v>0.24790949999999998</v>
      </c>
      <c r="G409" s="4">
        <v>0.21004199999999998</v>
      </c>
      <c r="H409" s="4">
        <v>0.22786200000000001</v>
      </c>
      <c r="I409" s="4">
        <v>0.25013699999999994</v>
      </c>
      <c r="J409" s="4">
        <v>0.22786200000000001</v>
      </c>
      <c r="K409" s="4">
        <v>0.18776700000000002</v>
      </c>
      <c r="L409" s="4">
        <v>0.12316949999999999</v>
      </c>
      <c r="M409" s="4">
        <v>0.12539700000000001</v>
      </c>
      <c r="N409" s="4">
        <v>0.20291400000000004</v>
      </c>
    </row>
    <row r="410" spans="1:14" x14ac:dyDescent="0.25">
      <c r="A410">
        <v>2020</v>
      </c>
      <c r="B410">
        <v>230</v>
      </c>
      <c r="C410" t="s">
        <v>79</v>
      </c>
      <c r="D410">
        <v>11</v>
      </c>
      <c r="E410" s="4">
        <v>0.16994700000000001</v>
      </c>
      <c r="F410" s="4">
        <v>0.18331200000000003</v>
      </c>
      <c r="G410" s="4">
        <v>0.21449699999999999</v>
      </c>
      <c r="H410" s="4">
        <v>0.25904699999999997</v>
      </c>
      <c r="I410" s="4">
        <v>0.23677200000000004</v>
      </c>
      <c r="J410" s="4">
        <v>0.25459199999999998</v>
      </c>
      <c r="K410" s="4">
        <v>0.267957</v>
      </c>
      <c r="L410" s="4">
        <v>0.25459199999999998</v>
      </c>
      <c r="M410" s="4">
        <v>0.24790949999999998</v>
      </c>
      <c r="N410" s="4">
        <v>0.27397125000000006</v>
      </c>
    </row>
    <row r="411" spans="1:14" x14ac:dyDescent="0.25">
      <c r="A411">
        <v>2020</v>
      </c>
      <c r="B411">
        <v>230</v>
      </c>
      <c r="C411" t="s">
        <v>79</v>
      </c>
      <c r="D411">
        <v>12</v>
      </c>
      <c r="E411" s="4">
        <v>0.22786200000000001</v>
      </c>
      <c r="F411" s="4">
        <v>0.23008950000000003</v>
      </c>
      <c r="G411" s="4">
        <v>0.19890449999999998</v>
      </c>
      <c r="H411" s="4">
        <v>0.17662950000000002</v>
      </c>
      <c r="I411" s="4">
        <v>0.14989949999999999</v>
      </c>
      <c r="J411" s="4">
        <v>0.147672</v>
      </c>
      <c r="K411" s="4">
        <v>0.138762</v>
      </c>
      <c r="L411" s="4">
        <v>0.18776700000000002</v>
      </c>
      <c r="M411" s="4">
        <v>0.17662950000000002</v>
      </c>
      <c r="N411" s="4">
        <v>0.19801350000000004</v>
      </c>
    </row>
    <row r="412" spans="1:14" x14ac:dyDescent="0.25">
      <c r="A412">
        <v>2020</v>
      </c>
      <c r="B412">
        <v>230</v>
      </c>
      <c r="C412" t="s">
        <v>79</v>
      </c>
      <c r="D412">
        <v>13</v>
      </c>
      <c r="E412" s="4">
        <v>0.2122695</v>
      </c>
      <c r="F412" s="4">
        <v>0.19667699999999996</v>
      </c>
      <c r="G412" s="4">
        <v>0.21449699999999999</v>
      </c>
      <c r="H412" s="4">
        <v>0.232317</v>
      </c>
      <c r="I412" s="4">
        <v>0.23677200000000004</v>
      </c>
      <c r="J412" s="4">
        <v>0.1855395</v>
      </c>
      <c r="K412" s="4">
        <v>0.15880949999999999</v>
      </c>
      <c r="L412" s="4">
        <v>0.16326450000000001</v>
      </c>
      <c r="M412" s="4">
        <v>0.174402</v>
      </c>
      <c r="N412" s="4">
        <v>0.20046375000000005</v>
      </c>
    </row>
    <row r="413" spans="1:14" x14ac:dyDescent="0.25">
      <c r="A413">
        <v>2020</v>
      </c>
      <c r="B413">
        <v>230</v>
      </c>
      <c r="C413" t="s">
        <v>79</v>
      </c>
      <c r="D413">
        <v>14</v>
      </c>
      <c r="E413" s="4">
        <v>0.25681949999999998</v>
      </c>
      <c r="F413" s="4">
        <v>0.25013699999999994</v>
      </c>
      <c r="G413" s="4">
        <v>0.25681949999999998</v>
      </c>
      <c r="H413" s="4">
        <v>0.24790949999999998</v>
      </c>
      <c r="I413" s="4">
        <v>0.20781449999999999</v>
      </c>
      <c r="J413" s="4">
        <v>0.1855395</v>
      </c>
      <c r="K413" s="4">
        <v>0.21672450000000001</v>
      </c>
      <c r="L413" s="4">
        <v>0.24345450000000002</v>
      </c>
      <c r="M413" s="4">
        <v>0.22340700000000002</v>
      </c>
      <c r="N413" s="4">
        <v>0.25436925000000005</v>
      </c>
    </row>
    <row r="414" spans="1:14" x14ac:dyDescent="0.25">
      <c r="A414">
        <v>2020</v>
      </c>
      <c r="B414">
        <v>230</v>
      </c>
      <c r="C414" t="s">
        <v>79</v>
      </c>
      <c r="D414">
        <v>21</v>
      </c>
      <c r="E414" s="4">
        <v>0.267957</v>
      </c>
      <c r="F414" s="4">
        <v>0.232317</v>
      </c>
      <c r="G414" s="4">
        <v>0.2389995</v>
      </c>
      <c r="H414" s="4">
        <v>0.23454450000000002</v>
      </c>
      <c r="I414" s="4">
        <v>0.22786200000000001</v>
      </c>
      <c r="J414" s="4">
        <v>0.2122695</v>
      </c>
      <c r="K414" s="4">
        <v>0.17885699999999999</v>
      </c>
      <c r="L414" s="4">
        <v>0.21672450000000001</v>
      </c>
      <c r="M414" s="4">
        <v>0.21672450000000001</v>
      </c>
      <c r="N414" s="4">
        <v>0.23966774999999998</v>
      </c>
    </row>
    <row r="415" spans="1:14" x14ac:dyDescent="0.25">
      <c r="A415">
        <v>2020</v>
      </c>
      <c r="B415">
        <v>230</v>
      </c>
      <c r="C415" t="s">
        <v>79</v>
      </c>
      <c r="D415">
        <v>22</v>
      </c>
      <c r="E415" s="4">
        <v>0.25013699999999994</v>
      </c>
      <c r="F415" s="4">
        <v>0.23454450000000002</v>
      </c>
      <c r="G415" s="4">
        <v>0.23454450000000002</v>
      </c>
      <c r="H415" s="4">
        <v>0.23677200000000004</v>
      </c>
      <c r="I415" s="4">
        <v>0.2211795</v>
      </c>
      <c r="J415" s="4">
        <v>0.17885699999999999</v>
      </c>
      <c r="K415" s="4">
        <v>0.14989949999999999</v>
      </c>
      <c r="L415" s="4">
        <v>0.18108450000000001</v>
      </c>
      <c r="M415" s="4">
        <v>0.19890449999999998</v>
      </c>
      <c r="N415" s="4">
        <v>0.24456824999999999</v>
      </c>
    </row>
    <row r="416" spans="1:14" x14ac:dyDescent="0.25">
      <c r="A416">
        <v>2020</v>
      </c>
      <c r="B416">
        <v>230</v>
      </c>
      <c r="C416" t="s">
        <v>79</v>
      </c>
      <c r="D416">
        <v>23</v>
      </c>
      <c r="E416" s="4">
        <v>0.22786200000000001</v>
      </c>
      <c r="F416" s="4">
        <v>0.22563449999999999</v>
      </c>
      <c r="G416" s="4">
        <v>0.26127450000000002</v>
      </c>
      <c r="H416" s="4">
        <v>0.267957</v>
      </c>
      <c r="I416" s="4">
        <v>0.22786200000000001</v>
      </c>
      <c r="J416" s="4">
        <v>0.15212699999999998</v>
      </c>
      <c r="K416" s="4">
        <v>0.14098950000000002</v>
      </c>
      <c r="L416" s="4">
        <v>0.156582</v>
      </c>
      <c r="M416" s="4">
        <v>0.17662950000000002</v>
      </c>
      <c r="N416" s="4">
        <v>0.18576225000000005</v>
      </c>
    </row>
    <row r="417" spans="1:14" x14ac:dyDescent="0.25">
      <c r="A417">
        <v>2020</v>
      </c>
      <c r="B417">
        <v>230</v>
      </c>
      <c r="C417" t="s">
        <v>79</v>
      </c>
      <c r="D417">
        <v>24</v>
      </c>
      <c r="E417" s="4">
        <v>0.147672</v>
      </c>
      <c r="F417" s="4">
        <v>0.1142595</v>
      </c>
      <c r="G417" s="4">
        <v>0.1008945</v>
      </c>
      <c r="H417" s="4">
        <v>8.7529500000000024E-2</v>
      </c>
      <c r="I417" s="4">
        <v>7.1936999999999987E-2</v>
      </c>
      <c r="J417" s="4">
        <v>7.416449999999998E-2</v>
      </c>
      <c r="K417" s="4">
        <v>7.8619499999999995E-2</v>
      </c>
      <c r="L417" s="4">
        <v>0.10312200000000001</v>
      </c>
      <c r="M417" s="4">
        <v>0.1365345</v>
      </c>
      <c r="N417" s="4">
        <v>0.20781450000000004</v>
      </c>
    </row>
    <row r="418" spans="1:14" x14ac:dyDescent="0.25">
      <c r="A418">
        <v>2020</v>
      </c>
      <c r="B418">
        <v>230</v>
      </c>
      <c r="C418" t="s">
        <v>79</v>
      </c>
      <c r="D418">
        <v>31</v>
      </c>
      <c r="E418" s="4">
        <v>0.29691449999999997</v>
      </c>
      <c r="F418" s="4">
        <v>0.25236449999999999</v>
      </c>
      <c r="G418" s="4">
        <v>0.25236449999999999</v>
      </c>
      <c r="H418" s="4">
        <v>0.26572949999999995</v>
      </c>
      <c r="I418" s="4">
        <v>0.26127450000000002</v>
      </c>
      <c r="J418" s="4">
        <v>0.21672450000000001</v>
      </c>
      <c r="K418" s="4">
        <v>0.16103699999999999</v>
      </c>
      <c r="L418" s="4">
        <v>0.14989949999999999</v>
      </c>
      <c r="M418" s="4">
        <v>0.15212699999999998</v>
      </c>
      <c r="N418" s="4">
        <v>0.18086175000000002</v>
      </c>
    </row>
    <row r="419" spans="1:14" x14ac:dyDescent="0.25">
      <c r="A419">
        <v>2020</v>
      </c>
      <c r="B419">
        <v>230</v>
      </c>
      <c r="C419" t="s">
        <v>79</v>
      </c>
      <c r="D419">
        <v>32</v>
      </c>
      <c r="E419" s="4">
        <v>0.18999449999999996</v>
      </c>
      <c r="F419" s="4">
        <v>0.17662950000000002</v>
      </c>
      <c r="G419" s="4">
        <v>0.14989949999999999</v>
      </c>
      <c r="H419" s="4">
        <v>0.1454445</v>
      </c>
      <c r="I419" s="4">
        <v>0.13207950000000002</v>
      </c>
      <c r="J419" s="4">
        <v>0.13430700000000001</v>
      </c>
      <c r="K419" s="4">
        <v>0.1365345</v>
      </c>
      <c r="L419" s="4">
        <v>0.1855395</v>
      </c>
      <c r="M419" s="4">
        <v>0.21672450000000001</v>
      </c>
      <c r="N419" s="4">
        <v>0.25191900000000006</v>
      </c>
    </row>
    <row r="420" spans="1:14" x14ac:dyDescent="0.25">
      <c r="A420">
        <v>2020</v>
      </c>
      <c r="B420">
        <v>230</v>
      </c>
      <c r="C420" t="s">
        <v>79</v>
      </c>
      <c r="D420">
        <v>33</v>
      </c>
      <c r="E420" s="4">
        <v>0.19667699999999996</v>
      </c>
      <c r="F420" s="4">
        <v>0.1944495</v>
      </c>
      <c r="G420" s="4">
        <v>0.2389995</v>
      </c>
      <c r="H420" s="4">
        <v>0.26350199999999996</v>
      </c>
      <c r="I420" s="4">
        <v>0.24345450000000002</v>
      </c>
      <c r="J420" s="4">
        <v>0.23454450000000002</v>
      </c>
      <c r="K420" s="4">
        <v>0.24568199999999998</v>
      </c>
      <c r="L420" s="4">
        <v>0.22563449999999999</v>
      </c>
      <c r="M420" s="4">
        <v>0.23454450000000002</v>
      </c>
      <c r="N420" s="4">
        <v>0.26172000000000001</v>
      </c>
    </row>
    <row r="421" spans="1:14" x14ac:dyDescent="0.25">
      <c r="A421">
        <v>2020</v>
      </c>
      <c r="B421">
        <v>230</v>
      </c>
      <c r="C421" t="s">
        <v>79</v>
      </c>
      <c r="D421">
        <v>34</v>
      </c>
      <c r="E421" s="4">
        <v>0.1454445</v>
      </c>
      <c r="F421" s="4">
        <v>0.156582</v>
      </c>
      <c r="G421" s="4">
        <v>0.2122695</v>
      </c>
      <c r="H421" s="4">
        <v>0.24345450000000002</v>
      </c>
      <c r="I421" s="4">
        <v>0.25013699999999994</v>
      </c>
      <c r="J421" s="4">
        <v>0.24568199999999998</v>
      </c>
      <c r="K421" s="4">
        <v>0.21449699999999999</v>
      </c>
      <c r="L421" s="4">
        <v>0.1944495</v>
      </c>
      <c r="M421" s="4">
        <v>0.17885699999999999</v>
      </c>
      <c r="N421" s="4">
        <v>0.20781450000000004</v>
      </c>
    </row>
    <row r="422" spans="1:14" x14ac:dyDescent="0.25">
      <c r="A422">
        <v>2020</v>
      </c>
      <c r="B422">
        <v>230</v>
      </c>
      <c r="C422" t="s">
        <v>79</v>
      </c>
      <c r="D422">
        <v>41</v>
      </c>
      <c r="E422" s="4">
        <v>0.21004199999999998</v>
      </c>
      <c r="F422" s="4">
        <v>0.23454450000000002</v>
      </c>
      <c r="G422" s="4">
        <v>0.2880045</v>
      </c>
      <c r="H422" s="4">
        <v>0.26127450000000002</v>
      </c>
      <c r="I422" s="4">
        <v>0.26350199999999996</v>
      </c>
      <c r="J422" s="4">
        <v>0.25459199999999998</v>
      </c>
      <c r="K422" s="4">
        <v>0.18108450000000001</v>
      </c>
      <c r="L422" s="4">
        <v>0.16103699999999999</v>
      </c>
      <c r="M422" s="4">
        <v>0.17662950000000002</v>
      </c>
      <c r="N422" s="4">
        <v>0.22006574999999998</v>
      </c>
    </row>
    <row r="423" spans="1:14" x14ac:dyDescent="0.25">
      <c r="A423">
        <v>2020</v>
      </c>
      <c r="B423">
        <v>230</v>
      </c>
      <c r="C423" t="s">
        <v>79</v>
      </c>
      <c r="D423">
        <v>42</v>
      </c>
      <c r="E423" s="4">
        <v>0.21004199999999998</v>
      </c>
      <c r="F423" s="4">
        <v>0.21004199999999998</v>
      </c>
      <c r="G423" s="4">
        <v>0.23454450000000002</v>
      </c>
      <c r="H423" s="4">
        <v>0.23454450000000002</v>
      </c>
      <c r="I423" s="4">
        <v>0.2389995</v>
      </c>
      <c r="J423" s="4">
        <v>0.1855395</v>
      </c>
      <c r="K423" s="4">
        <v>0.1454445</v>
      </c>
      <c r="L423" s="4">
        <v>0.156582</v>
      </c>
      <c r="M423" s="4">
        <v>0.18776700000000002</v>
      </c>
      <c r="N423" s="4">
        <v>0.22986674999999998</v>
      </c>
    </row>
    <row r="424" spans="1:14" x14ac:dyDescent="0.25">
      <c r="A424">
        <v>2020</v>
      </c>
      <c r="B424">
        <v>230</v>
      </c>
      <c r="C424" t="s">
        <v>79</v>
      </c>
      <c r="D424">
        <v>43</v>
      </c>
      <c r="E424" s="4">
        <v>0.22563449999999999</v>
      </c>
      <c r="F424" s="4">
        <v>0.22786200000000001</v>
      </c>
      <c r="G424" s="4">
        <v>0.24790949999999998</v>
      </c>
      <c r="H424" s="4">
        <v>0.19890449999999998</v>
      </c>
      <c r="I424" s="4">
        <v>0.20781449999999999</v>
      </c>
      <c r="J424" s="4">
        <v>0.1944495</v>
      </c>
      <c r="K424" s="4">
        <v>0.19222199999999998</v>
      </c>
      <c r="L424" s="4">
        <v>0.15212699999999998</v>
      </c>
      <c r="M424" s="4">
        <v>0.15212699999999998</v>
      </c>
      <c r="N424" s="4">
        <v>0.20781450000000004</v>
      </c>
    </row>
    <row r="425" spans="1:14" x14ac:dyDescent="0.25">
      <c r="A425">
        <v>2020</v>
      </c>
      <c r="B425">
        <v>230</v>
      </c>
      <c r="C425" t="s">
        <v>79</v>
      </c>
      <c r="D425">
        <v>44</v>
      </c>
      <c r="E425" s="4">
        <v>0.165492</v>
      </c>
      <c r="F425" s="4">
        <v>0.18776700000000002</v>
      </c>
      <c r="G425" s="4">
        <v>0.26127450000000002</v>
      </c>
      <c r="H425" s="4">
        <v>0.25013699999999994</v>
      </c>
      <c r="I425" s="4">
        <v>0.26127450000000002</v>
      </c>
      <c r="J425" s="4">
        <v>0.24122700000000002</v>
      </c>
      <c r="K425" s="4">
        <v>0.22563449999999999</v>
      </c>
      <c r="L425" s="4">
        <v>0.165492</v>
      </c>
      <c r="M425" s="4">
        <v>0.129852</v>
      </c>
      <c r="N425" s="4">
        <v>0.15390900000000002</v>
      </c>
    </row>
    <row r="426" spans="1:14" x14ac:dyDescent="0.25">
      <c r="A426">
        <v>2020</v>
      </c>
      <c r="B426">
        <v>230</v>
      </c>
      <c r="C426" t="s">
        <v>79</v>
      </c>
      <c r="D426">
        <v>51</v>
      </c>
      <c r="E426" s="4">
        <v>0.27686699999999997</v>
      </c>
      <c r="F426" s="4">
        <v>0.27686699999999997</v>
      </c>
      <c r="G426" s="4">
        <v>0.26572949999999995</v>
      </c>
      <c r="H426" s="4">
        <v>0.27463949999999998</v>
      </c>
      <c r="I426" s="4">
        <v>0.26127450000000002</v>
      </c>
      <c r="J426" s="4">
        <v>0.24790949999999998</v>
      </c>
      <c r="K426" s="4">
        <v>0.22786200000000001</v>
      </c>
      <c r="L426" s="4">
        <v>0.22786200000000001</v>
      </c>
      <c r="M426" s="4">
        <v>0.2389995</v>
      </c>
      <c r="N426" s="4">
        <v>0.26172000000000001</v>
      </c>
    </row>
    <row r="427" spans="1:14" x14ac:dyDescent="0.25">
      <c r="A427">
        <v>2020</v>
      </c>
      <c r="B427">
        <v>230</v>
      </c>
      <c r="C427" t="s">
        <v>79</v>
      </c>
      <c r="D427">
        <v>52</v>
      </c>
      <c r="E427" s="4">
        <v>0.24568199999999998</v>
      </c>
      <c r="F427" s="4">
        <v>0.2389995</v>
      </c>
      <c r="G427" s="4">
        <v>0.28132200000000002</v>
      </c>
      <c r="H427" s="4">
        <v>0.29023199999999999</v>
      </c>
      <c r="I427" s="4">
        <v>0.30136949999999996</v>
      </c>
      <c r="J427" s="4">
        <v>0.28577700000000006</v>
      </c>
      <c r="K427" s="4">
        <v>0.27241199999999993</v>
      </c>
      <c r="L427" s="4">
        <v>0.22340700000000002</v>
      </c>
      <c r="M427" s="4">
        <v>0.22563449999999999</v>
      </c>
      <c r="N427" s="4">
        <v>0.25681950000000003</v>
      </c>
    </row>
    <row r="428" spans="1:14" x14ac:dyDescent="0.25">
      <c r="A428">
        <v>2020</v>
      </c>
      <c r="B428">
        <v>230</v>
      </c>
      <c r="C428" t="s">
        <v>79</v>
      </c>
      <c r="D428">
        <v>53</v>
      </c>
      <c r="E428" s="4">
        <v>0.25013699999999994</v>
      </c>
      <c r="F428" s="4">
        <v>0.23677200000000004</v>
      </c>
      <c r="G428" s="4">
        <v>0.26350199999999996</v>
      </c>
      <c r="H428" s="4">
        <v>0.27686699999999997</v>
      </c>
      <c r="I428" s="4">
        <v>0.267957</v>
      </c>
      <c r="J428" s="4">
        <v>0.24790949999999998</v>
      </c>
      <c r="K428" s="4">
        <v>0.19890449999999998</v>
      </c>
      <c r="L428" s="4">
        <v>0.138762</v>
      </c>
      <c r="M428" s="4">
        <v>0.13430700000000001</v>
      </c>
      <c r="N428" s="4">
        <v>0.17841150000000003</v>
      </c>
    </row>
    <row r="429" spans="1:14" x14ac:dyDescent="0.25">
      <c r="A429">
        <v>2020</v>
      </c>
      <c r="B429">
        <v>230</v>
      </c>
      <c r="C429" t="s">
        <v>79</v>
      </c>
      <c r="D429">
        <v>54</v>
      </c>
      <c r="E429" s="4">
        <v>0.23454450000000002</v>
      </c>
      <c r="F429" s="4">
        <v>0.22786200000000001</v>
      </c>
      <c r="G429" s="4">
        <v>0.22786200000000001</v>
      </c>
      <c r="H429" s="4">
        <v>0.25459199999999998</v>
      </c>
      <c r="I429" s="4">
        <v>0.25681949999999998</v>
      </c>
      <c r="J429" s="4">
        <v>0.232317</v>
      </c>
      <c r="K429" s="4">
        <v>0.18776700000000002</v>
      </c>
      <c r="L429" s="4">
        <v>0.16771949999999999</v>
      </c>
      <c r="M429" s="4">
        <v>0.14098950000000002</v>
      </c>
      <c r="N429" s="4">
        <v>0.20291400000000004</v>
      </c>
    </row>
    <row r="430" spans="1:14" x14ac:dyDescent="0.25">
      <c r="A430">
        <v>2020</v>
      </c>
      <c r="B430">
        <v>230</v>
      </c>
      <c r="C430" t="s">
        <v>79</v>
      </c>
      <c r="D430">
        <v>61</v>
      </c>
      <c r="E430" s="4">
        <v>0.20781449999999999</v>
      </c>
      <c r="F430" s="4">
        <v>0.16994700000000001</v>
      </c>
      <c r="G430" s="4">
        <v>0.174402</v>
      </c>
      <c r="H430" s="4">
        <v>0.21449699999999999</v>
      </c>
      <c r="I430" s="4">
        <v>0.22786200000000001</v>
      </c>
      <c r="J430" s="4">
        <v>0.174402</v>
      </c>
      <c r="K430" s="4">
        <v>0.16994700000000001</v>
      </c>
      <c r="L430" s="4">
        <v>0.16103699999999999</v>
      </c>
      <c r="M430" s="4">
        <v>0.17662950000000002</v>
      </c>
      <c r="N430" s="4">
        <v>0.20046375000000005</v>
      </c>
    </row>
    <row r="431" spans="1:14" x14ac:dyDescent="0.25">
      <c r="A431">
        <v>2020</v>
      </c>
      <c r="B431">
        <v>230</v>
      </c>
      <c r="C431" t="s">
        <v>79</v>
      </c>
      <c r="D431">
        <v>62</v>
      </c>
      <c r="E431" s="4">
        <v>0.22563449999999999</v>
      </c>
      <c r="F431" s="4">
        <v>0.232317</v>
      </c>
      <c r="G431" s="4">
        <v>0.25236449999999999</v>
      </c>
      <c r="H431" s="4">
        <v>0.1944495</v>
      </c>
      <c r="I431" s="4">
        <v>0.165492</v>
      </c>
      <c r="J431" s="4">
        <v>0.165492</v>
      </c>
      <c r="K431" s="4">
        <v>0.138762</v>
      </c>
      <c r="L431" s="4">
        <v>0.156582</v>
      </c>
      <c r="M431" s="4">
        <v>0.20113199999999998</v>
      </c>
      <c r="N431" s="4">
        <v>0.232317</v>
      </c>
    </row>
    <row r="432" spans="1:14" x14ac:dyDescent="0.25">
      <c r="A432">
        <v>2020</v>
      </c>
      <c r="B432">
        <v>230</v>
      </c>
      <c r="C432" t="s">
        <v>79</v>
      </c>
      <c r="D432">
        <v>63</v>
      </c>
      <c r="E432" s="4">
        <v>0.26127450000000002</v>
      </c>
      <c r="F432" s="4">
        <v>0.24122700000000002</v>
      </c>
      <c r="G432" s="4">
        <v>0.2211795</v>
      </c>
      <c r="H432" s="4">
        <v>0.20335949999999997</v>
      </c>
      <c r="I432" s="4">
        <v>0.21895199999999998</v>
      </c>
      <c r="J432" s="4">
        <v>0.22563449999999999</v>
      </c>
      <c r="K432" s="4">
        <v>0.16994700000000001</v>
      </c>
      <c r="L432" s="4">
        <v>0.14098950000000002</v>
      </c>
      <c r="M432" s="4">
        <v>0.16771949999999999</v>
      </c>
      <c r="N432" s="4">
        <v>0.22496624999999998</v>
      </c>
    </row>
    <row r="433" spans="1:14" x14ac:dyDescent="0.25">
      <c r="A433">
        <v>2020</v>
      </c>
      <c r="B433">
        <v>230</v>
      </c>
      <c r="C433" t="s">
        <v>79</v>
      </c>
      <c r="D433">
        <v>64</v>
      </c>
      <c r="E433" s="4">
        <v>0.27018449999999999</v>
      </c>
      <c r="F433" s="4">
        <v>0.25013699999999994</v>
      </c>
      <c r="G433" s="4">
        <v>0.2122695</v>
      </c>
      <c r="H433" s="4">
        <v>0.23454450000000002</v>
      </c>
      <c r="I433" s="4">
        <v>0.24790949999999998</v>
      </c>
      <c r="J433" s="4">
        <v>0.22786200000000001</v>
      </c>
      <c r="K433" s="4">
        <v>0.18776700000000002</v>
      </c>
      <c r="L433" s="4">
        <v>0.12316949999999999</v>
      </c>
      <c r="M433" s="4">
        <v>0.12539700000000001</v>
      </c>
      <c r="N433" s="4">
        <v>0.20046375000000005</v>
      </c>
    </row>
    <row r="434" spans="1:14" x14ac:dyDescent="0.25">
      <c r="A434">
        <v>2020</v>
      </c>
      <c r="B434">
        <v>237</v>
      </c>
      <c r="C434" t="s">
        <v>79</v>
      </c>
      <c r="D434">
        <v>11</v>
      </c>
      <c r="E434" s="4">
        <v>0.17217450000000001</v>
      </c>
      <c r="F434" s="4">
        <v>0.1855395</v>
      </c>
      <c r="G434" s="4">
        <v>0.21672450000000001</v>
      </c>
      <c r="H434" s="4">
        <v>0.25681949999999998</v>
      </c>
      <c r="I434" s="4">
        <v>0.23454450000000002</v>
      </c>
      <c r="J434" s="4">
        <v>0.25904699999999997</v>
      </c>
      <c r="K434" s="4">
        <v>0.27018449999999999</v>
      </c>
      <c r="L434" s="4">
        <v>0.25459199999999998</v>
      </c>
      <c r="M434" s="4">
        <v>0.25013699999999994</v>
      </c>
      <c r="N434" s="4">
        <v>0.27397125000000006</v>
      </c>
    </row>
    <row r="435" spans="1:14" x14ac:dyDescent="0.25">
      <c r="A435">
        <v>2020</v>
      </c>
      <c r="B435">
        <v>237</v>
      </c>
      <c r="C435" t="s">
        <v>79</v>
      </c>
      <c r="D435">
        <v>12</v>
      </c>
      <c r="E435" s="4">
        <v>0.22786200000000001</v>
      </c>
      <c r="F435" s="4">
        <v>0.22786200000000001</v>
      </c>
      <c r="G435" s="4">
        <v>0.18776700000000002</v>
      </c>
      <c r="H435" s="4">
        <v>0.165492</v>
      </c>
      <c r="I435" s="4">
        <v>0.14098950000000002</v>
      </c>
      <c r="J435" s="4">
        <v>0.147672</v>
      </c>
      <c r="K435" s="4">
        <v>0.129852</v>
      </c>
      <c r="L435" s="4">
        <v>0.18776700000000002</v>
      </c>
      <c r="M435" s="4">
        <v>0.17662950000000002</v>
      </c>
      <c r="N435" s="4">
        <v>0.18331200000000003</v>
      </c>
    </row>
    <row r="436" spans="1:14" x14ac:dyDescent="0.25">
      <c r="A436">
        <v>2020</v>
      </c>
      <c r="B436">
        <v>237</v>
      </c>
      <c r="C436" t="s">
        <v>79</v>
      </c>
      <c r="D436">
        <v>13</v>
      </c>
      <c r="E436" s="4">
        <v>0.20781449999999999</v>
      </c>
      <c r="F436" s="4">
        <v>0.18999449999999996</v>
      </c>
      <c r="G436" s="4">
        <v>0.21004199999999998</v>
      </c>
      <c r="H436" s="4">
        <v>0.23454450000000002</v>
      </c>
      <c r="I436" s="4">
        <v>0.232317</v>
      </c>
      <c r="J436" s="4">
        <v>0.18108450000000001</v>
      </c>
      <c r="K436" s="4">
        <v>0.1454445</v>
      </c>
      <c r="L436" s="4">
        <v>0.15880949999999999</v>
      </c>
      <c r="M436" s="4">
        <v>0.18999449999999996</v>
      </c>
      <c r="N436" s="4">
        <v>0.21516524999999997</v>
      </c>
    </row>
    <row r="437" spans="1:14" x14ac:dyDescent="0.25">
      <c r="A437">
        <v>2020</v>
      </c>
      <c r="B437">
        <v>237</v>
      </c>
      <c r="C437" t="s">
        <v>79</v>
      </c>
      <c r="D437">
        <v>14</v>
      </c>
      <c r="E437" s="4">
        <v>0.24790949999999998</v>
      </c>
      <c r="F437" s="4">
        <v>0.24568199999999998</v>
      </c>
      <c r="G437" s="4">
        <v>0.25681949999999998</v>
      </c>
      <c r="H437" s="4">
        <v>0.2389995</v>
      </c>
      <c r="I437" s="4">
        <v>0.20558699999999999</v>
      </c>
      <c r="J437" s="4">
        <v>0.18331200000000003</v>
      </c>
      <c r="K437" s="4">
        <v>0.24568199999999998</v>
      </c>
      <c r="L437" s="4">
        <v>0.25459199999999998</v>
      </c>
      <c r="M437" s="4">
        <v>0.232317</v>
      </c>
      <c r="N437" s="4">
        <v>0.25926975000000002</v>
      </c>
    </row>
    <row r="438" spans="1:14" x14ac:dyDescent="0.25">
      <c r="A438">
        <v>2020</v>
      </c>
      <c r="B438">
        <v>237</v>
      </c>
      <c r="C438" t="s">
        <v>79</v>
      </c>
      <c r="D438">
        <v>21</v>
      </c>
      <c r="E438" s="4">
        <v>0.26572949999999995</v>
      </c>
      <c r="F438" s="4">
        <v>0.23677200000000004</v>
      </c>
      <c r="G438" s="4">
        <v>0.23454450000000002</v>
      </c>
      <c r="H438" s="4">
        <v>0.22786200000000001</v>
      </c>
      <c r="I438" s="4">
        <v>0.21449699999999999</v>
      </c>
      <c r="J438" s="4">
        <v>0.20113199999999998</v>
      </c>
      <c r="K438" s="4">
        <v>0.165492</v>
      </c>
      <c r="L438" s="4">
        <v>0.21672450000000001</v>
      </c>
      <c r="M438" s="4">
        <v>0.21895199999999998</v>
      </c>
      <c r="N438" s="4">
        <v>0.25436925000000005</v>
      </c>
    </row>
    <row r="439" spans="1:14" x14ac:dyDescent="0.25">
      <c r="A439">
        <v>2020</v>
      </c>
      <c r="B439">
        <v>237</v>
      </c>
      <c r="C439" t="s">
        <v>79</v>
      </c>
      <c r="D439">
        <v>22</v>
      </c>
      <c r="E439" s="4">
        <v>0.2389995</v>
      </c>
      <c r="F439" s="4">
        <v>0.232317</v>
      </c>
      <c r="G439" s="4">
        <v>0.22786200000000001</v>
      </c>
      <c r="H439" s="4">
        <v>0.24568199999999998</v>
      </c>
      <c r="I439" s="4">
        <v>0.22786200000000001</v>
      </c>
      <c r="J439" s="4">
        <v>0.1944495</v>
      </c>
      <c r="K439" s="4">
        <v>0.15435450000000001</v>
      </c>
      <c r="L439" s="4">
        <v>0.18776700000000002</v>
      </c>
      <c r="M439" s="4">
        <v>0.18999449999999996</v>
      </c>
      <c r="N439" s="4">
        <v>0.2372175</v>
      </c>
    </row>
    <row r="440" spans="1:14" x14ac:dyDescent="0.25">
      <c r="A440">
        <v>2020</v>
      </c>
      <c r="B440">
        <v>237</v>
      </c>
      <c r="C440" t="s">
        <v>79</v>
      </c>
      <c r="D440">
        <v>23</v>
      </c>
      <c r="E440" s="4">
        <v>0.21672450000000001</v>
      </c>
      <c r="F440" s="4">
        <v>0.2211795</v>
      </c>
      <c r="G440" s="4">
        <v>0.25236449999999999</v>
      </c>
      <c r="H440" s="4">
        <v>0.267957</v>
      </c>
      <c r="I440" s="4">
        <v>0.22340700000000002</v>
      </c>
      <c r="J440" s="4">
        <v>0.14989949999999999</v>
      </c>
      <c r="K440" s="4">
        <v>0.13207950000000002</v>
      </c>
      <c r="L440" s="4">
        <v>0.14989949999999999</v>
      </c>
      <c r="M440" s="4">
        <v>0.17662950000000002</v>
      </c>
      <c r="N440" s="4">
        <v>0.18576225000000005</v>
      </c>
    </row>
    <row r="441" spans="1:14" x14ac:dyDescent="0.25">
      <c r="A441">
        <v>2020</v>
      </c>
      <c r="B441">
        <v>237</v>
      </c>
      <c r="C441" t="s">
        <v>79</v>
      </c>
      <c r="D441">
        <v>24</v>
      </c>
      <c r="E441" s="4">
        <v>0.1454445</v>
      </c>
      <c r="F441" s="4">
        <v>0.10312200000000001</v>
      </c>
      <c r="G441" s="4">
        <v>9.1984499999999969E-2</v>
      </c>
      <c r="H441" s="4">
        <v>7.8619499999999995E-2</v>
      </c>
      <c r="I441" s="4">
        <v>7.416449999999998E-2</v>
      </c>
      <c r="J441" s="4">
        <v>7.1936999999999987E-2</v>
      </c>
      <c r="K441" s="4">
        <v>7.8619499999999995E-2</v>
      </c>
      <c r="L441" s="4">
        <v>9.8666999999999977E-2</v>
      </c>
      <c r="M441" s="4">
        <v>0.1365345</v>
      </c>
      <c r="N441" s="4">
        <v>0.22006574999999998</v>
      </c>
    </row>
    <row r="442" spans="1:14" x14ac:dyDescent="0.25">
      <c r="A442">
        <v>2020</v>
      </c>
      <c r="B442">
        <v>237</v>
      </c>
      <c r="C442" t="s">
        <v>79</v>
      </c>
      <c r="D442">
        <v>31</v>
      </c>
      <c r="E442" s="4">
        <v>0.30805199999999994</v>
      </c>
      <c r="F442" s="4">
        <v>0.25459199999999998</v>
      </c>
      <c r="G442" s="4">
        <v>0.25236449999999999</v>
      </c>
      <c r="H442" s="4">
        <v>0.25013699999999994</v>
      </c>
      <c r="I442" s="4">
        <v>0.24345450000000002</v>
      </c>
      <c r="J442" s="4">
        <v>0.20335949999999997</v>
      </c>
      <c r="K442" s="4">
        <v>0.15212699999999998</v>
      </c>
      <c r="L442" s="4">
        <v>0.15212699999999998</v>
      </c>
      <c r="M442" s="4">
        <v>0.147672</v>
      </c>
      <c r="N442" s="4">
        <v>0.17596124999999996</v>
      </c>
    </row>
    <row r="443" spans="1:14" x14ac:dyDescent="0.25">
      <c r="A443">
        <v>2020</v>
      </c>
      <c r="B443">
        <v>237</v>
      </c>
      <c r="C443" t="s">
        <v>79</v>
      </c>
      <c r="D443">
        <v>32</v>
      </c>
      <c r="E443" s="4">
        <v>0.18776700000000002</v>
      </c>
      <c r="F443" s="4">
        <v>0.17885699999999999</v>
      </c>
      <c r="G443" s="4">
        <v>0.147672</v>
      </c>
      <c r="H443" s="4">
        <v>0.138762</v>
      </c>
      <c r="I443" s="4">
        <v>0.13430700000000001</v>
      </c>
      <c r="J443" s="4">
        <v>0.1276245</v>
      </c>
      <c r="K443" s="4">
        <v>0.1454445</v>
      </c>
      <c r="L443" s="4">
        <v>0.18999449999999996</v>
      </c>
      <c r="M443" s="4">
        <v>0.21672450000000001</v>
      </c>
      <c r="N443" s="4">
        <v>0.23476724999999998</v>
      </c>
    </row>
    <row r="444" spans="1:14" x14ac:dyDescent="0.25">
      <c r="A444">
        <v>2020</v>
      </c>
      <c r="B444">
        <v>237</v>
      </c>
      <c r="C444" t="s">
        <v>79</v>
      </c>
      <c r="D444">
        <v>33</v>
      </c>
      <c r="E444" s="4">
        <v>0.1944495</v>
      </c>
      <c r="F444" s="4">
        <v>0.19667699999999996</v>
      </c>
      <c r="G444" s="4">
        <v>0.232317</v>
      </c>
      <c r="H444" s="4">
        <v>0.26350199999999996</v>
      </c>
      <c r="I444" s="4">
        <v>0.24790949999999998</v>
      </c>
      <c r="J444" s="4">
        <v>0.232317</v>
      </c>
      <c r="K444" s="4">
        <v>0.24790949999999998</v>
      </c>
      <c r="L444" s="4">
        <v>0.21672450000000001</v>
      </c>
      <c r="M444" s="4">
        <v>0.24122700000000002</v>
      </c>
      <c r="N444" s="4">
        <v>0.26172000000000001</v>
      </c>
    </row>
    <row r="445" spans="1:14" x14ac:dyDescent="0.25">
      <c r="A445">
        <v>2020</v>
      </c>
      <c r="B445">
        <v>237</v>
      </c>
      <c r="C445" t="s">
        <v>79</v>
      </c>
      <c r="D445">
        <v>34</v>
      </c>
      <c r="E445" s="4">
        <v>0.1454445</v>
      </c>
      <c r="F445" s="4">
        <v>0.156582</v>
      </c>
      <c r="G445" s="4">
        <v>0.2122695</v>
      </c>
      <c r="H445" s="4">
        <v>0.23677200000000004</v>
      </c>
      <c r="I445" s="4">
        <v>0.2389995</v>
      </c>
      <c r="J445" s="4">
        <v>0.24345450000000002</v>
      </c>
      <c r="K445" s="4">
        <v>0.21004199999999998</v>
      </c>
      <c r="L445" s="4">
        <v>0.1855395</v>
      </c>
      <c r="M445" s="4">
        <v>0.16771949999999999</v>
      </c>
      <c r="N445" s="4">
        <v>0.19311300000000003</v>
      </c>
    </row>
    <row r="446" spans="1:14" x14ac:dyDescent="0.25">
      <c r="A446">
        <v>2020</v>
      </c>
      <c r="B446">
        <v>237</v>
      </c>
      <c r="C446" t="s">
        <v>79</v>
      </c>
      <c r="D446">
        <v>41</v>
      </c>
      <c r="E446" s="4">
        <v>0.21004199999999998</v>
      </c>
      <c r="F446" s="4">
        <v>0.22786200000000001</v>
      </c>
      <c r="G446" s="4">
        <v>0.28354950000000001</v>
      </c>
      <c r="H446" s="4">
        <v>0.26350199999999996</v>
      </c>
      <c r="I446" s="4">
        <v>0.25904699999999997</v>
      </c>
      <c r="J446" s="4">
        <v>0.25013699999999994</v>
      </c>
      <c r="K446" s="4">
        <v>0.18108450000000001</v>
      </c>
      <c r="L446" s="4">
        <v>0.16103699999999999</v>
      </c>
      <c r="M446" s="4">
        <v>0.19222199999999998</v>
      </c>
      <c r="N446" s="4">
        <v>0.242118</v>
      </c>
    </row>
    <row r="447" spans="1:14" x14ac:dyDescent="0.25">
      <c r="A447">
        <v>2020</v>
      </c>
      <c r="B447">
        <v>237</v>
      </c>
      <c r="C447" t="s">
        <v>79</v>
      </c>
      <c r="D447">
        <v>42</v>
      </c>
      <c r="E447" s="4">
        <v>0.21004199999999998</v>
      </c>
      <c r="F447" s="4">
        <v>0.20113199999999998</v>
      </c>
      <c r="G447" s="4">
        <v>0.23008950000000003</v>
      </c>
      <c r="H447" s="4">
        <v>0.22563449999999999</v>
      </c>
      <c r="I447" s="4">
        <v>0.24122700000000002</v>
      </c>
      <c r="J447" s="4">
        <v>0.18108450000000001</v>
      </c>
      <c r="K447" s="4">
        <v>0.1365345</v>
      </c>
      <c r="L447" s="4">
        <v>0.15212699999999998</v>
      </c>
      <c r="M447" s="4">
        <v>0.17217450000000001</v>
      </c>
      <c r="N447" s="4">
        <v>0.22251599999999999</v>
      </c>
    </row>
    <row r="448" spans="1:14" x14ac:dyDescent="0.25">
      <c r="A448">
        <v>2020</v>
      </c>
      <c r="B448">
        <v>237</v>
      </c>
      <c r="C448" t="s">
        <v>79</v>
      </c>
      <c r="D448">
        <v>43</v>
      </c>
      <c r="E448" s="4">
        <v>0.22563449999999999</v>
      </c>
      <c r="F448" s="4">
        <v>0.21895199999999998</v>
      </c>
      <c r="G448" s="4">
        <v>0.24345450000000002</v>
      </c>
      <c r="H448" s="4">
        <v>0.19890449999999998</v>
      </c>
      <c r="I448" s="4">
        <v>0.20781449999999999</v>
      </c>
      <c r="J448" s="4">
        <v>0.19222199999999998</v>
      </c>
      <c r="K448" s="4">
        <v>0.1855395</v>
      </c>
      <c r="L448" s="4">
        <v>0.14989949999999999</v>
      </c>
      <c r="M448" s="4">
        <v>0.14989949999999999</v>
      </c>
      <c r="N448" s="4">
        <v>0.20781450000000004</v>
      </c>
    </row>
    <row r="449" spans="1:14" x14ac:dyDescent="0.25">
      <c r="A449">
        <v>2020</v>
      </c>
      <c r="B449">
        <v>237</v>
      </c>
      <c r="C449" t="s">
        <v>79</v>
      </c>
      <c r="D449">
        <v>44</v>
      </c>
      <c r="E449" s="4">
        <v>0.165492</v>
      </c>
      <c r="F449" s="4">
        <v>0.18108450000000001</v>
      </c>
      <c r="G449" s="4">
        <v>0.25681949999999998</v>
      </c>
      <c r="H449" s="4">
        <v>0.24568199999999998</v>
      </c>
      <c r="I449" s="4">
        <v>0.25904699999999997</v>
      </c>
      <c r="J449" s="4">
        <v>0.232317</v>
      </c>
      <c r="K449" s="4">
        <v>0.22340700000000002</v>
      </c>
      <c r="L449" s="4">
        <v>0.16326450000000001</v>
      </c>
      <c r="M449" s="4">
        <v>0.129852</v>
      </c>
      <c r="N449" s="4">
        <v>0.14900850000000002</v>
      </c>
    </row>
    <row r="450" spans="1:14" x14ac:dyDescent="0.25">
      <c r="A450">
        <v>2020</v>
      </c>
      <c r="B450">
        <v>237</v>
      </c>
      <c r="C450" t="s">
        <v>79</v>
      </c>
      <c r="D450">
        <v>51</v>
      </c>
      <c r="E450" s="4">
        <v>0.27686699999999997</v>
      </c>
      <c r="F450" s="4">
        <v>0.27018449999999999</v>
      </c>
      <c r="G450" s="4">
        <v>0.26350199999999996</v>
      </c>
      <c r="H450" s="4">
        <v>0.26127450000000002</v>
      </c>
      <c r="I450" s="4">
        <v>0.24790949999999998</v>
      </c>
      <c r="J450" s="4">
        <v>0.2389995</v>
      </c>
      <c r="K450" s="4">
        <v>0.23008950000000003</v>
      </c>
      <c r="L450" s="4">
        <v>0.23008950000000003</v>
      </c>
      <c r="M450" s="4">
        <v>0.2389995</v>
      </c>
      <c r="N450" s="4">
        <v>0.27397125000000006</v>
      </c>
    </row>
    <row r="451" spans="1:14" x14ac:dyDescent="0.25">
      <c r="A451">
        <v>2020</v>
      </c>
      <c r="B451">
        <v>237</v>
      </c>
      <c r="C451" t="s">
        <v>79</v>
      </c>
      <c r="D451">
        <v>52</v>
      </c>
      <c r="E451" s="4">
        <v>0.24568199999999998</v>
      </c>
      <c r="F451" s="4">
        <v>0.2389995</v>
      </c>
      <c r="G451" s="4">
        <v>0.27463949999999998</v>
      </c>
      <c r="H451" s="4">
        <v>0.27909450000000002</v>
      </c>
      <c r="I451" s="4">
        <v>0.30136949999999996</v>
      </c>
      <c r="J451" s="4">
        <v>0.28577700000000006</v>
      </c>
      <c r="K451" s="4">
        <v>0.27909450000000002</v>
      </c>
      <c r="L451" s="4">
        <v>0.22786200000000001</v>
      </c>
      <c r="M451" s="4">
        <v>0.22786200000000001</v>
      </c>
      <c r="N451" s="4">
        <v>0.27642149999999999</v>
      </c>
    </row>
    <row r="452" spans="1:14" x14ac:dyDescent="0.25">
      <c r="A452">
        <v>2020</v>
      </c>
      <c r="B452">
        <v>237</v>
      </c>
      <c r="C452" t="s">
        <v>79</v>
      </c>
      <c r="D452">
        <v>53</v>
      </c>
      <c r="E452" s="4">
        <v>0.24345450000000002</v>
      </c>
      <c r="F452" s="4">
        <v>0.23677200000000004</v>
      </c>
      <c r="G452" s="4">
        <v>0.25236449999999999</v>
      </c>
      <c r="H452" s="4">
        <v>0.27686699999999997</v>
      </c>
      <c r="I452" s="4">
        <v>0.26127450000000002</v>
      </c>
      <c r="J452" s="4">
        <v>0.24345450000000002</v>
      </c>
      <c r="K452" s="4">
        <v>0.20113199999999998</v>
      </c>
      <c r="L452" s="4">
        <v>0.1365345</v>
      </c>
      <c r="M452" s="4">
        <v>0.13207950000000002</v>
      </c>
      <c r="N452" s="4">
        <v>0.17596124999999996</v>
      </c>
    </row>
    <row r="453" spans="1:14" x14ac:dyDescent="0.25">
      <c r="A453">
        <v>2020</v>
      </c>
      <c r="B453">
        <v>237</v>
      </c>
      <c r="C453" t="s">
        <v>79</v>
      </c>
      <c r="D453">
        <v>54</v>
      </c>
      <c r="E453" s="4">
        <v>0.23008950000000003</v>
      </c>
      <c r="F453" s="4">
        <v>0.22786200000000001</v>
      </c>
      <c r="G453" s="4">
        <v>0.22340700000000002</v>
      </c>
      <c r="H453" s="4">
        <v>0.25459199999999998</v>
      </c>
      <c r="I453" s="4">
        <v>0.25681949999999998</v>
      </c>
      <c r="J453" s="4">
        <v>0.22340700000000002</v>
      </c>
      <c r="K453" s="4">
        <v>0.18331200000000003</v>
      </c>
      <c r="L453" s="4">
        <v>0.156582</v>
      </c>
      <c r="M453" s="4">
        <v>0.14321700000000001</v>
      </c>
      <c r="N453" s="4">
        <v>0.20536425000000005</v>
      </c>
    </row>
    <row r="454" spans="1:14" x14ac:dyDescent="0.25">
      <c r="A454">
        <v>2020</v>
      </c>
      <c r="B454">
        <v>237</v>
      </c>
      <c r="C454" t="s">
        <v>79</v>
      </c>
      <c r="D454">
        <v>61</v>
      </c>
      <c r="E454" s="4">
        <v>0.20558699999999999</v>
      </c>
      <c r="F454" s="4">
        <v>0.16326450000000001</v>
      </c>
      <c r="G454" s="4">
        <v>0.174402</v>
      </c>
      <c r="H454" s="4">
        <v>0.20781449999999999</v>
      </c>
      <c r="I454" s="4">
        <v>0.22786200000000001</v>
      </c>
      <c r="J454" s="4">
        <v>0.18108450000000001</v>
      </c>
      <c r="K454" s="4">
        <v>0.165492</v>
      </c>
      <c r="L454" s="4">
        <v>0.165492</v>
      </c>
      <c r="M454" s="4">
        <v>0.174402</v>
      </c>
      <c r="N454" s="4">
        <v>0.20536425000000005</v>
      </c>
    </row>
    <row r="455" spans="1:14" x14ac:dyDescent="0.25">
      <c r="A455">
        <v>2020</v>
      </c>
      <c r="B455">
        <v>237</v>
      </c>
      <c r="C455" t="s">
        <v>79</v>
      </c>
      <c r="D455">
        <v>62</v>
      </c>
      <c r="E455" s="4">
        <v>0.2211795</v>
      </c>
      <c r="F455" s="4">
        <v>0.22563449999999999</v>
      </c>
      <c r="G455" s="4">
        <v>0.25013699999999994</v>
      </c>
      <c r="H455" s="4">
        <v>0.19222199999999998</v>
      </c>
      <c r="I455" s="4">
        <v>0.156582</v>
      </c>
      <c r="J455" s="4">
        <v>0.165492</v>
      </c>
      <c r="K455" s="4">
        <v>0.138762</v>
      </c>
      <c r="L455" s="4">
        <v>0.1454445</v>
      </c>
      <c r="M455" s="4">
        <v>0.18776700000000002</v>
      </c>
      <c r="N455" s="4">
        <v>0.232317</v>
      </c>
    </row>
    <row r="456" spans="1:14" x14ac:dyDescent="0.25">
      <c r="A456">
        <v>2020</v>
      </c>
      <c r="B456">
        <v>237</v>
      </c>
      <c r="C456" t="s">
        <v>79</v>
      </c>
      <c r="D456">
        <v>63</v>
      </c>
      <c r="E456" s="4">
        <v>0.26572949999999995</v>
      </c>
      <c r="F456" s="4">
        <v>0.23677200000000004</v>
      </c>
      <c r="G456" s="4">
        <v>0.21895199999999998</v>
      </c>
      <c r="H456" s="4">
        <v>0.19890449999999998</v>
      </c>
      <c r="I456" s="4">
        <v>0.21449699999999999</v>
      </c>
      <c r="J456" s="4">
        <v>0.22563449999999999</v>
      </c>
      <c r="K456" s="4">
        <v>0.174402</v>
      </c>
      <c r="L456" s="4">
        <v>0.1454445</v>
      </c>
      <c r="M456" s="4">
        <v>0.156582</v>
      </c>
      <c r="N456" s="4">
        <v>0.22251599999999999</v>
      </c>
    </row>
    <row r="457" spans="1:14" x14ac:dyDescent="0.25">
      <c r="A457">
        <v>2020</v>
      </c>
      <c r="B457">
        <v>237</v>
      </c>
      <c r="C457" t="s">
        <v>79</v>
      </c>
      <c r="D457">
        <v>64</v>
      </c>
      <c r="E457" s="4">
        <v>0.27018449999999999</v>
      </c>
      <c r="F457" s="4">
        <v>0.25681949999999998</v>
      </c>
      <c r="G457" s="4">
        <v>0.20781449999999999</v>
      </c>
      <c r="H457" s="4">
        <v>0.22563449999999999</v>
      </c>
      <c r="I457" s="4">
        <v>0.24790949999999998</v>
      </c>
      <c r="J457" s="4">
        <v>0.23008950000000003</v>
      </c>
      <c r="K457" s="4">
        <v>0.18331200000000003</v>
      </c>
      <c r="L457" s="4">
        <v>0.12539700000000001</v>
      </c>
      <c r="M457" s="4">
        <v>0.12094200000000001</v>
      </c>
      <c r="N457" s="4">
        <v>0.18331200000000003</v>
      </c>
    </row>
    <row r="458" spans="1:14" x14ac:dyDescent="0.25">
      <c r="A458">
        <v>2020</v>
      </c>
      <c r="B458">
        <v>245</v>
      </c>
      <c r="C458" t="s">
        <v>79</v>
      </c>
      <c r="D458">
        <v>11</v>
      </c>
      <c r="E458" s="4">
        <v>0.16771949999999999</v>
      </c>
      <c r="F458" s="4">
        <v>0.17885699999999999</v>
      </c>
      <c r="G458" s="4">
        <v>0.21449699999999999</v>
      </c>
      <c r="H458" s="4">
        <v>0.25013699999999994</v>
      </c>
      <c r="I458" s="4">
        <v>0.2389995</v>
      </c>
      <c r="J458" s="4">
        <v>0.25236449999999999</v>
      </c>
      <c r="K458" s="4">
        <v>0.26350199999999996</v>
      </c>
      <c r="L458" s="4">
        <v>0.25236449999999999</v>
      </c>
      <c r="M458" s="4">
        <v>0.24345450000000002</v>
      </c>
      <c r="N458" s="4">
        <v>0.26907075000000008</v>
      </c>
    </row>
    <row r="459" spans="1:14" x14ac:dyDescent="0.25">
      <c r="A459">
        <v>2020</v>
      </c>
      <c r="B459">
        <v>245</v>
      </c>
      <c r="C459" t="s">
        <v>79</v>
      </c>
      <c r="D459">
        <v>12</v>
      </c>
      <c r="E459" s="4">
        <v>0.21895199999999998</v>
      </c>
      <c r="F459" s="4">
        <v>0.22786200000000001</v>
      </c>
      <c r="G459" s="4">
        <v>0.18331200000000003</v>
      </c>
      <c r="H459" s="4">
        <v>0.15435450000000001</v>
      </c>
      <c r="I459" s="4">
        <v>0.13207950000000002</v>
      </c>
      <c r="J459" s="4">
        <v>0.138762</v>
      </c>
      <c r="K459" s="4">
        <v>0.13207950000000002</v>
      </c>
      <c r="L459" s="4">
        <v>0.18331200000000003</v>
      </c>
      <c r="M459" s="4">
        <v>0.18108450000000001</v>
      </c>
      <c r="N459" s="4">
        <v>0.17841150000000003</v>
      </c>
    </row>
    <row r="460" spans="1:14" x14ac:dyDescent="0.25">
      <c r="A460">
        <v>2020</v>
      </c>
      <c r="B460">
        <v>245</v>
      </c>
      <c r="C460" t="s">
        <v>79</v>
      </c>
      <c r="D460">
        <v>13</v>
      </c>
      <c r="E460" s="4">
        <v>0.20335949999999997</v>
      </c>
      <c r="F460" s="4">
        <v>0.18999449999999996</v>
      </c>
      <c r="G460" s="4">
        <v>0.20558699999999999</v>
      </c>
      <c r="H460" s="4">
        <v>0.22786200000000001</v>
      </c>
      <c r="I460" s="4">
        <v>0.2211795</v>
      </c>
      <c r="J460" s="4">
        <v>0.17662950000000002</v>
      </c>
      <c r="K460" s="4">
        <v>0.15212699999999998</v>
      </c>
      <c r="L460" s="4">
        <v>0.15880949999999999</v>
      </c>
      <c r="M460" s="4">
        <v>0.17885699999999999</v>
      </c>
      <c r="N460" s="4">
        <v>0.19801350000000004</v>
      </c>
    </row>
    <row r="461" spans="1:14" x14ac:dyDescent="0.25">
      <c r="A461">
        <v>2020</v>
      </c>
      <c r="B461">
        <v>245</v>
      </c>
      <c r="C461" t="s">
        <v>79</v>
      </c>
      <c r="D461">
        <v>14</v>
      </c>
      <c r="E461" s="4">
        <v>0.23677200000000004</v>
      </c>
      <c r="F461" s="4">
        <v>0.2389995</v>
      </c>
      <c r="G461" s="4">
        <v>0.24790949999999998</v>
      </c>
      <c r="H461" s="4">
        <v>0.232317</v>
      </c>
      <c r="I461" s="4">
        <v>0.20113199999999998</v>
      </c>
      <c r="J461" s="4">
        <v>0.19890449999999998</v>
      </c>
      <c r="K461" s="4">
        <v>0.2389995</v>
      </c>
      <c r="L461" s="4">
        <v>0.25013699999999994</v>
      </c>
      <c r="M461" s="4">
        <v>0.22563449999999999</v>
      </c>
      <c r="N461" s="4">
        <v>0.24456824999999999</v>
      </c>
    </row>
    <row r="462" spans="1:14" x14ac:dyDescent="0.25">
      <c r="A462">
        <v>2020</v>
      </c>
      <c r="B462">
        <v>245</v>
      </c>
      <c r="C462" t="s">
        <v>79</v>
      </c>
      <c r="D462">
        <v>21</v>
      </c>
      <c r="E462" s="4">
        <v>0.25681949999999998</v>
      </c>
      <c r="F462" s="4">
        <v>0.22786200000000001</v>
      </c>
      <c r="G462" s="4">
        <v>0.22786200000000001</v>
      </c>
      <c r="H462" s="4">
        <v>0.22563449999999999</v>
      </c>
      <c r="I462" s="4">
        <v>0.21004199999999998</v>
      </c>
      <c r="J462" s="4">
        <v>0.19890449999999998</v>
      </c>
      <c r="K462" s="4">
        <v>0.16994700000000001</v>
      </c>
      <c r="L462" s="4">
        <v>0.20335949999999997</v>
      </c>
      <c r="M462" s="4">
        <v>0.2122695</v>
      </c>
      <c r="N462" s="4">
        <v>0.242118</v>
      </c>
    </row>
    <row r="463" spans="1:14" x14ac:dyDescent="0.25">
      <c r="A463">
        <v>2020</v>
      </c>
      <c r="B463">
        <v>245</v>
      </c>
      <c r="C463" t="s">
        <v>79</v>
      </c>
      <c r="D463">
        <v>22</v>
      </c>
      <c r="E463" s="4">
        <v>0.24790949999999998</v>
      </c>
      <c r="F463" s="4">
        <v>0.23008950000000003</v>
      </c>
      <c r="G463" s="4">
        <v>0.23008950000000003</v>
      </c>
      <c r="H463" s="4">
        <v>0.24345450000000002</v>
      </c>
      <c r="I463" s="4">
        <v>0.23677200000000004</v>
      </c>
      <c r="J463" s="4">
        <v>0.19890449999999998</v>
      </c>
      <c r="K463" s="4">
        <v>0.16103699999999999</v>
      </c>
      <c r="L463" s="4">
        <v>0.18999449999999996</v>
      </c>
      <c r="M463" s="4">
        <v>0.19222199999999998</v>
      </c>
      <c r="N463" s="4">
        <v>0.23476724999999998</v>
      </c>
    </row>
    <row r="464" spans="1:14" x14ac:dyDescent="0.25">
      <c r="A464">
        <v>2020</v>
      </c>
      <c r="B464">
        <v>245</v>
      </c>
      <c r="C464" t="s">
        <v>79</v>
      </c>
      <c r="D464">
        <v>23</v>
      </c>
      <c r="E464" s="4">
        <v>0.21672450000000001</v>
      </c>
      <c r="F464" s="4">
        <v>0.2122695</v>
      </c>
      <c r="G464" s="4">
        <v>0.25013699999999994</v>
      </c>
      <c r="H464" s="4">
        <v>0.26127450000000002</v>
      </c>
      <c r="I464" s="4">
        <v>0.21449699999999999</v>
      </c>
      <c r="J464" s="4">
        <v>0.13207950000000002</v>
      </c>
      <c r="K464" s="4">
        <v>0.1276245</v>
      </c>
      <c r="L464" s="4">
        <v>0.14989949999999999</v>
      </c>
      <c r="M464" s="4">
        <v>0.16994700000000001</v>
      </c>
      <c r="N464" s="4">
        <v>0.19066275000000005</v>
      </c>
    </row>
    <row r="465" spans="1:14" x14ac:dyDescent="0.25">
      <c r="A465">
        <v>2020</v>
      </c>
      <c r="B465">
        <v>245</v>
      </c>
      <c r="C465" t="s">
        <v>79</v>
      </c>
      <c r="D465">
        <v>24</v>
      </c>
      <c r="E465" s="4">
        <v>0.129852</v>
      </c>
      <c r="F465" s="4">
        <v>9.8666999999999977E-2</v>
      </c>
      <c r="G465" s="4">
        <v>8.7529500000000024E-2</v>
      </c>
      <c r="H465" s="4">
        <v>8.3074499999999996E-2</v>
      </c>
      <c r="I465" s="4">
        <v>7.1936999999999987E-2</v>
      </c>
      <c r="J465" s="4">
        <v>6.9709499999999994E-2</v>
      </c>
      <c r="K465" s="4">
        <v>8.0847000000000016E-2</v>
      </c>
      <c r="L465" s="4">
        <v>9.8666999999999977E-2</v>
      </c>
      <c r="M465" s="4">
        <v>0.13207950000000002</v>
      </c>
      <c r="N465" s="4">
        <v>0.20781450000000004</v>
      </c>
    </row>
    <row r="466" spans="1:14" x14ac:dyDescent="0.25">
      <c r="A466">
        <v>2020</v>
      </c>
      <c r="B466">
        <v>245</v>
      </c>
      <c r="C466" t="s">
        <v>79</v>
      </c>
      <c r="D466">
        <v>31</v>
      </c>
      <c r="E466" s="4">
        <v>0.29691449999999997</v>
      </c>
      <c r="F466" s="4">
        <v>0.25681949999999998</v>
      </c>
      <c r="G466" s="4">
        <v>0.24345450000000002</v>
      </c>
      <c r="H466" s="4">
        <v>0.25236449999999999</v>
      </c>
      <c r="I466" s="4">
        <v>0.23454450000000002</v>
      </c>
      <c r="J466" s="4">
        <v>0.20335949999999997</v>
      </c>
      <c r="K466" s="4">
        <v>0.147672</v>
      </c>
      <c r="L466" s="4">
        <v>0.14098950000000002</v>
      </c>
      <c r="M466" s="4">
        <v>0.14989949999999999</v>
      </c>
      <c r="N466" s="4">
        <v>0.17106074999999998</v>
      </c>
    </row>
    <row r="467" spans="1:14" x14ac:dyDescent="0.25">
      <c r="A467">
        <v>2020</v>
      </c>
      <c r="B467">
        <v>245</v>
      </c>
      <c r="C467" t="s">
        <v>79</v>
      </c>
      <c r="D467">
        <v>32</v>
      </c>
      <c r="E467" s="4">
        <v>0.19667699999999996</v>
      </c>
      <c r="F467" s="4">
        <v>0.174402</v>
      </c>
      <c r="G467" s="4">
        <v>0.16103699999999999</v>
      </c>
      <c r="H467" s="4">
        <v>0.138762</v>
      </c>
      <c r="I467" s="4">
        <v>0.14098950000000002</v>
      </c>
      <c r="J467" s="4">
        <v>0.13207950000000002</v>
      </c>
      <c r="K467" s="4">
        <v>0.138762</v>
      </c>
      <c r="L467" s="4">
        <v>0.17662950000000002</v>
      </c>
      <c r="M467" s="4">
        <v>0.1944495</v>
      </c>
      <c r="N467" s="4">
        <v>0.22251599999999999</v>
      </c>
    </row>
    <row r="468" spans="1:14" x14ac:dyDescent="0.25">
      <c r="A468">
        <v>2020</v>
      </c>
      <c r="B468">
        <v>245</v>
      </c>
      <c r="C468" t="s">
        <v>79</v>
      </c>
      <c r="D468">
        <v>33</v>
      </c>
      <c r="E468" s="4">
        <v>0.19222199999999998</v>
      </c>
      <c r="F468" s="4">
        <v>0.19667699999999996</v>
      </c>
      <c r="G468" s="4">
        <v>0.2389995</v>
      </c>
      <c r="H468" s="4">
        <v>0.26350199999999996</v>
      </c>
      <c r="I468" s="4">
        <v>0.24122700000000002</v>
      </c>
      <c r="J468" s="4">
        <v>0.22786200000000001</v>
      </c>
      <c r="K468" s="4">
        <v>0.23454450000000002</v>
      </c>
      <c r="L468" s="4">
        <v>0.21449699999999999</v>
      </c>
      <c r="M468" s="4">
        <v>0.22786200000000001</v>
      </c>
      <c r="N468" s="4">
        <v>0.25436925000000005</v>
      </c>
    </row>
    <row r="469" spans="1:14" x14ac:dyDescent="0.25">
      <c r="A469">
        <v>2020</v>
      </c>
      <c r="B469">
        <v>245</v>
      </c>
      <c r="C469" t="s">
        <v>79</v>
      </c>
      <c r="D469">
        <v>34</v>
      </c>
      <c r="E469" s="4">
        <v>0.14321700000000001</v>
      </c>
      <c r="F469" s="4">
        <v>0.15212699999999998</v>
      </c>
      <c r="G469" s="4">
        <v>0.20558699999999999</v>
      </c>
      <c r="H469" s="4">
        <v>0.23454450000000002</v>
      </c>
      <c r="I469" s="4">
        <v>0.2389995</v>
      </c>
      <c r="J469" s="4">
        <v>0.2389995</v>
      </c>
      <c r="K469" s="4">
        <v>0.20781449999999999</v>
      </c>
      <c r="L469" s="4">
        <v>0.19222199999999998</v>
      </c>
      <c r="M469" s="4">
        <v>0.16994700000000001</v>
      </c>
      <c r="N469" s="4">
        <v>0.19556325000000005</v>
      </c>
    </row>
    <row r="470" spans="1:14" x14ac:dyDescent="0.25">
      <c r="A470">
        <v>2020</v>
      </c>
      <c r="B470">
        <v>245</v>
      </c>
      <c r="C470" t="s">
        <v>79</v>
      </c>
      <c r="D470">
        <v>41</v>
      </c>
      <c r="E470" s="4">
        <v>0.20113199999999998</v>
      </c>
      <c r="F470" s="4">
        <v>0.21895199999999998</v>
      </c>
      <c r="G470" s="4">
        <v>0.27018449999999999</v>
      </c>
      <c r="H470" s="4">
        <v>0.25013699999999994</v>
      </c>
      <c r="I470" s="4">
        <v>0.25904699999999997</v>
      </c>
      <c r="J470" s="4">
        <v>0.24345450000000002</v>
      </c>
      <c r="K470" s="4">
        <v>0.18776700000000002</v>
      </c>
      <c r="L470" s="4">
        <v>0.15212699999999998</v>
      </c>
      <c r="M470" s="4">
        <v>0.19222199999999998</v>
      </c>
      <c r="N470" s="4">
        <v>0.23966774999999998</v>
      </c>
    </row>
    <row r="471" spans="1:14" x14ac:dyDescent="0.25">
      <c r="A471">
        <v>2020</v>
      </c>
      <c r="B471">
        <v>245</v>
      </c>
      <c r="C471" t="s">
        <v>79</v>
      </c>
      <c r="D471">
        <v>42</v>
      </c>
      <c r="E471" s="4">
        <v>0.19890449999999998</v>
      </c>
      <c r="F471" s="4">
        <v>0.20113199999999998</v>
      </c>
      <c r="G471" s="4">
        <v>0.22786200000000001</v>
      </c>
      <c r="H471" s="4">
        <v>0.2211795</v>
      </c>
      <c r="I471" s="4">
        <v>0.23454450000000002</v>
      </c>
      <c r="J471" s="4">
        <v>0.174402</v>
      </c>
      <c r="K471" s="4">
        <v>0.138762</v>
      </c>
      <c r="L471" s="4">
        <v>0.14321700000000001</v>
      </c>
      <c r="M471" s="4">
        <v>0.174402</v>
      </c>
      <c r="N471" s="4">
        <v>0.22741649999999999</v>
      </c>
    </row>
    <row r="472" spans="1:14" x14ac:dyDescent="0.25">
      <c r="A472">
        <v>2020</v>
      </c>
      <c r="B472">
        <v>245</v>
      </c>
      <c r="C472" t="s">
        <v>79</v>
      </c>
      <c r="D472">
        <v>43</v>
      </c>
      <c r="E472" s="4">
        <v>0.2122695</v>
      </c>
      <c r="F472" s="4">
        <v>0.21449699999999999</v>
      </c>
      <c r="G472" s="4">
        <v>0.232317</v>
      </c>
      <c r="H472" s="4">
        <v>0.19222199999999998</v>
      </c>
      <c r="I472" s="4">
        <v>0.20335949999999997</v>
      </c>
      <c r="J472" s="4">
        <v>0.18999449999999996</v>
      </c>
      <c r="K472" s="4">
        <v>0.17662950000000002</v>
      </c>
      <c r="L472" s="4">
        <v>0.15435450000000001</v>
      </c>
      <c r="M472" s="4">
        <v>0.16103699999999999</v>
      </c>
      <c r="N472" s="4">
        <v>0.22006574999999998</v>
      </c>
    </row>
    <row r="473" spans="1:14" x14ac:dyDescent="0.25">
      <c r="A473">
        <v>2020</v>
      </c>
      <c r="B473">
        <v>245</v>
      </c>
      <c r="C473" t="s">
        <v>79</v>
      </c>
      <c r="D473">
        <v>44</v>
      </c>
      <c r="E473" s="4">
        <v>0.16103699999999999</v>
      </c>
      <c r="F473" s="4">
        <v>0.17217450000000001</v>
      </c>
      <c r="G473" s="4">
        <v>0.25013699999999994</v>
      </c>
      <c r="H473" s="4">
        <v>0.24568199999999998</v>
      </c>
      <c r="I473" s="4">
        <v>0.24568199999999998</v>
      </c>
      <c r="J473" s="4">
        <v>0.22563449999999999</v>
      </c>
      <c r="K473" s="4">
        <v>0.21672450000000001</v>
      </c>
      <c r="L473" s="4">
        <v>0.174402</v>
      </c>
      <c r="M473" s="4">
        <v>0.129852</v>
      </c>
      <c r="N473" s="4">
        <v>0.15390900000000002</v>
      </c>
    </row>
    <row r="474" spans="1:14" x14ac:dyDescent="0.25">
      <c r="A474">
        <v>2020</v>
      </c>
      <c r="B474">
        <v>245</v>
      </c>
      <c r="C474" t="s">
        <v>79</v>
      </c>
      <c r="D474">
        <v>51</v>
      </c>
      <c r="E474" s="4">
        <v>0.27241199999999993</v>
      </c>
      <c r="F474" s="4">
        <v>0.26350199999999996</v>
      </c>
      <c r="G474" s="4">
        <v>0.25904699999999997</v>
      </c>
      <c r="H474" s="4">
        <v>0.26350199999999996</v>
      </c>
      <c r="I474" s="4">
        <v>0.24345450000000002</v>
      </c>
      <c r="J474" s="4">
        <v>0.2389995</v>
      </c>
      <c r="K474" s="4">
        <v>0.22786200000000001</v>
      </c>
      <c r="L474" s="4">
        <v>0.21449699999999999</v>
      </c>
      <c r="M474" s="4">
        <v>0.23454450000000002</v>
      </c>
      <c r="N474" s="4">
        <v>0.26172000000000001</v>
      </c>
    </row>
    <row r="475" spans="1:14" x14ac:dyDescent="0.25">
      <c r="A475">
        <v>2020</v>
      </c>
      <c r="B475">
        <v>245</v>
      </c>
      <c r="C475" t="s">
        <v>79</v>
      </c>
      <c r="D475">
        <v>52</v>
      </c>
      <c r="E475" s="4">
        <v>0.25013699999999994</v>
      </c>
      <c r="F475" s="4">
        <v>0.24345450000000002</v>
      </c>
      <c r="G475" s="4">
        <v>0.27463949999999998</v>
      </c>
      <c r="H475" s="4">
        <v>0.27686699999999997</v>
      </c>
      <c r="I475" s="4">
        <v>0.29691449999999997</v>
      </c>
      <c r="J475" s="4">
        <v>0.27909450000000002</v>
      </c>
      <c r="K475" s="4">
        <v>0.27463949999999998</v>
      </c>
      <c r="L475" s="4">
        <v>0.22563449999999999</v>
      </c>
      <c r="M475" s="4">
        <v>0.2211795</v>
      </c>
      <c r="N475" s="4">
        <v>0.25436925000000005</v>
      </c>
    </row>
    <row r="476" spans="1:14" x14ac:dyDescent="0.25">
      <c r="A476">
        <v>2020</v>
      </c>
      <c r="B476">
        <v>245</v>
      </c>
      <c r="C476" t="s">
        <v>79</v>
      </c>
      <c r="D476">
        <v>53</v>
      </c>
      <c r="E476" s="4">
        <v>0.23454450000000002</v>
      </c>
      <c r="F476" s="4">
        <v>0.23008950000000003</v>
      </c>
      <c r="G476" s="4">
        <v>0.25013699999999994</v>
      </c>
      <c r="H476" s="4">
        <v>0.27241199999999993</v>
      </c>
      <c r="I476" s="4">
        <v>0.26127450000000002</v>
      </c>
      <c r="J476" s="4">
        <v>0.2389995</v>
      </c>
      <c r="K476" s="4">
        <v>0.19890449999999998</v>
      </c>
      <c r="L476" s="4">
        <v>0.138762</v>
      </c>
      <c r="M476" s="4">
        <v>0.1276245</v>
      </c>
      <c r="N476" s="4">
        <v>0.18086175000000002</v>
      </c>
    </row>
    <row r="477" spans="1:14" x14ac:dyDescent="0.25">
      <c r="A477">
        <v>2020</v>
      </c>
      <c r="B477">
        <v>245</v>
      </c>
      <c r="C477" t="s">
        <v>79</v>
      </c>
      <c r="D477">
        <v>54</v>
      </c>
      <c r="E477" s="4">
        <v>0.2211795</v>
      </c>
      <c r="F477" s="4">
        <v>0.2211795</v>
      </c>
      <c r="G477" s="4">
        <v>0.21449699999999999</v>
      </c>
      <c r="H477" s="4">
        <v>0.24568199999999998</v>
      </c>
      <c r="I477" s="4">
        <v>0.25013699999999994</v>
      </c>
      <c r="J477" s="4">
        <v>0.21672450000000001</v>
      </c>
      <c r="K477" s="4">
        <v>0.18108450000000001</v>
      </c>
      <c r="L477" s="4">
        <v>0.16326450000000001</v>
      </c>
      <c r="M477" s="4">
        <v>0.156582</v>
      </c>
      <c r="N477" s="4">
        <v>0.21026475000000006</v>
      </c>
    </row>
    <row r="478" spans="1:14" x14ac:dyDescent="0.25">
      <c r="A478">
        <v>2020</v>
      </c>
      <c r="B478">
        <v>245</v>
      </c>
      <c r="C478" t="s">
        <v>79</v>
      </c>
      <c r="D478">
        <v>61</v>
      </c>
      <c r="E478" s="4">
        <v>0.19890449999999998</v>
      </c>
      <c r="F478" s="4">
        <v>0.16103699999999999</v>
      </c>
      <c r="G478" s="4">
        <v>0.165492</v>
      </c>
      <c r="H478" s="4">
        <v>0.20113199999999998</v>
      </c>
      <c r="I478" s="4">
        <v>0.2211795</v>
      </c>
      <c r="J478" s="4">
        <v>0.16994700000000001</v>
      </c>
      <c r="K478" s="4">
        <v>0.15880949999999999</v>
      </c>
      <c r="L478" s="4">
        <v>0.156582</v>
      </c>
      <c r="M478" s="4">
        <v>0.174402</v>
      </c>
      <c r="N478" s="4">
        <v>0.19556325000000005</v>
      </c>
    </row>
    <row r="479" spans="1:14" x14ac:dyDescent="0.25">
      <c r="A479">
        <v>2020</v>
      </c>
      <c r="B479">
        <v>245</v>
      </c>
      <c r="C479" t="s">
        <v>79</v>
      </c>
      <c r="D479">
        <v>62</v>
      </c>
      <c r="E479" s="4">
        <v>0.21895199999999998</v>
      </c>
      <c r="F479" s="4">
        <v>0.21895199999999998</v>
      </c>
      <c r="G479" s="4">
        <v>0.2389995</v>
      </c>
      <c r="H479" s="4">
        <v>0.174402</v>
      </c>
      <c r="I479" s="4">
        <v>0.15880949999999999</v>
      </c>
      <c r="J479" s="4">
        <v>0.16103699999999999</v>
      </c>
      <c r="K479" s="4">
        <v>0.14098950000000002</v>
      </c>
      <c r="L479" s="4">
        <v>0.14321700000000001</v>
      </c>
      <c r="M479" s="4">
        <v>0.18776700000000002</v>
      </c>
      <c r="N479" s="4">
        <v>0.22741649999999999</v>
      </c>
    </row>
    <row r="480" spans="1:14" x14ac:dyDescent="0.25">
      <c r="A480">
        <v>2020</v>
      </c>
      <c r="B480">
        <v>245</v>
      </c>
      <c r="C480" t="s">
        <v>79</v>
      </c>
      <c r="D480">
        <v>63</v>
      </c>
      <c r="E480" s="4">
        <v>0.25681949999999998</v>
      </c>
      <c r="F480" s="4">
        <v>0.23008950000000003</v>
      </c>
      <c r="G480" s="4">
        <v>0.2211795</v>
      </c>
      <c r="H480" s="4">
        <v>0.18776700000000002</v>
      </c>
      <c r="I480" s="4">
        <v>0.20335949999999997</v>
      </c>
      <c r="J480" s="4">
        <v>0.21895199999999998</v>
      </c>
      <c r="K480" s="4">
        <v>0.17662950000000002</v>
      </c>
      <c r="L480" s="4">
        <v>0.138762</v>
      </c>
      <c r="M480" s="4">
        <v>0.14989949999999999</v>
      </c>
      <c r="N480" s="4">
        <v>0.21516524999999997</v>
      </c>
    </row>
    <row r="481" spans="1:14" x14ac:dyDescent="0.25">
      <c r="A481">
        <v>2020</v>
      </c>
      <c r="B481">
        <v>245</v>
      </c>
      <c r="C481" t="s">
        <v>79</v>
      </c>
      <c r="D481">
        <v>64</v>
      </c>
      <c r="E481" s="4">
        <v>0.267957</v>
      </c>
      <c r="F481" s="4">
        <v>0.25013699999999994</v>
      </c>
      <c r="G481" s="4">
        <v>0.20781449999999999</v>
      </c>
      <c r="H481" s="4">
        <v>0.22340700000000002</v>
      </c>
      <c r="I481" s="4">
        <v>0.24122700000000002</v>
      </c>
      <c r="J481" s="4">
        <v>0.21895199999999998</v>
      </c>
      <c r="K481" s="4">
        <v>0.1855395</v>
      </c>
      <c r="L481" s="4">
        <v>0.129852</v>
      </c>
      <c r="M481" s="4">
        <v>0.12094200000000001</v>
      </c>
      <c r="N481" s="4">
        <v>0.18331200000000003</v>
      </c>
    </row>
    <row r="482" spans="1:14" x14ac:dyDescent="0.25">
      <c r="A482">
        <v>2020</v>
      </c>
      <c r="B482">
        <v>252</v>
      </c>
      <c r="C482" t="s">
        <v>79</v>
      </c>
      <c r="D482">
        <v>11</v>
      </c>
      <c r="E482" s="4">
        <v>0.16994700000000001</v>
      </c>
      <c r="F482" s="4">
        <v>0.1855395</v>
      </c>
      <c r="G482" s="4">
        <v>0.21449699999999999</v>
      </c>
      <c r="H482" s="4">
        <v>0.24790949999999998</v>
      </c>
      <c r="I482" s="4">
        <v>0.2211795</v>
      </c>
      <c r="J482" s="4">
        <v>0.232317</v>
      </c>
      <c r="K482" s="4">
        <v>0.24568199999999998</v>
      </c>
      <c r="L482" s="4">
        <v>0.2389995</v>
      </c>
      <c r="M482" s="4">
        <v>0.2389995</v>
      </c>
      <c r="N482" s="4">
        <v>0.25191900000000006</v>
      </c>
    </row>
    <row r="483" spans="1:14" x14ac:dyDescent="0.25">
      <c r="A483">
        <v>2020</v>
      </c>
      <c r="B483">
        <v>252</v>
      </c>
      <c r="C483" t="s">
        <v>79</v>
      </c>
      <c r="D483">
        <v>12</v>
      </c>
      <c r="E483" s="4">
        <v>0.21672450000000001</v>
      </c>
      <c r="F483" s="4">
        <v>0.22340700000000002</v>
      </c>
      <c r="G483" s="4">
        <v>0.18108450000000001</v>
      </c>
      <c r="H483" s="4">
        <v>0.156582</v>
      </c>
      <c r="I483" s="4">
        <v>0.1365345</v>
      </c>
      <c r="J483" s="4">
        <v>0.13430700000000001</v>
      </c>
      <c r="K483" s="4">
        <v>0.129852</v>
      </c>
      <c r="L483" s="4">
        <v>0.17662950000000002</v>
      </c>
      <c r="M483" s="4">
        <v>0.18331200000000003</v>
      </c>
      <c r="N483" s="4">
        <v>0.1686105</v>
      </c>
    </row>
    <row r="484" spans="1:14" x14ac:dyDescent="0.25">
      <c r="A484">
        <v>2020</v>
      </c>
      <c r="B484">
        <v>252</v>
      </c>
      <c r="C484" t="s">
        <v>79</v>
      </c>
      <c r="D484">
        <v>13</v>
      </c>
      <c r="E484" s="4">
        <v>0.20558699999999999</v>
      </c>
      <c r="F484" s="4">
        <v>0.18999449999999996</v>
      </c>
      <c r="G484" s="4">
        <v>0.20558699999999999</v>
      </c>
      <c r="H484" s="4">
        <v>0.232317</v>
      </c>
      <c r="I484" s="4">
        <v>0.22563449999999999</v>
      </c>
      <c r="J484" s="4">
        <v>0.174402</v>
      </c>
      <c r="K484" s="4">
        <v>0.156582</v>
      </c>
      <c r="L484" s="4">
        <v>0.15435450000000001</v>
      </c>
      <c r="M484" s="4">
        <v>0.17662950000000002</v>
      </c>
      <c r="N484" s="4">
        <v>0.18821250000000003</v>
      </c>
    </row>
    <row r="485" spans="1:14" x14ac:dyDescent="0.25">
      <c r="A485">
        <v>2020</v>
      </c>
      <c r="B485">
        <v>252</v>
      </c>
      <c r="C485" t="s">
        <v>79</v>
      </c>
      <c r="D485">
        <v>14</v>
      </c>
      <c r="E485" s="4">
        <v>0.24345450000000002</v>
      </c>
      <c r="F485" s="4">
        <v>0.24122700000000002</v>
      </c>
      <c r="G485" s="4">
        <v>0.25459199999999998</v>
      </c>
      <c r="H485" s="4">
        <v>0.232317</v>
      </c>
      <c r="I485" s="4">
        <v>0.20335949999999997</v>
      </c>
      <c r="J485" s="4">
        <v>0.19222199999999998</v>
      </c>
      <c r="K485" s="4">
        <v>0.2211795</v>
      </c>
      <c r="L485" s="4">
        <v>0.2211795</v>
      </c>
      <c r="M485" s="4">
        <v>0.20335949999999997</v>
      </c>
      <c r="N485" s="4">
        <v>0.232317</v>
      </c>
    </row>
    <row r="486" spans="1:14" x14ac:dyDescent="0.25">
      <c r="A486">
        <v>2020</v>
      </c>
      <c r="B486">
        <v>252</v>
      </c>
      <c r="C486" t="s">
        <v>79</v>
      </c>
      <c r="D486">
        <v>21</v>
      </c>
      <c r="E486" s="4">
        <v>0.26127450000000002</v>
      </c>
      <c r="F486" s="4">
        <v>0.232317</v>
      </c>
      <c r="G486" s="4">
        <v>0.23677200000000004</v>
      </c>
      <c r="H486" s="4">
        <v>0.22563449999999999</v>
      </c>
      <c r="I486" s="4">
        <v>0.20781449999999999</v>
      </c>
      <c r="J486" s="4">
        <v>0.19667699999999996</v>
      </c>
      <c r="K486" s="4">
        <v>0.17217450000000001</v>
      </c>
      <c r="L486" s="4">
        <v>0.2122695</v>
      </c>
      <c r="M486" s="4">
        <v>0.19890449999999998</v>
      </c>
      <c r="N486" s="4">
        <v>0.22006574999999998</v>
      </c>
    </row>
    <row r="487" spans="1:14" x14ac:dyDescent="0.25">
      <c r="A487">
        <v>2020</v>
      </c>
      <c r="B487">
        <v>252</v>
      </c>
      <c r="C487" t="s">
        <v>79</v>
      </c>
      <c r="D487">
        <v>22</v>
      </c>
      <c r="E487" s="4">
        <v>0.25236449999999999</v>
      </c>
      <c r="F487" s="4">
        <v>0.23454450000000002</v>
      </c>
      <c r="G487" s="4">
        <v>0.232317</v>
      </c>
      <c r="H487" s="4">
        <v>0.24345450000000002</v>
      </c>
      <c r="I487" s="4">
        <v>0.23677200000000004</v>
      </c>
      <c r="J487" s="4">
        <v>0.19667699999999996</v>
      </c>
      <c r="K487" s="4">
        <v>0.15435450000000001</v>
      </c>
      <c r="L487" s="4">
        <v>0.18776700000000002</v>
      </c>
      <c r="M487" s="4">
        <v>0.1944495</v>
      </c>
      <c r="N487" s="4">
        <v>0.22251599999999999</v>
      </c>
    </row>
    <row r="488" spans="1:14" x14ac:dyDescent="0.25">
      <c r="A488">
        <v>2020</v>
      </c>
      <c r="B488">
        <v>252</v>
      </c>
      <c r="C488" t="s">
        <v>79</v>
      </c>
      <c r="D488">
        <v>23</v>
      </c>
      <c r="E488" s="4">
        <v>0.21004199999999998</v>
      </c>
      <c r="F488" s="4">
        <v>0.2211795</v>
      </c>
      <c r="G488" s="4">
        <v>0.25013699999999994</v>
      </c>
      <c r="H488" s="4">
        <v>0.267957</v>
      </c>
      <c r="I488" s="4">
        <v>0.2211795</v>
      </c>
      <c r="J488" s="4">
        <v>0.1454445</v>
      </c>
      <c r="K488" s="4">
        <v>0.13430700000000001</v>
      </c>
      <c r="L488" s="4">
        <v>0.138762</v>
      </c>
      <c r="M488" s="4">
        <v>0.174402</v>
      </c>
      <c r="N488" s="4">
        <v>0.18331200000000003</v>
      </c>
    </row>
    <row r="489" spans="1:14" x14ac:dyDescent="0.25">
      <c r="A489">
        <v>2020</v>
      </c>
      <c r="B489">
        <v>252</v>
      </c>
      <c r="C489" t="s">
        <v>79</v>
      </c>
      <c r="D489">
        <v>24</v>
      </c>
      <c r="E489" s="4">
        <v>0.12316949999999999</v>
      </c>
      <c r="F489" s="4">
        <v>9.6439499999999997E-2</v>
      </c>
      <c r="G489" s="4">
        <v>8.3074499999999996E-2</v>
      </c>
      <c r="H489" s="4">
        <v>7.8619499999999995E-2</v>
      </c>
      <c r="I489" s="4">
        <v>6.9709499999999994E-2</v>
      </c>
      <c r="J489" s="4">
        <v>6.9709499999999994E-2</v>
      </c>
      <c r="K489" s="4">
        <v>7.6392000000000002E-2</v>
      </c>
      <c r="L489" s="4">
        <v>9.6439499999999997E-2</v>
      </c>
      <c r="M489" s="4">
        <v>0.1276245</v>
      </c>
      <c r="N489" s="4">
        <v>0.18576225000000005</v>
      </c>
    </row>
    <row r="490" spans="1:14" x14ac:dyDescent="0.25">
      <c r="A490">
        <v>2020</v>
      </c>
      <c r="B490">
        <v>252</v>
      </c>
      <c r="C490" t="s">
        <v>79</v>
      </c>
      <c r="D490">
        <v>31</v>
      </c>
      <c r="E490" s="4">
        <v>0.31473449999999997</v>
      </c>
      <c r="F490" s="4">
        <v>0.26572949999999995</v>
      </c>
      <c r="G490" s="4">
        <v>0.24568199999999998</v>
      </c>
      <c r="H490" s="4">
        <v>0.25236449999999999</v>
      </c>
      <c r="I490" s="4">
        <v>0.23454450000000002</v>
      </c>
      <c r="J490" s="4">
        <v>0.20335949999999997</v>
      </c>
      <c r="K490" s="4">
        <v>0.147672</v>
      </c>
      <c r="L490" s="4">
        <v>0.15212699999999998</v>
      </c>
      <c r="M490" s="4">
        <v>0.147672</v>
      </c>
      <c r="N490" s="4">
        <v>0.17596124999999996</v>
      </c>
    </row>
    <row r="491" spans="1:14" x14ac:dyDescent="0.25">
      <c r="A491">
        <v>2020</v>
      </c>
      <c r="B491">
        <v>252</v>
      </c>
      <c r="C491" t="s">
        <v>79</v>
      </c>
      <c r="D491">
        <v>32</v>
      </c>
      <c r="E491" s="4">
        <v>0.19222199999999998</v>
      </c>
      <c r="F491" s="4">
        <v>0.18108450000000001</v>
      </c>
      <c r="G491" s="4">
        <v>0.15435450000000001</v>
      </c>
      <c r="H491" s="4">
        <v>0.1454445</v>
      </c>
      <c r="I491" s="4">
        <v>0.1365345</v>
      </c>
      <c r="J491" s="4">
        <v>0.1276245</v>
      </c>
      <c r="K491" s="4">
        <v>0.1365345</v>
      </c>
      <c r="L491" s="4">
        <v>0.174402</v>
      </c>
      <c r="M491" s="4">
        <v>0.18999449999999996</v>
      </c>
      <c r="N491" s="4">
        <v>0.20291400000000004</v>
      </c>
    </row>
    <row r="492" spans="1:14" x14ac:dyDescent="0.25">
      <c r="A492">
        <v>2020</v>
      </c>
      <c r="B492">
        <v>252</v>
      </c>
      <c r="C492" t="s">
        <v>79</v>
      </c>
      <c r="D492">
        <v>33</v>
      </c>
      <c r="E492" s="4">
        <v>0.1944495</v>
      </c>
      <c r="F492" s="4">
        <v>0.18999449999999996</v>
      </c>
      <c r="G492" s="4">
        <v>0.2389995</v>
      </c>
      <c r="H492" s="4">
        <v>0.26127450000000002</v>
      </c>
      <c r="I492" s="4">
        <v>0.2389995</v>
      </c>
      <c r="J492" s="4">
        <v>0.22786200000000001</v>
      </c>
      <c r="K492" s="4">
        <v>0.23454450000000002</v>
      </c>
      <c r="L492" s="4">
        <v>0.2122695</v>
      </c>
      <c r="M492" s="4">
        <v>0.21895199999999998</v>
      </c>
      <c r="N492" s="4">
        <v>0.24946875000000004</v>
      </c>
    </row>
    <row r="493" spans="1:14" x14ac:dyDescent="0.25">
      <c r="A493">
        <v>2020</v>
      </c>
      <c r="B493">
        <v>252</v>
      </c>
      <c r="C493" t="s">
        <v>79</v>
      </c>
      <c r="D493">
        <v>34</v>
      </c>
      <c r="E493" s="4">
        <v>0.14321700000000001</v>
      </c>
      <c r="F493" s="4">
        <v>0.15212699999999998</v>
      </c>
      <c r="G493" s="4">
        <v>0.21004199999999998</v>
      </c>
      <c r="H493" s="4">
        <v>0.2389995</v>
      </c>
      <c r="I493" s="4">
        <v>0.2389995</v>
      </c>
      <c r="J493" s="4">
        <v>0.24122700000000002</v>
      </c>
      <c r="K493" s="4">
        <v>0.21672450000000001</v>
      </c>
      <c r="L493" s="4">
        <v>0.20781449999999999</v>
      </c>
      <c r="M493" s="4">
        <v>0.17217450000000001</v>
      </c>
      <c r="N493" s="4">
        <v>0.18331200000000003</v>
      </c>
    </row>
    <row r="494" spans="1:14" x14ac:dyDescent="0.25">
      <c r="A494">
        <v>2020</v>
      </c>
      <c r="B494">
        <v>252</v>
      </c>
      <c r="C494" t="s">
        <v>79</v>
      </c>
      <c r="D494">
        <v>41</v>
      </c>
      <c r="E494" s="4">
        <v>0.20335949999999997</v>
      </c>
      <c r="F494" s="4">
        <v>0.20558699999999999</v>
      </c>
      <c r="G494" s="4">
        <v>0.22786200000000001</v>
      </c>
      <c r="H494" s="4">
        <v>0.23677200000000004</v>
      </c>
      <c r="I494" s="4">
        <v>0.23677200000000004</v>
      </c>
      <c r="J494" s="4">
        <v>0.17885699999999999</v>
      </c>
      <c r="K494" s="4">
        <v>0.147672</v>
      </c>
      <c r="L494" s="4">
        <v>0.14321700000000001</v>
      </c>
      <c r="M494" s="4">
        <v>0.174402</v>
      </c>
      <c r="N494" s="4">
        <v>0.21026475000000006</v>
      </c>
    </row>
    <row r="495" spans="1:14" x14ac:dyDescent="0.25">
      <c r="A495">
        <v>2020</v>
      </c>
      <c r="B495">
        <v>252</v>
      </c>
      <c r="C495" t="s">
        <v>79</v>
      </c>
      <c r="D495">
        <v>42</v>
      </c>
      <c r="E495" s="4">
        <v>0.22340700000000002</v>
      </c>
      <c r="F495" s="4">
        <v>0.21449699999999999</v>
      </c>
      <c r="G495" s="4">
        <v>0.24345450000000002</v>
      </c>
      <c r="H495" s="4">
        <v>0.1855395</v>
      </c>
      <c r="I495" s="4">
        <v>0.20113199999999998</v>
      </c>
      <c r="J495" s="4">
        <v>0.19222199999999998</v>
      </c>
      <c r="K495" s="4">
        <v>0.1855395</v>
      </c>
      <c r="L495" s="4">
        <v>0.15212699999999998</v>
      </c>
      <c r="M495" s="4">
        <v>0.15212699999999998</v>
      </c>
      <c r="N495" s="4">
        <v>0.20291400000000004</v>
      </c>
    </row>
    <row r="496" spans="1:14" x14ac:dyDescent="0.25">
      <c r="A496">
        <v>2020</v>
      </c>
      <c r="B496">
        <v>252</v>
      </c>
      <c r="C496" t="s">
        <v>79</v>
      </c>
      <c r="D496">
        <v>43</v>
      </c>
      <c r="E496" s="4">
        <v>0.165492</v>
      </c>
      <c r="F496" s="4">
        <v>0.174402</v>
      </c>
      <c r="G496" s="4">
        <v>0.25459199999999998</v>
      </c>
      <c r="H496" s="4">
        <v>0.24345450000000002</v>
      </c>
      <c r="I496" s="4">
        <v>0.25681949999999998</v>
      </c>
      <c r="J496" s="4">
        <v>0.232317</v>
      </c>
      <c r="K496" s="4">
        <v>0.22563449999999999</v>
      </c>
      <c r="L496" s="4">
        <v>0.18108450000000001</v>
      </c>
      <c r="M496" s="4">
        <v>0.129852</v>
      </c>
      <c r="N496" s="4">
        <v>0.15145875</v>
      </c>
    </row>
    <row r="497" spans="1:14" x14ac:dyDescent="0.25">
      <c r="A497">
        <v>2020</v>
      </c>
      <c r="B497">
        <v>252</v>
      </c>
      <c r="C497" t="s">
        <v>79</v>
      </c>
      <c r="D497">
        <v>44</v>
      </c>
      <c r="E497" s="4">
        <v>0.20781449999999999</v>
      </c>
      <c r="F497" s="4">
        <v>0.22563449999999999</v>
      </c>
      <c r="G497" s="4">
        <v>0.28132200000000002</v>
      </c>
      <c r="H497" s="4">
        <v>0.25236449999999999</v>
      </c>
      <c r="I497" s="4">
        <v>0.25681949999999998</v>
      </c>
      <c r="J497" s="4">
        <v>0.24790949999999998</v>
      </c>
      <c r="K497" s="4">
        <v>0.19890449999999998</v>
      </c>
      <c r="L497" s="4">
        <v>0.15435450000000001</v>
      </c>
      <c r="M497" s="4">
        <v>0.19222199999999998</v>
      </c>
      <c r="N497" s="4">
        <v>0.22496624999999998</v>
      </c>
    </row>
    <row r="498" spans="1:14" x14ac:dyDescent="0.25">
      <c r="A498">
        <v>2020</v>
      </c>
      <c r="B498">
        <v>252</v>
      </c>
      <c r="C498" t="s">
        <v>79</v>
      </c>
      <c r="D498">
        <v>51</v>
      </c>
      <c r="E498" s="4">
        <v>0.27909450000000002</v>
      </c>
      <c r="F498" s="4">
        <v>0.26127450000000002</v>
      </c>
      <c r="G498" s="4">
        <v>0.26350199999999996</v>
      </c>
      <c r="H498" s="4">
        <v>0.26572949999999995</v>
      </c>
      <c r="I498" s="4">
        <v>0.2389995</v>
      </c>
      <c r="J498" s="4">
        <v>0.22786200000000001</v>
      </c>
      <c r="K498" s="4">
        <v>0.2122695</v>
      </c>
      <c r="L498" s="4">
        <v>0.20558699999999999</v>
      </c>
      <c r="M498" s="4">
        <v>0.2211795</v>
      </c>
      <c r="N498" s="4">
        <v>0.25926975000000002</v>
      </c>
    </row>
    <row r="499" spans="1:14" x14ac:dyDescent="0.25">
      <c r="A499">
        <v>2020</v>
      </c>
      <c r="B499">
        <v>252</v>
      </c>
      <c r="C499" t="s">
        <v>79</v>
      </c>
      <c r="D499">
        <v>52</v>
      </c>
      <c r="E499" s="4">
        <v>0.25236449999999999</v>
      </c>
      <c r="F499" s="4">
        <v>0.24568199999999998</v>
      </c>
      <c r="G499" s="4">
        <v>0.27909450000000002</v>
      </c>
      <c r="H499" s="4">
        <v>0.2880045</v>
      </c>
      <c r="I499" s="4">
        <v>0.29468700000000003</v>
      </c>
      <c r="J499" s="4">
        <v>0.27241199999999993</v>
      </c>
      <c r="K499" s="4">
        <v>0.27241199999999993</v>
      </c>
      <c r="L499" s="4">
        <v>0.21672450000000001</v>
      </c>
      <c r="M499" s="4">
        <v>0.21672450000000001</v>
      </c>
      <c r="N499" s="4">
        <v>0.23966774999999998</v>
      </c>
    </row>
    <row r="500" spans="1:14" x14ac:dyDescent="0.25">
      <c r="A500">
        <v>2020</v>
      </c>
      <c r="B500">
        <v>252</v>
      </c>
      <c r="C500" t="s">
        <v>79</v>
      </c>
      <c r="D500">
        <v>53</v>
      </c>
      <c r="E500" s="4">
        <v>0.2389995</v>
      </c>
      <c r="F500" s="4">
        <v>0.23454450000000002</v>
      </c>
      <c r="G500" s="4">
        <v>0.25236449999999999</v>
      </c>
      <c r="H500" s="4">
        <v>0.27241199999999993</v>
      </c>
      <c r="I500" s="4">
        <v>0.26572949999999995</v>
      </c>
      <c r="J500" s="4">
        <v>0.2389995</v>
      </c>
      <c r="K500" s="4">
        <v>0.21449699999999999</v>
      </c>
      <c r="L500" s="4">
        <v>0.14098950000000002</v>
      </c>
      <c r="M500" s="4">
        <v>0.129852</v>
      </c>
      <c r="N500" s="4">
        <v>0.18086175000000002</v>
      </c>
    </row>
    <row r="501" spans="1:14" x14ac:dyDescent="0.25">
      <c r="A501">
        <v>2020</v>
      </c>
      <c r="B501">
        <v>252</v>
      </c>
      <c r="C501" t="s">
        <v>79</v>
      </c>
      <c r="D501">
        <v>54</v>
      </c>
      <c r="E501" s="4">
        <v>0.23008950000000003</v>
      </c>
      <c r="F501" s="4">
        <v>0.22786200000000001</v>
      </c>
      <c r="G501" s="4">
        <v>0.21895199999999998</v>
      </c>
      <c r="H501" s="4">
        <v>0.25459199999999998</v>
      </c>
      <c r="I501" s="4">
        <v>0.24568199999999998</v>
      </c>
      <c r="J501" s="4">
        <v>0.22340700000000002</v>
      </c>
      <c r="K501" s="4">
        <v>0.1855395</v>
      </c>
      <c r="L501" s="4">
        <v>0.174402</v>
      </c>
      <c r="M501" s="4">
        <v>0.147672</v>
      </c>
      <c r="N501" s="4">
        <v>0.19311300000000003</v>
      </c>
    </row>
    <row r="502" spans="1:14" x14ac:dyDescent="0.25">
      <c r="A502">
        <v>2020</v>
      </c>
      <c r="B502">
        <v>252</v>
      </c>
      <c r="C502" t="s">
        <v>79</v>
      </c>
      <c r="D502">
        <v>61</v>
      </c>
      <c r="E502" s="4">
        <v>0.20113199999999998</v>
      </c>
      <c r="F502" s="4">
        <v>0.15880949999999999</v>
      </c>
      <c r="G502" s="4">
        <v>0.16994700000000001</v>
      </c>
      <c r="H502" s="4">
        <v>0.20781449999999999</v>
      </c>
      <c r="I502" s="4">
        <v>0.22340700000000002</v>
      </c>
      <c r="J502" s="4">
        <v>0.17217450000000001</v>
      </c>
      <c r="K502" s="4">
        <v>0.16103699999999999</v>
      </c>
      <c r="L502" s="4">
        <v>0.15435450000000001</v>
      </c>
      <c r="M502" s="4">
        <v>0.174402</v>
      </c>
      <c r="N502" s="4">
        <v>0.17596124999999996</v>
      </c>
    </row>
    <row r="503" spans="1:14" x14ac:dyDescent="0.25">
      <c r="A503">
        <v>2020</v>
      </c>
      <c r="B503">
        <v>252</v>
      </c>
      <c r="C503" t="s">
        <v>79</v>
      </c>
      <c r="D503">
        <v>62</v>
      </c>
      <c r="E503" s="4">
        <v>0.21004199999999998</v>
      </c>
      <c r="F503" s="4">
        <v>0.22786200000000001</v>
      </c>
      <c r="G503" s="4">
        <v>0.24345450000000002</v>
      </c>
      <c r="H503" s="4">
        <v>0.18776700000000002</v>
      </c>
      <c r="I503" s="4">
        <v>0.15880949999999999</v>
      </c>
      <c r="J503" s="4">
        <v>0.15880949999999999</v>
      </c>
      <c r="K503" s="4">
        <v>0.14098950000000002</v>
      </c>
      <c r="L503" s="4">
        <v>0.14098950000000002</v>
      </c>
      <c r="M503" s="4">
        <v>0.18999449999999996</v>
      </c>
      <c r="N503" s="4">
        <v>0.22496624999999998</v>
      </c>
    </row>
    <row r="504" spans="1:14" x14ac:dyDescent="0.25">
      <c r="A504">
        <v>2020</v>
      </c>
      <c r="B504">
        <v>252</v>
      </c>
      <c r="C504" t="s">
        <v>79</v>
      </c>
      <c r="D504">
        <v>63</v>
      </c>
      <c r="E504" s="4">
        <v>0.25904699999999997</v>
      </c>
      <c r="F504" s="4">
        <v>0.23677200000000004</v>
      </c>
      <c r="G504" s="4">
        <v>0.22340700000000002</v>
      </c>
      <c r="H504" s="4">
        <v>0.19890449999999998</v>
      </c>
      <c r="I504" s="4">
        <v>0.21672450000000001</v>
      </c>
      <c r="J504" s="4">
        <v>0.2211795</v>
      </c>
      <c r="K504" s="4">
        <v>0.18331200000000003</v>
      </c>
      <c r="L504" s="4">
        <v>0.14989949999999999</v>
      </c>
      <c r="M504" s="4">
        <v>0.147672</v>
      </c>
      <c r="N504" s="4">
        <v>0.18821250000000003</v>
      </c>
    </row>
    <row r="505" spans="1:14" x14ac:dyDescent="0.25">
      <c r="A505">
        <v>2020</v>
      </c>
      <c r="B505">
        <v>252</v>
      </c>
      <c r="C505" t="s">
        <v>79</v>
      </c>
      <c r="D505">
        <v>64</v>
      </c>
      <c r="E505" s="4">
        <v>0.27463949999999998</v>
      </c>
      <c r="F505" s="4">
        <v>0.25013699999999994</v>
      </c>
      <c r="G505" s="4">
        <v>0.2122695</v>
      </c>
      <c r="H505" s="4">
        <v>0.22340700000000002</v>
      </c>
      <c r="I505" s="4">
        <v>0.24568199999999998</v>
      </c>
      <c r="J505" s="4">
        <v>0.2211795</v>
      </c>
      <c r="K505" s="4">
        <v>0.19667699999999996</v>
      </c>
      <c r="L505" s="4">
        <v>0.12316949999999999</v>
      </c>
      <c r="M505" s="4">
        <v>0.12094200000000001</v>
      </c>
      <c r="N505" s="4">
        <v>0.17351100000000003</v>
      </c>
    </row>
    <row r="506" spans="1:14" x14ac:dyDescent="0.25">
      <c r="A506">
        <v>2020</v>
      </c>
      <c r="B506">
        <v>258</v>
      </c>
      <c r="C506" t="s">
        <v>79</v>
      </c>
      <c r="D506">
        <v>11</v>
      </c>
      <c r="E506" s="4">
        <v>0.165492</v>
      </c>
      <c r="F506" s="4">
        <v>0.18331200000000003</v>
      </c>
      <c r="G506" s="4">
        <v>0.20558699999999999</v>
      </c>
      <c r="H506" s="4">
        <v>0.24568199999999998</v>
      </c>
      <c r="I506" s="4">
        <v>0.20113199999999998</v>
      </c>
      <c r="J506" s="4">
        <v>0.19890449999999998</v>
      </c>
      <c r="K506" s="4">
        <v>0.2122695</v>
      </c>
      <c r="L506" s="4">
        <v>0.20335949999999997</v>
      </c>
      <c r="M506" s="4">
        <v>0.20113199999999998</v>
      </c>
      <c r="N506" s="4">
        <v>0.19801350000000004</v>
      </c>
    </row>
    <row r="507" spans="1:14" x14ac:dyDescent="0.25">
      <c r="A507">
        <v>2020</v>
      </c>
      <c r="B507">
        <v>258</v>
      </c>
      <c r="C507" t="s">
        <v>79</v>
      </c>
      <c r="D507">
        <v>12</v>
      </c>
      <c r="E507" s="4">
        <v>0.2122695</v>
      </c>
      <c r="F507" s="4">
        <v>0.21895199999999998</v>
      </c>
      <c r="G507" s="4">
        <v>0.17662950000000002</v>
      </c>
      <c r="H507" s="4">
        <v>0.1454445</v>
      </c>
      <c r="I507" s="4">
        <v>0.129852</v>
      </c>
      <c r="J507" s="4">
        <v>0.129852</v>
      </c>
      <c r="K507" s="4">
        <v>0.13207950000000002</v>
      </c>
      <c r="L507" s="4">
        <v>0.174402</v>
      </c>
      <c r="M507" s="4">
        <v>0.18776700000000002</v>
      </c>
      <c r="N507" s="4">
        <v>0.15390900000000002</v>
      </c>
    </row>
    <row r="508" spans="1:14" x14ac:dyDescent="0.25">
      <c r="A508">
        <v>2020</v>
      </c>
      <c r="B508">
        <v>258</v>
      </c>
      <c r="C508" t="s">
        <v>79</v>
      </c>
      <c r="D508">
        <v>13</v>
      </c>
      <c r="E508" s="4">
        <v>0.19890449999999998</v>
      </c>
      <c r="F508" s="4">
        <v>0.18776700000000002</v>
      </c>
      <c r="G508" s="4">
        <v>0.19890449999999998</v>
      </c>
      <c r="H508" s="4">
        <v>0.22563449999999999</v>
      </c>
      <c r="I508" s="4">
        <v>0.21449699999999999</v>
      </c>
      <c r="J508" s="4">
        <v>0.16771949999999999</v>
      </c>
      <c r="K508" s="4">
        <v>0.14989949999999999</v>
      </c>
      <c r="L508" s="4">
        <v>0.147672</v>
      </c>
      <c r="M508" s="4">
        <v>0.17217450000000001</v>
      </c>
      <c r="N508" s="4">
        <v>0.1686105</v>
      </c>
    </row>
    <row r="509" spans="1:14" x14ac:dyDescent="0.25">
      <c r="A509">
        <v>2020</v>
      </c>
      <c r="B509">
        <v>258</v>
      </c>
      <c r="C509" t="s">
        <v>79</v>
      </c>
      <c r="D509">
        <v>14</v>
      </c>
      <c r="E509" s="4">
        <v>0.24568199999999998</v>
      </c>
      <c r="F509" s="4">
        <v>0.2389995</v>
      </c>
      <c r="G509" s="4">
        <v>0.24122700000000002</v>
      </c>
      <c r="H509" s="4">
        <v>0.23008950000000003</v>
      </c>
      <c r="I509" s="4">
        <v>0.19667699999999996</v>
      </c>
      <c r="J509" s="4">
        <v>0.18108450000000001</v>
      </c>
      <c r="K509" s="4">
        <v>0.19890449999999998</v>
      </c>
      <c r="L509" s="4">
        <v>0.19667699999999996</v>
      </c>
      <c r="M509" s="4">
        <v>0.16771949999999999</v>
      </c>
      <c r="N509" s="4">
        <v>0.17841150000000003</v>
      </c>
    </row>
    <row r="510" spans="1:14" x14ac:dyDescent="0.25">
      <c r="A510">
        <v>2020</v>
      </c>
      <c r="B510">
        <v>258</v>
      </c>
      <c r="C510" t="s">
        <v>79</v>
      </c>
      <c r="D510">
        <v>21</v>
      </c>
      <c r="E510" s="4">
        <v>0.26127450000000002</v>
      </c>
      <c r="F510" s="4">
        <v>0.22563449999999999</v>
      </c>
      <c r="G510" s="4">
        <v>0.22786200000000001</v>
      </c>
      <c r="H510" s="4">
        <v>0.21895199999999998</v>
      </c>
      <c r="I510" s="4">
        <v>0.19667699999999996</v>
      </c>
      <c r="J510" s="4">
        <v>0.18999449999999996</v>
      </c>
      <c r="K510" s="4">
        <v>0.165492</v>
      </c>
      <c r="L510" s="4">
        <v>0.20113199999999998</v>
      </c>
      <c r="M510" s="4">
        <v>0.18776700000000002</v>
      </c>
      <c r="N510" s="4">
        <v>0.18576225000000005</v>
      </c>
    </row>
    <row r="511" spans="1:14" x14ac:dyDescent="0.25">
      <c r="A511">
        <v>2020</v>
      </c>
      <c r="B511">
        <v>258</v>
      </c>
      <c r="C511" t="s">
        <v>79</v>
      </c>
      <c r="D511">
        <v>22</v>
      </c>
      <c r="E511" s="4">
        <v>0.24568199999999998</v>
      </c>
      <c r="F511" s="4">
        <v>0.22786200000000001</v>
      </c>
      <c r="G511" s="4">
        <v>0.22340700000000002</v>
      </c>
      <c r="H511" s="4">
        <v>0.23454450000000002</v>
      </c>
      <c r="I511" s="4">
        <v>0.21895199999999998</v>
      </c>
      <c r="J511" s="4">
        <v>0.18108450000000001</v>
      </c>
      <c r="K511" s="4">
        <v>0.138762</v>
      </c>
      <c r="L511" s="4">
        <v>0.18108450000000001</v>
      </c>
      <c r="M511" s="4">
        <v>0.19667699999999996</v>
      </c>
      <c r="N511" s="4">
        <v>0.19801350000000004</v>
      </c>
    </row>
    <row r="512" spans="1:14" x14ac:dyDescent="0.25">
      <c r="A512">
        <v>2020</v>
      </c>
      <c r="B512">
        <v>258</v>
      </c>
      <c r="C512" t="s">
        <v>79</v>
      </c>
      <c r="D512">
        <v>23</v>
      </c>
      <c r="E512" s="4">
        <v>0.21004199999999998</v>
      </c>
      <c r="F512" s="4">
        <v>0.21004199999999998</v>
      </c>
      <c r="G512" s="4">
        <v>0.24790949999999998</v>
      </c>
      <c r="H512" s="4">
        <v>0.25013699999999994</v>
      </c>
      <c r="I512" s="4">
        <v>0.20781449999999999</v>
      </c>
      <c r="J512" s="4">
        <v>0.13430700000000001</v>
      </c>
      <c r="K512" s="4">
        <v>0.12316949999999999</v>
      </c>
      <c r="L512" s="4">
        <v>0.138762</v>
      </c>
      <c r="M512" s="4">
        <v>0.16994700000000001</v>
      </c>
      <c r="N512" s="4">
        <v>0.17351100000000003</v>
      </c>
    </row>
    <row r="513" spans="1:14" x14ac:dyDescent="0.25">
      <c r="A513">
        <v>2020</v>
      </c>
      <c r="B513">
        <v>258</v>
      </c>
      <c r="C513" t="s">
        <v>79</v>
      </c>
      <c r="D513">
        <v>24</v>
      </c>
      <c r="E513" s="4">
        <v>0.11648700000000002</v>
      </c>
      <c r="F513" s="4">
        <v>8.5302000000000003E-2</v>
      </c>
      <c r="G513" s="4">
        <v>7.6392000000000002E-2</v>
      </c>
      <c r="H513" s="4">
        <v>7.416449999999998E-2</v>
      </c>
      <c r="I513" s="4">
        <v>6.9709499999999994E-2</v>
      </c>
      <c r="J513" s="4">
        <v>6.9709499999999994E-2</v>
      </c>
      <c r="K513" s="4">
        <v>7.6392000000000002E-2</v>
      </c>
      <c r="L513" s="4">
        <v>9.421199999999999E-2</v>
      </c>
      <c r="M513" s="4">
        <v>0.12094200000000001</v>
      </c>
      <c r="N513" s="4">
        <v>0.1686105</v>
      </c>
    </row>
    <row r="514" spans="1:14" x14ac:dyDescent="0.25">
      <c r="A514">
        <v>2020</v>
      </c>
      <c r="B514">
        <v>258</v>
      </c>
      <c r="C514" t="s">
        <v>79</v>
      </c>
      <c r="D514">
        <v>31</v>
      </c>
      <c r="E514" s="4">
        <v>0.30359700000000001</v>
      </c>
      <c r="F514" s="4">
        <v>0.24790949999999998</v>
      </c>
      <c r="G514" s="4">
        <v>0.24345450000000002</v>
      </c>
      <c r="H514" s="4">
        <v>0.24345450000000002</v>
      </c>
      <c r="I514" s="4">
        <v>0.22786200000000001</v>
      </c>
      <c r="J514" s="4">
        <v>0.19890449999999998</v>
      </c>
      <c r="K514" s="4">
        <v>0.147672</v>
      </c>
      <c r="L514" s="4">
        <v>0.14098950000000002</v>
      </c>
      <c r="M514" s="4">
        <v>0.14321700000000001</v>
      </c>
      <c r="N514" s="4">
        <v>0.17596124999999996</v>
      </c>
    </row>
    <row r="515" spans="1:14" x14ac:dyDescent="0.25">
      <c r="A515">
        <v>2020</v>
      </c>
      <c r="B515">
        <v>258</v>
      </c>
      <c r="C515" t="s">
        <v>79</v>
      </c>
      <c r="D515">
        <v>32</v>
      </c>
      <c r="E515" s="4">
        <v>0.18776700000000002</v>
      </c>
      <c r="F515" s="4">
        <v>0.174402</v>
      </c>
      <c r="G515" s="4">
        <v>0.14989949999999999</v>
      </c>
      <c r="H515" s="4">
        <v>0.138762</v>
      </c>
      <c r="I515" s="4">
        <v>0.13207950000000002</v>
      </c>
      <c r="J515" s="4">
        <v>0.12539700000000001</v>
      </c>
      <c r="K515" s="4">
        <v>0.1276245</v>
      </c>
      <c r="L515" s="4">
        <v>0.16326450000000001</v>
      </c>
      <c r="M515" s="4">
        <v>0.18331200000000003</v>
      </c>
      <c r="N515" s="4">
        <v>0.19556325000000005</v>
      </c>
    </row>
    <row r="516" spans="1:14" x14ac:dyDescent="0.25">
      <c r="A516">
        <v>2020</v>
      </c>
      <c r="B516">
        <v>258</v>
      </c>
      <c r="C516" t="s">
        <v>79</v>
      </c>
      <c r="D516">
        <v>33</v>
      </c>
      <c r="E516" s="4">
        <v>0.1855395</v>
      </c>
      <c r="F516" s="4">
        <v>0.18776700000000002</v>
      </c>
      <c r="G516" s="4">
        <v>0.232317</v>
      </c>
      <c r="H516" s="4">
        <v>0.25013699999999994</v>
      </c>
      <c r="I516" s="4">
        <v>0.23677200000000004</v>
      </c>
      <c r="J516" s="4">
        <v>0.20113199999999998</v>
      </c>
      <c r="K516" s="4">
        <v>0.21672450000000001</v>
      </c>
      <c r="L516" s="4">
        <v>0.19890449999999998</v>
      </c>
      <c r="M516" s="4">
        <v>0.20335949999999997</v>
      </c>
      <c r="N516" s="4">
        <v>0.20781450000000004</v>
      </c>
    </row>
    <row r="517" spans="1:14" x14ac:dyDescent="0.25">
      <c r="A517">
        <v>2020</v>
      </c>
      <c r="B517">
        <v>258</v>
      </c>
      <c r="C517" t="s">
        <v>79</v>
      </c>
      <c r="D517">
        <v>34</v>
      </c>
      <c r="E517" s="4">
        <v>0.138762</v>
      </c>
      <c r="F517" s="4">
        <v>0.14989949999999999</v>
      </c>
      <c r="G517" s="4">
        <v>0.20558699999999999</v>
      </c>
      <c r="H517" s="4">
        <v>0.23454450000000002</v>
      </c>
      <c r="I517" s="4">
        <v>0.2389995</v>
      </c>
      <c r="J517" s="4">
        <v>0.23008950000000003</v>
      </c>
      <c r="K517" s="4">
        <v>0.20113199999999998</v>
      </c>
      <c r="L517" s="4">
        <v>0.1944495</v>
      </c>
      <c r="M517" s="4">
        <v>0.16771949999999999</v>
      </c>
      <c r="N517" s="4">
        <v>0.15880950000000002</v>
      </c>
    </row>
    <row r="518" spans="1:14" x14ac:dyDescent="0.25">
      <c r="A518">
        <v>2020</v>
      </c>
      <c r="B518">
        <v>258</v>
      </c>
      <c r="C518" t="s">
        <v>79</v>
      </c>
      <c r="D518">
        <v>41</v>
      </c>
      <c r="E518" s="4">
        <v>0.19890449999999998</v>
      </c>
      <c r="F518" s="4">
        <v>0.22340700000000002</v>
      </c>
      <c r="G518" s="4">
        <v>0.27909450000000002</v>
      </c>
      <c r="H518" s="4">
        <v>0.25236449999999999</v>
      </c>
      <c r="I518" s="4">
        <v>0.25681949999999998</v>
      </c>
      <c r="J518" s="4">
        <v>0.2389995</v>
      </c>
      <c r="K518" s="4">
        <v>0.20335949999999997</v>
      </c>
      <c r="L518" s="4">
        <v>0.14989949999999999</v>
      </c>
      <c r="M518" s="4">
        <v>0.18108450000000001</v>
      </c>
      <c r="N518" s="4">
        <v>0.19066275000000005</v>
      </c>
    </row>
    <row r="519" spans="1:14" x14ac:dyDescent="0.25">
      <c r="A519">
        <v>2020</v>
      </c>
      <c r="B519">
        <v>258</v>
      </c>
      <c r="C519" t="s">
        <v>79</v>
      </c>
      <c r="D519">
        <v>42</v>
      </c>
      <c r="E519" s="4">
        <v>0.20113199999999998</v>
      </c>
      <c r="F519" s="4">
        <v>0.20558699999999999</v>
      </c>
      <c r="G519" s="4">
        <v>0.23454450000000002</v>
      </c>
      <c r="H519" s="4">
        <v>0.2211795</v>
      </c>
      <c r="I519" s="4">
        <v>0.2389995</v>
      </c>
      <c r="J519" s="4">
        <v>0.17885699999999999</v>
      </c>
      <c r="K519" s="4">
        <v>0.1454445</v>
      </c>
      <c r="L519" s="4">
        <v>0.14989949999999999</v>
      </c>
      <c r="M519" s="4">
        <v>0.165492</v>
      </c>
      <c r="N519" s="4">
        <v>0.19066275000000005</v>
      </c>
    </row>
    <row r="520" spans="1:14" x14ac:dyDescent="0.25">
      <c r="A520">
        <v>2020</v>
      </c>
      <c r="B520">
        <v>258</v>
      </c>
      <c r="C520" t="s">
        <v>79</v>
      </c>
      <c r="D520">
        <v>43</v>
      </c>
      <c r="E520" s="4">
        <v>0.21672450000000001</v>
      </c>
      <c r="F520" s="4">
        <v>0.21672450000000001</v>
      </c>
      <c r="G520" s="4">
        <v>0.23677200000000004</v>
      </c>
      <c r="H520" s="4">
        <v>0.18999449999999996</v>
      </c>
      <c r="I520" s="4">
        <v>0.20335949999999997</v>
      </c>
      <c r="J520" s="4">
        <v>0.18331200000000003</v>
      </c>
      <c r="K520" s="4">
        <v>0.18331200000000003</v>
      </c>
      <c r="L520" s="4">
        <v>0.15212699999999998</v>
      </c>
      <c r="M520" s="4">
        <v>0.14989949999999999</v>
      </c>
      <c r="N520" s="4">
        <v>0.16616025000000004</v>
      </c>
    </row>
    <row r="521" spans="1:14" x14ac:dyDescent="0.25">
      <c r="A521">
        <v>2020</v>
      </c>
      <c r="B521">
        <v>258</v>
      </c>
      <c r="C521" t="s">
        <v>79</v>
      </c>
      <c r="D521">
        <v>44</v>
      </c>
      <c r="E521" s="4">
        <v>0.16326450000000001</v>
      </c>
      <c r="F521" s="4">
        <v>0.174402</v>
      </c>
      <c r="G521" s="4">
        <v>0.25013699999999994</v>
      </c>
      <c r="H521" s="4">
        <v>0.24568199999999998</v>
      </c>
      <c r="I521" s="4">
        <v>0.25459199999999998</v>
      </c>
      <c r="J521" s="4">
        <v>0.22786200000000001</v>
      </c>
      <c r="K521" s="4">
        <v>0.2122695</v>
      </c>
      <c r="L521" s="4">
        <v>0.174402</v>
      </c>
      <c r="M521" s="4">
        <v>0.12539700000000001</v>
      </c>
      <c r="N521" s="4">
        <v>0.14900850000000002</v>
      </c>
    </row>
    <row r="522" spans="1:14" x14ac:dyDescent="0.25">
      <c r="A522">
        <v>2020</v>
      </c>
      <c r="B522">
        <v>258</v>
      </c>
      <c r="C522" t="s">
        <v>79</v>
      </c>
      <c r="D522">
        <v>51</v>
      </c>
      <c r="E522" s="4">
        <v>0.26350199999999996</v>
      </c>
      <c r="F522" s="4">
        <v>0.25904699999999997</v>
      </c>
      <c r="G522" s="4">
        <v>0.25459199999999998</v>
      </c>
      <c r="H522" s="4">
        <v>0.25904699999999997</v>
      </c>
      <c r="I522" s="4">
        <v>0.232317</v>
      </c>
      <c r="J522" s="4">
        <v>0.20335949999999997</v>
      </c>
      <c r="K522" s="4">
        <v>0.19890449999999998</v>
      </c>
      <c r="L522" s="4">
        <v>0.174402</v>
      </c>
      <c r="M522" s="4">
        <v>0.18999449999999996</v>
      </c>
      <c r="N522" s="4">
        <v>0.20781450000000004</v>
      </c>
    </row>
    <row r="523" spans="1:14" x14ac:dyDescent="0.25">
      <c r="A523">
        <v>2020</v>
      </c>
      <c r="B523">
        <v>258</v>
      </c>
      <c r="C523" t="s">
        <v>79</v>
      </c>
      <c r="D523">
        <v>52</v>
      </c>
      <c r="E523" s="4">
        <v>0.24790949999999998</v>
      </c>
      <c r="F523" s="4">
        <v>0.232317</v>
      </c>
      <c r="G523" s="4">
        <v>0.27018449999999999</v>
      </c>
      <c r="H523" s="4">
        <v>0.27686699999999997</v>
      </c>
      <c r="I523" s="4">
        <v>0.27463949999999998</v>
      </c>
      <c r="J523" s="4">
        <v>0.24345450000000002</v>
      </c>
      <c r="K523" s="4">
        <v>0.24568199999999998</v>
      </c>
      <c r="L523" s="4">
        <v>0.1944495</v>
      </c>
      <c r="M523" s="4">
        <v>0.18776700000000002</v>
      </c>
      <c r="N523" s="4">
        <v>0.20536425000000005</v>
      </c>
    </row>
    <row r="524" spans="1:14" x14ac:dyDescent="0.25">
      <c r="A524">
        <v>2020</v>
      </c>
      <c r="B524">
        <v>258</v>
      </c>
      <c r="C524" t="s">
        <v>79</v>
      </c>
      <c r="D524">
        <v>53</v>
      </c>
      <c r="E524" s="4">
        <v>0.2389995</v>
      </c>
      <c r="F524" s="4">
        <v>0.22563449999999999</v>
      </c>
      <c r="G524" s="4">
        <v>0.25236449999999999</v>
      </c>
      <c r="H524" s="4">
        <v>0.27463949999999998</v>
      </c>
      <c r="I524" s="4">
        <v>0.25236449999999999</v>
      </c>
      <c r="J524" s="4">
        <v>0.23454450000000002</v>
      </c>
      <c r="K524" s="4">
        <v>0.20781449999999999</v>
      </c>
      <c r="L524" s="4">
        <v>0.138762</v>
      </c>
      <c r="M524" s="4">
        <v>0.12316949999999999</v>
      </c>
      <c r="N524" s="4">
        <v>0.15390900000000002</v>
      </c>
    </row>
    <row r="525" spans="1:14" x14ac:dyDescent="0.25">
      <c r="A525">
        <v>2020</v>
      </c>
      <c r="B525">
        <v>258</v>
      </c>
      <c r="C525" t="s">
        <v>79</v>
      </c>
      <c r="D525">
        <v>54</v>
      </c>
      <c r="E525" s="4">
        <v>0.22340700000000002</v>
      </c>
      <c r="F525" s="4">
        <v>0.22563449999999999</v>
      </c>
      <c r="G525" s="4">
        <v>0.21672450000000001</v>
      </c>
      <c r="H525" s="4">
        <v>0.24345450000000002</v>
      </c>
      <c r="I525" s="4">
        <v>0.24122700000000002</v>
      </c>
      <c r="J525" s="4">
        <v>0.21449699999999999</v>
      </c>
      <c r="K525" s="4">
        <v>0.1855395</v>
      </c>
      <c r="L525" s="4">
        <v>0.15880949999999999</v>
      </c>
      <c r="M525" s="4">
        <v>0.13430700000000001</v>
      </c>
      <c r="N525" s="4">
        <v>0.14900850000000002</v>
      </c>
    </row>
    <row r="526" spans="1:14" x14ac:dyDescent="0.25">
      <c r="A526">
        <v>2020</v>
      </c>
      <c r="B526">
        <v>258</v>
      </c>
      <c r="C526" t="s">
        <v>79</v>
      </c>
      <c r="D526">
        <v>61</v>
      </c>
      <c r="E526" s="4">
        <v>0.20113199999999998</v>
      </c>
      <c r="F526" s="4">
        <v>0.156582</v>
      </c>
      <c r="G526" s="4">
        <v>0.16771949999999999</v>
      </c>
      <c r="H526" s="4">
        <v>0.20113199999999998</v>
      </c>
      <c r="I526" s="4">
        <v>0.21672450000000001</v>
      </c>
      <c r="J526" s="4">
        <v>0.16326450000000001</v>
      </c>
      <c r="K526" s="4">
        <v>0.156582</v>
      </c>
      <c r="L526" s="4">
        <v>0.14989949999999999</v>
      </c>
      <c r="M526" s="4">
        <v>0.16771949999999999</v>
      </c>
      <c r="N526" s="4">
        <v>0.16125975000000004</v>
      </c>
    </row>
    <row r="527" spans="1:14" x14ac:dyDescent="0.25">
      <c r="A527">
        <v>2020</v>
      </c>
      <c r="B527">
        <v>258</v>
      </c>
      <c r="C527" t="s">
        <v>79</v>
      </c>
      <c r="D527">
        <v>62</v>
      </c>
      <c r="E527" s="4">
        <v>0.20781449999999999</v>
      </c>
      <c r="F527" s="4">
        <v>0.21672450000000001</v>
      </c>
      <c r="G527" s="4">
        <v>0.23677200000000004</v>
      </c>
      <c r="H527" s="4">
        <v>0.17217450000000001</v>
      </c>
      <c r="I527" s="4">
        <v>0.147672</v>
      </c>
      <c r="J527" s="4">
        <v>0.15880949999999999</v>
      </c>
      <c r="K527" s="4">
        <v>0.14321700000000001</v>
      </c>
      <c r="L527" s="4">
        <v>0.13430700000000001</v>
      </c>
      <c r="M527" s="4">
        <v>0.156582</v>
      </c>
      <c r="N527" s="4">
        <v>0.18331200000000003</v>
      </c>
    </row>
    <row r="528" spans="1:14" x14ac:dyDescent="0.25">
      <c r="A528">
        <v>2020</v>
      </c>
      <c r="B528">
        <v>258</v>
      </c>
      <c r="C528" t="s">
        <v>79</v>
      </c>
      <c r="D528">
        <v>63</v>
      </c>
      <c r="E528" s="4">
        <v>0.25681949999999998</v>
      </c>
      <c r="F528" s="4">
        <v>0.2389995</v>
      </c>
      <c r="G528" s="4">
        <v>0.21449699999999999</v>
      </c>
      <c r="H528" s="4">
        <v>0.19667699999999996</v>
      </c>
      <c r="I528" s="4">
        <v>0.20781449999999999</v>
      </c>
      <c r="J528" s="4">
        <v>0.2211795</v>
      </c>
      <c r="K528" s="4">
        <v>0.18108450000000001</v>
      </c>
      <c r="L528" s="4">
        <v>0.1365345</v>
      </c>
      <c r="M528" s="4">
        <v>0.1365345</v>
      </c>
      <c r="N528" s="4">
        <v>0.1686105</v>
      </c>
    </row>
    <row r="529" spans="1:14" x14ac:dyDescent="0.25">
      <c r="A529">
        <v>2020</v>
      </c>
      <c r="B529">
        <v>258</v>
      </c>
      <c r="C529" t="s">
        <v>79</v>
      </c>
      <c r="D529">
        <v>64</v>
      </c>
      <c r="E529" s="4">
        <v>0.26350199999999996</v>
      </c>
      <c r="F529" s="4">
        <v>0.24568199999999998</v>
      </c>
      <c r="G529" s="4">
        <v>0.21449699999999999</v>
      </c>
      <c r="H529" s="4">
        <v>0.2211795</v>
      </c>
      <c r="I529" s="4">
        <v>0.24122700000000002</v>
      </c>
      <c r="J529" s="4">
        <v>0.21004199999999998</v>
      </c>
      <c r="K529" s="4">
        <v>0.18776700000000002</v>
      </c>
      <c r="L529" s="4">
        <v>0.12539700000000001</v>
      </c>
      <c r="M529" s="4">
        <v>0.11871450000000003</v>
      </c>
      <c r="N529" s="4">
        <v>0.15880950000000002</v>
      </c>
    </row>
    <row r="530" spans="1:14" x14ac:dyDescent="0.25">
      <c r="A530">
        <v>2020</v>
      </c>
      <c r="B530">
        <v>265</v>
      </c>
      <c r="C530" t="s">
        <v>79</v>
      </c>
      <c r="D530">
        <v>11</v>
      </c>
      <c r="E530" s="4">
        <v>0.16994700000000001</v>
      </c>
      <c r="F530" s="4">
        <v>0.17217450000000001</v>
      </c>
      <c r="G530" s="4">
        <v>0.20781449999999999</v>
      </c>
      <c r="H530" s="4">
        <v>0.24568199999999998</v>
      </c>
      <c r="I530" s="4">
        <v>0.1944495</v>
      </c>
      <c r="J530" s="4">
        <v>0.17217450000000001</v>
      </c>
      <c r="K530" s="4">
        <v>0.174402</v>
      </c>
      <c r="L530" s="4">
        <v>0.17885699999999999</v>
      </c>
      <c r="M530" s="4">
        <v>0.1855395</v>
      </c>
      <c r="N530" s="4">
        <v>0.1686105</v>
      </c>
    </row>
    <row r="531" spans="1:14" x14ac:dyDescent="0.25">
      <c r="A531">
        <v>2020</v>
      </c>
      <c r="B531">
        <v>265</v>
      </c>
      <c r="C531" t="s">
        <v>79</v>
      </c>
      <c r="D531">
        <v>12</v>
      </c>
      <c r="E531" s="4">
        <v>0.21895199999999998</v>
      </c>
      <c r="F531" s="4">
        <v>0.21672450000000001</v>
      </c>
      <c r="G531" s="4">
        <v>0.174402</v>
      </c>
      <c r="H531" s="4">
        <v>0.138762</v>
      </c>
      <c r="I531" s="4">
        <v>0.12094200000000001</v>
      </c>
      <c r="J531" s="4">
        <v>0.12316949999999999</v>
      </c>
      <c r="K531" s="4">
        <v>0.12539700000000001</v>
      </c>
      <c r="L531" s="4">
        <v>0.16771949999999999</v>
      </c>
      <c r="M531" s="4">
        <v>0.17662950000000002</v>
      </c>
      <c r="N531" s="4">
        <v>0.14410800000000001</v>
      </c>
    </row>
    <row r="532" spans="1:14" x14ac:dyDescent="0.25">
      <c r="A532">
        <v>2020</v>
      </c>
      <c r="B532">
        <v>265</v>
      </c>
      <c r="C532" t="s">
        <v>79</v>
      </c>
      <c r="D532">
        <v>13</v>
      </c>
      <c r="E532" s="4">
        <v>0.20335949999999997</v>
      </c>
      <c r="F532" s="4">
        <v>0.1855395</v>
      </c>
      <c r="G532" s="4">
        <v>0.20113199999999998</v>
      </c>
      <c r="H532" s="4">
        <v>0.22786200000000001</v>
      </c>
      <c r="I532" s="4">
        <v>0.20781449999999999</v>
      </c>
      <c r="J532" s="4">
        <v>0.165492</v>
      </c>
      <c r="K532" s="4">
        <v>0.147672</v>
      </c>
      <c r="L532" s="4">
        <v>0.14321700000000001</v>
      </c>
      <c r="M532" s="4">
        <v>0.16326450000000001</v>
      </c>
      <c r="N532" s="4">
        <v>0.15390900000000002</v>
      </c>
    </row>
    <row r="533" spans="1:14" x14ac:dyDescent="0.25">
      <c r="A533">
        <v>2020</v>
      </c>
      <c r="B533">
        <v>265</v>
      </c>
      <c r="C533" t="s">
        <v>79</v>
      </c>
      <c r="D533">
        <v>14</v>
      </c>
      <c r="E533" s="4">
        <v>0.232317</v>
      </c>
      <c r="F533" s="4">
        <v>0.232317</v>
      </c>
      <c r="G533" s="4">
        <v>0.232317</v>
      </c>
      <c r="H533" s="4">
        <v>0.22563449999999999</v>
      </c>
      <c r="I533" s="4">
        <v>0.18999449999999996</v>
      </c>
      <c r="J533" s="4">
        <v>0.16771949999999999</v>
      </c>
      <c r="K533" s="4">
        <v>0.16994700000000001</v>
      </c>
      <c r="L533" s="4">
        <v>0.17885699999999999</v>
      </c>
      <c r="M533" s="4">
        <v>0.15212699999999998</v>
      </c>
      <c r="N533" s="4">
        <v>0.14900850000000002</v>
      </c>
    </row>
    <row r="534" spans="1:14" x14ac:dyDescent="0.25">
      <c r="A534">
        <v>2020</v>
      </c>
      <c r="B534">
        <v>265</v>
      </c>
      <c r="C534" t="s">
        <v>79</v>
      </c>
      <c r="D534">
        <v>21</v>
      </c>
      <c r="E534" s="4">
        <v>0.25681949999999998</v>
      </c>
      <c r="F534" s="4">
        <v>0.232317</v>
      </c>
      <c r="G534" s="4">
        <v>0.22340700000000002</v>
      </c>
      <c r="H534" s="4">
        <v>0.21004199999999998</v>
      </c>
      <c r="I534" s="4">
        <v>0.18331200000000003</v>
      </c>
      <c r="J534" s="4">
        <v>0.174402</v>
      </c>
      <c r="K534" s="4">
        <v>0.165492</v>
      </c>
      <c r="L534" s="4">
        <v>0.1944495</v>
      </c>
      <c r="M534" s="4">
        <v>0.1855395</v>
      </c>
      <c r="N534" s="4">
        <v>0.1686105</v>
      </c>
    </row>
    <row r="535" spans="1:14" x14ac:dyDescent="0.25">
      <c r="A535">
        <v>2020</v>
      </c>
      <c r="B535">
        <v>265</v>
      </c>
      <c r="C535" t="s">
        <v>79</v>
      </c>
      <c r="D535">
        <v>22</v>
      </c>
      <c r="E535" s="4">
        <v>0.24345450000000002</v>
      </c>
      <c r="F535" s="4">
        <v>0.23008950000000003</v>
      </c>
      <c r="G535" s="4">
        <v>0.2211795</v>
      </c>
      <c r="H535" s="4">
        <v>0.22563449999999999</v>
      </c>
      <c r="I535" s="4">
        <v>0.20558699999999999</v>
      </c>
      <c r="J535" s="4">
        <v>0.15880949999999999</v>
      </c>
      <c r="K535" s="4">
        <v>0.12539700000000001</v>
      </c>
      <c r="L535" s="4">
        <v>0.165492</v>
      </c>
      <c r="M535" s="4">
        <v>0.18331200000000003</v>
      </c>
      <c r="N535" s="4">
        <v>0.18576225000000005</v>
      </c>
    </row>
    <row r="536" spans="1:14" x14ac:dyDescent="0.25">
      <c r="A536">
        <v>2020</v>
      </c>
      <c r="B536">
        <v>265</v>
      </c>
      <c r="C536" t="s">
        <v>79</v>
      </c>
      <c r="D536">
        <v>23</v>
      </c>
      <c r="E536" s="4">
        <v>0.2122695</v>
      </c>
      <c r="F536" s="4">
        <v>0.21004199999999998</v>
      </c>
      <c r="G536" s="4">
        <v>0.24568199999999998</v>
      </c>
      <c r="H536" s="4">
        <v>0.2389995</v>
      </c>
      <c r="I536" s="4">
        <v>0.19890449999999998</v>
      </c>
      <c r="J536" s="4">
        <v>0.12539700000000001</v>
      </c>
      <c r="K536" s="4">
        <v>0.11871450000000003</v>
      </c>
      <c r="L536" s="4">
        <v>0.13207950000000002</v>
      </c>
      <c r="M536" s="4">
        <v>0.16326450000000001</v>
      </c>
      <c r="N536" s="4">
        <v>0.16371000000000005</v>
      </c>
    </row>
    <row r="537" spans="1:14" x14ac:dyDescent="0.25">
      <c r="A537">
        <v>2020</v>
      </c>
      <c r="B537">
        <v>265</v>
      </c>
      <c r="C537" t="s">
        <v>79</v>
      </c>
      <c r="D537">
        <v>24</v>
      </c>
      <c r="E537" s="4">
        <v>9.8666999999999977E-2</v>
      </c>
      <c r="F537" s="4">
        <v>7.8619499999999995E-2</v>
      </c>
      <c r="G537" s="4">
        <v>6.5254499999999979E-2</v>
      </c>
      <c r="H537" s="4">
        <v>7.416449999999998E-2</v>
      </c>
      <c r="I537" s="4">
        <v>6.7481999999999986E-2</v>
      </c>
      <c r="J537" s="4">
        <v>6.5254499999999979E-2</v>
      </c>
      <c r="K537" s="4">
        <v>8.0847000000000016E-2</v>
      </c>
      <c r="L537" s="4">
        <v>9.1984499999999969E-2</v>
      </c>
      <c r="M537" s="4">
        <v>0.1142595</v>
      </c>
      <c r="N537" s="4">
        <v>0.16371000000000005</v>
      </c>
    </row>
    <row r="538" spans="1:14" x14ac:dyDescent="0.25">
      <c r="A538">
        <v>2020</v>
      </c>
      <c r="B538">
        <v>265</v>
      </c>
      <c r="C538" t="s">
        <v>79</v>
      </c>
      <c r="D538">
        <v>31</v>
      </c>
      <c r="E538" s="4">
        <v>0.31250699999999998</v>
      </c>
      <c r="F538" s="4">
        <v>0.25013699999999994</v>
      </c>
      <c r="G538" s="4">
        <v>0.24790949999999998</v>
      </c>
      <c r="H538" s="4">
        <v>0.2389995</v>
      </c>
      <c r="I538" s="4">
        <v>0.21004199999999998</v>
      </c>
      <c r="J538" s="4">
        <v>0.18999449999999996</v>
      </c>
      <c r="K538" s="4">
        <v>0.147672</v>
      </c>
      <c r="L538" s="4">
        <v>0.14098950000000002</v>
      </c>
      <c r="M538" s="4">
        <v>0.138762</v>
      </c>
      <c r="N538" s="4">
        <v>0.15880950000000002</v>
      </c>
    </row>
    <row r="539" spans="1:14" x14ac:dyDescent="0.25">
      <c r="A539">
        <v>2020</v>
      </c>
      <c r="B539">
        <v>265</v>
      </c>
      <c r="C539" t="s">
        <v>79</v>
      </c>
      <c r="D539">
        <v>32</v>
      </c>
      <c r="E539" s="4">
        <v>0.18108450000000001</v>
      </c>
      <c r="F539" s="4">
        <v>0.16326450000000001</v>
      </c>
      <c r="G539" s="4">
        <v>0.14098950000000002</v>
      </c>
      <c r="H539" s="4">
        <v>0.129852</v>
      </c>
      <c r="I539" s="4">
        <v>0.129852</v>
      </c>
      <c r="J539" s="4">
        <v>0.11203200000000002</v>
      </c>
      <c r="K539" s="4">
        <v>0.12094200000000001</v>
      </c>
      <c r="L539" s="4">
        <v>0.15212699999999998</v>
      </c>
      <c r="M539" s="4">
        <v>0.174402</v>
      </c>
      <c r="N539" s="4">
        <v>0.18086175000000002</v>
      </c>
    </row>
    <row r="540" spans="1:14" x14ac:dyDescent="0.25">
      <c r="A540">
        <v>2020</v>
      </c>
      <c r="B540">
        <v>265</v>
      </c>
      <c r="C540" t="s">
        <v>79</v>
      </c>
      <c r="D540">
        <v>33</v>
      </c>
      <c r="E540" s="4">
        <v>0.18331200000000003</v>
      </c>
      <c r="F540" s="4">
        <v>0.17662950000000002</v>
      </c>
      <c r="G540" s="4">
        <v>0.2211795</v>
      </c>
      <c r="H540" s="4">
        <v>0.2389995</v>
      </c>
      <c r="I540" s="4">
        <v>0.22340700000000002</v>
      </c>
      <c r="J540" s="4">
        <v>0.17885699999999999</v>
      </c>
      <c r="K540" s="4">
        <v>0.19222199999999998</v>
      </c>
      <c r="L540" s="4">
        <v>0.17662950000000002</v>
      </c>
      <c r="M540" s="4">
        <v>0.18108450000000001</v>
      </c>
      <c r="N540" s="4">
        <v>0.1686105</v>
      </c>
    </row>
    <row r="541" spans="1:14" x14ac:dyDescent="0.25">
      <c r="A541">
        <v>2020</v>
      </c>
      <c r="B541">
        <v>265</v>
      </c>
      <c r="C541" t="s">
        <v>79</v>
      </c>
      <c r="D541">
        <v>34</v>
      </c>
      <c r="E541" s="4">
        <v>0.14321700000000001</v>
      </c>
      <c r="F541" s="4">
        <v>0.147672</v>
      </c>
      <c r="G541" s="4">
        <v>0.20113199999999998</v>
      </c>
      <c r="H541" s="4">
        <v>0.232317</v>
      </c>
      <c r="I541" s="4">
        <v>0.23008950000000003</v>
      </c>
      <c r="J541" s="4">
        <v>0.21672450000000001</v>
      </c>
      <c r="K541" s="4">
        <v>0.19890449999999998</v>
      </c>
      <c r="L541" s="4">
        <v>0.18331200000000003</v>
      </c>
      <c r="M541" s="4">
        <v>0.165492</v>
      </c>
      <c r="N541" s="4">
        <v>0.14900850000000002</v>
      </c>
    </row>
    <row r="542" spans="1:14" x14ac:dyDescent="0.25">
      <c r="A542">
        <v>2020</v>
      </c>
      <c r="B542">
        <v>265</v>
      </c>
      <c r="C542" t="s">
        <v>79</v>
      </c>
      <c r="D542">
        <v>41</v>
      </c>
      <c r="E542" s="4">
        <v>0.19890449999999998</v>
      </c>
      <c r="F542" s="4">
        <v>0.22340700000000002</v>
      </c>
      <c r="G542" s="4">
        <v>0.27909450000000002</v>
      </c>
      <c r="H542" s="4">
        <v>0.25681949999999998</v>
      </c>
      <c r="I542" s="4">
        <v>0.25013699999999994</v>
      </c>
      <c r="J542" s="4">
        <v>0.22786200000000001</v>
      </c>
      <c r="K542" s="4">
        <v>0.19890449999999998</v>
      </c>
      <c r="L542" s="4">
        <v>0.14321700000000001</v>
      </c>
      <c r="M542" s="4">
        <v>0.165492</v>
      </c>
      <c r="N542" s="4">
        <v>0.17596124999999996</v>
      </c>
    </row>
    <row r="543" spans="1:14" x14ac:dyDescent="0.25">
      <c r="A543">
        <v>2020</v>
      </c>
      <c r="B543">
        <v>265</v>
      </c>
      <c r="C543" t="s">
        <v>79</v>
      </c>
      <c r="D543">
        <v>42</v>
      </c>
      <c r="E543" s="4">
        <v>0.20113199999999998</v>
      </c>
      <c r="F543" s="4">
        <v>0.21004199999999998</v>
      </c>
      <c r="G543" s="4">
        <v>0.23008950000000003</v>
      </c>
      <c r="H543" s="4">
        <v>0.21895199999999998</v>
      </c>
      <c r="I543" s="4">
        <v>0.22340700000000002</v>
      </c>
      <c r="J543" s="4">
        <v>0.16771949999999999</v>
      </c>
      <c r="K543" s="4">
        <v>0.14321700000000001</v>
      </c>
      <c r="L543" s="4">
        <v>0.1454445</v>
      </c>
      <c r="M543" s="4">
        <v>0.156582</v>
      </c>
      <c r="N543" s="4">
        <v>0.17841150000000003</v>
      </c>
    </row>
    <row r="544" spans="1:14" x14ac:dyDescent="0.25">
      <c r="A544">
        <v>2020</v>
      </c>
      <c r="B544">
        <v>265</v>
      </c>
      <c r="C544" t="s">
        <v>79</v>
      </c>
      <c r="D544">
        <v>43</v>
      </c>
      <c r="E544" s="4">
        <v>0.2211795</v>
      </c>
      <c r="F544" s="4">
        <v>0.21895199999999998</v>
      </c>
      <c r="G544" s="4">
        <v>0.23454450000000002</v>
      </c>
      <c r="H544" s="4">
        <v>0.18776700000000002</v>
      </c>
      <c r="I544" s="4">
        <v>0.18776700000000002</v>
      </c>
      <c r="J544" s="4">
        <v>0.16994700000000001</v>
      </c>
      <c r="K544" s="4">
        <v>0.165492</v>
      </c>
      <c r="L544" s="4">
        <v>0.138762</v>
      </c>
      <c r="M544" s="4">
        <v>0.13430700000000001</v>
      </c>
      <c r="N544" s="4">
        <v>0.15390900000000002</v>
      </c>
    </row>
    <row r="545" spans="1:14" x14ac:dyDescent="0.25">
      <c r="A545">
        <v>2020</v>
      </c>
      <c r="B545">
        <v>265</v>
      </c>
      <c r="C545" t="s">
        <v>79</v>
      </c>
      <c r="D545">
        <v>44</v>
      </c>
      <c r="E545" s="4">
        <v>0.16326450000000001</v>
      </c>
      <c r="F545" s="4">
        <v>0.17217450000000001</v>
      </c>
      <c r="G545" s="4">
        <v>0.25013699999999994</v>
      </c>
      <c r="H545" s="4">
        <v>0.23677200000000004</v>
      </c>
      <c r="I545" s="4">
        <v>0.25681949999999998</v>
      </c>
      <c r="J545" s="4">
        <v>0.22340700000000002</v>
      </c>
      <c r="K545" s="4">
        <v>0.21449699999999999</v>
      </c>
      <c r="L545" s="4">
        <v>0.16326450000000001</v>
      </c>
      <c r="M545" s="4">
        <v>0.12539700000000001</v>
      </c>
      <c r="N545" s="4">
        <v>0.15145875</v>
      </c>
    </row>
    <row r="546" spans="1:14" x14ac:dyDescent="0.25">
      <c r="A546">
        <v>2020</v>
      </c>
      <c r="B546">
        <v>265</v>
      </c>
      <c r="C546" t="s">
        <v>79</v>
      </c>
      <c r="D546">
        <v>51</v>
      </c>
      <c r="E546" s="4">
        <v>0.26350199999999996</v>
      </c>
      <c r="F546" s="4">
        <v>0.24790949999999998</v>
      </c>
      <c r="G546" s="4">
        <v>0.25013699999999994</v>
      </c>
      <c r="H546" s="4">
        <v>0.24568199999999998</v>
      </c>
      <c r="I546" s="4">
        <v>0.21895199999999998</v>
      </c>
      <c r="J546" s="4">
        <v>0.16771949999999999</v>
      </c>
      <c r="K546" s="4">
        <v>0.165492</v>
      </c>
      <c r="L546" s="4">
        <v>0.15212699999999998</v>
      </c>
      <c r="M546" s="4">
        <v>0.16771949999999999</v>
      </c>
      <c r="N546" s="4">
        <v>0.17841150000000003</v>
      </c>
    </row>
    <row r="547" spans="1:14" x14ac:dyDescent="0.25">
      <c r="A547">
        <v>2020</v>
      </c>
      <c r="B547">
        <v>265</v>
      </c>
      <c r="C547" t="s">
        <v>79</v>
      </c>
      <c r="D547">
        <v>52</v>
      </c>
      <c r="E547" s="4">
        <v>0.24568199999999998</v>
      </c>
      <c r="F547" s="4">
        <v>0.23454450000000002</v>
      </c>
      <c r="G547" s="4">
        <v>0.26572949999999995</v>
      </c>
      <c r="H547" s="4">
        <v>0.25904699999999997</v>
      </c>
      <c r="I547" s="4">
        <v>0.24568199999999998</v>
      </c>
      <c r="J547" s="4">
        <v>0.20558699999999999</v>
      </c>
      <c r="K547" s="4">
        <v>0.21004199999999998</v>
      </c>
      <c r="L547" s="4">
        <v>0.16326450000000001</v>
      </c>
      <c r="M547" s="4">
        <v>0.15435450000000001</v>
      </c>
      <c r="N547" s="4">
        <v>0.17351100000000003</v>
      </c>
    </row>
    <row r="548" spans="1:14" x14ac:dyDescent="0.25">
      <c r="A548">
        <v>2020</v>
      </c>
      <c r="B548">
        <v>265</v>
      </c>
      <c r="C548" t="s">
        <v>79</v>
      </c>
      <c r="D548">
        <v>53</v>
      </c>
      <c r="E548" s="4">
        <v>0.2389995</v>
      </c>
      <c r="F548" s="4">
        <v>0.22340700000000002</v>
      </c>
      <c r="G548" s="4">
        <v>0.24790949999999998</v>
      </c>
      <c r="H548" s="4">
        <v>0.27018449999999999</v>
      </c>
      <c r="I548" s="4">
        <v>0.25236449999999999</v>
      </c>
      <c r="J548" s="4">
        <v>0.22340700000000002</v>
      </c>
      <c r="K548" s="4">
        <v>0.1944495</v>
      </c>
      <c r="L548" s="4">
        <v>0.129852</v>
      </c>
      <c r="M548" s="4">
        <v>0.11871450000000003</v>
      </c>
      <c r="N548" s="4">
        <v>0.14410800000000001</v>
      </c>
    </row>
    <row r="549" spans="1:14" x14ac:dyDescent="0.25">
      <c r="A549">
        <v>2020</v>
      </c>
      <c r="B549">
        <v>265</v>
      </c>
      <c r="C549" t="s">
        <v>79</v>
      </c>
      <c r="D549">
        <v>54</v>
      </c>
      <c r="E549" s="4">
        <v>0.22786200000000001</v>
      </c>
      <c r="F549" s="4">
        <v>0.21895199999999998</v>
      </c>
      <c r="G549" s="4">
        <v>0.21449699999999999</v>
      </c>
      <c r="H549" s="4">
        <v>0.2389995</v>
      </c>
      <c r="I549" s="4">
        <v>0.232317</v>
      </c>
      <c r="J549" s="4">
        <v>0.20335949999999997</v>
      </c>
      <c r="K549" s="4">
        <v>0.17217450000000001</v>
      </c>
      <c r="L549" s="4">
        <v>0.15212699999999998</v>
      </c>
      <c r="M549" s="4">
        <v>0.13207950000000002</v>
      </c>
      <c r="N549" s="4">
        <v>0.14410800000000001</v>
      </c>
    </row>
    <row r="550" spans="1:14" x14ac:dyDescent="0.25">
      <c r="A550">
        <v>2020</v>
      </c>
      <c r="B550">
        <v>265</v>
      </c>
      <c r="C550" t="s">
        <v>79</v>
      </c>
      <c r="D550">
        <v>61</v>
      </c>
      <c r="E550" s="4">
        <v>0.19667699999999996</v>
      </c>
      <c r="F550" s="4">
        <v>0.15880949999999999</v>
      </c>
      <c r="G550" s="4">
        <v>0.165492</v>
      </c>
      <c r="H550" s="4">
        <v>0.19667699999999996</v>
      </c>
      <c r="I550" s="4">
        <v>0.21449699999999999</v>
      </c>
      <c r="J550" s="4">
        <v>0.15435450000000001</v>
      </c>
      <c r="K550" s="4">
        <v>0.147672</v>
      </c>
      <c r="L550" s="4">
        <v>0.1454445</v>
      </c>
      <c r="M550" s="4">
        <v>0.165492</v>
      </c>
      <c r="N550" s="4">
        <v>0.15390900000000002</v>
      </c>
    </row>
    <row r="551" spans="1:14" x14ac:dyDescent="0.25">
      <c r="A551">
        <v>2020</v>
      </c>
      <c r="B551">
        <v>265</v>
      </c>
      <c r="C551" t="s">
        <v>79</v>
      </c>
      <c r="D551">
        <v>62</v>
      </c>
      <c r="E551" s="4">
        <v>0.21004199999999998</v>
      </c>
      <c r="F551" s="4">
        <v>0.21895199999999998</v>
      </c>
      <c r="G551" s="4">
        <v>0.22786200000000001</v>
      </c>
      <c r="H551" s="4">
        <v>0.16103699999999999</v>
      </c>
      <c r="I551" s="4">
        <v>0.1365345</v>
      </c>
      <c r="J551" s="4">
        <v>0.147672</v>
      </c>
      <c r="K551" s="4">
        <v>0.1365345</v>
      </c>
      <c r="L551" s="4">
        <v>0.12316949999999999</v>
      </c>
      <c r="M551" s="4">
        <v>0.1454445</v>
      </c>
      <c r="N551" s="4">
        <v>0.1686105</v>
      </c>
    </row>
    <row r="552" spans="1:14" x14ac:dyDescent="0.25">
      <c r="A552">
        <v>2020</v>
      </c>
      <c r="B552">
        <v>265</v>
      </c>
      <c r="C552" t="s">
        <v>79</v>
      </c>
      <c r="D552">
        <v>63</v>
      </c>
      <c r="E552" s="4">
        <v>0.25904699999999997</v>
      </c>
      <c r="F552" s="4">
        <v>0.22786200000000001</v>
      </c>
      <c r="G552" s="4">
        <v>0.2211795</v>
      </c>
      <c r="H552" s="4">
        <v>0.19890449999999998</v>
      </c>
      <c r="I552" s="4">
        <v>0.20781449999999999</v>
      </c>
      <c r="J552" s="4">
        <v>0.21672450000000001</v>
      </c>
      <c r="K552" s="4">
        <v>0.1855395</v>
      </c>
      <c r="L552" s="4">
        <v>0.13430700000000001</v>
      </c>
      <c r="M552" s="4">
        <v>0.129852</v>
      </c>
      <c r="N552" s="4">
        <v>0.15635925000000001</v>
      </c>
    </row>
    <row r="553" spans="1:14" x14ac:dyDescent="0.25">
      <c r="A553">
        <v>2020</v>
      </c>
      <c r="B553">
        <v>265</v>
      </c>
      <c r="C553" t="s">
        <v>79</v>
      </c>
      <c r="D553">
        <v>64</v>
      </c>
      <c r="E553" s="4">
        <v>0.27018449999999999</v>
      </c>
      <c r="F553" s="4">
        <v>0.25236449999999999</v>
      </c>
      <c r="G553" s="4">
        <v>0.21004199999999998</v>
      </c>
      <c r="H553" s="4">
        <v>0.21895199999999998</v>
      </c>
      <c r="I553" s="4">
        <v>0.24122700000000002</v>
      </c>
      <c r="J553" s="4">
        <v>0.20558699999999999</v>
      </c>
      <c r="K553" s="4">
        <v>0.18331200000000003</v>
      </c>
      <c r="L553" s="4">
        <v>0.12539700000000001</v>
      </c>
      <c r="M553" s="4">
        <v>0.1142595</v>
      </c>
      <c r="N553" s="4">
        <v>0.14165775</v>
      </c>
    </row>
    <row r="554" spans="1:14" x14ac:dyDescent="0.25">
      <c r="A554">
        <v>2020</v>
      </c>
      <c r="B554">
        <v>289</v>
      </c>
      <c r="C554" t="s">
        <v>79</v>
      </c>
      <c r="D554">
        <v>11</v>
      </c>
      <c r="E554" s="4">
        <v>0.165492</v>
      </c>
      <c r="F554" s="4">
        <v>0.174402</v>
      </c>
      <c r="G554" s="4">
        <v>0.20113199999999998</v>
      </c>
      <c r="H554" s="4">
        <v>0.22340700000000002</v>
      </c>
      <c r="I554" s="4">
        <v>0.16326450000000001</v>
      </c>
      <c r="J554" s="4">
        <v>0.15880949999999999</v>
      </c>
      <c r="K554" s="4">
        <v>0.16326450000000001</v>
      </c>
      <c r="L554" s="4">
        <v>0.174402</v>
      </c>
      <c r="M554" s="4">
        <v>0.174402</v>
      </c>
      <c r="N554" s="4">
        <v>0.16371000000000005</v>
      </c>
    </row>
    <row r="555" spans="1:14" x14ac:dyDescent="0.25">
      <c r="A555">
        <v>2020</v>
      </c>
      <c r="B555">
        <v>289</v>
      </c>
      <c r="C555" t="s">
        <v>79</v>
      </c>
      <c r="D555">
        <v>12</v>
      </c>
      <c r="E555" s="4">
        <v>0.20781449999999999</v>
      </c>
      <c r="F555" s="4">
        <v>0.20781449999999999</v>
      </c>
      <c r="G555" s="4">
        <v>0.165492</v>
      </c>
      <c r="H555" s="4">
        <v>0.11648700000000002</v>
      </c>
      <c r="I555" s="4">
        <v>0.10312200000000001</v>
      </c>
      <c r="J555" s="4">
        <v>0.10980450000000001</v>
      </c>
      <c r="K555" s="4">
        <v>0.11871450000000003</v>
      </c>
      <c r="L555" s="4">
        <v>0.165492</v>
      </c>
      <c r="M555" s="4">
        <v>0.174402</v>
      </c>
      <c r="N555" s="4">
        <v>0.14165775</v>
      </c>
    </row>
    <row r="556" spans="1:14" x14ac:dyDescent="0.25">
      <c r="A556">
        <v>2020</v>
      </c>
      <c r="B556">
        <v>289</v>
      </c>
      <c r="C556" t="s">
        <v>79</v>
      </c>
      <c r="D556">
        <v>13</v>
      </c>
      <c r="E556" s="4">
        <v>0.20335949999999997</v>
      </c>
      <c r="F556" s="4">
        <v>0.18331200000000003</v>
      </c>
      <c r="G556" s="4">
        <v>0.19890449999999998</v>
      </c>
      <c r="H556" s="4">
        <v>0.22340700000000002</v>
      </c>
      <c r="I556" s="4">
        <v>0.19667699999999996</v>
      </c>
      <c r="J556" s="4">
        <v>0.156582</v>
      </c>
      <c r="K556" s="4">
        <v>0.1454445</v>
      </c>
      <c r="L556" s="4">
        <v>0.14321700000000001</v>
      </c>
      <c r="M556" s="4">
        <v>0.15880949999999999</v>
      </c>
      <c r="N556" s="4">
        <v>0.15390900000000002</v>
      </c>
    </row>
    <row r="557" spans="1:14" x14ac:dyDescent="0.25">
      <c r="A557">
        <v>2020</v>
      </c>
      <c r="B557">
        <v>289</v>
      </c>
      <c r="C557" t="s">
        <v>79</v>
      </c>
      <c r="D557">
        <v>14</v>
      </c>
      <c r="E557" s="4">
        <v>0.22786200000000001</v>
      </c>
      <c r="F557" s="4">
        <v>0.22563449999999999</v>
      </c>
      <c r="G557" s="4">
        <v>0.22786200000000001</v>
      </c>
      <c r="H557" s="4">
        <v>0.20781449999999999</v>
      </c>
      <c r="I557" s="4">
        <v>0.174402</v>
      </c>
      <c r="J557" s="4">
        <v>0.1454445</v>
      </c>
      <c r="K557" s="4">
        <v>0.15880949999999999</v>
      </c>
      <c r="L557" s="4">
        <v>0.156582</v>
      </c>
      <c r="M557" s="4">
        <v>0.147672</v>
      </c>
      <c r="N557" s="4">
        <v>0.15390900000000002</v>
      </c>
    </row>
    <row r="558" spans="1:14" x14ac:dyDescent="0.25">
      <c r="A558">
        <v>2020</v>
      </c>
      <c r="B558">
        <v>289</v>
      </c>
      <c r="C558" t="s">
        <v>79</v>
      </c>
      <c r="D558">
        <v>21</v>
      </c>
      <c r="E558" s="4">
        <v>0.25681949999999998</v>
      </c>
      <c r="F558" s="4">
        <v>0.23008950000000003</v>
      </c>
      <c r="G558" s="4">
        <v>0.23454450000000002</v>
      </c>
      <c r="H558" s="4">
        <v>0.20781449999999999</v>
      </c>
      <c r="I558" s="4">
        <v>0.16994700000000001</v>
      </c>
      <c r="J558" s="4">
        <v>0.16103699999999999</v>
      </c>
      <c r="K558" s="4">
        <v>0.15880949999999999</v>
      </c>
      <c r="L558" s="4">
        <v>0.18999449999999996</v>
      </c>
      <c r="M558" s="4">
        <v>0.18331200000000003</v>
      </c>
      <c r="N558" s="4">
        <v>0.16371000000000005</v>
      </c>
    </row>
    <row r="559" spans="1:14" x14ac:dyDescent="0.25">
      <c r="A559">
        <v>2020</v>
      </c>
      <c r="B559">
        <v>289</v>
      </c>
      <c r="C559" t="s">
        <v>79</v>
      </c>
      <c r="D559">
        <v>22</v>
      </c>
      <c r="E559" s="4">
        <v>0.23677200000000004</v>
      </c>
      <c r="F559" s="4">
        <v>0.21449699999999999</v>
      </c>
      <c r="G559" s="4">
        <v>0.21004199999999998</v>
      </c>
      <c r="H559" s="4">
        <v>0.19667699999999996</v>
      </c>
      <c r="I559" s="4">
        <v>0.17217450000000001</v>
      </c>
      <c r="J559" s="4">
        <v>0.13207950000000002</v>
      </c>
      <c r="K559" s="4">
        <v>0.10757699999999999</v>
      </c>
      <c r="L559" s="4">
        <v>0.14989949999999999</v>
      </c>
      <c r="M559" s="4">
        <v>0.17217450000000001</v>
      </c>
      <c r="N559" s="4">
        <v>0.17841150000000003</v>
      </c>
    </row>
    <row r="560" spans="1:14" x14ac:dyDescent="0.25">
      <c r="A560">
        <v>2020</v>
      </c>
      <c r="B560">
        <v>289</v>
      </c>
      <c r="C560" t="s">
        <v>79</v>
      </c>
      <c r="D560">
        <v>23</v>
      </c>
      <c r="E560" s="4">
        <v>0.20558699999999999</v>
      </c>
      <c r="F560" s="4">
        <v>0.19890449999999998</v>
      </c>
      <c r="G560" s="4">
        <v>0.24345450000000002</v>
      </c>
      <c r="H560" s="4">
        <v>0.22786200000000001</v>
      </c>
      <c r="I560" s="4">
        <v>0.1855395</v>
      </c>
      <c r="J560" s="4">
        <v>0.11871450000000003</v>
      </c>
      <c r="K560" s="4">
        <v>0.11203200000000002</v>
      </c>
      <c r="L560" s="4">
        <v>0.129852</v>
      </c>
      <c r="M560" s="4">
        <v>0.16103699999999999</v>
      </c>
      <c r="N560" s="4">
        <v>0.16125975000000004</v>
      </c>
    </row>
    <row r="561" spans="1:14" x14ac:dyDescent="0.25">
      <c r="A561">
        <v>2020</v>
      </c>
      <c r="B561">
        <v>289</v>
      </c>
      <c r="C561" t="s">
        <v>79</v>
      </c>
      <c r="D561">
        <v>24</v>
      </c>
      <c r="E561" s="4">
        <v>8.5302000000000003E-2</v>
      </c>
      <c r="F561" s="4">
        <v>6.7481999999999986E-2</v>
      </c>
      <c r="G561" s="4">
        <v>5.8571999999999999E-2</v>
      </c>
      <c r="H561" s="4">
        <v>6.3027E-2</v>
      </c>
      <c r="I561" s="4">
        <v>6.7481999999999986E-2</v>
      </c>
      <c r="J561" s="4">
        <v>6.5254499999999979E-2</v>
      </c>
      <c r="K561" s="4">
        <v>6.9709499999999994E-2</v>
      </c>
      <c r="L561" s="4">
        <v>9.421199999999999E-2</v>
      </c>
      <c r="M561" s="4">
        <v>0.11203200000000002</v>
      </c>
      <c r="N561" s="4">
        <v>0.15390900000000002</v>
      </c>
    </row>
    <row r="562" spans="1:14" x14ac:dyDescent="0.25">
      <c r="A562">
        <v>2020</v>
      </c>
      <c r="B562">
        <v>289</v>
      </c>
      <c r="C562" t="s">
        <v>79</v>
      </c>
      <c r="D562">
        <v>31</v>
      </c>
      <c r="E562" s="4">
        <v>0.29691449999999997</v>
      </c>
      <c r="F562" s="4">
        <v>0.24568199999999998</v>
      </c>
      <c r="G562" s="4">
        <v>0.24122700000000002</v>
      </c>
      <c r="H562" s="4">
        <v>0.22786200000000001</v>
      </c>
      <c r="I562" s="4">
        <v>0.20558699999999999</v>
      </c>
      <c r="J562" s="4">
        <v>0.17662950000000002</v>
      </c>
      <c r="K562" s="4">
        <v>0.14098950000000002</v>
      </c>
      <c r="L562" s="4">
        <v>0.13430700000000001</v>
      </c>
      <c r="M562" s="4">
        <v>0.138762</v>
      </c>
      <c r="N562" s="4">
        <v>0.15145875</v>
      </c>
    </row>
    <row r="563" spans="1:14" x14ac:dyDescent="0.25">
      <c r="A563">
        <v>2020</v>
      </c>
      <c r="B563">
        <v>289</v>
      </c>
      <c r="C563" t="s">
        <v>79</v>
      </c>
      <c r="D563">
        <v>32</v>
      </c>
      <c r="E563" s="4">
        <v>0.165492</v>
      </c>
      <c r="F563" s="4">
        <v>0.15435450000000001</v>
      </c>
      <c r="G563" s="4">
        <v>0.13207950000000002</v>
      </c>
      <c r="H563" s="4">
        <v>0.11203200000000002</v>
      </c>
      <c r="I563" s="4">
        <v>0.10757699999999999</v>
      </c>
      <c r="J563" s="4">
        <v>0.10757699999999999</v>
      </c>
      <c r="K563" s="4">
        <v>0.10980450000000001</v>
      </c>
      <c r="L563" s="4">
        <v>0.138762</v>
      </c>
      <c r="M563" s="4">
        <v>0.16326450000000001</v>
      </c>
      <c r="N563" s="4">
        <v>0.16616025000000004</v>
      </c>
    </row>
    <row r="564" spans="1:14" x14ac:dyDescent="0.25">
      <c r="A564">
        <v>2020</v>
      </c>
      <c r="B564">
        <v>289</v>
      </c>
      <c r="C564" t="s">
        <v>79</v>
      </c>
      <c r="D564">
        <v>33</v>
      </c>
      <c r="E564" s="4">
        <v>0.165492</v>
      </c>
      <c r="F564" s="4">
        <v>0.165492</v>
      </c>
      <c r="G564" s="4">
        <v>0.20558699999999999</v>
      </c>
      <c r="H564" s="4">
        <v>0.23677200000000004</v>
      </c>
      <c r="I564" s="4">
        <v>0.19890449999999998</v>
      </c>
      <c r="J564" s="4">
        <v>0.1365345</v>
      </c>
      <c r="K564" s="4">
        <v>0.14321700000000001</v>
      </c>
      <c r="L564" s="4">
        <v>0.147672</v>
      </c>
      <c r="M564" s="4">
        <v>0.15880949999999999</v>
      </c>
      <c r="N564" s="4">
        <v>0.16371000000000005</v>
      </c>
    </row>
    <row r="565" spans="1:14" x14ac:dyDescent="0.25">
      <c r="A565">
        <v>2020</v>
      </c>
      <c r="B565">
        <v>289</v>
      </c>
      <c r="C565" t="s">
        <v>79</v>
      </c>
      <c r="D565">
        <v>34</v>
      </c>
      <c r="E565" s="4">
        <v>0.129852</v>
      </c>
      <c r="F565" s="4">
        <v>0.14098950000000002</v>
      </c>
      <c r="G565" s="4">
        <v>0.19222199999999998</v>
      </c>
      <c r="H565" s="4">
        <v>0.21895199999999998</v>
      </c>
      <c r="I565" s="4">
        <v>0.24122700000000002</v>
      </c>
      <c r="J565" s="4">
        <v>0.21895199999999998</v>
      </c>
      <c r="K565" s="4">
        <v>0.17885699999999999</v>
      </c>
      <c r="L565" s="4">
        <v>0.17662950000000002</v>
      </c>
      <c r="M565" s="4">
        <v>0.156582</v>
      </c>
      <c r="N565" s="4">
        <v>0.14410800000000001</v>
      </c>
    </row>
    <row r="566" spans="1:14" x14ac:dyDescent="0.25">
      <c r="A566">
        <v>2020</v>
      </c>
      <c r="B566">
        <v>289</v>
      </c>
      <c r="C566" t="s">
        <v>79</v>
      </c>
      <c r="D566">
        <v>41</v>
      </c>
      <c r="E566" s="4">
        <v>0.20335949999999997</v>
      </c>
      <c r="F566" s="4">
        <v>0.21449699999999999</v>
      </c>
      <c r="G566" s="4">
        <v>0.27909450000000002</v>
      </c>
      <c r="H566" s="4">
        <v>0.25013699999999994</v>
      </c>
      <c r="I566" s="4">
        <v>0.24345450000000002</v>
      </c>
      <c r="J566" s="4">
        <v>0.21004199999999998</v>
      </c>
      <c r="K566" s="4">
        <v>0.17885699999999999</v>
      </c>
      <c r="L566" s="4">
        <v>0.13430700000000001</v>
      </c>
      <c r="M566" s="4">
        <v>0.156582</v>
      </c>
      <c r="N566" s="4">
        <v>0.16616025000000004</v>
      </c>
    </row>
    <row r="567" spans="1:14" x14ac:dyDescent="0.25">
      <c r="A567">
        <v>2020</v>
      </c>
      <c r="B567">
        <v>289</v>
      </c>
      <c r="C567" t="s">
        <v>79</v>
      </c>
      <c r="D567">
        <v>42</v>
      </c>
      <c r="E567" s="4">
        <v>0.19890449999999998</v>
      </c>
      <c r="F567" s="4">
        <v>0.20335949999999997</v>
      </c>
      <c r="G567" s="4">
        <v>0.21895199999999998</v>
      </c>
      <c r="H567" s="4">
        <v>0.20335949999999997</v>
      </c>
      <c r="I567" s="4">
        <v>0.19890449999999998</v>
      </c>
      <c r="J567" s="4">
        <v>0.15880949999999999</v>
      </c>
      <c r="K567" s="4">
        <v>0.129852</v>
      </c>
      <c r="L567" s="4">
        <v>0.13430700000000001</v>
      </c>
      <c r="M567" s="4">
        <v>0.16326450000000001</v>
      </c>
      <c r="N567" s="4">
        <v>0.16371000000000005</v>
      </c>
    </row>
    <row r="568" spans="1:14" x14ac:dyDescent="0.25">
      <c r="A568">
        <v>2020</v>
      </c>
      <c r="B568">
        <v>289</v>
      </c>
      <c r="C568" t="s">
        <v>79</v>
      </c>
      <c r="D568">
        <v>43</v>
      </c>
      <c r="E568" s="4">
        <v>0.21895199999999998</v>
      </c>
      <c r="F568" s="4">
        <v>0.21004199999999998</v>
      </c>
      <c r="G568" s="4">
        <v>0.23677200000000004</v>
      </c>
      <c r="H568" s="4">
        <v>0.17885699999999999</v>
      </c>
      <c r="I568" s="4">
        <v>0.17885699999999999</v>
      </c>
      <c r="J568" s="4">
        <v>0.15435450000000001</v>
      </c>
      <c r="K568" s="4">
        <v>0.14989949999999999</v>
      </c>
      <c r="L568" s="4">
        <v>0.13430700000000001</v>
      </c>
      <c r="M568" s="4">
        <v>0.1365345</v>
      </c>
      <c r="N568" s="4">
        <v>0.14410800000000001</v>
      </c>
    </row>
    <row r="569" spans="1:14" x14ac:dyDescent="0.25">
      <c r="A569">
        <v>2020</v>
      </c>
      <c r="B569">
        <v>289</v>
      </c>
      <c r="C569" t="s">
        <v>79</v>
      </c>
      <c r="D569">
        <v>44</v>
      </c>
      <c r="E569" s="4">
        <v>0.15880949999999999</v>
      </c>
      <c r="F569" s="4">
        <v>0.16771949999999999</v>
      </c>
      <c r="G569" s="4">
        <v>0.24790949999999998</v>
      </c>
      <c r="H569" s="4">
        <v>0.232317</v>
      </c>
      <c r="I569" s="4">
        <v>0.25236449999999999</v>
      </c>
      <c r="J569" s="4">
        <v>0.20781449999999999</v>
      </c>
      <c r="K569" s="4">
        <v>0.19667699999999996</v>
      </c>
      <c r="L569" s="4">
        <v>0.15880949999999999</v>
      </c>
      <c r="M569" s="4">
        <v>0.12316949999999999</v>
      </c>
      <c r="N569" s="4">
        <v>0.13675725000000002</v>
      </c>
    </row>
    <row r="570" spans="1:14" x14ac:dyDescent="0.25">
      <c r="A570">
        <v>2020</v>
      </c>
      <c r="B570">
        <v>289</v>
      </c>
      <c r="C570" t="s">
        <v>79</v>
      </c>
      <c r="D570">
        <v>51</v>
      </c>
      <c r="E570" s="4">
        <v>0.25236449999999999</v>
      </c>
      <c r="F570" s="4">
        <v>0.24790949999999998</v>
      </c>
      <c r="G570" s="4">
        <v>0.23677200000000004</v>
      </c>
      <c r="H570" s="4">
        <v>0.22563449999999999</v>
      </c>
      <c r="I570" s="4">
        <v>0.18108450000000001</v>
      </c>
      <c r="J570" s="4">
        <v>0.15212699999999998</v>
      </c>
      <c r="K570" s="4">
        <v>0.14321700000000001</v>
      </c>
      <c r="L570" s="4">
        <v>0.14098950000000002</v>
      </c>
      <c r="M570" s="4">
        <v>0.156582</v>
      </c>
      <c r="N570" s="4">
        <v>0.16125975000000004</v>
      </c>
    </row>
    <row r="571" spans="1:14" x14ac:dyDescent="0.25">
      <c r="A571">
        <v>2020</v>
      </c>
      <c r="B571">
        <v>289</v>
      </c>
      <c r="C571" t="s">
        <v>79</v>
      </c>
      <c r="D571">
        <v>52</v>
      </c>
      <c r="E571" s="4">
        <v>0.24568199999999998</v>
      </c>
      <c r="F571" s="4">
        <v>0.22563449999999999</v>
      </c>
      <c r="G571" s="4">
        <v>0.25459199999999998</v>
      </c>
      <c r="H571" s="4">
        <v>0.24790949999999998</v>
      </c>
      <c r="I571" s="4">
        <v>0.21672450000000001</v>
      </c>
      <c r="J571" s="4">
        <v>0.18108450000000001</v>
      </c>
      <c r="K571" s="4">
        <v>0.18999449999999996</v>
      </c>
      <c r="L571" s="4">
        <v>0.147672</v>
      </c>
      <c r="M571" s="4">
        <v>0.14321700000000001</v>
      </c>
      <c r="N571" s="4">
        <v>0.15635925000000001</v>
      </c>
    </row>
    <row r="572" spans="1:14" x14ac:dyDescent="0.25">
      <c r="A572">
        <v>2020</v>
      </c>
      <c r="B572">
        <v>289</v>
      </c>
      <c r="C572" t="s">
        <v>79</v>
      </c>
      <c r="D572">
        <v>53</v>
      </c>
      <c r="E572" s="4">
        <v>0.232317</v>
      </c>
      <c r="F572" s="4">
        <v>0.22786200000000001</v>
      </c>
      <c r="G572" s="4">
        <v>0.25236449999999999</v>
      </c>
      <c r="H572" s="4">
        <v>0.27018449999999999</v>
      </c>
      <c r="I572" s="4">
        <v>0.25013699999999994</v>
      </c>
      <c r="J572" s="4">
        <v>0.20781449999999999</v>
      </c>
      <c r="K572" s="4">
        <v>0.17885699999999999</v>
      </c>
      <c r="L572" s="4">
        <v>0.1276245</v>
      </c>
      <c r="M572" s="4">
        <v>0.12094200000000001</v>
      </c>
      <c r="N572" s="4">
        <v>0.13185675000000002</v>
      </c>
    </row>
    <row r="573" spans="1:14" x14ac:dyDescent="0.25">
      <c r="A573">
        <v>2020</v>
      </c>
      <c r="B573">
        <v>289</v>
      </c>
      <c r="C573" t="s">
        <v>79</v>
      </c>
      <c r="D573">
        <v>54</v>
      </c>
      <c r="E573" s="4">
        <v>0.22340700000000002</v>
      </c>
      <c r="F573" s="4">
        <v>0.2211795</v>
      </c>
      <c r="G573" s="4">
        <v>0.20781449999999999</v>
      </c>
      <c r="H573" s="4">
        <v>0.23677200000000004</v>
      </c>
      <c r="I573" s="4">
        <v>0.22340700000000002</v>
      </c>
      <c r="J573" s="4">
        <v>0.18999449999999996</v>
      </c>
      <c r="K573" s="4">
        <v>0.16771949999999999</v>
      </c>
      <c r="L573" s="4">
        <v>0.15212699999999998</v>
      </c>
      <c r="M573" s="4">
        <v>0.11871450000000003</v>
      </c>
      <c r="N573" s="4">
        <v>0.12450600000000002</v>
      </c>
    </row>
    <row r="574" spans="1:14" x14ac:dyDescent="0.25">
      <c r="A574">
        <v>2020</v>
      </c>
      <c r="B574">
        <v>289</v>
      </c>
      <c r="C574" t="s">
        <v>79</v>
      </c>
      <c r="D574">
        <v>61</v>
      </c>
      <c r="E574" s="4">
        <v>0.20113199999999998</v>
      </c>
      <c r="F574" s="4">
        <v>0.15212699999999998</v>
      </c>
      <c r="G574" s="4">
        <v>0.15880949999999999</v>
      </c>
      <c r="H574" s="4">
        <v>0.20113199999999998</v>
      </c>
      <c r="I574" s="4">
        <v>0.20558699999999999</v>
      </c>
      <c r="J574" s="4">
        <v>0.147672</v>
      </c>
      <c r="K574" s="4">
        <v>0.138762</v>
      </c>
      <c r="L574" s="4">
        <v>0.14989949999999999</v>
      </c>
      <c r="M574" s="4">
        <v>0.16103699999999999</v>
      </c>
      <c r="N574" s="4">
        <v>0.14900850000000002</v>
      </c>
    </row>
    <row r="575" spans="1:14" x14ac:dyDescent="0.25">
      <c r="A575">
        <v>2020</v>
      </c>
      <c r="B575">
        <v>289</v>
      </c>
      <c r="C575" t="s">
        <v>79</v>
      </c>
      <c r="D575">
        <v>62</v>
      </c>
      <c r="E575" s="4">
        <v>0.18776700000000002</v>
      </c>
      <c r="F575" s="4">
        <v>0.20113199999999998</v>
      </c>
      <c r="G575" s="4">
        <v>0.21672450000000001</v>
      </c>
      <c r="H575" s="4">
        <v>0.15435450000000001</v>
      </c>
      <c r="I575" s="4">
        <v>0.1276245</v>
      </c>
      <c r="J575" s="4">
        <v>0.1365345</v>
      </c>
      <c r="K575" s="4">
        <v>0.13207950000000002</v>
      </c>
      <c r="L575" s="4">
        <v>0.11871450000000003</v>
      </c>
      <c r="M575" s="4">
        <v>0.13430700000000001</v>
      </c>
      <c r="N575" s="4">
        <v>0.15390900000000002</v>
      </c>
    </row>
    <row r="576" spans="1:14" x14ac:dyDescent="0.25">
      <c r="A576">
        <v>2020</v>
      </c>
      <c r="B576">
        <v>289</v>
      </c>
      <c r="C576" t="s">
        <v>79</v>
      </c>
      <c r="D576">
        <v>63</v>
      </c>
      <c r="E576" s="4">
        <v>0.26350199999999996</v>
      </c>
      <c r="F576" s="4">
        <v>0.22563449999999999</v>
      </c>
      <c r="G576" s="4">
        <v>0.21895199999999998</v>
      </c>
      <c r="H576" s="4">
        <v>0.1944495</v>
      </c>
      <c r="I576" s="4">
        <v>0.20113199999999998</v>
      </c>
      <c r="J576" s="4">
        <v>0.2122695</v>
      </c>
      <c r="K576" s="4">
        <v>0.17662950000000002</v>
      </c>
      <c r="L576" s="4">
        <v>0.12316949999999999</v>
      </c>
      <c r="M576" s="4">
        <v>0.12094200000000001</v>
      </c>
      <c r="N576" s="4">
        <v>0.14165775</v>
      </c>
    </row>
    <row r="577" spans="1:14" x14ac:dyDescent="0.25">
      <c r="A577">
        <v>2020</v>
      </c>
      <c r="B577">
        <v>289</v>
      </c>
      <c r="C577" t="s">
        <v>79</v>
      </c>
      <c r="D577">
        <v>64</v>
      </c>
      <c r="E577" s="4">
        <v>0.267957</v>
      </c>
      <c r="F577" s="4">
        <v>0.25459199999999998</v>
      </c>
      <c r="G577" s="4">
        <v>0.20558699999999999</v>
      </c>
      <c r="H577" s="4">
        <v>0.22340700000000002</v>
      </c>
      <c r="I577" s="4">
        <v>0.232317</v>
      </c>
      <c r="J577" s="4">
        <v>0.1944495</v>
      </c>
      <c r="K577" s="4">
        <v>0.16994700000000001</v>
      </c>
      <c r="L577" s="4">
        <v>0.1142595</v>
      </c>
      <c r="M577" s="4">
        <v>0.10757699999999999</v>
      </c>
      <c r="N577" s="4">
        <v>0.13185675000000002</v>
      </c>
    </row>
    <row r="578" spans="1:14" x14ac:dyDescent="0.25">
      <c r="A578">
        <v>2020</v>
      </c>
      <c r="B578">
        <v>302</v>
      </c>
      <c r="C578" t="s">
        <v>79</v>
      </c>
      <c r="D578">
        <v>11</v>
      </c>
      <c r="E578" s="4">
        <v>0.156582</v>
      </c>
      <c r="F578" s="4">
        <v>0.16326450000000001</v>
      </c>
      <c r="G578" s="4">
        <v>0.19222199999999998</v>
      </c>
      <c r="H578" s="4">
        <v>0.21672450000000001</v>
      </c>
      <c r="I578" s="4">
        <v>0.156582</v>
      </c>
      <c r="J578" s="4">
        <v>0.156582</v>
      </c>
      <c r="K578" s="4">
        <v>0.15880949999999999</v>
      </c>
      <c r="L578" s="4">
        <v>0.165492</v>
      </c>
      <c r="M578" s="4">
        <v>0.16771949999999999</v>
      </c>
      <c r="N578" s="4">
        <v>0.14900850000000002</v>
      </c>
    </row>
    <row r="579" spans="1:14" x14ac:dyDescent="0.25">
      <c r="A579">
        <v>2020</v>
      </c>
      <c r="B579">
        <v>302</v>
      </c>
      <c r="C579" t="s">
        <v>79</v>
      </c>
      <c r="D579">
        <v>12</v>
      </c>
      <c r="E579" s="4">
        <v>0.19890449999999998</v>
      </c>
      <c r="F579" s="4">
        <v>0.19890449999999998</v>
      </c>
      <c r="G579" s="4">
        <v>0.16103699999999999</v>
      </c>
      <c r="H579" s="4">
        <v>0.11648700000000002</v>
      </c>
      <c r="I579" s="4">
        <v>0.10312200000000001</v>
      </c>
      <c r="J579" s="4">
        <v>0.10980450000000001</v>
      </c>
      <c r="K579" s="4">
        <v>0.10757699999999999</v>
      </c>
      <c r="L579" s="4">
        <v>0.156582</v>
      </c>
      <c r="M579" s="4">
        <v>0.174402</v>
      </c>
      <c r="N579" s="4">
        <v>0.14165775</v>
      </c>
    </row>
    <row r="580" spans="1:14" x14ac:dyDescent="0.25">
      <c r="A580">
        <v>2020</v>
      </c>
      <c r="B580">
        <v>302</v>
      </c>
      <c r="C580" t="s">
        <v>79</v>
      </c>
      <c r="D580">
        <v>13</v>
      </c>
      <c r="E580" s="4">
        <v>0.19667699999999996</v>
      </c>
      <c r="F580" s="4">
        <v>0.18108450000000001</v>
      </c>
      <c r="G580" s="4">
        <v>0.19667699999999996</v>
      </c>
      <c r="H580" s="4">
        <v>0.20558699999999999</v>
      </c>
      <c r="I580" s="4">
        <v>0.18999449999999996</v>
      </c>
      <c r="J580" s="4">
        <v>0.156582</v>
      </c>
      <c r="K580" s="4">
        <v>0.14098950000000002</v>
      </c>
      <c r="L580" s="4">
        <v>0.1365345</v>
      </c>
      <c r="M580" s="4">
        <v>0.156582</v>
      </c>
      <c r="N580" s="4">
        <v>0.15145875</v>
      </c>
    </row>
    <row r="581" spans="1:14" x14ac:dyDescent="0.25">
      <c r="A581">
        <v>2020</v>
      </c>
      <c r="B581">
        <v>302</v>
      </c>
      <c r="C581" t="s">
        <v>79</v>
      </c>
      <c r="D581">
        <v>14</v>
      </c>
      <c r="E581" s="4">
        <v>0.21895199999999998</v>
      </c>
      <c r="F581" s="4">
        <v>0.21895199999999998</v>
      </c>
      <c r="G581" s="4">
        <v>0.2211795</v>
      </c>
      <c r="H581" s="4">
        <v>0.1944495</v>
      </c>
      <c r="I581" s="4">
        <v>0.16326450000000001</v>
      </c>
      <c r="J581" s="4">
        <v>0.14321700000000001</v>
      </c>
      <c r="K581" s="4">
        <v>0.14989949999999999</v>
      </c>
      <c r="L581" s="4">
        <v>0.15880949999999999</v>
      </c>
      <c r="M581" s="4">
        <v>0.14098950000000002</v>
      </c>
      <c r="N581" s="4">
        <v>0.14410800000000001</v>
      </c>
    </row>
    <row r="582" spans="1:14" x14ac:dyDescent="0.25">
      <c r="A582">
        <v>2020</v>
      </c>
      <c r="B582">
        <v>302</v>
      </c>
      <c r="C582" t="s">
        <v>79</v>
      </c>
      <c r="D582">
        <v>21</v>
      </c>
      <c r="E582" s="4">
        <v>0.24790949999999998</v>
      </c>
      <c r="F582" s="4">
        <v>0.21895199999999998</v>
      </c>
      <c r="G582" s="4">
        <v>0.2211795</v>
      </c>
      <c r="H582" s="4">
        <v>0.19890449999999998</v>
      </c>
      <c r="I582" s="4">
        <v>0.165492</v>
      </c>
      <c r="J582" s="4">
        <v>0.14989949999999999</v>
      </c>
      <c r="K582" s="4">
        <v>0.14098950000000002</v>
      </c>
      <c r="L582" s="4">
        <v>0.17885699999999999</v>
      </c>
      <c r="M582" s="4">
        <v>0.16994700000000001</v>
      </c>
      <c r="N582" s="4">
        <v>0.15390900000000002</v>
      </c>
    </row>
    <row r="583" spans="1:14" x14ac:dyDescent="0.25">
      <c r="A583">
        <v>2020</v>
      </c>
      <c r="B583">
        <v>302</v>
      </c>
      <c r="C583" t="s">
        <v>79</v>
      </c>
      <c r="D583">
        <v>22</v>
      </c>
      <c r="E583" s="4">
        <v>0.22563449999999999</v>
      </c>
      <c r="F583" s="4">
        <v>0.21004199999999998</v>
      </c>
      <c r="G583" s="4">
        <v>0.1944495</v>
      </c>
      <c r="H583" s="4">
        <v>0.19222199999999998</v>
      </c>
      <c r="I583" s="4">
        <v>0.16326450000000001</v>
      </c>
      <c r="J583" s="4">
        <v>0.1276245</v>
      </c>
      <c r="K583" s="4">
        <v>9.8666999999999977E-2</v>
      </c>
      <c r="L583" s="4">
        <v>0.15212699999999998</v>
      </c>
      <c r="M583" s="4">
        <v>0.16994700000000001</v>
      </c>
      <c r="N583" s="4">
        <v>0.16371000000000005</v>
      </c>
    </row>
    <row r="584" spans="1:14" x14ac:dyDescent="0.25">
      <c r="A584">
        <v>2020</v>
      </c>
      <c r="B584">
        <v>302</v>
      </c>
      <c r="C584" t="s">
        <v>79</v>
      </c>
      <c r="D584">
        <v>23</v>
      </c>
      <c r="E584" s="4">
        <v>0.19667699999999996</v>
      </c>
      <c r="F584" s="4">
        <v>0.19890449999999998</v>
      </c>
      <c r="G584" s="4">
        <v>0.232317</v>
      </c>
      <c r="H584" s="4">
        <v>0.2211795</v>
      </c>
      <c r="I584" s="4">
        <v>0.18108450000000001</v>
      </c>
      <c r="J584" s="4">
        <v>0.1142595</v>
      </c>
      <c r="K584" s="4">
        <v>0.10757699999999999</v>
      </c>
      <c r="L584" s="4">
        <v>0.12094200000000001</v>
      </c>
      <c r="M584" s="4">
        <v>0.156582</v>
      </c>
      <c r="N584" s="4">
        <v>0.15390900000000002</v>
      </c>
    </row>
    <row r="585" spans="1:14" x14ac:dyDescent="0.25">
      <c r="A585">
        <v>2020</v>
      </c>
      <c r="B585">
        <v>302</v>
      </c>
      <c r="C585" t="s">
        <v>79</v>
      </c>
      <c r="D585">
        <v>24</v>
      </c>
      <c r="E585" s="4">
        <v>8.3074499999999996E-2</v>
      </c>
      <c r="F585" s="4">
        <v>6.7481999999999986E-2</v>
      </c>
      <c r="G585" s="4">
        <v>5.6344499999999999E-2</v>
      </c>
      <c r="H585" s="4">
        <v>5.8571999999999999E-2</v>
      </c>
      <c r="I585" s="4">
        <v>6.0799500000000013E-2</v>
      </c>
      <c r="J585" s="4">
        <v>6.3027E-2</v>
      </c>
      <c r="K585" s="4">
        <v>6.7481999999999986E-2</v>
      </c>
      <c r="L585" s="4">
        <v>8.7529500000000024E-2</v>
      </c>
      <c r="M585" s="4">
        <v>0.10534949999999998</v>
      </c>
      <c r="N585" s="4">
        <v>0.14165775</v>
      </c>
    </row>
    <row r="586" spans="1:14" x14ac:dyDescent="0.25">
      <c r="A586">
        <v>2020</v>
      </c>
      <c r="B586">
        <v>302</v>
      </c>
      <c r="C586" t="s">
        <v>79</v>
      </c>
      <c r="D586">
        <v>31</v>
      </c>
      <c r="E586" s="4">
        <v>0.28354950000000001</v>
      </c>
      <c r="F586" s="4">
        <v>0.24790949999999998</v>
      </c>
      <c r="G586" s="4">
        <v>0.23677200000000004</v>
      </c>
      <c r="H586" s="4">
        <v>0.22340700000000002</v>
      </c>
      <c r="I586" s="4">
        <v>0.19667699999999996</v>
      </c>
      <c r="J586" s="4">
        <v>0.16994700000000001</v>
      </c>
      <c r="K586" s="4">
        <v>0.12539700000000001</v>
      </c>
      <c r="L586" s="4">
        <v>0.13207950000000002</v>
      </c>
      <c r="M586" s="4">
        <v>0.1365345</v>
      </c>
      <c r="N586" s="4">
        <v>0.14410800000000001</v>
      </c>
    </row>
    <row r="587" spans="1:14" x14ac:dyDescent="0.25">
      <c r="A587">
        <v>2020</v>
      </c>
      <c r="B587">
        <v>302</v>
      </c>
      <c r="C587" t="s">
        <v>79</v>
      </c>
      <c r="D587">
        <v>32</v>
      </c>
      <c r="E587" s="4">
        <v>0.16326450000000001</v>
      </c>
      <c r="F587" s="4">
        <v>0.147672</v>
      </c>
      <c r="G587" s="4">
        <v>0.12094200000000001</v>
      </c>
      <c r="H587" s="4">
        <v>0.10757699999999999</v>
      </c>
      <c r="I587" s="4">
        <v>0.1008945</v>
      </c>
      <c r="J587" s="4">
        <v>9.421199999999999E-2</v>
      </c>
      <c r="K587" s="4">
        <v>0.10534949999999998</v>
      </c>
      <c r="L587" s="4">
        <v>0.138762</v>
      </c>
      <c r="M587" s="4">
        <v>0.16103699999999999</v>
      </c>
      <c r="N587" s="4">
        <v>0.16125975000000004</v>
      </c>
    </row>
    <row r="588" spans="1:14" x14ac:dyDescent="0.25">
      <c r="A588">
        <v>2020</v>
      </c>
      <c r="B588">
        <v>302</v>
      </c>
      <c r="C588" t="s">
        <v>79</v>
      </c>
      <c r="D588">
        <v>33</v>
      </c>
      <c r="E588" s="4">
        <v>0.15435450000000001</v>
      </c>
      <c r="F588" s="4">
        <v>0.15212699999999998</v>
      </c>
      <c r="G588" s="4">
        <v>0.19890449999999998</v>
      </c>
      <c r="H588" s="4">
        <v>0.2389995</v>
      </c>
      <c r="I588" s="4">
        <v>0.19222199999999998</v>
      </c>
      <c r="J588" s="4">
        <v>0.13207950000000002</v>
      </c>
      <c r="K588" s="4">
        <v>0.13430700000000001</v>
      </c>
      <c r="L588" s="4">
        <v>0.1365345</v>
      </c>
      <c r="M588" s="4">
        <v>0.15212699999999998</v>
      </c>
      <c r="N588" s="4">
        <v>0.15145875</v>
      </c>
    </row>
    <row r="589" spans="1:14" x14ac:dyDescent="0.25">
      <c r="A589">
        <v>2020</v>
      </c>
      <c r="B589">
        <v>302</v>
      </c>
      <c r="C589" t="s">
        <v>79</v>
      </c>
      <c r="D589">
        <v>34</v>
      </c>
      <c r="E589" s="4">
        <v>0.1276245</v>
      </c>
      <c r="F589" s="4">
        <v>0.1365345</v>
      </c>
      <c r="G589" s="4">
        <v>0.1855395</v>
      </c>
      <c r="H589" s="4">
        <v>0.22340700000000002</v>
      </c>
      <c r="I589" s="4">
        <v>0.2211795</v>
      </c>
      <c r="J589" s="4">
        <v>0.20781449999999999</v>
      </c>
      <c r="K589" s="4">
        <v>0.174402</v>
      </c>
      <c r="L589" s="4">
        <v>0.174402</v>
      </c>
      <c r="M589" s="4">
        <v>0.156582</v>
      </c>
      <c r="N589" s="4">
        <v>0.13675725000000002</v>
      </c>
    </row>
    <row r="590" spans="1:14" x14ac:dyDescent="0.25">
      <c r="A590">
        <v>2020</v>
      </c>
      <c r="B590">
        <v>302</v>
      </c>
      <c r="C590" t="s">
        <v>79</v>
      </c>
      <c r="D590">
        <v>41</v>
      </c>
      <c r="E590" s="4">
        <v>0.19890449999999998</v>
      </c>
      <c r="F590" s="4">
        <v>0.20558699999999999</v>
      </c>
      <c r="G590" s="4">
        <v>0.26572949999999995</v>
      </c>
      <c r="H590" s="4">
        <v>0.24122700000000002</v>
      </c>
      <c r="I590" s="4">
        <v>0.23008950000000003</v>
      </c>
      <c r="J590" s="4">
        <v>0.2122695</v>
      </c>
      <c r="K590" s="4">
        <v>0.17662950000000002</v>
      </c>
      <c r="L590" s="4">
        <v>0.129852</v>
      </c>
      <c r="M590" s="4">
        <v>0.14989949999999999</v>
      </c>
      <c r="N590" s="4">
        <v>0.15880950000000002</v>
      </c>
    </row>
    <row r="591" spans="1:14" x14ac:dyDescent="0.25">
      <c r="A591">
        <v>2020</v>
      </c>
      <c r="B591">
        <v>302</v>
      </c>
      <c r="C591" t="s">
        <v>79</v>
      </c>
      <c r="D591">
        <v>42</v>
      </c>
      <c r="E591" s="4">
        <v>0.18776700000000002</v>
      </c>
      <c r="F591" s="4">
        <v>0.18999449999999996</v>
      </c>
      <c r="G591" s="4">
        <v>0.2122695</v>
      </c>
      <c r="H591" s="4">
        <v>0.21004199999999998</v>
      </c>
      <c r="I591" s="4">
        <v>0.1944495</v>
      </c>
      <c r="J591" s="4">
        <v>0.15212699999999998</v>
      </c>
      <c r="K591" s="4">
        <v>0.1276245</v>
      </c>
      <c r="L591" s="4">
        <v>0.129852</v>
      </c>
      <c r="M591" s="4">
        <v>0.14989949999999999</v>
      </c>
      <c r="N591" s="4">
        <v>0.15635925000000001</v>
      </c>
    </row>
    <row r="592" spans="1:14" x14ac:dyDescent="0.25">
      <c r="A592">
        <v>2020</v>
      </c>
      <c r="B592">
        <v>302</v>
      </c>
      <c r="C592" t="s">
        <v>79</v>
      </c>
      <c r="D592">
        <v>43</v>
      </c>
      <c r="E592" s="4">
        <v>0.20335949999999997</v>
      </c>
      <c r="F592" s="4">
        <v>0.20113199999999998</v>
      </c>
      <c r="G592" s="4">
        <v>0.22563449999999999</v>
      </c>
      <c r="H592" s="4">
        <v>0.17217450000000001</v>
      </c>
      <c r="I592" s="4">
        <v>0.17217450000000001</v>
      </c>
      <c r="J592" s="4">
        <v>0.147672</v>
      </c>
      <c r="K592" s="4">
        <v>0.14321700000000001</v>
      </c>
      <c r="L592" s="4">
        <v>0.129852</v>
      </c>
      <c r="M592" s="4">
        <v>0.13207950000000002</v>
      </c>
      <c r="N592" s="4">
        <v>0.13920750000000001</v>
      </c>
    </row>
    <row r="593" spans="1:14" x14ac:dyDescent="0.25">
      <c r="A593">
        <v>2020</v>
      </c>
      <c r="B593">
        <v>302</v>
      </c>
      <c r="C593" t="s">
        <v>79</v>
      </c>
      <c r="D593">
        <v>44</v>
      </c>
      <c r="E593" s="4">
        <v>0.1454445</v>
      </c>
      <c r="F593" s="4">
        <v>0.15880949999999999</v>
      </c>
      <c r="G593" s="4">
        <v>0.2389995</v>
      </c>
      <c r="H593" s="4">
        <v>0.22786200000000001</v>
      </c>
      <c r="I593" s="4">
        <v>0.24122700000000002</v>
      </c>
      <c r="J593" s="4">
        <v>0.20781449999999999</v>
      </c>
      <c r="K593" s="4">
        <v>0.18999449999999996</v>
      </c>
      <c r="L593" s="4">
        <v>0.15435450000000001</v>
      </c>
      <c r="M593" s="4">
        <v>0.12094200000000001</v>
      </c>
      <c r="N593" s="4">
        <v>0.12940650000000001</v>
      </c>
    </row>
    <row r="594" spans="1:14" x14ac:dyDescent="0.25">
      <c r="A594">
        <v>2020</v>
      </c>
      <c r="B594">
        <v>302</v>
      </c>
      <c r="C594" t="s">
        <v>79</v>
      </c>
      <c r="D594">
        <v>51</v>
      </c>
      <c r="E594" s="4">
        <v>0.24790949999999998</v>
      </c>
      <c r="F594" s="4">
        <v>0.24345450000000002</v>
      </c>
      <c r="G594" s="4">
        <v>0.23008950000000003</v>
      </c>
      <c r="H594" s="4">
        <v>0.21449699999999999</v>
      </c>
      <c r="I594" s="4">
        <v>0.174402</v>
      </c>
      <c r="J594" s="4">
        <v>0.1454445</v>
      </c>
      <c r="K594" s="4">
        <v>0.14989949999999999</v>
      </c>
      <c r="L594" s="4">
        <v>0.14098950000000002</v>
      </c>
      <c r="M594" s="4">
        <v>0.15435450000000001</v>
      </c>
      <c r="N594" s="4">
        <v>0.15145875</v>
      </c>
    </row>
    <row r="595" spans="1:14" x14ac:dyDescent="0.25">
      <c r="A595">
        <v>2020</v>
      </c>
      <c r="B595">
        <v>302</v>
      </c>
      <c r="C595" t="s">
        <v>79</v>
      </c>
      <c r="D595">
        <v>52</v>
      </c>
      <c r="E595" s="4">
        <v>0.2389995</v>
      </c>
      <c r="F595" s="4">
        <v>0.21895199999999998</v>
      </c>
      <c r="G595" s="4">
        <v>0.24790949999999998</v>
      </c>
      <c r="H595" s="4">
        <v>0.23677200000000004</v>
      </c>
      <c r="I595" s="4">
        <v>0.21004199999999998</v>
      </c>
      <c r="J595" s="4">
        <v>0.18331200000000003</v>
      </c>
      <c r="K595" s="4">
        <v>0.18331200000000003</v>
      </c>
      <c r="L595" s="4">
        <v>0.1454445</v>
      </c>
      <c r="M595" s="4">
        <v>0.138762</v>
      </c>
      <c r="N595" s="4">
        <v>0.15390900000000002</v>
      </c>
    </row>
    <row r="596" spans="1:14" x14ac:dyDescent="0.25">
      <c r="A596">
        <v>2020</v>
      </c>
      <c r="B596">
        <v>302</v>
      </c>
      <c r="C596" t="s">
        <v>79</v>
      </c>
      <c r="D596">
        <v>53</v>
      </c>
      <c r="E596" s="4">
        <v>0.21895199999999998</v>
      </c>
      <c r="F596" s="4">
        <v>0.2122695</v>
      </c>
      <c r="G596" s="4">
        <v>0.2389995</v>
      </c>
      <c r="H596" s="4">
        <v>0.25681949999999998</v>
      </c>
      <c r="I596" s="4">
        <v>0.23677200000000004</v>
      </c>
      <c r="J596" s="4">
        <v>0.19667699999999996</v>
      </c>
      <c r="K596" s="4">
        <v>0.17217450000000001</v>
      </c>
      <c r="L596" s="4">
        <v>0.11871450000000003</v>
      </c>
      <c r="M596" s="4">
        <v>0.11648700000000002</v>
      </c>
      <c r="N596" s="4">
        <v>0.12940650000000001</v>
      </c>
    </row>
    <row r="597" spans="1:14" x14ac:dyDescent="0.25">
      <c r="A597">
        <v>2020</v>
      </c>
      <c r="B597">
        <v>302</v>
      </c>
      <c r="C597" t="s">
        <v>79</v>
      </c>
      <c r="D597">
        <v>54</v>
      </c>
      <c r="E597" s="4">
        <v>0.21895199999999998</v>
      </c>
      <c r="F597" s="4">
        <v>0.2122695</v>
      </c>
      <c r="G597" s="4">
        <v>0.20558699999999999</v>
      </c>
      <c r="H597" s="4">
        <v>0.22786200000000001</v>
      </c>
      <c r="I597" s="4">
        <v>0.2211795</v>
      </c>
      <c r="J597" s="4">
        <v>0.1855395</v>
      </c>
      <c r="K597" s="4">
        <v>0.15880949999999999</v>
      </c>
      <c r="L597" s="4">
        <v>0.14321700000000001</v>
      </c>
      <c r="M597" s="4">
        <v>0.1142595</v>
      </c>
      <c r="N597" s="4">
        <v>0.11470500000000002</v>
      </c>
    </row>
    <row r="598" spans="1:14" x14ac:dyDescent="0.25">
      <c r="A598">
        <v>2020</v>
      </c>
      <c r="B598">
        <v>302</v>
      </c>
      <c r="C598" t="s">
        <v>79</v>
      </c>
      <c r="D598">
        <v>61</v>
      </c>
      <c r="E598" s="4">
        <v>0.19222199999999998</v>
      </c>
      <c r="F598" s="4">
        <v>0.14989949999999999</v>
      </c>
      <c r="G598" s="4">
        <v>0.15212699999999998</v>
      </c>
      <c r="H598" s="4">
        <v>0.18776700000000002</v>
      </c>
      <c r="I598" s="4">
        <v>0.19667699999999996</v>
      </c>
      <c r="J598" s="4">
        <v>0.14321700000000001</v>
      </c>
      <c r="K598" s="4">
        <v>0.138762</v>
      </c>
      <c r="L598" s="4">
        <v>0.138762</v>
      </c>
      <c r="M598" s="4">
        <v>0.156582</v>
      </c>
      <c r="N598" s="4">
        <v>0.13920750000000001</v>
      </c>
    </row>
    <row r="599" spans="1:14" x14ac:dyDescent="0.25">
      <c r="A599">
        <v>2020</v>
      </c>
      <c r="B599">
        <v>302</v>
      </c>
      <c r="C599" t="s">
        <v>79</v>
      </c>
      <c r="D599">
        <v>62</v>
      </c>
      <c r="E599" s="4">
        <v>0.18776700000000002</v>
      </c>
      <c r="F599" s="4">
        <v>0.1944495</v>
      </c>
      <c r="G599" s="4">
        <v>0.21004199999999998</v>
      </c>
      <c r="H599" s="4">
        <v>0.147672</v>
      </c>
      <c r="I599" s="4">
        <v>0.12316949999999999</v>
      </c>
      <c r="J599" s="4">
        <v>0.13430700000000001</v>
      </c>
      <c r="K599" s="4">
        <v>0.12094200000000001</v>
      </c>
      <c r="L599" s="4">
        <v>0.1142595</v>
      </c>
      <c r="M599" s="4">
        <v>0.13430700000000001</v>
      </c>
      <c r="N599" s="4">
        <v>0.15145875</v>
      </c>
    </row>
    <row r="600" spans="1:14" x14ac:dyDescent="0.25">
      <c r="A600">
        <v>2020</v>
      </c>
      <c r="B600">
        <v>302</v>
      </c>
      <c r="C600" t="s">
        <v>79</v>
      </c>
      <c r="D600">
        <v>63</v>
      </c>
      <c r="E600" s="4">
        <v>0.25236449999999999</v>
      </c>
      <c r="F600" s="4">
        <v>0.232317</v>
      </c>
      <c r="G600" s="4">
        <v>0.2122695</v>
      </c>
      <c r="H600" s="4">
        <v>0.1855395</v>
      </c>
      <c r="I600" s="4">
        <v>0.19667699999999996</v>
      </c>
      <c r="J600" s="4">
        <v>0.20781449999999999</v>
      </c>
      <c r="K600" s="4">
        <v>0.15212699999999998</v>
      </c>
      <c r="L600" s="4">
        <v>0.12094200000000001</v>
      </c>
      <c r="M600" s="4">
        <v>0.11871450000000003</v>
      </c>
      <c r="N600" s="4">
        <v>0.13675725000000002</v>
      </c>
    </row>
    <row r="601" spans="1:14" x14ac:dyDescent="0.25">
      <c r="A601">
        <v>2020</v>
      </c>
      <c r="B601">
        <v>302</v>
      </c>
      <c r="C601" t="s">
        <v>79</v>
      </c>
      <c r="D601">
        <v>64</v>
      </c>
      <c r="E601" s="4">
        <v>0.26350199999999996</v>
      </c>
      <c r="F601" s="4">
        <v>0.2389995</v>
      </c>
      <c r="G601" s="4">
        <v>0.19890449999999998</v>
      </c>
      <c r="H601" s="4">
        <v>0.21672450000000001</v>
      </c>
      <c r="I601" s="4">
        <v>0.22340700000000002</v>
      </c>
      <c r="J601" s="4">
        <v>0.18999449999999996</v>
      </c>
      <c r="K601" s="4">
        <v>0.14989949999999999</v>
      </c>
      <c r="L601" s="4">
        <v>0.11203200000000002</v>
      </c>
      <c r="M601" s="4">
        <v>0.10757699999999999</v>
      </c>
      <c r="N601" s="4">
        <v>0.13185675000000002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FCE9-1D99-4258-A39F-6BA969851BED}">
  <dimension ref="A1:E27"/>
  <sheetViews>
    <sheetView topLeftCell="A2" workbookViewId="0">
      <selection activeCell="J78" sqref="J78"/>
    </sheetView>
  </sheetViews>
  <sheetFormatPr defaultRowHeight="15" x14ac:dyDescent="0.25"/>
  <cols>
    <col min="2" max="2" width="9.7109375" bestFit="1" customWidth="1"/>
  </cols>
  <sheetData>
    <row r="1" spans="1:5" x14ac:dyDescent="0.25">
      <c r="A1" t="s">
        <v>3</v>
      </c>
      <c r="B1" t="s">
        <v>3</v>
      </c>
      <c r="C1" t="s">
        <v>4</v>
      </c>
      <c r="D1" t="s">
        <v>5</v>
      </c>
    </row>
    <row r="2" spans="1:5" x14ac:dyDescent="0.25">
      <c r="A2" s="1">
        <v>44308</v>
      </c>
      <c r="B2" t="s">
        <v>6</v>
      </c>
      <c r="C2">
        <v>113</v>
      </c>
      <c r="D2">
        <v>10244</v>
      </c>
      <c r="E2" s="2">
        <f>(D2-$D$27)/$D$27*100</f>
        <v>-0.69255407428088878</v>
      </c>
    </row>
    <row r="3" spans="1:5" x14ac:dyDescent="0.25">
      <c r="A3" s="1">
        <v>44313</v>
      </c>
      <c r="B3" t="s">
        <v>7</v>
      </c>
      <c r="C3">
        <v>118</v>
      </c>
      <c r="D3">
        <v>10270</v>
      </c>
      <c r="E3" s="2">
        <f t="shared" ref="E3:E26" si="0">(D3-$D$27)/$D$27*100</f>
        <v>-0.44050471913946965</v>
      </c>
    </row>
    <row r="4" spans="1:5" x14ac:dyDescent="0.25">
      <c r="A4" s="1">
        <v>44320</v>
      </c>
      <c r="B4" t="s">
        <v>8</v>
      </c>
      <c r="C4">
        <v>125</v>
      </c>
      <c r="D4">
        <v>10390</v>
      </c>
      <c r="E4" s="2">
        <f t="shared" si="0"/>
        <v>0.72279999689784913</v>
      </c>
    </row>
    <row r="5" spans="1:5" x14ac:dyDescent="0.25">
      <c r="A5" s="1">
        <v>44327</v>
      </c>
      <c r="B5" t="s">
        <v>9</v>
      </c>
      <c r="C5">
        <v>132</v>
      </c>
      <c r="D5">
        <v>10336</v>
      </c>
      <c r="E5" s="2">
        <f t="shared" si="0"/>
        <v>0.19931287468105569</v>
      </c>
    </row>
    <row r="6" spans="1:5" x14ac:dyDescent="0.25">
      <c r="A6" s="1">
        <v>44334</v>
      </c>
      <c r="B6" t="s">
        <v>10</v>
      </c>
      <c r="C6">
        <v>139</v>
      </c>
      <c r="D6">
        <v>10339</v>
      </c>
      <c r="E6" s="2">
        <f t="shared" si="0"/>
        <v>0.22839549258198863</v>
      </c>
    </row>
    <row r="7" spans="1:5" x14ac:dyDescent="0.25">
      <c r="A7" s="1">
        <v>44342</v>
      </c>
      <c r="B7" t="s">
        <v>11</v>
      </c>
      <c r="C7">
        <v>147</v>
      </c>
      <c r="D7">
        <v>10362</v>
      </c>
      <c r="E7" s="2">
        <f t="shared" si="0"/>
        <v>0.4513622298224747</v>
      </c>
    </row>
    <row r="8" spans="1:5" x14ac:dyDescent="0.25">
      <c r="A8" s="1">
        <v>44348</v>
      </c>
      <c r="B8" t="s">
        <v>12</v>
      </c>
      <c r="C8">
        <v>153</v>
      </c>
      <c r="D8">
        <v>10241</v>
      </c>
      <c r="E8" s="2">
        <f t="shared" si="0"/>
        <v>-0.72163669218182169</v>
      </c>
    </row>
    <row r="9" spans="1:5" x14ac:dyDescent="0.25">
      <c r="A9" s="1">
        <v>44355</v>
      </c>
      <c r="B9" t="s">
        <v>13</v>
      </c>
      <c r="C9">
        <v>160</v>
      </c>
      <c r="D9">
        <v>10305</v>
      </c>
      <c r="E9" s="2">
        <f t="shared" si="0"/>
        <v>-0.10120751029525166</v>
      </c>
    </row>
    <row r="10" spans="1:5" x14ac:dyDescent="0.25">
      <c r="A10" s="1">
        <v>44362</v>
      </c>
      <c r="B10" t="s">
        <v>14</v>
      </c>
      <c r="C10">
        <v>167</v>
      </c>
      <c r="D10">
        <v>10349</v>
      </c>
      <c r="E10" s="2">
        <f t="shared" si="0"/>
        <v>0.32533755225176519</v>
      </c>
    </row>
    <row r="11" spans="1:5" x14ac:dyDescent="0.25">
      <c r="A11" s="1">
        <v>44369</v>
      </c>
      <c r="B11" t="s">
        <v>15</v>
      </c>
      <c r="C11">
        <v>174</v>
      </c>
      <c r="D11">
        <v>10212</v>
      </c>
      <c r="E11" s="2">
        <f t="shared" si="0"/>
        <v>-1.0027686652241736</v>
      </c>
    </row>
    <row r="12" spans="1:5" x14ac:dyDescent="0.25">
      <c r="A12" s="1">
        <v>44376</v>
      </c>
      <c r="B12" t="s">
        <v>16</v>
      </c>
      <c r="C12">
        <v>181</v>
      </c>
      <c r="D12">
        <v>10343</v>
      </c>
      <c r="E12" s="2">
        <f t="shared" si="0"/>
        <v>0.26717231644989925</v>
      </c>
    </row>
    <row r="13" spans="1:5" x14ac:dyDescent="0.25">
      <c r="A13" s="1">
        <v>44383</v>
      </c>
      <c r="B13" t="s">
        <v>17</v>
      </c>
      <c r="C13">
        <v>188</v>
      </c>
      <c r="D13">
        <v>10448</v>
      </c>
      <c r="E13" s="2">
        <f t="shared" si="0"/>
        <v>1.2850639429825532</v>
      </c>
    </row>
    <row r="14" spans="1:5" x14ac:dyDescent="0.25">
      <c r="A14" s="1">
        <v>44391</v>
      </c>
      <c r="B14" t="s">
        <v>18</v>
      </c>
      <c r="C14">
        <v>196</v>
      </c>
      <c r="D14">
        <v>10325</v>
      </c>
      <c r="E14" s="2">
        <f t="shared" si="0"/>
        <v>9.2676609044301458E-2</v>
      </c>
    </row>
    <row r="15" spans="1:5" x14ac:dyDescent="0.25">
      <c r="A15" s="1">
        <v>44397</v>
      </c>
      <c r="B15" t="s">
        <v>19</v>
      </c>
      <c r="C15">
        <v>202</v>
      </c>
      <c r="D15">
        <v>10363</v>
      </c>
      <c r="E15" s="2">
        <f t="shared" si="0"/>
        <v>0.46105643578945243</v>
      </c>
    </row>
    <row r="16" spans="1:5" x14ac:dyDescent="0.25">
      <c r="A16" s="1">
        <v>44404</v>
      </c>
      <c r="B16" t="s">
        <v>20</v>
      </c>
      <c r="C16">
        <v>209</v>
      </c>
      <c r="D16">
        <v>10379</v>
      </c>
      <c r="E16" s="2">
        <f t="shared" si="0"/>
        <v>0.6161637312610948</v>
      </c>
    </row>
    <row r="17" spans="1:5" x14ac:dyDescent="0.25">
      <c r="A17" s="1">
        <v>44411</v>
      </c>
      <c r="B17" t="s">
        <v>21</v>
      </c>
      <c r="C17">
        <v>216</v>
      </c>
      <c r="D17">
        <v>10379</v>
      </c>
      <c r="E17" s="2">
        <f t="shared" si="0"/>
        <v>0.6161637312610948</v>
      </c>
    </row>
    <row r="18" spans="1:5" x14ac:dyDescent="0.25">
      <c r="A18" s="1">
        <v>44418</v>
      </c>
      <c r="B18" t="s">
        <v>22</v>
      </c>
      <c r="C18">
        <v>223</v>
      </c>
      <c r="D18">
        <v>10263</v>
      </c>
      <c r="E18" s="2">
        <f t="shared" si="0"/>
        <v>-0.50836416090831327</v>
      </c>
    </row>
    <row r="19" spans="1:5" x14ac:dyDescent="0.25">
      <c r="A19" s="1">
        <v>44425</v>
      </c>
      <c r="B19" t="s">
        <v>23</v>
      </c>
      <c r="C19">
        <v>230</v>
      </c>
      <c r="D19">
        <v>10208</v>
      </c>
      <c r="E19" s="2">
        <f t="shared" si="0"/>
        <v>-1.0415454890920843</v>
      </c>
    </row>
    <row r="20" spans="1:5" x14ac:dyDescent="0.25">
      <c r="A20" s="1">
        <v>44432</v>
      </c>
      <c r="B20" t="s">
        <v>24</v>
      </c>
      <c r="C20">
        <v>237</v>
      </c>
      <c r="D20">
        <v>10289</v>
      </c>
      <c r="E20" s="2">
        <f t="shared" si="0"/>
        <v>-0.25631480576689414</v>
      </c>
    </row>
    <row r="21" spans="1:5" x14ac:dyDescent="0.25">
      <c r="A21" s="1">
        <v>44440</v>
      </c>
      <c r="B21" t="s">
        <v>25</v>
      </c>
      <c r="C21">
        <v>245</v>
      </c>
      <c r="D21">
        <v>10414</v>
      </c>
      <c r="E21" s="2">
        <f t="shared" si="0"/>
        <v>0.95546094010531291</v>
      </c>
    </row>
    <row r="22" spans="1:5" x14ac:dyDescent="0.25">
      <c r="A22" s="1">
        <v>44446</v>
      </c>
      <c r="B22" t="s">
        <v>26</v>
      </c>
      <c r="C22">
        <v>251</v>
      </c>
      <c r="D22">
        <v>10236</v>
      </c>
      <c r="E22" s="2">
        <f t="shared" si="0"/>
        <v>-0.77010772201670996</v>
      </c>
    </row>
    <row r="23" spans="1:5" x14ac:dyDescent="0.25">
      <c r="A23" s="1">
        <v>44453</v>
      </c>
      <c r="B23" t="s">
        <v>27</v>
      </c>
      <c r="C23">
        <v>258</v>
      </c>
      <c r="D23">
        <v>10308</v>
      </c>
      <c r="E23" s="2">
        <f t="shared" si="0"/>
        <v>-7.2124892394318699E-2</v>
      </c>
    </row>
    <row r="24" spans="1:5" x14ac:dyDescent="0.25">
      <c r="A24" s="1">
        <v>44460</v>
      </c>
      <c r="B24" t="s">
        <v>28</v>
      </c>
      <c r="C24">
        <v>265</v>
      </c>
      <c r="D24">
        <v>10266</v>
      </c>
      <c r="E24" s="2">
        <f t="shared" si="0"/>
        <v>-0.4792815430073803</v>
      </c>
    </row>
    <row r="25" spans="1:5" x14ac:dyDescent="0.25">
      <c r="A25" s="1">
        <v>44484</v>
      </c>
      <c r="B25" t="s">
        <v>29</v>
      </c>
      <c r="C25">
        <v>289</v>
      </c>
      <c r="D25">
        <v>10189</v>
      </c>
      <c r="E25" s="2">
        <f t="shared" si="0"/>
        <v>-1.2257354024646598</v>
      </c>
    </row>
    <row r="26" spans="1:5" x14ac:dyDescent="0.25">
      <c r="A26" s="1">
        <v>44497</v>
      </c>
      <c r="B26" t="s">
        <v>30</v>
      </c>
      <c r="C26">
        <v>302</v>
      </c>
      <c r="D26">
        <v>10428</v>
      </c>
      <c r="E26" s="2">
        <f t="shared" si="0"/>
        <v>1.0911798236430001</v>
      </c>
    </row>
    <row r="27" spans="1:5" x14ac:dyDescent="0.25">
      <c r="D27" s="3">
        <f>AVERAGE(D2:D26)</f>
        <v>10315.44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1E70-0BB4-4841-9B72-897C141E7A42}">
  <dimension ref="A1:T124"/>
  <sheetViews>
    <sheetView topLeftCell="D49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10244</v>
      </c>
      <c r="F1">
        <v>0</v>
      </c>
      <c r="G1">
        <v>10</v>
      </c>
      <c r="H1">
        <v>1825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4</v>
      </c>
      <c r="G18">
        <v>22</v>
      </c>
      <c r="H18">
        <v>7</v>
      </c>
      <c r="I18">
        <v>26</v>
      </c>
      <c r="J18">
        <v>0.99</v>
      </c>
      <c r="K18">
        <v>1.1000000000000001</v>
      </c>
      <c r="L18">
        <v>1.32</v>
      </c>
      <c r="M18">
        <v>1.41</v>
      </c>
      <c r="N18">
        <v>1.3</v>
      </c>
      <c r="O18">
        <v>1.41</v>
      </c>
      <c r="P18">
        <v>1.43</v>
      </c>
      <c r="Q18">
        <v>1.35</v>
      </c>
      <c r="R18">
        <v>1.3</v>
      </c>
      <c r="S18">
        <v>0.66</v>
      </c>
      <c r="T18">
        <v>3723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4</v>
      </c>
      <c r="G19">
        <v>22</v>
      </c>
      <c r="H19">
        <v>7</v>
      </c>
      <c r="I19">
        <v>32</v>
      </c>
      <c r="J19">
        <v>1.1599999999999999</v>
      </c>
      <c r="K19">
        <v>1.24</v>
      </c>
      <c r="L19">
        <v>0.98</v>
      </c>
      <c r="M19">
        <v>0.98</v>
      </c>
      <c r="N19">
        <v>0.86</v>
      </c>
      <c r="O19">
        <v>0.86</v>
      </c>
      <c r="P19">
        <v>1</v>
      </c>
      <c r="Q19">
        <v>1.25</v>
      </c>
      <c r="R19">
        <v>1.08</v>
      </c>
      <c r="S19">
        <v>0.5</v>
      </c>
      <c r="T19">
        <v>3744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4</v>
      </c>
      <c r="G20">
        <v>22</v>
      </c>
      <c r="H20">
        <v>7</v>
      </c>
      <c r="I20">
        <v>36</v>
      </c>
      <c r="J20">
        <v>1.1200000000000001</v>
      </c>
      <c r="K20">
        <v>1.05</v>
      </c>
      <c r="L20">
        <v>1.1399999999999999</v>
      </c>
      <c r="M20">
        <v>1.24</v>
      </c>
      <c r="N20">
        <v>1.23</v>
      </c>
      <c r="O20">
        <v>1.28</v>
      </c>
      <c r="P20">
        <v>1.27</v>
      </c>
      <c r="Q20">
        <v>1.22</v>
      </c>
      <c r="R20">
        <v>1.26</v>
      </c>
      <c r="S20">
        <v>0.7</v>
      </c>
      <c r="T20">
        <v>3718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4</v>
      </c>
      <c r="G21">
        <v>22</v>
      </c>
      <c r="H21">
        <v>7</v>
      </c>
      <c r="I21">
        <v>40</v>
      </c>
      <c r="J21">
        <v>1.35</v>
      </c>
      <c r="K21">
        <v>1.39</v>
      </c>
      <c r="L21">
        <v>1.41</v>
      </c>
      <c r="M21">
        <v>1.41</v>
      </c>
      <c r="N21">
        <v>1.21</v>
      </c>
      <c r="O21">
        <v>1.27</v>
      </c>
      <c r="P21">
        <v>1.43</v>
      </c>
      <c r="Q21">
        <v>1.29</v>
      </c>
      <c r="R21">
        <v>1.23</v>
      </c>
      <c r="S21">
        <v>0.56999999999999995</v>
      </c>
      <c r="T21">
        <v>3727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4</v>
      </c>
      <c r="G22">
        <v>22</v>
      </c>
      <c r="H22">
        <v>7</v>
      </c>
      <c r="I22">
        <v>44</v>
      </c>
      <c r="J22">
        <v>0.82</v>
      </c>
      <c r="K22">
        <v>0.72</v>
      </c>
      <c r="L22">
        <v>0.71</v>
      </c>
      <c r="M22">
        <v>0.77</v>
      </c>
      <c r="N22">
        <v>0.78</v>
      </c>
      <c r="O22">
        <v>0.78</v>
      </c>
      <c r="P22">
        <v>0.85</v>
      </c>
      <c r="Q22">
        <v>1.02</v>
      </c>
      <c r="R22">
        <v>1.24</v>
      </c>
      <c r="S22">
        <v>0.71</v>
      </c>
      <c r="T22">
        <v>3746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4</v>
      </c>
      <c r="G23">
        <v>22</v>
      </c>
      <c r="H23">
        <v>7</v>
      </c>
      <c r="I23">
        <v>41</v>
      </c>
      <c r="J23">
        <v>1.1599999999999999</v>
      </c>
      <c r="K23">
        <v>1.21</v>
      </c>
      <c r="L23">
        <v>1.38</v>
      </c>
      <c r="M23">
        <v>1.44</v>
      </c>
      <c r="N23">
        <v>1.1000000000000001</v>
      </c>
      <c r="O23">
        <v>0.83</v>
      </c>
      <c r="P23">
        <v>0.87</v>
      </c>
      <c r="Q23">
        <v>1.19</v>
      </c>
      <c r="R23">
        <v>1.1299999999999999</v>
      </c>
      <c r="S23">
        <v>0.62</v>
      </c>
      <c r="T23">
        <v>3732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4</v>
      </c>
      <c r="G24">
        <v>22</v>
      </c>
      <c r="H24">
        <v>7</v>
      </c>
      <c r="I24">
        <v>53</v>
      </c>
      <c r="J24">
        <v>1.27</v>
      </c>
      <c r="K24">
        <v>1.24</v>
      </c>
      <c r="L24">
        <v>1.19</v>
      </c>
      <c r="M24">
        <v>1.1200000000000001</v>
      </c>
      <c r="N24">
        <v>1.07</v>
      </c>
      <c r="O24">
        <v>0.94</v>
      </c>
      <c r="P24">
        <v>0.96</v>
      </c>
      <c r="Q24">
        <v>1.23</v>
      </c>
      <c r="R24">
        <v>1.22</v>
      </c>
      <c r="S24">
        <v>0.5</v>
      </c>
      <c r="T24">
        <v>3740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4</v>
      </c>
      <c r="G25">
        <v>22</v>
      </c>
      <c r="H25">
        <v>7</v>
      </c>
      <c r="I25">
        <v>57</v>
      </c>
      <c r="J25">
        <v>1.37</v>
      </c>
      <c r="K25">
        <v>1.23</v>
      </c>
      <c r="L25">
        <v>1.33</v>
      </c>
      <c r="M25">
        <v>1.31</v>
      </c>
      <c r="N25">
        <v>1.35</v>
      </c>
      <c r="O25">
        <v>1.32</v>
      </c>
      <c r="P25">
        <v>1.22</v>
      </c>
      <c r="Q25">
        <v>1.29</v>
      </c>
      <c r="R25">
        <v>1.22</v>
      </c>
      <c r="S25">
        <v>0.64</v>
      </c>
      <c r="T25">
        <v>3733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4</v>
      </c>
      <c r="G26">
        <v>22</v>
      </c>
      <c r="H26">
        <v>8</v>
      </c>
      <c r="I26">
        <v>3</v>
      </c>
      <c r="J26">
        <v>1.39</v>
      </c>
      <c r="K26">
        <v>1.34</v>
      </c>
      <c r="L26">
        <v>1.36</v>
      </c>
      <c r="M26">
        <v>1.32</v>
      </c>
      <c r="N26">
        <v>1.25</v>
      </c>
      <c r="O26">
        <v>0.98</v>
      </c>
      <c r="P26">
        <v>0.91</v>
      </c>
      <c r="Q26">
        <v>1</v>
      </c>
      <c r="R26">
        <v>1.01</v>
      </c>
      <c r="S26">
        <v>0.52</v>
      </c>
      <c r="T26">
        <v>3730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4</v>
      </c>
      <c r="G27">
        <v>22</v>
      </c>
      <c r="H27">
        <v>8</v>
      </c>
      <c r="I27">
        <v>7</v>
      </c>
      <c r="J27">
        <v>0.92</v>
      </c>
      <c r="K27">
        <v>0.88</v>
      </c>
      <c r="L27">
        <v>0.79</v>
      </c>
      <c r="M27">
        <v>0.71</v>
      </c>
      <c r="N27">
        <v>0.72</v>
      </c>
      <c r="O27">
        <v>0.79</v>
      </c>
      <c r="P27">
        <v>0.92</v>
      </c>
      <c r="Q27">
        <v>1.2</v>
      </c>
      <c r="R27">
        <v>1.18</v>
      </c>
      <c r="S27">
        <v>0.53</v>
      </c>
      <c r="T27">
        <v>3759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4</v>
      </c>
      <c r="G28">
        <v>22</v>
      </c>
      <c r="H28">
        <v>8</v>
      </c>
      <c r="I28">
        <v>11</v>
      </c>
      <c r="J28">
        <v>1.07</v>
      </c>
      <c r="K28">
        <v>1.04</v>
      </c>
      <c r="L28">
        <v>1.29</v>
      </c>
      <c r="M28">
        <v>1.39</v>
      </c>
      <c r="N28">
        <v>1.24</v>
      </c>
      <c r="O28">
        <v>1.27</v>
      </c>
      <c r="P28">
        <v>1.28</v>
      </c>
      <c r="Q28">
        <v>1.22</v>
      </c>
      <c r="R28">
        <v>1.18</v>
      </c>
      <c r="S28">
        <v>0.52</v>
      </c>
      <c r="T28">
        <v>3733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4</v>
      </c>
      <c r="G29">
        <v>22</v>
      </c>
      <c r="H29">
        <v>8</v>
      </c>
      <c r="I29">
        <v>15</v>
      </c>
      <c r="J29">
        <v>0.77</v>
      </c>
      <c r="K29">
        <v>0.88</v>
      </c>
      <c r="L29">
        <v>1.1100000000000001</v>
      </c>
      <c r="M29">
        <v>1.28</v>
      </c>
      <c r="N29">
        <v>1.29</v>
      </c>
      <c r="O29">
        <v>1.25</v>
      </c>
      <c r="P29">
        <v>1.38</v>
      </c>
      <c r="Q29">
        <v>1.33</v>
      </c>
      <c r="R29">
        <v>1.1299999999999999</v>
      </c>
      <c r="S29">
        <v>0.52</v>
      </c>
      <c r="T29">
        <v>3743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4</v>
      </c>
      <c r="G30">
        <v>22</v>
      </c>
      <c r="H30">
        <v>8</v>
      </c>
      <c r="I30">
        <v>20</v>
      </c>
      <c r="J30">
        <v>0.94</v>
      </c>
      <c r="K30">
        <v>1.06</v>
      </c>
      <c r="L30">
        <v>1.45</v>
      </c>
      <c r="M30">
        <v>1.37</v>
      </c>
      <c r="N30">
        <v>1.41</v>
      </c>
      <c r="O30">
        <v>1.38</v>
      </c>
      <c r="P30">
        <v>1.42</v>
      </c>
      <c r="Q30">
        <v>1.17</v>
      </c>
      <c r="R30">
        <v>1.1599999999999999</v>
      </c>
      <c r="S30">
        <v>0.66</v>
      </c>
      <c r="T30">
        <v>3738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4</v>
      </c>
      <c r="G31">
        <v>22</v>
      </c>
      <c r="H31">
        <v>8</v>
      </c>
      <c r="I31">
        <v>24</v>
      </c>
      <c r="J31">
        <v>1.17</v>
      </c>
      <c r="K31">
        <v>1.17</v>
      </c>
      <c r="L31">
        <v>1.33</v>
      </c>
      <c r="M31">
        <v>1.08</v>
      </c>
      <c r="N31">
        <v>1.1599999999999999</v>
      </c>
      <c r="O31">
        <v>1.17</v>
      </c>
      <c r="P31">
        <v>1.24</v>
      </c>
      <c r="Q31">
        <v>1.1599999999999999</v>
      </c>
      <c r="R31">
        <v>1.1100000000000001</v>
      </c>
      <c r="S31">
        <v>0.61</v>
      </c>
      <c r="T31">
        <v>3720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4</v>
      </c>
      <c r="G32">
        <v>22</v>
      </c>
      <c r="H32">
        <v>8</v>
      </c>
      <c r="I32">
        <v>20</v>
      </c>
      <c r="J32">
        <v>1.07</v>
      </c>
      <c r="K32">
        <v>1.1299999999999999</v>
      </c>
      <c r="L32">
        <v>1.3</v>
      </c>
      <c r="M32">
        <v>1.3</v>
      </c>
      <c r="N32">
        <v>1.39</v>
      </c>
      <c r="O32">
        <v>1.22</v>
      </c>
      <c r="P32">
        <v>1.1200000000000001</v>
      </c>
      <c r="Q32">
        <v>1.18</v>
      </c>
      <c r="R32">
        <v>1.0900000000000001</v>
      </c>
      <c r="S32">
        <v>0.52</v>
      </c>
      <c r="T32">
        <v>3707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4</v>
      </c>
      <c r="G33">
        <v>22</v>
      </c>
      <c r="H33">
        <v>8</v>
      </c>
      <c r="I33">
        <v>32</v>
      </c>
      <c r="J33">
        <v>1.1200000000000001</v>
      </c>
      <c r="K33">
        <v>1.3</v>
      </c>
      <c r="L33">
        <v>1.51</v>
      </c>
      <c r="M33">
        <v>1.42</v>
      </c>
      <c r="N33">
        <v>1.48</v>
      </c>
      <c r="O33">
        <v>1.42</v>
      </c>
      <c r="P33">
        <v>1.1399999999999999</v>
      </c>
      <c r="Q33">
        <v>1.23</v>
      </c>
      <c r="R33">
        <v>1.23</v>
      </c>
      <c r="S33">
        <v>0.61</v>
      </c>
      <c r="T33">
        <v>3665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4</v>
      </c>
      <c r="G34">
        <v>22</v>
      </c>
      <c r="H34">
        <v>8</v>
      </c>
      <c r="I34">
        <v>36</v>
      </c>
      <c r="J34">
        <v>1.34</v>
      </c>
      <c r="K34">
        <v>1.32</v>
      </c>
      <c r="L34">
        <v>1.35</v>
      </c>
      <c r="M34">
        <v>1.36</v>
      </c>
      <c r="N34">
        <v>1.23</v>
      </c>
      <c r="O34">
        <v>1.24</v>
      </c>
      <c r="P34">
        <v>1.1499999999999999</v>
      </c>
      <c r="Q34">
        <v>1.22</v>
      </c>
      <c r="R34">
        <v>1.2</v>
      </c>
      <c r="S34">
        <v>0.6</v>
      </c>
      <c r="T34">
        <v>3677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4</v>
      </c>
      <c r="G35">
        <v>22</v>
      </c>
      <c r="H35">
        <v>8</v>
      </c>
      <c r="I35">
        <v>40</v>
      </c>
      <c r="J35">
        <v>1.28</v>
      </c>
      <c r="K35">
        <v>1.29</v>
      </c>
      <c r="L35">
        <v>1.48</v>
      </c>
      <c r="M35">
        <v>1.53</v>
      </c>
      <c r="N35">
        <v>1.57</v>
      </c>
      <c r="O35">
        <v>1.49</v>
      </c>
      <c r="P35">
        <v>1.32</v>
      </c>
      <c r="Q35">
        <v>1.18</v>
      </c>
      <c r="R35">
        <v>1.2</v>
      </c>
      <c r="S35">
        <v>0.61</v>
      </c>
      <c r="T35">
        <v>3702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4</v>
      </c>
      <c r="G36">
        <v>22</v>
      </c>
      <c r="H36">
        <v>8</v>
      </c>
      <c r="I36">
        <v>45</v>
      </c>
      <c r="J36">
        <v>0</v>
      </c>
      <c r="K36">
        <v>1.36</v>
      </c>
      <c r="L36">
        <v>1.38</v>
      </c>
      <c r="M36">
        <v>1.48</v>
      </c>
      <c r="N36">
        <v>1.33</v>
      </c>
      <c r="O36">
        <v>1.24</v>
      </c>
      <c r="P36">
        <v>1.18</v>
      </c>
      <c r="Q36">
        <v>1</v>
      </c>
      <c r="R36">
        <v>1</v>
      </c>
      <c r="S36">
        <v>0.48</v>
      </c>
      <c r="T36">
        <v>3681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4</v>
      </c>
      <c r="G37">
        <v>22</v>
      </c>
      <c r="H37">
        <v>8</v>
      </c>
      <c r="I37">
        <v>41</v>
      </c>
      <c r="J37">
        <v>0</v>
      </c>
      <c r="K37">
        <v>1.25</v>
      </c>
      <c r="L37">
        <v>1.24</v>
      </c>
      <c r="M37">
        <v>1.4</v>
      </c>
      <c r="N37">
        <v>1.45</v>
      </c>
      <c r="O37">
        <v>1.44</v>
      </c>
      <c r="P37">
        <v>1.4</v>
      </c>
      <c r="Q37">
        <v>1.2</v>
      </c>
      <c r="R37">
        <v>1.1399999999999999</v>
      </c>
      <c r="S37">
        <v>0.65</v>
      </c>
      <c r="T37">
        <v>3667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4</v>
      </c>
      <c r="G38">
        <v>22</v>
      </c>
      <c r="H38">
        <v>8</v>
      </c>
      <c r="I38">
        <v>53</v>
      </c>
      <c r="J38">
        <v>1.38</v>
      </c>
      <c r="K38">
        <v>1.33</v>
      </c>
      <c r="L38">
        <v>1.19</v>
      </c>
      <c r="M38">
        <v>1.29</v>
      </c>
      <c r="N38">
        <v>1.36</v>
      </c>
      <c r="O38">
        <v>1.31</v>
      </c>
      <c r="P38">
        <v>1.1399999999999999</v>
      </c>
      <c r="Q38">
        <v>1.02</v>
      </c>
      <c r="R38">
        <v>1.1200000000000001</v>
      </c>
      <c r="S38">
        <v>0.61</v>
      </c>
      <c r="T38">
        <v>3682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4</v>
      </c>
      <c r="G39">
        <v>22</v>
      </c>
      <c r="H39">
        <v>8</v>
      </c>
      <c r="I39">
        <v>57</v>
      </c>
      <c r="J39">
        <v>1.38</v>
      </c>
      <c r="K39">
        <v>1.3</v>
      </c>
      <c r="L39">
        <v>1.2</v>
      </c>
      <c r="M39">
        <v>1.1399999999999999</v>
      </c>
      <c r="N39">
        <v>1.18</v>
      </c>
      <c r="O39">
        <v>1.19</v>
      </c>
      <c r="P39">
        <v>0.96</v>
      </c>
      <c r="Q39">
        <v>0.96</v>
      </c>
      <c r="R39">
        <v>1.06</v>
      </c>
      <c r="S39">
        <v>0.52</v>
      </c>
      <c r="T39">
        <v>3696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4</v>
      </c>
      <c r="G40">
        <v>22</v>
      </c>
      <c r="H40">
        <v>9</v>
      </c>
      <c r="I40">
        <v>2</v>
      </c>
      <c r="J40">
        <v>1.21</v>
      </c>
      <c r="K40">
        <v>1.31</v>
      </c>
      <c r="L40">
        <v>1.41</v>
      </c>
      <c r="M40">
        <v>1.1200000000000001</v>
      </c>
      <c r="N40">
        <v>1.27</v>
      </c>
      <c r="O40">
        <v>1.38</v>
      </c>
      <c r="P40">
        <v>1.1399999999999999</v>
      </c>
      <c r="Q40">
        <v>1.19</v>
      </c>
      <c r="R40">
        <v>1.21</v>
      </c>
      <c r="S40">
        <v>0.64</v>
      </c>
      <c r="T40">
        <v>3666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4</v>
      </c>
      <c r="G41">
        <v>22</v>
      </c>
      <c r="H41">
        <v>9</v>
      </c>
      <c r="I41">
        <v>6</v>
      </c>
      <c r="J41">
        <v>1.0900000000000001</v>
      </c>
      <c r="K41">
        <v>0.93</v>
      </c>
      <c r="L41">
        <v>0.97</v>
      </c>
      <c r="M41">
        <v>1.1499999999999999</v>
      </c>
      <c r="N41">
        <v>1.21</v>
      </c>
      <c r="O41">
        <v>0.97</v>
      </c>
      <c r="P41">
        <v>0.94</v>
      </c>
      <c r="Q41">
        <v>1.1000000000000001</v>
      </c>
      <c r="R41">
        <v>1.1100000000000001</v>
      </c>
      <c r="S41">
        <v>0.61</v>
      </c>
      <c r="T41">
        <v>3685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4</v>
      </c>
      <c r="G45">
        <v>22</v>
      </c>
      <c r="H45">
        <v>7</v>
      </c>
      <c r="I45">
        <v>26</v>
      </c>
      <c r="J45">
        <v>0.99</v>
      </c>
      <c r="K45">
        <v>1.1000000000000001</v>
      </c>
      <c r="L45">
        <v>1.32</v>
      </c>
      <c r="M45">
        <v>1.41</v>
      </c>
      <c r="N45">
        <v>1.3</v>
      </c>
      <c r="O45">
        <v>1.41</v>
      </c>
      <c r="P45">
        <v>1.43</v>
      </c>
      <c r="Q45">
        <v>1.35</v>
      </c>
      <c r="R45">
        <v>1.3</v>
      </c>
      <c r="S45">
        <v>0.66</v>
      </c>
      <c r="T45">
        <v>3723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4</v>
      </c>
      <c r="G46">
        <v>22</v>
      </c>
      <c r="H46">
        <v>7</v>
      </c>
      <c r="I46">
        <v>32</v>
      </c>
      <c r="J46">
        <v>1.1599999999999999</v>
      </c>
      <c r="K46">
        <v>1.24</v>
      </c>
      <c r="L46">
        <v>0.98</v>
      </c>
      <c r="M46">
        <v>0.98</v>
      </c>
      <c r="N46">
        <v>0.86</v>
      </c>
      <c r="O46">
        <v>0.86</v>
      </c>
      <c r="P46">
        <v>1</v>
      </c>
      <c r="Q46">
        <v>1.25</v>
      </c>
      <c r="R46">
        <v>1.08</v>
      </c>
      <c r="S46">
        <v>0.5</v>
      </c>
      <c r="T46">
        <v>3744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4</v>
      </c>
      <c r="G47">
        <v>22</v>
      </c>
      <c r="H47">
        <v>7</v>
      </c>
      <c r="I47">
        <v>36</v>
      </c>
      <c r="J47">
        <v>1.1200000000000001</v>
      </c>
      <c r="K47">
        <v>1.05</v>
      </c>
      <c r="L47">
        <v>1.1399999999999999</v>
      </c>
      <c r="M47">
        <v>1.24</v>
      </c>
      <c r="N47">
        <v>1.23</v>
      </c>
      <c r="O47">
        <v>1.28</v>
      </c>
      <c r="P47">
        <v>1.27</v>
      </c>
      <c r="Q47">
        <v>1.22</v>
      </c>
      <c r="R47">
        <v>1.26</v>
      </c>
      <c r="S47">
        <v>0.7</v>
      </c>
      <c r="T47">
        <v>3718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4</v>
      </c>
      <c r="G48">
        <v>22</v>
      </c>
      <c r="H48">
        <v>7</v>
      </c>
      <c r="I48">
        <v>40</v>
      </c>
      <c r="J48">
        <v>1.35</v>
      </c>
      <c r="K48">
        <v>1.39</v>
      </c>
      <c r="L48">
        <v>1.41</v>
      </c>
      <c r="M48">
        <v>1.41</v>
      </c>
      <c r="N48">
        <v>1.21</v>
      </c>
      <c r="O48">
        <v>1.27</v>
      </c>
      <c r="P48">
        <v>1.43</v>
      </c>
      <c r="Q48">
        <v>1.29</v>
      </c>
      <c r="R48">
        <v>1.23</v>
      </c>
      <c r="S48">
        <v>0.56999999999999995</v>
      </c>
      <c r="T48">
        <v>3727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4</v>
      </c>
      <c r="G49">
        <v>22</v>
      </c>
      <c r="H49">
        <v>7</v>
      </c>
      <c r="I49">
        <v>57</v>
      </c>
      <c r="J49">
        <v>1.37</v>
      </c>
      <c r="K49">
        <v>1.23</v>
      </c>
      <c r="L49">
        <v>1.33</v>
      </c>
      <c r="M49">
        <v>1.31</v>
      </c>
      <c r="N49">
        <v>1.35</v>
      </c>
      <c r="O49">
        <v>1.32</v>
      </c>
      <c r="P49">
        <v>1.22</v>
      </c>
      <c r="Q49">
        <v>1.29</v>
      </c>
      <c r="R49">
        <v>1.22</v>
      </c>
      <c r="S49">
        <v>0.64</v>
      </c>
      <c r="T49">
        <v>3733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4</v>
      </c>
      <c r="G50">
        <v>22</v>
      </c>
      <c r="H50">
        <v>7</v>
      </c>
      <c r="I50">
        <v>53</v>
      </c>
      <c r="J50">
        <v>1.27</v>
      </c>
      <c r="K50">
        <v>1.24</v>
      </c>
      <c r="L50">
        <v>1.19</v>
      </c>
      <c r="M50">
        <v>1.1200000000000001</v>
      </c>
      <c r="N50">
        <v>1.07</v>
      </c>
      <c r="O50">
        <v>0.94</v>
      </c>
      <c r="P50">
        <v>0.96</v>
      </c>
      <c r="Q50">
        <v>1.23</v>
      </c>
      <c r="R50">
        <v>1.22</v>
      </c>
      <c r="S50">
        <v>0.5</v>
      </c>
      <c r="T50">
        <v>3740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4</v>
      </c>
      <c r="G51">
        <v>22</v>
      </c>
      <c r="H51">
        <v>7</v>
      </c>
      <c r="I51">
        <v>41</v>
      </c>
      <c r="J51">
        <v>1.1599999999999999</v>
      </c>
      <c r="K51">
        <v>1.21</v>
      </c>
      <c r="L51">
        <v>1.38</v>
      </c>
      <c r="M51">
        <v>1.44</v>
      </c>
      <c r="N51">
        <v>1.1000000000000001</v>
      </c>
      <c r="O51">
        <v>0.83</v>
      </c>
      <c r="P51">
        <v>0.87</v>
      </c>
      <c r="Q51">
        <v>1.19</v>
      </c>
      <c r="R51">
        <v>1.1299999999999999</v>
      </c>
      <c r="S51">
        <v>0.62</v>
      </c>
      <c r="T51">
        <v>3732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4</v>
      </c>
      <c r="G52">
        <v>22</v>
      </c>
      <c r="H52">
        <v>7</v>
      </c>
      <c r="I52">
        <v>44</v>
      </c>
      <c r="J52">
        <v>0.82</v>
      </c>
      <c r="K52">
        <v>0.72</v>
      </c>
      <c r="L52">
        <v>0.71</v>
      </c>
      <c r="M52">
        <v>0.77</v>
      </c>
      <c r="N52">
        <v>0.78</v>
      </c>
      <c r="O52">
        <v>0.78</v>
      </c>
      <c r="P52">
        <v>0.85</v>
      </c>
      <c r="Q52">
        <v>1.02</v>
      </c>
      <c r="R52">
        <v>1.24</v>
      </c>
      <c r="S52">
        <v>0.71</v>
      </c>
      <c r="T52">
        <v>3746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4</v>
      </c>
      <c r="G53">
        <v>22</v>
      </c>
      <c r="H53">
        <v>8</v>
      </c>
      <c r="I53">
        <v>3</v>
      </c>
      <c r="J53">
        <v>1.39</v>
      </c>
      <c r="K53">
        <v>1.34</v>
      </c>
      <c r="L53">
        <v>1.36</v>
      </c>
      <c r="M53">
        <v>1.32</v>
      </c>
      <c r="N53">
        <v>1.25</v>
      </c>
      <c r="O53">
        <v>0.98</v>
      </c>
      <c r="P53">
        <v>0.91</v>
      </c>
      <c r="Q53">
        <v>1</v>
      </c>
      <c r="R53">
        <v>1.01</v>
      </c>
      <c r="S53">
        <v>0.52</v>
      </c>
      <c r="T53">
        <v>3730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4</v>
      </c>
      <c r="G54">
        <v>22</v>
      </c>
      <c r="H54">
        <v>8</v>
      </c>
      <c r="I54">
        <v>7</v>
      </c>
      <c r="J54">
        <v>0.92</v>
      </c>
      <c r="K54">
        <v>0.88</v>
      </c>
      <c r="L54">
        <v>0.79</v>
      </c>
      <c r="M54">
        <v>0.71</v>
      </c>
      <c r="N54">
        <v>0.72</v>
      </c>
      <c r="O54">
        <v>0.79</v>
      </c>
      <c r="P54">
        <v>0.92</v>
      </c>
      <c r="Q54">
        <v>1.2</v>
      </c>
      <c r="R54">
        <v>1.18</v>
      </c>
      <c r="S54">
        <v>0.53</v>
      </c>
      <c r="T54">
        <v>3759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4</v>
      </c>
      <c r="G55">
        <v>22</v>
      </c>
      <c r="H55">
        <v>8</v>
      </c>
      <c r="I55">
        <v>11</v>
      </c>
      <c r="J55">
        <v>1.07</v>
      </c>
      <c r="K55">
        <v>1.04</v>
      </c>
      <c r="L55">
        <v>1.29</v>
      </c>
      <c r="M55">
        <v>1.39</v>
      </c>
      <c r="N55">
        <v>1.24</v>
      </c>
      <c r="O55">
        <v>1.27</v>
      </c>
      <c r="P55">
        <v>1.28</v>
      </c>
      <c r="Q55">
        <v>1.22</v>
      </c>
      <c r="R55">
        <v>1.18</v>
      </c>
      <c r="S55">
        <v>0.52</v>
      </c>
      <c r="T55">
        <v>3733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4</v>
      </c>
      <c r="G56">
        <v>22</v>
      </c>
      <c r="H56">
        <v>8</v>
      </c>
      <c r="I56">
        <v>15</v>
      </c>
      <c r="J56">
        <v>0.77</v>
      </c>
      <c r="K56">
        <v>0.88</v>
      </c>
      <c r="L56">
        <v>1.1100000000000001</v>
      </c>
      <c r="M56">
        <v>1.28</v>
      </c>
      <c r="N56">
        <v>1.29</v>
      </c>
      <c r="O56">
        <v>1.25</v>
      </c>
      <c r="P56">
        <v>1.38</v>
      </c>
      <c r="Q56">
        <v>1.33</v>
      </c>
      <c r="R56">
        <v>1.1299999999999999</v>
      </c>
      <c r="S56">
        <v>0.52</v>
      </c>
      <c r="T56">
        <v>3743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4</v>
      </c>
      <c r="G57">
        <v>22</v>
      </c>
      <c r="H57">
        <v>8</v>
      </c>
      <c r="I57">
        <v>32</v>
      </c>
      <c r="J57">
        <v>1.1200000000000001</v>
      </c>
      <c r="K57">
        <v>1.3</v>
      </c>
      <c r="L57">
        <v>1.51</v>
      </c>
      <c r="M57">
        <v>1.42</v>
      </c>
      <c r="N57">
        <v>1.48</v>
      </c>
      <c r="O57">
        <v>1.42</v>
      </c>
      <c r="P57">
        <v>1.1399999999999999</v>
      </c>
      <c r="Q57">
        <v>1.23</v>
      </c>
      <c r="R57">
        <v>1.23</v>
      </c>
      <c r="S57">
        <v>0.61</v>
      </c>
      <c r="T57">
        <v>3665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4</v>
      </c>
      <c r="G58">
        <v>22</v>
      </c>
      <c r="H58">
        <v>8</v>
      </c>
      <c r="I58">
        <v>20</v>
      </c>
      <c r="J58">
        <v>1.07</v>
      </c>
      <c r="K58">
        <v>1.1299999999999999</v>
      </c>
      <c r="L58">
        <v>1.3</v>
      </c>
      <c r="M58">
        <v>1.3</v>
      </c>
      <c r="N58">
        <v>1.39</v>
      </c>
      <c r="O58">
        <v>1.22</v>
      </c>
      <c r="P58">
        <v>1.1200000000000001</v>
      </c>
      <c r="Q58">
        <v>1.18</v>
      </c>
      <c r="R58">
        <v>1.0900000000000001</v>
      </c>
      <c r="S58">
        <v>0.52</v>
      </c>
      <c r="T58">
        <v>3707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4</v>
      </c>
      <c r="G59">
        <v>22</v>
      </c>
      <c r="H59">
        <v>8</v>
      </c>
      <c r="I59">
        <v>24</v>
      </c>
      <c r="J59">
        <v>1.17</v>
      </c>
      <c r="K59">
        <v>1.17</v>
      </c>
      <c r="L59">
        <v>1.33</v>
      </c>
      <c r="M59">
        <v>1.08</v>
      </c>
      <c r="N59">
        <v>1.1599999999999999</v>
      </c>
      <c r="O59">
        <v>1.17</v>
      </c>
      <c r="P59">
        <v>1.24</v>
      </c>
      <c r="Q59">
        <v>1.1599999999999999</v>
      </c>
      <c r="R59">
        <v>1.1100000000000001</v>
      </c>
      <c r="S59">
        <v>0.61</v>
      </c>
      <c r="T59">
        <v>3720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4</v>
      </c>
      <c r="G60">
        <v>22</v>
      </c>
      <c r="H60">
        <v>8</v>
      </c>
      <c r="I60">
        <v>20</v>
      </c>
      <c r="J60">
        <v>0.94</v>
      </c>
      <c r="K60">
        <v>1.06</v>
      </c>
      <c r="L60">
        <v>1.45</v>
      </c>
      <c r="M60">
        <v>1.37</v>
      </c>
      <c r="N60">
        <v>1.41</v>
      </c>
      <c r="O60">
        <v>1.38</v>
      </c>
      <c r="P60">
        <v>1.42</v>
      </c>
      <c r="Q60">
        <v>1.17</v>
      </c>
      <c r="R60">
        <v>1.1599999999999999</v>
      </c>
      <c r="S60">
        <v>0.66</v>
      </c>
      <c r="T60">
        <v>3738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4</v>
      </c>
      <c r="G61">
        <v>22</v>
      </c>
      <c r="H61">
        <v>8</v>
      </c>
      <c r="I61">
        <v>36</v>
      </c>
      <c r="J61">
        <v>1.34</v>
      </c>
      <c r="K61">
        <v>1.32</v>
      </c>
      <c r="L61">
        <v>1.35</v>
      </c>
      <c r="M61">
        <v>1.36</v>
      </c>
      <c r="N61">
        <v>1.23</v>
      </c>
      <c r="O61">
        <v>1.24</v>
      </c>
      <c r="P61">
        <v>1.1499999999999999</v>
      </c>
      <c r="Q61">
        <v>1.22</v>
      </c>
      <c r="R61">
        <v>1.2</v>
      </c>
      <c r="S61">
        <v>0.6</v>
      </c>
      <c r="T61">
        <v>3677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4</v>
      </c>
      <c r="G62">
        <v>22</v>
      </c>
      <c r="H62">
        <v>8</v>
      </c>
      <c r="I62">
        <v>40</v>
      </c>
      <c r="J62">
        <v>1.28</v>
      </c>
      <c r="K62">
        <v>1.29</v>
      </c>
      <c r="L62">
        <v>1.48</v>
      </c>
      <c r="M62">
        <v>1.53</v>
      </c>
      <c r="N62">
        <v>1.57</v>
      </c>
      <c r="O62">
        <v>1.49</v>
      </c>
      <c r="P62">
        <v>1.32</v>
      </c>
      <c r="Q62">
        <v>1.18</v>
      </c>
      <c r="R62">
        <v>1.2</v>
      </c>
      <c r="S62">
        <v>0.61</v>
      </c>
      <c r="T62">
        <v>3702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4</v>
      </c>
      <c r="G63">
        <v>22</v>
      </c>
      <c r="H63">
        <v>8</v>
      </c>
      <c r="I63">
        <v>45</v>
      </c>
      <c r="J63">
        <v>0</v>
      </c>
      <c r="K63">
        <v>1.36</v>
      </c>
      <c r="L63">
        <v>1.38</v>
      </c>
      <c r="M63">
        <v>1.48</v>
      </c>
      <c r="N63">
        <v>1.33</v>
      </c>
      <c r="O63">
        <v>1.24</v>
      </c>
      <c r="P63">
        <v>1.18</v>
      </c>
      <c r="Q63">
        <v>1</v>
      </c>
      <c r="R63">
        <v>1</v>
      </c>
      <c r="S63">
        <v>0.48</v>
      </c>
      <c r="T63">
        <v>3681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4</v>
      </c>
      <c r="G64">
        <v>22</v>
      </c>
      <c r="H64">
        <v>8</v>
      </c>
      <c r="I64">
        <v>41</v>
      </c>
      <c r="J64">
        <v>0</v>
      </c>
      <c r="K64">
        <v>1.25</v>
      </c>
      <c r="L64">
        <v>1.24</v>
      </c>
      <c r="M64">
        <v>1.4</v>
      </c>
      <c r="N64">
        <v>1.45</v>
      </c>
      <c r="O64">
        <v>1.44</v>
      </c>
      <c r="P64">
        <v>1.4</v>
      </c>
      <c r="Q64">
        <v>1.2</v>
      </c>
      <c r="R64">
        <v>1.1399999999999999</v>
      </c>
      <c r="S64">
        <v>0.65</v>
      </c>
      <c r="T64">
        <v>3667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4</v>
      </c>
      <c r="G65">
        <v>22</v>
      </c>
      <c r="H65">
        <v>9</v>
      </c>
      <c r="I65">
        <v>6</v>
      </c>
      <c r="J65">
        <v>1.0900000000000001</v>
      </c>
      <c r="K65">
        <v>0.93</v>
      </c>
      <c r="L65">
        <v>0.97</v>
      </c>
      <c r="M65">
        <v>1.1499999999999999</v>
      </c>
      <c r="N65">
        <v>1.21</v>
      </c>
      <c r="O65">
        <v>0.97</v>
      </c>
      <c r="P65">
        <v>0.94</v>
      </c>
      <c r="Q65">
        <v>1.1000000000000001</v>
      </c>
      <c r="R65">
        <v>1.1100000000000001</v>
      </c>
      <c r="S65">
        <v>0.61</v>
      </c>
      <c r="T65">
        <v>3685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4</v>
      </c>
      <c r="G66">
        <v>22</v>
      </c>
      <c r="H66">
        <v>9</v>
      </c>
      <c r="I66">
        <v>2</v>
      </c>
      <c r="J66">
        <v>1.21</v>
      </c>
      <c r="K66">
        <v>1.31</v>
      </c>
      <c r="L66">
        <v>1.41</v>
      </c>
      <c r="M66">
        <v>1.1200000000000001</v>
      </c>
      <c r="N66">
        <v>1.27</v>
      </c>
      <c r="O66">
        <v>1.38</v>
      </c>
      <c r="P66">
        <v>1.1399999999999999</v>
      </c>
      <c r="Q66">
        <v>1.19</v>
      </c>
      <c r="R66">
        <v>1.21</v>
      </c>
      <c r="S66">
        <v>0.64</v>
      </c>
      <c r="T66">
        <v>3666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4</v>
      </c>
      <c r="G67">
        <v>22</v>
      </c>
      <c r="H67">
        <v>8</v>
      </c>
      <c r="I67">
        <v>57</v>
      </c>
      <c r="J67">
        <v>1.38</v>
      </c>
      <c r="K67">
        <v>1.3</v>
      </c>
      <c r="L67">
        <v>1.2</v>
      </c>
      <c r="M67">
        <v>1.1399999999999999</v>
      </c>
      <c r="N67">
        <v>1.18</v>
      </c>
      <c r="O67">
        <v>1.19</v>
      </c>
      <c r="P67">
        <v>0.96</v>
      </c>
      <c r="Q67">
        <v>0.96</v>
      </c>
      <c r="R67">
        <v>1.06</v>
      </c>
      <c r="S67">
        <v>0.52</v>
      </c>
      <c r="T67">
        <v>3696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4</v>
      </c>
      <c r="G68">
        <v>22</v>
      </c>
      <c r="H68">
        <v>8</v>
      </c>
      <c r="I68">
        <v>53</v>
      </c>
      <c r="J68">
        <v>1.38</v>
      </c>
      <c r="K68">
        <v>1.33</v>
      </c>
      <c r="L68">
        <v>1.19</v>
      </c>
      <c r="M68">
        <v>1.29</v>
      </c>
      <c r="N68">
        <v>1.36</v>
      </c>
      <c r="O68">
        <v>1.31</v>
      </c>
      <c r="P68">
        <v>1.1399999999999999</v>
      </c>
      <c r="Q68">
        <v>1.02</v>
      </c>
      <c r="R68">
        <v>1.1200000000000001</v>
      </c>
      <c r="S68">
        <v>0.61</v>
      </c>
      <c r="T68">
        <v>3682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15.880949999999999</v>
      </c>
      <c r="K73">
        <f t="shared" ref="K73:R73" si="0">22.275*K45-6.1713</f>
        <v>18.331200000000003</v>
      </c>
      <c r="L73">
        <f t="shared" si="0"/>
        <v>23.2317</v>
      </c>
      <c r="M73">
        <f t="shared" si="0"/>
        <v>25.236449999999998</v>
      </c>
      <c r="N73">
        <f t="shared" si="0"/>
        <v>22.786200000000001</v>
      </c>
      <c r="O73">
        <f t="shared" si="0"/>
        <v>25.236449999999998</v>
      </c>
      <c r="P73">
        <f t="shared" si="0"/>
        <v>25.681949999999997</v>
      </c>
      <c r="Q73">
        <f t="shared" si="0"/>
        <v>23.89995</v>
      </c>
      <c r="R73">
        <f t="shared" si="0"/>
        <v>22.786200000000001</v>
      </c>
      <c r="S73">
        <f>22.275*(S45*1.1)-6.1713</f>
        <v>10.000350000000001</v>
      </c>
    </row>
    <row r="74" spans="1:20" x14ac:dyDescent="0.25">
      <c r="I74" t="s">
        <v>43</v>
      </c>
      <c r="J74">
        <f t="shared" ref="J74:R89" si="1">22.275*J46-6.1713</f>
        <v>19.667699999999996</v>
      </c>
      <c r="K74">
        <f t="shared" si="1"/>
        <v>21.4497</v>
      </c>
      <c r="L74">
        <f t="shared" si="1"/>
        <v>15.658200000000001</v>
      </c>
      <c r="M74">
        <f t="shared" si="1"/>
        <v>15.658200000000001</v>
      </c>
      <c r="N74">
        <f t="shared" si="1"/>
        <v>12.985199999999999</v>
      </c>
      <c r="O74">
        <f t="shared" si="1"/>
        <v>12.985199999999999</v>
      </c>
      <c r="P74">
        <f t="shared" si="1"/>
        <v>16.1037</v>
      </c>
      <c r="Q74">
        <f t="shared" si="1"/>
        <v>21.672450000000001</v>
      </c>
      <c r="R74">
        <f t="shared" si="1"/>
        <v>17.8857</v>
      </c>
      <c r="S74">
        <f t="shared" ref="S74:S91" si="2">22.275*(S46*1.1)-6.1713</f>
        <v>6.0799500000000011</v>
      </c>
    </row>
    <row r="75" spans="1:20" x14ac:dyDescent="0.25">
      <c r="I75" t="s">
        <v>44</v>
      </c>
      <c r="J75">
        <f t="shared" si="1"/>
        <v>18.776700000000002</v>
      </c>
      <c r="K75">
        <f t="shared" si="1"/>
        <v>17.217449999999999</v>
      </c>
      <c r="L75">
        <f t="shared" si="1"/>
        <v>19.222199999999997</v>
      </c>
      <c r="M75">
        <f t="shared" si="1"/>
        <v>21.4497</v>
      </c>
      <c r="N75">
        <f t="shared" si="1"/>
        <v>21.226949999999999</v>
      </c>
      <c r="O75">
        <f t="shared" si="1"/>
        <v>22.340700000000002</v>
      </c>
      <c r="P75">
        <f t="shared" si="1"/>
        <v>22.11795</v>
      </c>
      <c r="Q75">
        <f t="shared" si="1"/>
        <v>21.004199999999997</v>
      </c>
      <c r="R75">
        <f t="shared" si="1"/>
        <v>21.895199999999999</v>
      </c>
      <c r="S75">
        <f t="shared" si="2"/>
        <v>10.980450000000001</v>
      </c>
    </row>
    <row r="76" spans="1:20" x14ac:dyDescent="0.25">
      <c r="I76" t="s">
        <v>45</v>
      </c>
      <c r="J76">
        <f t="shared" si="1"/>
        <v>23.89995</v>
      </c>
      <c r="K76">
        <f t="shared" si="1"/>
        <v>24.790949999999999</v>
      </c>
      <c r="L76">
        <f t="shared" si="1"/>
        <v>25.236449999999998</v>
      </c>
      <c r="M76">
        <f t="shared" si="1"/>
        <v>25.236449999999998</v>
      </c>
      <c r="N76">
        <f t="shared" si="1"/>
        <v>20.78145</v>
      </c>
      <c r="O76">
        <f t="shared" si="1"/>
        <v>22.11795</v>
      </c>
      <c r="P76">
        <f t="shared" si="1"/>
        <v>25.681949999999997</v>
      </c>
      <c r="Q76">
        <f t="shared" si="1"/>
        <v>22.56345</v>
      </c>
      <c r="R76">
        <f t="shared" si="1"/>
        <v>21.226949999999999</v>
      </c>
      <c r="S76">
        <f t="shared" si="2"/>
        <v>7.7951249999999996</v>
      </c>
    </row>
    <row r="77" spans="1:20" x14ac:dyDescent="0.25">
      <c r="I77" t="s">
        <v>46</v>
      </c>
      <c r="J77">
        <f t="shared" si="1"/>
        <v>24.345450000000003</v>
      </c>
      <c r="K77">
        <f t="shared" si="1"/>
        <v>21.226949999999999</v>
      </c>
      <c r="L77">
        <f t="shared" si="1"/>
        <v>23.454450000000001</v>
      </c>
      <c r="M77">
        <f t="shared" si="1"/>
        <v>23.008950000000002</v>
      </c>
      <c r="N77">
        <f t="shared" si="1"/>
        <v>23.89995</v>
      </c>
      <c r="O77">
        <f t="shared" si="1"/>
        <v>23.2317</v>
      </c>
      <c r="P77">
        <f t="shared" si="1"/>
        <v>21.004199999999997</v>
      </c>
      <c r="Q77">
        <f t="shared" si="1"/>
        <v>22.56345</v>
      </c>
      <c r="R77">
        <f t="shared" si="1"/>
        <v>21.004199999999997</v>
      </c>
      <c r="S77">
        <f t="shared" si="2"/>
        <v>9.5103000000000009</v>
      </c>
    </row>
    <row r="78" spans="1:20" x14ac:dyDescent="0.25">
      <c r="I78" t="s">
        <v>47</v>
      </c>
      <c r="J78">
        <f t="shared" si="1"/>
        <v>22.11795</v>
      </c>
      <c r="K78">
        <f t="shared" si="1"/>
        <v>21.4497</v>
      </c>
      <c r="L78">
        <f t="shared" si="1"/>
        <v>20.335949999999997</v>
      </c>
      <c r="M78">
        <f t="shared" si="1"/>
        <v>18.776700000000002</v>
      </c>
      <c r="N78">
        <f t="shared" si="1"/>
        <v>17.662950000000002</v>
      </c>
      <c r="O78">
        <f t="shared" si="1"/>
        <v>14.767199999999999</v>
      </c>
      <c r="P78">
        <f t="shared" si="1"/>
        <v>15.212699999999998</v>
      </c>
      <c r="Q78">
        <f t="shared" si="1"/>
        <v>21.226949999999999</v>
      </c>
      <c r="R78">
        <f t="shared" si="1"/>
        <v>21.004199999999997</v>
      </c>
      <c r="S78">
        <f t="shared" si="2"/>
        <v>6.0799500000000011</v>
      </c>
    </row>
    <row r="79" spans="1:20" x14ac:dyDescent="0.25">
      <c r="I79" t="s">
        <v>48</v>
      </c>
      <c r="J79">
        <f t="shared" si="1"/>
        <v>19.667699999999996</v>
      </c>
      <c r="K79">
        <f t="shared" si="1"/>
        <v>20.78145</v>
      </c>
      <c r="L79">
        <f t="shared" si="1"/>
        <v>24.568199999999997</v>
      </c>
      <c r="M79">
        <f t="shared" si="1"/>
        <v>25.904699999999995</v>
      </c>
      <c r="N79">
        <f t="shared" si="1"/>
        <v>18.331200000000003</v>
      </c>
      <c r="O79">
        <f t="shared" si="1"/>
        <v>12.316949999999999</v>
      </c>
      <c r="P79">
        <f t="shared" si="1"/>
        <v>13.20795</v>
      </c>
      <c r="Q79">
        <f t="shared" si="1"/>
        <v>20.335949999999997</v>
      </c>
      <c r="R79">
        <f t="shared" si="1"/>
        <v>18.999449999999996</v>
      </c>
      <c r="S79">
        <f t="shared" si="2"/>
        <v>9.0202500000000008</v>
      </c>
    </row>
    <row r="80" spans="1:20" x14ac:dyDescent="0.25">
      <c r="I80" t="s">
        <v>49</v>
      </c>
      <c r="J80">
        <f t="shared" si="1"/>
        <v>12.094200000000001</v>
      </c>
      <c r="K80">
        <f t="shared" si="1"/>
        <v>9.866699999999998</v>
      </c>
      <c r="L80">
        <f t="shared" si="1"/>
        <v>9.6439500000000002</v>
      </c>
      <c r="M80">
        <f t="shared" si="1"/>
        <v>10.980450000000001</v>
      </c>
      <c r="N80">
        <f t="shared" si="1"/>
        <v>11.203200000000002</v>
      </c>
      <c r="O80">
        <f t="shared" si="1"/>
        <v>11.203200000000002</v>
      </c>
      <c r="P80">
        <f t="shared" si="1"/>
        <v>12.762450000000001</v>
      </c>
      <c r="Q80">
        <f t="shared" si="1"/>
        <v>16.549199999999999</v>
      </c>
      <c r="R80">
        <f t="shared" si="1"/>
        <v>21.4497</v>
      </c>
      <c r="S80">
        <f t="shared" si="2"/>
        <v>11.225474999999999</v>
      </c>
    </row>
    <row r="81" spans="9:19" x14ac:dyDescent="0.25">
      <c r="I81" t="s">
        <v>50</v>
      </c>
      <c r="J81">
        <f t="shared" si="1"/>
        <v>24.790949999999999</v>
      </c>
      <c r="K81">
        <f t="shared" si="1"/>
        <v>23.677200000000003</v>
      </c>
      <c r="L81">
        <f t="shared" si="1"/>
        <v>24.122700000000002</v>
      </c>
      <c r="M81">
        <f t="shared" si="1"/>
        <v>23.2317</v>
      </c>
      <c r="N81">
        <f t="shared" si="1"/>
        <v>21.672450000000001</v>
      </c>
      <c r="O81">
        <f t="shared" si="1"/>
        <v>15.658200000000001</v>
      </c>
      <c r="P81">
        <f t="shared" si="1"/>
        <v>14.098950000000002</v>
      </c>
      <c r="Q81">
        <f t="shared" si="1"/>
        <v>16.1037</v>
      </c>
      <c r="R81">
        <f t="shared" si="1"/>
        <v>16.326450000000001</v>
      </c>
      <c r="S81">
        <f t="shared" si="2"/>
        <v>6.5700000000000012</v>
      </c>
    </row>
    <row r="82" spans="9:19" x14ac:dyDescent="0.25">
      <c r="I82" t="s">
        <v>51</v>
      </c>
      <c r="J82">
        <f t="shared" si="1"/>
        <v>14.3217</v>
      </c>
      <c r="K82">
        <f t="shared" si="1"/>
        <v>13.430700000000002</v>
      </c>
      <c r="L82">
        <f t="shared" si="1"/>
        <v>11.42595</v>
      </c>
      <c r="M82">
        <f t="shared" si="1"/>
        <v>9.6439500000000002</v>
      </c>
      <c r="N82">
        <f t="shared" si="1"/>
        <v>9.866699999999998</v>
      </c>
      <c r="O82">
        <f t="shared" si="1"/>
        <v>11.42595</v>
      </c>
      <c r="P82">
        <f t="shared" si="1"/>
        <v>14.3217</v>
      </c>
      <c r="Q82">
        <f t="shared" si="1"/>
        <v>20.558699999999998</v>
      </c>
      <c r="R82">
        <f t="shared" si="1"/>
        <v>20.113199999999999</v>
      </c>
      <c r="S82">
        <f t="shared" si="2"/>
        <v>6.8150250000000012</v>
      </c>
    </row>
    <row r="83" spans="9:19" x14ac:dyDescent="0.25">
      <c r="I83" t="s">
        <v>52</v>
      </c>
      <c r="J83">
        <f t="shared" si="1"/>
        <v>17.662950000000002</v>
      </c>
      <c r="K83">
        <f t="shared" si="1"/>
        <v>16.994700000000002</v>
      </c>
      <c r="L83">
        <f t="shared" si="1"/>
        <v>22.56345</v>
      </c>
      <c r="M83">
        <f t="shared" si="1"/>
        <v>24.790949999999999</v>
      </c>
      <c r="N83">
        <f t="shared" si="1"/>
        <v>21.4497</v>
      </c>
      <c r="O83">
        <f t="shared" si="1"/>
        <v>22.11795</v>
      </c>
      <c r="P83">
        <f t="shared" si="1"/>
        <v>22.340700000000002</v>
      </c>
      <c r="Q83">
        <f t="shared" si="1"/>
        <v>21.004199999999997</v>
      </c>
      <c r="R83">
        <f t="shared" si="1"/>
        <v>20.113199999999999</v>
      </c>
      <c r="S83">
        <f t="shared" si="2"/>
        <v>6.5700000000000012</v>
      </c>
    </row>
    <row r="84" spans="9:19" x14ac:dyDescent="0.25">
      <c r="I84" t="s">
        <v>53</v>
      </c>
      <c r="J84">
        <f t="shared" si="1"/>
        <v>10.980450000000001</v>
      </c>
      <c r="K84">
        <f t="shared" si="1"/>
        <v>13.430700000000002</v>
      </c>
      <c r="L84">
        <f t="shared" si="1"/>
        <v>18.55395</v>
      </c>
      <c r="M84">
        <f t="shared" si="1"/>
        <v>22.340700000000002</v>
      </c>
      <c r="N84">
        <f t="shared" si="1"/>
        <v>22.56345</v>
      </c>
      <c r="O84">
        <f t="shared" si="1"/>
        <v>21.672450000000001</v>
      </c>
      <c r="P84">
        <f t="shared" si="1"/>
        <v>24.568199999999997</v>
      </c>
      <c r="Q84">
        <f t="shared" si="1"/>
        <v>23.454450000000001</v>
      </c>
      <c r="R84">
        <f t="shared" si="1"/>
        <v>18.999449999999996</v>
      </c>
      <c r="S84">
        <f t="shared" si="2"/>
        <v>6.5700000000000012</v>
      </c>
    </row>
    <row r="85" spans="9:19" x14ac:dyDescent="0.25">
      <c r="I85" t="s">
        <v>54</v>
      </c>
      <c r="J85">
        <f t="shared" si="1"/>
        <v>18.776700000000002</v>
      </c>
      <c r="K85">
        <f t="shared" si="1"/>
        <v>22.786200000000001</v>
      </c>
      <c r="L85">
        <f t="shared" si="1"/>
        <v>27.463950000000001</v>
      </c>
      <c r="M85">
        <f t="shared" si="1"/>
        <v>25.459199999999999</v>
      </c>
      <c r="N85">
        <f t="shared" si="1"/>
        <v>26.7957</v>
      </c>
      <c r="O85">
        <f t="shared" si="1"/>
        <v>25.459199999999999</v>
      </c>
      <c r="P85">
        <f t="shared" si="1"/>
        <v>19.222199999999997</v>
      </c>
      <c r="Q85">
        <f t="shared" si="1"/>
        <v>21.226949999999999</v>
      </c>
      <c r="R85">
        <f t="shared" si="1"/>
        <v>21.226949999999999</v>
      </c>
      <c r="S85">
        <f t="shared" si="2"/>
        <v>8.7752249999999989</v>
      </c>
    </row>
    <row r="86" spans="9:19" x14ac:dyDescent="0.25">
      <c r="I86" t="s">
        <v>55</v>
      </c>
      <c r="J86">
        <f t="shared" si="1"/>
        <v>17.662950000000002</v>
      </c>
      <c r="K86">
        <f t="shared" si="1"/>
        <v>18.999449999999996</v>
      </c>
      <c r="L86">
        <f t="shared" si="1"/>
        <v>22.786200000000001</v>
      </c>
      <c r="M86">
        <f t="shared" si="1"/>
        <v>22.786200000000001</v>
      </c>
      <c r="N86">
        <f t="shared" si="1"/>
        <v>24.790949999999999</v>
      </c>
      <c r="O86">
        <f t="shared" si="1"/>
        <v>21.004199999999997</v>
      </c>
      <c r="P86">
        <f t="shared" si="1"/>
        <v>18.776700000000002</v>
      </c>
      <c r="Q86">
        <f t="shared" si="1"/>
        <v>20.113199999999999</v>
      </c>
      <c r="R86">
        <f t="shared" si="1"/>
        <v>18.108450000000001</v>
      </c>
      <c r="S86">
        <f t="shared" si="2"/>
        <v>6.5700000000000012</v>
      </c>
    </row>
    <row r="87" spans="9:19" x14ac:dyDescent="0.25">
      <c r="I87" t="s">
        <v>56</v>
      </c>
      <c r="J87">
        <f t="shared" si="1"/>
        <v>19.890449999999998</v>
      </c>
      <c r="K87">
        <f t="shared" si="1"/>
        <v>19.890449999999998</v>
      </c>
      <c r="L87">
        <f t="shared" si="1"/>
        <v>23.454450000000001</v>
      </c>
      <c r="M87">
        <f t="shared" si="1"/>
        <v>17.8857</v>
      </c>
      <c r="N87">
        <f t="shared" si="1"/>
        <v>19.667699999999996</v>
      </c>
      <c r="O87">
        <f t="shared" si="1"/>
        <v>19.890449999999998</v>
      </c>
      <c r="P87">
        <f t="shared" si="1"/>
        <v>21.4497</v>
      </c>
      <c r="Q87">
        <f t="shared" si="1"/>
        <v>19.667699999999996</v>
      </c>
      <c r="R87">
        <f t="shared" si="1"/>
        <v>18.55395</v>
      </c>
      <c r="S87">
        <f t="shared" si="2"/>
        <v>8.7752249999999989</v>
      </c>
    </row>
    <row r="88" spans="9:19" x14ac:dyDescent="0.25">
      <c r="I88" t="s">
        <v>57</v>
      </c>
      <c r="J88">
        <f t="shared" si="1"/>
        <v>14.767199999999999</v>
      </c>
      <c r="K88">
        <f t="shared" si="1"/>
        <v>17.440200000000001</v>
      </c>
      <c r="L88">
        <f t="shared" si="1"/>
        <v>26.12745</v>
      </c>
      <c r="M88">
        <f t="shared" si="1"/>
        <v>24.345450000000003</v>
      </c>
      <c r="N88">
        <f t="shared" si="1"/>
        <v>25.236449999999998</v>
      </c>
      <c r="O88">
        <f t="shared" si="1"/>
        <v>24.568199999999997</v>
      </c>
      <c r="P88">
        <f t="shared" si="1"/>
        <v>25.459199999999999</v>
      </c>
      <c r="Q88">
        <f t="shared" si="1"/>
        <v>19.890449999999998</v>
      </c>
      <c r="R88">
        <f t="shared" si="1"/>
        <v>19.667699999999996</v>
      </c>
      <c r="S88">
        <f t="shared" si="2"/>
        <v>10.000350000000001</v>
      </c>
    </row>
    <row r="89" spans="9:19" x14ac:dyDescent="0.25">
      <c r="I89" t="s">
        <v>58</v>
      </c>
      <c r="J89">
        <f t="shared" si="1"/>
        <v>23.677200000000003</v>
      </c>
      <c r="K89">
        <f t="shared" si="1"/>
        <v>23.2317</v>
      </c>
      <c r="L89">
        <f t="shared" si="1"/>
        <v>23.89995</v>
      </c>
      <c r="M89">
        <f t="shared" si="1"/>
        <v>24.122700000000002</v>
      </c>
      <c r="N89">
        <f t="shared" si="1"/>
        <v>21.226949999999999</v>
      </c>
      <c r="O89">
        <f t="shared" si="1"/>
        <v>21.4497</v>
      </c>
      <c r="P89">
        <f t="shared" si="1"/>
        <v>19.444949999999999</v>
      </c>
      <c r="Q89">
        <f t="shared" si="1"/>
        <v>21.004199999999997</v>
      </c>
      <c r="R89">
        <f t="shared" si="1"/>
        <v>20.558699999999998</v>
      </c>
      <c r="S89">
        <f t="shared" si="2"/>
        <v>8.5302000000000007</v>
      </c>
    </row>
    <row r="90" spans="9:19" x14ac:dyDescent="0.25">
      <c r="I90" t="s">
        <v>59</v>
      </c>
      <c r="J90">
        <f t="shared" ref="J90:R96" si="3">22.275*J62-6.1713</f>
        <v>22.340700000000002</v>
      </c>
      <c r="K90">
        <f t="shared" si="3"/>
        <v>22.56345</v>
      </c>
      <c r="L90">
        <f t="shared" si="3"/>
        <v>26.7957</v>
      </c>
      <c r="M90">
        <f t="shared" si="3"/>
        <v>27.909450000000003</v>
      </c>
      <c r="N90">
        <f t="shared" si="3"/>
        <v>28.800450000000001</v>
      </c>
      <c r="O90">
        <f t="shared" si="3"/>
        <v>27.018449999999998</v>
      </c>
      <c r="P90">
        <f t="shared" si="3"/>
        <v>23.2317</v>
      </c>
      <c r="Q90">
        <f t="shared" si="3"/>
        <v>20.113199999999999</v>
      </c>
      <c r="R90">
        <f t="shared" si="3"/>
        <v>20.558699999999998</v>
      </c>
      <c r="S90">
        <f t="shared" si="2"/>
        <v>8.7752249999999989</v>
      </c>
    </row>
    <row r="91" spans="9:19" x14ac:dyDescent="0.25">
      <c r="I91" t="s">
        <v>60</v>
      </c>
      <c r="J91">
        <f t="shared" si="3"/>
        <v>-6.1712999999999996</v>
      </c>
      <c r="K91">
        <f t="shared" si="3"/>
        <v>24.122700000000002</v>
      </c>
      <c r="L91">
        <f t="shared" si="3"/>
        <v>24.568199999999997</v>
      </c>
      <c r="M91">
        <f t="shared" si="3"/>
        <v>26.7957</v>
      </c>
      <c r="N91">
        <f t="shared" si="3"/>
        <v>23.454450000000001</v>
      </c>
      <c r="O91">
        <f t="shared" si="3"/>
        <v>21.4497</v>
      </c>
      <c r="P91">
        <f t="shared" si="3"/>
        <v>20.113199999999999</v>
      </c>
      <c r="Q91">
        <f t="shared" si="3"/>
        <v>16.1037</v>
      </c>
      <c r="R91">
        <f t="shared" si="3"/>
        <v>16.1037</v>
      </c>
      <c r="S91">
        <f t="shared" si="2"/>
        <v>5.589900000000001</v>
      </c>
    </row>
    <row r="92" spans="9:19" x14ac:dyDescent="0.25">
      <c r="I92" t="s">
        <v>61</v>
      </c>
      <c r="J92">
        <f t="shared" si="3"/>
        <v>-6.1712999999999996</v>
      </c>
      <c r="K92">
        <f t="shared" si="3"/>
        <v>21.672450000000001</v>
      </c>
      <c r="L92">
        <f t="shared" si="3"/>
        <v>21.4497</v>
      </c>
      <c r="M92">
        <f t="shared" si="3"/>
        <v>25.013699999999996</v>
      </c>
      <c r="N92">
        <f t="shared" si="3"/>
        <v>26.12745</v>
      </c>
      <c r="O92">
        <f t="shared" si="3"/>
        <v>25.904699999999995</v>
      </c>
      <c r="P92">
        <f t="shared" si="3"/>
        <v>25.013699999999996</v>
      </c>
      <c r="Q92">
        <f t="shared" si="3"/>
        <v>20.558699999999998</v>
      </c>
      <c r="R92">
        <f t="shared" si="3"/>
        <v>19.222199999999997</v>
      </c>
      <c r="S92">
        <f>22.275*(S64*1.1)-6.1713</f>
        <v>9.7553250000000027</v>
      </c>
    </row>
    <row r="93" spans="9:19" x14ac:dyDescent="0.25">
      <c r="I93" t="s">
        <v>62</v>
      </c>
      <c r="J93">
        <f t="shared" si="3"/>
        <v>18.108450000000001</v>
      </c>
      <c r="K93">
        <f t="shared" si="3"/>
        <v>14.544450000000001</v>
      </c>
      <c r="L93">
        <f t="shared" si="3"/>
        <v>15.435449999999999</v>
      </c>
      <c r="M93">
        <f t="shared" si="3"/>
        <v>19.444949999999999</v>
      </c>
      <c r="N93">
        <f t="shared" si="3"/>
        <v>20.78145</v>
      </c>
      <c r="O93">
        <f t="shared" si="3"/>
        <v>15.435449999999999</v>
      </c>
      <c r="P93">
        <f t="shared" si="3"/>
        <v>14.767199999999999</v>
      </c>
      <c r="Q93">
        <f t="shared" si="3"/>
        <v>18.331200000000003</v>
      </c>
      <c r="R93">
        <f t="shared" si="3"/>
        <v>18.55395</v>
      </c>
      <c r="S93">
        <f t="shared" ref="S93:S95" si="4">22.275*(S65*1.1)-6.1713</f>
        <v>8.7752249999999989</v>
      </c>
    </row>
    <row r="94" spans="9:19" x14ac:dyDescent="0.25">
      <c r="I94" t="s">
        <v>63</v>
      </c>
      <c r="J94">
        <f t="shared" si="3"/>
        <v>20.78145</v>
      </c>
      <c r="K94">
        <f t="shared" si="3"/>
        <v>23.008950000000002</v>
      </c>
      <c r="L94">
        <f t="shared" si="3"/>
        <v>25.236449999999998</v>
      </c>
      <c r="M94">
        <f t="shared" si="3"/>
        <v>18.776700000000002</v>
      </c>
      <c r="N94">
        <f t="shared" si="3"/>
        <v>22.11795</v>
      </c>
      <c r="O94">
        <f t="shared" si="3"/>
        <v>24.568199999999997</v>
      </c>
      <c r="P94">
        <f t="shared" si="3"/>
        <v>19.222199999999997</v>
      </c>
      <c r="Q94">
        <f t="shared" si="3"/>
        <v>20.335949999999997</v>
      </c>
      <c r="R94">
        <f t="shared" si="3"/>
        <v>20.78145</v>
      </c>
      <c r="S94">
        <f t="shared" si="4"/>
        <v>9.5103000000000009</v>
      </c>
    </row>
    <row r="95" spans="9:19" x14ac:dyDescent="0.25">
      <c r="I95" t="s">
        <v>64</v>
      </c>
      <c r="J95">
        <f t="shared" si="3"/>
        <v>24.568199999999997</v>
      </c>
      <c r="K95">
        <f t="shared" si="3"/>
        <v>22.786200000000001</v>
      </c>
      <c r="L95">
        <f t="shared" si="3"/>
        <v>20.558699999999998</v>
      </c>
      <c r="M95">
        <f t="shared" si="3"/>
        <v>19.222199999999997</v>
      </c>
      <c r="N95">
        <f t="shared" si="3"/>
        <v>20.113199999999999</v>
      </c>
      <c r="O95">
        <f t="shared" si="3"/>
        <v>20.335949999999997</v>
      </c>
      <c r="P95">
        <f t="shared" si="3"/>
        <v>15.212699999999998</v>
      </c>
      <c r="Q95">
        <f t="shared" si="3"/>
        <v>15.212699999999998</v>
      </c>
      <c r="R95">
        <f t="shared" si="3"/>
        <v>17.440200000000001</v>
      </c>
      <c r="S95">
        <f t="shared" si="4"/>
        <v>6.5700000000000012</v>
      </c>
    </row>
    <row r="96" spans="9:19" x14ac:dyDescent="0.25">
      <c r="I96" t="s">
        <v>65</v>
      </c>
      <c r="J96">
        <f>22.275*J68-6.1713</f>
        <v>24.568199999999997</v>
      </c>
      <c r="K96">
        <f t="shared" si="3"/>
        <v>23.454450000000001</v>
      </c>
      <c r="L96">
        <f t="shared" si="3"/>
        <v>20.335949999999997</v>
      </c>
      <c r="M96">
        <f t="shared" si="3"/>
        <v>22.56345</v>
      </c>
      <c r="N96">
        <f t="shared" si="3"/>
        <v>24.122700000000002</v>
      </c>
      <c r="O96">
        <f t="shared" si="3"/>
        <v>23.008950000000002</v>
      </c>
      <c r="P96">
        <f t="shared" si="3"/>
        <v>19.222199999999997</v>
      </c>
      <c r="Q96">
        <f t="shared" si="3"/>
        <v>16.549199999999999</v>
      </c>
      <c r="R96">
        <f t="shared" si="3"/>
        <v>18.776700000000002</v>
      </c>
      <c r="S96">
        <f>22.275*(S68*1.1)-6.1713</f>
        <v>8.7752249999999989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0.15880949999999999</v>
      </c>
      <c r="K101" s="4">
        <f t="shared" si="5"/>
        <v>0.18331200000000003</v>
      </c>
      <c r="L101" s="4">
        <f t="shared" si="5"/>
        <v>0.232317</v>
      </c>
      <c r="M101" s="4">
        <f t="shared" si="5"/>
        <v>0.25236449999999999</v>
      </c>
      <c r="N101" s="4">
        <f t="shared" si="5"/>
        <v>0.22786200000000001</v>
      </c>
      <c r="O101" s="4">
        <f t="shared" si="5"/>
        <v>0.25236449999999999</v>
      </c>
      <c r="P101" s="4">
        <f t="shared" si="5"/>
        <v>0.25681949999999998</v>
      </c>
      <c r="Q101" s="4">
        <f t="shared" si="5"/>
        <v>0.2389995</v>
      </c>
      <c r="R101" s="4">
        <f t="shared" si="5"/>
        <v>0.22786200000000001</v>
      </c>
      <c r="S101" s="4">
        <f t="shared" si="5"/>
        <v>0.10000350000000001</v>
      </c>
    </row>
    <row r="102" spans="9:19" x14ac:dyDescent="0.25">
      <c r="I102">
        <v>12</v>
      </c>
      <c r="J102" s="4">
        <f t="shared" ref="J102:S102" si="6">IF(J74&lt;0,"",J74/100)</f>
        <v>0.19667699999999996</v>
      </c>
      <c r="K102" s="4">
        <f t="shared" si="6"/>
        <v>0.21449699999999999</v>
      </c>
      <c r="L102" s="4">
        <f t="shared" si="6"/>
        <v>0.156582</v>
      </c>
      <c r="M102" s="4">
        <f t="shared" si="6"/>
        <v>0.156582</v>
      </c>
      <c r="N102" s="4">
        <f t="shared" si="6"/>
        <v>0.129852</v>
      </c>
      <c r="O102" s="4">
        <f t="shared" si="6"/>
        <v>0.129852</v>
      </c>
      <c r="P102" s="4">
        <f t="shared" si="6"/>
        <v>0.16103699999999999</v>
      </c>
      <c r="Q102" s="4">
        <f t="shared" si="6"/>
        <v>0.21672450000000001</v>
      </c>
      <c r="R102" s="4">
        <f t="shared" si="6"/>
        <v>0.17885699999999999</v>
      </c>
      <c r="S102" s="4">
        <f t="shared" si="6"/>
        <v>6.0799500000000013E-2</v>
      </c>
    </row>
    <row r="103" spans="9:19" x14ac:dyDescent="0.25">
      <c r="I103">
        <v>13</v>
      </c>
      <c r="J103" s="4">
        <f t="shared" ref="J103:S103" si="7">IF(J75&lt;0,"",J75/100)</f>
        <v>0.18776700000000002</v>
      </c>
      <c r="K103" s="4">
        <f t="shared" si="7"/>
        <v>0.17217450000000001</v>
      </c>
      <c r="L103" s="4">
        <f t="shared" si="7"/>
        <v>0.19222199999999998</v>
      </c>
      <c r="M103" s="4">
        <f t="shared" si="7"/>
        <v>0.21449699999999999</v>
      </c>
      <c r="N103" s="4">
        <f t="shared" si="7"/>
        <v>0.2122695</v>
      </c>
      <c r="O103" s="4">
        <f t="shared" si="7"/>
        <v>0.22340700000000002</v>
      </c>
      <c r="P103" s="4">
        <f t="shared" si="7"/>
        <v>0.2211795</v>
      </c>
      <c r="Q103" s="4">
        <f t="shared" si="7"/>
        <v>0.21004199999999998</v>
      </c>
      <c r="R103" s="4">
        <f t="shared" si="7"/>
        <v>0.21895199999999998</v>
      </c>
      <c r="S103" s="4">
        <f t="shared" si="7"/>
        <v>0.10980450000000001</v>
      </c>
    </row>
    <row r="104" spans="9:19" x14ac:dyDescent="0.25">
      <c r="I104">
        <v>14</v>
      </c>
      <c r="J104" s="4">
        <f t="shared" ref="J104:S104" si="8">IF(J76&lt;0,"",J76/100)</f>
        <v>0.2389995</v>
      </c>
      <c r="K104" s="4">
        <f t="shared" si="8"/>
        <v>0.24790949999999998</v>
      </c>
      <c r="L104" s="4">
        <f t="shared" si="8"/>
        <v>0.25236449999999999</v>
      </c>
      <c r="M104" s="4">
        <f t="shared" si="8"/>
        <v>0.25236449999999999</v>
      </c>
      <c r="N104" s="4">
        <f t="shared" si="8"/>
        <v>0.20781449999999999</v>
      </c>
      <c r="O104" s="4">
        <f t="shared" si="8"/>
        <v>0.2211795</v>
      </c>
      <c r="P104" s="4">
        <f t="shared" si="8"/>
        <v>0.25681949999999998</v>
      </c>
      <c r="Q104" s="4">
        <f t="shared" si="8"/>
        <v>0.22563449999999999</v>
      </c>
      <c r="R104" s="4">
        <f t="shared" si="8"/>
        <v>0.2122695</v>
      </c>
      <c r="S104" s="4">
        <f t="shared" si="8"/>
        <v>7.795125E-2</v>
      </c>
    </row>
    <row r="105" spans="9:19" x14ac:dyDescent="0.25">
      <c r="I105">
        <v>21</v>
      </c>
      <c r="J105" s="4">
        <f t="shared" ref="J105:S105" si="9">IF(J77&lt;0,"",J77/100)</f>
        <v>0.24345450000000002</v>
      </c>
      <c r="K105" s="4">
        <f t="shared" si="9"/>
        <v>0.2122695</v>
      </c>
      <c r="L105" s="4">
        <f t="shared" si="9"/>
        <v>0.23454450000000002</v>
      </c>
      <c r="M105" s="4">
        <f t="shared" si="9"/>
        <v>0.23008950000000003</v>
      </c>
      <c r="N105" s="4">
        <f t="shared" si="9"/>
        <v>0.2389995</v>
      </c>
      <c r="O105" s="4">
        <f t="shared" si="9"/>
        <v>0.232317</v>
      </c>
      <c r="P105" s="4">
        <f t="shared" si="9"/>
        <v>0.21004199999999998</v>
      </c>
      <c r="Q105" s="4">
        <f t="shared" si="9"/>
        <v>0.22563449999999999</v>
      </c>
      <c r="R105" s="4">
        <f t="shared" si="9"/>
        <v>0.21004199999999998</v>
      </c>
      <c r="S105" s="4">
        <f t="shared" si="9"/>
        <v>9.5103000000000007E-2</v>
      </c>
    </row>
    <row r="106" spans="9:19" x14ac:dyDescent="0.25">
      <c r="I106">
        <v>22</v>
      </c>
      <c r="J106" s="4">
        <f t="shared" ref="J106:S106" si="10">IF(J78&lt;0,"",J78/100)</f>
        <v>0.2211795</v>
      </c>
      <c r="K106" s="4">
        <f t="shared" si="10"/>
        <v>0.21449699999999999</v>
      </c>
      <c r="L106" s="4">
        <f t="shared" si="10"/>
        <v>0.20335949999999997</v>
      </c>
      <c r="M106" s="4">
        <f t="shared" si="10"/>
        <v>0.18776700000000002</v>
      </c>
      <c r="N106" s="4">
        <f t="shared" si="10"/>
        <v>0.17662950000000002</v>
      </c>
      <c r="O106" s="4">
        <f t="shared" si="10"/>
        <v>0.147672</v>
      </c>
      <c r="P106" s="4">
        <f t="shared" si="10"/>
        <v>0.15212699999999998</v>
      </c>
      <c r="Q106" s="4">
        <f t="shared" si="10"/>
        <v>0.2122695</v>
      </c>
      <c r="R106" s="4">
        <f t="shared" si="10"/>
        <v>0.21004199999999998</v>
      </c>
      <c r="S106" s="4">
        <f t="shared" si="10"/>
        <v>6.0799500000000013E-2</v>
      </c>
    </row>
    <row r="107" spans="9:19" x14ac:dyDescent="0.25">
      <c r="I107">
        <v>23</v>
      </c>
      <c r="J107" s="4">
        <f t="shared" ref="J107:S107" si="11">IF(J79&lt;0,"",J79/100)</f>
        <v>0.19667699999999996</v>
      </c>
      <c r="K107" s="4">
        <f t="shared" si="11"/>
        <v>0.20781449999999999</v>
      </c>
      <c r="L107" s="4">
        <f t="shared" si="11"/>
        <v>0.24568199999999998</v>
      </c>
      <c r="M107" s="4">
        <f t="shared" si="11"/>
        <v>0.25904699999999997</v>
      </c>
      <c r="N107" s="4">
        <f t="shared" si="11"/>
        <v>0.18331200000000003</v>
      </c>
      <c r="O107" s="4">
        <f t="shared" si="11"/>
        <v>0.12316949999999999</v>
      </c>
      <c r="P107" s="4">
        <f t="shared" si="11"/>
        <v>0.13207950000000002</v>
      </c>
      <c r="Q107" s="4">
        <f t="shared" si="11"/>
        <v>0.20335949999999997</v>
      </c>
      <c r="R107" s="4">
        <f t="shared" si="11"/>
        <v>0.18999449999999996</v>
      </c>
      <c r="S107" s="4">
        <f t="shared" si="11"/>
        <v>9.0202500000000005E-2</v>
      </c>
    </row>
    <row r="108" spans="9:19" x14ac:dyDescent="0.25">
      <c r="I108">
        <v>24</v>
      </c>
      <c r="J108" s="4">
        <f t="shared" ref="J108:S108" si="12">IF(J80&lt;0,"",J80/100)</f>
        <v>0.12094200000000001</v>
      </c>
      <c r="K108" s="4">
        <f t="shared" si="12"/>
        <v>9.8666999999999977E-2</v>
      </c>
      <c r="L108" s="4">
        <f t="shared" si="12"/>
        <v>9.6439499999999997E-2</v>
      </c>
      <c r="M108" s="4">
        <f t="shared" si="12"/>
        <v>0.10980450000000001</v>
      </c>
      <c r="N108" s="4">
        <f t="shared" si="12"/>
        <v>0.11203200000000002</v>
      </c>
      <c r="O108" s="4">
        <f t="shared" si="12"/>
        <v>0.11203200000000002</v>
      </c>
      <c r="P108" s="4">
        <f t="shared" si="12"/>
        <v>0.1276245</v>
      </c>
      <c r="Q108" s="4">
        <f t="shared" si="12"/>
        <v>0.165492</v>
      </c>
      <c r="R108" s="4">
        <f t="shared" si="12"/>
        <v>0.21449699999999999</v>
      </c>
      <c r="S108" s="4">
        <f t="shared" si="12"/>
        <v>0.11225475</v>
      </c>
    </row>
    <row r="109" spans="9:19" x14ac:dyDescent="0.25">
      <c r="I109">
        <v>31</v>
      </c>
      <c r="J109" s="4">
        <f t="shared" ref="J109:S109" si="13">IF(J81&lt;0,"",J81/100)</f>
        <v>0.24790949999999998</v>
      </c>
      <c r="K109" s="4">
        <f t="shared" si="13"/>
        <v>0.23677200000000004</v>
      </c>
      <c r="L109" s="4">
        <f t="shared" si="13"/>
        <v>0.24122700000000002</v>
      </c>
      <c r="M109" s="4">
        <f t="shared" si="13"/>
        <v>0.232317</v>
      </c>
      <c r="N109" s="4">
        <f t="shared" si="13"/>
        <v>0.21672450000000001</v>
      </c>
      <c r="O109" s="4">
        <f t="shared" si="13"/>
        <v>0.156582</v>
      </c>
      <c r="P109" s="4">
        <f t="shared" si="13"/>
        <v>0.14098950000000002</v>
      </c>
      <c r="Q109" s="4">
        <f t="shared" si="13"/>
        <v>0.16103699999999999</v>
      </c>
      <c r="R109" s="4">
        <f t="shared" si="13"/>
        <v>0.16326450000000001</v>
      </c>
      <c r="S109" s="4">
        <f t="shared" si="13"/>
        <v>6.5700000000000008E-2</v>
      </c>
    </row>
    <row r="110" spans="9:19" x14ac:dyDescent="0.25">
      <c r="I110">
        <v>32</v>
      </c>
      <c r="J110" s="4">
        <f t="shared" ref="J110:S110" si="14">IF(J82&lt;0,"",J82/100)</f>
        <v>0.14321700000000001</v>
      </c>
      <c r="K110" s="4">
        <f t="shared" si="14"/>
        <v>0.13430700000000001</v>
      </c>
      <c r="L110" s="4">
        <f t="shared" si="14"/>
        <v>0.1142595</v>
      </c>
      <c r="M110" s="4">
        <f t="shared" si="14"/>
        <v>9.6439499999999997E-2</v>
      </c>
      <c r="N110" s="4">
        <f t="shared" si="14"/>
        <v>9.8666999999999977E-2</v>
      </c>
      <c r="O110" s="4">
        <f t="shared" si="14"/>
        <v>0.1142595</v>
      </c>
      <c r="P110" s="4">
        <f t="shared" si="14"/>
        <v>0.14321700000000001</v>
      </c>
      <c r="Q110" s="4">
        <f t="shared" si="14"/>
        <v>0.20558699999999999</v>
      </c>
      <c r="R110" s="4">
        <f t="shared" si="14"/>
        <v>0.20113199999999998</v>
      </c>
      <c r="S110" s="4">
        <f t="shared" si="14"/>
        <v>6.8150250000000009E-2</v>
      </c>
    </row>
    <row r="111" spans="9:19" x14ac:dyDescent="0.25">
      <c r="I111">
        <v>33</v>
      </c>
      <c r="J111" s="4">
        <f t="shared" ref="J111:S111" si="15">IF(J83&lt;0,"",J83/100)</f>
        <v>0.17662950000000002</v>
      </c>
      <c r="K111" s="4">
        <f t="shared" si="15"/>
        <v>0.16994700000000001</v>
      </c>
      <c r="L111" s="4">
        <f t="shared" si="15"/>
        <v>0.22563449999999999</v>
      </c>
      <c r="M111" s="4">
        <f t="shared" si="15"/>
        <v>0.24790949999999998</v>
      </c>
      <c r="N111" s="4">
        <f t="shared" si="15"/>
        <v>0.21449699999999999</v>
      </c>
      <c r="O111" s="4">
        <f t="shared" si="15"/>
        <v>0.2211795</v>
      </c>
      <c r="P111" s="4">
        <f t="shared" si="15"/>
        <v>0.22340700000000002</v>
      </c>
      <c r="Q111" s="4">
        <f t="shared" si="15"/>
        <v>0.21004199999999998</v>
      </c>
      <c r="R111" s="4">
        <f t="shared" si="15"/>
        <v>0.20113199999999998</v>
      </c>
      <c r="S111" s="4">
        <f t="shared" si="15"/>
        <v>6.5700000000000008E-2</v>
      </c>
    </row>
    <row r="112" spans="9:19" x14ac:dyDescent="0.25">
      <c r="I112">
        <v>34</v>
      </c>
      <c r="J112" s="4">
        <f t="shared" ref="J112:S112" si="16">IF(J84&lt;0,"",J84/100)</f>
        <v>0.10980450000000001</v>
      </c>
      <c r="K112" s="4">
        <f t="shared" si="16"/>
        <v>0.13430700000000001</v>
      </c>
      <c r="L112" s="4">
        <f t="shared" si="16"/>
        <v>0.1855395</v>
      </c>
      <c r="M112" s="4">
        <f t="shared" si="16"/>
        <v>0.22340700000000002</v>
      </c>
      <c r="N112" s="4">
        <f t="shared" si="16"/>
        <v>0.22563449999999999</v>
      </c>
      <c r="O112" s="4">
        <f t="shared" si="16"/>
        <v>0.21672450000000001</v>
      </c>
      <c r="P112" s="4">
        <f t="shared" si="16"/>
        <v>0.24568199999999998</v>
      </c>
      <c r="Q112" s="4">
        <f t="shared" si="16"/>
        <v>0.23454450000000002</v>
      </c>
      <c r="R112" s="4">
        <f t="shared" si="16"/>
        <v>0.18999449999999996</v>
      </c>
      <c r="S112" s="4">
        <f t="shared" si="16"/>
        <v>6.5700000000000008E-2</v>
      </c>
    </row>
    <row r="113" spans="9:19" x14ac:dyDescent="0.25">
      <c r="I113">
        <v>41</v>
      </c>
      <c r="J113" s="4">
        <f t="shared" ref="J113:S113" si="17">IF(J85&lt;0,"",J85/100)</f>
        <v>0.18776700000000002</v>
      </c>
      <c r="K113" s="4">
        <f t="shared" si="17"/>
        <v>0.22786200000000001</v>
      </c>
      <c r="L113" s="4">
        <f t="shared" si="17"/>
        <v>0.27463949999999998</v>
      </c>
      <c r="M113" s="4">
        <f t="shared" si="17"/>
        <v>0.25459199999999998</v>
      </c>
      <c r="N113" s="4">
        <f t="shared" si="17"/>
        <v>0.267957</v>
      </c>
      <c r="O113" s="4">
        <f t="shared" si="17"/>
        <v>0.25459199999999998</v>
      </c>
      <c r="P113" s="4">
        <f t="shared" si="17"/>
        <v>0.19222199999999998</v>
      </c>
      <c r="Q113" s="4">
        <f t="shared" si="17"/>
        <v>0.2122695</v>
      </c>
      <c r="R113" s="4">
        <f t="shared" si="17"/>
        <v>0.2122695</v>
      </c>
      <c r="S113" s="4">
        <f t="shared" si="17"/>
        <v>8.775224999999999E-2</v>
      </c>
    </row>
    <row r="114" spans="9:19" x14ac:dyDescent="0.25">
      <c r="I114">
        <v>42</v>
      </c>
      <c r="J114" s="4">
        <f t="shared" ref="J114:S114" si="18">IF(J86&lt;0,"",J86/100)</f>
        <v>0.17662950000000002</v>
      </c>
      <c r="K114" s="4">
        <f t="shared" si="18"/>
        <v>0.18999449999999996</v>
      </c>
      <c r="L114" s="4">
        <f t="shared" si="18"/>
        <v>0.22786200000000001</v>
      </c>
      <c r="M114" s="4">
        <f t="shared" si="18"/>
        <v>0.22786200000000001</v>
      </c>
      <c r="N114" s="4">
        <f t="shared" si="18"/>
        <v>0.24790949999999998</v>
      </c>
      <c r="O114" s="4">
        <f t="shared" si="18"/>
        <v>0.21004199999999998</v>
      </c>
      <c r="P114" s="4">
        <f t="shared" si="18"/>
        <v>0.18776700000000002</v>
      </c>
      <c r="Q114" s="4">
        <f t="shared" si="18"/>
        <v>0.20113199999999998</v>
      </c>
      <c r="R114" s="4">
        <f t="shared" si="18"/>
        <v>0.18108450000000001</v>
      </c>
      <c r="S114" s="4">
        <f t="shared" si="18"/>
        <v>6.5700000000000008E-2</v>
      </c>
    </row>
    <row r="115" spans="9:19" x14ac:dyDescent="0.25">
      <c r="I115">
        <v>43</v>
      </c>
      <c r="J115" s="4">
        <f t="shared" ref="J115:S115" si="19">IF(J87&lt;0,"",J87/100)</f>
        <v>0.19890449999999998</v>
      </c>
      <c r="K115" s="4">
        <f t="shared" si="19"/>
        <v>0.19890449999999998</v>
      </c>
      <c r="L115" s="4">
        <f t="shared" si="19"/>
        <v>0.23454450000000002</v>
      </c>
      <c r="M115" s="4">
        <f t="shared" si="19"/>
        <v>0.17885699999999999</v>
      </c>
      <c r="N115" s="4">
        <f t="shared" si="19"/>
        <v>0.19667699999999996</v>
      </c>
      <c r="O115" s="4">
        <f t="shared" si="19"/>
        <v>0.19890449999999998</v>
      </c>
      <c r="P115" s="4">
        <f t="shared" si="19"/>
        <v>0.21449699999999999</v>
      </c>
      <c r="Q115" s="4">
        <f t="shared" si="19"/>
        <v>0.19667699999999996</v>
      </c>
      <c r="R115" s="4">
        <f t="shared" si="19"/>
        <v>0.1855395</v>
      </c>
      <c r="S115" s="4">
        <f t="shared" si="19"/>
        <v>8.775224999999999E-2</v>
      </c>
    </row>
    <row r="116" spans="9:19" x14ac:dyDescent="0.25">
      <c r="I116">
        <v>44</v>
      </c>
      <c r="J116" s="4">
        <f t="shared" ref="J116:S116" si="20">IF(J88&lt;0,"",J88/100)</f>
        <v>0.147672</v>
      </c>
      <c r="K116" s="4">
        <f t="shared" si="20"/>
        <v>0.174402</v>
      </c>
      <c r="L116" s="4">
        <f t="shared" si="20"/>
        <v>0.26127450000000002</v>
      </c>
      <c r="M116" s="4">
        <f t="shared" si="20"/>
        <v>0.24345450000000002</v>
      </c>
      <c r="N116" s="4">
        <f t="shared" si="20"/>
        <v>0.25236449999999999</v>
      </c>
      <c r="O116" s="4">
        <f t="shared" si="20"/>
        <v>0.24568199999999998</v>
      </c>
      <c r="P116" s="4">
        <f t="shared" si="20"/>
        <v>0.25459199999999998</v>
      </c>
      <c r="Q116" s="4">
        <f t="shared" si="20"/>
        <v>0.19890449999999998</v>
      </c>
      <c r="R116" s="4">
        <f t="shared" si="20"/>
        <v>0.19667699999999996</v>
      </c>
      <c r="S116" s="4">
        <f t="shared" si="20"/>
        <v>0.10000350000000001</v>
      </c>
    </row>
    <row r="117" spans="9:19" x14ac:dyDescent="0.25">
      <c r="I117">
        <v>51</v>
      </c>
      <c r="J117" s="4">
        <f t="shared" ref="J117:S117" si="21">IF(J89&lt;0,"",J89/100)</f>
        <v>0.23677200000000004</v>
      </c>
      <c r="K117" s="4">
        <f t="shared" si="21"/>
        <v>0.232317</v>
      </c>
      <c r="L117" s="4">
        <f t="shared" si="21"/>
        <v>0.2389995</v>
      </c>
      <c r="M117" s="4">
        <f t="shared" si="21"/>
        <v>0.24122700000000002</v>
      </c>
      <c r="N117" s="4">
        <f t="shared" si="21"/>
        <v>0.2122695</v>
      </c>
      <c r="O117" s="4">
        <f t="shared" si="21"/>
        <v>0.21449699999999999</v>
      </c>
      <c r="P117" s="4">
        <f t="shared" si="21"/>
        <v>0.1944495</v>
      </c>
      <c r="Q117" s="4">
        <f t="shared" si="21"/>
        <v>0.21004199999999998</v>
      </c>
      <c r="R117" s="4">
        <f t="shared" si="21"/>
        <v>0.20558699999999999</v>
      </c>
      <c r="S117" s="4">
        <f t="shared" si="21"/>
        <v>8.5302000000000003E-2</v>
      </c>
    </row>
    <row r="118" spans="9:19" x14ac:dyDescent="0.25">
      <c r="I118">
        <v>52</v>
      </c>
      <c r="J118" s="4">
        <f t="shared" ref="J118:S118" si="22">IF(J90&lt;0,"",J90/100)</f>
        <v>0.22340700000000002</v>
      </c>
      <c r="K118" s="4">
        <f t="shared" si="22"/>
        <v>0.22563449999999999</v>
      </c>
      <c r="L118" s="4">
        <f t="shared" si="22"/>
        <v>0.267957</v>
      </c>
      <c r="M118" s="4">
        <f t="shared" si="22"/>
        <v>0.27909450000000002</v>
      </c>
      <c r="N118" s="4">
        <f t="shared" si="22"/>
        <v>0.2880045</v>
      </c>
      <c r="O118" s="4">
        <f t="shared" si="22"/>
        <v>0.27018449999999999</v>
      </c>
      <c r="P118" s="4">
        <f t="shared" si="22"/>
        <v>0.232317</v>
      </c>
      <c r="Q118" s="4">
        <f t="shared" si="22"/>
        <v>0.20113199999999998</v>
      </c>
      <c r="R118" s="4">
        <f t="shared" si="22"/>
        <v>0.20558699999999999</v>
      </c>
      <c r="S118" s="4">
        <f t="shared" si="22"/>
        <v>8.775224999999999E-2</v>
      </c>
    </row>
    <row r="119" spans="9:19" x14ac:dyDescent="0.25">
      <c r="I119">
        <v>53</v>
      </c>
      <c r="J119" s="4" t="str">
        <f t="shared" ref="J119:S119" si="23">IF(J91&lt;0,"",J91/100)</f>
        <v/>
      </c>
      <c r="K119" s="4">
        <f t="shared" si="23"/>
        <v>0.24122700000000002</v>
      </c>
      <c r="L119" s="4">
        <f t="shared" si="23"/>
        <v>0.24568199999999998</v>
      </c>
      <c r="M119" s="4">
        <f t="shared" si="23"/>
        <v>0.267957</v>
      </c>
      <c r="N119" s="4">
        <f t="shared" si="23"/>
        <v>0.23454450000000002</v>
      </c>
      <c r="O119" s="4">
        <f t="shared" si="23"/>
        <v>0.21449699999999999</v>
      </c>
      <c r="P119" s="4">
        <f t="shared" si="23"/>
        <v>0.20113199999999998</v>
      </c>
      <c r="Q119" s="4">
        <f t="shared" si="23"/>
        <v>0.16103699999999999</v>
      </c>
      <c r="R119" s="4">
        <f t="shared" si="23"/>
        <v>0.16103699999999999</v>
      </c>
      <c r="S119" s="4">
        <f t="shared" si="23"/>
        <v>5.5899000000000011E-2</v>
      </c>
    </row>
    <row r="120" spans="9:19" x14ac:dyDescent="0.25">
      <c r="I120">
        <v>54</v>
      </c>
      <c r="J120" s="4" t="str">
        <f t="shared" ref="J120:S120" si="24">IF(J92&lt;0,"",J92/100)</f>
        <v/>
      </c>
      <c r="K120" s="4">
        <f t="shared" si="24"/>
        <v>0.21672450000000001</v>
      </c>
      <c r="L120" s="4">
        <f t="shared" si="24"/>
        <v>0.21449699999999999</v>
      </c>
      <c r="M120" s="4">
        <f t="shared" si="24"/>
        <v>0.25013699999999994</v>
      </c>
      <c r="N120" s="4">
        <f t="shared" si="24"/>
        <v>0.26127450000000002</v>
      </c>
      <c r="O120" s="4">
        <f t="shared" si="24"/>
        <v>0.25904699999999997</v>
      </c>
      <c r="P120" s="4">
        <f t="shared" si="24"/>
        <v>0.25013699999999994</v>
      </c>
      <c r="Q120" s="4">
        <f t="shared" si="24"/>
        <v>0.20558699999999999</v>
      </c>
      <c r="R120" s="4">
        <f t="shared" si="24"/>
        <v>0.19222199999999998</v>
      </c>
      <c r="S120" s="4">
        <f t="shared" si="24"/>
        <v>9.7553250000000022E-2</v>
      </c>
    </row>
    <row r="121" spans="9:19" x14ac:dyDescent="0.25">
      <c r="I121">
        <v>61</v>
      </c>
      <c r="J121" s="4">
        <f t="shared" ref="J121:S121" si="25">IF(J93&lt;0,"",J93/100)</f>
        <v>0.18108450000000001</v>
      </c>
      <c r="K121" s="4">
        <f t="shared" si="25"/>
        <v>0.1454445</v>
      </c>
      <c r="L121" s="4">
        <f t="shared" si="25"/>
        <v>0.15435450000000001</v>
      </c>
      <c r="M121" s="4">
        <f t="shared" si="25"/>
        <v>0.1944495</v>
      </c>
      <c r="N121" s="4">
        <f t="shared" si="25"/>
        <v>0.20781449999999999</v>
      </c>
      <c r="O121" s="4">
        <f t="shared" si="25"/>
        <v>0.15435450000000001</v>
      </c>
      <c r="P121" s="4">
        <f t="shared" si="25"/>
        <v>0.147672</v>
      </c>
      <c r="Q121" s="4">
        <f t="shared" si="25"/>
        <v>0.18331200000000003</v>
      </c>
      <c r="R121" s="4">
        <f t="shared" si="25"/>
        <v>0.1855395</v>
      </c>
      <c r="S121" s="4">
        <f t="shared" si="25"/>
        <v>8.775224999999999E-2</v>
      </c>
    </row>
    <row r="122" spans="9:19" x14ac:dyDescent="0.25">
      <c r="I122">
        <v>62</v>
      </c>
      <c r="J122" s="4">
        <f t="shared" ref="J122:S122" si="26">IF(J94&lt;0,"",J94/100)</f>
        <v>0.20781449999999999</v>
      </c>
      <c r="K122" s="4">
        <f t="shared" si="26"/>
        <v>0.23008950000000003</v>
      </c>
      <c r="L122" s="4">
        <f t="shared" si="26"/>
        <v>0.25236449999999999</v>
      </c>
      <c r="M122" s="4">
        <f t="shared" si="26"/>
        <v>0.18776700000000002</v>
      </c>
      <c r="N122" s="4">
        <f t="shared" si="26"/>
        <v>0.2211795</v>
      </c>
      <c r="O122" s="4">
        <f t="shared" si="26"/>
        <v>0.24568199999999998</v>
      </c>
      <c r="P122" s="4">
        <f t="shared" si="26"/>
        <v>0.19222199999999998</v>
      </c>
      <c r="Q122" s="4">
        <f t="shared" si="26"/>
        <v>0.20335949999999997</v>
      </c>
      <c r="R122" s="4">
        <f t="shared" si="26"/>
        <v>0.20781449999999999</v>
      </c>
      <c r="S122" s="4">
        <f t="shared" si="26"/>
        <v>9.5103000000000007E-2</v>
      </c>
    </row>
    <row r="123" spans="9:19" x14ac:dyDescent="0.25">
      <c r="I123">
        <v>63</v>
      </c>
      <c r="J123" s="4">
        <f t="shared" ref="J123:S123" si="27">IF(J95&lt;0,"",J95/100)</f>
        <v>0.24568199999999998</v>
      </c>
      <c r="K123" s="4">
        <f t="shared" si="27"/>
        <v>0.22786200000000001</v>
      </c>
      <c r="L123" s="4">
        <f t="shared" si="27"/>
        <v>0.20558699999999999</v>
      </c>
      <c r="M123" s="4">
        <f t="shared" si="27"/>
        <v>0.19222199999999998</v>
      </c>
      <c r="N123" s="4">
        <f t="shared" si="27"/>
        <v>0.20113199999999998</v>
      </c>
      <c r="O123" s="4">
        <f t="shared" si="27"/>
        <v>0.20335949999999997</v>
      </c>
      <c r="P123" s="4">
        <f t="shared" si="27"/>
        <v>0.15212699999999998</v>
      </c>
      <c r="Q123" s="4">
        <f t="shared" si="27"/>
        <v>0.15212699999999998</v>
      </c>
      <c r="R123" s="4">
        <f t="shared" si="27"/>
        <v>0.174402</v>
      </c>
      <c r="S123" s="4">
        <f t="shared" si="27"/>
        <v>6.5700000000000008E-2</v>
      </c>
    </row>
    <row r="124" spans="9:19" x14ac:dyDescent="0.25">
      <c r="I124">
        <v>64</v>
      </c>
      <c r="J124" s="4">
        <f t="shared" ref="J124:S124" si="28">IF(J96&lt;0,"",J96/100)</f>
        <v>0.24568199999999998</v>
      </c>
      <c r="K124" s="4">
        <f t="shared" si="28"/>
        <v>0.23454450000000002</v>
      </c>
      <c r="L124" s="4">
        <f t="shared" si="28"/>
        <v>0.20335949999999997</v>
      </c>
      <c r="M124" s="4">
        <f t="shared" si="28"/>
        <v>0.22563449999999999</v>
      </c>
      <c r="N124" s="4">
        <f t="shared" si="28"/>
        <v>0.24122700000000002</v>
      </c>
      <c r="O124" s="4">
        <f t="shared" si="28"/>
        <v>0.23008950000000003</v>
      </c>
      <c r="P124" s="4">
        <f t="shared" si="28"/>
        <v>0.19222199999999998</v>
      </c>
      <c r="Q124" s="4">
        <f t="shared" si="28"/>
        <v>0.165492</v>
      </c>
      <c r="R124" s="4">
        <f t="shared" si="28"/>
        <v>0.18776700000000002</v>
      </c>
      <c r="S124" s="4">
        <f t="shared" si="28"/>
        <v>8.775224999999999E-2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FB93-A317-48F0-ACC1-9FA782BF92E4}">
  <dimension ref="A1:T124"/>
  <sheetViews>
    <sheetView topLeftCell="G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10270</v>
      </c>
      <c r="F1">
        <v>0</v>
      </c>
      <c r="G1">
        <v>10</v>
      </c>
      <c r="H1">
        <v>1824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4</v>
      </c>
      <c r="G18">
        <v>27</v>
      </c>
      <c r="H18">
        <v>7</v>
      </c>
      <c r="I18">
        <v>33</v>
      </c>
      <c r="J18">
        <v>1.02</v>
      </c>
      <c r="K18">
        <v>1.1000000000000001</v>
      </c>
      <c r="L18">
        <v>1.24</v>
      </c>
      <c r="M18">
        <v>1.39</v>
      </c>
      <c r="N18">
        <v>1.31</v>
      </c>
      <c r="O18">
        <v>1.4</v>
      </c>
      <c r="P18">
        <v>1.45</v>
      </c>
      <c r="Q18">
        <v>1.37</v>
      </c>
      <c r="R18">
        <v>1.37</v>
      </c>
      <c r="S18">
        <v>1.07</v>
      </c>
      <c r="T18">
        <v>3726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4</v>
      </c>
      <c r="G19">
        <v>27</v>
      </c>
      <c r="H19">
        <v>7</v>
      </c>
      <c r="I19">
        <v>30</v>
      </c>
      <c r="J19">
        <v>1.19</v>
      </c>
      <c r="K19">
        <v>1.24</v>
      </c>
      <c r="L19">
        <v>1.03</v>
      </c>
      <c r="M19">
        <v>0.97</v>
      </c>
      <c r="N19">
        <v>0.87</v>
      </c>
      <c r="O19">
        <v>0.89</v>
      </c>
      <c r="P19">
        <v>1</v>
      </c>
      <c r="Q19">
        <v>1.28</v>
      </c>
      <c r="R19">
        <v>1.1599999999999999</v>
      </c>
      <c r="S19">
        <v>0.92</v>
      </c>
      <c r="T19">
        <v>3748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4</v>
      </c>
      <c r="G20">
        <v>27</v>
      </c>
      <c r="H20">
        <v>7</v>
      </c>
      <c r="I20">
        <v>42</v>
      </c>
      <c r="J20">
        <v>1.1200000000000001</v>
      </c>
      <c r="K20">
        <v>1.1000000000000001</v>
      </c>
      <c r="L20">
        <v>1.17</v>
      </c>
      <c r="M20">
        <v>1.28</v>
      </c>
      <c r="N20">
        <v>1.26</v>
      </c>
      <c r="O20">
        <v>1.31</v>
      </c>
      <c r="P20">
        <v>1.28</v>
      </c>
      <c r="Q20">
        <v>1.24</v>
      </c>
      <c r="R20">
        <v>1.34</v>
      </c>
      <c r="S20">
        <v>1.07</v>
      </c>
      <c r="T20">
        <v>3723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4</v>
      </c>
      <c r="G21">
        <v>27</v>
      </c>
      <c r="H21">
        <v>7</v>
      </c>
      <c r="I21">
        <v>46</v>
      </c>
      <c r="J21">
        <v>1.35</v>
      </c>
      <c r="K21">
        <v>1.38</v>
      </c>
      <c r="L21">
        <v>1.4</v>
      </c>
      <c r="M21">
        <v>1.4</v>
      </c>
      <c r="N21">
        <v>1.25</v>
      </c>
      <c r="O21">
        <v>1.3</v>
      </c>
      <c r="P21">
        <v>1.44</v>
      </c>
      <c r="Q21">
        <v>1.29</v>
      </c>
      <c r="R21">
        <v>1.28</v>
      </c>
      <c r="S21">
        <v>0.9</v>
      </c>
      <c r="T21">
        <v>3736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4</v>
      </c>
      <c r="G22">
        <v>27</v>
      </c>
      <c r="H22">
        <v>7</v>
      </c>
      <c r="I22">
        <v>50</v>
      </c>
      <c r="J22">
        <v>0.83</v>
      </c>
      <c r="K22">
        <v>0.73</v>
      </c>
      <c r="L22">
        <v>0.73</v>
      </c>
      <c r="M22">
        <v>0.77</v>
      </c>
      <c r="N22">
        <v>0.78</v>
      </c>
      <c r="O22">
        <v>0.8</v>
      </c>
      <c r="P22">
        <v>0.85</v>
      </c>
      <c r="Q22">
        <v>1.03</v>
      </c>
      <c r="R22">
        <v>1.32</v>
      </c>
      <c r="S22">
        <v>1.01</v>
      </c>
      <c r="T22">
        <v>3739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4</v>
      </c>
      <c r="G23">
        <v>27</v>
      </c>
      <c r="H23">
        <v>7</v>
      </c>
      <c r="I23">
        <v>54</v>
      </c>
      <c r="J23">
        <v>1.19</v>
      </c>
      <c r="K23">
        <v>1.21</v>
      </c>
      <c r="L23">
        <v>1.39</v>
      </c>
      <c r="M23">
        <v>1.44</v>
      </c>
      <c r="N23">
        <v>1.1100000000000001</v>
      </c>
      <c r="O23">
        <v>0.83</v>
      </c>
      <c r="P23">
        <v>0.89</v>
      </c>
      <c r="Q23">
        <v>1.17</v>
      </c>
      <c r="R23">
        <v>1.1299999999999999</v>
      </c>
      <c r="S23">
        <v>0.95</v>
      </c>
      <c r="T23">
        <v>3752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4</v>
      </c>
      <c r="G24">
        <v>27</v>
      </c>
      <c r="H24">
        <v>7</v>
      </c>
      <c r="I24">
        <v>50</v>
      </c>
      <c r="J24">
        <v>1.3</v>
      </c>
      <c r="K24">
        <v>1.22</v>
      </c>
      <c r="L24">
        <v>1.23</v>
      </c>
      <c r="M24">
        <v>1.1499999999999999</v>
      </c>
      <c r="N24">
        <v>1.0900000000000001</v>
      </c>
      <c r="O24">
        <v>0.95</v>
      </c>
      <c r="P24">
        <v>0.97</v>
      </c>
      <c r="Q24">
        <v>1.25</v>
      </c>
      <c r="R24">
        <v>1.23</v>
      </c>
      <c r="S24">
        <v>0.75</v>
      </c>
      <c r="T24">
        <v>3746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4</v>
      </c>
      <c r="G25">
        <v>27</v>
      </c>
      <c r="H25">
        <v>8</v>
      </c>
      <c r="I25">
        <v>2</v>
      </c>
      <c r="J25">
        <v>1.36</v>
      </c>
      <c r="K25">
        <v>1.27</v>
      </c>
      <c r="L25">
        <v>1.31</v>
      </c>
      <c r="M25">
        <v>1.33</v>
      </c>
      <c r="N25">
        <v>1.36</v>
      </c>
      <c r="O25">
        <v>1.35</v>
      </c>
      <c r="P25">
        <v>1.22</v>
      </c>
      <c r="Q25">
        <v>1.33</v>
      </c>
      <c r="R25">
        <v>1.31</v>
      </c>
      <c r="S25">
        <v>1.05</v>
      </c>
      <c r="T25">
        <v>3727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4</v>
      </c>
      <c r="G26">
        <v>27</v>
      </c>
      <c r="H26">
        <v>8</v>
      </c>
      <c r="I26">
        <v>35</v>
      </c>
      <c r="J26">
        <v>1.35</v>
      </c>
      <c r="K26">
        <v>1.33</v>
      </c>
      <c r="L26">
        <v>1.37</v>
      </c>
      <c r="M26">
        <v>1.33</v>
      </c>
      <c r="N26">
        <v>1.25</v>
      </c>
      <c r="O26">
        <v>1</v>
      </c>
      <c r="P26">
        <v>0.92</v>
      </c>
      <c r="Q26">
        <v>1</v>
      </c>
      <c r="R26">
        <v>1.02</v>
      </c>
      <c r="S26">
        <v>0.85</v>
      </c>
      <c r="T26">
        <v>3729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4</v>
      </c>
      <c r="G27">
        <v>27</v>
      </c>
      <c r="H27">
        <v>8</v>
      </c>
      <c r="I27">
        <v>40</v>
      </c>
      <c r="J27">
        <v>0.93</v>
      </c>
      <c r="K27">
        <v>0.87</v>
      </c>
      <c r="L27">
        <v>0.8</v>
      </c>
      <c r="M27">
        <v>0.72</v>
      </c>
      <c r="N27">
        <v>0.73</v>
      </c>
      <c r="O27">
        <v>0.81</v>
      </c>
      <c r="P27">
        <v>0.91</v>
      </c>
      <c r="Q27">
        <v>1.19</v>
      </c>
      <c r="R27">
        <v>1.3</v>
      </c>
      <c r="S27">
        <v>0.98</v>
      </c>
      <c r="T27">
        <v>3758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4</v>
      </c>
      <c r="G28">
        <v>27</v>
      </c>
      <c r="H28">
        <v>8</v>
      </c>
      <c r="I28">
        <v>44</v>
      </c>
      <c r="J28">
        <v>1.06</v>
      </c>
      <c r="K28">
        <v>1.0900000000000001</v>
      </c>
      <c r="L28">
        <v>1.29</v>
      </c>
      <c r="M28">
        <v>1.38</v>
      </c>
      <c r="N28">
        <v>1.25</v>
      </c>
      <c r="O28">
        <v>1.26</v>
      </c>
      <c r="P28">
        <v>1.29</v>
      </c>
      <c r="Q28">
        <v>1.21</v>
      </c>
      <c r="R28">
        <v>1.21</v>
      </c>
      <c r="S28">
        <v>0.87</v>
      </c>
      <c r="T28">
        <v>3749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4</v>
      </c>
      <c r="G29">
        <v>27</v>
      </c>
      <c r="H29">
        <v>8</v>
      </c>
      <c r="I29">
        <v>50</v>
      </c>
      <c r="J29">
        <v>0.79</v>
      </c>
      <c r="K29">
        <v>0.87</v>
      </c>
      <c r="L29">
        <v>1.1000000000000001</v>
      </c>
      <c r="M29">
        <v>1.29</v>
      </c>
      <c r="N29">
        <v>1.3</v>
      </c>
      <c r="O29">
        <v>1.23</v>
      </c>
      <c r="P29">
        <v>1.35</v>
      </c>
      <c r="Q29">
        <v>1.31</v>
      </c>
      <c r="R29">
        <v>1.2</v>
      </c>
      <c r="S29">
        <v>0.93</v>
      </c>
      <c r="T29">
        <v>3736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4</v>
      </c>
      <c r="G30">
        <v>27</v>
      </c>
      <c r="H30">
        <v>8</v>
      </c>
      <c r="I30">
        <v>55</v>
      </c>
      <c r="J30">
        <v>0.98</v>
      </c>
      <c r="K30">
        <v>1.08</v>
      </c>
      <c r="L30">
        <v>1.44</v>
      </c>
      <c r="M30">
        <v>1.36</v>
      </c>
      <c r="N30">
        <v>1.46</v>
      </c>
      <c r="O30">
        <v>1.35</v>
      </c>
      <c r="P30">
        <v>1.39</v>
      </c>
      <c r="Q30">
        <v>1.2</v>
      </c>
      <c r="R30">
        <v>1.29</v>
      </c>
      <c r="S30">
        <v>1.04</v>
      </c>
      <c r="T30">
        <v>3754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4</v>
      </c>
      <c r="G31">
        <v>27</v>
      </c>
      <c r="H31">
        <v>9</v>
      </c>
      <c r="I31">
        <v>0</v>
      </c>
      <c r="J31">
        <v>1.19</v>
      </c>
      <c r="K31">
        <v>1.2</v>
      </c>
      <c r="L31">
        <v>1.32</v>
      </c>
      <c r="M31">
        <v>1.1200000000000001</v>
      </c>
      <c r="N31">
        <v>1.17</v>
      </c>
      <c r="O31">
        <v>1.17</v>
      </c>
      <c r="P31">
        <v>1.24</v>
      </c>
      <c r="Q31">
        <v>1.17</v>
      </c>
      <c r="R31">
        <v>1.18</v>
      </c>
      <c r="S31">
        <v>1.08</v>
      </c>
      <c r="T31">
        <v>3721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4</v>
      </c>
      <c r="G32">
        <v>27</v>
      </c>
      <c r="H32">
        <v>9</v>
      </c>
      <c r="I32">
        <v>4</v>
      </c>
      <c r="J32">
        <v>1.1000000000000001</v>
      </c>
      <c r="K32">
        <v>1.1499999999999999</v>
      </c>
      <c r="L32">
        <v>1.32</v>
      </c>
      <c r="M32">
        <v>1.31</v>
      </c>
      <c r="N32">
        <v>1.42</v>
      </c>
      <c r="O32">
        <v>1.19</v>
      </c>
      <c r="P32">
        <v>1.1200000000000001</v>
      </c>
      <c r="Q32">
        <v>1.1599999999999999</v>
      </c>
      <c r="R32">
        <v>1.23</v>
      </c>
      <c r="S32">
        <v>0.95</v>
      </c>
      <c r="T32">
        <v>3715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4</v>
      </c>
      <c r="G33">
        <v>27</v>
      </c>
      <c r="H33">
        <v>9</v>
      </c>
      <c r="I33">
        <v>0</v>
      </c>
      <c r="J33">
        <v>1.1299999999999999</v>
      </c>
      <c r="K33">
        <v>1.29</v>
      </c>
      <c r="L33">
        <v>1.53</v>
      </c>
      <c r="M33">
        <v>1.44</v>
      </c>
      <c r="N33">
        <v>1.48</v>
      </c>
      <c r="O33">
        <v>1.45</v>
      </c>
      <c r="P33">
        <v>1.1499999999999999</v>
      </c>
      <c r="Q33">
        <v>1.23</v>
      </c>
      <c r="R33">
        <v>1.26</v>
      </c>
      <c r="S33">
        <v>1.03</v>
      </c>
      <c r="T33">
        <v>3683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4</v>
      </c>
      <c r="G34">
        <v>27</v>
      </c>
      <c r="H34">
        <v>9</v>
      </c>
      <c r="I34">
        <v>12</v>
      </c>
      <c r="J34">
        <v>1.33</v>
      </c>
      <c r="K34">
        <v>1.32</v>
      </c>
      <c r="L34">
        <v>1.33</v>
      </c>
      <c r="M34">
        <v>1.37</v>
      </c>
      <c r="N34">
        <v>1.24</v>
      </c>
      <c r="O34">
        <v>1.25</v>
      </c>
      <c r="P34">
        <v>1.17</v>
      </c>
      <c r="Q34">
        <v>1.21</v>
      </c>
      <c r="R34">
        <v>1.21</v>
      </c>
      <c r="S34">
        <v>1.0900000000000001</v>
      </c>
      <c r="T34">
        <v>3683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4</v>
      </c>
      <c r="G35">
        <v>27</v>
      </c>
      <c r="H35">
        <v>9</v>
      </c>
      <c r="I35">
        <v>10</v>
      </c>
      <c r="J35">
        <v>1.27</v>
      </c>
      <c r="K35">
        <v>1.28</v>
      </c>
      <c r="L35">
        <v>1.47</v>
      </c>
      <c r="M35">
        <v>1.52</v>
      </c>
      <c r="N35">
        <v>1.56</v>
      </c>
      <c r="O35">
        <v>1.48</v>
      </c>
      <c r="P35">
        <v>1.35</v>
      </c>
      <c r="Q35">
        <v>1.17</v>
      </c>
      <c r="R35">
        <v>1.32</v>
      </c>
      <c r="S35">
        <v>1.0900000000000001</v>
      </c>
      <c r="T35">
        <v>3707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4</v>
      </c>
      <c r="G36">
        <v>27</v>
      </c>
      <c r="H36">
        <v>9</v>
      </c>
      <c r="I36">
        <v>22</v>
      </c>
      <c r="J36">
        <v>1.28</v>
      </c>
      <c r="K36">
        <v>1.24</v>
      </c>
      <c r="L36">
        <v>1.42</v>
      </c>
      <c r="M36">
        <v>1.51</v>
      </c>
      <c r="N36">
        <v>1.35</v>
      </c>
      <c r="O36">
        <v>1.29</v>
      </c>
      <c r="P36">
        <v>1.17</v>
      </c>
      <c r="Q36">
        <v>0.99</v>
      </c>
      <c r="R36">
        <v>1.05</v>
      </c>
      <c r="S36">
        <v>0.83</v>
      </c>
      <c r="T36">
        <v>3706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4</v>
      </c>
      <c r="G37">
        <v>27</v>
      </c>
      <c r="H37">
        <v>9</v>
      </c>
      <c r="I37">
        <v>26</v>
      </c>
      <c r="J37">
        <v>1.24</v>
      </c>
      <c r="K37">
        <v>1.25</v>
      </c>
      <c r="L37">
        <v>1.28</v>
      </c>
      <c r="M37">
        <v>1.42</v>
      </c>
      <c r="N37">
        <v>1.46</v>
      </c>
      <c r="O37">
        <v>1.45</v>
      </c>
      <c r="P37">
        <v>1.43</v>
      </c>
      <c r="Q37">
        <v>1.24</v>
      </c>
      <c r="R37">
        <v>1.27</v>
      </c>
      <c r="S37">
        <v>1.08</v>
      </c>
      <c r="T37">
        <v>3700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4</v>
      </c>
      <c r="G38">
        <v>27</v>
      </c>
      <c r="H38">
        <v>9</v>
      </c>
      <c r="I38">
        <v>31</v>
      </c>
      <c r="J38">
        <v>1.44</v>
      </c>
      <c r="K38">
        <v>1.36</v>
      </c>
      <c r="L38">
        <v>1.1599999999999999</v>
      </c>
      <c r="M38">
        <v>1.27</v>
      </c>
      <c r="N38">
        <v>1.38</v>
      </c>
      <c r="O38">
        <v>1.34</v>
      </c>
      <c r="P38">
        <v>1.17</v>
      </c>
      <c r="Q38">
        <v>1.08</v>
      </c>
      <c r="R38">
        <v>1.27</v>
      </c>
      <c r="S38">
        <v>1.07</v>
      </c>
      <c r="T38">
        <v>3700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4</v>
      </c>
      <c r="G39">
        <v>27</v>
      </c>
      <c r="H39">
        <v>9</v>
      </c>
      <c r="I39">
        <v>35</v>
      </c>
      <c r="J39">
        <v>1.36</v>
      </c>
      <c r="K39">
        <v>1.29</v>
      </c>
      <c r="L39">
        <v>1.21</v>
      </c>
      <c r="M39">
        <v>1.1200000000000001</v>
      </c>
      <c r="N39">
        <v>1.2</v>
      </c>
      <c r="O39">
        <v>1.19</v>
      </c>
      <c r="P39">
        <v>0.97</v>
      </c>
      <c r="Q39">
        <v>0.99</v>
      </c>
      <c r="R39">
        <v>1.17</v>
      </c>
      <c r="S39">
        <v>0.97</v>
      </c>
      <c r="T39">
        <v>3711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4</v>
      </c>
      <c r="G40">
        <v>27</v>
      </c>
      <c r="H40">
        <v>9</v>
      </c>
      <c r="I40">
        <v>31</v>
      </c>
      <c r="J40">
        <v>1.22</v>
      </c>
      <c r="K40">
        <v>1.34</v>
      </c>
      <c r="L40">
        <v>1.41</v>
      </c>
      <c r="M40">
        <v>1.1299999999999999</v>
      </c>
      <c r="N40">
        <v>1.28</v>
      </c>
      <c r="O40">
        <v>1.38</v>
      </c>
      <c r="P40">
        <v>1.1299999999999999</v>
      </c>
      <c r="Q40">
        <v>1.22</v>
      </c>
      <c r="R40">
        <v>1.35</v>
      </c>
      <c r="S40">
        <v>1.1000000000000001</v>
      </c>
      <c r="T40">
        <v>3669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4</v>
      </c>
      <c r="G41">
        <v>27</v>
      </c>
      <c r="H41">
        <v>9</v>
      </c>
      <c r="I41">
        <v>43</v>
      </c>
      <c r="J41">
        <v>1.1000000000000001</v>
      </c>
      <c r="K41">
        <v>0.94</v>
      </c>
      <c r="L41">
        <v>0.99</v>
      </c>
      <c r="M41">
        <v>1.18</v>
      </c>
      <c r="N41">
        <v>1.2</v>
      </c>
      <c r="O41">
        <v>0.97</v>
      </c>
      <c r="P41">
        <v>0.97</v>
      </c>
      <c r="Q41">
        <v>1.0900000000000001</v>
      </c>
      <c r="R41">
        <v>1.18</v>
      </c>
      <c r="S41">
        <v>1.1000000000000001</v>
      </c>
      <c r="T41">
        <v>3701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4</v>
      </c>
      <c r="G45">
        <v>27</v>
      </c>
      <c r="H45">
        <v>7</v>
      </c>
      <c r="I45">
        <v>33</v>
      </c>
      <c r="J45">
        <v>1.02</v>
      </c>
      <c r="K45">
        <v>1.1000000000000001</v>
      </c>
      <c r="L45">
        <v>1.24</v>
      </c>
      <c r="M45">
        <v>1.39</v>
      </c>
      <c r="N45">
        <v>1.31</v>
      </c>
      <c r="O45">
        <v>1.4</v>
      </c>
      <c r="P45">
        <v>1.45</v>
      </c>
      <c r="Q45">
        <v>1.37</v>
      </c>
      <c r="R45">
        <v>1.37</v>
      </c>
      <c r="S45">
        <v>1.07</v>
      </c>
      <c r="T45">
        <v>3726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4</v>
      </c>
      <c r="G46">
        <v>27</v>
      </c>
      <c r="H46">
        <v>7</v>
      </c>
      <c r="I46">
        <v>30</v>
      </c>
      <c r="J46">
        <v>1.19</v>
      </c>
      <c r="K46">
        <v>1.24</v>
      </c>
      <c r="L46">
        <v>1.03</v>
      </c>
      <c r="M46">
        <v>0.97</v>
      </c>
      <c r="N46">
        <v>0.87</v>
      </c>
      <c r="O46">
        <v>0.89</v>
      </c>
      <c r="P46">
        <v>1</v>
      </c>
      <c r="Q46">
        <v>1.28</v>
      </c>
      <c r="R46">
        <v>1.1599999999999999</v>
      </c>
      <c r="S46">
        <v>0.92</v>
      </c>
      <c r="T46">
        <v>3748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4</v>
      </c>
      <c r="G47">
        <v>27</v>
      </c>
      <c r="H47">
        <v>7</v>
      </c>
      <c r="I47">
        <v>42</v>
      </c>
      <c r="J47">
        <v>1.1200000000000001</v>
      </c>
      <c r="K47">
        <v>1.1000000000000001</v>
      </c>
      <c r="L47">
        <v>1.17</v>
      </c>
      <c r="M47">
        <v>1.28</v>
      </c>
      <c r="N47">
        <v>1.26</v>
      </c>
      <c r="O47">
        <v>1.31</v>
      </c>
      <c r="P47">
        <v>1.28</v>
      </c>
      <c r="Q47">
        <v>1.24</v>
      </c>
      <c r="R47">
        <v>1.34</v>
      </c>
      <c r="S47">
        <v>1.07</v>
      </c>
      <c r="T47">
        <v>3723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4</v>
      </c>
      <c r="G48">
        <v>27</v>
      </c>
      <c r="H48">
        <v>7</v>
      </c>
      <c r="I48">
        <v>46</v>
      </c>
      <c r="J48">
        <v>1.35</v>
      </c>
      <c r="K48">
        <v>1.38</v>
      </c>
      <c r="L48">
        <v>1.4</v>
      </c>
      <c r="M48">
        <v>1.4</v>
      </c>
      <c r="N48">
        <v>1.25</v>
      </c>
      <c r="O48">
        <v>1.3</v>
      </c>
      <c r="P48">
        <v>1.44</v>
      </c>
      <c r="Q48">
        <v>1.29</v>
      </c>
      <c r="R48">
        <v>1.28</v>
      </c>
      <c r="S48">
        <v>0.9</v>
      </c>
      <c r="T48">
        <v>3736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4</v>
      </c>
      <c r="G49">
        <v>27</v>
      </c>
      <c r="H49">
        <v>8</v>
      </c>
      <c r="I49">
        <v>2</v>
      </c>
      <c r="J49">
        <v>1.36</v>
      </c>
      <c r="K49">
        <v>1.27</v>
      </c>
      <c r="L49">
        <v>1.31</v>
      </c>
      <c r="M49">
        <v>1.33</v>
      </c>
      <c r="N49">
        <v>1.36</v>
      </c>
      <c r="O49">
        <v>1.35</v>
      </c>
      <c r="P49">
        <v>1.22</v>
      </c>
      <c r="Q49">
        <v>1.33</v>
      </c>
      <c r="R49">
        <v>1.31</v>
      </c>
      <c r="S49">
        <v>1.05</v>
      </c>
      <c r="T49">
        <v>3727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4</v>
      </c>
      <c r="G50">
        <v>27</v>
      </c>
      <c r="H50">
        <v>7</v>
      </c>
      <c r="I50">
        <v>50</v>
      </c>
      <c r="J50">
        <v>1.3</v>
      </c>
      <c r="K50">
        <v>1.22</v>
      </c>
      <c r="L50">
        <v>1.23</v>
      </c>
      <c r="M50">
        <v>1.1499999999999999</v>
      </c>
      <c r="N50">
        <v>1.0900000000000001</v>
      </c>
      <c r="O50">
        <v>0.95</v>
      </c>
      <c r="P50">
        <v>0.97</v>
      </c>
      <c r="Q50">
        <v>1.25</v>
      </c>
      <c r="R50">
        <v>1.23</v>
      </c>
      <c r="S50">
        <v>0.75</v>
      </c>
      <c r="T50">
        <v>3746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4</v>
      </c>
      <c r="G51">
        <v>27</v>
      </c>
      <c r="H51">
        <v>7</v>
      </c>
      <c r="I51">
        <v>54</v>
      </c>
      <c r="J51">
        <v>1.19</v>
      </c>
      <c r="K51">
        <v>1.21</v>
      </c>
      <c r="L51">
        <v>1.39</v>
      </c>
      <c r="M51">
        <v>1.44</v>
      </c>
      <c r="N51">
        <v>1.1100000000000001</v>
      </c>
      <c r="O51">
        <v>0.83</v>
      </c>
      <c r="P51">
        <v>0.89</v>
      </c>
      <c r="Q51">
        <v>1.17</v>
      </c>
      <c r="R51">
        <v>1.1299999999999999</v>
      </c>
      <c r="S51">
        <v>0.95</v>
      </c>
      <c r="T51">
        <v>3752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4</v>
      </c>
      <c r="G52">
        <v>27</v>
      </c>
      <c r="H52">
        <v>7</v>
      </c>
      <c r="I52">
        <v>50</v>
      </c>
      <c r="J52">
        <v>0.83</v>
      </c>
      <c r="K52">
        <v>0.73</v>
      </c>
      <c r="L52">
        <v>0.73</v>
      </c>
      <c r="M52">
        <v>0.77</v>
      </c>
      <c r="N52">
        <v>0.78</v>
      </c>
      <c r="O52">
        <v>0.8</v>
      </c>
      <c r="P52">
        <v>0.85</v>
      </c>
      <c r="Q52">
        <v>1.03</v>
      </c>
      <c r="R52">
        <v>1.32</v>
      </c>
      <c r="S52">
        <v>1.01</v>
      </c>
      <c r="T52">
        <v>3739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4</v>
      </c>
      <c r="G53">
        <v>27</v>
      </c>
      <c r="H53">
        <v>8</v>
      </c>
      <c r="I53">
        <v>35</v>
      </c>
      <c r="J53">
        <v>1.35</v>
      </c>
      <c r="K53">
        <v>1.33</v>
      </c>
      <c r="L53">
        <v>1.37</v>
      </c>
      <c r="M53">
        <v>1.33</v>
      </c>
      <c r="N53">
        <v>1.25</v>
      </c>
      <c r="O53">
        <v>1</v>
      </c>
      <c r="P53">
        <v>0.92</v>
      </c>
      <c r="Q53">
        <v>1</v>
      </c>
      <c r="R53">
        <v>1.02</v>
      </c>
      <c r="S53">
        <v>0.85</v>
      </c>
      <c r="T53">
        <v>3729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4</v>
      </c>
      <c r="G54">
        <v>27</v>
      </c>
      <c r="H54">
        <v>8</v>
      </c>
      <c r="I54">
        <v>40</v>
      </c>
      <c r="J54">
        <v>0.93</v>
      </c>
      <c r="K54">
        <v>0.87</v>
      </c>
      <c r="L54">
        <v>0.8</v>
      </c>
      <c r="M54">
        <v>0.72</v>
      </c>
      <c r="N54">
        <v>0.73</v>
      </c>
      <c r="O54">
        <v>0.81</v>
      </c>
      <c r="P54">
        <v>0.91</v>
      </c>
      <c r="Q54">
        <v>1.19</v>
      </c>
      <c r="R54">
        <v>1.3</v>
      </c>
      <c r="S54">
        <v>0.98</v>
      </c>
      <c r="T54">
        <v>3758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4</v>
      </c>
      <c r="G55">
        <v>27</v>
      </c>
      <c r="H55">
        <v>8</v>
      </c>
      <c r="I55">
        <v>44</v>
      </c>
      <c r="J55">
        <v>1.06</v>
      </c>
      <c r="K55">
        <v>1.0900000000000001</v>
      </c>
      <c r="L55">
        <v>1.29</v>
      </c>
      <c r="M55">
        <v>1.38</v>
      </c>
      <c r="N55">
        <v>1.25</v>
      </c>
      <c r="O55">
        <v>1.26</v>
      </c>
      <c r="P55">
        <v>1.29</v>
      </c>
      <c r="Q55">
        <v>1.21</v>
      </c>
      <c r="R55">
        <v>1.21</v>
      </c>
      <c r="S55">
        <v>0.87</v>
      </c>
      <c r="T55">
        <v>3749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4</v>
      </c>
      <c r="G56">
        <v>27</v>
      </c>
      <c r="H56">
        <v>8</v>
      </c>
      <c r="I56">
        <v>50</v>
      </c>
      <c r="J56">
        <v>0.79</v>
      </c>
      <c r="K56">
        <v>0.87</v>
      </c>
      <c r="L56">
        <v>1.1000000000000001</v>
      </c>
      <c r="M56">
        <v>1.29</v>
      </c>
      <c r="N56">
        <v>1.3</v>
      </c>
      <c r="O56">
        <v>1.23</v>
      </c>
      <c r="P56">
        <v>1.35</v>
      </c>
      <c r="Q56">
        <v>1.31</v>
      </c>
      <c r="R56">
        <v>1.2</v>
      </c>
      <c r="S56">
        <v>0.93</v>
      </c>
      <c r="T56">
        <v>3736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4</v>
      </c>
      <c r="G57">
        <v>27</v>
      </c>
      <c r="H57">
        <v>9</v>
      </c>
      <c r="I57">
        <v>0</v>
      </c>
      <c r="J57">
        <v>1.1299999999999999</v>
      </c>
      <c r="K57">
        <v>1.29</v>
      </c>
      <c r="L57">
        <v>1.53</v>
      </c>
      <c r="M57">
        <v>1.44</v>
      </c>
      <c r="N57">
        <v>1.48</v>
      </c>
      <c r="O57">
        <v>1.45</v>
      </c>
      <c r="P57">
        <v>1.1499999999999999</v>
      </c>
      <c r="Q57">
        <v>1.23</v>
      </c>
      <c r="R57">
        <v>1.26</v>
      </c>
      <c r="S57">
        <v>1.03</v>
      </c>
      <c r="T57">
        <v>3683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4</v>
      </c>
      <c r="G58">
        <v>27</v>
      </c>
      <c r="H58">
        <v>9</v>
      </c>
      <c r="I58">
        <v>4</v>
      </c>
      <c r="J58">
        <v>1.1000000000000001</v>
      </c>
      <c r="K58">
        <v>1.1499999999999999</v>
      </c>
      <c r="L58">
        <v>1.32</v>
      </c>
      <c r="M58">
        <v>1.31</v>
      </c>
      <c r="N58">
        <v>1.42</v>
      </c>
      <c r="O58">
        <v>1.19</v>
      </c>
      <c r="P58">
        <v>1.1200000000000001</v>
      </c>
      <c r="Q58">
        <v>1.1599999999999999</v>
      </c>
      <c r="R58">
        <v>1.23</v>
      </c>
      <c r="S58">
        <v>0.95</v>
      </c>
      <c r="T58">
        <v>3715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4</v>
      </c>
      <c r="G59">
        <v>27</v>
      </c>
      <c r="H59">
        <v>9</v>
      </c>
      <c r="I59">
        <v>0</v>
      </c>
      <c r="J59">
        <v>1.19</v>
      </c>
      <c r="K59">
        <v>1.2</v>
      </c>
      <c r="L59">
        <v>1.32</v>
      </c>
      <c r="M59">
        <v>1.1200000000000001</v>
      </c>
      <c r="N59">
        <v>1.17</v>
      </c>
      <c r="O59">
        <v>1.17</v>
      </c>
      <c r="P59">
        <v>1.24</v>
      </c>
      <c r="Q59">
        <v>1.17</v>
      </c>
      <c r="R59">
        <v>1.18</v>
      </c>
      <c r="S59">
        <v>1.08</v>
      </c>
      <c r="T59">
        <v>3721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4</v>
      </c>
      <c r="G60">
        <v>27</v>
      </c>
      <c r="H60">
        <v>8</v>
      </c>
      <c r="I60">
        <v>55</v>
      </c>
      <c r="J60">
        <v>0.98</v>
      </c>
      <c r="K60">
        <v>1.08</v>
      </c>
      <c r="L60">
        <v>1.44</v>
      </c>
      <c r="M60">
        <v>1.36</v>
      </c>
      <c r="N60">
        <v>1.46</v>
      </c>
      <c r="O60">
        <v>1.35</v>
      </c>
      <c r="P60">
        <v>1.39</v>
      </c>
      <c r="Q60">
        <v>1.2</v>
      </c>
      <c r="R60">
        <v>1.29</v>
      </c>
      <c r="S60">
        <v>1.04</v>
      </c>
      <c r="T60">
        <v>3754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4</v>
      </c>
      <c r="G61">
        <v>27</v>
      </c>
      <c r="H61">
        <v>9</v>
      </c>
      <c r="I61">
        <v>12</v>
      </c>
      <c r="J61">
        <v>1.33</v>
      </c>
      <c r="K61">
        <v>1.32</v>
      </c>
      <c r="L61">
        <v>1.33</v>
      </c>
      <c r="M61">
        <v>1.37</v>
      </c>
      <c r="N61">
        <v>1.24</v>
      </c>
      <c r="O61">
        <v>1.25</v>
      </c>
      <c r="P61">
        <v>1.17</v>
      </c>
      <c r="Q61">
        <v>1.21</v>
      </c>
      <c r="R61">
        <v>1.21</v>
      </c>
      <c r="S61">
        <v>1.0900000000000001</v>
      </c>
      <c r="T61">
        <v>3683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4</v>
      </c>
      <c r="G62">
        <v>27</v>
      </c>
      <c r="H62">
        <v>9</v>
      </c>
      <c r="I62">
        <v>10</v>
      </c>
      <c r="J62">
        <v>1.27</v>
      </c>
      <c r="K62">
        <v>1.28</v>
      </c>
      <c r="L62">
        <v>1.47</v>
      </c>
      <c r="M62">
        <v>1.52</v>
      </c>
      <c r="N62">
        <v>1.56</v>
      </c>
      <c r="O62">
        <v>1.48</v>
      </c>
      <c r="P62">
        <v>1.35</v>
      </c>
      <c r="Q62">
        <v>1.17</v>
      </c>
      <c r="R62">
        <v>1.32</v>
      </c>
      <c r="S62">
        <v>1.0900000000000001</v>
      </c>
      <c r="T62">
        <v>3707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4</v>
      </c>
      <c r="G63">
        <v>27</v>
      </c>
      <c r="H63">
        <v>9</v>
      </c>
      <c r="I63">
        <v>22</v>
      </c>
      <c r="J63">
        <v>1.28</v>
      </c>
      <c r="K63">
        <v>1.24</v>
      </c>
      <c r="L63">
        <v>1.42</v>
      </c>
      <c r="M63">
        <v>1.51</v>
      </c>
      <c r="N63">
        <v>1.35</v>
      </c>
      <c r="O63">
        <v>1.29</v>
      </c>
      <c r="P63">
        <v>1.17</v>
      </c>
      <c r="Q63">
        <v>0.99</v>
      </c>
      <c r="R63">
        <v>1.05</v>
      </c>
      <c r="S63">
        <v>0.83</v>
      </c>
      <c r="T63">
        <v>3706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4</v>
      </c>
      <c r="G64">
        <v>27</v>
      </c>
      <c r="H64">
        <v>9</v>
      </c>
      <c r="I64">
        <v>26</v>
      </c>
      <c r="J64">
        <v>1.24</v>
      </c>
      <c r="K64">
        <v>1.25</v>
      </c>
      <c r="L64">
        <v>1.28</v>
      </c>
      <c r="M64">
        <v>1.42</v>
      </c>
      <c r="N64">
        <v>1.46</v>
      </c>
      <c r="O64">
        <v>1.45</v>
      </c>
      <c r="P64">
        <v>1.43</v>
      </c>
      <c r="Q64">
        <v>1.24</v>
      </c>
      <c r="R64">
        <v>1.27</v>
      </c>
      <c r="S64">
        <v>1.08</v>
      </c>
      <c r="T64">
        <v>3700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4</v>
      </c>
      <c r="G65">
        <v>27</v>
      </c>
      <c r="H65">
        <v>9</v>
      </c>
      <c r="I65">
        <v>43</v>
      </c>
      <c r="J65">
        <v>1.1000000000000001</v>
      </c>
      <c r="K65">
        <v>0.94</v>
      </c>
      <c r="L65">
        <v>0.99</v>
      </c>
      <c r="M65">
        <v>1.18</v>
      </c>
      <c r="N65">
        <v>1.2</v>
      </c>
      <c r="O65">
        <v>0.97</v>
      </c>
      <c r="P65">
        <v>0.97</v>
      </c>
      <c r="Q65">
        <v>1.0900000000000001</v>
      </c>
      <c r="R65">
        <v>1.18</v>
      </c>
      <c r="S65">
        <v>1.1000000000000001</v>
      </c>
      <c r="T65">
        <v>3701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4</v>
      </c>
      <c r="G66">
        <v>27</v>
      </c>
      <c r="H66">
        <v>9</v>
      </c>
      <c r="I66">
        <v>31</v>
      </c>
      <c r="J66">
        <v>1.22</v>
      </c>
      <c r="K66">
        <v>1.34</v>
      </c>
      <c r="L66">
        <v>1.41</v>
      </c>
      <c r="M66">
        <v>1.1299999999999999</v>
      </c>
      <c r="N66">
        <v>1.28</v>
      </c>
      <c r="O66">
        <v>1.38</v>
      </c>
      <c r="P66">
        <v>1.1299999999999999</v>
      </c>
      <c r="Q66">
        <v>1.22</v>
      </c>
      <c r="R66">
        <v>1.35</v>
      </c>
      <c r="S66">
        <v>1.1000000000000001</v>
      </c>
      <c r="T66">
        <v>3669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4</v>
      </c>
      <c r="G67">
        <v>27</v>
      </c>
      <c r="H67">
        <v>9</v>
      </c>
      <c r="I67">
        <v>35</v>
      </c>
      <c r="J67">
        <v>1.36</v>
      </c>
      <c r="K67">
        <v>1.29</v>
      </c>
      <c r="L67">
        <v>1.21</v>
      </c>
      <c r="M67">
        <v>1.1200000000000001</v>
      </c>
      <c r="N67">
        <v>1.2</v>
      </c>
      <c r="O67">
        <v>1.19</v>
      </c>
      <c r="P67">
        <v>0.97</v>
      </c>
      <c r="Q67">
        <v>0.99</v>
      </c>
      <c r="R67">
        <v>1.17</v>
      </c>
      <c r="S67">
        <v>0.97</v>
      </c>
      <c r="T67">
        <v>3711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4</v>
      </c>
      <c r="G68">
        <v>27</v>
      </c>
      <c r="H68">
        <v>9</v>
      </c>
      <c r="I68">
        <v>31</v>
      </c>
      <c r="J68">
        <v>1.44</v>
      </c>
      <c r="K68">
        <v>1.36</v>
      </c>
      <c r="L68">
        <v>1.1599999999999999</v>
      </c>
      <c r="M68">
        <v>1.27</v>
      </c>
      <c r="N68">
        <v>1.38</v>
      </c>
      <c r="O68">
        <v>1.34</v>
      </c>
      <c r="P68">
        <v>1.17</v>
      </c>
      <c r="Q68">
        <v>1.08</v>
      </c>
      <c r="R68">
        <v>1.27</v>
      </c>
      <c r="S68">
        <v>1.07</v>
      </c>
      <c r="T68">
        <v>3700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16.549199999999999</v>
      </c>
      <c r="K73">
        <f t="shared" ref="K73:R73" si="0">22.275*K45-6.1713</f>
        <v>18.331200000000003</v>
      </c>
      <c r="L73">
        <f t="shared" si="0"/>
        <v>21.4497</v>
      </c>
      <c r="M73">
        <f t="shared" si="0"/>
        <v>24.790949999999999</v>
      </c>
      <c r="N73">
        <f t="shared" si="0"/>
        <v>23.008950000000002</v>
      </c>
      <c r="O73">
        <f t="shared" si="0"/>
        <v>25.013699999999996</v>
      </c>
      <c r="P73">
        <f t="shared" si="0"/>
        <v>26.12745</v>
      </c>
      <c r="Q73">
        <f t="shared" si="0"/>
        <v>24.345450000000003</v>
      </c>
      <c r="R73">
        <f t="shared" si="0"/>
        <v>24.345450000000003</v>
      </c>
      <c r="S73">
        <f>22.275*(S45*1.1)-6.1713</f>
        <v>20.046375000000005</v>
      </c>
    </row>
    <row r="74" spans="1:20" x14ac:dyDescent="0.25">
      <c r="I74" t="s">
        <v>43</v>
      </c>
      <c r="J74">
        <f t="shared" ref="J74:R89" si="1">22.275*J46-6.1713</f>
        <v>20.335949999999997</v>
      </c>
      <c r="K74">
        <f t="shared" si="1"/>
        <v>21.4497</v>
      </c>
      <c r="L74">
        <f t="shared" si="1"/>
        <v>16.77195</v>
      </c>
      <c r="M74">
        <f t="shared" si="1"/>
        <v>15.435449999999999</v>
      </c>
      <c r="N74">
        <f t="shared" si="1"/>
        <v>13.20795</v>
      </c>
      <c r="O74">
        <f t="shared" si="1"/>
        <v>13.653449999999999</v>
      </c>
      <c r="P74">
        <f t="shared" si="1"/>
        <v>16.1037</v>
      </c>
      <c r="Q74">
        <f t="shared" si="1"/>
        <v>22.340700000000002</v>
      </c>
      <c r="R74">
        <f t="shared" si="1"/>
        <v>19.667699999999996</v>
      </c>
      <c r="S74">
        <f t="shared" ref="S74:S91" si="2">22.275*(S46*1.1)-6.1713</f>
        <v>16.371000000000006</v>
      </c>
    </row>
    <row r="75" spans="1:20" x14ac:dyDescent="0.25">
      <c r="I75" t="s">
        <v>44</v>
      </c>
      <c r="J75">
        <f t="shared" si="1"/>
        <v>18.776700000000002</v>
      </c>
      <c r="K75">
        <f t="shared" si="1"/>
        <v>18.331200000000003</v>
      </c>
      <c r="L75">
        <f t="shared" si="1"/>
        <v>19.890449999999998</v>
      </c>
      <c r="M75">
        <f t="shared" si="1"/>
        <v>22.340700000000002</v>
      </c>
      <c r="N75">
        <f t="shared" si="1"/>
        <v>21.895199999999999</v>
      </c>
      <c r="O75">
        <f t="shared" si="1"/>
        <v>23.008950000000002</v>
      </c>
      <c r="P75">
        <f t="shared" si="1"/>
        <v>22.340700000000002</v>
      </c>
      <c r="Q75">
        <f t="shared" si="1"/>
        <v>21.4497</v>
      </c>
      <c r="R75">
        <f t="shared" si="1"/>
        <v>23.677200000000003</v>
      </c>
      <c r="S75">
        <f t="shared" si="2"/>
        <v>20.046375000000005</v>
      </c>
    </row>
    <row r="76" spans="1:20" x14ac:dyDescent="0.25">
      <c r="I76" t="s">
        <v>45</v>
      </c>
      <c r="J76">
        <f t="shared" si="1"/>
        <v>23.89995</v>
      </c>
      <c r="K76">
        <f t="shared" si="1"/>
        <v>24.568199999999997</v>
      </c>
      <c r="L76">
        <f t="shared" si="1"/>
        <v>25.013699999999996</v>
      </c>
      <c r="M76">
        <f t="shared" si="1"/>
        <v>25.013699999999996</v>
      </c>
      <c r="N76">
        <f t="shared" si="1"/>
        <v>21.672450000000001</v>
      </c>
      <c r="O76">
        <f t="shared" si="1"/>
        <v>22.786200000000001</v>
      </c>
      <c r="P76">
        <f t="shared" si="1"/>
        <v>25.904699999999995</v>
      </c>
      <c r="Q76">
        <f t="shared" si="1"/>
        <v>22.56345</v>
      </c>
      <c r="R76">
        <f t="shared" si="1"/>
        <v>22.340700000000002</v>
      </c>
      <c r="S76">
        <f t="shared" si="2"/>
        <v>15.880950000000002</v>
      </c>
    </row>
    <row r="77" spans="1:20" x14ac:dyDescent="0.25">
      <c r="I77" t="s">
        <v>46</v>
      </c>
      <c r="J77">
        <f t="shared" si="1"/>
        <v>24.122700000000002</v>
      </c>
      <c r="K77">
        <f t="shared" si="1"/>
        <v>22.11795</v>
      </c>
      <c r="L77">
        <f t="shared" si="1"/>
        <v>23.008950000000002</v>
      </c>
      <c r="M77">
        <f t="shared" si="1"/>
        <v>23.454450000000001</v>
      </c>
      <c r="N77">
        <f t="shared" si="1"/>
        <v>24.122700000000002</v>
      </c>
      <c r="O77">
        <f t="shared" si="1"/>
        <v>23.89995</v>
      </c>
      <c r="P77">
        <f t="shared" si="1"/>
        <v>21.004199999999997</v>
      </c>
      <c r="Q77">
        <f t="shared" si="1"/>
        <v>23.454450000000001</v>
      </c>
      <c r="R77">
        <f t="shared" si="1"/>
        <v>23.008950000000002</v>
      </c>
      <c r="S77">
        <f t="shared" si="2"/>
        <v>19.556325000000005</v>
      </c>
    </row>
    <row r="78" spans="1:20" x14ac:dyDescent="0.25">
      <c r="I78" t="s">
        <v>47</v>
      </c>
      <c r="J78">
        <f t="shared" si="1"/>
        <v>22.786200000000001</v>
      </c>
      <c r="K78">
        <f t="shared" si="1"/>
        <v>21.004199999999997</v>
      </c>
      <c r="L78">
        <f t="shared" si="1"/>
        <v>21.226949999999999</v>
      </c>
      <c r="M78">
        <f t="shared" si="1"/>
        <v>19.444949999999999</v>
      </c>
      <c r="N78">
        <f t="shared" si="1"/>
        <v>18.108450000000001</v>
      </c>
      <c r="O78">
        <f t="shared" si="1"/>
        <v>14.98995</v>
      </c>
      <c r="P78">
        <f t="shared" si="1"/>
        <v>15.435449999999999</v>
      </c>
      <c r="Q78">
        <f t="shared" si="1"/>
        <v>21.672450000000001</v>
      </c>
      <c r="R78">
        <f t="shared" si="1"/>
        <v>21.226949999999999</v>
      </c>
      <c r="S78">
        <f t="shared" si="2"/>
        <v>12.205575000000003</v>
      </c>
    </row>
    <row r="79" spans="1:20" x14ac:dyDescent="0.25">
      <c r="I79" t="s">
        <v>48</v>
      </c>
      <c r="J79">
        <f t="shared" si="1"/>
        <v>20.335949999999997</v>
      </c>
      <c r="K79">
        <f t="shared" si="1"/>
        <v>20.78145</v>
      </c>
      <c r="L79">
        <f t="shared" si="1"/>
        <v>24.790949999999999</v>
      </c>
      <c r="M79">
        <f t="shared" si="1"/>
        <v>25.904699999999995</v>
      </c>
      <c r="N79">
        <f t="shared" si="1"/>
        <v>18.55395</v>
      </c>
      <c r="O79">
        <f t="shared" si="1"/>
        <v>12.316949999999999</v>
      </c>
      <c r="P79">
        <f t="shared" si="1"/>
        <v>13.653449999999999</v>
      </c>
      <c r="Q79">
        <f t="shared" si="1"/>
        <v>19.890449999999998</v>
      </c>
      <c r="R79">
        <f t="shared" si="1"/>
        <v>18.999449999999996</v>
      </c>
      <c r="S79">
        <f t="shared" si="2"/>
        <v>17.106074999999997</v>
      </c>
    </row>
    <row r="80" spans="1:20" x14ac:dyDescent="0.25">
      <c r="I80" t="s">
        <v>49</v>
      </c>
      <c r="J80">
        <f t="shared" si="1"/>
        <v>12.316949999999999</v>
      </c>
      <c r="K80">
        <f t="shared" si="1"/>
        <v>10.089449999999999</v>
      </c>
      <c r="L80">
        <f t="shared" si="1"/>
        <v>10.089449999999999</v>
      </c>
      <c r="M80">
        <f t="shared" si="1"/>
        <v>10.980450000000001</v>
      </c>
      <c r="N80">
        <f t="shared" si="1"/>
        <v>11.203200000000002</v>
      </c>
      <c r="O80">
        <f t="shared" si="1"/>
        <v>11.648700000000002</v>
      </c>
      <c r="P80">
        <f t="shared" si="1"/>
        <v>12.762450000000001</v>
      </c>
      <c r="Q80">
        <f t="shared" si="1"/>
        <v>16.77195</v>
      </c>
      <c r="R80">
        <f t="shared" si="1"/>
        <v>23.2317</v>
      </c>
      <c r="S80">
        <f t="shared" si="2"/>
        <v>18.576225000000004</v>
      </c>
    </row>
    <row r="81" spans="9:19" x14ac:dyDescent="0.25">
      <c r="I81" t="s">
        <v>50</v>
      </c>
      <c r="J81">
        <f t="shared" si="1"/>
        <v>23.89995</v>
      </c>
      <c r="K81">
        <f t="shared" si="1"/>
        <v>23.454450000000001</v>
      </c>
      <c r="L81">
        <f t="shared" si="1"/>
        <v>24.345450000000003</v>
      </c>
      <c r="M81">
        <f t="shared" si="1"/>
        <v>23.454450000000001</v>
      </c>
      <c r="N81">
        <f t="shared" si="1"/>
        <v>21.672450000000001</v>
      </c>
      <c r="O81">
        <f t="shared" si="1"/>
        <v>16.1037</v>
      </c>
      <c r="P81">
        <f t="shared" si="1"/>
        <v>14.3217</v>
      </c>
      <c r="Q81">
        <f t="shared" si="1"/>
        <v>16.1037</v>
      </c>
      <c r="R81">
        <f t="shared" si="1"/>
        <v>16.549199999999999</v>
      </c>
      <c r="S81">
        <f t="shared" si="2"/>
        <v>14.655825</v>
      </c>
    </row>
    <row r="82" spans="9:19" x14ac:dyDescent="0.25">
      <c r="I82" t="s">
        <v>51</v>
      </c>
      <c r="J82">
        <f t="shared" si="1"/>
        <v>14.544450000000001</v>
      </c>
      <c r="K82">
        <f t="shared" si="1"/>
        <v>13.20795</v>
      </c>
      <c r="L82">
        <f t="shared" si="1"/>
        <v>11.648700000000002</v>
      </c>
      <c r="M82">
        <f t="shared" si="1"/>
        <v>9.866699999999998</v>
      </c>
      <c r="N82">
        <f t="shared" si="1"/>
        <v>10.089449999999999</v>
      </c>
      <c r="O82">
        <f t="shared" si="1"/>
        <v>11.871450000000003</v>
      </c>
      <c r="P82">
        <f t="shared" si="1"/>
        <v>14.098950000000002</v>
      </c>
      <c r="Q82">
        <f t="shared" si="1"/>
        <v>20.335949999999997</v>
      </c>
      <c r="R82">
        <f t="shared" si="1"/>
        <v>22.786200000000001</v>
      </c>
      <c r="S82">
        <f t="shared" si="2"/>
        <v>17.841150000000003</v>
      </c>
    </row>
    <row r="83" spans="9:19" x14ac:dyDescent="0.25">
      <c r="I83" t="s">
        <v>52</v>
      </c>
      <c r="J83">
        <f t="shared" si="1"/>
        <v>17.440200000000001</v>
      </c>
      <c r="K83">
        <f t="shared" si="1"/>
        <v>18.108450000000001</v>
      </c>
      <c r="L83">
        <f t="shared" si="1"/>
        <v>22.56345</v>
      </c>
      <c r="M83">
        <f t="shared" si="1"/>
        <v>24.568199999999997</v>
      </c>
      <c r="N83">
        <f t="shared" si="1"/>
        <v>21.672450000000001</v>
      </c>
      <c r="O83">
        <f t="shared" si="1"/>
        <v>21.895199999999999</v>
      </c>
      <c r="P83">
        <f t="shared" si="1"/>
        <v>22.56345</v>
      </c>
      <c r="Q83">
        <f t="shared" si="1"/>
        <v>20.78145</v>
      </c>
      <c r="R83">
        <f t="shared" si="1"/>
        <v>20.78145</v>
      </c>
      <c r="S83">
        <f t="shared" si="2"/>
        <v>15.145875</v>
      </c>
    </row>
    <row r="84" spans="9:19" x14ac:dyDescent="0.25">
      <c r="I84" t="s">
        <v>53</v>
      </c>
      <c r="J84">
        <f t="shared" si="1"/>
        <v>11.42595</v>
      </c>
      <c r="K84">
        <f t="shared" si="1"/>
        <v>13.20795</v>
      </c>
      <c r="L84">
        <f t="shared" si="1"/>
        <v>18.331200000000003</v>
      </c>
      <c r="M84">
        <f t="shared" si="1"/>
        <v>22.56345</v>
      </c>
      <c r="N84">
        <f t="shared" si="1"/>
        <v>22.786200000000001</v>
      </c>
      <c r="O84">
        <f t="shared" si="1"/>
        <v>21.226949999999999</v>
      </c>
      <c r="P84">
        <f t="shared" si="1"/>
        <v>23.89995</v>
      </c>
      <c r="Q84">
        <f t="shared" si="1"/>
        <v>23.008950000000002</v>
      </c>
      <c r="R84">
        <f t="shared" si="1"/>
        <v>20.558699999999998</v>
      </c>
      <c r="S84">
        <f t="shared" si="2"/>
        <v>16.616025000000004</v>
      </c>
    </row>
    <row r="85" spans="9:19" x14ac:dyDescent="0.25">
      <c r="I85" t="s">
        <v>54</v>
      </c>
      <c r="J85">
        <f t="shared" si="1"/>
        <v>18.999449999999996</v>
      </c>
      <c r="K85">
        <f t="shared" si="1"/>
        <v>22.56345</v>
      </c>
      <c r="L85">
        <f t="shared" si="1"/>
        <v>27.909450000000003</v>
      </c>
      <c r="M85">
        <f t="shared" si="1"/>
        <v>25.904699999999995</v>
      </c>
      <c r="N85">
        <f t="shared" si="1"/>
        <v>26.7957</v>
      </c>
      <c r="O85">
        <f t="shared" si="1"/>
        <v>26.12745</v>
      </c>
      <c r="P85">
        <f t="shared" si="1"/>
        <v>19.444949999999999</v>
      </c>
      <c r="Q85">
        <f t="shared" si="1"/>
        <v>21.226949999999999</v>
      </c>
      <c r="R85">
        <f t="shared" si="1"/>
        <v>21.895199999999999</v>
      </c>
      <c r="S85">
        <f t="shared" si="2"/>
        <v>19.066275000000005</v>
      </c>
    </row>
    <row r="86" spans="9:19" x14ac:dyDescent="0.25">
      <c r="I86" t="s">
        <v>55</v>
      </c>
      <c r="J86">
        <f t="shared" si="1"/>
        <v>18.331200000000003</v>
      </c>
      <c r="K86">
        <f t="shared" si="1"/>
        <v>19.444949999999999</v>
      </c>
      <c r="L86">
        <f t="shared" si="1"/>
        <v>23.2317</v>
      </c>
      <c r="M86">
        <f t="shared" si="1"/>
        <v>23.008950000000002</v>
      </c>
      <c r="N86">
        <f t="shared" si="1"/>
        <v>25.459199999999999</v>
      </c>
      <c r="O86">
        <f t="shared" si="1"/>
        <v>20.335949999999997</v>
      </c>
      <c r="P86">
        <f t="shared" si="1"/>
        <v>18.776700000000002</v>
      </c>
      <c r="Q86">
        <f t="shared" si="1"/>
        <v>19.667699999999996</v>
      </c>
      <c r="R86">
        <f t="shared" si="1"/>
        <v>21.226949999999999</v>
      </c>
      <c r="S86">
        <f t="shared" si="2"/>
        <v>17.106074999999997</v>
      </c>
    </row>
    <row r="87" spans="9:19" x14ac:dyDescent="0.25">
      <c r="I87" t="s">
        <v>56</v>
      </c>
      <c r="J87">
        <f t="shared" si="1"/>
        <v>20.335949999999997</v>
      </c>
      <c r="K87">
        <f t="shared" si="1"/>
        <v>20.558699999999998</v>
      </c>
      <c r="L87">
        <f t="shared" si="1"/>
        <v>23.2317</v>
      </c>
      <c r="M87">
        <f t="shared" si="1"/>
        <v>18.776700000000002</v>
      </c>
      <c r="N87">
        <f t="shared" si="1"/>
        <v>19.890449999999998</v>
      </c>
      <c r="O87">
        <f t="shared" si="1"/>
        <v>19.890449999999998</v>
      </c>
      <c r="P87">
        <f t="shared" si="1"/>
        <v>21.4497</v>
      </c>
      <c r="Q87">
        <f t="shared" si="1"/>
        <v>19.890449999999998</v>
      </c>
      <c r="R87">
        <f t="shared" si="1"/>
        <v>20.113199999999999</v>
      </c>
      <c r="S87">
        <f t="shared" si="2"/>
        <v>20.291400000000003</v>
      </c>
    </row>
    <row r="88" spans="9:19" x14ac:dyDescent="0.25">
      <c r="I88" t="s">
        <v>57</v>
      </c>
      <c r="J88">
        <f t="shared" si="1"/>
        <v>15.658200000000001</v>
      </c>
      <c r="K88">
        <f t="shared" si="1"/>
        <v>17.8857</v>
      </c>
      <c r="L88">
        <f t="shared" si="1"/>
        <v>25.904699999999995</v>
      </c>
      <c r="M88">
        <f t="shared" si="1"/>
        <v>24.122700000000002</v>
      </c>
      <c r="N88">
        <f t="shared" si="1"/>
        <v>26.350199999999997</v>
      </c>
      <c r="O88">
        <f t="shared" si="1"/>
        <v>23.89995</v>
      </c>
      <c r="P88">
        <f t="shared" si="1"/>
        <v>24.790949999999999</v>
      </c>
      <c r="Q88">
        <f t="shared" si="1"/>
        <v>20.558699999999998</v>
      </c>
      <c r="R88">
        <f t="shared" si="1"/>
        <v>22.56345</v>
      </c>
      <c r="S88">
        <f t="shared" si="2"/>
        <v>19.311300000000003</v>
      </c>
    </row>
    <row r="89" spans="9:19" x14ac:dyDescent="0.25">
      <c r="I89" t="s">
        <v>58</v>
      </c>
      <c r="J89">
        <f t="shared" si="1"/>
        <v>23.454450000000001</v>
      </c>
      <c r="K89">
        <f t="shared" si="1"/>
        <v>23.2317</v>
      </c>
      <c r="L89">
        <f t="shared" si="1"/>
        <v>23.454450000000001</v>
      </c>
      <c r="M89">
        <f t="shared" si="1"/>
        <v>24.345450000000003</v>
      </c>
      <c r="N89">
        <f t="shared" si="1"/>
        <v>21.4497</v>
      </c>
      <c r="O89">
        <f t="shared" si="1"/>
        <v>21.672450000000001</v>
      </c>
      <c r="P89">
        <f t="shared" si="1"/>
        <v>19.890449999999998</v>
      </c>
      <c r="Q89">
        <f t="shared" si="1"/>
        <v>20.78145</v>
      </c>
      <c r="R89">
        <f t="shared" si="1"/>
        <v>20.78145</v>
      </c>
      <c r="S89">
        <f t="shared" si="2"/>
        <v>20.536425000000005</v>
      </c>
    </row>
    <row r="90" spans="9:19" x14ac:dyDescent="0.25">
      <c r="I90" t="s">
        <v>59</v>
      </c>
      <c r="J90">
        <f t="shared" ref="J90:R96" si="3">22.275*J62-6.1713</f>
        <v>22.11795</v>
      </c>
      <c r="K90">
        <f t="shared" si="3"/>
        <v>22.340700000000002</v>
      </c>
      <c r="L90">
        <f t="shared" si="3"/>
        <v>26.572949999999995</v>
      </c>
      <c r="M90">
        <f t="shared" si="3"/>
        <v>27.686699999999998</v>
      </c>
      <c r="N90">
        <f t="shared" si="3"/>
        <v>28.577700000000004</v>
      </c>
      <c r="O90">
        <f t="shared" si="3"/>
        <v>26.7957</v>
      </c>
      <c r="P90">
        <f t="shared" si="3"/>
        <v>23.89995</v>
      </c>
      <c r="Q90">
        <f t="shared" si="3"/>
        <v>19.890449999999998</v>
      </c>
      <c r="R90">
        <f t="shared" si="3"/>
        <v>23.2317</v>
      </c>
      <c r="S90">
        <f t="shared" si="2"/>
        <v>20.536425000000005</v>
      </c>
    </row>
    <row r="91" spans="9:19" x14ac:dyDescent="0.25">
      <c r="I91" t="s">
        <v>60</v>
      </c>
      <c r="J91">
        <f t="shared" si="3"/>
        <v>22.340700000000002</v>
      </c>
      <c r="K91">
        <f t="shared" si="3"/>
        <v>21.4497</v>
      </c>
      <c r="L91">
        <f t="shared" si="3"/>
        <v>25.459199999999999</v>
      </c>
      <c r="M91">
        <f t="shared" si="3"/>
        <v>27.463950000000001</v>
      </c>
      <c r="N91">
        <f t="shared" si="3"/>
        <v>23.89995</v>
      </c>
      <c r="O91">
        <f t="shared" si="3"/>
        <v>22.56345</v>
      </c>
      <c r="P91">
        <f t="shared" si="3"/>
        <v>19.890449999999998</v>
      </c>
      <c r="Q91">
        <f t="shared" si="3"/>
        <v>15.880949999999999</v>
      </c>
      <c r="R91">
        <f t="shared" si="3"/>
        <v>17.217449999999999</v>
      </c>
      <c r="S91">
        <f t="shared" si="2"/>
        <v>14.165775</v>
      </c>
    </row>
    <row r="92" spans="9:19" x14ac:dyDescent="0.25">
      <c r="I92" t="s">
        <v>61</v>
      </c>
      <c r="J92">
        <f t="shared" si="3"/>
        <v>21.4497</v>
      </c>
      <c r="K92">
        <f t="shared" si="3"/>
        <v>21.672450000000001</v>
      </c>
      <c r="L92">
        <f t="shared" si="3"/>
        <v>22.340700000000002</v>
      </c>
      <c r="M92">
        <f t="shared" si="3"/>
        <v>25.459199999999999</v>
      </c>
      <c r="N92">
        <f t="shared" si="3"/>
        <v>26.350199999999997</v>
      </c>
      <c r="O92">
        <f t="shared" si="3"/>
        <v>26.12745</v>
      </c>
      <c r="P92">
        <f t="shared" si="3"/>
        <v>25.681949999999997</v>
      </c>
      <c r="Q92">
        <f t="shared" si="3"/>
        <v>21.4497</v>
      </c>
      <c r="R92">
        <f t="shared" si="3"/>
        <v>22.11795</v>
      </c>
      <c r="S92">
        <f>22.275*(S64*1.1)-6.1713</f>
        <v>20.291400000000003</v>
      </c>
    </row>
    <row r="93" spans="9:19" x14ac:dyDescent="0.25">
      <c r="I93" t="s">
        <v>62</v>
      </c>
      <c r="J93">
        <f t="shared" si="3"/>
        <v>18.331200000000003</v>
      </c>
      <c r="K93">
        <f t="shared" si="3"/>
        <v>14.767199999999999</v>
      </c>
      <c r="L93">
        <f t="shared" si="3"/>
        <v>15.880949999999999</v>
      </c>
      <c r="M93">
        <f t="shared" si="3"/>
        <v>20.113199999999999</v>
      </c>
      <c r="N93">
        <f t="shared" si="3"/>
        <v>20.558699999999998</v>
      </c>
      <c r="O93">
        <f t="shared" si="3"/>
        <v>15.435449999999999</v>
      </c>
      <c r="P93">
        <f t="shared" si="3"/>
        <v>15.435449999999999</v>
      </c>
      <c r="Q93">
        <f t="shared" si="3"/>
        <v>18.108450000000001</v>
      </c>
      <c r="R93">
        <f t="shared" si="3"/>
        <v>20.113199999999999</v>
      </c>
      <c r="S93">
        <f t="shared" ref="S93:S95" si="4">22.275*(S65*1.1)-6.1713</f>
        <v>20.781450000000003</v>
      </c>
    </row>
    <row r="94" spans="9:19" x14ac:dyDescent="0.25">
      <c r="I94" t="s">
        <v>63</v>
      </c>
      <c r="J94">
        <f t="shared" si="3"/>
        <v>21.004199999999997</v>
      </c>
      <c r="K94">
        <f t="shared" si="3"/>
        <v>23.677200000000003</v>
      </c>
      <c r="L94">
        <f t="shared" si="3"/>
        <v>25.236449999999998</v>
      </c>
      <c r="M94">
        <f t="shared" si="3"/>
        <v>18.999449999999996</v>
      </c>
      <c r="N94">
        <f t="shared" si="3"/>
        <v>22.340700000000002</v>
      </c>
      <c r="O94">
        <f t="shared" si="3"/>
        <v>24.568199999999997</v>
      </c>
      <c r="P94">
        <f t="shared" si="3"/>
        <v>18.999449999999996</v>
      </c>
      <c r="Q94">
        <f t="shared" si="3"/>
        <v>21.004199999999997</v>
      </c>
      <c r="R94">
        <f t="shared" si="3"/>
        <v>23.89995</v>
      </c>
      <c r="S94">
        <f t="shared" si="4"/>
        <v>20.781450000000003</v>
      </c>
    </row>
    <row r="95" spans="9:19" x14ac:dyDescent="0.25">
      <c r="I95" t="s">
        <v>64</v>
      </c>
      <c r="J95">
        <f t="shared" si="3"/>
        <v>24.122700000000002</v>
      </c>
      <c r="K95">
        <f t="shared" si="3"/>
        <v>22.56345</v>
      </c>
      <c r="L95">
        <f t="shared" si="3"/>
        <v>20.78145</v>
      </c>
      <c r="M95">
        <f t="shared" si="3"/>
        <v>18.776700000000002</v>
      </c>
      <c r="N95">
        <f t="shared" si="3"/>
        <v>20.558699999999998</v>
      </c>
      <c r="O95">
        <f t="shared" si="3"/>
        <v>20.335949999999997</v>
      </c>
      <c r="P95">
        <f t="shared" si="3"/>
        <v>15.435449999999999</v>
      </c>
      <c r="Q95">
        <f t="shared" si="3"/>
        <v>15.880949999999999</v>
      </c>
      <c r="R95">
        <f t="shared" si="3"/>
        <v>19.890449999999998</v>
      </c>
      <c r="S95">
        <f t="shared" si="4"/>
        <v>17.596124999999997</v>
      </c>
    </row>
    <row r="96" spans="9:19" x14ac:dyDescent="0.25">
      <c r="I96" t="s">
        <v>65</v>
      </c>
      <c r="J96">
        <f>22.275*J68-6.1713</f>
        <v>25.904699999999995</v>
      </c>
      <c r="K96">
        <f t="shared" si="3"/>
        <v>24.122700000000002</v>
      </c>
      <c r="L96">
        <f t="shared" si="3"/>
        <v>19.667699999999996</v>
      </c>
      <c r="M96">
        <f t="shared" si="3"/>
        <v>22.11795</v>
      </c>
      <c r="N96">
        <f t="shared" si="3"/>
        <v>24.568199999999997</v>
      </c>
      <c r="O96">
        <f t="shared" si="3"/>
        <v>23.677200000000003</v>
      </c>
      <c r="P96">
        <f t="shared" si="3"/>
        <v>19.890449999999998</v>
      </c>
      <c r="Q96">
        <f t="shared" si="3"/>
        <v>17.8857</v>
      </c>
      <c r="R96">
        <f t="shared" si="3"/>
        <v>22.11795</v>
      </c>
      <c r="S96">
        <f>22.275*(S68*1.1)-6.1713</f>
        <v>20.046375000000005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0.165492</v>
      </c>
      <c r="K101" s="4">
        <f t="shared" si="5"/>
        <v>0.18331200000000003</v>
      </c>
      <c r="L101" s="4">
        <f t="shared" si="5"/>
        <v>0.21449699999999999</v>
      </c>
      <c r="M101" s="4">
        <f t="shared" si="5"/>
        <v>0.24790949999999998</v>
      </c>
      <c r="N101" s="4">
        <f t="shared" si="5"/>
        <v>0.23008950000000003</v>
      </c>
      <c r="O101" s="4">
        <f t="shared" si="5"/>
        <v>0.25013699999999994</v>
      </c>
      <c r="P101" s="4">
        <f t="shared" si="5"/>
        <v>0.26127450000000002</v>
      </c>
      <c r="Q101" s="4">
        <f t="shared" si="5"/>
        <v>0.24345450000000002</v>
      </c>
      <c r="R101" s="4">
        <f t="shared" si="5"/>
        <v>0.24345450000000002</v>
      </c>
      <c r="S101" s="4">
        <f t="shared" si="5"/>
        <v>0.20046375000000005</v>
      </c>
    </row>
    <row r="102" spans="9:19" x14ac:dyDescent="0.25">
      <c r="I102">
        <v>12</v>
      </c>
      <c r="J102" s="4">
        <f t="shared" ref="J102:S115" si="6">IF(J74&lt;0,"",J74/100)</f>
        <v>0.20335949999999997</v>
      </c>
      <c r="K102" s="4">
        <f t="shared" si="6"/>
        <v>0.21449699999999999</v>
      </c>
      <c r="L102" s="4">
        <f t="shared" si="6"/>
        <v>0.16771949999999999</v>
      </c>
      <c r="M102" s="4">
        <f t="shared" si="6"/>
        <v>0.15435450000000001</v>
      </c>
      <c r="N102" s="4">
        <f t="shared" si="6"/>
        <v>0.13207950000000002</v>
      </c>
      <c r="O102" s="4">
        <f t="shared" si="6"/>
        <v>0.1365345</v>
      </c>
      <c r="P102" s="4">
        <f t="shared" si="6"/>
        <v>0.16103699999999999</v>
      </c>
      <c r="Q102" s="4">
        <f t="shared" si="6"/>
        <v>0.22340700000000002</v>
      </c>
      <c r="R102" s="4">
        <f t="shared" si="6"/>
        <v>0.19667699999999996</v>
      </c>
      <c r="S102" s="4">
        <f t="shared" si="6"/>
        <v>0.16371000000000005</v>
      </c>
    </row>
    <row r="103" spans="9:19" x14ac:dyDescent="0.25">
      <c r="I103">
        <v>13</v>
      </c>
      <c r="J103" s="4">
        <f t="shared" si="6"/>
        <v>0.18776700000000002</v>
      </c>
      <c r="K103" s="4">
        <f t="shared" si="6"/>
        <v>0.18331200000000003</v>
      </c>
      <c r="L103" s="4">
        <f t="shared" si="6"/>
        <v>0.19890449999999998</v>
      </c>
      <c r="M103" s="4">
        <f t="shared" si="6"/>
        <v>0.22340700000000002</v>
      </c>
      <c r="N103" s="4">
        <f t="shared" si="6"/>
        <v>0.21895199999999998</v>
      </c>
      <c r="O103" s="4">
        <f t="shared" si="6"/>
        <v>0.23008950000000003</v>
      </c>
      <c r="P103" s="4">
        <f t="shared" si="6"/>
        <v>0.22340700000000002</v>
      </c>
      <c r="Q103" s="4">
        <f t="shared" si="6"/>
        <v>0.21449699999999999</v>
      </c>
      <c r="R103" s="4">
        <f t="shared" si="6"/>
        <v>0.23677200000000004</v>
      </c>
      <c r="S103" s="4">
        <f t="shared" si="6"/>
        <v>0.20046375000000005</v>
      </c>
    </row>
    <row r="104" spans="9:19" x14ac:dyDescent="0.25">
      <c r="I104">
        <v>14</v>
      </c>
      <c r="J104" s="4">
        <f t="shared" si="6"/>
        <v>0.2389995</v>
      </c>
      <c r="K104" s="4">
        <f t="shared" si="6"/>
        <v>0.24568199999999998</v>
      </c>
      <c r="L104" s="4">
        <f t="shared" si="6"/>
        <v>0.25013699999999994</v>
      </c>
      <c r="M104" s="4">
        <f t="shared" si="6"/>
        <v>0.25013699999999994</v>
      </c>
      <c r="N104" s="4">
        <f t="shared" si="6"/>
        <v>0.21672450000000001</v>
      </c>
      <c r="O104" s="4">
        <f t="shared" si="6"/>
        <v>0.22786200000000001</v>
      </c>
      <c r="P104" s="4">
        <f t="shared" si="6"/>
        <v>0.25904699999999997</v>
      </c>
      <c r="Q104" s="4">
        <f t="shared" si="6"/>
        <v>0.22563449999999999</v>
      </c>
      <c r="R104" s="4">
        <f t="shared" si="6"/>
        <v>0.22340700000000002</v>
      </c>
      <c r="S104" s="4">
        <f t="shared" si="6"/>
        <v>0.15880950000000002</v>
      </c>
    </row>
    <row r="105" spans="9:19" x14ac:dyDescent="0.25">
      <c r="I105">
        <v>21</v>
      </c>
      <c r="J105" s="4">
        <f t="shared" si="6"/>
        <v>0.24122700000000002</v>
      </c>
      <c r="K105" s="4">
        <f t="shared" si="6"/>
        <v>0.2211795</v>
      </c>
      <c r="L105" s="4">
        <f t="shared" si="6"/>
        <v>0.23008950000000003</v>
      </c>
      <c r="M105" s="4">
        <f t="shared" si="6"/>
        <v>0.23454450000000002</v>
      </c>
      <c r="N105" s="4">
        <f t="shared" si="6"/>
        <v>0.24122700000000002</v>
      </c>
      <c r="O105" s="4">
        <f t="shared" si="6"/>
        <v>0.2389995</v>
      </c>
      <c r="P105" s="4">
        <f t="shared" si="6"/>
        <v>0.21004199999999998</v>
      </c>
      <c r="Q105" s="4">
        <f t="shared" si="6"/>
        <v>0.23454450000000002</v>
      </c>
      <c r="R105" s="4">
        <f t="shared" si="6"/>
        <v>0.23008950000000003</v>
      </c>
      <c r="S105" s="4">
        <f t="shared" si="6"/>
        <v>0.19556325000000005</v>
      </c>
    </row>
    <row r="106" spans="9:19" x14ac:dyDescent="0.25">
      <c r="I106">
        <v>22</v>
      </c>
      <c r="J106" s="4">
        <f t="shared" si="6"/>
        <v>0.22786200000000001</v>
      </c>
      <c r="K106" s="4">
        <f t="shared" si="6"/>
        <v>0.21004199999999998</v>
      </c>
      <c r="L106" s="4">
        <f t="shared" si="6"/>
        <v>0.2122695</v>
      </c>
      <c r="M106" s="4">
        <f t="shared" si="6"/>
        <v>0.1944495</v>
      </c>
      <c r="N106" s="4">
        <f t="shared" si="6"/>
        <v>0.18108450000000001</v>
      </c>
      <c r="O106" s="4">
        <f t="shared" si="6"/>
        <v>0.14989949999999999</v>
      </c>
      <c r="P106" s="4">
        <f t="shared" si="6"/>
        <v>0.15435450000000001</v>
      </c>
      <c r="Q106" s="4">
        <f t="shared" si="6"/>
        <v>0.21672450000000001</v>
      </c>
      <c r="R106" s="4">
        <f t="shared" si="6"/>
        <v>0.2122695</v>
      </c>
      <c r="S106" s="4">
        <f t="shared" si="6"/>
        <v>0.12205575000000003</v>
      </c>
    </row>
    <row r="107" spans="9:19" x14ac:dyDescent="0.25">
      <c r="I107">
        <v>23</v>
      </c>
      <c r="J107" s="4">
        <f t="shared" si="6"/>
        <v>0.20335949999999997</v>
      </c>
      <c r="K107" s="4">
        <f t="shared" si="6"/>
        <v>0.20781449999999999</v>
      </c>
      <c r="L107" s="4">
        <f t="shared" si="6"/>
        <v>0.24790949999999998</v>
      </c>
      <c r="M107" s="4">
        <f t="shared" si="6"/>
        <v>0.25904699999999997</v>
      </c>
      <c r="N107" s="4">
        <f t="shared" si="6"/>
        <v>0.1855395</v>
      </c>
      <c r="O107" s="4">
        <f t="shared" si="6"/>
        <v>0.12316949999999999</v>
      </c>
      <c r="P107" s="4">
        <f t="shared" si="6"/>
        <v>0.1365345</v>
      </c>
      <c r="Q107" s="4">
        <f t="shared" si="6"/>
        <v>0.19890449999999998</v>
      </c>
      <c r="R107" s="4">
        <f t="shared" si="6"/>
        <v>0.18999449999999996</v>
      </c>
      <c r="S107" s="4">
        <f t="shared" si="6"/>
        <v>0.17106074999999998</v>
      </c>
    </row>
    <row r="108" spans="9:19" x14ac:dyDescent="0.25">
      <c r="I108">
        <v>24</v>
      </c>
      <c r="J108" s="4">
        <f t="shared" si="6"/>
        <v>0.12316949999999999</v>
      </c>
      <c r="K108" s="4">
        <f t="shared" si="6"/>
        <v>0.1008945</v>
      </c>
      <c r="L108" s="4">
        <f t="shared" si="6"/>
        <v>0.1008945</v>
      </c>
      <c r="M108" s="4">
        <f t="shared" si="6"/>
        <v>0.10980450000000001</v>
      </c>
      <c r="N108" s="4">
        <f t="shared" si="6"/>
        <v>0.11203200000000002</v>
      </c>
      <c r="O108" s="4">
        <f t="shared" si="6"/>
        <v>0.11648700000000002</v>
      </c>
      <c r="P108" s="4">
        <f t="shared" si="6"/>
        <v>0.1276245</v>
      </c>
      <c r="Q108" s="4">
        <f t="shared" si="6"/>
        <v>0.16771949999999999</v>
      </c>
      <c r="R108" s="4">
        <f t="shared" si="6"/>
        <v>0.232317</v>
      </c>
      <c r="S108" s="4">
        <f t="shared" si="6"/>
        <v>0.18576225000000005</v>
      </c>
    </row>
    <row r="109" spans="9:19" x14ac:dyDescent="0.25">
      <c r="I109">
        <v>31</v>
      </c>
      <c r="J109" s="4">
        <f t="shared" si="6"/>
        <v>0.2389995</v>
      </c>
      <c r="K109" s="4">
        <f t="shared" si="6"/>
        <v>0.23454450000000002</v>
      </c>
      <c r="L109" s="4">
        <f t="shared" si="6"/>
        <v>0.24345450000000002</v>
      </c>
      <c r="M109" s="4">
        <f t="shared" si="6"/>
        <v>0.23454450000000002</v>
      </c>
      <c r="N109" s="4">
        <f t="shared" si="6"/>
        <v>0.21672450000000001</v>
      </c>
      <c r="O109" s="4">
        <f t="shared" si="6"/>
        <v>0.16103699999999999</v>
      </c>
      <c r="P109" s="4">
        <f t="shared" si="6"/>
        <v>0.14321700000000001</v>
      </c>
      <c r="Q109" s="4">
        <f t="shared" si="6"/>
        <v>0.16103699999999999</v>
      </c>
      <c r="R109" s="4">
        <f t="shared" si="6"/>
        <v>0.165492</v>
      </c>
      <c r="S109" s="4">
        <f t="shared" si="6"/>
        <v>0.14655825</v>
      </c>
    </row>
    <row r="110" spans="9:19" x14ac:dyDescent="0.25">
      <c r="I110">
        <v>32</v>
      </c>
      <c r="J110" s="4">
        <f t="shared" si="6"/>
        <v>0.1454445</v>
      </c>
      <c r="K110" s="4">
        <f t="shared" si="6"/>
        <v>0.13207950000000002</v>
      </c>
      <c r="L110" s="4">
        <f t="shared" si="6"/>
        <v>0.11648700000000002</v>
      </c>
      <c r="M110" s="4">
        <f t="shared" si="6"/>
        <v>9.8666999999999977E-2</v>
      </c>
      <c r="N110" s="4">
        <f t="shared" si="6"/>
        <v>0.1008945</v>
      </c>
      <c r="O110" s="4">
        <f t="shared" si="6"/>
        <v>0.11871450000000003</v>
      </c>
      <c r="P110" s="4">
        <f t="shared" si="6"/>
        <v>0.14098950000000002</v>
      </c>
      <c r="Q110" s="4">
        <f t="shared" si="6"/>
        <v>0.20335949999999997</v>
      </c>
      <c r="R110" s="4">
        <f t="shared" si="6"/>
        <v>0.22786200000000001</v>
      </c>
      <c r="S110" s="4">
        <f t="shared" si="6"/>
        <v>0.17841150000000003</v>
      </c>
    </row>
    <row r="111" spans="9:19" x14ac:dyDescent="0.25">
      <c r="I111">
        <v>33</v>
      </c>
      <c r="J111" s="4">
        <f t="shared" si="6"/>
        <v>0.174402</v>
      </c>
      <c r="K111" s="4">
        <f t="shared" si="6"/>
        <v>0.18108450000000001</v>
      </c>
      <c r="L111" s="4">
        <f t="shared" si="6"/>
        <v>0.22563449999999999</v>
      </c>
      <c r="M111" s="4">
        <f t="shared" si="6"/>
        <v>0.24568199999999998</v>
      </c>
      <c r="N111" s="4">
        <f t="shared" si="6"/>
        <v>0.21672450000000001</v>
      </c>
      <c r="O111" s="4">
        <f t="shared" si="6"/>
        <v>0.21895199999999998</v>
      </c>
      <c r="P111" s="4">
        <f t="shared" si="6"/>
        <v>0.22563449999999999</v>
      </c>
      <c r="Q111" s="4">
        <f t="shared" si="6"/>
        <v>0.20781449999999999</v>
      </c>
      <c r="R111" s="4">
        <f t="shared" si="6"/>
        <v>0.20781449999999999</v>
      </c>
      <c r="S111" s="4">
        <f t="shared" si="6"/>
        <v>0.15145875</v>
      </c>
    </row>
    <row r="112" spans="9:19" x14ac:dyDescent="0.25">
      <c r="I112">
        <v>34</v>
      </c>
      <c r="J112" s="4">
        <f t="shared" si="6"/>
        <v>0.1142595</v>
      </c>
      <c r="K112" s="4">
        <f t="shared" si="6"/>
        <v>0.13207950000000002</v>
      </c>
      <c r="L112" s="4">
        <f t="shared" si="6"/>
        <v>0.18331200000000003</v>
      </c>
      <c r="M112" s="4">
        <f t="shared" si="6"/>
        <v>0.22563449999999999</v>
      </c>
      <c r="N112" s="4">
        <f t="shared" si="6"/>
        <v>0.22786200000000001</v>
      </c>
      <c r="O112" s="4">
        <f t="shared" si="6"/>
        <v>0.2122695</v>
      </c>
      <c r="P112" s="4">
        <f t="shared" si="6"/>
        <v>0.2389995</v>
      </c>
      <c r="Q112" s="4">
        <f t="shared" si="6"/>
        <v>0.23008950000000003</v>
      </c>
      <c r="R112" s="4">
        <f t="shared" si="6"/>
        <v>0.20558699999999999</v>
      </c>
      <c r="S112" s="4">
        <f t="shared" si="6"/>
        <v>0.16616025000000004</v>
      </c>
    </row>
    <row r="113" spans="9:19" x14ac:dyDescent="0.25">
      <c r="I113">
        <v>41</v>
      </c>
      <c r="J113" s="4">
        <f t="shared" si="6"/>
        <v>0.18999449999999996</v>
      </c>
      <c r="K113" s="4">
        <f t="shared" si="6"/>
        <v>0.22563449999999999</v>
      </c>
      <c r="L113" s="4">
        <f t="shared" si="6"/>
        <v>0.27909450000000002</v>
      </c>
      <c r="M113" s="4">
        <f t="shared" si="6"/>
        <v>0.25904699999999997</v>
      </c>
      <c r="N113" s="4">
        <f t="shared" si="6"/>
        <v>0.267957</v>
      </c>
      <c r="O113" s="4">
        <f t="shared" si="6"/>
        <v>0.26127450000000002</v>
      </c>
      <c r="P113" s="4">
        <f t="shared" si="6"/>
        <v>0.1944495</v>
      </c>
      <c r="Q113" s="4">
        <f t="shared" si="6"/>
        <v>0.2122695</v>
      </c>
      <c r="R113" s="4">
        <f t="shared" si="6"/>
        <v>0.21895199999999998</v>
      </c>
      <c r="S113" s="4">
        <f t="shared" si="6"/>
        <v>0.19066275000000005</v>
      </c>
    </row>
    <row r="114" spans="9:19" x14ac:dyDescent="0.25">
      <c r="I114">
        <v>42</v>
      </c>
      <c r="J114" s="4">
        <f t="shared" si="6"/>
        <v>0.18331200000000003</v>
      </c>
      <c r="K114" s="4">
        <f t="shared" si="6"/>
        <v>0.1944495</v>
      </c>
      <c r="L114" s="4">
        <f t="shared" si="6"/>
        <v>0.232317</v>
      </c>
      <c r="M114" s="4">
        <f t="shared" si="6"/>
        <v>0.23008950000000003</v>
      </c>
      <c r="N114" s="4">
        <f t="shared" si="6"/>
        <v>0.25459199999999998</v>
      </c>
      <c r="O114" s="4">
        <f t="shared" si="6"/>
        <v>0.20335949999999997</v>
      </c>
      <c r="P114" s="4">
        <f t="shared" si="6"/>
        <v>0.18776700000000002</v>
      </c>
      <c r="Q114" s="4">
        <f t="shared" si="6"/>
        <v>0.19667699999999996</v>
      </c>
      <c r="R114" s="4">
        <f t="shared" si="6"/>
        <v>0.2122695</v>
      </c>
      <c r="S114" s="4">
        <f t="shared" si="6"/>
        <v>0.17106074999999998</v>
      </c>
    </row>
    <row r="115" spans="9:19" x14ac:dyDescent="0.25">
      <c r="I115">
        <v>43</v>
      </c>
      <c r="J115" s="4">
        <f t="shared" si="6"/>
        <v>0.20335949999999997</v>
      </c>
      <c r="K115" s="4">
        <f t="shared" si="6"/>
        <v>0.20558699999999999</v>
      </c>
      <c r="L115" s="4">
        <f t="shared" si="6"/>
        <v>0.232317</v>
      </c>
      <c r="M115" s="4">
        <f t="shared" si="6"/>
        <v>0.18776700000000002</v>
      </c>
      <c r="N115" s="4">
        <f t="shared" si="6"/>
        <v>0.19890449999999998</v>
      </c>
      <c r="O115" s="4">
        <f t="shared" si="6"/>
        <v>0.19890449999999998</v>
      </c>
      <c r="P115" s="4">
        <f t="shared" si="6"/>
        <v>0.21449699999999999</v>
      </c>
      <c r="Q115" s="4">
        <f t="shared" si="6"/>
        <v>0.19890449999999998</v>
      </c>
      <c r="R115" s="4">
        <f t="shared" si="6"/>
        <v>0.20113199999999998</v>
      </c>
      <c r="S115" s="4">
        <f t="shared" si="6"/>
        <v>0.20291400000000004</v>
      </c>
    </row>
    <row r="116" spans="9:19" x14ac:dyDescent="0.25">
      <c r="I116">
        <v>44</v>
      </c>
      <c r="J116" s="4">
        <f t="shared" ref="J116:S116" si="7">IF(J88&lt;0,"",J88/100)</f>
        <v>0.156582</v>
      </c>
      <c r="K116" s="4">
        <f t="shared" si="7"/>
        <v>0.17885699999999999</v>
      </c>
      <c r="L116" s="4">
        <f t="shared" si="7"/>
        <v>0.25904699999999997</v>
      </c>
      <c r="M116" s="4">
        <f t="shared" si="7"/>
        <v>0.24122700000000002</v>
      </c>
      <c r="N116" s="4">
        <f t="shared" si="7"/>
        <v>0.26350199999999996</v>
      </c>
      <c r="O116" s="4">
        <f t="shared" si="7"/>
        <v>0.2389995</v>
      </c>
      <c r="P116" s="4">
        <f t="shared" si="7"/>
        <v>0.24790949999999998</v>
      </c>
      <c r="Q116" s="4">
        <f t="shared" si="7"/>
        <v>0.20558699999999999</v>
      </c>
      <c r="R116" s="4">
        <f t="shared" si="7"/>
        <v>0.22563449999999999</v>
      </c>
      <c r="S116" s="4">
        <f t="shared" si="7"/>
        <v>0.19311300000000003</v>
      </c>
    </row>
    <row r="117" spans="9:19" x14ac:dyDescent="0.25">
      <c r="I117">
        <v>51</v>
      </c>
      <c r="J117" s="4">
        <f t="shared" ref="J117:S123" si="8">IF(J89&lt;0,"",J89/100)</f>
        <v>0.23454450000000002</v>
      </c>
      <c r="K117" s="4">
        <f t="shared" si="8"/>
        <v>0.232317</v>
      </c>
      <c r="L117" s="4">
        <f t="shared" si="8"/>
        <v>0.23454450000000002</v>
      </c>
      <c r="M117" s="4">
        <f t="shared" si="8"/>
        <v>0.24345450000000002</v>
      </c>
      <c r="N117" s="4">
        <f t="shared" si="8"/>
        <v>0.21449699999999999</v>
      </c>
      <c r="O117" s="4">
        <f t="shared" si="8"/>
        <v>0.21672450000000001</v>
      </c>
      <c r="P117" s="4">
        <f t="shared" si="8"/>
        <v>0.19890449999999998</v>
      </c>
      <c r="Q117" s="4">
        <f t="shared" si="8"/>
        <v>0.20781449999999999</v>
      </c>
      <c r="R117" s="4">
        <f t="shared" si="8"/>
        <v>0.20781449999999999</v>
      </c>
      <c r="S117" s="4">
        <f t="shared" si="8"/>
        <v>0.20536425000000005</v>
      </c>
    </row>
    <row r="118" spans="9:19" x14ac:dyDescent="0.25">
      <c r="I118">
        <v>52</v>
      </c>
      <c r="J118" s="4">
        <f t="shared" si="8"/>
        <v>0.2211795</v>
      </c>
      <c r="K118" s="4">
        <f t="shared" si="8"/>
        <v>0.22340700000000002</v>
      </c>
      <c r="L118" s="4">
        <f t="shared" si="8"/>
        <v>0.26572949999999995</v>
      </c>
      <c r="M118" s="4">
        <f t="shared" si="8"/>
        <v>0.27686699999999997</v>
      </c>
      <c r="N118" s="4">
        <f t="shared" si="8"/>
        <v>0.28577700000000006</v>
      </c>
      <c r="O118" s="4">
        <f t="shared" si="8"/>
        <v>0.267957</v>
      </c>
      <c r="P118" s="4">
        <f t="shared" si="8"/>
        <v>0.2389995</v>
      </c>
      <c r="Q118" s="4">
        <f t="shared" si="8"/>
        <v>0.19890449999999998</v>
      </c>
      <c r="R118" s="4">
        <f t="shared" si="8"/>
        <v>0.232317</v>
      </c>
      <c r="S118" s="4">
        <f t="shared" si="8"/>
        <v>0.20536425000000005</v>
      </c>
    </row>
    <row r="119" spans="9:19" x14ac:dyDescent="0.25">
      <c r="I119">
        <v>53</v>
      </c>
      <c r="J119" s="4">
        <f t="shared" si="8"/>
        <v>0.22340700000000002</v>
      </c>
      <c r="K119" s="4">
        <f t="shared" si="8"/>
        <v>0.21449699999999999</v>
      </c>
      <c r="L119" s="4">
        <f t="shared" si="8"/>
        <v>0.25459199999999998</v>
      </c>
      <c r="M119" s="4">
        <f t="shared" si="8"/>
        <v>0.27463949999999998</v>
      </c>
      <c r="N119" s="4">
        <f t="shared" si="8"/>
        <v>0.2389995</v>
      </c>
      <c r="O119" s="4">
        <f t="shared" si="8"/>
        <v>0.22563449999999999</v>
      </c>
      <c r="P119" s="4">
        <f t="shared" si="8"/>
        <v>0.19890449999999998</v>
      </c>
      <c r="Q119" s="4">
        <f t="shared" si="8"/>
        <v>0.15880949999999999</v>
      </c>
      <c r="R119" s="4">
        <f t="shared" si="8"/>
        <v>0.17217450000000001</v>
      </c>
      <c r="S119" s="4">
        <f t="shared" si="8"/>
        <v>0.14165775</v>
      </c>
    </row>
    <row r="120" spans="9:19" x14ac:dyDescent="0.25">
      <c r="I120">
        <v>54</v>
      </c>
      <c r="J120" s="4">
        <f t="shared" si="8"/>
        <v>0.21449699999999999</v>
      </c>
      <c r="K120" s="4">
        <f t="shared" si="8"/>
        <v>0.21672450000000001</v>
      </c>
      <c r="L120" s="4">
        <f t="shared" si="8"/>
        <v>0.22340700000000002</v>
      </c>
      <c r="M120" s="4">
        <f t="shared" si="8"/>
        <v>0.25459199999999998</v>
      </c>
      <c r="N120" s="4">
        <f t="shared" si="8"/>
        <v>0.26350199999999996</v>
      </c>
      <c r="O120" s="4">
        <f t="shared" si="8"/>
        <v>0.26127450000000002</v>
      </c>
      <c r="P120" s="4">
        <f t="shared" si="8"/>
        <v>0.25681949999999998</v>
      </c>
      <c r="Q120" s="4">
        <f t="shared" si="8"/>
        <v>0.21449699999999999</v>
      </c>
      <c r="R120" s="4">
        <f t="shared" si="8"/>
        <v>0.2211795</v>
      </c>
      <c r="S120" s="4">
        <f t="shared" si="8"/>
        <v>0.20291400000000004</v>
      </c>
    </row>
    <row r="121" spans="9:19" x14ac:dyDescent="0.25">
      <c r="I121">
        <v>61</v>
      </c>
      <c r="J121" s="4">
        <f t="shared" si="8"/>
        <v>0.18331200000000003</v>
      </c>
      <c r="K121" s="4">
        <f t="shared" si="8"/>
        <v>0.147672</v>
      </c>
      <c r="L121" s="4">
        <f t="shared" si="8"/>
        <v>0.15880949999999999</v>
      </c>
      <c r="M121" s="4">
        <f t="shared" si="8"/>
        <v>0.20113199999999998</v>
      </c>
      <c r="N121" s="4">
        <f t="shared" si="8"/>
        <v>0.20558699999999999</v>
      </c>
      <c r="O121" s="4">
        <f t="shared" si="8"/>
        <v>0.15435450000000001</v>
      </c>
      <c r="P121" s="4">
        <f t="shared" si="8"/>
        <v>0.15435450000000001</v>
      </c>
      <c r="Q121" s="4">
        <f t="shared" si="8"/>
        <v>0.18108450000000001</v>
      </c>
      <c r="R121" s="4">
        <f t="shared" si="8"/>
        <v>0.20113199999999998</v>
      </c>
      <c r="S121" s="4">
        <f t="shared" si="8"/>
        <v>0.20781450000000004</v>
      </c>
    </row>
    <row r="122" spans="9:19" x14ac:dyDescent="0.25">
      <c r="I122">
        <v>62</v>
      </c>
      <c r="J122" s="4">
        <f t="shared" si="8"/>
        <v>0.21004199999999998</v>
      </c>
      <c r="K122" s="4">
        <f t="shared" si="8"/>
        <v>0.23677200000000004</v>
      </c>
      <c r="L122" s="4">
        <f t="shared" si="8"/>
        <v>0.25236449999999999</v>
      </c>
      <c r="M122" s="4">
        <f t="shared" si="8"/>
        <v>0.18999449999999996</v>
      </c>
      <c r="N122" s="4">
        <f t="shared" si="8"/>
        <v>0.22340700000000002</v>
      </c>
      <c r="O122" s="4">
        <f t="shared" si="8"/>
        <v>0.24568199999999998</v>
      </c>
      <c r="P122" s="4">
        <f t="shared" si="8"/>
        <v>0.18999449999999996</v>
      </c>
      <c r="Q122" s="4">
        <f t="shared" si="8"/>
        <v>0.21004199999999998</v>
      </c>
      <c r="R122" s="4">
        <f t="shared" si="8"/>
        <v>0.2389995</v>
      </c>
      <c r="S122" s="4">
        <f t="shared" si="8"/>
        <v>0.20781450000000004</v>
      </c>
    </row>
    <row r="123" spans="9:19" x14ac:dyDescent="0.25">
      <c r="I123">
        <v>63</v>
      </c>
      <c r="J123" s="4">
        <f t="shared" si="8"/>
        <v>0.24122700000000002</v>
      </c>
      <c r="K123" s="4">
        <f t="shared" si="8"/>
        <v>0.22563449999999999</v>
      </c>
      <c r="L123" s="4">
        <f t="shared" si="8"/>
        <v>0.20781449999999999</v>
      </c>
      <c r="M123" s="4">
        <f t="shared" si="8"/>
        <v>0.18776700000000002</v>
      </c>
      <c r="N123" s="4">
        <f t="shared" si="8"/>
        <v>0.20558699999999999</v>
      </c>
      <c r="O123" s="4">
        <f t="shared" si="8"/>
        <v>0.20335949999999997</v>
      </c>
      <c r="P123" s="4">
        <f t="shared" si="8"/>
        <v>0.15435450000000001</v>
      </c>
      <c r="Q123" s="4">
        <f t="shared" si="8"/>
        <v>0.15880949999999999</v>
      </c>
      <c r="R123" s="4">
        <f t="shared" si="8"/>
        <v>0.19890449999999998</v>
      </c>
      <c r="S123" s="4">
        <f t="shared" si="8"/>
        <v>0.17596124999999996</v>
      </c>
    </row>
    <row r="124" spans="9:19" x14ac:dyDescent="0.25">
      <c r="I124">
        <v>64</v>
      </c>
      <c r="J124" s="4">
        <f t="shared" ref="J124:S124" si="9">IF(J96&lt;0,"",J96/100)</f>
        <v>0.25904699999999997</v>
      </c>
      <c r="K124" s="4">
        <f t="shared" si="9"/>
        <v>0.24122700000000002</v>
      </c>
      <c r="L124" s="4">
        <f t="shared" si="9"/>
        <v>0.19667699999999996</v>
      </c>
      <c r="M124" s="4">
        <f t="shared" si="9"/>
        <v>0.2211795</v>
      </c>
      <c r="N124" s="4">
        <f t="shared" si="9"/>
        <v>0.24568199999999998</v>
      </c>
      <c r="O124" s="4">
        <f t="shared" si="9"/>
        <v>0.23677200000000004</v>
      </c>
      <c r="P124" s="4">
        <f t="shared" si="9"/>
        <v>0.19890449999999998</v>
      </c>
      <c r="Q124" s="4">
        <f t="shared" si="9"/>
        <v>0.17885699999999999</v>
      </c>
      <c r="R124" s="4">
        <f t="shared" si="9"/>
        <v>0.2211795</v>
      </c>
      <c r="S124" s="4">
        <f t="shared" si="9"/>
        <v>0.20046375000000005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3B67-4AB8-455C-9FC1-43D849608A0D}">
  <dimension ref="A1:T124"/>
  <sheetViews>
    <sheetView topLeftCell="F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10390</v>
      </c>
      <c r="F1">
        <v>0</v>
      </c>
      <c r="G1">
        <v>10</v>
      </c>
      <c r="H1">
        <v>1827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5</v>
      </c>
      <c r="G18">
        <v>4</v>
      </c>
      <c r="H18">
        <v>7</v>
      </c>
      <c r="I18">
        <v>25</v>
      </c>
      <c r="J18">
        <v>1.01</v>
      </c>
      <c r="K18">
        <v>1.1200000000000001</v>
      </c>
      <c r="L18">
        <v>1.26</v>
      </c>
      <c r="M18">
        <v>1.41</v>
      </c>
      <c r="N18">
        <v>1.32</v>
      </c>
      <c r="O18">
        <v>1.48</v>
      </c>
      <c r="P18">
        <v>1.51</v>
      </c>
      <c r="Q18">
        <v>1.46</v>
      </c>
      <c r="R18">
        <v>1.43</v>
      </c>
      <c r="S18">
        <v>1.2</v>
      </c>
      <c r="T18">
        <v>3717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5</v>
      </c>
      <c r="G19">
        <v>4</v>
      </c>
      <c r="H19">
        <v>7</v>
      </c>
      <c r="I19">
        <v>30</v>
      </c>
      <c r="J19">
        <v>1.19</v>
      </c>
      <c r="K19">
        <v>1.24</v>
      </c>
      <c r="L19">
        <v>1.01</v>
      </c>
      <c r="M19">
        <v>0.97</v>
      </c>
      <c r="N19">
        <v>0.87</v>
      </c>
      <c r="O19">
        <v>0.9</v>
      </c>
      <c r="P19">
        <v>1</v>
      </c>
      <c r="Q19">
        <v>1.38</v>
      </c>
      <c r="R19">
        <v>1.35</v>
      </c>
      <c r="S19">
        <v>1.03</v>
      </c>
      <c r="T19">
        <v>3729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5</v>
      </c>
      <c r="G20">
        <v>4</v>
      </c>
      <c r="H20">
        <v>7</v>
      </c>
      <c r="I20">
        <v>35</v>
      </c>
      <c r="J20">
        <v>1.1299999999999999</v>
      </c>
      <c r="K20">
        <v>1.08</v>
      </c>
      <c r="L20">
        <v>1.1599999999999999</v>
      </c>
      <c r="M20">
        <v>1.27</v>
      </c>
      <c r="N20">
        <v>1.3</v>
      </c>
      <c r="O20">
        <v>1.34</v>
      </c>
      <c r="P20">
        <v>1.36</v>
      </c>
      <c r="Q20">
        <v>1.33</v>
      </c>
      <c r="R20">
        <v>1.43</v>
      </c>
      <c r="S20">
        <v>1.19</v>
      </c>
      <c r="T20">
        <v>3727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5</v>
      </c>
      <c r="G21">
        <v>4</v>
      </c>
      <c r="H21">
        <v>7</v>
      </c>
      <c r="I21">
        <v>31</v>
      </c>
      <c r="J21">
        <v>1.33</v>
      </c>
      <c r="K21">
        <v>1.36</v>
      </c>
      <c r="L21">
        <v>1.41</v>
      </c>
      <c r="M21">
        <v>1.39</v>
      </c>
      <c r="N21">
        <v>1.27</v>
      </c>
      <c r="O21">
        <v>1.33</v>
      </c>
      <c r="P21">
        <v>1.46</v>
      </c>
      <c r="Q21">
        <v>1.37</v>
      </c>
      <c r="R21">
        <v>1.39</v>
      </c>
      <c r="S21">
        <v>1.04</v>
      </c>
      <c r="T21">
        <v>3735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5</v>
      </c>
      <c r="G22">
        <v>4</v>
      </c>
      <c r="H22">
        <v>7</v>
      </c>
      <c r="I22">
        <v>43</v>
      </c>
      <c r="J22">
        <v>0.85</v>
      </c>
      <c r="K22">
        <v>0.74</v>
      </c>
      <c r="L22">
        <v>0.71</v>
      </c>
      <c r="M22">
        <v>0.79</v>
      </c>
      <c r="N22">
        <v>0.84</v>
      </c>
      <c r="O22">
        <v>0.87</v>
      </c>
      <c r="P22">
        <v>0.96</v>
      </c>
      <c r="Q22">
        <v>1.1000000000000001</v>
      </c>
      <c r="R22">
        <v>1.35</v>
      </c>
      <c r="S22">
        <v>1.1100000000000001</v>
      </c>
      <c r="T22">
        <v>3748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5</v>
      </c>
      <c r="G23">
        <v>4</v>
      </c>
      <c r="H23">
        <v>7</v>
      </c>
      <c r="I23">
        <v>47</v>
      </c>
      <c r="J23">
        <v>1.17</v>
      </c>
      <c r="K23">
        <v>1.2</v>
      </c>
      <c r="L23">
        <v>1.35</v>
      </c>
      <c r="M23">
        <v>1.44</v>
      </c>
      <c r="N23">
        <v>1.1100000000000001</v>
      </c>
      <c r="O23">
        <v>0.85</v>
      </c>
      <c r="P23">
        <v>0.88</v>
      </c>
      <c r="Q23">
        <v>1.1599999999999999</v>
      </c>
      <c r="R23">
        <v>1.24</v>
      </c>
      <c r="S23">
        <v>1.1200000000000001</v>
      </c>
      <c r="T23">
        <v>3735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5</v>
      </c>
      <c r="G24">
        <v>4</v>
      </c>
      <c r="H24">
        <v>7</v>
      </c>
      <c r="I24">
        <v>51</v>
      </c>
      <c r="J24">
        <v>1.29</v>
      </c>
      <c r="K24">
        <v>1.24</v>
      </c>
      <c r="L24">
        <v>1.23</v>
      </c>
      <c r="M24">
        <v>1.18</v>
      </c>
      <c r="N24">
        <v>1.1399999999999999</v>
      </c>
      <c r="O24">
        <v>0.99</v>
      </c>
      <c r="P24">
        <v>1</v>
      </c>
      <c r="Q24">
        <v>1.26</v>
      </c>
      <c r="R24">
        <v>1.32</v>
      </c>
      <c r="S24">
        <v>0.95</v>
      </c>
      <c r="T24">
        <v>3744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5</v>
      </c>
      <c r="G25">
        <v>4</v>
      </c>
      <c r="H25">
        <v>7</v>
      </c>
      <c r="I25">
        <v>55</v>
      </c>
      <c r="J25">
        <v>1.37</v>
      </c>
      <c r="K25">
        <v>1.26</v>
      </c>
      <c r="L25">
        <v>1.32</v>
      </c>
      <c r="M25">
        <v>1.32</v>
      </c>
      <c r="N25">
        <v>1.37</v>
      </c>
      <c r="O25">
        <v>1.35</v>
      </c>
      <c r="P25">
        <v>1.24</v>
      </c>
      <c r="Q25">
        <v>1.4</v>
      </c>
      <c r="R25">
        <v>1.43</v>
      </c>
      <c r="S25">
        <v>1.24</v>
      </c>
      <c r="T25">
        <v>3735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5</v>
      </c>
      <c r="G26">
        <v>4</v>
      </c>
      <c r="H26">
        <v>8</v>
      </c>
      <c r="I26">
        <v>0</v>
      </c>
      <c r="J26">
        <v>1.42</v>
      </c>
      <c r="K26">
        <v>1.33</v>
      </c>
      <c r="L26">
        <v>1.33</v>
      </c>
      <c r="M26">
        <v>1.31</v>
      </c>
      <c r="N26">
        <v>1.25</v>
      </c>
      <c r="O26">
        <v>0.98</v>
      </c>
      <c r="P26">
        <v>0.92</v>
      </c>
      <c r="Q26">
        <v>0.98</v>
      </c>
      <c r="R26">
        <v>1.07</v>
      </c>
      <c r="S26">
        <v>1.02</v>
      </c>
      <c r="T26">
        <v>3736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5</v>
      </c>
      <c r="G27">
        <v>4</v>
      </c>
      <c r="H27">
        <v>8</v>
      </c>
      <c r="I27">
        <v>4</v>
      </c>
      <c r="J27">
        <v>0.95</v>
      </c>
      <c r="K27">
        <v>0.89</v>
      </c>
      <c r="L27">
        <v>0.81</v>
      </c>
      <c r="M27">
        <v>0.73</v>
      </c>
      <c r="N27">
        <v>0.77</v>
      </c>
      <c r="O27">
        <v>0.89</v>
      </c>
      <c r="P27">
        <v>0.98</v>
      </c>
      <c r="Q27">
        <v>1.28</v>
      </c>
      <c r="R27">
        <v>1.4</v>
      </c>
      <c r="S27">
        <v>1.08</v>
      </c>
      <c r="T27">
        <v>3772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5</v>
      </c>
      <c r="G28">
        <v>4</v>
      </c>
      <c r="H28">
        <v>8</v>
      </c>
      <c r="I28">
        <v>0</v>
      </c>
      <c r="J28">
        <v>1.1200000000000001</v>
      </c>
      <c r="K28">
        <v>1.1000000000000001</v>
      </c>
      <c r="L28">
        <v>1.32</v>
      </c>
      <c r="M28">
        <v>1.43</v>
      </c>
      <c r="N28">
        <v>1.31</v>
      </c>
      <c r="O28">
        <v>1.31</v>
      </c>
      <c r="P28">
        <v>1.33</v>
      </c>
      <c r="Q28">
        <v>1.26</v>
      </c>
      <c r="R28">
        <v>1.35</v>
      </c>
      <c r="S28">
        <v>1.03</v>
      </c>
      <c r="T28">
        <v>3703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5</v>
      </c>
      <c r="G29">
        <v>4</v>
      </c>
      <c r="H29">
        <v>8</v>
      </c>
      <c r="I29">
        <v>12</v>
      </c>
      <c r="J29">
        <v>0.8</v>
      </c>
      <c r="K29">
        <v>0.88</v>
      </c>
      <c r="L29">
        <v>1.08</v>
      </c>
      <c r="M29">
        <v>1.25</v>
      </c>
      <c r="N29">
        <v>1.3</v>
      </c>
      <c r="O29">
        <v>1.28</v>
      </c>
      <c r="P29">
        <v>1.41</v>
      </c>
      <c r="Q29">
        <v>1.41</v>
      </c>
      <c r="R29">
        <v>1.3</v>
      </c>
      <c r="S29">
        <v>1.05</v>
      </c>
      <c r="T29">
        <v>3724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5</v>
      </c>
      <c r="G30">
        <v>4</v>
      </c>
      <c r="H30">
        <v>8</v>
      </c>
      <c r="I30">
        <v>16</v>
      </c>
      <c r="J30">
        <v>0.98</v>
      </c>
      <c r="K30">
        <v>1.1100000000000001</v>
      </c>
      <c r="L30">
        <v>1.42</v>
      </c>
      <c r="M30">
        <v>1.36</v>
      </c>
      <c r="N30">
        <v>1.42</v>
      </c>
      <c r="O30">
        <v>1.37</v>
      </c>
      <c r="P30">
        <v>1.43</v>
      </c>
      <c r="Q30">
        <v>1.25</v>
      </c>
      <c r="R30">
        <v>1.31</v>
      </c>
      <c r="S30">
        <v>1.1299999999999999</v>
      </c>
      <c r="T30">
        <v>3730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5</v>
      </c>
      <c r="G31">
        <v>4</v>
      </c>
      <c r="H31">
        <v>8</v>
      </c>
      <c r="I31">
        <v>20</v>
      </c>
      <c r="J31">
        <v>1.18</v>
      </c>
      <c r="K31">
        <v>1.18</v>
      </c>
      <c r="L31">
        <v>1.29</v>
      </c>
      <c r="M31">
        <v>1.1399999999999999</v>
      </c>
      <c r="N31">
        <v>1.18</v>
      </c>
      <c r="O31">
        <v>1.22</v>
      </c>
      <c r="P31">
        <v>1.31</v>
      </c>
      <c r="Q31">
        <v>1.27</v>
      </c>
      <c r="R31">
        <v>1.33</v>
      </c>
      <c r="S31">
        <v>1.1399999999999999</v>
      </c>
      <c r="T31">
        <v>3722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5</v>
      </c>
      <c r="G32">
        <v>4</v>
      </c>
      <c r="H32">
        <v>8</v>
      </c>
      <c r="I32">
        <v>24</v>
      </c>
      <c r="J32">
        <v>1.1200000000000001</v>
      </c>
      <c r="K32">
        <v>1.1499999999999999</v>
      </c>
      <c r="L32">
        <v>1.29</v>
      </c>
      <c r="M32">
        <v>1.33</v>
      </c>
      <c r="N32">
        <v>1.43</v>
      </c>
      <c r="O32">
        <v>1.31</v>
      </c>
      <c r="P32">
        <v>1.22</v>
      </c>
      <c r="Q32">
        <v>1.34</v>
      </c>
      <c r="R32">
        <v>1.33</v>
      </c>
      <c r="S32">
        <v>1.0900000000000001</v>
      </c>
      <c r="T32">
        <v>3715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5</v>
      </c>
      <c r="G33">
        <v>4</v>
      </c>
      <c r="H33">
        <v>8</v>
      </c>
      <c r="I33">
        <v>20</v>
      </c>
      <c r="J33">
        <v>1.1399999999999999</v>
      </c>
      <c r="K33">
        <v>1.27</v>
      </c>
      <c r="L33">
        <v>1.5</v>
      </c>
      <c r="M33">
        <v>1.4</v>
      </c>
      <c r="N33">
        <v>1.46</v>
      </c>
      <c r="O33">
        <v>1.43</v>
      </c>
      <c r="P33">
        <v>1.19</v>
      </c>
      <c r="Q33">
        <v>1.29</v>
      </c>
      <c r="R33">
        <v>1.38</v>
      </c>
      <c r="S33">
        <v>1.21</v>
      </c>
      <c r="T33">
        <v>3681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5</v>
      </c>
      <c r="G34">
        <v>4</v>
      </c>
      <c r="H34">
        <v>8</v>
      </c>
      <c r="I34">
        <v>32</v>
      </c>
      <c r="J34">
        <v>1.35</v>
      </c>
      <c r="K34">
        <v>1.34</v>
      </c>
      <c r="L34">
        <v>1.36</v>
      </c>
      <c r="M34">
        <v>1.37</v>
      </c>
      <c r="N34">
        <v>1.27</v>
      </c>
      <c r="O34">
        <v>1.32</v>
      </c>
      <c r="P34">
        <v>1.26</v>
      </c>
      <c r="Q34">
        <v>1.34</v>
      </c>
      <c r="R34">
        <v>1.41</v>
      </c>
      <c r="S34">
        <v>1.24</v>
      </c>
      <c r="T34">
        <v>3691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5</v>
      </c>
      <c r="G35">
        <v>4</v>
      </c>
      <c r="H35">
        <v>8</v>
      </c>
      <c r="I35">
        <v>40</v>
      </c>
      <c r="J35">
        <v>1.3</v>
      </c>
      <c r="K35">
        <v>1.28</v>
      </c>
      <c r="L35">
        <v>1.44</v>
      </c>
      <c r="M35">
        <v>1.53</v>
      </c>
      <c r="N35">
        <v>1.6</v>
      </c>
      <c r="O35">
        <v>1.56</v>
      </c>
      <c r="P35">
        <v>1.43</v>
      </c>
      <c r="Q35">
        <v>1.32</v>
      </c>
      <c r="R35">
        <v>1.37</v>
      </c>
      <c r="S35">
        <v>1.2</v>
      </c>
      <c r="T35">
        <v>3685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5</v>
      </c>
      <c r="G36">
        <v>4</v>
      </c>
      <c r="H36">
        <v>8</v>
      </c>
      <c r="I36">
        <v>44</v>
      </c>
      <c r="J36">
        <v>1.26</v>
      </c>
      <c r="K36">
        <v>1.22</v>
      </c>
      <c r="L36">
        <v>1.39</v>
      </c>
      <c r="M36">
        <v>1.47</v>
      </c>
      <c r="N36">
        <v>1.37</v>
      </c>
      <c r="O36">
        <v>1.32</v>
      </c>
      <c r="P36">
        <v>1.29</v>
      </c>
      <c r="Q36">
        <v>1.17</v>
      </c>
      <c r="R36">
        <v>1.27</v>
      </c>
      <c r="S36">
        <v>1.02</v>
      </c>
      <c r="T36">
        <v>3698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5</v>
      </c>
      <c r="G37">
        <v>4</v>
      </c>
      <c r="H37">
        <v>8</v>
      </c>
      <c r="I37">
        <v>40</v>
      </c>
      <c r="J37">
        <v>1.26</v>
      </c>
      <c r="K37">
        <v>1.24</v>
      </c>
      <c r="L37">
        <v>1.26</v>
      </c>
      <c r="M37">
        <v>1.44</v>
      </c>
      <c r="N37">
        <v>1.51</v>
      </c>
      <c r="O37">
        <v>1.52</v>
      </c>
      <c r="P37">
        <v>1.48</v>
      </c>
      <c r="Q37">
        <v>1.36</v>
      </c>
      <c r="R37">
        <v>1.3</v>
      </c>
      <c r="S37">
        <v>1.17</v>
      </c>
      <c r="T37">
        <v>3688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5</v>
      </c>
      <c r="G38">
        <v>4</v>
      </c>
      <c r="H38">
        <v>8</v>
      </c>
      <c r="I38">
        <v>52</v>
      </c>
      <c r="J38">
        <v>1.38</v>
      </c>
      <c r="K38">
        <v>1.35</v>
      </c>
      <c r="L38">
        <v>1.21</v>
      </c>
      <c r="M38">
        <v>1.28</v>
      </c>
      <c r="N38">
        <v>1.38</v>
      </c>
      <c r="O38">
        <v>1.35</v>
      </c>
      <c r="P38">
        <v>1.29</v>
      </c>
      <c r="Q38">
        <v>1.19</v>
      </c>
      <c r="R38">
        <v>1.3</v>
      </c>
      <c r="S38">
        <v>1.19</v>
      </c>
      <c r="T38">
        <v>3700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5</v>
      </c>
      <c r="G39">
        <v>4</v>
      </c>
      <c r="H39">
        <v>8</v>
      </c>
      <c r="I39">
        <v>56</v>
      </c>
      <c r="J39">
        <v>1.38</v>
      </c>
      <c r="K39">
        <v>1.28</v>
      </c>
      <c r="L39">
        <v>1.22</v>
      </c>
      <c r="M39">
        <v>1.1299999999999999</v>
      </c>
      <c r="N39">
        <v>1.17</v>
      </c>
      <c r="O39">
        <v>1.2</v>
      </c>
      <c r="P39">
        <v>1.07</v>
      </c>
      <c r="Q39">
        <v>1.1200000000000001</v>
      </c>
      <c r="R39">
        <v>1.28</v>
      </c>
      <c r="S39">
        <v>1.1399999999999999</v>
      </c>
      <c r="T39">
        <v>3680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5</v>
      </c>
      <c r="G40">
        <v>4</v>
      </c>
      <c r="H40">
        <v>9</v>
      </c>
      <c r="I40">
        <v>0</v>
      </c>
      <c r="J40">
        <v>1.23</v>
      </c>
      <c r="K40">
        <v>1.32</v>
      </c>
      <c r="L40">
        <v>1.4</v>
      </c>
      <c r="M40">
        <v>1.1599999999999999</v>
      </c>
      <c r="N40">
        <v>1.35</v>
      </c>
      <c r="O40">
        <v>1.44</v>
      </c>
      <c r="P40">
        <v>1.26</v>
      </c>
      <c r="Q40">
        <v>1.28</v>
      </c>
      <c r="R40">
        <v>1.4</v>
      </c>
      <c r="S40">
        <v>1.24</v>
      </c>
      <c r="T40">
        <v>3668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5</v>
      </c>
      <c r="G41">
        <v>4</v>
      </c>
      <c r="H41">
        <v>9</v>
      </c>
      <c r="I41">
        <v>4</v>
      </c>
      <c r="J41">
        <v>1.1000000000000001</v>
      </c>
      <c r="K41">
        <v>0.94</v>
      </c>
      <c r="L41">
        <v>0.99</v>
      </c>
      <c r="M41">
        <v>1.1599999999999999</v>
      </c>
      <c r="N41">
        <v>1.22</v>
      </c>
      <c r="O41">
        <v>0.98</v>
      </c>
      <c r="P41">
        <v>0.97</v>
      </c>
      <c r="Q41">
        <v>1.25</v>
      </c>
      <c r="R41">
        <v>1.4</v>
      </c>
      <c r="S41">
        <v>1.22</v>
      </c>
      <c r="T41">
        <v>3691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5</v>
      </c>
      <c r="G45">
        <v>4</v>
      </c>
      <c r="H45">
        <v>7</v>
      </c>
      <c r="I45">
        <v>25</v>
      </c>
      <c r="J45">
        <v>1.01</v>
      </c>
      <c r="K45">
        <v>1.1200000000000001</v>
      </c>
      <c r="L45">
        <v>1.26</v>
      </c>
      <c r="M45">
        <v>1.41</v>
      </c>
      <c r="N45">
        <v>1.32</v>
      </c>
      <c r="O45">
        <v>1.48</v>
      </c>
      <c r="P45">
        <v>1.51</v>
      </c>
      <c r="Q45">
        <v>1.46</v>
      </c>
      <c r="R45">
        <v>1.43</v>
      </c>
      <c r="S45">
        <v>1.2</v>
      </c>
      <c r="T45">
        <v>3717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5</v>
      </c>
      <c r="G46">
        <v>4</v>
      </c>
      <c r="H46">
        <v>7</v>
      </c>
      <c r="I46">
        <v>30</v>
      </c>
      <c r="J46">
        <v>1.19</v>
      </c>
      <c r="K46">
        <v>1.24</v>
      </c>
      <c r="L46">
        <v>1.01</v>
      </c>
      <c r="M46">
        <v>0.97</v>
      </c>
      <c r="N46">
        <v>0.87</v>
      </c>
      <c r="O46">
        <v>0.9</v>
      </c>
      <c r="P46">
        <v>1</v>
      </c>
      <c r="Q46">
        <v>1.38</v>
      </c>
      <c r="R46">
        <v>1.35</v>
      </c>
      <c r="S46">
        <v>1.03</v>
      </c>
      <c r="T46">
        <v>3729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5</v>
      </c>
      <c r="G47">
        <v>4</v>
      </c>
      <c r="H47">
        <v>7</v>
      </c>
      <c r="I47">
        <v>35</v>
      </c>
      <c r="J47">
        <v>1.1299999999999999</v>
      </c>
      <c r="K47">
        <v>1.08</v>
      </c>
      <c r="L47">
        <v>1.1599999999999999</v>
      </c>
      <c r="M47">
        <v>1.27</v>
      </c>
      <c r="N47">
        <v>1.3</v>
      </c>
      <c r="O47">
        <v>1.34</v>
      </c>
      <c r="P47">
        <v>1.36</v>
      </c>
      <c r="Q47">
        <v>1.33</v>
      </c>
      <c r="R47">
        <v>1.43</v>
      </c>
      <c r="S47">
        <v>1.19</v>
      </c>
      <c r="T47">
        <v>3727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5</v>
      </c>
      <c r="G48">
        <v>4</v>
      </c>
      <c r="H48">
        <v>7</v>
      </c>
      <c r="I48">
        <v>31</v>
      </c>
      <c r="J48">
        <v>1.33</v>
      </c>
      <c r="K48">
        <v>1.36</v>
      </c>
      <c r="L48">
        <v>1.41</v>
      </c>
      <c r="M48">
        <v>1.39</v>
      </c>
      <c r="N48">
        <v>1.27</v>
      </c>
      <c r="O48">
        <v>1.33</v>
      </c>
      <c r="P48">
        <v>1.46</v>
      </c>
      <c r="Q48">
        <v>1.37</v>
      </c>
      <c r="R48">
        <v>1.39</v>
      </c>
      <c r="S48">
        <v>1.04</v>
      </c>
      <c r="T48">
        <v>3735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5</v>
      </c>
      <c r="G49">
        <v>4</v>
      </c>
      <c r="H49">
        <v>7</v>
      </c>
      <c r="I49">
        <v>55</v>
      </c>
      <c r="J49">
        <v>1.37</v>
      </c>
      <c r="K49">
        <v>1.26</v>
      </c>
      <c r="L49">
        <v>1.32</v>
      </c>
      <c r="M49">
        <v>1.32</v>
      </c>
      <c r="N49">
        <v>1.37</v>
      </c>
      <c r="O49">
        <v>1.35</v>
      </c>
      <c r="P49">
        <v>1.24</v>
      </c>
      <c r="Q49">
        <v>1.4</v>
      </c>
      <c r="R49">
        <v>1.43</v>
      </c>
      <c r="S49">
        <v>1.24</v>
      </c>
      <c r="T49">
        <v>3735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5</v>
      </c>
      <c r="G50">
        <v>4</v>
      </c>
      <c r="H50">
        <v>7</v>
      </c>
      <c r="I50">
        <v>51</v>
      </c>
      <c r="J50">
        <v>1.29</v>
      </c>
      <c r="K50">
        <v>1.24</v>
      </c>
      <c r="L50">
        <v>1.23</v>
      </c>
      <c r="M50">
        <v>1.18</v>
      </c>
      <c r="N50">
        <v>1.1399999999999999</v>
      </c>
      <c r="O50">
        <v>0.99</v>
      </c>
      <c r="P50">
        <v>1</v>
      </c>
      <c r="Q50">
        <v>1.26</v>
      </c>
      <c r="R50">
        <v>1.32</v>
      </c>
      <c r="S50">
        <v>0.95</v>
      </c>
      <c r="T50">
        <v>3744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5</v>
      </c>
      <c r="G51">
        <v>4</v>
      </c>
      <c r="H51">
        <v>7</v>
      </c>
      <c r="I51">
        <v>47</v>
      </c>
      <c r="J51">
        <v>1.17</v>
      </c>
      <c r="K51">
        <v>1.2</v>
      </c>
      <c r="L51">
        <v>1.35</v>
      </c>
      <c r="M51">
        <v>1.44</v>
      </c>
      <c r="N51">
        <v>1.1100000000000001</v>
      </c>
      <c r="O51">
        <v>0.85</v>
      </c>
      <c r="P51">
        <v>0.88</v>
      </c>
      <c r="Q51">
        <v>1.1599999999999999</v>
      </c>
      <c r="R51">
        <v>1.24</v>
      </c>
      <c r="S51">
        <v>1.1200000000000001</v>
      </c>
      <c r="T51">
        <v>3735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5</v>
      </c>
      <c r="G52">
        <v>4</v>
      </c>
      <c r="H52">
        <v>7</v>
      </c>
      <c r="I52">
        <v>43</v>
      </c>
      <c r="J52">
        <v>0.85</v>
      </c>
      <c r="K52">
        <v>0.74</v>
      </c>
      <c r="L52">
        <v>0.71</v>
      </c>
      <c r="M52">
        <v>0.79</v>
      </c>
      <c r="N52">
        <v>0.84</v>
      </c>
      <c r="O52">
        <v>0.87</v>
      </c>
      <c r="P52">
        <v>0.96</v>
      </c>
      <c r="Q52">
        <v>1.1000000000000001</v>
      </c>
      <c r="R52">
        <v>1.35</v>
      </c>
      <c r="S52">
        <v>1.1100000000000001</v>
      </c>
      <c r="T52">
        <v>3748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5</v>
      </c>
      <c r="G53">
        <v>4</v>
      </c>
      <c r="H53">
        <v>8</v>
      </c>
      <c r="I53">
        <v>0</v>
      </c>
      <c r="J53">
        <v>1.42</v>
      </c>
      <c r="K53">
        <v>1.33</v>
      </c>
      <c r="L53">
        <v>1.33</v>
      </c>
      <c r="M53">
        <v>1.31</v>
      </c>
      <c r="N53">
        <v>1.25</v>
      </c>
      <c r="O53">
        <v>0.98</v>
      </c>
      <c r="P53">
        <v>0.92</v>
      </c>
      <c r="Q53">
        <v>0.98</v>
      </c>
      <c r="R53">
        <v>1.07</v>
      </c>
      <c r="S53">
        <v>1.02</v>
      </c>
      <c r="T53">
        <v>3736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5</v>
      </c>
      <c r="G54">
        <v>4</v>
      </c>
      <c r="H54">
        <v>8</v>
      </c>
      <c r="I54">
        <v>4</v>
      </c>
      <c r="J54">
        <v>0.95</v>
      </c>
      <c r="K54">
        <v>0.89</v>
      </c>
      <c r="L54">
        <v>0.81</v>
      </c>
      <c r="M54">
        <v>0.73</v>
      </c>
      <c r="N54">
        <v>0.77</v>
      </c>
      <c r="O54">
        <v>0.89</v>
      </c>
      <c r="P54">
        <v>0.98</v>
      </c>
      <c r="Q54">
        <v>1.28</v>
      </c>
      <c r="R54">
        <v>1.4</v>
      </c>
      <c r="S54">
        <v>1.08</v>
      </c>
      <c r="T54">
        <v>3772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5</v>
      </c>
      <c r="G55">
        <v>4</v>
      </c>
      <c r="H55">
        <v>8</v>
      </c>
      <c r="I55">
        <v>0</v>
      </c>
      <c r="J55">
        <v>1.1200000000000001</v>
      </c>
      <c r="K55">
        <v>1.1000000000000001</v>
      </c>
      <c r="L55">
        <v>1.32</v>
      </c>
      <c r="M55">
        <v>1.43</v>
      </c>
      <c r="N55">
        <v>1.31</v>
      </c>
      <c r="O55">
        <v>1.31</v>
      </c>
      <c r="P55">
        <v>1.33</v>
      </c>
      <c r="Q55">
        <v>1.26</v>
      </c>
      <c r="R55">
        <v>1.35</v>
      </c>
      <c r="S55">
        <v>1.03</v>
      </c>
      <c r="T55">
        <v>3703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5</v>
      </c>
      <c r="G56">
        <v>4</v>
      </c>
      <c r="H56">
        <v>8</v>
      </c>
      <c r="I56">
        <v>12</v>
      </c>
      <c r="J56">
        <v>0.8</v>
      </c>
      <c r="K56">
        <v>0.88</v>
      </c>
      <c r="L56">
        <v>1.08</v>
      </c>
      <c r="M56">
        <v>1.25</v>
      </c>
      <c r="N56">
        <v>1.3</v>
      </c>
      <c r="O56">
        <v>1.28</v>
      </c>
      <c r="P56">
        <v>1.41</v>
      </c>
      <c r="Q56">
        <v>1.41</v>
      </c>
      <c r="R56">
        <v>1.3</v>
      </c>
      <c r="S56">
        <v>1.05</v>
      </c>
      <c r="T56">
        <v>3724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5</v>
      </c>
      <c r="G57">
        <v>4</v>
      </c>
      <c r="H57">
        <v>8</v>
      </c>
      <c r="I57">
        <v>20</v>
      </c>
      <c r="J57">
        <v>1.1399999999999999</v>
      </c>
      <c r="K57">
        <v>1.27</v>
      </c>
      <c r="L57">
        <v>1.5</v>
      </c>
      <c r="M57">
        <v>1.4</v>
      </c>
      <c r="N57">
        <v>1.46</v>
      </c>
      <c r="O57">
        <v>1.43</v>
      </c>
      <c r="P57">
        <v>1.19</v>
      </c>
      <c r="Q57">
        <v>1.29</v>
      </c>
      <c r="R57">
        <v>1.38</v>
      </c>
      <c r="S57">
        <v>1.21</v>
      </c>
      <c r="T57">
        <v>3681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5</v>
      </c>
      <c r="G58">
        <v>4</v>
      </c>
      <c r="H58">
        <v>8</v>
      </c>
      <c r="I58">
        <v>24</v>
      </c>
      <c r="J58">
        <v>1.1200000000000001</v>
      </c>
      <c r="K58">
        <v>1.1499999999999999</v>
      </c>
      <c r="L58">
        <v>1.29</v>
      </c>
      <c r="M58">
        <v>1.33</v>
      </c>
      <c r="N58">
        <v>1.43</v>
      </c>
      <c r="O58">
        <v>1.31</v>
      </c>
      <c r="P58">
        <v>1.22</v>
      </c>
      <c r="Q58">
        <v>1.34</v>
      </c>
      <c r="R58">
        <v>1.33</v>
      </c>
      <c r="S58">
        <v>1.0900000000000001</v>
      </c>
      <c r="T58">
        <v>3715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5</v>
      </c>
      <c r="G59">
        <v>4</v>
      </c>
      <c r="H59">
        <v>8</v>
      </c>
      <c r="I59">
        <v>20</v>
      </c>
      <c r="J59">
        <v>1.18</v>
      </c>
      <c r="K59">
        <v>1.18</v>
      </c>
      <c r="L59">
        <v>1.29</v>
      </c>
      <c r="M59">
        <v>1.1399999999999999</v>
      </c>
      <c r="N59">
        <v>1.18</v>
      </c>
      <c r="O59">
        <v>1.22</v>
      </c>
      <c r="P59">
        <v>1.31</v>
      </c>
      <c r="Q59">
        <v>1.27</v>
      </c>
      <c r="R59">
        <v>1.33</v>
      </c>
      <c r="S59">
        <v>1.1399999999999999</v>
      </c>
      <c r="T59">
        <v>3722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5</v>
      </c>
      <c r="G60">
        <v>4</v>
      </c>
      <c r="H60">
        <v>8</v>
      </c>
      <c r="I60">
        <v>16</v>
      </c>
      <c r="J60">
        <v>0.98</v>
      </c>
      <c r="K60">
        <v>1.1100000000000001</v>
      </c>
      <c r="L60">
        <v>1.42</v>
      </c>
      <c r="M60">
        <v>1.36</v>
      </c>
      <c r="N60">
        <v>1.42</v>
      </c>
      <c r="O60">
        <v>1.37</v>
      </c>
      <c r="P60">
        <v>1.43</v>
      </c>
      <c r="Q60">
        <v>1.25</v>
      </c>
      <c r="R60">
        <v>1.31</v>
      </c>
      <c r="S60">
        <v>1.1299999999999999</v>
      </c>
      <c r="T60">
        <v>3730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5</v>
      </c>
      <c r="G61">
        <v>4</v>
      </c>
      <c r="H61">
        <v>8</v>
      </c>
      <c r="I61">
        <v>32</v>
      </c>
      <c r="J61">
        <v>1.35</v>
      </c>
      <c r="K61">
        <v>1.34</v>
      </c>
      <c r="L61">
        <v>1.36</v>
      </c>
      <c r="M61">
        <v>1.37</v>
      </c>
      <c r="N61">
        <v>1.27</v>
      </c>
      <c r="O61">
        <v>1.32</v>
      </c>
      <c r="P61">
        <v>1.26</v>
      </c>
      <c r="Q61">
        <v>1.34</v>
      </c>
      <c r="R61">
        <v>1.41</v>
      </c>
      <c r="S61">
        <v>1.24</v>
      </c>
      <c r="T61">
        <v>3691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5</v>
      </c>
      <c r="G62">
        <v>4</v>
      </c>
      <c r="H62">
        <v>8</v>
      </c>
      <c r="I62">
        <v>40</v>
      </c>
      <c r="J62">
        <v>1.3</v>
      </c>
      <c r="K62">
        <v>1.28</v>
      </c>
      <c r="L62">
        <v>1.44</v>
      </c>
      <c r="M62">
        <v>1.53</v>
      </c>
      <c r="N62">
        <v>1.6</v>
      </c>
      <c r="O62">
        <v>1.56</v>
      </c>
      <c r="P62">
        <v>1.43</v>
      </c>
      <c r="Q62">
        <v>1.32</v>
      </c>
      <c r="R62">
        <v>1.37</v>
      </c>
      <c r="S62">
        <v>1.2</v>
      </c>
      <c r="T62">
        <v>3685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5</v>
      </c>
      <c r="G63">
        <v>4</v>
      </c>
      <c r="H63">
        <v>8</v>
      </c>
      <c r="I63">
        <v>44</v>
      </c>
      <c r="J63">
        <v>1.26</v>
      </c>
      <c r="K63">
        <v>1.22</v>
      </c>
      <c r="L63">
        <v>1.39</v>
      </c>
      <c r="M63">
        <v>1.47</v>
      </c>
      <c r="N63">
        <v>1.37</v>
      </c>
      <c r="O63">
        <v>1.32</v>
      </c>
      <c r="P63">
        <v>1.29</v>
      </c>
      <c r="Q63">
        <v>1.17</v>
      </c>
      <c r="R63">
        <v>1.27</v>
      </c>
      <c r="S63">
        <v>1.02</v>
      </c>
      <c r="T63">
        <v>3698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5</v>
      </c>
      <c r="G64">
        <v>4</v>
      </c>
      <c r="H64">
        <v>8</v>
      </c>
      <c r="I64">
        <v>40</v>
      </c>
      <c r="J64">
        <v>1.26</v>
      </c>
      <c r="K64">
        <v>1.24</v>
      </c>
      <c r="L64">
        <v>1.26</v>
      </c>
      <c r="M64">
        <v>1.44</v>
      </c>
      <c r="N64">
        <v>1.51</v>
      </c>
      <c r="O64">
        <v>1.52</v>
      </c>
      <c r="P64">
        <v>1.48</v>
      </c>
      <c r="Q64">
        <v>1.36</v>
      </c>
      <c r="R64">
        <v>1.3</v>
      </c>
      <c r="S64">
        <v>1.17</v>
      </c>
      <c r="T64">
        <v>3688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5</v>
      </c>
      <c r="G65">
        <v>4</v>
      </c>
      <c r="H65">
        <v>9</v>
      </c>
      <c r="I65">
        <v>4</v>
      </c>
      <c r="J65">
        <v>1.1000000000000001</v>
      </c>
      <c r="K65">
        <v>0.94</v>
      </c>
      <c r="L65">
        <v>0.99</v>
      </c>
      <c r="M65">
        <v>1.1599999999999999</v>
      </c>
      <c r="N65">
        <v>1.22</v>
      </c>
      <c r="O65">
        <v>0.98</v>
      </c>
      <c r="P65">
        <v>0.97</v>
      </c>
      <c r="Q65">
        <v>1.25</v>
      </c>
      <c r="R65">
        <v>1.4</v>
      </c>
      <c r="S65">
        <v>1.22</v>
      </c>
      <c r="T65">
        <v>3691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5</v>
      </c>
      <c r="G66">
        <v>4</v>
      </c>
      <c r="H66">
        <v>9</v>
      </c>
      <c r="I66">
        <v>0</v>
      </c>
      <c r="J66">
        <v>1.23</v>
      </c>
      <c r="K66">
        <v>1.32</v>
      </c>
      <c r="L66">
        <v>1.4</v>
      </c>
      <c r="M66">
        <v>1.1599999999999999</v>
      </c>
      <c r="N66">
        <v>1.35</v>
      </c>
      <c r="O66">
        <v>1.44</v>
      </c>
      <c r="P66">
        <v>1.26</v>
      </c>
      <c r="Q66">
        <v>1.28</v>
      </c>
      <c r="R66">
        <v>1.4</v>
      </c>
      <c r="S66">
        <v>1.24</v>
      </c>
      <c r="T66">
        <v>3668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5</v>
      </c>
      <c r="G67">
        <v>4</v>
      </c>
      <c r="H67">
        <v>8</v>
      </c>
      <c r="I67">
        <v>56</v>
      </c>
      <c r="J67">
        <v>1.38</v>
      </c>
      <c r="K67">
        <v>1.28</v>
      </c>
      <c r="L67">
        <v>1.22</v>
      </c>
      <c r="M67">
        <v>1.1299999999999999</v>
      </c>
      <c r="N67">
        <v>1.17</v>
      </c>
      <c r="O67">
        <v>1.2</v>
      </c>
      <c r="P67">
        <v>1.07</v>
      </c>
      <c r="Q67">
        <v>1.1200000000000001</v>
      </c>
      <c r="R67">
        <v>1.28</v>
      </c>
      <c r="S67">
        <v>1.1399999999999999</v>
      </c>
      <c r="T67">
        <v>3680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5</v>
      </c>
      <c r="G68">
        <v>4</v>
      </c>
      <c r="H68">
        <v>8</v>
      </c>
      <c r="I68">
        <v>52</v>
      </c>
      <c r="J68">
        <v>1.38</v>
      </c>
      <c r="K68">
        <v>1.35</v>
      </c>
      <c r="L68">
        <v>1.21</v>
      </c>
      <c r="M68">
        <v>1.28</v>
      </c>
      <c r="N68">
        <v>1.38</v>
      </c>
      <c r="O68">
        <v>1.35</v>
      </c>
      <c r="P68">
        <v>1.29</v>
      </c>
      <c r="Q68">
        <v>1.19</v>
      </c>
      <c r="R68">
        <v>1.3</v>
      </c>
      <c r="S68">
        <v>1.19</v>
      </c>
      <c r="T68">
        <v>3700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16.326450000000001</v>
      </c>
      <c r="K73">
        <f t="shared" ref="K73:R73" si="0">22.275*K45-6.1713</f>
        <v>18.776700000000002</v>
      </c>
      <c r="L73">
        <f t="shared" si="0"/>
        <v>21.895199999999999</v>
      </c>
      <c r="M73">
        <f t="shared" si="0"/>
        <v>25.236449999999998</v>
      </c>
      <c r="N73">
        <f t="shared" si="0"/>
        <v>23.2317</v>
      </c>
      <c r="O73">
        <f t="shared" si="0"/>
        <v>26.7957</v>
      </c>
      <c r="P73">
        <f t="shared" si="0"/>
        <v>27.463950000000001</v>
      </c>
      <c r="Q73">
        <f t="shared" si="0"/>
        <v>26.350199999999997</v>
      </c>
      <c r="R73">
        <f t="shared" si="0"/>
        <v>25.681949999999997</v>
      </c>
      <c r="S73">
        <f>22.275*(S45*1.1)-6.1713</f>
        <v>23.2317</v>
      </c>
    </row>
    <row r="74" spans="1:20" x14ac:dyDescent="0.25">
      <c r="I74" t="s">
        <v>43</v>
      </c>
      <c r="J74">
        <f t="shared" ref="J74:R89" si="1">22.275*J46-6.1713</f>
        <v>20.335949999999997</v>
      </c>
      <c r="K74">
        <f t="shared" si="1"/>
        <v>21.4497</v>
      </c>
      <c r="L74">
        <f t="shared" si="1"/>
        <v>16.326450000000001</v>
      </c>
      <c r="M74">
        <f t="shared" si="1"/>
        <v>15.435449999999999</v>
      </c>
      <c r="N74">
        <f t="shared" si="1"/>
        <v>13.20795</v>
      </c>
      <c r="O74">
        <f t="shared" si="1"/>
        <v>13.876200000000001</v>
      </c>
      <c r="P74">
        <f t="shared" si="1"/>
        <v>16.1037</v>
      </c>
      <c r="Q74">
        <f t="shared" si="1"/>
        <v>24.568199999999997</v>
      </c>
      <c r="R74">
        <f t="shared" si="1"/>
        <v>23.89995</v>
      </c>
      <c r="S74">
        <f t="shared" ref="S74:S91" si="2">22.275*(S46*1.1)-6.1713</f>
        <v>19.066275000000005</v>
      </c>
    </row>
    <row r="75" spans="1:20" x14ac:dyDescent="0.25">
      <c r="I75" t="s">
        <v>44</v>
      </c>
      <c r="J75">
        <f t="shared" si="1"/>
        <v>18.999449999999996</v>
      </c>
      <c r="K75">
        <f t="shared" si="1"/>
        <v>17.8857</v>
      </c>
      <c r="L75">
        <f t="shared" si="1"/>
        <v>19.667699999999996</v>
      </c>
      <c r="M75">
        <f t="shared" si="1"/>
        <v>22.11795</v>
      </c>
      <c r="N75">
        <f t="shared" si="1"/>
        <v>22.786200000000001</v>
      </c>
      <c r="O75">
        <f t="shared" si="1"/>
        <v>23.677200000000003</v>
      </c>
      <c r="P75">
        <f t="shared" si="1"/>
        <v>24.122700000000002</v>
      </c>
      <c r="Q75">
        <f t="shared" si="1"/>
        <v>23.454450000000001</v>
      </c>
      <c r="R75">
        <f t="shared" si="1"/>
        <v>25.681949999999997</v>
      </c>
      <c r="S75">
        <f t="shared" si="2"/>
        <v>22.986674999999998</v>
      </c>
    </row>
    <row r="76" spans="1:20" x14ac:dyDescent="0.25">
      <c r="I76" t="s">
        <v>45</v>
      </c>
      <c r="J76">
        <f t="shared" si="1"/>
        <v>23.454450000000001</v>
      </c>
      <c r="K76">
        <f t="shared" si="1"/>
        <v>24.122700000000002</v>
      </c>
      <c r="L76">
        <f t="shared" si="1"/>
        <v>25.236449999999998</v>
      </c>
      <c r="M76">
        <f t="shared" si="1"/>
        <v>24.790949999999999</v>
      </c>
      <c r="N76">
        <f t="shared" si="1"/>
        <v>22.11795</v>
      </c>
      <c r="O76">
        <f t="shared" si="1"/>
        <v>23.454450000000001</v>
      </c>
      <c r="P76">
        <f t="shared" si="1"/>
        <v>26.350199999999997</v>
      </c>
      <c r="Q76">
        <f t="shared" si="1"/>
        <v>24.345450000000003</v>
      </c>
      <c r="R76">
        <f t="shared" si="1"/>
        <v>24.790949999999999</v>
      </c>
      <c r="S76">
        <f t="shared" si="2"/>
        <v>19.311300000000003</v>
      </c>
    </row>
    <row r="77" spans="1:20" x14ac:dyDescent="0.25">
      <c r="I77" t="s">
        <v>46</v>
      </c>
      <c r="J77">
        <f t="shared" si="1"/>
        <v>24.345450000000003</v>
      </c>
      <c r="K77">
        <f t="shared" si="1"/>
        <v>21.895199999999999</v>
      </c>
      <c r="L77">
        <f t="shared" si="1"/>
        <v>23.2317</v>
      </c>
      <c r="M77">
        <f t="shared" si="1"/>
        <v>23.2317</v>
      </c>
      <c r="N77">
        <f t="shared" si="1"/>
        <v>24.345450000000003</v>
      </c>
      <c r="O77">
        <f t="shared" si="1"/>
        <v>23.89995</v>
      </c>
      <c r="P77">
        <f t="shared" si="1"/>
        <v>21.4497</v>
      </c>
      <c r="Q77">
        <f t="shared" si="1"/>
        <v>25.013699999999996</v>
      </c>
      <c r="R77">
        <f t="shared" si="1"/>
        <v>25.681949999999997</v>
      </c>
      <c r="S77">
        <f t="shared" si="2"/>
        <v>24.2118</v>
      </c>
    </row>
    <row r="78" spans="1:20" x14ac:dyDescent="0.25">
      <c r="I78" t="s">
        <v>47</v>
      </c>
      <c r="J78">
        <f t="shared" si="1"/>
        <v>22.56345</v>
      </c>
      <c r="K78">
        <f t="shared" si="1"/>
        <v>21.4497</v>
      </c>
      <c r="L78">
        <f t="shared" si="1"/>
        <v>21.226949999999999</v>
      </c>
      <c r="M78">
        <f t="shared" si="1"/>
        <v>20.113199999999999</v>
      </c>
      <c r="N78">
        <f t="shared" si="1"/>
        <v>19.222199999999997</v>
      </c>
      <c r="O78">
        <f t="shared" si="1"/>
        <v>15.880949999999999</v>
      </c>
      <c r="P78">
        <f t="shared" si="1"/>
        <v>16.1037</v>
      </c>
      <c r="Q78">
        <f t="shared" si="1"/>
        <v>21.895199999999999</v>
      </c>
      <c r="R78">
        <f t="shared" si="1"/>
        <v>23.2317</v>
      </c>
      <c r="S78">
        <f t="shared" si="2"/>
        <v>17.106074999999997</v>
      </c>
    </row>
    <row r="79" spans="1:20" x14ac:dyDescent="0.25">
      <c r="I79" t="s">
        <v>48</v>
      </c>
      <c r="J79">
        <f t="shared" si="1"/>
        <v>19.890449999999998</v>
      </c>
      <c r="K79">
        <f t="shared" si="1"/>
        <v>20.558699999999998</v>
      </c>
      <c r="L79">
        <f t="shared" si="1"/>
        <v>23.89995</v>
      </c>
      <c r="M79">
        <f t="shared" si="1"/>
        <v>25.904699999999995</v>
      </c>
      <c r="N79">
        <f t="shared" si="1"/>
        <v>18.55395</v>
      </c>
      <c r="O79">
        <f t="shared" si="1"/>
        <v>12.762450000000001</v>
      </c>
      <c r="P79">
        <f t="shared" si="1"/>
        <v>13.430700000000002</v>
      </c>
      <c r="Q79">
        <f t="shared" si="1"/>
        <v>19.667699999999996</v>
      </c>
      <c r="R79">
        <f t="shared" si="1"/>
        <v>21.4497</v>
      </c>
      <c r="S79">
        <f t="shared" si="2"/>
        <v>21.271500000000003</v>
      </c>
    </row>
    <row r="80" spans="1:20" x14ac:dyDescent="0.25">
      <c r="I80" t="s">
        <v>49</v>
      </c>
      <c r="J80">
        <f t="shared" si="1"/>
        <v>12.762450000000001</v>
      </c>
      <c r="K80">
        <f t="shared" si="1"/>
        <v>10.312200000000001</v>
      </c>
      <c r="L80">
        <f t="shared" si="1"/>
        <v>9.6439500000000002</v>
      </c>
      <c r="M80">
        <f t="shared" si="1"/>
        <v>11.42595</v>
      </c>
      <c r="N80">
        <f t="shared" si="1"/>
        <v>12.5397</v>
      </c>
      <c r="O80">
        <f t="shared" si="1"/>
        <v>13.20795</v>
      </c>
      <c r="P80">
        <f t="shared" si="1"/>
        <v>15.212699999999998</v>
      </c>
      <c r="Q80">
        <f t="shared" si="1"/>
        <v>18.331200000000003</v>
      </c>
      <c r="R80">
        <f t="shared" si="1"/>
        <v>23.89995</v>
      </c>
      <c r="S80">
        <f t="shared" si="2"/>
        <v>21.026475000000005</v>
      </c>
    </row>
    <row r="81" spans="9:19" x14ac:dyDescent="0.25">
      <c r="I81" t="s">
        <v>50</v>
      </c>
      <c r="J81">
        <f t="shared" si="1"/>
        <v>25.459199999999999</v>
      </c>
      <c r="K81">
        <f t="shared" si="1"/>
        <v>23.454450000000001</v>
      </c>
      <c r="L81">
        <f t="shared" si="1"/>
        <v>23.454450000000001</v>
      </c>
      <c r="M81">
        <f t="shared" si="1"/>
        <v>23.008950000000002</v>
      </c>
      <c r="N81">
        <f t="shared" si="1"/>
        <v>21.672450000000001</v>
      </c>
      <c r="O81">
        <f t="shared" si="1"/>
        <v>15.658200000000001</v>
      </c>
      <c r="P81">
        <f t="shared" si="1"/>
        <v>14.3217</v>
      </c>
      <c r="Q81">
        <f t="shared" si="1"/>
        <v>15.658200000000001</v>
      </c>
      <c r="R81">
        <f t="shared" si="1"/>
        <v>17.662950000000002</v>
      </c>
      <c r="S81">
        <f t="shared" si="2"/>
        <v>18.821250000000003</v>
      </c>
    </row>
    <row r="82" spans="9:19" x14ac:dyDescent="0.25">
      <c r="I82" t="s">
        <v>51</v>
      </c>
      <c r="J82">
        <f t="shared" si="1"/>
        <v>14.98995</v>
      </c>
      <c r="K82">
        <f t="shared" si="1"/>
        <v>13.653449999999999</v>
      </c>
      <c r="L82">
        <f t="shared" si="1"/>
        <v>11.871450000000003</v>
      </c>
      <c r="M82">
        <f t="shared" si="1"/>
        <v>10.089449999999999</v>
      </c>
      <c r="N82">
        <f t="shared" si="1"/>
        <v>10.980450000000001</v>
      </c>
      <c r="O82">
        <f t="shared" si="1"/>
        <v>13.653449999999999</v>
      </c>
      <c r="P82">
        <f t="shared" si="1"/>
        <v>15.658200000000001</v>
      </c>
      <c r="Q82">
        <f t="shared" si="1"/>
        <v>22.340700000000002</v>
      </c>
      <c r="R82">
        <f t="shared" si="1"/>
        <v>25.013699999999996</v>
      </c>
      <c r="S82">
        <f t="shared" si="2"/>
        <v>20.291400000000003</v>
      </c>
    </row>
    <row r="83" spans="9:19" x14ac:dyDescent="0.25">
      <c r="I83" t="s">
        <v>52</v>
      </c>
      <c r="J83">
        <f t="shared" si="1"/>
        <v>18.776700000000002</v>
      </c>
      <c r="K83">
        <f t="shared" si="1"/>
        <v>18.331200000000003</v>
      </c>
      <c r="L83">
        <f t="shared" si="1"/>
        <v>23.2317</v>
      </c>
      <c r="M83">
        <f t="shared" si="1"/>
        <v>25.681949999999997</v>
      </c>
      <c r="N83">
        <f t="shared" si="1"/>
        <v>23.008950000000002</v>
      </c>
      <c r="O83">
        <f t="shared" si="1"/>
        <v>23.008950000000002</v>
      </c>
      <c r="P83">
        <f t="shared" si="1"/>
        <v>23.454450000000001</v>
      </c>
      <c r="Q83">
        <f t="shared" si="1"/>
        <v>21.895199999999999</v>
      </c>
      <c r="R83">
        <f t="shared" si="1"/>
        <v>23.89995</v>
      </c>
      <c r="S83">
        <f t="shared" si="2"/>
        <v>19.066275000000005</v>
      </c>
    </row>
    <row r="84" spans="9:19" x14ac:dyDescent="0.25">
      <c r="I84" t="s">
        <v>53</v>
      </c>
      <c r="J84">
        <f t="shared" si="1"/>
        <v>11.648700000000002</v>
      </c>
      <c r="K84">
        <f t="shared" si="1"/>
        <v>13.430700000000002</v>
      </c>
      <c r="L84">
        <f t="shared" si="1"/>
        <v>17.8857</v>
      </c>
      <c r="M84">
        <f t="shared" si="1"/>
        <v>21.672450000000001</v>
      </c>
      <c r="N84">
        <f t="shared" si="1"/>
        <v>22.786200000000001</v>
      </c>
      <c r="O84">
        <f t="shared" si="1"/>
        <v>22.340700000000002</v>
      </c>
      <c r="P84">
        <f t="shared" si="1"/>
        <v>25.236449999999998</v>
      </c>
      <c r="Q84">
        <f t="shared" si="1"/>
        <v>25.236449999999998</v>
      </c>
      <c r="R84">
        <f t="shared" si="1"/>
        <v>22.786200000000001</v>
      </c>
      <c r="S84">
        <f t="shared" si="2"/>
        <v>19.556325000000005</v>
      </c>
    </row>
    <row r="85" spans="9:19" x14ac:dyDescent="0.25">
      <c r="I85" t="s">
        <v>54</v>
      </c>
      <c r="J85">
        <f t="shared" si="1"/>
        <v>19.222199999999997</v>
      </c>
      <c r="K85">
        <f t="shared" si="1"/>
        <v>22.11795</v>
      </c>
      <c r="L85">
        <f t="shared" si="1"/>
        <v>27.241199999999996</v>
      </c>
      <c r="M85">
        <f t="shared" si="1"/>
        <v>25.013699999999996</v>
      </c>
      <c r="N85">
        <f t="shared" si="1"/>
        <v>26.350199999999997</v>
      </c>
      <c r="O85">
        <f t="shared" si="1"/>
        <v>25.681949999999997</v>
      </c>
      <c r="P85">
        <f t="shared" si="1"/>
        <v>20.335949999999997</v>
      </c>
      <c r="Q85">
        <f t="shared" si="1"/>
        <v>22.56345</v>
      </c>
      <c r="R85">
        <f t="shared" si="1"/>
        <v>24.568199999999997</v>
      </c>
      <c r="S85">
        <f t="shared" si="2"/>
        <v>23.476724999999998</v>
      </c>
    </row>
    <row r="86" spans="9:19" x14ac:dyDescent="0.25">
      <c r="I86" t="s">
        <v>55</v>
      </c>
      <c r="J86">
        <f t="shared" si="1"/>
        <v>18.776700000000002</v>
      </c>
      <c r="K86">
        <f t="shared" si="1"/>
        <v>19.444949999999999</v>
      </c>
      <c r="L86">
        <f t="shared" si="1"/>
        <v>22.56345</v>
      </c>
      <c r="M86">
        <f t="shared" si="1"/>
        <v>23.454450000000001</v>
      </c>
      <c r="N86">
        <f t="shared" si="1"/>
        <v>25.681949999999997</v>
      </c>
      <c r="O86">
        <f t="shared" si="1"/>
        <v>23.008950000000002</v>
      </c>
      <c r="P86">
        <f t="shared" si="1"/>
        <v>21.004199999999997</v>
      </c>
      <c r="Q86">
        <f t="shared" si="1"/>
        <v>23.677200000000003</v>
      </c>
      <c r="R86">
        <f t="shared" si="1"/>
        <v>23.454450000000001</v>
      </c>
      <c r="S86">
        <f t="shared" si="2"/>
        <v>20.536425000000005</v>
      </c>
    </row>
    <row r="87" spans="9:19" x14ac:dyDescent="0.25">
      <c r="I87" t="s">
        <v>56</v>
      </c>
      <c r="J87">
        <f t="shared" si="1"/>
        <v>20.113199999999999</v>
      </c>
      <c r="K87">
        <f t="shared" si="1"/>
        <v>20.113199999999999</v>
      </c>
      <c r="L87">
        <f t="shared" si="1"/>
        <v>22.56345</v>
      </c>
      <c r="M87">
        <f t="shared" si="1"/>
        <v>19.222199999999997</v>
      </c>
      <c r="N87">
        <f t="shared" si="1"/>
        <v>20.113199999999999</v>
      </c>
      <c r="O87">
        <f t="shared" si="1"/>
        <v>21.004199999999997</v>
      </c>
      <c r="P87">
        <f t="shared" si="1"/>
        <v>23.008950000000002</v>
      </c>
      <c r="Q87">
        <f t="shared" si="1"/>
        <v>22.11795</v>
      </c>
      <c r="R87">
        <f t="shared" si="1"/>
        <v>23.454450000000001</v>
      </c>
      <c r="S87">
        <f t="shared" si="2"/>
        <v>21.76155</v>
      </c>
    </row>
    <row r="88" spans="9:19" x14ac:dyDescent="0.25">
      <c r="I88" t="s">
        <v>57</v>
      </c>
      <c r="J88">
        <f t="shared" si="1"/>
        <v>15.658200000000001</v>
      </c>
      <c r="K88">
        <f t="shared" si="1"/>
        <v>18.55395</v>
      </c>
      <c r="L88">
        <f t="shared" si="1"/>
        <v>25.459199999999999</v>
      </c>
      <c r="M88">
        <f t="shared" si="1"/>
        <v>24.122700000000002</v>
      </c>
      <c r="N88">
        <f t="shared" si="1"/>
        <v>25.459199999999999</v>
      </c>
      <c r="O88">
        <f t="shared" si="1"/>
        <v>24.345450000000003</v>
      </c>
      <c r="P88">
        <f t="shared" si="1"/>
        <v>25.681949999999997</v>
      </c>
      <c r="Q88">
        <f t="shared" si="1"/>
        <v>21.672450000000001</v>
      </c>
      <c r="R88">
        <f t="shared" si="1"/>
        <v>23.008950000000002</v>
      </c>
      <c r="S88">
        <f t="shared" si="2"/>
        <v>21.516524999999998</v>
      </c>
    </row>
    <row r="89" spans="9:19" x14ac:dyDescent="0.25">
      <c r="I89" t="s">
        <v>58</v>
      </c>
      <c r="J89">
        <f t="shared" si="1"/>
        <v>23.89995</v>
      </c>
      <c r="K89">
        <f t="shared" si="1"/>
        <v>23.677200000000003</v>
      </c>
      <c r="L89">
        <f t="shared" si="1"/>
        <v>24.122700000000002</v>
      </c>
      <c r="M89">
        <f t="shared" si="1"/>
        <v>24.345450000000003</v>
      </c>
      <c r="N89">
        <f t="shared" si="1"/>
        <v>22.11795</v>
      </c>
      <c r="O89">
        <f t="shared" si="1"/>
        <v>23.2317</v>
      </c>
      <c r="P89">
        <f t="shared" si="1"/>
        <v>21.895199999999999</v>
      </c>
      <c r="Q89">
        <f t="shared" si="1"/>
        <v>23.677200000000003</v>
      </c>
      <c r="R89">
        <f t="shared" si="1"/>
        <v>25.236449999999998</v>
      </c>
      <c r="S89">
        <f t="shared" si="2"/>
        <v>24.2118</v>
      </c>
    </row>
    <row r="90" spans="9:19" x14ac:dyDescent="0.25">
      <c r="I90" t="s">
        <v>59</v>
      </c>
      <c r="J90">
        <f t="shared" ref="J90:R96" si="3">22.275*J62-6.1713</f>
        <v>22.786200000000001</v>
      </c>
      <c r="K90">
        <f t="shared" si="3"/>
        <v>22.340700000000002</v>
      </c>
      <c r="L90">
        <f t="shared" si="3"/>
        <v>25.904699999999995</v>
      </c>
      <c r="M90">
        <f t="shared" si="3"/>
        <v>27.909450000000003</v>
      </c>
      <c r="N90">
        <f t="shared" si="3"/>
        <v>29.468700000000002</v>
      </c>
      <c r="O90">
        <f t="shared" si="3"/>
        <v>28.577700000000004</v>
      </c>
      <c r="P90">
        <f t="shared" si="3"/>
        <v>25.681949999999997</v>
      </c>
      <c r="Q90">
        <f t="shared" si="3"/>
        <v>23.2317</v>
      </c>
      <c r="R90">
        <f t="shared" si="3"/>
        <v>24.345450000000003</v>
      </c>
      <c r="S90">
        <f t="shared" si="2"/>
        <v>23.2317</v>
      </c>
    </row>
    <row r="91" spans="9:19" x14ac:dyDescent="0.25">
      <c r="I91" t="s">
        <v>60</v>
      </c>
      <c r="J91">
        <f t="shared" si="3"/>
        <v>21.895199999999999</v>
      </c>
      <c r="K91">
        <f t="shared" si="3"/>
        <v>21.004199999999997</v>
      </c>
      <c r="L91">
        <f t="shared" si="3"/>
        <v>24.790949999999999</v>
      </c>
      <c r="M91">
        <f t="shared" si="3"/>
        <v>26.572949999999995</v>
      </c>
      <c r="N91">
        <f t="shared" si="3"/>
        <v>24.345450000000003</v>
      </c>
      <c r="O91">
        <f t="shared" si="3"/>
        <v>23.2317</v>
      </c>
      <c r="P91">
        <f t="shared" si="3"/>
        <v>22.56345</v>
      </c>
      <c r="Q91">
        <f t="shared" si="3"/>
        <v>19.890449999999998</v>
      </c>
      <c r="R91">
        <f t="shared" si="3"/>
        <v>22.11795</v>
      </c>
      <c r="S91">
        <f t="shared" si="2"/>
        <v>18.821250000000003</v>
      </c>
    </row>
    <row r="92" spans="9:19" x14ac:dyDescent="0.25">
      <c r="I92" t="s">
        <v>61</v>
      </c>
      <c r="J92">
        <f t="shared" si="3"/>
        <v>21.895199999999999</v>
      </c>
      <c r="K92">
        <f t="shared" si="3"/>
        <v>21.4497</v>
      </c>
      <c r="L92">
        <f t="shared" si="3"/>
        <v>21.895199999999999</v>
      </c>
      <c r="M92">
        <f t="shared" si="3"/>
        <v>25.904699999999995</v>
      </c>
      <c r="N92">
        <f t="shared" si="3"/>
        <v>27.463950000000001</v>
      </c>
      <c r="O92">
        <f t="shared" si="3"/>
        <v>27.686699999999998</v>
      </c>
      <c r="P92">
        <f t="shared" si="3"/>
        <v>26.7957</v>
      </c>
      <c r="Q92">
        <f t="shared" si="3"/>
        <v>24.122700000000002</v>
      </c>
      <c r="R92">
        <f t="shared" si="3"/>
        <v>22.786200000000001</v>
      </c>
      <c r="S92">
        <f>22.275*(S64*1.1)-6.1713</f>
        <v>22.496624999999998</v>
      </c>
    </row>
    <row r="93" spans="9:19" x14ac:dyDescent="0.25">
      <c r="I93" t="s">
        <v>62</v>
      </c>
      <c r="J93">
        <f t="shared" si="3"/>
        <v>18.331200000000003</v>
      </c>
      <c r="K93">
        <f t="shared" si="3"/>
        <v>14.767199999999999</v>
      </c>
      <c r="L93">
        <f t="shared" si="3"/>
        <v>15.880949999999999</v>
      </c>
      <c r="M93">
        <f t="shared" si="3"/>
        <v>19.667699999999996</v>
      </c>
      <c r="N93">
        <f t="shared" si="3"/>
        <v>21.004199999999997</v>
      </c>
      <c r="O93">
        <f t="shared" si="3"/>
        <v>15.658200000000001</v>
      </c>
      <c r="P93">
        <f t="shared" si="3"/>
        <v>15.435449999999999</v>
      </c>
      <c r="Q93">
        <f t="shared" si="3"/>
        <v>21.672450000000001</v>
      </c>
      <c r="R93">
        <f t="shared" si="3"/>
        <v>25.013699999999996</v>
      </c>
      <c r="S93">
        <f t="shared" ref="S93:S95" si="4">22.275*(S65*1.1)-6.1713</f>
        <v>23.72175</v>
      </c>
    </row>
    <row r="94" spans="9:19" x14ac:dyDescent="0.25">
      <c r="I94" t="s">
        <v>63</v>
      </c>
      <c r="J94">
        <f t="shared" si="3"/>
        <v>21.226949999999999</v>
      </c>
      <c r="K94">
        <f t="shared" si="3"/>
        <v>23.2317</v>
      </c>
      <c r="L94">
        <f t="shared" si="3"/>
        <v>25.013699999999996</v>
      </c>
      <c r="M94">
        <f t="shared" si="3"/>
        <v>19.667699999999996</v>
      </c>
      <c r="N94">
        <f t="shared" si="3"/>
        <v>23.89995</v>
      </c>
      <c r="O94">
        <f t="shared" si="3"/>
        <v>25.904699999999995</v>
      </c>
      <c r="P94">
        <f t="shared" si="3"/>
        <v>21.895199999999999</v>
      </c>
      <c r="Q94">
        <f t="shared" si="3"/>
        <v>22.340700000000002</v>
      </c>
      <c r="R94">
        <f t="shared" si="3"/>
        <v>25.013699999999996</v>
      </c>
      <c r="S94">
        <f t="shared" si="4"/>
        <v>24.2118</v>
      </c>
    </row>
    <row r="95" spans="9:19" x14ac:dyDescent="0.25">
      <c r="I95" t="s">
        <v>64</v>
      </c>
      <c r="J95">
        <f t="shared" si="3"/>
        <v>24.568199999999997</v>
      </c>
      <c r="K95">
        <f t="shared" si="3"/>
        <v>22.340700000000002</v>
      </c>
      <c r="L95">
        <f t="shared" si="3"/>
        <v>21.004199999999997</v>
      </c>
      <c r="M95">
        <f t="shared" si="3"/>
        <v>18.999449999999996</v>
      </c>
      <c r="N95">
        <f t="shared" si="3"/>
        <v>19.890449999999998</v>
      </c>
      <c r="O95">
        <f t="shared" si="3"/>
        <v>20.558699999999998</v>
      </c>
      <c r="P95">
        <f t="shared" si="3"/>
        <v>17.662950000000002</v>
      </c>
      <c r="Q95">
        <f t="shared" si="3"/>
        <v>18.776700000000002</v>
      </c>
      <c r="R95">
        <f t="shared" si="3"/>
        <v>22.340700000000002</v>
      </c>
      <c r="S95">
        <f t="shared" si="4"/>
        <v>21.76155</v>
      </c>
    </row>
    <row r="96" spans="9:19" x14ac:dyDescent="0.25">
      <c r="I96" t="s">
        <v>65</v>
      </c>
      <c r="J96">
        <f>22.275*J68-6.1713</f>
        <v>24.568199999999997</v>
      </c>
      <c r="K96">
        <f t="shared" si="3"/>
        <v>23.89995</v>
      </c>
      <c r="L96">
        <f t="shared" si="3"/>
        <v>20.78145</v>
      </c>
      <c r="M96">
        <f t="shared" si="3"/>
        <v>22.340700000000002</v>
      </c>
      <c r="N96">
        <f t="shared" si="3"/>
        <v>24.568199999999997</v>
      </c>
      <c r="O96">
        <f t="shared" si="3"/>
        <v>23.89995</v>
      </c>
      <c r="P96">
        <f t="shared" si="3"/>
        <v>22.56345</v>
      </c>
      <c r="Q96">
        <f t="shared" si="3"/>
        <v>20.335949999999997</v>
      </c>
      <c r="R96">
        <f t="shared" si="3"/>
        <v>22.786200000000001</v>
      </c>
      <c r="S96">
        <f>22.275*(S68*1.1)-6.1713</f>
        <v>22.986674999999998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0.16326450000000001</v>
      </c>
      <c r="K101" s="4">
        <f t="shared" si="5"/>
        <v>0.18776700000000002</v>
      </c>
      <c r="L101" s="4">
        <f t="shared" si="5"/>
        <v>0.21895199999999998</v>
      </c>
      <c r="M101" s="4">
        <f t="shared" si="5"/>
        <v>0.25236449999999999</v>
      </c>
      <c r="N101" s="4">
        <f t="shared" si="5"/>
        <v>0.232317</v>
      </c>
      <c r="O101" s="4">
        <f t="shared" si="5"/>
        <v>0.267957</v>
      </c>
      <c r="P101" s="4">
        <f t="shared" si="5"/>
        <v>0.27463949999999998</v>
      </c>
      <c r="Q101" s="4">
        <f t="shared" si="5"/>
        <v>0.26350199999999996</v>
      </c>
      <c r="R101" s="4">
        <f t="shared" si="5"/>
        <v>0.25681949999999998</v>
      </c>
      <c r="S101" s="4">
        <f t="shared" si="5"/>
        <v>0.232317</v>
      </c>
    </row>
    <row r="102" spans="9:19" x14ac:dyDescent="0.25">
      <c r="I102">
        <v>12</v>
      </c>
      <c r="J102" s="4">
        <f t="shared" ref="J102:S115" si="6">IF(J74&lt;0,"",J74/100)</f>
        <v>0.20335949999999997</v>
      </c>
      <c r="K102" s="4">
        <f t="shared" si="6"/>
        <v>0.21449699999999999</v>
      </c>
      <c r="L102" s="4">
        <f t="shared" si="6"/>
        <v>0.16326450000000001</v>
      </c>
      <c r="M102" s="4">
        <f t="shared" si="6"/>
        <v>0.15435450000000001</v>
      </c>
      <c r="N102" s="4">
        <f t="shared" si="6"/>
        <v>0.13207950000000002</v>
      </c>
      <c r="O102" s="4">
        <f t="shared" si="6"/>
        <v>0.138762</v>
      </c>
      <c r="P102" s="4">
        <f t="shared" si="6"/>
        <v>0.16103699999999999</v>
      </c>
      <c r="Q102" s="4">
        <f t="shared" si="6"/>
        <v>0.24568199999999998</v>
      </c>
      <c r="R102" s="4">
        <f t="shared" si="6"/>
        <v>0.2389995</v>
      </c>
      <c r="S102" s="4">
        <f t="shared" si="6"/>
        <v>0.19066275000000005</v>
      </c>
    </row>
    <row r="103" spans="9:19" x14ac:dyDescent="0.25">
      <c r="I103">
        <v>13</v>
      </c>
      <c r="J103" s="4">
        <f t="shared" si="6"/>
        <v>0.18999449999999996</v>
      </c>
      <c r="K103" s="4">
        <f t="shared" si="6"/>
        <v>0.17885699999999999</v>
      </c>
      <c r="L103" s="4">
        <f t="shared" si="6"/>
        <v>0.19667699999999996</v>
      </c>
      <c r="M103" s="4">
        <f t="shared" si="6"/>
        <v>0.2211795</v>
      </c>
      <c r="N103" s="4">
        <f t="shared" si="6"/>
        <v>0.22786200000000001</v>
      </c>
      <c r="O103" s="4">
        <f t="shared" si="6"/>
        <v>0.23677200000000004</v>
      </c>
      <c r="P103" s="4">
        <f t="shared" si="6"/>
        <v>0.24122700000000002</v>
      </c>
      <c r="Q103" s="4">
        <f t="shared" si="6"/>
        <v>0.23454450000000002</v>
      </c>
      <c r="R103" s="4">
        <f t="shared" si="6"/>
        <v>0.25681949999999998</v>
      </c>
      <c r="S103" s="4">
        <f t="shared" si="6"/>
        <v>0.22986674999999998</v>
      </c>
    </row>
    <row r="104" spans="9:19" x14ac:dyDescent="0.25">
      <c r="I104">
        <v>14</v>
      </c>
      <c r="J104" s="4">
        <f t="shared" si="6"/>
        <v>0.23454450000000002</v>
      </c>
      <c r="K104" s="4">
        <f t="shared" si="6"/>
        <v>0.24122700000000002</v>
      </c>
      <c r="L104" s="4">
        <f t="shared" si="6"/>
        <v>0.25236449999999999</v>
      </c>
      <c r="M104" s="4">
        <f t="shared" si="6"/>
        <v>0.24790949999999998</v>
      </c>
      <c r="N104" s="4">
        <f t="shared" si="6"/>
        <v>0.2211795</v>
      </c>
      <c r="O104" s="4">
        <f t="shared" si="6"/>
        <v>0.23454450000000002</v>
      </c>
      <c r="P104" s="4">
        <f t="shared" si="6"/>
        <v>0.26350199999999996</v>
      </c>
      <c r="Q104" s="4">
        <f t="shared" si="6"/>
        <v>0.24345450000000002</v>
      </c>
      <c r="R104" s="4">
        <f t="shared" si="6"/>
        <v>0.24790949999999998</v>
      </c>
      <c r="S104" s="4">
        <f t="shared" si="6"/>
        <v>0.19311300000000003</v>
      </c>
    </row>
    <row r="105" spans="9:19" x14ac:dyDescent="0.25">
      <c r="I105">
        <v>21</v>
      </c>
      <c r="J105" s="4">
        <f t="shared" si="6"/>
        <v>0.24345450000000002</v>
      </c>
      <c r="K105" s="4">
        <f t="shared" si="6"/>
        <v>0.21895199999999998</v>
      </c>
      <c r="L105" s="4">
        <f t="shared" si="6"/>
        <v>0.232317</v>
      </c>
      <c r="M105" s="4">
        <f t="shared" si="6"/>
        <v>0.232317</v>
      </c>
      <c r="N105" s="4">
        <f t="shared" si="6"/>
        <v>0.24345450000000002</v>
      </c>
      <c r="O105" s="4">
        <f t="shared" si="6"/>
        <v>0.2389995</v>
      </c>
      <c r="P105" s="4">
        <f t="shared" si="6"/>
        <v>0.21449699999999999</v>
      </c>
      <c r="Q105" s="4">
        <f t="shared" si="6"/>
        <v>0.25013699999999994</v>
      </c>
      <c r="R105" s="4">
        <f t="shared" si="6"/>
        <v>0.25681949999999998</v>
      </c>
      <c r="S105" s="4">
        <f t="shared" si="6"/>
        <v>0.242118</v>
      </c>
    </row>
    <row r="106" spans="9:19" x14ac:dyDescent="0.25">
      <c r="I106">
        <v>22</v>
      </c>
      <c r="J106" s="4">
        <f t="shared" si="6"/>
        <v>0.22563449999999999</v>
      </c>
      <c r="K106" s="4">
        <f t="shared" si="6"/>
        <v>0.21449699999999999</v>
      </c>
      <c r="L106" s="4">
        <f t="shared" si="6"/>
        <v>0.2122695</v>
      </c>
      <c r="M106" s="4">
        <f t="shared" si="6"/>
        <v>0.20113199999999998</v>
      </c>
      <c r="N106" s="4">
        <f t="shared" si="6"/>
        <v>0.19222199999999998</v>
      </c>
      <c r="O106" s="4">
        <f t="shared" si="6"/>
        <v>0.15880949999999999</v>
      </c>
      <c r="P106" s="4">
        <f t="shared" si="6"/>
        <v>0.16103699999999999</v>
      </c>
      <c r="Q106" s="4">
        <f t="shared" si="6"/>
        <v>0.21895199999999998</v>
      </c>
      <c r="R106" s="4">
        <f t="shared" si="6"/>
        <v>0.232317</v>
      </c>
      <c r="S106" s="4">
        <f t="shared" si="6"/>
        <v>0.17106074999999998</v>
      </c>
    </row>
    <row r="107" spans="9:19" x14ac:dyDescent="0.25">
      <c r="I107">
        <v>23</v>
      </c>
      <c r="J107" s="4">
        <f t="shared" si="6"/>
        <v>0.19890449999999998</v>
      </c>
      <c r="K107" s="4">
        <f t="shared" si="6"/>
        <v>0.20558699999999999</v>
      </c>
      <c r="L107" s="4">
        <f t="shared" si="6"/>
        <v>0.2389995</v>
      </c>
      <c r="M107" s="4">
        <f t="shared" si="6"/>
        <v>0.25904699999999997</v>
      </c>
      <c r="N107" s="4">
        <f t="shared" si="6"/>
        <v>0.1855395</v>
      </c>
      <c r="O107" s="4">
        <f t="shared" si="6"/>
        <v>0.1276245</v>
      </c>
      <c r="P107" s="4">
        <f t="shared" si="6"/>
        <v>0.13430700000000001</v>
      </c>
      <c r="Q107" s="4">
        <f t="shared" si="6"/>
        <v>0.19667699999999996</v>
      </c>
      <c r="R107" s="4">
        <f t="shared" si="6"/>
        <v>0.21449699999999999</v>
      </c>
      <c r="S107" s="4">
        <f t="shared" si="6"/>
        <v>0.21271500000000004</v>
      </c>
    </row>
    <row r="108" spans="9:19" x14ac:dyDescent="0.25">
      <c r="I108">
        <v>24</v>
      </c>
      <c r="J108" s="4">
        <f t="shared" si="6"/>
        <v>0.1276245</v>
      </c>
      <c r="K108" s="4">
        <f t="shared" si="6"/>
        <v>0.10312200000000001</v>
      </c>
      <c r="L108" s="4">
        <f t="shared" si="6"/>
        <v>9.6439499999999997E-2</v>
      </c>
      <c r="M108" s="4">
        <f t="shared" si="6"/>
        <v>0.1142595</v>
      </c>
      <c r="N108" s="4">
        <f t="shared" si="6"/>
        <v>0.12539700000000001</v>
      </c>
      <c r="O108" s="4">
        <f t="shared" si="6"/>
        <v>0.13207950000000002</v>
      </c>
      <c r="P108" s="4">
        <f t="shared" si="6"/>
        <v>0.15212699999999998</v>
      </c>
      <c r="Q108" s="4">
        <f t="shared" si="6"/>
        <v>0.18331200000000003</v>
      </c>
      <c r="R108" s="4">
        <f t="shared" si="6"/>
        <v>0.2389995</v>
      </c>
      <c r="S108" s="4">
        <f t="shared" si="6"/>
        <v>0.21026475000000006</v>
      </c>
    </row>
    <row r="109" spans="9:19" x14ac:dyDescent="0.25">
      <c r="I109">
        <v>31</v>
      </c>
      <c r="J109" s="4">
        <f t="shared" si="6"/>
        <v>0.25459199999999998</v>
      </c>
      <c r="K109" s="4">
        <f t="shared" si="6"/>
        <v>0.23454450000000002</v>
      </c>
      <c r="L109" s="4">
        <f t="shared" si="6"/>
        <v>0.23454450000000002</v>
      </c>
      <c r="M109" s="4">
        <f t="shared" si="6"/>
        <v>0.23008950000000003</v>
      </c>
      <c r="N109" s="4">
        <f t="shared" si="6"/>
        <v>0.21672450000000001</v>
      </c>
      <c r="O109" s="4">
        <f t="shared" si="6"/>
        <v>0.156582</v>
      </c>
      <c r="P109" s="4">
        <f t="shared" si="6"/>
        <v>0.14321700000000001</v>
      </c>
      <c r="Q109" s="4">
        <f t="shared" si="6"/>
        <v>0.156582</v>
      </c>
      <c r="R109" s="4">
        <f t="shared" si="6"/>
        <v>0.17662950000000002</v>
      </c>
      <c r="S109" s="4">
        <f t="shared" si="6"/>
        <v>0.18821250000000003</v>
      </c>
    </row>
    <row r="110" spans="9:19" x14ac:dyDescent="0.25">
      <c r="I110">
        <v>32</v>
      </c>
      <c r="J110" s="4">
        <f t="shared" si="6"/>
        <v>0.14989949999999999</v>
      </c>
      <c r="K110" s="4">
        <f t="shared" si="6"/>
        <v>0.1365345</v>
      </c>
      <c r="L110" s="4">
        <f t="shared" si="6"/>
        <v>0.11871450000000003</v>
      </c>
      <c r="M110" s="4">
        <f t="shared" si="6"/>
        <v>0.1008945</v>
      </c>
      <c r="N110" s="4">
        <f t="shared" si="6"/>
        <v>0.10980450000000001</v>
      </c>
      <c r="O110" s="4">
        <f t="shared" si="6"/>
        <v>0.1365345</v>
      </c>
      <c r="P110" s="4">
        <f t="shared" si="6"/>
        <v>0.156582</v>
      </c>
      <c r="Q110" s="4">
        <f t="shared" si="6"/>
        <v>0.22340700000000002</v>
      </c>
      <c r="R110" s="4">
        <f t="shared" si="6"/>
        <v>0.25013699999999994</v>
      </c>
      <c r="S110" s="4">
        <f t="shared" si="6"/>
        <v>0.20291400000000004</v>
      </c>
    </row>
    <row r="111" spans="9:19" x14ac:dyDescent="0.25">
      <c r="I111">
        <v>33</v>
      </c>
      <c r="J111" s="4">
        <f t="shared" si="6"/>
        <v>0.18776700000000002</v>
      </c>
      <c r="K111" s="4">
        <f t="shared" si="6"/>
        <v>0.18331200000000003</v>
      </c>
      <c r="L111" s="4">
        <f t="shared" si="6"/>
        <v>0.232317</v>
      </c>
      <c r="M111" s="4">
        <f t="shared" si="6"/>
        <v>0.25681949999999998</v>
      </c>
      <c r="N111" s="4">
        <f t="shared" si="6"/>
        <v>0.23008950000000003</v>
      </c>
      <c r="O111" s="4">
        <f t="shared" si="6"/>
        <v>0.23008950000000003</v>
      </c>
      <c r="P111" s="4">
        <f t="shared" si="6"/>
        <v>0.23454450000000002</v>
      </c>
      <c r="Q111" s="4">
        <f t="shared" si="6"/>
        <v>0.21895199999999998</v>
      </c>
      <c r="R111" s="4">
        <f t="shared" si="6"/>
        <v>0.2389995</v>
      </c>
      <c r="S111" s="4">
        <f t="shared" si="6"/>
        <v>0.19066275000000005</v>
      </c>
    </row>
    <row r="112" spans="9:19" x14ac:dyDescent="0.25">
      <c r="I112">
        <v>34</v>
      </c>
      <c r="J112" s="4">
        <f t="shared" si="6"/>
        <v>0.11648700000000002</v>
      </c>
      <c r="K112" s="4">
        <f t="shared" si="6"/>
        <v>0.13430700000000001</v>
      </c>
      <c r="L112" s="4">
        <f t="shared" si="6"/>
        <v>0.17885699999999999</v>
      </c>
      <c r="M112" s="4">
        <f t="shared" si="6"/>
        <v>0.21672450000000001</v>
      </c>
      <c r="N112" s="4">
        <f t="shared" si="6"/>
        <v>0.22786200000000001</v>
      </c>
      <c r="O112" s="4">
        <f t="shared" si="6"/>
        <v>0.22340700000000002</v>
      </c>
      <c r="P112" s="4">
        <f t="shared" si="6"/>
        <v>0.25236449999999999</v>
      </c>
      <c r="Q112" s="4">
        <f t="shared" si="6"/>
        <v>0.25236449999999999</v>
      </c>
      <c r="R112" s="4">
        <f t="shared" si="6"/>
        <v>0.22786200000000001</v>
      </c>
      <c r="S112" s="4">
        <f t="shared" si="6"/>
        <v>0.19556325000000005</v>
      </c>
    </row>
    <row r="113" spans="9:19" x14ac:dyDescent="0.25">
      <c r="I113">
        <v>41</v>
      </c>
      <c r="J113" s="4">
        <f t="shared" si="6"/>
        <v>0.19222199999999998</v>
      </c>
      <c r="K113" s="4">
        <f t="shared" si="6"/>
        <v>0.2211795</v>
      </c>
      <c r="L113" s="4">
        <f t="shared" si="6"/>
        <v>0.27241199999999993</v>
      </c>
      <c r="M113" s="4">
        <f t="shared" si="6"/>
        <v>0.25013699999999994</v>
      </c>
      <c r="N113" s="4">
        <f t="shared" si="6"/>
        <v>0.26350199999999996</v>
      </c>
      <c r="O113" s="4">
        <f t="shared" si="6"/>
        <v>0.25681949999999998</v>
      </c>
      <c r="P113" s="4">
        <f t="shared" si="6"/>
        <v>0.20335949999999997</v>
      </c>
      <c r="Q113" s="4">
        <f t="shared" si="6"/>
        <v>0.22563449999999999</v>
      </c>
      <c r="R113" s="4">
        <f t="shared" si="6"/>
        <v>0.24568199999999998</v>
      </c>
      <c r="S113" s="4">
        <f t="shared" si="6"/>
        <v>0.23476724999999998</v>
      </c>
    </row>
    <row r="114" spans="9:19" x14ac:dyDescent="0.25">
      <c r="I114">
        <v>42</v>
      </c>
      <c r="J114" s="4">
        <f t="shared" si="6"/>
        <v>0.18776700000000002</v>
      </c>
      <c r="K114" s="4">
        <f t="shared" si="6"/>
        <v>0.1944495</v>
      </c>
      <c r="L114" s="4">
        <f t="shared" si="6"/>
        <v>0.22563449999999999</v>
      </c>
      <c r="M114" s="4">
        <f t="shared" si="6"/>
        <v>0.23454450000000002</v>
      </c>
      <c r="N114" s="4">
        <f t="shared" si="6"/>
        <v>0.25681949999999998</v>
      </c>
      <c r="O114" s="4">
        <f t="shared" si="6"/>
        <v>0.23008950000000003</v>
      </c>
      <c r="P114" s="4">
        <f t="shared" si="6"/>
        <v>0.21004199999999998</v>
      </c>
      <c r="Q114" s="4">
        <f t="shared" si="6"/>
        <v>0.23677200000000004</v>
      </c>
      <c r="R114" s="4">
        <f t="shared" si="6"/>
        <v>0.23454450000000002</v>
      </c>
      <c r="S114" s="4">
        <f t="shared" si="6"/>
        <v>0.20536425000000005</v>
      </c>
    </row>
    <row r="115" spans="9:19" x14ac:dyDescent="0.25">
      <c r="I115">
        <v>43</v>
      </c>
      <c r="J115" s="4">
        <f t="shared" si="6"/>
        <v>0.20113199999999998</v>
      </c>
      <c r="K115" s="4">
        <f t="shared" si="6"/>
        <v>0.20113199999999998</v>
      </c>
      <c r="L115" s="4">
        <f t="shared" si="6"/>
        <v>0.22563449999999999</v>
      </c>
      <c r="M115" s="4">
        <f t="shared" si="6"/>
        <v>0.19222199999999998</v>
      </c>
      <c r="N115" s="4">
        <f t="shared" si="6"/>
        <v>0.20113199999999998</v>
      </c>
      <c r="O115" s="4">
        <f t="shared" si="6"/>
        <v>0.21004199999999998</v>
      </c>
      <c r="P115" s="4">
        <f t="shared" si="6"/>
        <v>0.23008950000000003</v>
      </c>
      <c r="Q115" s="4">
        <f t="shared" si="6"/>
        <v>0.2211795</v>
      </c>
      <c r="R115" s="4">
        <f t="shared" si="6"/>
        <v>0.23454450000000002</v>
      </c>
      <c r="S115" s="4">
        <f t="shared" si="6"/>
        <v>0.21761549999999999</v>
      </c>
    </row>
    <row r="116" spans="9:19" x14ac:dyDescent="0.25">
      <c r="I116">
        <v>44</v>
      </c>
      <c r="J116" s="4">
        <f t="shared" ref="J116:S116" si="7">IF(J88&lt;0,"",J88/100)</f>
        <v>0.156582</v>
      </c>
      <c r="K116" s="4">
        <f t="shared" si="7"/>
        <v>0.1855395</v>
      </c>
      <c r="L116" s="4">
        <f t="shared" si="7"/>
        <v>0.25459199999999998</v>
      </c>
      <c r="M116" s="4">
        <f t="shared" si="7"/>
        <v>0.24122700000000002</v>
      </c>
      <c r="N116" s="4">
        <f t="shared" si="7"/>
        <v>0.25459199999999998</v>
      </c>
      <c r="O116" s="4">
        <f t="shared" si="7"/>
        <v>0.24345450000000002</v>
      </c>
      <c r="P116" s="4">
        <f t="shared" si="7"/>
        <v>0.25681949999999998</v>
      </c>
      <c r="Q116" s="4">
        <f t="shared" si="7"/>
        <v>0.21672450000000001</v>
      </c>
      <c r="R116" s="4">
        <f t="shared" si="7"/>
        <v>0.23008950000000003</v>
      </c>
      <c r="S116" s="4">
        <f t="shared" si="7"/>
        <v>0.21516524999999997</v>
      </c>
    </row>
    <row r="117" spans="9:19" x14ac:dyDescent="0.25">
      <c r="I117">
        <v>51</v>
      </c>
      <c r="J117" s="4">
        <f t="shared" ref="J117:S123" si="8">IF(J89&lt;0,"",J89/100)</f>
        <v>0.2389995</v>
      </c>
      <c r="K117" s="4">
        <f t="shared" si="8"/>
        <v>0.23677200000000004</v>
      </c>
      <c r="L117" s="4">
        <f t="shared" si="8"/>
        <v>0.24122700000000002</v>
      </c>
      <c r="M117" s="4">
        <f t="shared" si="8"/>
        <v>0.24345450000000002</v>
      </c>
      <c r="N117" s="4">
        <f t="shared" si="8"/>
        <v>0.2211795</v>
      </c>
      <c r="O117" s="4">
        <f t="shared" si="8"/>
        <v>0.232317</v>
      </c>
      <c r="P117" s="4">
        <f t="shared" si="8"/>
        <v>0.21895199999999998</v>
      </c>
      <c r="Q117" s="4">
        <f t="shared" si="8"/>
        <v>0.23677200000000004</v>
      </c>
      <c r="R117" s="4">
        <f t="shared" si="8"/>
        <v>0.25236449999999999</v>
      </c>
      <c r="S117" s="4">
        <f t="shared" si="8"/>
        <v>0.242118</v>
      </c>
    </row>
    <row r="118" spans="9:19" x14ac:dyDescent="0.25">
      <c r="I118">
        <v>52</v>
      </c>
      <c r="J118" s="4">
        <f t="shared" si="8"/>
        <v>0.22786200000000001</v>
      </c>
      <c r="K118" s="4">
        <f t="shared" si="8"/>
        <v>0.22340700000000002</v>
      </c>
      <c r="L118" s="4">
        <f t="shared" si="8"/>
        <v>0.25904699999999997</v>
      </c>
      <c r="M118" s="4">
        <f t="shared" si="8"/>
        <v>0.27909450000000002</v>
      </c>
      <c r="N118" s="4">
        <f t="shared" si="8"/>
        <v>0.29468700000000003</v>
      </c>
      <c r="O118" s="4">
        <f t="shared" si="8"/>
        <v>0.28577700000000006</v>
      </c>
      <c r="P118" s="4">
        <f t="shared" si="8"/>
        <v>0.25681949999999998</v>
      </c>
      <c r="Q118" s="4">
        <f t="shared" si="8"/>
        <v>0.232317</v>
      </c>
      <c r="R118" s="4">
        <f t="shared" si="8"/>
        <v>0.24345450000000002</v>
      </c>
      <c r="S118" s="4">
        <f t="shared" si="8"/>
        <v>0.232317</v>
      </c>
    </row>
    <row r="119" spans="9:19" x14ac:dyDescent="0.25">
      <c r="I119">
        <v>53</v>
      </c>
      <c r="J119" s="4">
        <f t="shared" si="8"/>
        <v>0.21895199999999998</v>
      </c>
      <c r="K119" s="4">
        <f t="shared" si="8"/>
        <v>0.21004199999999998</v>
      </c>
      <c r="L119" s="4">
        <f t="shared" si="8"/>
        <v>0.24790949999999998</v>
      </c>
      <c r="M119" s="4">
        <f t="shared" si="8"/>
        <v>0.26572949999999995</v>
      </c>
      <c r="N119" s="4">
        <f t="shared" si="8"/>
        <v>0.24345450000000002</v>
      </c>
      <c r="O119" s="4">
        <f t="shared" si="8"/>
        <v>0.232317</v>
      </c>
      <c r="P119" s="4">
        <f t="shared" si="8"/>
        <v>0.22563449999999999</v>
      </c>
      <c r="Q119" s="4">
        <f t="shared" si="8"/>
        <v>0.19890449999999998</v>
      </c>
      <c r="R119" s="4">
        <f t="shared" si="8"/>
        <v>0.2211795</v>
      </c>
      <c r="S119" s="4">
        <f t="shared" si="8"/>
        <v>0.18821250000000003</v>
      </c>
    </row>
    <row r="120" spans="9:19" x14ac:dyDescent="0.25">
      <c r="I120">
        <v>54</v>
      </c>
      <c r="J120" s="4">
        <f t="shared" si="8"/>
        <v>0.21895199999999998</v>
      </c>
      <c r="K120" s="4">
        <f t="shared" si="8"/>
        <v>0.21449699999999999</v>
      </c>
      <c r="L120" s="4">
        <f t="shared" si="8"/>
        <v>0.21895199999999998</v>
      </c>
      <c r="M120" s="4">
        <f t="shared" si="8"/>
        <v>0.25904699999999997</v>
      </c>
      <c r="N120" s="4">
        <f t="shared" si="8"/>
        <v>0.27463949999999998</v>
      </c>
      <c r="O120" s="4">
        <f t="shared" si="8"/>
        <v>0.27686699999999997</v>
      </c>
      <c r="P120" s="4">
        <f t="shared" si="8"/>
        <v>0.267957</v>
      </c>
      <c r="Q120" s="4">
        <f t="shared" si="8"/>
        <v>0.24122700000000002</v>
      </c>
      <c r="R120" s="4">
        <f t="shared" si="8"/>
        <v>0.22786200000000001</v>
      </c>
      <c r="S120" s="4">
        <f t="shared" si="8"/>
        <v>0.22496624999999998</v>
      </c>
    </row>
    <row r="121" spans="9:19" x14ac:dyDescent="0.25">
      <c r="I121">
        <v>61</v>
      </c>
      <c r="J121" s="4">
        <f t="shared" si="8"/>
        <v>0.18331200000000003</v>
      </c>
      <c r="K121" s="4">
        <f t="shared" si="8"/>
        <v>0.147672</v>
      </c>
      <c r="L121" s="4">
        <f t="shared" si="8"/>
        <v>0.15880949999999999</v>
      </c>
      <c r="M121" s="4">
        <f t="shared" si="8"/>
        <v>0.19667699999999996</v>
      </c>
      <c r="N121" s="4">
        <f t="shared" si="8"/>
        <v>0.21004199999999998</v>
      </c>
      <c r="O121" s="4">
        <f t="shared" si="8"/>
        <v>0.156582</v>
      </c>
      <c r="P121" s="4">
        <f t="shared" si="8"/>
        <v>0.15435450000000001</v>
      </c>
      <c r="Q121" s="4">
        <f t="shared" si="8"/>
        <v>0.21672450000000001</v>
      </c>
      <c r="R121" s="4">
        <f t="shared" si="8"/>
        <v>0.25013699999999994</v>
      </c>
      <c r="S121" s="4">
        <f t="shared" si="8"/>
        <v>0.2372175</v>
      </c>
    </row>
    <row r="122" spans="9:19" x14ac:dyDescent="0.25">
      <c r="I122">
        <v>62</v>
      </c>
      <c r="J122" s="4">
        <f t="shared" si="8"/>
        <v>0.2122695</v>
      </c>
      <c r="K122" s="4">
        <f t="shared" si="8"/>
        <v>0.232317</v>
      </c>
      <c r="L122" s="4">
        <f t="shared" si="8"/>
        <v>0.25013699999999994</v>
      </c>
      <c r="M122" s="4">
        <f t="shared" si="8"/>
        <v>0.19667699999999996</v>
      </c>
      <c r="N122" s="4">
        <f t="shared" si="8"/>
        <v>0.2389995</v>
      </c>
      <c r="O122" s="4">
        <f t="shared" si="8"/>
        <v>0.25904699999999997</v>
      </c>
      <c r="P122" s="4">
        <f t="shared" si="8"/>
        <v>0.21895199999999998</v>
      </c>
      <c r="Q122" s="4">
        <f t="shared" si="8"/>
        <v>0.22340700000000002</v>
      </c>
      <c r="R122" s="4">
        <f t="shared" si="8"/>
        <v>0.25013699999999994</v>
      </c>
      <c r="S122" s="4">
        <f t="shared" si="8"/>
        <v>0.242118</v>
      </c>
    </row>
    <row r="123" spans="9:19" x14ac:dyDescent="0.25">
      <c r="I123">
        <v>63</v>
      </c>
      <c r="J123" s="4">
        <f t="shared" si="8"/>
        <v>0.24568199999999998</v>
      </c>
      <c r="K123" s="4">
        <f t="shared" si="8"/>
        <v>0.22340700000000002</v>
      </c>
      <c r="L123" s="4">
        <f t="shared" si="8"/>
        <v>0.21004199999999998</v>
      </c>
      <c r="M123" s="4">
        <f t="shared" si="8"/>
        <v>0.18999449999999996</v>
      </c>
      <c r="N123" s="4">
        <f t="shared" si="8"/>
        <v>0.19890449999999998</v>
      </c>
      <c r="O123" s="4">
        <f t="shared" si="8"/>
        <v>0.20558699999999999</v>
      </c>
      <c r="P123" s="4">
        <f t="shared" si="8"/>
        <v>0.17662950000000002</v>
      </c>
      <c r="Q123" s="4">
        <f t="shared" si="8"/>
        <v>0.18776700000000002</v>
      </c>
      <c r="R123" s="4">
        <f t="shared" si="8"/>
        <v>0.22340700000000002</v>
      </c>
      <c r="S123" s="4">
        <f t="shared" si="8"/>
        <v>0.21761549999999999</v>
      </c>
    </row>
    <row r="124" spans="9:19" x14ac:dyDescent="0.25">
      <c r="I124">
        <v>64</v>
      </c>
      <c r="J124" s="4">
        <f t="shared" ref="J124:S124" si="9">IF(J96&lt;0,"",J96/100)</f>
        <v>0.24568199999999998</v>
      </c>
      <c r="K124" s="4">
        <f t="shared" si="9"/>
        <v>0.2389995</v>
      </c>
      <c r="L124" s="4">
        <f t="shared" si="9"/>
        <v>0.20781449999999999</v>
      </c>
      <c r="M124" s="4">
        <f t="shared" si="9"/>
        <v>0.22340700000000002</v>
      </c>
      <c r="N124" s="4">
        <f t="shared" si="9"/>
        <v>0.24568199999999998</v>
      </c>
      <c r="O124" s="4">
        <f t="shared" si="9"/>
        <v>0.2389995</v>
      </c>
      <c r="P124" s="4">
        <f t="shared" si="9"/>
        <v>0.22563449999999999</v>
      </c>
      <c r="Q124" s="4">
        <f t="shared" si="9"/>
        <v>0.20335949999999997</v>
      </c>
      <c r="R124" s="4">
        <f t="shared" si="9"/>
        <v>0.22786200000000001</v>
      </c>
      <c r="S124" s="4">
        <f t="shared" si="9"/>
        <v>0.22986674999999998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72D3-042D-414B-8782-5D71E5BADB15}">
  <dimension ref="A1:T124"/>
  <sheetViews>
    <sheetView topLeftCell="E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10336</v>
      </c>
      <c r="F1">
        <v>0</v>
      </c>
      <c r="G1">
        <v>10</v>
      </c>
      <c r="H1">
        <v>1827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5</v>
      </c>
      <c r="G18">
        <v>11</v>
      </c>
      <c r="H18">
        <v>9</v>
      </c>
      <c r="I18">
        <v>11</v>
      </c>
      <c r="J18">
        <v>1.1100000000000001</v>
      </c>
      <c r="K18">
        <v>1.21</v>
      </c>
      <c r="L18">
        <v>1.35</v>
      </c>
      <c r="M18">
        <v>1.46</v>
      </c>
      <c r="N18">
        <v>1.4</v>
      </c>
      <c r="O18">
        <v>1.51</v>
      </c>
      <c r="P18">
        <v>1.54</v>
      </c>
      <c r="Q18">
        <v>1.48</v>
      </c>
      <c r="R18">
        <v>1.48</v>
      </c>
      <c r="S18">
        <v>1.26</v>
      </c>
      <c r="T18">
        <v>3727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5</v>
      </c>
      <c r="G19">
        <v>11</v>
      </c>
      <c r="H19">
        <v>9</v>
      </c>
      <c r="I19">
        <v>15</v>
      </c>
      <c r="J19">
        <v>1.21</v>
      </c>
      <c r="K19">
        <v>1.27</v>
      </c>
      <c r="L19">
        <v>1.01</v>
      </c>
      <c r="M19">
        <v>0.99</v>
      </c>
      <c r="N19">
        <v>0.93</v>
      </c>
      <c r="O19">
        <v>1.1299999999999999</v>
      </c>
      <c r="P19">
        <v>1.21</v>
      </c>
      <c r="Q19">
        <v>1.38</v>
      </c>
      <c r="R19">
        <v>1.39</v>
      </c>
      <c r="S19">
        <v>1.17</v>
      </c>
      <c r="T19">
        <v>3735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5</v>
      </c>
      <c r="G20">
        <v>11</v>
      </c>
      <c r="H20">
        <v>9</v>
      </c>
      <c r="I20">
        <v>20</v>
      </c>
      <c r="J20">
        <v>1.1499999999999999</v>
      </c>
      <c r="K20">
        <v>1.1000000000000001</v>
      </c>
      <c r="L20">
        <v>1.18</v>
      </c>
      <c r="M20">
        <v>1.35</v>
      </c>
      <c r="N20">
        <v>1.44</v>
      </c>
      <c r="O20">
        <v>1.46</v>
      </c>
      <c r="P20">
        <v>1.42</v>
      </c>
      <c r="Q20">
        <v>1.36</v>
      </c>
      <c r="R20">
        <v>1.44</v>
      </c>
      <c r="S20">
        <v>1.29</v>
      </c>
      <c r="T20">
        <v>3727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5</v>
      </c>
      <c r="G21">
        <v>11</v>
      </c>
      <c r="H21">
        <v>9</v>
      </c>
      <c r="I21">
        <v>24</v>
      </c>
      <c r="J21">
        <v>1.42</v>
      </c>
      <c r="K21">
        <v>1.45</v>
      </c>
      <c r="L21">
        <v>1.49</v>
      </c>
      <c r="M21">
        <v>1.49</v>
      </c>
      <c r="N21">
        <v>1.36</v>
      </c>
      <c r="O21">
        <v>1.38</v>
      </c>
      <c r="P21">
        <v>1.52</v>
      </c>
      <c r="Q21">
        <v>1.43</v>
      </c>
      <c r="R21">
        <v>1.41</v>
      </c>
      <c r="S21">
        <v>1.1299999999999999</v>
      </c>
      <c r="T21">
        <v>3738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5</v>
      </c>
      <c r="G22">
        <v>11</v>
      </c>
      <c r="H22">
        <v>9</v>
      </c>
      <c r="I22">
        <v>20</v>
      </c>
      <c r="J22">
        <v>0.86</v>
      </c>
      <c r="K22">
        <v>0.77</v>
      </c>
      <c r="L22">
        <v>0.8</v>
      </c>
      <c r="M22">
        <v>0.88</v>
      </c>
      <c r="N22">
        <v>0.91</v>
      </c>
      <c r="O22">
        <v>0.92</v>
      </c>
      <c r="P22">
        <v>1</v>
      </c>
      <c r="Q22">
        <v>1.1100000000000001</v>
      </c>
      <c r="R22">
        <v>1.38</v>
      </c>
      <c r="S22">
        <v>1.24</v>
      </c>
      <c r="T22">
        <v>3735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5</v>
      </c>
      <c r="G23">
        <v>11</v>
      </c>
      <c r="H23">
        <v>9</v>
      </c>
      <c r="I23">
        <v>32</v>
      </c>
      <c r="J23">
        <v>1.19</v>
      </c>
      <c r="K23">
        <v>1.2</v>
      </c>
      <c r="L23">
        <v>1.36</v>
      </c>
      <c r="M23">
        <v>1.42</v>
      </c>
      <c r="N23">
        <v>1.1499999999999999</v>
      </c>
      <c r="O23">
        <v>0.85</v>
      </c>
      <c r="P23">
        <v>0.9</v>
      </c>
      <c r="Q23">
        <v>1.23</v>
      </c>
      <c r="R23">
        <v>1.36</v>
      </c>
      <c r="S23">
        <v>1.24</v>
      </c>
      <c r="T23">
        <v>3731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5</v>
      </c>
      <c r="G24">
        <v>11</v>
      </c>
      <c r="H24">
        <v>9</v>
      </c>
      <c r="I24">
        <v>37</v>
      </c>
      <c r="J24">
        <v>1.37</v>
      </c>
      <c r="K24">
        <v>1.29</v>
      </c>
      <c r="L24">
        <v>1.33</v>
      </c>
      <c r="M24">
        <v>1.36</v>
      </c>
      <c r="N24">
        <v>1.34</v>
      </c>
      <c r="O24">
        <v>1.1200000000000001</v>
      </c>
      <c r="P24">
        <v>1.1100000000000001</v>
      </c>
      <c r="Q24">
        <v>1.3</v>
      </c>
      <c r="R24">
        <v>1.36</v>
      </c>
      <c r="S24">
        <v>1.07</v>
      </c>
      <c r="T24">
        <v>3736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5</v>
      </c>
      <c r="G25">
        <v>11</v>
      </c>
      <c r="H25">
        <v>9</v>
      </c>
      <c r="I25">
        <v>41</v>
      </c>
      <c r="J25">
        <v>1.39</v>
      </c>
      <c r="K25">
        <v>1.3</v>
      </c>
      <c r="L25">
        <v>1.33</v>
      </c>
      <c r="M25">
        <v>1.4</v>
      </c>
      <c r="N25">
        <v>1.44</v>
      </c>
      <c r="O25">
        <v>1.41</v>
      </c>
      <c r="P25">
        <v>1.29</v>
      </c>
      <c r="Q25">
        <v>1.42</v>
      </c>
      <c r="R25">
        <v>1.49</v>
      </c>
      <c r="S25">
        <v>1.31</v>
      </c>
      <c r="T25">
        <v>3733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5</v>
      </c>
      <c r="G26">
        <v>11</v>
      </c>
      <c r="H26">
        <v>9</v>
      </c>
      <c r="I26">
        <v>46</v>
      </c>
      <c r="J26">
        <v>1.41</v>
      </c>
      <c r="K26">
        <v>1.35</v>
      </c>
      <c r="L26">
        <v>1.37</v>
      </c>
      <c r="M26">
        <v>1.34</v>
      </c>
      <c r="N26">
        <v>1.24</v>
      </c>
      <c r="O26">
        <v>1</v>
      </c>
      <c r="P26">
        <v>0.94</v>
      </c>
      <c r="Q26">
        <v>1.04</v>
      </c>
      <c r="R26">
        <v>1.24</v>
      </c>
      <c r="S26">
        <v>1.1599999999999999</v>
      </c>
      <c r="T26">
        <v>3730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5</v>
      </c>
      <c r="G27">
        <v>11</v>
      </c>
      <c r="H27">
        <v>9</v>
      </c>
      <c r="I27">
        <v>50</v>
      </c>
      <c r="J27">
        <v>0.96</v>
      </c>
      <c r="K27">
        <v>0.91</v>
      </c>
      <c r="L27">
        <v>0.83</v>
      </c>
      <c r="M27">
        <v>0.91</v>
      </c>
      <c r="N27">
        <v>0.93</v>
      </c>
      <c r="O27">
        <v>0.99</v>
      </c>
      <c r="P27">
        <v>1.0900000000000001</v>
      </c>
      <c r="Q27">
        <v>1.31</v>
      </c>
      <c r="R27">
        <v>1.41</v>
      </c>
      <c r="S27">
        <v>1.19</v>
      </c>
      <c r="T27">
        <v>3757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5</v>
      </c>
      <c r="G28">
        <v>11</v>
      </c>
      <c r="H28">
        <v>9</v>
      </c>
      <c r="I28">
        <v>54</v>
      </c>
      <c r="J28">
        <v>1.17</v>
      </c>
      <c r="K28">
        <v>1.18</v>
      </c>
      <c r="L28">
        <v>1.36</v>
      </c>
      <c r="M28">
        <v>1.44</v>
      </c>
      <c r="N28">
        <v>1.35</v>
      </c>
      <c r="O28">
        <v>1.35</v>
      </c>
      <c r="P28">
        <v>1.37</v>
      </c>
      <c r="Q28">
        <v>1.32</v>
      </c>
      <c r="R28">
        <v>1.4</v>
      </c>
      <c r="S28">
        <v>1.1499999999999999</v>
      </c>
      <c r="T28">
        <v>3737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5</v>
      </c>
      <c r="G29">
        <v>11</v>
      </c>
      <c r="H29">
        <v>9</v>
      </c>
      <c r="I29">
        <v>50</v>
      </c>
      <c r="J29">
        <v>0.83</v>
      </c>
      <c r="K29">
        <v>0.89</v>
      </c>
      <c r="L29">
        <v>1.1100000000000001</v>
      </c>
      <c r="M29">
        <v>1.29</v>
      </c>
      <c r="N29">
        <v>1.39</v>
      </c>
      <c r="O29">
        <v>1.44</v>
      </c>
      <c r="P29">
        <v>1.52</v>
      </c>
      <c r="Q29">
        <v>1.46</v>
      </c>
      <c r="R29">
        <v>1.35</v>
      </c>
      <c r="S29">
        <v>1.1499999999999999</v>
      </c>
      <c r="T29">
        <v>3747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5</v>
      </c>
      <c r="G30">
        <v>11</v>
      </c>
      <c r="H30">
        <v>10</v>
      </c>
      <c r="I30">
        <v>2</v>
      </c>
      <c r="J30">
        <v>0.99</v>
      </c>
      <c r="K30">
        <v>1.1000000000000001</v>
      </c>
      <c r="L30">
        <v>1.45</v>
      </c>
      <c r="M30">
        <v>1.4</v>
      </c>
      <c r="N30">
        <v>1.45</v>
      </c>
      <c r="O30">
        <v>1.42</v>
      </c>
      <c r="P30">
        <v>1.47</v>
      </c>
      <c r="Q30">
        <v>1.31</v>
      </c>
      <c r="R30">
        <v>1.35</v>
      </c>
      <c r="S30">
        <v>1.24</v>
      </c>
      <c r="T30">
        <v>3720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5</v>
      </c>
      <c r="G31">
        <v>11</v>
      </c>
      <c r="H31">
        <v>10</v>
      </c>
      <c r="I31">
        <v>7</v>
      </c>
      <c r="J31">
        <v>1.21</v>
      </c>
      <c r="K31">
        <v>1.19</v>
      </c>
      <c r="L31">
        <v>1.32</v>
      </c>
      <c r="M31">
        <v>1.18</v>
      </c>
      <c r="N31">
        <v>1.29</v>
      </c>
      <c r="O31">
        <v>1.34</v>
      </c>
      <c r="P31">
        <v>1.36</v>
      </c>
      <c r="Q31">
        <v>1.29</v>
      </c>
      <c r="R31">
        <v>1.37</v>
      </c>
      <c r="S31">
        <v>1.23</v>
      </c>
      <c r="T31">
        <v>3727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5</v>
      </c>
      <c r="G32">
        <v>11</v>
      </c>
      <c r="H32">
        <v>10</v>
      </c>
      <c r="I32">
        <v>11</v>
      </c>
      <c r="J32">
        <v>1.1399999999999999</v>
      </c>
      <c r="K32">
        <v>1.24</v>
      </c>
      <c r="L32">
        <v>1.38</v>
      </c>
      <c r="M32">
        <v>1.44</v>
      </c>
      <c r="N32">
        <v>1.52</v>
      </c>
      <c r="O32">
        <v>1.4</v>
      </c>
      <c r="P32">
        <v>1.31</v>
      </c>
      <c r="Q32">
        <v>1.35</v>
      </c>
      <c r="R32">
        <v>1.36</v>
      </c>
      <c r="S32">
        <v>1.1599999999999999</v>
      </c>
      <c r="T32">
        <v>3708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5</v>
      </c>
      <c r="G33">
        <v>11</v>
      </c>
      <c r="H33">
        <v>10</v>
      </c>
      <c r="I33">
        <v>15</v>
      </c>
      <c r="J33">
        <v>1.2</v>
      </c>
      <c r="K33">
        <v>1.34</v>
      </c>
      <c r="L33">
        <v>1.53</v>
      </c>
      <c r="M33">
        <v>1.5</v>
      </c>
      <c r="N33">
        <v>1.52</v>
      </c>
      <c r="O33">
        <v>1.55</v>
      </c>
      <c r="P33">
        <v>1.31</v>
      </c>
      <c r="Q33">
        <v>1.35</v>
      </c>
      <c r="R33">
        <v>1.41</v>
      </c>
      <c r="S33">
        <v>1.31</v>
      </c>
      <c r="T33">
        <v>3661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5</v>
      </c>
      <c r="G34">
        <v>11</v>
      </c>
      <c r="H34">
        <v>10</v>
      </c>
      <c r="I34">
        <v>23</v>
      </c>
      <c r="J34">
        <v>1.36</v>
      </c>
      <c r="K34">
        <v>1.35</v>
      </c>
      <c r="L34">
        <v>1.41</v>
      </c>
      <c r="M34">
        <v>1.48</v>
      </c>
      <c r="N34">
        <v>1.38</v>
      </c>
      <c r="O34">
        <v>1.4</v>
      </c>
      <c r="P34">
        <v>1.31</v>
      </c>
      <c r="Q34">
        <v>1.35</v>
      </c>
      <c r="R34">
        <v>1.42</v>
      </c>
      <c r="S34">
        <v>1.31</v>
      </c>
      <c r="T34">
        <v>3679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5</v>
      </c>
      <c r="G35">
        <v>11</v>
      </c>
      <c r="H35">
        <v>10</v>
      </c>
      <c r="I35">
        <v>20</v>
      </c>
      <c r="J35">
        <v>1.32</v>
      </c>
      <c r="K35">
        <v>1.32</v>
      </c>
      <c r="L35">
        <v>1.52</v>
      </c>
      <c r="M35">
        <v>1.59</v>
      </c>
      <c r="N35">
        <v>1.67</v>
      </c>
      <c r="O35">
        <v>1.61</v>
      </c>
      <c r="P35">
        <v>1.47</v>
      </c>
      <c r="Q35">
        <v>1.35</v>
      </c>
      <c r="R35">
        <v>1.41</v>
      </c>
      <c r="S35">
        <v>1.27</v>
      </c>
      <c r="T35">
        <v>3688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5</v>
      </c>
      <c r="G36">
        <v>11</v>
      </c>
      <c r="H36">
        <v>10</v>
      </c>
      <c r="I36">
        <v>33</v>
      </c>
      <c r="J36">
        <v>1.29</v>
      </c>
      <c r="K36">
        <v>1.27</v>
      </c>
      <c r="L36">
        <v>1.4</v>
      </c>
      <c r="M36">
        <v>1.5</v>
      </c>
      <c r="N36">
        <v>1.48</v>
      </c>
      <c r="O36">
        <v>1.43</v>
      </c>
      <c r="P36">
        <v>1.36</v>
      </c>
      <c r="Q36">
        <v>1.22</v>
      </c>
      <c r="R36">
        <v>1.29</v>
      </c>
      <c r="S36">
        <v>1.0900000000000001</v>
      </c>
      <c r="T36">
        <v>3688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5</v>
      </c>
      <c r="G37">
        <v>11</v>
      </c>
      <c r="H37">
        <v>10</v>
      </c>
      <c r="I37">
        <v>37</v>
      </c>
      <c r="J37">
        <v>1.32</v>
      </c>
      <c r="K37">
        <v>1.32</v>
      </c>
      <c r="L37">
        <v>1.36</v>
      </c>
      <c r="M37">
        <v>1.49</v>
      </c>
      <c r="N37">
        <v>1.56</v>
      </c>
      <c r="O37">
        <v>1.52</v>
      </c>
      <c r="P37">
        <v>1.51</v>
      </c>
      <c r="Q37">
        <v>1.4</v>
      </c>
      <c r="R37">
        <v>1.34</v>
      </c>
      <c r="S37">
        <v>1.27</v>
      </c>
      <c r="T37">
        <v>3686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5</v>
      </c>
      <c r="G38">
        <v>11</v>
      </c>
      <c r="H38">
        <v>10</v>
      </c>
      <c r="I38">
        <v>42</v>
      </c>
      <c r="J38">
        <v>1.44</v>
      </c>
      <c r="K38">
        <v>1.38</v>
      </c>
      <c r="L38">
        <v>1.23</v>
      </c>
      <c r="M38">
        <v>1.35</v>
      </c>
      <c r="N38">
        <v>1.48</v>
      </c>
      <c r="O38">
        <v>1.44</v>
      </c>
      <c r="P38">
        <v>1.35</v>
      </c>
      <c r="Q38">
        <v>1.23</v>
      </c>
      <c r="R38">
        <v>1.31</v>
      </c>
      <c r="S38">
        <v>1.26</v>
      </c>
      <c r="T38">
        <v>3682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5</v>
      </c>
      <c r="G39">
        <v>11</v>
      </c>
      <c r="H39">
        <v>10</v>
      </c>
      <c r="I39">
        <v>46</v>
      </c>
      <c r="J39">
        <v>1.39</v>
      </c>
      <c r="K39">
        <v>1.29</v>
      </c>
      <c r="L39">
        <v>1.22</v>
      </c>
      <c r="M39">
        <v>1.2</v>
      </c>
      <c r="N39">
        <v>1.29</v>
      </c>
      <c r="O39">
        <v>1.33</v>
      </c>
      <c r="P39">
        <v>1.18</v>
      </c>
      <c r="Q39">
        <v>1.21</v>
      </c>
      <c r="R39">
        <v>1.32</v>
      </c>
      <c r="S39">
        <v>1.19</v>
      </c>
      <c r="T39">
        <v>3679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5</v>
      </c>
      <c r="G40">
        <v>11</v>
      </c>
      <c r="H40">
        <v>10</v>
      </c>
      <c r="I40">
        <v>51</v>
      </c>
      <c r="J40">
        <v>1.34</v>
      </c>
      <c r="K40">
        <v>1.4</v>
      </c>
      <c r="L40">
        <v>1.48</v>
      </c>
      <c r="M40">
        <v>1.24</v>
      </c>
      <c r="N40">
        <v>1.39</v>
      </c>
      <c r="O40">
        <v>1.48</v>
      </c>
      <c r="P40">
        <v>1.29</v>
      </c>
      <c r="Q40">
        <v>1.31</v>
      </c>
      <c r="R40">
        <v>1.44</v>
      </c>
      <c r="S40">
        <v>1.29</v>
      </c>
      <c r="T40">
        <v>3686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5</v>
      </c>
      <c r="G41">
        <v>11</v>
      </c>
      <c r="H41">
        <v>10</v>
      </c>
      <c r="I41">
        <v>55</v>
      </c>
      <c r="J41">
        <v>1.1000000000000001</v>
      </c>
      <c r="K41">
        <v>0.91</v>
      </c>
      <c r="L41">
        <v>0.99</v>
      </c>
      <c r="M41">
        <v>1.17</v>
      </c>
      <c r="N41">
        <v>1.19</v>
      </c>
      <c r="O41">
        <v>1.02</v>
      </c>
      <c r="P41">
        <v>1.17</v>
      </c>
      <c r="Q41">
        <v>1.34</v>
      </c>
      <c r="R41">
        <v>1.43</v>
      </c>
      <c r="S41">
        <v>1.31</v>
      </c>
      <c r="T41">
        <v>3673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5</v>
      </c>
      <c r="G45">
        <v>11</v>
      </c>
      <c r="H45">
        <v>9</v>
      </c>
      <c r="I45">
        <v>11</v>
      </c>
      <c r="J45">
        <v>1.1100000000000001</v>
      </c>
      <c r="K45">
        <v>1.21</v>
      </c>
      <c r="L45">
        <v>1.35</v>
      </c>
      <c r="M45">
        <v>1.46</v>
      </c>
      <c r="N45">
        <v>1.4</v>
      </c>
      <c r="O45">
        <v>1.51</v>
      </c>
      <c r="P45">
        <v>1.54</v>
      </c>
      <c r="Q45">
        <v>1.48</v>
      </c>
      <c r="R45">
        <v>1.48</v>
      </c>
      <c r="S45">
        <v>1.26</v>
      </c>
      <c r="T45">
        <v>3727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5</v>
      </c>
      <c r="G46">
        <v>11</v>
      </c>
      <c r="H46">
        <v>9</v>
      </c>
      <c r="I46">
        <v>15</v>
      </c>
      <c r="J46">
        <v>1.21</v>
      </c>
      <c r="K46">
        <v>1.27</v>
      </c>
      <c r="L46">
        <v>1.01</v>
      </c>
      <c r="M46">
        <v>0.99</v>
      </c>
      <c r="N46">
        <v>0.93</v>
      </c>
      <c r="O46">
        <v>1.1299999999999999</v>
      </c>
      <c r="P46">
        <v>1.21</v>
      </c>
      <c r="Q46">
        <v>1.38</v>
      </c>
      <c r="R46">
        <v>1.39</v>
      </c>
      <c r="S46">
        <v>1.17</v>
      </c>
      <c r="T46">
        <v>3735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5</v>
      </c>
      <c r="G47">
        <v>11</v>
      </c>
      <c r="H47">
        <v>9</v>
      </c>
      <c r="I47">
        <v>20</v>
      </c>
      <c r="J47">
        <v>1.1499999999999999</v>
      </c>
      <c r="K47">
        <v>1.1000000000000001</v>
      </c>
      <c r="L47">
        <v>1.18</v>
      </c>
      <c r="M47">
        <v>1.35</v>
      </c>
      <c r="N47">
        <v>1.44</v>
      </c>
      <c r="O47">
        <v>1.46</v>
      </c>
      <c r="P47">
        <v>1.42</v>
      </c>
      <c r="Q47">
        <v>1.36</v>
      </c>
      <c r="R47">
        <v>1.44</v>
      </c>
      <c r="S47">
        <v>1.29</v>
      </c>
      <c r="T47">
        <v>3727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5</v>
      </c>
      <c r="G48">
        <v>11</v>
      </c>
      <c r="H48">
        <v>9</v>
      </c>
      <c r="I48">
        <v>24</v>
      </c>
      <c r="J48">
        <v>1.42</v>
      </c>
      <c r="K48">
        <v>1.45</v>
      </c>
      <c r="L48">
        <v>1.49</v>
      </c>
      <c r="M48">
        <v>1.49</v>
      </c>
      <c r="N48">
        <v>1.36</v>
      </c>
      <c r="O48">
        <v>1.38</v>
      </c>
      <c r="P48">
        <v>1.52</v>
      </c>
      <c r="Q48">
        <v>1.43</v>
      </c>
      <c r="R48">
        <v>1.41</v>
      </c>
      <c r="S48">
        <v>1.1299999999999999</v>
      </c>
      <c r="T48">
        <v>3738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5</v>
      </c>
      <c r="G49">
        <v>11</v>
      </c>
      <c r="H49">
        <v>9</v>
      </c>
      <c r="I49">
        <v>41</v>
      </c>
      <c r="J49">
        <v>1.39</v>
      </c>
      <c r="K49">
        <v>1.3</v>
      </c>
      <c r="L49">
        <v>1.33</v>
      </c>
      <c r="M49">
        <v>1.4</v>
      </c>
      <c r="N49">
        <v>1.44</v>
      </c>
      <c r="O49">
        <v>1.41</v>
      </c>
      <c r="P49">
        <v>1.29</v>
      </c>
      <c r="Q49">
        <v>1.42</v>
      </c>
      <c r="R49">
        <v>1.49</v>
      </c>
      <c r="S49">
        <v>1.31</v>
      </c>
      <c r="T49">
        <v>3733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5</v>
      </c>
      <c r="G50">
        <v>11</v>
      </c>
      <c r="H50">
        <v>9</v>
      </c>
      <c r="I50">
        <v>37</v>
      </c>
      <c r="J50">
        <v>1.37</v>
      </c>
      <c r="K50">
        <v>1.29</v>
      </c>
      <c r="L50">
        <v>1.33</v>
      </c>
      <c r="M50">
        <v>1.36</v>
      </c>
      <c r="N50">
        <v>1.34</v>
      </c>
      <c r="O50">
        <v>1.1200000000000001</v>
      </c>
      <c r="P50">
        <v>1.1100000000000001</v>
      </c>
      <c r="Q50">
        <v>1.3</v>
      </c>
      <c r="R50">
        <v>1.36</v>
      </c>
      <c r="S50">
        <v>1.07</v>
      </c>
      <c r="T50">
        <v>3736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5</v>
      </c>
      <c r="G51">
        <v>11</v>
      </c>
      <c r="H51">
        <v>9</v>
      </c>
      <c r="I51">
        <v>32</v>
      </c>
      <c r="J51">
        <v>1.19</v>
      </c>
      <c r="K51">
        <v>1.2</v>
      </c>
      <c r="L51">
        <v>1.36</v>
      </c>
      <c r="M51">
        <v>1.42</v>
      </c>
      <c r="N51">
        <v>1.1499999999999999</v>
      </c>
      <c r="O51">
        <v>0.85</v>
      </c>
      <c r="P51">
        <v>0.9</v>
      </c>
      <c r="Q51">
        <v>1.23</v>
      </c>
      <c r="R51">
        <v>1.36</v>
      </c>
      <c r="S51">
        <v>1.24</v>
      </c>
      <c r="T51">
        <v>3731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5</v>
      </c>
      <c r="G52">
        <v>11</v>
      </c>
      <c r="H52">
        <v>9</v>
      </c>
      <c r="I52">
        <v>20</v>
      </c>
      <c r="J52">
        <v>0.86</v>
      </c>
      <c r="K52">
        <v>0.77</v>
      </c>
      <c r="L52">
        <v>0.8</v>
      </c>
      <c r="M52">
        <v>0.88</v>
      </c>
      <c r="N52">
        <v>0.91</v>
      </c>
      <c r="O52">
        <v>0.92</v>
      </c>
      <c r="P52">
        <v>1</v>
      </c>
      <c r="Q52">
        <v>1.1100000000000001</v>
      </c>
      <c r="R52">
        <v>1.38</v>
      </c>
      <c r="S52">
        <v>1.24</v>
      </c>
      <c r="T52">
        <v>3735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5</v>
      </c>
      <c r="G53">
        <v>11</v>
      </c>
      <c r="H53">
        <v>9</v>
      </c>
      <c r="I53">
        <v>46</v>
      </c>
      <c r="J53">
        <v>1.41</v>
      </c>
      <c r="K53">
        <v>1.35</v>
      </c>
      <c r="L53">
        <v>1.37</v>
      </c>
      <c r="M53">
        <v>1.34</v>
      </c>
      <c r="N53">
        <v>1.24</v>
      </c>
      <c r="O53">
        <v>1</v>
      </c>
      <c r="P53">
        <v>0.94</v>
      </c>
      <c r="Q53">
        <v>1.04</v>
      </c>
      <c r="R53">
        <v>1.24</v>
      </c>
      <c r="S53">
        <v>1.1599999999999999</v>
      </c>
      <c r="T53">
        <v>3730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5</v>
      </c>
      <c r="G54">
        <v>11</v>
      </c>
      <c r="H54">
        <v>9</v>
      </c>
      <c r="I54">
        <v>50</v>
      </c>
      <c r="J54">
        <v>0.96</v>
      </c>
      <c r="K54">
        <v>0.91</v>
      </c>
      <c r="L54">
        <v>0.83</v>
      </c>
      <c r="M54">
        <v>0.91</v>
      </c>
      <c r="N54">
        <v>0.93</v>
      </c>
      <c r="O54">
        <v>0.99</v>
      </c>
      <c r="P54">
        <v>1.0900000000000001</v>
      </c>
      <c r="Q54">
        <v>1.31</v>
      </c>
      <c r="R54">
        <v>1.41</v>
      </c>
      <c r="S54">
        <v>1.19</v>
      </c>
      <c r="T54">
        <v>3757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5</v>
      </c>
      <c r="G55">
        <v>11</v>
      </c>
      <c r="H55">
        <v>9</v>
      </c>
      <c r="I55">
        <v>54</v>
      </c>
      <c r="J55">
        <v>1.17</v>
      </c>
      <c r="K55">
        <v>1.18</v>
      </c>
      <c r="L55">
        <v>1.36</v>
      </c>
      <c r="M55">
        <v>1.44</v>
      </c>
      <c r="N55">
        <v>1.35</v>
      </c>
      <c r="O55">
        <v>1.35</v>
      </c>
      <c r="P55">
        <v>1.37</v>
      </c>
      <c r="Q55">
        <v>1.32</v>
      </c>
      <c r="R55">
        <v>1.4</v>
      </c>
      <c r="S55">
        <v>1.1499999999999999</v>
      </c>
      <c r="T55">
        <v>3737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5</v>
      </c>
      <c r="G56">
        <v>11</v>
      </c>
      <c r="H56">
        <v>9</v>
      </c>
      <c r="I56">
        <v>50</v>
      </c>
      <c r="J56">
        <v>0.83</v>
      </c>
      <c r="K56">
        <v>0.89</v>
      </c>
      <c r="L56">
        <v>1.1100000000000001</v>
      </c>
      <c r="M56">
        <v>1.29</v>
      </c>
      <c r="N56">
        <v>1.39</v>
      </c>
      <c r="O56">
        <v>1.44</v>
      </c>
      <c r="P56">
        <v>1.52</v>
      </c>
      <c r="Q56">
        <v>1.46</v>
      </c>
      <c r="R56">
        <v>1.35</v>
      </c>
      <c r="S56">
        <v>1.1499999999999999</v>
      </c>
      <c r="T56">
        <v>3747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5</v>
      </c>
      <c r="G57">
        <v>11</v>
      </c>
      <c r="H57">
        <v>10</v>
      </c>
      <c r="I57">
        <v>15</v>
      </c>
      <c r="J57">
        <v>1.2</v>
      </c>
      <c r="K57">
        <v>1.34</v>
      </c>
      <c r="L57">
        <v>1.53</v>
      </c>
      <c r="M57">
        <v>1.5</v>
      </c>
      <c r="N57">
        <v>1.52</v>
      </c>
      <c r="O57">
        <v>1.55</v>
      </c>
      <c r="P57">
        <v>1.31</v>
      </c>
      <c r="Q57">
        <v>1.35</v>
      </c>
      <c r="R57">
        <v>1.41</v>
      </c>
      <c r="S57">
        <v>1.31</v>
      </c>
      <c r="T57">
        <v>3661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5</v>
      </c>
      <c r="G58">
        <v>11</v>
      </c>
      <c r="H58">
        <v>10</v>
      </c>
      <c r="I58">
        <v>11</v>
      </c>
      <c r="J58">
        <v>1.1399999999999999</v>
      </c>
      <c r="K58">
        <v>1.24</v>
      </c>
      <c r="L58">
        <v>1.38</v>
      </c>
      <c r="M58">
        <v>1.44</v>
      </c>
      <c r="N58">
        <v>1.52</v>
      </c>
      <c r="O58">
        <v>1.4</v>
      </c>
      <c r="P58">
        <v>1.31</v>
      </c>
      <c r="Q58">
        <v>1.35</v>
      </c>
      <c r="R58">
        <v>1.36</v>
      </c>
      <c r="S58">
        <v>1.1599999999999999</v>
      </c>
      <c r="T58">
        <v>3708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5</v>
      </c>
      <c r="G59">
        <v>11</v>
      </c>
      <c r="H59">
        <v>10</v>
      </c>
      <c r="I59">
        <v>7</v>
      </c>
      <c r="J59">
        <v>1.21</v>
      </c>
      <c r="K59">
        <v>1.19</v>
      </c>
      <c r="L59">
        <v>1.32</v>
      </c>
      <c r="M59">
        <v>1.18</v>
      </c>
      <c r="N59">
        <v>1.29</v>
      </c>
      <c r="O59">
        <v>1.34</v>
      </c>
      <c r="P59">
        <v>1.36</v>
      </c>
      <c r="Q59">
        <v>1.29</v>
      </c>
      <c r="R59">
        <v>1.37</v>
      </c>
      <c r="S59">
        <v>1.23</v>
      </c>
      <c r="T59">
        <v>3727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5</v>
      </c>
      <c r="G60">
        <v>11</v>
      </c>
      <c r="H60">
        <v>10</v>
      </c>
      <c r="I60">
        <v>2</v>
      </c>
      <c r="J60">
        <v>0.99</v>
      </c>
      <c r="K60">
        <v>1.1000000000000001</v>
      </c>
      <c r="L60">
        <v>1.45</v>
      </c>
      <c r="M60">
        <v>1.4</v>
      </c>
      <c r="N60">
        <v>1.45</v>
      </c>
      <c r="O60">
        <v>1.42</v>
      </c>
      <c r="P60">
        <v>1.47</v>
      </c>
      <c r="Q60">
        <v>1.31</v>
      </c>
      <c r="R60">
        <v>1.35</v>
      </c>
      <c r="S60">
        <v>1.24</v>
      </c>
      <c r="T60">
        <v>3720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5</v>
      </c>
      <c r="G61">
        <v>11</v>
      </c>
      <c r="H61">
        <v>10</v>
      </c>
      <c r="I61">
        <v>23</v>
      </c>
      <c r="J61">
        <v>1.36</v>
      </c>
      <c r="K61">
        <v>1.35</v>
      </c>
      <c r="L61">
        <v>1.41</v>
      </c>
      <c r="M61">
        <v>1.48</v>
      </c>
      <c r="N61">
        <v>1.38</v>
      </c>
      <c r="O61">
        <v>1.4</v>
      </c>
      <c r="P61">
        <v>1.31</v>
      </c>
      <c r="Q61">
        <v>1.35</v>
      </c>
      <c r="R61">
        <v>1.42</v>
      </c>
      <c r="S61">
        <v>1.31</v>
      </c>
      <c r="T61">
        <v>3679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5</v>
      </c>
      <c r="G62">
        <v>11</v>
      </c>
      <c r="H62">
        <v>10</v>
      </c>
      <c r="I62">
        <v>20</v>
      </c>
      <c r="J62">
        <v>1.32</v>
      </c>
      <c r="K62">
        <v>1.32</v>
      </c>
      <c r="L62">
        <v>1.52</v>
      </c>
      <c r="M62">
        <v>1.59</v>
      </c>
      <c r="N62">
        <v>1.67</v>
      </c>
      <c r="O62">
        <v>1.61</v>
      </c>
      <c r="P62">
        <v>1.47</v>
      </c>
      <c r="Q62">
        <v>1.35</v>
      </c>
      <c r="R62">
        <v>1.41</v>
      </c>
      <c r="S62">
        <v>1.27</v>
      </c>
      <c r="T62">
        <v>3688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5</v>
      </c>
      <c r="G63">
        <v>11</v>
      </c>
      <c r="H63">
        <v>10</v>
      </c>
      <c r="I63">
        <v>33</v>
      </c>
      <c r="J63">
        <v>1.29</v>
      </c>
      <c r="K63">
        <v>1.27</v>
      </c>
      <c r="L63">
        <v>1.4</v>
      </c>
      <c r="M63">
        <v>1.5</v>
      </c>
      <c r="N63">
        <v>1.48</v>
      </c>
      <c r="O63">
        <v>1.43</v>
      </c>
      <c r="P63">
        <v>1.36</v>
      </c>
      <c r="Q63">
        <v>1.22</v>
      </c>
      <c r="R63">
        <v>1.29</v>
      </c>
      <c r="S63">
        <v>1.0900000000000001</v>
      </c>
      <c r="T63">
        <v>3688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5</v>
      </c>
      <c r="G64">
        <v>11</v>
      </c>
      <c r="H64">
        <v>10</v>
      </c>
      <c r="I64">
        <v>37</v>
      </c>
      <c r="J64">
        <v>1.32</v>
      </c>
      <c r="K64">
        <v>1.32</v>
      </c>
      <c r="L64">
        <v>1.36</v>
      </c>
      <c r="M64">
        <v>1.49</v>
      </c>
      <c r="N64">
        <v>1.56</v>
      </c>
      <c r="O64">
        <v>1.52</v>
      </c>
      <c r="P64">
        <v>1.51</v>
      </c>
      <c r="Q64">
        <v>1.4</v>
      </c>
      <c r="R64">
        <v>1.34</v>
      </c>
      <c r="S64">
        <v>1.27</v>
      </c>
      <c r="T64">
        <v>3686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5</v>
      </c>
      <c r="G65">
        <v>11</v>
      </c>
      <c r="H65">
        <v>10</v>
      </c>
      <c r="I65">
        <v>55</v>
      </c>
      <c r="J65">
        <v>1.1000000000000001</v>
      </c>
      <c r="K65">
        <v>0.91</v>
      </c>
      <c r="L65">
        <v>0.99</v>
      </c>
      <c r="M65">
        <v>1.17</v>
      </c>
      <c r="N65">
        <v>1.19</v>
      </c>
      <c r="O65">
        <v>1.02</v>
      </c>
      <c r="P65">
        <v>1.17</v>
      </c>
      <c r="Q65">
        <v>1.34</v>
      </c>
      <c r="R65">
        <v>1.43</v>
      </c>
      <c r="S65">
        <v>1.31</v>
      </c>
      <c r="T65">
        <v>3673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5</v>
      </c>
      <c r="G66">
        <v>11</v>
      </c>
      <c r="H66">
        <v>10</v>
      </c>
      <c r="I66">
        <v>51</v>
      </c>
      <c r="J66">
        <v>1.34</v>
      </c>
      <c r="K66">
        <v>1.4</v>
      </c>
      <c r="L66">
        <v>1.48</v>
      </c>
      <c r="M66">
        <v>1.24</v>
      </c>
      <c r="N66">
        <v>1.39</v>
      </c>
      <c r="O66">
        <v>1.48</v>
      </c>
      <c r="P66">
        <v>1.29</v>
      </c>
      <c r="Q66">
        <v>1.31</v>
      </c>
      <c r="R66">
        <v>1.44</v>
      </c>
      <c r="S66">
        <v>1.29</v>
      </c>
      <c r="T66">
        <v>3686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5</v>
      </c>
      <c r="G67">
        <v>11</v>
      </c>
      <c r="H67">
        <v>10</v>
      </c>
      <c r="I67">
        <v>46</v>
      </c>
      <c r="J67">
        <v>1.39</v>
      </c>
      <c r="K67">
        <v>1.29</v>
      </c>
      <c r="L67">
        <v>1.22</v>
      </c>
      <c r="M67">
        <v>1.2</v>
      </c>
      <c r="N67">
        <v>1.29</v>
      </c>
      <c r="O67">
        <v>1.33</v>
      </c>
      <c r="P67">
        <v>1.18</v>
      </c>
      <c r="Q67">
        <v>1.21</v>
      </c>
      <c r="R67">
        <v>1.32</v>
      </c>
      <c r="S67">
        <v>1.19</v>
      </c>
      <c r="T67">
        <v>3679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5</v>
      </c>
      <c r="G68">
        <v>11</v>
      </c>
      <c r="H68">
        <v>10</v>
      </c>
      <c r="I68">
        <v>42</v>
      </c>
      <c r="J68">
        <v>1.44</v>
      </c>
      <c r="K68">
        <v>1.38</v>
      </c>
      <c r="L68">
        <v>1.23</v>
      </c>
      <c r="M68">
        <v>1.35</v>
      </c>
      <c r="N68">
        <v>1.48</v>
      </c>
      <c r="O68">
        <v>1.44</v>
      </c>
      <c r="P68">
        <v>1.35</v>
      </c>
      <c r="Q68">
        <v>1.23</v>
      </c>
      <c r="R68">
        <v>1.31</v>
      </c>
      <c r="S68">
        <v>1.26</v>
      </c>
      <c r="T68">
        <v>3682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18.55395</v>
      </c>
      <c r="K73">
        <f t="shared" ref="K73:R73" si="0">22.275*K45-6.1713</f>
        <v>20.78145</v>
      </c>
      <c r="L73">
        <f t="shared" si="0"/>
        <v>23.89995</v>
      </c>
      <c r="M73">
        <f t="shared" si="0"/>
        <v>26.350199999999997</v>
      </c>
      <c r="N73">
        <f t="shared" si="0"/>
        <v>25.013699999999996</v>
      </c>
      <c r="O73">
        <f t="shared" si="0"/>
        <v>27.463950000000001</v>
      </c>
      <c r="P73">
        <f t="shared" si="0"/>
        <v>28.132200000000001</v>
      </c>
      <c r="Q73">
        <f t="shared" si="0"/>
        <v>26.7957</v>
      </c>
      <c r="R73">
        <f t="shared" si="0"/>
        <v>26.7957</v>
      </c>
      <c r="S73">
        <f>22.275*(S45*1.1)-6.1713</f>
        <v>24.70185</v>
      </c>
    </row>
    <row r="74" spans="1:20" x14ac:dyDescent="0.25">
      <c r="I74" t="s">
        <v>43</v>
      </c>
      <c r="J74">
        <f t="shared" ref="J74:R89" si="1">22.275*J46-6.1713</f>
        <v>20.78145</v>
      </c>
      <c r="K74">
        <f t="shared" si="1"/>
        <v>22.11795</v>
      </c>
      <c r="L74">
        <f t="shared" si="1"/>
        <v>16.326450000000001</v>
      </c>
      <c r="M74">
        <f t="shared" si="1"/>
        <v>15.880949999999999</v>
      </c>
      <c r="N74">
        <f t="shared" si="1"/>
        <v>14.544450000000001</v>
      </c>
      <c r="O74">
        <f t="shared" si="1"/>
        <v>18.999449999999996</v>
      </c>
      <c r="P74">
        <f t="shared" si="1"/>
        <v>20.78145</v>
      </c>
      <c r="Q74">
        <f t="shared" si="1"/>
        <v>24.568199999999997</v>
      </c>
      <c r="R74">
        <f t="shared" si="1"/>
        <v>24.790949999999999</v>
      </c>
      <c r="S74">
        <f t="shared" ref="S74:S91" si="2">22.275*(S46*1.1)-6.1713</f>
        <v>22.496624999999998</v>
      </c>
    </row>
    <row r="75" spans="1:20" x14ac:dyDescent="0.25">
      <c r="I75" t="s">
        <v>44</v>
      </c>
      <c r="J75">
        <f t="shared" si="1"/>
        <v>19.444949999999999</v>
      </c>
      <c r="K75">
        <f t="shared" si="1"/>
        <v>18.331200000000003</v>
      </c>
      <c r="L75">
        <f t="shared" si="1"/>
        <v>20.113199999999999</v>
      </c>
      <c r="M75">
        <f t="shared" si="1"/>
        <v>23.89995</v>
      </c>
      <c r="N75">
        <f t="shared" si="1"/>
        <v>25.904699999999995</v>
      </c>
      <c r="O75">
        <f t="shared" si="1"/>
        <v>26.350199999999997</v>
      </c>
      <c r="P75">
        <f t="shared" si="1"/>
        <v>25.459199999999999</v>
      </c>
      <c r="Q75">
        <f t="shared" si="1"/>
        <v>24.122700000000002</v>
      </c>
      <c r="R75">
        <f t="shared" si="1"/>
        <v>25.904699999999995</v>
      </c>
      <c r="S75">
        <f t="shared" si="2"/>
        <v>25.436925000000006</v>
      </c>
    </row>
    <row r="76" spans="1:20" x14ac:dyDescent="0.25">
      <c r="I76" t="s">
        <v>45</v>
      </c>
      <c r="J76">
        <f t="shared" si="1"/>
        <v>25.459199999999999</v>
      </c>
      <c r="K76">
        <f t="shared" si="1"/>
        <v>26.12745</v>
      </c>
      <c r="L76">
        <f t="shared" si="1"/>
        <v>27.018449999999998</v>
      </c>
      <c r="M76">
        <f t="shared" si="1"/>
        <v>27.018449999999998</v>
      </c>
      <c r="N76">
        <f t="shared" si="1"/>
        <v>24.122700000000002</v>
      </c>
      <c r="O76">
        <f t="shared" si="1"/>
        <v>24.568199999999997</v>
      </c>
      <c r="P76">
        <f t="shared" si="1"/>
        <v>27.686699999999998</v>
      </c>
      <c r="Q76">
        <f t="shared" si="1"/>
        <v>25.681949999999997</v>
      </c>
      <c r="R76">
        <f t="shared" si="1"/>
        <v>25.236449999999998</v>
      </c>
      <c r="S76">
        <f t="shared" si="2"/>
        <v>21.516524999999998</v>
      </c>
    </row>
    <row r="77" spans="1:20" x14ac:dyDescent="0.25">
      <c r="I77" t="s">
        <v>46</v>
      </c>
      <c r="J77">
        <f t="shared" si="1"/>
        <v>24.790949999999999</v>
      </c>
      <c r="K77">
        <f t="shared" si="1"/>
        <v>22.786200000000001</v>
      </c>
      <c r="L77">
        <f t="shared" si="1"/>
        <v>23.454450000000001</v>
      </c>
      <c r="M77">
        <f t="shared" si="1"/>
        <v>25.013699999999996</v>
      </c>
      <c r="N77">
        <f t="shared" si="1"/>
        <v>25.904699999999995</v>
      </c>
      <c r="O77">
        <f t="shared" si="1"/>
        <v>25.236449999999998</v>
      </c>
      <c r="P77">
        <f t="shared" si="1"/>
        <v>22.56345</v>
      </c>
      <c r="Q77">
        <f t="shared" si="1"/>
        <v>25.459199999999999</v>
      </c>
      <c r="R77">
        <f t="shared" si="1"/>
        <v>27.018449999999998</v>
      </c>
      <c r="S77">
        <f t="shared" si="2"/>
        <v>25.926975000000002</v>
      </c>
    </row>
    <row r="78" spans="1:20" x14ac:dyDescent="0.25">
      <c r="I78" t="s">
        <v>47</v>
      </c>
      <c r="J78">
        <f t="shared" si="1"/>
        <v>24.345450000000003</v>
      </c>
      <c r="K78">
        <f t="shared" si="1"/>
        <v>22.56345</v>
      </c>
      <c r="L78">
        <f t="shared" si="1"/>
        <v>23.454450000000001</v>
      </c>
      <c r="M78">
        <f t="shared" si="1"/>
        <v>24.122700000000002</v>
      </c>
      <c r="N78">
        <f t="shared" si="1"/>
        <v>23.677200000000003</v>
      </c>
      <c r="O78">
        <f t="shared" si="1"/>
        <v>18.776700000000002</v>
      </c>
      <c r="P78">
        <f t="shared" si="1"/>
        <v>18.55395</v>
      </c>
      <c r="Q78">
        <f t="shared" si="1"/>
        <v>22.786200000000001</v>
      </c>
      <c r="R78">
        <f t="shared" si="1"/>
        <v>24.122700000000002</v>
      </c>
      <c r="S78">
        <f t="shared" si="2"/>
        <v>20.046375000000005</v>
      </c>
    </row>
    <row r="79" spans="1:20" x14ac:dyDescent="0.25">
      <c r="I79" t="s">
        <v>48</v>
      </c>
      <c r="J79">
        <f t="shared" si="1"/>
        <v>20.335949999999997</v>
      </c>
      <c r="K79">
        <f t="shared" si="1"/>
        <v>20.558699999999998</v>
      </c>
      <c r="L79">
        <f t="shared" si="1"/>
        <v>24.122700000000002</v>
      </c>
      <c r="M79">
        <f t="shared" si="1"/>
        <v>25.459199999999999</v>
      </c>
      <c r="N79">
        <f t="shared" si="1"/>
        <v>19.444949999999999</v>
      </c>
      <c r="O79">
        <f t="shared" si="1"/>
        <v>12.762450000000001</v>
      </c>
      <c r="P79">
        <f t="shared" si="1"/>
        <v>13.876200000000001</v>
      </c>
      <c r="Q79">
        <f t="shared" si="1"/>
        <v>21.226949999999999</v>
      </c>
      <c r="R79">
        <f t="shared" si="1"/>
        <v>24.122700000000002</v>
      </c>
      <c r="S79">
        <f t="shared" si="2"/>
        <v>24.2118</v>
      </c>
    </row>
    <row r="80" spans="1:20" x14ac:dyDescent="0.25">
      <c r="I80" t="s">
        <v>49</v>
      </c>
      <c r="J80">
        <f t="shared" si="1"/>
        <v>12.985199999999999</v>
      </c>
      <c r="K80">
        <f t="shared" si="1"/>
        <v>10.980450000000001</v>
      </c>
      <c r="L80">
        <f t="shared" si="1"/>
        <v>11.648700000000002</v>
      </c>
      <c r="M80">
        <f t="shared" si="1"/>
        <v>13.430700000000002</v>
      </c>
      <c r="N80">
        <f t="shared" si="1"/>
        <v>14.098950000000002</v>
      </c>
      <c r="O80">
        <f t="shared" si="1"/>
        <v>14.3217</v>
      </c>
      <c r="P80">
        <f t="shared" si="1"/>
        <v>16.1037</v>
      </c>
      <c r="Q80">
        <f t="shared" si="1"/>
        <v>18.55395</v>
      </c>
      <c r="R80">
        <f t="shared" si="1"/>
        <v>24.568199999999997</v>
      </c>
      <c r="S80">
        <f t="shared" si="2"/>
        <v>24.2118</v>
      </c>
    </row>
    <row r="81" spans="9:19" x14ac:dyDescent="0.25">
      <c r="I81" t="s">
        <v>50</v>
      </c>
      <c r="J81">
        <f t="shared" si="1"/>
        <v>25.236449999999998</v>
      </c>
      <c r="K81">
        <f t="shared" si="1"/>
        <v>23.89995</v>
      </c>
      <c r="L81">
        <f t="shared" si="1"/>
        <v>24.345450000000003</v>
      </c>
      <c r="M81">
        <f t="shared" si="1"/>
        <v>23.677200000000003</v>
      </c>
      <c r="N81">
        <f t="shared" si="1"/>
        <v>21.4497</v>
      </c>
      <c r="O81">
        <f t="shared" si="1"/>
        <v>16.1037</v>
      </c>
      <c r="P81">
        <f t="shared" si="1"/>
        <v>14.767199999999999</v>
      </c>
      <c r="Q81">
        <f t="shared" si="1"/>
        <v>16.994700000000002</v>
      </c>
      <c r="R81">
        <f t="shared" si="1"/>
        <v>21.4497</v>
      </c>
      <c r="S81">
        <f t="shared" si="2"/>
        <v>22.2516</v>
      </c>
    </row>
    <row r="82" spans="9:19" x14ac:dyDescent="0.25">
      <c r="I82" t="s">
        <v>51</v>
      </c>
      <c r="J82">
        <f t="shared" si="1"/>
        <v>15.212699999999998</v>
      </c>
      <c r="K82">
        <f t="shared" si="1"/>
        <v>14.098950000000002</v>
      </c>
      <c r="L82">
        <f t="shared" si="1"/>
        <v>12.316949999999999</v>
      </c>
      <c r="M82">
        <f t="shared" si="1"/>
        <v>14.098950000000002</v>
      </c>
      <c r="N82">
        <f t="shared" si="1"/>
        <v>14.544450000000001</v>
      </c>
      <c r="O82">
        <f t="shared" si="1"/>
        <v>15.880949999999999</v>
      </c>
      <c r="P82">
        <f t="shared" si="1"/>
        <v>18.108450000000001</v>
      </c>
      <c r="Q82">
        <f t="shared" si="1"/>
        <v>23.008950000000002</v>
      </c>
      <c r="R82">
        <f t="shared" si="1"/>
        <v>25.236449999999998</v>
      </c>
      <c r="S82">
        <f t="shared" si="2"/>
        <v>22.986674999999998</v>
      </c>
    </row>
    <row r="83" spans="9:19" x14ac:dyDescent="0.25">
      <c r="I83" t="s">
        <v>52</v>
      </c>
      <c r="J83">
        <f t="shared" si="1"/>
        <v>19.890449999999998</v>
      </c>
      <c r="K83">
        <f t="shared" si="1"/>
        <v>20.113199999999999</v>
      </c>
      <c r="L83">
        <f t="shared" si="1"/>
        <v>24.122700000000002</v>
      </c>
      <c r="M83">
        <f t="shared" si="1"/>
        <v>25.904699999999995</v>
      </c>
      <c r="N83">
        <f t="shared" si="1"/>
        <v>23.89995</v>
      </c>
      <c r="O83">
        <f t="shared" si="1"/>
        <v>23.89995</v>
      </c>
      <c r="P83">
        <f t="shared" si="1"/>
        <v>24.345450000000003</v>
      </c>
      <c r="Q83">
        <f t="shared" si="1"/>
        <v>23.2317</v>
      </c>
      <c r="R83">
        <f t="shared" si="1"/>
        <v>25.013699999999996</v>
      </c>
      <c r="S83">
        <f t="shared" si="2"/>
        <v>22.006574999999998</v>
      </c>
    </row>
    <row r="84" spans="9:19" x14ac:dyDescent="0.25">
      <c r="I84" t="s">
        <v>53</v>
      </c>
      <c r="J84">
        <f t="shared" si="1"/>
        <v>12.316949999999999</v>
      </c>
      <c r="K84">
        <f t="shared" si="1"/>
        <v>13.653449999999999</v>
      </c>
      <c r="L84">
        <f t="shared" si="1"/>
        <v>18.55395</v>
      </c>
      <c r="M84">
        <f t="shared" si="1"/>
        <v>22.56345</v>
      </c>
      <c r="N84">
        <f t="shared" si="1"/>
        <v>24.790949999999999</v>
      </c>
      <c r="O84">
        <f t="shared" si="1"/>
        <v>25.904699999999995</v>
      </c>
      <c r="P84">
        <f t="shared" si="1"/>
        <v>27.686699999999998</v>
      </c>
      <c r="Q84">
        <f t="shared" si="1"/>
        <v>26.350199999999997</v>
      </c>
      <c r="R84">
        <f t="shared" si="1"/>
        <v>23.89995</v>
      </c>
      <c r="S84">
        <f t="shared" si="2"/>
        <v>22.006574999999998</v>
      </c>
    </row>
    <row r="85" spans="9:19" x14ac:dyDescent="0.25">
      <c r="I85" t="s">
        <v>54</v>
      </c>
      <c r="J85">
        <f t="shared" si="1"/>
        <v>20.558699999999998</v>
      </c>
      <c r="K85">
        <f t="shared" si="1"/>
        <v>23.677200000000003</v>
      </c>
      <c r="L85">
        <f t="shared" si="1"/>
        <v>27.909450000000003</v>
      </c>
      <c r="M85">
        <f t="shared" si="1"/>
        <v>27.241199999999996</v>
      </c>
      <c r="N85">
        <f t="shared" si="1"/>
        <v>27.686699999999998</v>
      </c>
      <c r="O85">
        <f t="shared" si="1"/>
        <v>28.354949999999999</v>
      </c>
      <c r="P85">
        <f t="shared" si="1"/>
        <v>23.008950000000002</v>
      </c>
      <c r="Q85">
        <f t="shared" si="1"/>
        <v>23.89995</v>
      </c>
      <c r="R85">
        <f t="shared" si="1"/>
        <v>25.236449999999998</v>
      </c>
      <c r="S85">
        <f t="shared" si="2"/>
        <v>25.926975000000002</v>
      </c>
    </row>
    <row r="86" spans="9:19" x14ac:dyDescent="0.25">
      <c r="I86" t="s">
        <v>55</v>
      </c>
      <c r="J86">
        <f t="shared" si="1"/>
        <v>19.222199999999997</v>
      </c>
      <c r="K86">
        <f t="shared" si="1"/>
        <v>21.4497</v>
      </c>
      <c r="L86">
        <f t="shared" si="1"/>
        <v>24.568199999999997</v>
      </c>
      <c r="M86">
        <f t="shared" si="1"/>
        <v>25.904699999999995</v>
      </c>
      <c r="N86">
        <f t="shared" si="1"/>
        <v>27.686699999999998</v>
      </c>
      <c r="O86">
        <f t="shared" si="1"/>
        <v>25.013699999999996</v>
      </c>
      <c r="P86">
        <f t="shared" si="1"/>
        <v>23.008950000000002</v>
      </c>
      <c r="Q86">
        <f t="shared" si="1"/>
        <v>23.89995</v>
      </c>
      <c r="R86">
        <f t="shared" si="1"/>
        <v>24.122700000000002</v>
      </c>
      <c r="S86">
        <f t="shared" si="2"/>
        <v>22.2516</v>
      </c>
    </row>
    <row r="87" spans="9:19" x14ac:dyDescent="0.25">
      <c r="I87" t="s">
        <v>56</v>
      </c>
      <c r="J87">
        <f t="shared" si="1"/>
        <v>20.78145</v>
      </c>
      <c r="K87">
        <f t="shared" si="1"/>
        <v>20.335949999999997</v>
      </c>
      <c r="L87">
        <f t="shared" si="1"/>
        <v>23.2317</v>
      </c>
      <c r="M87">
        <f t="shared" si="1"/>
        <v>20.113199999999999</v>
      </c>
      <c r="N87">
        <f t="shared" si="1"/>
        <v>22.56345</v>
      </c>
      <c r="O87">
        <f t="shared" si="1"/>
        <v>23.677200000000003</v>
      </c>
      <c r="P87">
        <f t="shared" si="1"/>
        <v>24.122700000000002</v>
      </c>
      <c r="Q87">
        <f t="shared" si="1"/>
        <v>22.56345</v>
      </c>
      <c r="R87">
        <f t="shared" si="1"/>
        <v>24.345450000000003</v>
      </c>
      <c r="S87">
        <f t="shared" si="2"/>
        <v>23.966774999999998</v>
      </c>
    </row>
    <row r="88" spans="9:19" x14ac:dyDescent="0.25">
      <c r="I88" t="s">
        <v>57</v>
      </c>
      <c r="J88">
        <f t="shared" si="1"/>
        <v>15.880949999999999</v>
      </c>
      <c r="K88">
        <f t="shared" si="1"/>
        <v>18.331200000000003</v>
      </c>
      <c r="L88">
        <f t="shared" si="1"/>
        <v>26.12745</v>
      </c>
      <c r="M88">
        <f t="shared" si="1"/>
        <v>25.013699999999996</v>
      </c>
      <c r="N88">
        <f t="shared" si="1"/>
        <v>26.12745</v>
      </c>
      <c r="O88">
        <f t="shared" si="1"/>
        <v>25.459199999999999</v>
      </c>
      <c r="P88">
        <f t="shared" si="1"/>
        <v>26.572949999999995</v>
      </c>
      <c r="Q88">
        <f t="shared" si="1"/>
        <v>23.008950000000002</v>
      </c>
      <c r="R88">
        <f t="shared" si="1"/>
        <v>23.89995</v>
      </c>
      <c r="S88">
        <f t="shared" si="2"/>
        <v>24.2118</v>
      </c>
    </row>
    <row r="89" spans="9:19" x14ac:dyDescent="0.25">
      <c r="I89" t="s">
        <v>58</v>
      </c>
      <c r="J89">
        <f t="shared" si="1"/>
        <v>24.122700000000002</v>
      </c>
      <c r="K89">
        <f t="shared" si="1"/>
        <v>23.89995</v>
      </c>
      <c r="L89">
        <f t="shared" si="1"/>
        <v>25.236449999999998</v>
      </c>
      <c r="M89">
        <f t="shared" si="1"/>
        <v>26.7957</v>
      </c>
      <c r="N89">
        <f t="shared" si="1"/>
        <v>24.568199999999997</v>
      </c>
      <c r="O89">
        <f t="shared" si="1"/>
        <v>25.013699999999996</v>
      </c>
      <c r="P89">
        <f t="shared" si="1"/>
        <v>23.008950000000002</v>
      </c>
      <c r="Q89">
        <f t="shared" si="1"/>
        <v>23.89995</v>
      </c>
      <c r="R89">
        <f t="shared" si="1"/>
        <v>25.459199999999999</v>
      </c>
      <c r="S89">
        <f t="shared" si="2"/>
        <v>25.926975000000002</v>
      </c>
    </row>
    <row r="90" spans="9:19" x14ac:dyDescent="0.25">
      <c r="I90" t="s">
        <v>59</v>
      </c>
      <c r="J90">
        <f t="shared" ref="J90:R96" si="3">22.275*J62-6.1713</f>
        <v>23.2317</v>
      </c>
      <c r="K90">
        <f t="shared" si="3"/>
        <v>23.2317</v>
      </c>
      <c r="L90">
        <f t="shared" si="3"/>
        <v>27.686699999999998</v>
      </c>
      <c r="M90">
        <f t="shared" si="3"/>
        <v>29.245950000000004</v>
      </c>
      <c r="N90">
        <f t="shared" si="3"/>
        <v>31.027950000000001</v>
      </c>
      <c r="O90">
        <f t="shared" si="3"/>
        <v>29.69145</v>
      </c>
      <c r="P90">
        <f t="shared" si="3"/>
        <v>26.572949999999995</v>
      </c>
      <c r="Q90">
        <f t="shared" si="3"/>
        <v>23.89995</v>
      </c>
      <c r="R90">
        <f t="shared" si="3"/>
        <v>25.236449999999998</v>
      </c>
      <c r="S90">
        <f t="shared" si="2"/>
        <v>24.946875000000006</v>
      </c>
    </row>
    <row r="91" spans="9:19" x14ac:dyDescent="0.25">
      <c r="I91" t="s">
        <v>60</v>
      </c>
      <c r="J91">
        <f t="shared" si="3"/>
        <v>22.56345</v>
      </c>
      <c r="K91">
        <f t="shared" si="3"/>
        <v>22.11795</v>
      </c>
      <c r="L91">
        <f t="shared" si="3"/>
        <v>25.013699999999996</v>
      </c>
      <c r="M91">
        <f t="shared" si="3"/>
        <v>27.241199999999996</v>
      </c>
      <c r="N91">
        <f t="shared" si="3"/>
        <v>26.7957</v>
      </c>
      <c r="O91">
        <f t="shared" si="3"/>
        <v>25.681949999999997</v>
      </c>
      <c r="P91">
        <f t="shared" si="3"/>
        <v>24.122700000000002</v>
      </c>
      <c r="Q91">
        <f t="shared" si="3"/>
        <v>21.004199999999997</v>
      </c>
      <c r="R91">
        <f t="shared" si="3"/>
        <v>22.56345</v>
      </c>
      <c r="S91">
        <f t="shared" si="2"/>
        <v>20.536425000000005</v>
      </c>
    </row>
    <row r="92" spans="9:19" x14ac:dyDescent="0.25">
      <c r="I92" t="s">
        <v>61</v>
      </c>
      <c r="J92">
        <f t="shared" si="3"/>
        <v>23.2317</v>
      </c>
      <c r="K92">
        <f t="shared" si="3"/>
        <v>23.2317</v>
      </c>
      <c r="L92">
        <f t="shared" si="3"/>
        <v>24.122700000000002</v>
      </c>
      <c r="M92">
        <f t="shared" si="3"/>
        <v>27.018449999999998</v>
      </c>
      <c r="N92">
        <f t="shared" si="3"/>
        <v>28.577700000000004</v>
      </c>
      <c r="O92">
        <f t="shared" si="3"/>
        <v>27.686699999999998</v>
      </c>
      <c r="P92">
        <f t="shared" si="3"/>
        <v>27.463950000000001</v>
      </c>
      <c r="Q92">
        <f t="shared" si="3"/>
        <v>25.013699999999996</v>
      </c>
      <c r="R92">
        <f t="shared" si="3"/>
        <v>23.677200000000003</v>
      </c>
      <c r="S92">
        <f>22.275*(S64*1.1)-6.1713</f>
        <v>24.946875000000006</v>
      </c>
    </row>
    <row r="93" spans="9:19" x14ac:dyDescent="0.25">
      <c r="I93" t="s">
        <v>62</v>
      </c>
      <c r="J93">
        <f t="shared" si="3"/>
        <v>18.331200000000003</v>
      </c>
      <c r="K93">
        <f t="shared" si="3"/>
        <v>14.098950000000002</v>
      </c>
      <c r="L93">
        <f t="shared" si="3"/>
        <v>15.880949999999999</v>
      </c>
      <c r="M93">
        <f t="shared" si="3"/>
        <v>19.890449999999998</v>
      </c>
      <c r="N93">
        <f t="shared" si="3"/>
        <v>20.335949999999997</v>
      </c>
      <c r="O93">
        <f t="shared" si="3"/>
        <v>16.549199999999999</v>
      </c>
      <c r="P93">
        <f t="shared" si="3"/>
        <v>19.890449999999998</v>
      </c>
      <c r="Q93">
        <f t="shared" si="3"/>
        <v>23.677200000000003</v>
      </c>
      <c r="R93">
        <f t="shared" si="3"/>
        <v>25.681949999999997</v>
      </c>
      <c r="S93">
        <f t="shared" ref="S93:S95" si="4">22.275*(S65*1.1)-6.1713</f>
        <v>25.926975000000002</v>
      </c>
    </row>
    <row r="94" spans="9:19" x14ac:dyDescent="0.25">
      <c r="I94" t="s">
        <v>63</v>
      </c>
      <c r="J94">
        <f t="shared" si="3"/>
        <v>23.677200000000003</v>
      </c>
      <c r="K94">
        <f t="shared" si="3"/>
        <v>25.013699999999996</v>
      </c>
      <c r="L94">
        <f t="shared" si="3"/>
        <v>26.7957</v>
      </c>
      <c r="M94">
        <f t="shared" si="3"/>
        <v>21.4497</v>
      </c>
      <c r="N94">
        <f t="shared" si="3"/>
        <v>24.790949999999999</v>
      </c>
      <c r="O94">
        <f t="shared" si="3"/>
        <v>26.7957</v>
      </c>
      <c r="P94">
        <f t="shared" si="3"/>
        <v>22.56345</v>
      </c>
      <c r="Q94">
        <f t="shared" si="3"/>
        <v>23.008950000000002</v>
      </c>
      <c r="R94">
        <f t="shared" si="3"/>
        <v>25.904699999999995</v>
      </c>
      <c r="S94">
        <f t="shared" si="4"/>
        <v>25.436925000000006</v>
      </c>
    </row>
    <row r="95" spans="9:19" x14ac:dyDescent="0.25">
      <c r="I95" t="s">
        <v>64</v>
      </c>
      <c r="J95">
        <f t="shared" si="3"/>
        <v>24.790949999999999</v>
      </c>
      <c r="K95">
        <f t="shared" si="3"/>
        <v>22.56345</v>
      </c>
      <c r="L95">
        <f t="shared" si="3"/>
        <v>21.004199999999997</v>
      </c>
      <c r="M95">
        <f t="shared" si="3"/>
        <v>20.558699999999998</v>
      </c>
      <c r="N95">
        <f t="shared" si="3"/>
        <v>22.56345</v>
      </c>
      <c r="O95">
        <f t="shared" si="3"/>
        <v>23.454450000000001</v>
      </c>
      <c r="P95">
        <f t="shared" si="3"/>
        <v>20.113199999999999</v>
      </c>
      <c r="Q95">
        <f t="shared" si="3"/>
        <v>20.78145</v>
      </c>
      <c r="R95">
        <f t="shared" si="3"/>
        <v>23.2317</v>
      </c>
      <c r="S95">
        <f t="shared" si="4"/>
        <v>22.986674999999998</v>
      </c>
    </row>
    <row r="96" spans="9:19" x14ac:dyDescent="0.25">
      <c r="I96" t="s">
        <v>65</v>
      </c>
      <c r="J96">
        <f>22.275*J68-6.1713</f>
        <v>25.904699999999995</v>
      </c>
      <c r="K96">
        <f t="shared" si="3"/>
        <v>24.568199999999997</v>
      </c>
      <c r="L96">
        <f t="shared" si="3"/>
        <v>21.226949999999999</v>
      </c>
      <c r="M96">
        <f t="shared" si="3"/>
        <v>23.89995</v>
      </c>
      <c r="N96">
        <f t="shared" si="3"/>
        <v>26.7957</v>
      </c>
      <c r="O96">
        <f t="shared" si="3"/>
        <v>25.904699999999995</v>
      </c>
      <c r="P96">
        <f t="shared" si="3"/>
        <v>23.89995</v>
      </c>
      <c r="Q96">
        <f t="shared" si="3"/>
        <v>21.226949999999999</v>
      </c>
      <c r="R96">
        <f t="shared" si="3"/>
        <v>23.008950000000002</v>
      </c>
      <c r="S96">
        <f>22.275*(S68*1.1)-6.1713</f>
        <v>24.70185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0.1855395</v>
      </c>
      <c r="K101" s="4">
        <f t="shared" si="5"/>
        <v>0.20781449999999999</v>
      </c>
      <c r="L101" s="4">
        <f t="shared" si="5"/>
        <v>0.2389995</v>
      </c>
      <c r="M101" s="4">
        <f t="shared" si="5"/>
        <v>0.26350199999999996</v>
      </c>
      <c r="N101" s="4">
        <f t="shared" si="5"/>
        <v>0.25013699999999994</v>
      </c>
      <c r="O101" s="4">
        <f t="shared" si="5"/>
        <v>0.27463949999999998</v>
      </c>
      <c r="P101" s="4">
        <f t="shared" si="5"/>
        <v>0.28132200000000002</v>
      </c>
      <c r="Q101" s="4">
        <f t="shared" si="5"/>
        <v>0.267957</v>
      </c>
      <c r="R101" s="4">
        <f t="shared" si="5"/>
        <v>0.267957</v>
      </c>
      <c r="S101" s="4">
        <f t="shared" si="5"/>
        <v>0.2470185</v>
      </c>
    </row>
    <row r="102" spans="9:19" x14ac:dyDescent="0.25">
      <c r="I102">
        <v>12</v>
      </c>
      <c r="J102" s="4">
        <f t="shared" ref="J102:S115" si="6">IF(J74&lt;0,"",J74/100)</f>
        <v>0.20781449999999999</v>
      </c>
      <c r="K102" s="4">
        <f t="shared" si="6"/>
        <v>0.2211795</v>
      </c>
      <c r="L102" s="4">
        <f t="shared" si="6"/>
        <v>0.16326450000000001</v>
      </c>
      <c r="M102" s="4">
        <f t="shared" si="6"/>
        <v>0.15880949999999999</v>
      </c>
      <c r="N102" s="4">
        <f t="shared" si="6"/>
        <v>0.1454445</v>
      </c>
      <c r="O102" s="4">
        <f t="shared" si="6"/>
        <v>0.18999449999999996</v>
      </c>
      <c r="P102" s="4">
        <f t="shared" si="6"/>
        <v>0.20781449999999999</v>
      </c>
      <c r="Q102" s="4">
        <f t="shared" si="6"/>
        <v>0.24568199999999998</v>
      </c>
      <c r="R102" s="4">
        <f t="shared" si="6"/>
        <v>0.24790949999999998</v>
      </c>
      <c r="S102" s="4">
        <f t="shared" si="6"/>
        <v>0.22496624999999998</v>
      </c>
    </row>
    <row r="103" spans="9:19" x14ac:dyDescent="0.25">
      <c r="I103">
        <v>13</v>
      </c>
      <c r="J103" s="4">
        <f t="shared" si="6"/>
        <v>0.1944495</v>
      </c>
      <c r="K103" s="4">
        <f t="shared" si="6"/>
        <v>0.18331200000000003</v>
      </c>
      <c r="L103" s="4">
        <f t="shared" si="6"/>
        <v>0.20113199999999998</v>
      </c>
      <c r="M103" s="4">
        <f t="shared" si="6"/>
        <v>0.2389995</v>
      </c>
      <c r="N103" s="4">
        <f t="shared" si="6"/>
        <v>0.25904699999999997</v>
      </c>
      <c r="O103" s="4">
        <f t="shared" si="6"/>
        <v>0.26350199999999996</v>
      </c>
      <c r="P103" s="4">
        <f t="shared" si="6"/>
        <v>0.25459199999999998</v>
      </c>
      <c r="Q103" s="4">
        <f t="shared" si="6"/>
        <v>0.24122700000000002</v>
      </c>
      <c r="R103" s="4">
        <f t="shared" si="6"/>
        <v>0.25904699999999997</v>
      </c>
      <c r="S103" s="4">
        <f t="shared" si="6"/>
        <v>0.25436925000000005</v>
      </c>
    </row>
    <row r="104" spans="9:19" x14ac:dyDescent="0.25">
      <c r="I104">
        <v>14</v>
      </c>
      <c r="J104" s="4">
        <f t="shared" si="6"/>
        <v>0.25459199999999998</v>
      </c>
      <c r="K104" s="4">
        <f t="shared" si="6"/>
        <v>0.26127450000000002</v>
      </c>
      <c r="L104" s="4">
        <f t="shared" si="6"/>
        <v>0.27018449999999999</v>
      </c>
      <c r="M104" s="4">
        <f t="shared" si="6"/>
        <v>0.27018449999999999</v>
      </c>
      <c r="N104" s="4">
        <f t="shared" si="6"/>
        <v>0.24122700000000002</v>
      </c>
      <c r="O104" s="4">
        <f t="shared" si="6"/>
        <v>0.24568199999999998</v>
      </c>
      <c r="P104" s="4">
        <f t="shared" si="6"/>
        <v>0.27686699999999997</v>
      </c>
      <c r="Q104" s="4">
        <f t="shared" si="6"/>
        <v>0.25681949999999998</v>
      </c>
      <c r="R104" s="4">
        <f t="shared" si="6"/>
        <v>0.25236449999999999</v>
      </c>
      <c r="S104" s="4">
        <f t="shared" si="6"/>
        <v>0.21516524999999997</v>
      </c>
    </row>
    <row r="105" spans="9:19" x14ac:dyDescent="0.25">
      <c r="I105">
        <v>21</v>
      </c>
      <c r="J105" s="4">
        <f t="shared" si="6"/>
        <v>0.24790949999999998</v>
      </c>
      <c r="K105" s="4">
        <f t="shared" si="6"/>
        <v>0.22786200000000001</v>
      </c>
      <c r="L105" s="4">
        <f t="shared" si="6"/>
        <v>0.23454450000000002</v>
      </c>
      <c r="M105" s="4">
        <f t="shared" si="6"/>
        <v>0.25013699999999994</v>
      </c>
      <c r="N105" s="4">
        <f t="shared" si="6"/>
        <v>0.25904699999999997</v>
      </c>
      <c r="O105" s="4">
        <f t="shared" si="6"/>
        <v>0.25236449999999999</v>
      </c>
      <c r="P105" s="4">
        <f t="shared" si="6"/>
        <v>0.22563449999999999</v>
      </c>
      <c r="Q105" s="4">
        <f t="shared" si="6"/>
        <v>0.25459199999999998</v>
      </c>
      <c r="R105" s="4">
        <f t="shared" si="6"/>
        <v>0.27018449999999999</v>
      </c>
      <c r="S105" s="4">
        <f t="shared" si="6"/>
        <v>0.25926975000000002</v>
      </c>
    </row>
    <row r="106" spans="9:19" x14ac:dyDescent="0.25">
      <c r="I106">
        <v>22</v>
      </c>
      <c r="J106" s="4">
        <f t="shared" si="6"/>
        <v>0.24345450000000002</v>
      </c>
      <c r="K106" s="4">
        <f t="shared" si="6"/>
        <v>0.22563449999999999</v>
      </c>
      <c r="L106" s="4">
        <f t="shared" si="6"/>
        <v>0.23454450000000002</v>
      </c>
      <c r="M106" s="4">
        <f t="shared" si="6"/>
        <v>0.24122700000000002</v>
      </c>
      <c r="N106" s="4">
        <f t="shared" si="6"/>
        <v>0.23677200000000004</v>
      </c>
      <c r="O106" s="4">
        <f t="shared" si="6"/>
        <v>0.18776700000000002</v>
      </c>
      <c r="P106" s="4">
        <f t="shared" si="6"/>
        <v>0.1855395</v>
      </c>
      <c r="Q106" s="4">
        <f t="shared" si="6"/>
        <v>0.22786200000000001</v>
      </c>
      <c r="R106" s="4">
        <f t="shared" si="6"/>
        <v>0.24122700000000002</v>
      </c>
      <c r="S106" s="4">
        <f t="shared" si="6"/>
        <v>0.20046375000000005</v>
      </c>
    </row>
    <row r="107" spans="9:19" x14ac:dyDescent="0.25">
      <c r="I107">
        <v>23</v>
      </c>
      <c r="J107" s="4">
        <f t="shared" si="6"/>
        <v>0.20335949999999997</v>
      </c>
      <c r="K107" s="4">
        <f t="shared" si="6"/>
        <v>0.20558699999999999</v>
      </c>
      <c r="L107" s="4">
        <f t="shared" si="6"/>
        <v>0.24122700000000002</v>
      </c>
      <c r="M107" s="4">
        <f t="shared" si="6"/>
        <v>0.25459199999999998</v>
      </c>
      <c r="N107" s="4">
        <f t="shared" si="6"/>
        <v>0.1944495</v>
      </c>
      <c r="O107" s="4">
        <f t="shared" si="6"/>
        <v>0.1276245</v>
      </c>
      <c r="P107" s="4">
        <f t="shared" si="6"/>
        <v>0.138762</v>
      </c>
      <c r="Q107" s="4">
        <f t="shared" si="6"/>
        <v>0.2122695</v>
      </c>
      <c r="R107" s="4">
        <f t="shared" si="6"/>
        <v>0.24122700000000002</v>
      </c>
      <c r="S107" s="4">
        <f t="shared" si="6"/>
        <v>0.242118</v>
      </c>
    </row>
    <row r="108" spans="9:19" x14ac:dyDescent="0.25">
      <c r="I108">
        <v>24</v>
      </c>
      <c r="J108" s="4">
        <f t="shared" si="6"/>
        <v>0.129852</v>
      </c>
      <c r="K108" s="4">
        <f t="shared" si="6"/>
        <v>0.10980450000000001</v>
      </c>
      <c r="L108" s="4">
        <f t="shared" si="6"/>
        <v>0.11648700000000002</v>
      </c>
      <c r="M108" s="4">
        <f t="shared" si="6"/>
        <v>0.13430700000000001</v>
      </c>
      <c r="N108" s="4">
        <f t="shared" si="6"/>
        <v>0.14098950000000002</v>
      </c>
      <c r="O108" s="4">
        <f t="shared" si="6"/>
        <v>0.14321700000000001</v>
      </c>
      <c r="P108" s="4">
        <f t="shared" si="6"/>
        <v>0.16103699999999999</v>
      </c>
      <c r="Q108" s="4">
        <f t="shared" si="6"/>
        <v>0.1855395</v>
      </c>
      <c r="R108" s="4">
        <f t="shared" si="6"/>
        <v>0.24568199999999998</v>
      </c>
      <c r="S108" s="4">
        <f t="shared" si="6"/>
        <v>0.242118</v>
      </c>
    </row>
    <row r="109" spans="9:19" x14ac:dyDescent="0.25">
      <c r="I109">
        <v>31</v>
      </c>
      <c r="J109" s="4">
        <f t="shared" si="6"/>
        <v>0.25236449999999999</v>
      </c>
      <c r="K109" s="4">
        <f t="shared" si="6"/>
        <v>0.2389995</v>
      </c>
      <c r="L109" s="4">
        <f t="shared" si="6"/>
        <v>0.24345450000000002</v>
      </c>
      <c r="M109" s="4">
        <f t="shared" si="6"/>
        <v>0.23677200000000004</v>
      </c>
      <c r="N109" s="4">
        <f t="shared" si="6"/>
        <v>0.21449699999999999</v>
      </c>
      <c r="O109" s="4">
        <f t="shared" si="6"/>
        <v>0.16103699999999999</v>
      </c>
      <c r="P109" s="4">
        <f t="shared" si="6"/>
        <v>0.147672</v>
      </c>
      <c r="Q109" s="4">
        <f t="shared" si="6"/>
        <v>0.16994700000000001</v>
      </c>
      <c r="R109" s="4">
        <f t="shared" si="6"/>
        <v>0.21449699999999999</v>
      </c>
      <c r="S109" s="4">
        <f t="shared" si="6"/>
        <v>0.22251599999999999</v>
      </c>
    </row>
    <row r="110" spans="9:19" x14ac:dyDescent="0.25">
      <c r="I110">
        <v>32</v>
      </c>
      <c r="J110" s="4">
        <f t="shared" si="6"/>
        <v>0.15212699999999998</v>
      </c>
      <c r="K110" s="4">
        <f t="shared" si="6"/>
        <v>0.14098950000000002</v>
      </c>
      <c r="L110" s="4">
        <f t="shared" si="6"/>
        <v>0.12316949999999999</v>
      </c>
      <c r="M110" s="4">
        <f t="shared" si="6"/>
        <v>0.14098950000000002</v>
      </c>
      <c r="N110" s="4">
        <f t="shared" si="6"/>
        <v>0.1454445</v>
      </c>
      <c r="O110" s="4">
        <f t="shared" si="6"/>
        <v>0.15880949999999999</v>
      </c>
      <c r="P110" s="4">
        <f t="shared" si="6"/>
        <v>0.18108450000000001</v>
      </c>
      <c r="Q110" s="4">
        <f t="shared" si="6"/>
        <v>0.23008950000000003</v>
      </c>
      <c r="R110" s="4">
        <f t="shared" si="6"/>
        <v>0.25236449999999999</v>
      </c>
      <c r="S110" s="4">
        <f t="shared" si="6"/>
        <v>0.22986674999999998</v>
      </c>
    </row>
    <row r="111" spans="9:19" x14ac:dyDescent="0.25">
      <c r="I111">
        <v>33</v>
      </c>
      <c r="J111" s="4">
        <f t="shared" si="6"/>
        <v>0.19890449999999998</v>
      </c>
      <c r="K111" s="4">
        <f t="shared" si="6"/>
        <v>0.20113199999999998</v>
      </c>
      <c r="L111" s="4">
        <f t="shared" si="6"/>
        <v>0.24122700000000002</v>
      </c>
      <c r="M111" s="4">
        <f t="shared" si="6"/>
        <v>0.25904699999999997</v>
      </c>
      <c r="N111" s="4">
        <f t="shared" si="6"/>
        <v>0.2389995</v>
      </c>
      <c r="O111" s="4">
        <f t="shared" si="6"/>
        <v>0.2389995</v>
      </c>
      <c r="P111" s="4">
        <f t="shared" si="6"/>
        <v>0.24345450000000002</v>
      </c>
      <c r="Q111" s="4">
        <f t="shared" si="6"/>
        <v>0.232317</v>
      </c>
      <c r="R111" s="4">
        <f t="shared" si="6"/>
        <v>0.25013699999999994</v>
      </c>
      <c r="S111" s="4">
        <f t="shared" si="6"/>
        <v>0.22006574999999998</v>
      </c>
    </row>
    <row r="112" spans="9:19" x14ac:dyDescent="0.25">
      <c r="I112">
        <v>34</v>
      </c>
      <c r="J112" s="4">
        <f t="shared" si="6"/>
        <v>0.12316949999999999</v>
      </c>
      <c r="K112" s="4">
        <f t="shared" si="6"/>
        <v>0.1365345</v>
      </c>
      <c r="L112" s="4">
        <f t="shared" si="6"/>
        <v>0.1855395</v>
      </c>
      <c r="M112" s="4">
        <f t="shared" si="6"/>
        <v>0.22563449999999999</v>
      </c>
      <c r="N112" s="4">
        <f t="shared" si="6"/>
        <v>0.24790949999999998</v>
      </c>
      <c r="O112" s="4">
        <f t="shared" si="6"/>
        <v>0.25904699999999997</v>
      </c>
      <c r="P112" s="4">
        <f t="shared" si="6"/>
        <v>0.27686699999999997</v>
      </c>
      <c r="Q112" s="4">
        <f t="shared" si="6"/>
        <v>0.26350199999999996</v>
      </c>
      <c r="R112" s="4">
        <f t="shared" si="6"/>
        <v>0.2389995</v>
      </c>
      <c r="S112" s="4">
        <f t="shared" si="6"/>
        <v>0.22006574999999998</v>
      </c>
    </row>
    <row r="113" spans="9:19" x14ac:dyDescent="0.25">
      <c r="I113">
        <v>41</v>
      </c>
      <c r="J113" s="4">
        <f t="shared" si="6"/>
        <v>0.20558699999999999</v>
      </c>
      <c r="K113" s="4">
        <f t="shared" si="6"/>
        <v>0.23677200000000004</v>
      </c>
      <c r="L113" s="4">
        <f t="shared" si="6"/>
        <v>0.27909450000000002</v>
      </c>
      <c r="M113" s="4">
        <f t="shared" si="6"/>
        <v>0.27241199999999993</v>
      </c>
      <c r="N113" s="4">
        <f t="shared" si="6"/>
        <v>0.27686699999999997</v>
      </c>
      <c r="O113" s="4">
        <f t="shared" si="6"/>
        <v>0.28354950000000001</v>
      </c>
      <c r="P113" s="4">
        <f t="shared" si="6"/>
        <v>0.23008950000000003</v>
      </c>
      <c r="Q113" s="4">
        <f t="shared" si="6"/>
        <v>0.2389995</v>
      </c>
      <c r="R113" s="4">
        <f t="shared" si="6"/>
        <v>0.25236449999999999</v>
      </c>
      <c r="S113" s="4">
        <f t="shared" si="6"/>
        <v>0.25926975000000002</v>
      </c>
    </row>
    <row r="114" spans="9:19" x14ac:dyDescent="0.25">
      <c r="I114">
        <v>42</v>
      </c>
      <c r="J114" s="4">
        <f t="shared" si="6"/>
        <v>0.19222199999999998</v>
      </c>
      <c r="K114" s="4">
        <f t="shared" si="6"/>
        <v>0.21449699999999999</v>
      </c>
      <c r="L114" s="4">
        <f t="shared" si="6"/>
        <v>0.24568199999999998</v>
      </c>
      <c r="M114" s="4">
        <f t="shared" si="6"/>
        <v>0.25904699999999997</v>
      </c>
      <c r="N114" s="4">
        <f t="shared" si="6"/>
        <v>0.27686699999999997</v>
      </c>
      <c r="O114" s="4">
        <f t="shared" si="6"/>
        <v>0.25013699999999994</v>
      </c>
      <c r="P114" s="4">
        <f t="shared" si="6"/>
        <v>0.23008950000000003</v>
      </c>
      <c r="Q114" s="4">
        <f t="shared" si="6"/>
        <v>0.2389995</v>
      </c>
      <c r="R114" s="4">
        <f t="shared" si="6"/>
        <v>0.24122700000000002</v>
      </c>
      <c r="S114" s="4">
        <f t="shared" si="6"/>
        <v>0.22251599999999999</v>
      </c>
    </row>
    <row r="115" spans="9:19" x14ac:dyDescent="0.25">
      <c r="I115">
        <v>43</v>
      </c>
      <c r="J115" s="4">
        <f t="shared" si="6"/>
        <v>0.20781449999999999</v>
      </c>
      <c r="K115" s="4">
        <f t="shared" si="6"/>
        <v>0.20335949999999997</v>
      </c>
      <c r="L115" s="4">
        <f t="shared" si="6"/>
        <v>0.232317</v>
      </c>
      <c r="M115" s="4">
        <f t="shared" si="6"/>
        <v>0.20113199999999998</v>
      </c>
      <c r="N115" s="4">
        <f t="shared" si="6"/>
        <v>0.22563449999999999</v>
      </c>
      <c r="O115" s="4">
        <f t="shared" si="6"/>
        <v>0.23677200000000004</v>
      </c>
      <c r="P115" s="4">
        <f t="shared" si="6"/>
        <v>0.24122700000000002</v>
      </c>
      <c r="Q115" s="4">
        <f t="shared" si="6"/>
        <v>0.22563449999999999</v>
      </c>
      <c r="R115" s="4">
        <f t="shared" si="6"/>
        <v>0.24345450000000002</v>
      </c>
      <c r="S115" s="4">
        <f t="shared" si="6"/>
        <v>0.23966774999999998</v>
      </c>
    </row>
    <row r="116" spans="9:19" x14ac:dyDescent="0.25">
      <c r="I116">
        <v>44</v>
      </c>
      <c r="J116" s="4">
        <f t="shared" ref="J116:S116" si="7">IF(J88&lt;0,"",J88/100)</f>
        <v>0.15880949999999999</v>
      </c>
      <c r="K116" s="4">
        <f t="shared" si="7"/>
        <v>0.18331200000000003</v>
      </c>
      <c r="L116" s="4">
        <f t="shared" si="7"/>
        <v>0.26127450000000002</v>
      </c>
      <c r="M116" s="4">
        <f t="shared" si="7"/>
        <v>0.25013699999999994</v>
      </c>
      <c r="N116" s="4">
        <f t="shared" si="7"/>
        <v>0.26127450000000002</v>
      </c>
      <c r="O116" s="4">
        <f t="shared" si="7"/>
        <v>0.25459199999999998</v>
      </c>
      <c r="P116" s="4">
        <f t="shared" si="7"/>
        <v>0.26572949999999995</v>
      </c>
      <c r="Q116" s="4">
        <f t="shared" si="7"/>
        <v>0.23008950000000003</v>
      </c>
      <c r="R116" s="4">
        <f t="shared" si="7"/>
        <v>0.2389995</v>
      </c>
      <c r="S116" s="4">
        <f t="shared" si="7"/>
        <v>0.242118</v>
      </c>
    </row>
    <row r="117" spans="9:19" x14ac:dyDescent="0.25">
      <c r="I117">
        <v>51</v>
      </c>
      <c r="J117" s="4">
        <f t="shared" ref="J117:S123" si="8">IF(J89&lt;0,"",J89/100)</f>
        <v>0.24122700000000002</v>
      </c>
      <c r="K117" s="4">
        <f t="shared" si="8"/>
        <v>0.2389995</v>
      </c>
      <c r="L117" s="4">
        <f t="shared" si="8"/>
        <v>0.25236449999999999</v>
      </c>
      <c r="M117" s="4">
        <f t="shared" si="8"/>
        <v>0.267957</v>
      </c>
      <c r="N117" s="4">
        <f t="shared" si="8"/>
        <v>0.24568199999999998</v>
      </c>
      <c r="O117" s="4">
        <f t="shared" si="8"/>
        <v>0.25013699999999994</v>
      </c>
      <c r="P117" s="4">
        <f t="shared" si="8"/>
        <v>0.23008950000000003</v>
      </c>
      <c r="Q117" s="4">
        <f t="shared" si="8"/>
        <v>0.2389995</v>
      </c>
      <c r="R117" s="4">
        <f t="shared" si="8"/>
        <v>0.25459199999999998</v>
      </c>
      <c r="S117" s="4">
        <f t="shared" si="8"/>
        <v>0.25926975000000002</v>
      </c>
    </row>
    <row r="118" spans="9:19" x14ac:dyDescent="0.25">
      <c r="I118">
        <v>52</v>
      </c>
      <c r="J118" s="4">
        <f t="shared" si="8"/>
        <v>0.232317</v>
      </c>
      <c r="K118" s="4">
        <f t="shared" si="8"/>
        <v>0.232317</v>
      </c>
      <c r="L118" s="4">
        <f t="shared" si="8"/>
        <v>0.27686699999999997</v>
      </c>
      <c r="M118" s="4">
        <f t="shared" si="8"/>
        <v>0.29245950000000004</v>
      </c>
      <c r="N118" s="4">
        <f t="shared" si="8"/>
        <v>0.31027949999999999</v>
      </c>
      <c r="O118" s="4">
        <f t="shared" si="8"/>
        <v>0.29691449999999997</v>
      </c>
      <c r="P118" s="4">
        <f t="shared" si="8"/>
        <v>0.26572949999999995</v>
      </c>
      <c r="Q118" s="4">
        <f t="shared" si="8"/>
        <v>0.2389995</v>
      </c>
      <c r="R118" s="4">
        <f t="shared" si="8"/>
        <v>0.25236449999999999</v>
      </c>
      <c r="S118" s="4">
        <f t="shared" si="8"/>
        <v>0.24946875000000004</v>
      </c>
    </row>
    <row r="119" spans="9:19" x14ac:dyDescent="0.25">
      <c r="I119">
        <v>53</v>
      </c>
      <c r="J119" s="4">
        <f t="shared" si="8"/>
        <v>0.22563449999999999</v>
      </c>
      <c r="K119" s="4">
        <f t="shared" si="8"/>
        <v>0.2211795</v>
      </c>
      <c r="L119" s="4">
        <f t="shared" si="8"/>
        <v>0.25013699999999994</v>
      </c>
      <c r="M119" s="4">
        <f t="shared" si="8"/>
        <v>0.27241199999999993</v>
      </c>
      <c r="N119" s="4">
        <f t="shared" si="8"/>
        <v>0.267957</v>
      </c>
      <c r="O119" s="4">
        <f t="shared" si="8"/>
        <v>0.25681949999999998</v>
      </c>
      <c r="P119" s="4">
        <f t="shared" si="8"/>
        <v>0.24122700000000002</v>
      </c>
      <c r="Q119" s="4">
        <f t="shared" si="8"/>
        <v>0.21004199999999998</v>
      </c>
      <c r="R119" s="4">
        <f t="shared" si="8"/>
        <v>0.22563449999999999</v>
      </c>
      <c r="S119" s="4">
        <f t="shared" si="8"/>
        <v>0.20536425000000005</v>
      </c>
    </row>
    <row r="120" spans="9:19" x14ac:dyDescent="0.25">
      <c r="I120">
        <v>54</v>
      </c>
      <c r="J120" s="4">
        <f t="shared" si="8"/>
        <v>0.232317</v>
      </c>
      <c r="K120" s="4">
        <f t="shared" si="8"/>
        <v>0.232317</v>
      </c>
      <c r="L120" s="4">
        <f t="shared" si="8"/>
        <v>0.24122700000000002</v>
      </c>
      <c r="M120" s="4">
        <f t="shared" si="8"/>
        <v>0.27018449999999999</v>
      </c>
      <c r="N120" s="4">
        <f t="shared" si="8"/>
        <v>0.28577700000000006</v>
      </c>
      <c r="O120" s="4">
        <f t="shared" si="8"/>
        <v>0.27686699999999997</v>
      </c>
      <c r="P120" s="4">
        <f t="shared" si="8"/>
        <v>0.27463949999999998</v>
      </c>
      <c r="Q120" s="4">
        <f t="shared" si="8"/>
        <v>0.25013699999999994</v>
      </c>
      <c r="R120" s="4">
        <f t="shared" si="8"/>
        <v>0.23677200000000004</v>
      </c>
      <c r="S120" s="4">
        <f t="shared" si="8"/>
        <v>0.24946875000000004</v>
      </c>
    </row>
    <row r="121" spans="9:19" x14ac:dyDescent="0.25">
      <c r="I121">
        <v>61</v>
      </c>
      <c r="J121" s="4">
        <f t="shared" si="8"/>
        <v>0.18331200000000003</v>
      </c>
      <c r="K121" s="4">
        <f t="shared" si="8"/>
        <v>0.14098950000000002</v>
      </c>
      <c r="L121" s="4">
        <f t="shared" si="8"/>
        <v>0.15880949999999999</v>
      </c>
      <c r="M121" s="4">
        <f t="shared" si="8"/>
        <v>0.19890449999999998</v>
      </c>
      <c r="N121" s="4">
        <f t="shared" si="8"/>
        <v>0.20335949999999997</v>
      </c>
      <c r="O121" s="4">
        <f t="shared" si="8"/>
        <v>0.165492</v>
      </c>
      <c r="P121" s="4">
        <f t="shared" si="8"/>
        <v>0.19890449999999998</v>
      </c>
      <c r="Q121" s="4">
        <f t="shared" si="8"/>
        <v>0.23677200000000004</v>
      </c>
      <c r="R121" s="4">
        <f t="shared" si="8"/>
        <v>0.25681949999999998</v>
      </c>
      <c r="S121" s="4">
        <f t="shared" si="8"/>
        <v>0.25926975000000002</v>
      </c>
    </row>
    <row r="122" spans="9:19" x14ac:dyDescent="0.25">
      <c r="I122">
        <v>62</v>
      </c>
      <c r="J122" s="4">
        <f t="shared" si="8"/>
        <v>0.23677200000000004</v>
      </c>
      <c r="K122" s="4">
        <f t="shared" si="8"/>
        <v>0.25013699999999994</v>
      </c>
      <c r="L122" s="4">
        <f t="shared" si="8"/>
        <v>0.267957</v>
      </c>
      <c r="M122" s="4">
        <f t="shared" si="8"/>
        <v>0.21449699999999999</v>
      </c>
      <c r="N122" s="4">
        <f t="shared" si="8"/>
        <v>0.24790949999999998</v>
      </c>
      <c r="O122" s="4">
        <f t="shared" si="8"/>
        <v>0.267957</v>
      </c>
      <c r="P122" s="4">
        <f t="shared" si="8"/>
        <v>0.22563449999999999</v>
      </c>
      <c r="Q122" s="4">
        <f t="shared" si="8"/>
        <v>0.23008950000000003</v>
      </c>
      <c r="R122" s="4">
        <f t="shared" si="8"/>
        <v>0.25904699999999997</v>
      </c>
      <c r="S122" s="4">
        <f t="shared" si="8"/>
        <v>0.25436925000000005</v>
      </c>
    </row>
    <row r="123" spans="9:19" x14ac:dyDescent="0.25">
      <c r="I123">
        <v>63</v>
      </c>
      <c r="J123" s="4">
        <f t="shared" si="8"/>
        <v>0.24790949999999998</v>
      </c>
      <c r="K123" s="4">
        <f t="shared" si="8"/>
        <v>0.22563449999999999</v>
      </c>
      <c r="L123" s="4">
        <f t="shared" si="8"/>
        <v>0.21004199999999998</v>
      </c>
      <c r="M123" s="4">
        <f t="shared" si="8"/>
        <v>0.20558699999999999</v>
      </c>
      <c r="N123" s="4">
        <f t="shared" si="8"/>
        <v>0.22563449999999999</v>
      </c>
      <c r="O123" s="4">
        <f t="shared" si="8"/>
        <v>0.23454450000000002</v>
      </c>
      <c r="P123" s="4">
        <f t="shared" si="8"/>
        <v>0.20113199999999998</v>
      </c>
      <c r="Q123" s="4">
        <f t="shared" si="8"/>
        <v>0.20781449999999999</v>
      </c>
      <c r="R123" s="4">
        <f t="shared" si="8"/>
        <v>0.232317</v>
      </c>
      <c r="S123" s="4">
        <f t="shared" si="8"/>
        <v>0.22986674999999998</v>
      </c>
    </row>
    <row r="124" spans="9:19" x14ac:dyDescent="0.25">
      <c r="I124">
        <v>64</v>
      </c>
      <c r="J124" s="4">
        <f t="shared" ref="J124:S124" si="9">IF(J96&lt;0,"",J96/100)</f>
        <v>0.25904699999999997</v>
      </c>
      <c r="K124" s="4">
        <f t="shared" si="9"/>
        <v>0.24568199999999998</v>
      </c>
      <c r="L124" s="4">
        <f t="shared" si="9"/>
        <v>0.2122695</v>
      </c>
      <c r="M124" s="4">
        <f t="shared" si="9"/>
        <v>0.2389995</v>
      </c>
      <c r="N124" s="4">
        <f t="shared" si="9"/>
        <v>0.267957</v>
      </c>
      <c r="O124" s="4">
        <f t="shared" si="9"/>
        <v>0.25904699999999997</v>
      </c>
      <c r="P124" s="4">
        <f t="shared" si="9"/>
        <v>0.2389995</v>
      </c>
      <c r="Q124" s="4">
        <f t="shared" si="9"/>
        <v>0.2122695</v>
      </c>
      <c r="R124" s="4">
        <f t="shared" si="9"/>
        <v>0.23008950000000003</v>
      </c>
      <c r="S124" s="4">
        <f t="shared" si="9"/>
        <v>0.2470185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FCC6-A2AC-45B3-910D-E23D04D9C9AB}">
  <dimension ref="A1:T124"/>
  <sheetViews>
    <sheetView topLeftCell="D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10339</v>
      </c>
      <c r="F1">
        <v>0</v>
      </c>
      <c r="G1">
        <v>10</v>
      </c>
      <c r="H1">
        <v>1830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5</v>
      </c>
      <c r="G18">
        <v>18</v>
      </c>
      <c r="H18">
        <v>6</v>
      </c>
      <c r="I18">
        <v>25</v>
      </c>
      <c r="J18">
        <v>1.1299999999999999</v>
      </c>
      <c r="K18">
        <v>1.23</v>
      </c>
      <c r="L18">
        <v>1.35</v>
      </c>
      <c r="M18">
        <v>1.45</v>
      </c>
      <c r="N18">
        <v>1.39</v>
      </c>
      <c r="O18">
        <v>1.51</v>
      </c>
      <c r="P18">
        <v>1.53</v>
      </c>
      <c r="Q18">
        <v>1.46</v>
      </c>
      <c r="R18">
        <v>1.47</v>
      </c>
      <c r="S18">
        <v>1.39</v>
      </c>
      <c r="T18">
        <v>3747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5</v>
      </c>
      <c r="G19">
        <v>18</v>
      </c>
      <c r="H19">
        <v>6</v>
      </c>
      <c r="I19">
        <v>21</v>
      </c>
      <c r="J19">
        <v>1.21</v>
      </c>
      <c r="K19">
        <v>1.26</v>
      </c>
      <c r="L19">
        <v>1.07</v>
      </c>
      <c r="M19">
        <v>1.1499999999999999</v>
      </c>
      <c r="N19">
        <v>1.17</v>
      </c>
      <c r="O19">
        <v>1.24</v>
      </c>
      <c r="P19">
        <v>1.23</v>
      </c>
      <c r="Q19">
        <v>1.37</v>
      </c>
      <c r="R19">
        <v>1.4</v>
      </c>
      <c r="S19">
        <v>1.23</v>
      </c>
      <c r="T19">
        <v>3719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5</v>
      </c>
      <c r="G20">
        <v>18</v>
      </c>
      <c r="H20">
        <v>6</v>
      </c>
      <c r="I20">
        <v>34</v>
      </c>
      <c r="J20">
        <v>1.19</v>
      </c>
      <c r="K20">
        <v>1.17</v>
      </c>
      <c r="L20">
        <v>1.24</v>
      </c>
      <c r="M20">
        <v>1.4</v>
      </c>
      <c r="N20">
        <v>1.48</v>
      </c>
      <c r="O20">
        <v>1.46</v>
      </c>
      <c r="P20">
        <v>1.43</v>
      </c>
      <c r="Q20">
        <v>1.36</v>
      </c>
      <c r="R20">
        <v>1.45</v>
      </c>
      <c r="S20">
        <v>1.35</v>
      </c>
      <c r="T20">
        <v>3743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5</v>
      </c>
      <c r="G21">
        <v>18</v>
      </c>
      <c r="H21">
        <v>6</v>
      </c>
      <c r="I21">
        <v>30</v>
      </c>
      <c r="J21">
        <v>1.47</v>
      </c>
      <c r="K21">
        <v>1.47</v>
      </c>
      <c r="L21">
        <v>1.48</v>
      </c>
      <c r="M21">
        <v>1.49</v>
      </c>
      <c r="N21">
        <v>1.37</v>
      </c>
      <c r="O21">
        <v>1.39</v>
      </c>
      <c r="P21">
        <v>1.51</v>
      </c>
      <c r="Q21">
        <v>1.42</v>
      </c>
      <c r="R21">
        <v>1.41</v>
      </c>
      <c r="S21">
        <v>1.25</v>
      </c>
      <c r="T21">
        <v>3748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5</v>
      </c>
      <c r="G22">
        <v>18</v>
      </c>
      <c r="H22">
        <v>6</v>
      </c>
      <c r="I22">
        <v>42</v>
      </c>
      <c r="J22">
        <v>0.92</v>
      </c>
      <c r="K22">
        <v>0.84</v>
      </c>
      <c r="L22">
        <v>0.86</v>
      </c>
      <c r="M22">
        <v>0.9</v>
      </c>
      <c r="N22">
        <v>0.93</v>
      </c>
      <c r="O22">
        <v>0.93</v>
      </c>
      <c r="P22">
        <v>0.96</v>
      </c>
      <c r="Q22">
        <v>1.1200000000000001</v>
      </c>
      <c r="R22">
        <v>1.35</v>
      </c>
      <c r="S22">
        <v>1.31</v>
      </c>
      <c r="T22">
        <v>3750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5</v>
      </c>
      <c r="G23">
        <v>18</v>
      </c>
      <c r="H23">
        <v>6</v>
      </c>
      <c r="I23">
        <v>47</v>
      </c>
      <c r="J23">
        <v>1.17</v>
      </c>
      <c r="K23">
        <v>1.2</v>
      </c>
      <c r="L23">
        <v>1.39</v>
      </c>
      <c r="M23">
        <v>1.42</v>
      </c>
      <c r="N23">
        <v>1.1599999999999999</v>
      </c>
      <c r="O23">
        <v>0.84</v>
      </c>
      <c r="P23">
        <v>0.95</v>
      </c>
      <c r="Q23">
        <v>1.25</v>
      </c>
      <c r="R23">
        <v>1.35</v>
      </c>
      <c r="S23">
        <v>1.3</v>
      </c>
      <c r="T23">
        <v>3745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5</v>
      </c>
      <c r="G24">
        <v>18</v>
      </c>
      <c r="H24">
        <v>6</v>
      </c>
      <c r="I24">
        <v>51</v>
      </c>
      <c r="J24">
        <v>1.41</v>
      </c>
      <c r="K24">
        <v>1.33</v>
      </c>
      <c r="L24">
        <v>1.36</v>
      </c>
      <c r="M24">
        <v>1.41</v>
      </c>
      <c r="N24">
        <v>1.4</v>
      </c>
      <c r="O24">
        <v>1.17</v>
      </c>
      <c r="P24">
        <v>1.1100000000000001</v>
      </c>
      <c r="Q24">
        <v>1.34</v>
      </c>
      <c r="R24">
        <v>1.34</v>
      </c>
      <c r="S24">
        <v>1.19</v>
      </c>
      <c r="T24">
        <v>3732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5</v>
      </c>
      <c r="G25">
        <v>18</v>
      </c>
      <c r="H25">
        <v>6</v>
      </c>
      <c r="I25">
        <v>56</v>
      </c>
      <c r="J25">
        <v>1.43</v>
      </c>
      <c r="K25">
        <v>1.32</v>
      </c>
      <c r="L25">
        <v>1.41</v>
      </c>
      <c r="M25">
        <v>1.41</v>
      </c>
      <c r="N25">
        <v>1.44</v>
      </c>
      <c r="O25">
        <v>1.44</v>
      </c>
      <c r="P25">
        <v>1.32</v>
      </c>
      <c r="Q25">
        <v>1.42</v>
      </c>
      <c r="R25">
        <v>1.47</v>
      </c>
      <c r="S25">
        <v>1.4</v>
      </c>
      <c r="T25">
        <v>3735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5</v>
      </c>
      <c r="G26">
        <v>18</v>
      </c>
      <c r="H26">
        <v>7</v>
      </c>
      <c r="I26">
        <v>2</v>
      </c>
      <c r="J26">
        <v>1.41</v>
      </c>
      <c r="K26">
        <v>1.36</v>
      </c>
      <c r="L26">
        <v>1.36</v>
      </c>
      <c r="M26">
        <v>1.37</v>
      </c>
      <c r="N26">
        <v>1.27</v>
      </c>
      <c r="O26">
        <v>1.03</v>
      </c>
      <c r="P26">
        <v>1.08</v>
      </c>
      <c r="Q26">
        <v>1.1499999999999999</v>
      </c>
      <c r="R26">
        <v>1.31</v>
      </c>
      <c r="S26">
        <v>1.22</v>
      </c>
      <c r="T26">
        <v>3729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5</v>
      </c>
      <c r="G27">
        <v>18</v>
      </c>
      <c r="H27">
        <v>7</v>
      </c>
      <c r="I27">
        <v>0</v>
      </c>
      <c r="J27">
        <v>1.1299999999999999</v>
      </c>
      <c r="K27">
        <v>1.08</v>
      </c>
      <c r="L27">
        <v>1.01</v>
      </c>
      <c r="M27">
        <v>0.98</v>
      </c>
      <c r="N27">
        <v>0.99</v>
      </c>
      <c r="O27">
        <v>0.99</v>
      </c>
      <c r="P27">
        <v>1.07</v>
      </c>
      <c r="Q27">
        <v>1.33</v>
      </c>
      <c r="R27">
        <v>1.42</v>
      </c>
      <c r="S27">
        <v>1.17</v>
      </c>
      <c r="T27">
        <v>3749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5</v>
      </c>
      <c r="G28">
        <v>18</v>
      </c>
      <c r="H28">
        <v>7</v>
      </c>
      <c r="I28">
        <v>12</v>
      </c>
      <c r="J28">
        <v>1.2</v>
      </c>
      <c r="K28">
        <v>1.2</v>
      </c>
      <c r="L28">
        <v>1.38</v>
      </c>
      <c r="M28">
        <v>1.46</v>
      </c>
      <c r="N28">
        <v>1.37</v>
      </c>
      <c r="O28">
        <v>1.35</v>
      </c>
      <c r="P28">
        <v>1.38</v>
      </c>
      <c r="Q28">
        <v>1.3</v>
      </c>
      <c r="R28">
        <v>1.41</v>
      </c>
      <c r="S28">
        <v>1.1100000000000001</v>
      </c>
      <c r="T28">
        <v>3725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5</v>
      </c>
      <c r="G29">
        <v>18</v>
      </c>
      <c r="H29">
        <v>7</v>
      </c>
      <c r="I29">
        <v>16</v>
      </c>
      <c r="J29">
        <v>0.81</v>
      </c>
      <c r="K29">
        <v>0.92</v>
      </c>
      <c r="L29">
        <v>1.17</v>
      </c>
      <c r="M29">
        <v>1.37</v>
      </c>
      <c r="N29">
        <v>1.43</v>
      </c>
      <c r="O29">
        <v>1.48</v>
      </c>
      <c r="P29">
        <v>1.51</v>
      </c>
      <c r="Q29">
        <v>1.44</v>
      </c>
      <c r="R29">
        <v>1.38</v>
      </c>
      <c r="S29">
        <v>1.08</v>
      </c>
      <c r="T29">
        <v>3752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5</v>
      </c>
      <c r="G30">
        <v>18</v>
      </c>
      <c r="H30">
        <v>7</v>
      </c>
      <c r="I30">
        <v>20</v>
      </c>
      <c r="J30">
        <v>1.05</v>
      </c>
      <c r="K30">
        <v>1.1599999999999999</v>
      </c>
      <c r="L30">
        <v>1.46</v>
      </c>
      <c r="M30">
        <v>1.43</v>
      </c>
      <c r="N30">
        <v>1.5</v>
      </c>
      <c r="O30">
        <v>1.44</v>
      </c>
      <c r="P30">
        <v>1.49</v>
      </c>
      <c r="Q30">
        <v>1.31</v>
      </c>
      <c r="R30">
        <v>1.34</v>
      </c>
      <c r="S30">
        <v>1.1499999999999999</v>
      </c>
      <c r="T30">
        <v>3730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5</v>
      </c>
      <c r="G31">
        <v>18</v>
      </c>
      <c r="H31">
        <v>7</v>
      </c>
      <c r="I31">
        <v>25</v>
      </c>
      <c r="J31">
        <v>1.32</v>
      </c>
      <c r="K31">
        <v>1.29</v>
      </c>
      <c r="L31">
        <v>1.41</v>
      </c>
      <c r="M31">
        <v>1.28</v>
      </c>
      <c r="N31">
        <v>1.3</v>
      </c>
      <c r="O31">
        <v>1.36</v>
      </c>
      <c r="P31">
        <v>1.39</v>
      </c>
      <c r="Q31">
        <v>1.3</v>
      </c>
      <c r="R31">
        <v>1.35</v>
      </c>
      <c r="S31">
        <v>1.18</v>
      </c>
      <c r="T31">
        <v>3735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5</v>
      </c>
      <c r="G32">
        <v>18</v>
      </c>
      <c r="H32">
        <v>7</v>
      </c>
      <c r="I32">
        <v>21</v>
      </c>
      <c r="J32">
        <v>1.29</v>
      </c>
      <c r="K32">
        <v>1.32</v>
      </c>
      <c r="L32">
        <v>1.41</v>
      </c>
      <c r="M32">
        <v>1.44</v>
      </c>
      <c r="N32">
        <v>1.55</v>
      </c>
      <c r="O32">
        <v>1.42</v>
      </c>
      <c r="P32">
        <v>1.29</v>
      </c>
      <c r="Q32">
        <v>1.35</v>
      </c>
      <c r="R32">
        <v>1.36</v>
      </c>
      <c r="S32">
        <v>1.1100000000000001</v>
      </c>
      <c r="T32">
        <v>3728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5</v>
      </c>
      <c r="G33">
        <v>18</v>
      </c>
      <c r="H33">
        <v>7</v>
      </c>
      <c r="I33">
        <v>33</v>
      </c>
      <c r="J33">
        <v>1.32</v>
      </c>
      <c r="K33">
        <v>1.39</v>
      </c>
      <c r="L33">
        <v>1.59</v>
      </c>
      <c r="M33">
        <v>1.5</v>
      </c>
      <c r="N33">
        <v>1.55</v>
      </c>
      <c r="O33">
        <v>1.56</v>
      </c>
      <c r="P33">
        <v>1.3</v>
      </c>
      <c r="Q33">
        <v>1.36</v>
      </c>
      <c r="R33">
        <v>1.42</v>
      </c>
      <c r="S33">
        <v>1.27</v>
      </c>
      <c r="T33">
        <v>3698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5</v>
      </c>
      <c r="G34">
        <v>18</v>
      </c>
      <c r="H34">
        <v>7</v>
      </c>
      <c r="I34">
        <v>31</v>
      </c>
      <c r="J34">
        <v>1.45</v>
      </c>
      <c r="K34">
        <v>1.44</v>
      </c>
      <c r="L34">
        <v>1.49</v>
      </c>
      <c r="M34">
        <v>1.56</v>
      </c>
      <c r="N34">
        <v>1.39</v>
      </c>
      <c r="O34">
        <v>1.41</v>
      </c>
      <c r="P34">
        <v>1.33</v>
      </c>
      <c r="Q34">
        <v>1.38</v>
      </c>
      <c r="R34">
        <v>1.42</v>
      </c>
      <c r="S34">
        <v>1.26</v>
      </c>
      <c r="T34">
        <v>3709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5</v>
      </c>
      <c r="G35">
        <v>18</v>
      </c>
      <c r="H35">
        <v>7</v>
      </c>
      <c r="I35">
        <v>43</v>
      </c>
      <c r="J35">
        <v>1.4</v>
      </c>
      <c r="K35">
        <v>1.39</v>
      </c>
      <c r="L35">
        <v>1.53</v>
      </c>
      <c r="M35">
        <v>1.59</v>
      </c>
      <c r="N35">
        <v>1.62</v>
      </c>
      <c r="O35">
        <v>1.6</v>
      </c>
      <c r="P35">
        <v>1.47</v>
      </c>
      <c r="Q35">
        <v>1.35</v>
      </c>
      <c r="R35">
        <v>1.42</v>
      </c>
      <c r="S35">
        <v>1.23</v>
      </c>
      <c r="T35">
        <v>3704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5</v>
      </c>
      <c r="G36">
        <v>18</v>
      </c>
      <c r="H36">
        <v>7</v>
      </c>
      <c r="I36">
        <v>40</v>
      </c>
      <c r="J36">
        <v>1.32</v>
      </c>
      <c r="K36">
        <v>1.3</v>
      </c>
      <c r="L36">
        <v>1.42</v>
      </c>
      <c r="M36">
        <v>1.53</v>
      </c>
      <c r="N36">
        <v>1.52</v>
      </c>
      <c r="O36">
        <v>1.5</v>
      </c>
      <c r="P36">
        <v>1.43</v>
      </c>
      <c r="Q36">
        <v>1.25</v>
      </c>
      <c r="R36">
        <v>1.28</v>
      </c>
      <c r="S36">
        <v>1.07</v>
      </c>
      <c r="T36">
        <v>3683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5</v>
      </c>
      <c r="G37">
        <v>18</v>
      </c>
      <c r="H37">
        <v>7</v>
      </c>
      <c r="I37">
        <v>52</v>
      </c>
      <c r="J37">
        <v>1.41</v>
      </c>
      <c r="K37">
        <v>1.4</v>
      </c>
      <c r="L37">
        <v>1.39</v>
      </c>
      <c r="M37">
        <v>1.54</v>
      </c>
      <c r="N37">
        <v>1.58</v>
      </c>
      <c r="O37">
        <v>1.54</v>
      </c>
      <c r="P37">
        <v>1.51</v>
      </c>
      <c r="Q37">
        <v>1.42</v>
      </c>
      <c r="R37">
        <v>1.32</v>
      </c>
      <c r="S37">
        <v>1.25</v>
      </c>
      <c r="T37">
        <v>3696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5</v>
      </c>
      <c r="G38">
        <v>18</v>
      </c>
      <c r="H38">
        <v>7</v>
      </c>
      <c r="I38">
        <v>56</v>
      </c>
      <c r="J38">
        <v>1.5</v>
      </c>
      <c r="K38">
        <v>1.44</v>
      </c>
      <c r="L38">
        <v>1.28</v>
      </c>
      <c r="M38">
        <v>1.38</v>
      </c>
      <c r="N38">
        <v>1.5</v>
      </c>
      <c r="O38">
        <v>1.42</v>
      </c>
      <c r="P38">
        <v>1.36</v>
      </c>
      <c r="Q38">
        <v>1.2</v>
      </c>
      <c r="R38">
        <v>1.28</v>
      </c>
      <c r="S38">
        <v>1.21</v>
      </c>
      <c r="T38">
        <v>3692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5</v>
      </c>
      <c r="G39">
        <v>18</v>
      </c>
      <c r="H39">
        <v>8</v>
      </c>
      <c r="I39">
        <v>0</v>
      </c>
      <c r="J39">
        <v>1.41</v>
      </c>
      <c r="K39">
        <v>1.32</v>
      </c>
      <c r="L39">
        <v>1.28</v>
      </c>
      <c r="M39">
        <v>1.25</v>
      </c>
      <c r="N39">
        <v>1.32</v>
      </c>
      <c r="O39">
        <v>1.36</v>
      </c>
      <c r="P39">
        <v>1.2</v>
      </c>
      <c r="Q39">
        <v>1.17</v>
      </c>
      <c r="R39">
        <v>1.3</v>
      </c>
      <c r="S39">
        <v>1.17</v>
      </c>
      <c r="T39">
        <v>3672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5</v>
      </c>
      <c r="G40">
        <v>18</v>
      </c>
      <c r="H40">
        <v>8</v>
      </c>
      <c r="I40">
        <v>4</v>
      </c>
      <c r="J40">
        <v>1.41</v>
      </c>
      <c r="K40">
        <v>1.44</v>
      </c>
      <c r="L40">
        <v>1.47</v>
      </c>
      <c r="M40">
        <v>1.27</v>
      </c>
      <c r="N40">
        <v>1.38</v>
      </c>
      <c r="O40">
        <v>1.5</v>
      </c>
      <c r="P40">
        <v>1.33</v>
      </c>
      <c r="Q40">
        <v>1.3</v>
      </c>
      <c r="R40">
        <v>1.44</v>
      </c>
      <c r="S40">
        <v>1.25</v>
      </c>
      <c r="T40">
        <v>3684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5</v>
      </c>
      <c r="G41">
        <v>18</v>
      </c>
      <c r="H41">
        <v>8</v>
      </c>
      <c r="I41">
        <v>0</v>
      </c>
      <c r="J41">
        <v>1.1200000000000001</v>
      </c>
      <c r="K41">
        <v>0.94</v>
      </c>
      <c r="L41">
        <v>1</v>
      </c>
      <c r="M41">
        <v>1.18</v>
      </c>
      <c r="N41">
        <v>1.3</v>
      </c>
      <c r="O41">
        <v>1.18</v>
      </c>
      <c r="P41">
        <v>1.27</v>
      </c>
      <c r="Q41">
        <v>1.31</v>
      </c>
      <c r="R41">
        <v>1.44</v>
      </c>
      <c r="S41">
        <v>1.29</v>
      </c>
      <c r="T41">
        <v>3672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5</v>
      </c>
      <c r="G45">
        <v>18</v>
      </c>
      <c r="H45">
        <v>6</v>
      </c>
      <c r="I45">
        <v>25</v>
      </c>
      <c r="J45">
        <v>1.1299999999999999</v>
      </c>
      <c r="K45">
        <v>1.23</v>
      </c>
      <c r="L45">
        <v>1.35</v>
      </c>
      <c r="M45">
        <v>1.45</v>
      </c>
      <c r="N45">
        <v>1.39</v>
      </c>
      <c r="O45">
        <v>1.51</v>
      </c>
      <c r="P45">
        <v>1.53</v>
      </c>
      <c r="Q45">
        <v>1.46</v>
      </c>
      <c r="R45">
        <v>1.47</v>
      </c>
      <c r="S45">
        <v>1.39</v>
      </c>
      <c r="T45">
        <v>3747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5</v>
      </c>
      <c r="G46">
        <v>18</v>
      </c>
      <c r="H46">
        <v>6</v>
      </c>
      <c r="I46">
        <v>21</v>
      </c>
      <c r="J46">
        <v>1.21</v>
      </c>
      <c r="K46">
        <v>1.26</v>
      </c>
      <c r="L46">
        <v>1.07</v>
      </c>
      <c r="M46">
        <v>1.1499999999999999</v>
      </c>
      <c r="N46">
        <v>1.17</v>
      </c>
      <c r="O46">
        <v>1.24</v>
      </c>
      <c r="P46">
        <v>1.23</v>
      </c>
      <c r="Q46">
        <v>1.37</v>
      </c>
      <c r="R46">
        <v>1.4</v>
      </c>
      <c r="S46">
        <v>1.23</v>
      </c>
      <c r="T46">
        <v>3719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5</v>
      </c>
      <c r="G47">
        <v>18</v>
      </c>
      <c r="H47">
        <v>6</v>
      </c>
      <c r="I47">
        <v>34</v>
      </c>
      <c r="J47">
        <v>1.19</v>
      </c>
      <c r="K47">
        <v>1.17</v>
      </c>
      <c r="L47">
        <v>1.24</v>
      </c>
      <c r="M47">
        <v>1.4</v>
      </c>
      <c r="N47">
        <v>1.48</v>
      </c>
      <c r="O47">
        <v>1.46</v>
      </c>
      <c r="P47">
        <v>1.43</v>
      </c>
      <c r="Q47">
        <v>1.36</v>
      </c>
      <c r="R47">
        <v>1.45</v>
      </c>
      <c r="S47">
        <v>1.35</v>
      </c>
      <c r="T47">
        <v>3743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5</v>
      </c>
      <c r="G48">
        <v>18</v>
      </c>
      <c r="H48">
        <v>6</v>
      </c>
      <c r="I48">
        <v>30</v>
      </c>
      <c r="J48">
        <v>1.47</v>
      </c>
      <c r="K48">
        <v>1.47</v>
      </c>
      <c r="L48">
        <v>1.48</v>
      </c>
      <c r="M48">
        <v>1.49</v>
      </c>
      <c r="N48">
        <v>1.37</v>
      </c>
      <c r="O48">
        <v>1.39</v>
      </c>
      <c r="P48">
        <v>1.51</v>
      </c>
      <c r="Q48">
        <v>1.42</v>
      </c>
      <c r="R48">
        <v>1.41</v>
      </c>
      <c r="S48">
        <v>1.25</v>
      </c>
      <c r="T48">
        <v>3748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5</v>
      </c>
      <c r="G49">
        <v>18</v>
      </c>
      <c r="H49">
        <v>6</v>
      </c>
      <c r="I49">
        <v>56</v>
      </c>
      <c r="J49">
        <v>1.43</v>
      </c>
      <c r="K49">
        <v>1.32</v>
      </c>
      <c r="L49">
        <v>1.41</v>
      </c>
      <c r="M49">
        <v>1.41</v>
      </c>
      <c r="N49">
        <v>1.44</v>
      </c>
      <c r="O49">
        <v>1.44</v>
      </c>
      <c r="P49">
        <v>1.32</v>
      </c>
      <c r="Q49">
        <v>1.42</v>
      </c>
      <c r="R49">
        <v>1.47</v>
      </c>
      <c r="S49">
        <v>1.4</v>
      </c>
      <c r="T49">
        <v>3735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5</v>
      </c>
      <c r="G50">
        <v>18</v>
      </c>
      <c r="H50">
        <v>6</v>
      </c>
      <c r="I50">
        <v>51</v>
      </c>
      <c r="J50">
        <v>1.41</v>
      </c>
      <c r="K50">
        <v>1.33</v>
      </c>
      <c r="L50">
        <v>1.36</v>
      </c>
      <c r="M50">
        <v>1.41</v>
      </c>
      <c r="N50">
        <v>1.4</v>
      </c>
      <c r="O50">
        <v>1.17</v>
      </c>
      <c r="P50">
        <v>1.1100000000000001</v>
      </c>
      <c r="Q50">
        <v>1.34</v>
      </c>
      <c r="R50">
        <v>1.34</v>
      </c>
      <c r="S50">
        <v>1.19</v>
      </c>
      <c r="T50">
        <v>3732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5</v>
      </c>
      <c r="G51">
        <v>18</v>
      </c>
      <c r="H51">
        <v>6</v>
      </c>
      <c r="I51">
        <v>47</v>
      </c>
      <c r="J51">
        <v>1.17</v>
      </c>
      <c r="K51">
        <v>1.2</v>
      </c>
      <c r="L51">
        <v>1.39</v>
      </c>
      <c r="M51">
        <v>1.42</v>
      </c>
      <c r="N51">
        <v>1.1599999999999999</v>
      </c>
      <c r="O51">
        <v>0.84</v>
      </c>
      <c r="P51">
        <v>0.95</v>
      </c>
      <c r="Q51">
        <v>1.25</v>
      </c>
      <c r="R51">
        <v>1.35</v>
      </c>
      <c r="S51">
        <v>1.3</v>
      </c>
      <c r="T51">
        <v>3745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5</v>
      </c>
      <c r="G52">
        <v>18</v>
      </c>
      <c r="H52">
        <v>6</v>
      </c>
      <c r="I52">
        <v>42</v>
      </c>
      <c r="J52">
        <v>0.92</v>
      </c>
      <c r="K52">
        <v>0.84</v>
      </c>
      <c r="L52">
        <v>0.86</v>
      </c>
      <c r="M52">
        <v>0.9</v>
      </c>
      <c r="N52">
        <v>0.93</v>
      </c>
      <c r="O52">
        <v>0.93</v>
      </c>
      <c r="P52">
        <v>0.96</v>
      </c>
      <c r="Q52">
        <v>1.1200000000000001</v>
      </c>
      <c r="R52">
        <v>1.35</v>
      </c>
      <c r="S52">
        <v>1.31</v>
      </c>
      <c r="T52">
        <v>3750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5</v>
      </c>
      <c r="G53">
        <v>18</v>
      </c>
      <c r="H53">
        <v>7</v>
      </c>
      <c r="I53">
        <v>2</v>
      </c>
      <c r="J53">
        <v>1.41</v>
      </c>
      <c r="K53">
        <v>1.36</v>
      </c>
      <c r="L53">
        <v>1.36</v>
      </c>
      <c r="M53">
        <v>1.37</v>
      </c>
      <c r="N53">
        <v>1.27</v>
      </c>
      <c r="O53">
        <v>1.03</v>
      </c>
      <c r="P53">
        <v>1.08</v>
      </c>
      <c r="Q53">
        <v>1.1499999999999999</v>
      </c>
      <c r="R53">
        <v>1.31</v>
      </c>
      <c r="S53">
        <v>1.22</v>
      </c>
      <c r="T53">
        <v>3729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5</v>
      </c>
      <c r="G54">
        <v>18</v>
      </c>
      <c r="H54">
        <v>7</v>
      </c>
      <c r="I54">
        <v>0</v>
      </c>
      <c r="J54">
        <v>1.1299999999999999</v>
      </c>
      <c r="K54">
        <v>1.08</v>
      </c>
      <c r="L54">
        <v>1.01</v>
      </c>
      <c r="M54">
        <v>0.98</v>
      </c>
      <c r="N54">
        <v>0.99</v>
      </c>
      <c r="O54">
        <v>0.99</v>
      </c>
      <c r="P54">
        <v>1.07</v>
      </c>
      <c r="Q54">
        <v>1.33</v>
      </c>
      <c r="R54">
        <v>1.42</v>
      </c>
      <c r="S54">
        <v>1.17</v>
      </c>
      <c r="T54">
        <v>3749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5</v>
      </c>
      <c r="G55">
        <v>18</v>
      </c>
      <c r="H55">
        <v>7</v>
      </c>
      <c r="I55">
        <v>12</v>
      </c>
      <c r="J55">
        <v>1.2</v>
      </c>
      <c r="K55">
        <v>1.2</v>
      </c>
      <c r="L55">
        <v>1.38</v>
      </c>
      <c r="M55">
        <v>1.46</v>
      </c>
      <c r="N55">
        <v>1.37</v>
      </c>
      <c r="O55">
        <v>1.35</v>
      </c>
      <c r="P55">
        <v>1.38</v>
      </c>
      <c r="Q55">
        <v>1.3</v>
      </c>
      <c r="R55">
        <v>1.41</v>
      </c>
      <c r="S55">
        <v>1.1100000000000001</v>
      </c>
      <c r="T55">
        <v>3725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5</v>
      </c>
      <c r="G56">
        <v>18</v>
      </c>
      <c r="H56">
        <v>7</v>
      </c>
      <c r="I56">
        <v>16</v>
      </c>
      <c r="J56">
        <v>0.81</v>
      </c>
      <c r="K56">
        <v>0.92</v>
      </c>
      <c r="L56">
        <v>1.17</v>
      </c>
      <c r="M56">
        <v>1.37</v>
      </c>
      <c r="N56">
        <v>1.43</v>
      </c>
      <c r="O56">
        <v>1.48</v>
      </c>
      <c r="P56">
        <v>1.51</v>
      </c>
      <c r="Q56">
        <v>1.44</v>
      </c>
      <c r="R56">
        <v>1.38</v>
      </c>
      <c r="S56">
        <v>1.08</v>
      </c>
      <c r="T56">
        <v>3752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5</v>
      </c>
      <c r="G57">
        <v>18</v>
      </c>
      <c r="H57">
        <v>7</v>
      </c>
      <c r="I57">
        <v>33</v>
      </c>
      <c r="J57">
        <v>1.32</v>
      </c>
      <c r="K57">
        <v>1.39</v>
      </c>
      <c r="L57">
        <v>1.59</v>
      </c>
      <c r="M57">
        <v>1.5</v>
      </c>
      <c r="N57">
        <v>1.55</v>
      </c>
      <c r="O57">
        <v>1.56</v>
      </c>
      <c r="P57">
        <v>1.3</v>
      </c>
      <c r="Q57">
        <v>1.36</v>
      </c>
      <c r="R57">
        <v>1.42</v>
      </c>
      <c r="S57">
        <v>1.27</v>
      </c>
      <c r="T57">
        <v>3698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5</v>
      </c>
      <c r="G58">
        <v>18</v>
      </c>
      <c r="H58">
        <v>7</v>
      </c>
      <c r="I58">
        <v>21</v>
      </c>
      <c r="J58">
        <v>1.29</v>
      </c>
      <c r="K58">
        <v>1.32</v>
      </c>
      <c r="L58">
        <v>1.41</v>
      </c>
      <c r="M58">
        <v>1.44</v>
      </c>
      <c r="N58">
        <v>1.55</v>
      </c>
      <c r="O58">
        <v>1.42</v>
      </c>
      <c r="P58">
        <v>1.29</v>
      </c>
      <c r="Q58">
        <v>1.35</v>
      </c>
      <c r="R58">
        <v>1.36</v>
      </c>
      <c r="S58">
        <v>1.1100000000000001</v>
      </c>
      <c r="T58">
        <v>3728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5</v>
      </c>
      <c r="G59">
        <v>18</v>
      </c>
      <c r="H59">
        <v>7</v>
      </c>
      <c r="I59">
        <v>25</v>
      </c>
      <c r="J59">
        <v>1.32</v>
      </c>
      <c r="K59">
        <v>1.29</v>
      </c>
      <c r="L59">
        <v>1.41</v>
      </c>
      <c r="M59">
        <v>1.28</v>
      </c>
      <c r="N59">
        <v>1.3</v>
      </c>
      <c r="O59">
        <v>1.36</v>
      </c>
      <c r="P59">
        <v>1.39</v>
      </c>
      <c r="Q59">
        <v>1.3</v>
      </c>
      <c r="R59">
        <v>1.35</v>
      </c>
      <c r="S59">
        <v>1.18</v>
      </c>
      <c r="T59">
        <v>3735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5</v>
      </c>
      <c r="G60">
        <v>18</v>
      </c>
      <c r="H60">
        <v>7</v>
      </c>
      <c r="I60">
        <v>20</v>
      </c>
      <c r="J60">
        <v>1.05</v>
      </c>
      <c r="K60">
        <v>1.1599999999999999</v>
      </c>
      <c r="L60">
        <v>1.46</v>
      </c>
      <c r="M60">
        <v>1.43</v>
      </c>
      <c r="N60">
        <v>1.5</v>
      </c>
      <c r="O60">
        <v>1.44</v>
      </c>
      <c r="P60">
        <v>1.49</v>
      </c>
      <c r="Q60">
        <v>1.31</v>
      </c>
      <c r="R60">
        <v>1.34</v>
      </c>
      <c r="S60">
        <v>1.1499999999999999</v>
      </c>
      <c r="T60">
        <v>3730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5</v>
      </c>
      <c r="G61">
        <v>18</v>
      </c>
      <c r="H61">
        <v>7</v>
      </c>
      <c r="I61">
        <v>31</v>
      </c>
      <c r="J61">
        <v>1.45</v>
      </c>
      <c r="K61">
        <v>1.44</v>
      </c>
      <c r="L61">
        <v>1.49</v>
      </c>
      <c r="M61">
        <v>1.56</v>
      </c>
      <c r="N61">
        <v>1.39</v>
      </c>
      <c r="O61">
        <v>1.41</v>
      </c>
      <c r="P61">
        <v>1.33</v>
      </c>
      <c r="Q61">
        <v>1.38</v>
      </c>
      <c r="R61">
        <v>1.42</v>
      </c>
      <c r="S61">
        <v>1.26</v>
      </c>
      <c r="T61">
        <v>3709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5</v>
      </c>
      <c r="G62">
        <v>18</v>
      </c>
      <c r="H62">
        <v>7</v>
      </c>
      <c r="I62">
        <v>43</v>
      </c>
      <c r="J62">
        <v>1.4</v>
      </c>
      <c r="K62">
        <v>1.39</v>
      </c>
      <c r="L62">
        <v>1.53</v>
      </c>
      <c r="M62">
        <v>1.59</v>
      </c>
      <c r="N62">
        <v>1.62</v>
      </c>
      <c r="O62">
        <v>1.6</v>
      </c>
      <c r="P62">
        <v>1.47</v>
      </c>
      <c r="Q62">
        <v>1.35</v>
      </c>
      <c r="R62">
        <v>1.42</v>
      </c>
      <c r="S62">
        <v>1.23</v>
      </c>
      <c r="T62">
        <v>3704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5</v>
      </c>
      <c r="G63">
        <v>18</v>
      </c>
      <c r="H63">
        <v>7</v>
      </c>
      <c r="I63">
        <v>40</v>
      </c>
      <c r="J63">
        <v>1.32</v>
      </c>
      <c r="K63">
        <v>1.3</v>
      </c>
      <c r="L63">
        <v>1.42</v>
      </c>
      <c r="M63">
        <v>1.53</v>
      </c>
      <c r="N63">
        <v>1.52</v>
      </c>
      <c r="O63">
        <v>1.5</v>
      </c>
      <c r="P63">
        <v>1.43</v>
      </c>
      <c r="Q63">
        <v>1.25</v>
      </c>
      <c r="R63">
        <v>1.28</v>
      </c>
      <c r="S63">
        <v>1.07</v>
      </c>
      <c r="T63">
        <v>3683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5</v>
      </c>
      <c r="G64">
        <v>18</v>
      </c>
      <c r="H64">
        <v>7</v>
      </c>
      <c r="I64">
        <v>52</v>
      </c>
      <c r="J64">
        <v>1.41</v>
      </c>
      <c r="K64">
        <v>1.4</v>
      </c>
      <c r="L64">
        <v>1.39</v>
      </c>
      <c r="M64">
        <v>1.54</v>
      </c>
      <c r="N64">
        <v>1.58</v>
      </c>
      <c r="O64">
        <v>1.54</v>
      </c>
      <c r="P64">
        <v>1.51</v>
      </c>
      <c r="Q64">
        <v>1.42</v>
      </c>
      <c r="R64">
        <v>1.32</v>
      </c>
      <c r="S64">
        <v>1.25</v>
      </c>
      <c r="T64">
        <v>3696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5</v>
      </c>
      <c r="G65">
        <v>18</v>
      </c>
      <c r="H65">
        <v>8</v>
      </c>
      <c r="I65">
        <v>0</v>
      </c>
      <c r="J65">
        <v>1.1200000000000001</v>
      </c>
      <c r="K65">
        <v>0.94</v>
      </c>
      <c r="L65">
        <v>1</v>
      </c>
      <c r="M65">
        <v>1.18</v>
      </c>
      <c r="N65">
        <v>1.3</v>
      </c>
      <c r="O65">
        <v>1.18</v>
      </c>
      <c r="P65">
        <v>1.27</v>
      </c>
      <c r="Q65">
        <v>1.31</v>
      </c>
      <c r="R65">
        <v>1.44</v>
      </c>
      <c r="S65">
        <v>1.29</v>
      </c>
      <c r="T65">
        <v>3672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5</v>
      </c>
      <c r="G66">
        <v>18</v>
      </c>
      <c r="H66">
        <v>8</v>
      </c>
      <c r="I66">
        <v>4</v>
      </c>
      <c r="J66">
        <v>1.41</v>
      </c>
      <c r="K66">
        <v>1.44</v>
      </c>
      <c r="L66">
        <v>1.47</v>
      </c>
      <c r="M66">
        <v>1.27</v>
      </c>
      <c r="N66">
        <v>1.38</v>
      </c>
      <c r="O66">
        <v>1.5</v>
      </c>
      <c r="P66">
        <v>1.33</v>
      </c>
      <c r="Q66">
        <v>1.3</v>
      </c>
      <c r="R66">
        <v>1.44</v>
      </c>
      <c r="S66">
        <v>1.25</v>
      </c>
      <c r="T66">
        <v>3684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5</v>
      </c>
      <c r="G67">
        <v>18</v>
      </c>
      <c r="H67">
        <v>8</v>
      </c>
      <c r="I67">
        <v>0</v>
      </c>
      <c r="J67">
        <v>1.41</v>
      </c>
      <c r="K67">
        <v>1.32</v>
      </c>
      <c r="L67">
        <v>1.28</v>
      </c>
      <c r="M67">
        <v>1.25</v>
      </c>
      <c r="N67">
        <v>1.32</v>
      </c>
      <c r="O67">
        <v>1.36</v>
      </c>
      <c r="P67">
        <v>1.2</v>
      </c>
      <c r="Q67">
        <v>1.17</v>
      </c>
      <c r="R67">
        <v>1.3</v>
      </c>
      <c r="S67">
        <v>1.17</v>
      </c>
      <c r="T67">
        <v>3672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5</v>
      </c>
      <c r="G68">
        <v>18</v>
      </c>
      <c r="H68">
        <v>7</v>
      </c>
      <c r="I68">
        <v>56</v>
      </c>
      <c r="J68">
        <v>1.5</v>
      </c>
      <c r="K68">
        <v>1.44</v>
      </c>
      <c r="L68">
        <v>1.28</v>
      </c>
      <c r="M68">
        <v>1.38</v>
      </c>
      <c r="N68">
        <v>1.5</v>
      </c>
      <c r="O68">
        <v>1.42</v>
      </c>
      <c r="P68">
        <v>1.36</v>
      </c>
      <c r="Q68">
        <v>1.2</v>
      </c>
      <c r="R68">
        <v>1.28</v>
      </c>
      <c r="S68">
        <v>1.21</v>
      </c>
      <c r="T68">
        <v>3692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18.999449999999996</v>
      </c>
      <c r="K73">
        <f t="shared" ref="K73:R73" si="0">22.275*K45-6.1713</f>
        <v>21.226949999999999</v>
      </c>
      <c r="L73">
        <f t="shared" si="0"/>
        <v>23.89995</v>
      </c>
      <c r="M73">
        <f t="shared" si="0"/>
        <v>26.12745</v>
      </c>
      <c r="N73">
        <f t="shared" si="0"/>
        <v>24.790949999999999</v>
      </c>
      <c r="O73">
        <f t="shared" si="0"/>
        <v>27.463950000000001</v>
      </c>
      <c r="P73">
        <f t="shared" si="0"/>
        <v>27.909450000000003</v>
      </c>
      <c r="Q73">
        <f t="shared" si="0"/>
        <v>26.350199999999997</v>
      </c>
      <c r="R73">
        <f t="shared" si="0"/>
        <v>26.572949999999995</v>
      </c>
      <c r="S73">
        <f>22.275*(S45*1.1)-6.1713</f>
        <v>27.887174999999996</v>
      </c>
    </row>
    <row r="74" spans="1:20" x14ac:dyDescent="0.25">
      <c r="I74" t="s">
        <v>43</v>
      </c>
      <c r="J74">
        <f t="shared" ref="J74:R89" si="1">22.275*J46-6.1713</f>
        <v>20.78145</v>
      </c>
      <c r="K74">
        <f t="shared" si="1"/>
        <v>21.895199999999999</v>
      </c>
      <c r="L74">
        <f t="shared" si="1"/>
        <v>17.662950000000002</v>
      </c>
      <c r="M74">
        <f t="shared" si="1"/>
        <v>19.444949999999999</v>
      </c>
      <c r="N74">
        <f t="shared" si="1"/>
        <v>19.890449999999998</v>
      </c>
      <c r="O74">
        <f t="shared" si="1"/>
        <v>21.4497</v>
      </c>
      <c r="P74">
        <f t="shared" si="1"/>
        <v>21.226949999999999</v>
      </c>
      <c r="Q74">
        <f t="shared" si="1"/>
        <v>24.345450000000003</v>
      </c>
      <c r="R74">
        <f t="shared" si="1"/>
        <v>25.013699999999996</v>
      </c>
      <c r="S74">
        <f t="shared" ref="S74:S91" si="2">22.275*(S46*1.1)-6.1713</f>
        <v>23.966774999999998</v>
      </c>
    </row>
    <row r="75" spans="1:20" x14ac:dyDescent="0.25">
      <c r="I75" t="s">
        <v>44</v>
      </c>
      <c r="J75">
        <f t="shared" si="1"/>
        <v>20.335949999999997</v>
      </c>
      <c r="K75">
        <f t="shared" si="1"/>
        <v>19.890449999999998</v>
      </c>
      <c r="L75">
        <f t="shared" si="1"/>
        <v>21.4497</v>
      </c>
      <c r="M75">
        <f t="shared" si="1"/>
        <v>25.013699999999996</v>
      </c>
      <c r="N75">
        <f t="shared" si="1"/>
        <v>26.7957</v>
      </c>
      <c r="O75">
        <f t="shared" si="1"/>
        <v>26.350199999999997</v>
      </c>
      <c r="P75">
        <f t="shared" si="1"/>
        <v>25.681949999999997</v>
      </c>
      <c r="Q75">
        <f t="shared" si="1"/>
        <v>24.122700000000002</v>
      </c>
      <c r="R75">
        <f t="shared" si="1"/>
        <v>26.12745</v>
      </c>
      <c r="S75">
        <f t="shared" si="2"/>
        <v>26.90707500000001</v>
      </c>
    </row>
    <row r="76" spans="1:20" x14ac:dyDescent="0.25">
      <c r="I76" t="s">
        <v>45</v>
      </c>
      <c r="J76">
        <f t="shared" si="1"/>
        <v>26.572949999999995</v>
      </c>
      <c r="K76">
        <f t="shared" si="1"/>
        <v>26.572949999999995</v>
      </c>
      <c r="L76">
        <f t="shared" si="1"/>
        <v>26.7957</v>
      </c>
      <c r="M76">
        <f t="shared" si="1"/>
        <v>27.018449999999998</v>
      </c>
      <c r="N76">
        <f t="shared" si="1"/>
        <v>24.345450000000003</v>
      </c>
      <c r="O76">
        <f t="shared" si="1"/>
        <v>24.790949999999999</v>
      </c>
      <c r="P76">
        <f t="shared" si="1"/>
        <v>27.463950000000001</v>
      </c>
      <c r="Q76">
        <f t="shared" si="1"/>
        <v>25.459199999999999</v>
      </c>
      <c r="R76">
        <f t="shared" si="1"/>
        <v>25.236449999999998</v>
      </c>
      <c r="S76">
        <f t="shared" si="2"/>
        <v>24.456824999999998</v>
      </c>
    </row>
    <row r="77" spans="1:20" x14ac:dyDescent="0.25">
      <c r="I77" t="s">
        <v>46</v>
      </c>
      <c r="J77">
        <f t="shared" si="1"/>
        <v>25.681949999999997</v>
      </c>
      <c r="K77">
        <f t="shared" si="1"/>
        <v>23.2317</v>
      </c>
      <c r="L77">
        <f t="shared" si="1"/>
        <v>25.236449999999998</v>
      </c>
      <c r="M77">
        <f t="shared" si="1"/>
        <v>25.236449999999998</v>
      </c>
      <c r="N77">
        <f t="shared" si="1"/>
        <v>25.904699999999995</v>
      </c>
      <c r="O77">
        <f t="shared" si="1"/>
        <v>25.904699999999995</v>
      </c>
      <c r="P77">
        <f t="shared" si="1"/>
        <v>23.2317</v>
      </c>
      <c r="Q77">
        <f t="shared" si="1"/>
        <v>25.459199999999999</v>
      </c>
      <c r="R77">
        <f t="shared" si="1"/>
        <v>26.572949999999995</v>
      </c>
      <c r="S77">
        <f t="shared" si="2"/>
        <v>28.132200000000001</v>
      </c>
    </row>
    <row r="78" spans="1:20" x14ac:dyDescent="0.25">
      <c r="I78" t="s">
        <v>47</v>
      </c>
      <c r="J78">
        <f t="shared" si="1"/>
        <v>25.236449999999998</v>
      </c>
      <c r="K78">
        <f t="shared" si="1"/>
        <v>23.454450000000001</v>
      </c>
      <c r="L78">
        <f t="shared" si="1"/>
        <v>24.122700000000002</v>
      </c>
      <c r="M78">
        <f t="shared" si="1"/>
        <v>25.236449999999998</v>
      </c>
      <c r="N78">
        <f t="shared" si="1"/>
        <v>25.013699999999996</v>
      </c>
      <c r="O78">
        <f t="shared" si="1"/>
        <v>19.890449999999998</v>
      </c>
      <c r="P78">
        <f t="shared" si="1"/>
        <v>18.55395</v>
      </c>
      <c r="Q78">
        <f t="shared" si="1"/>
        <v>23.677200000000003</v>
      </c>
      <c r="R78">
        <f t="shared" si="1"/>
        <v>23.677200000000003</v>
      </c>
      <c r="S78">
        <f t="shared" si="2"/>
        <v>22.986674999999998</v>
      </c>
    </row>
    <row r="79" spans="1:20" x14ac:dyDescent="0.25">
      <c r="I79" t="s">
        <v>48</v>
      </c>
      <c r="J79">
        <f t="shared" si="1"/>
        <v>19.890449999999998</v>
      </c>
      <c r="K79">
        <f t="shared" si="1"/>
        <v>20.558699999999998</v>
      </c>
      <c r="L79">
        <f t="shared" si="1"/>
        <v>24.790949999999999</v>
      </c>
      <c r="M79">
        <f t="shared" si="1"/>
        <v>25.459199999999999</v>
      </c>
      <c r="N79">
        <f t="shared" si="1"/>
        <v>19.667699999999996</v>
      </c>
      <c r="O79">
        <f t="shared" si="1"/>
        <v>12.5397</v>
      </c>
      <c r="P79">
        <f t="shared" si="1"/>
        <v>14.98995</v>
      </c>
      <c r="Q79">
        <f t="shared" si="1"/>
        <v>21.672450000000001</v>
      </c>
      <c r="R79">
        <f t="shared" si="1"/>
        <v>23.89995</v>
      </c>
      <c r="S79">
        <f t="shared" si="2"/>
        <v>25.681950000000004</v>
      </c>
    </row>
    <row r="80" spans="1:20" x14ac:dyDescent="0.25">
      <c r="I80" t="s">
        <v>49</v>
      </c>
      <c r="J80">
        <f t="shared" si="1"/>
        <v>14.3217</v>
      </c>
      <c r="K80">
        <f t="shared" si="1"/>
        <v>12.5397</v>
      </c>
      <c r="L80">
        <f t="shared" si="1"/>
        <v>12.985199999999999</v>
      </c>
      <c r="M80">
        <f t="shared" si="1"/>
        <v>13.876200000000001</v>
      </c>
      <c r="N80">
        <f t="shared" si="1"/>
        <v>14.544450000000001</v>
      </c>
      <c r="O80">
        <f t="shared" si="1"/>
        <v>14.544450000000001</v>
      </c>
      <c r="P80">
        <f t="shared" si="1"/>
        <v>15.212699999999998</v>
      </c>
      <c r="Q80">
        <f t="shared" si="1"/>
        <v>18.776700000000002</v>
      </c>
      <c r="R80">
        <f t="shared" si="1"/>
        <v>23.89995</v>
      </c>
      <c r="S80">
        <f t="shared" si="2"/>
        <v>25.926975000000002</v>
      </c>
    </row>
    <row r="81" spans="9:19" x14ac:dyDescent="0.25">
      <c r="I81" t="s">
        <v>50</v>
      </c>
      <c r="J81">
        <f t="shared" si="1"/>
        <v>25.236449999999998</v>
      </c>
      <c r="K81">
        <f t="shared" si="1"/>
        <v>24.122700000000002</v>
      </c>
      <c r="L81">
        <f t="shared" si="1"/>
        <v>24.122700000000002</v>
      </c>
      <c r="M81">
        <f t="shared" si="1"/>
        <v>24.345450000000003</v>
      </c>
      <c r="N81">
        <f t="shared" si="1"/>
        <v>22.11795</v>
      </c>
      <c r="O81">
        <f t="shared" si="1"/>
        <v>16.77195</v>
      </c>
      <c r="P81">
        <f t="shared" si="1"/>
        <v>17.8857</v>
      </c>
      <c r="Q81">
        <f t="shared" si="1"/>
        <v>19.444949999999999</v>
      </c>
      <c r="R81">
        <f t="shared" si="1"/>
        <v>23.008950000000002</v>
      </c>
      <c r="S81">
        <f t="shared" si="2"/>
        <v>23.72175</v>
      </c>
    </row>
    <row r="82" spans="9:19" x14ac:dyDescent="0.25">
      <c r="I82" t="s">
        <v>51</v>
      </c>
      <c r="J82">
        <f t="shared" si="1"/>
        <v>18.999449999999996</v>
      </c>
      <c r="K82">
        <f t="shared" si="1"/>
        <v>17.8857</v>
      </c>
      <c r="L82">
        <f t="shared" si="1"/>
        <v>16.326450000000001</v>
      </c>
      <c r="M82">
        <f t="shared" si="1"/>
        <v>15.658200000000001</v>
      </c>
      <c r="N82">
        <f t="shared" si="1"/>
        <v>15.880949999999999</v>
      </c>
      <c r="O82">
        <f t="shared" si="1"/>
        <v>15.880949999999999</v>
      </c>
      <c r="P82">
        <f t="shared" si="1"/>
        <v>17.662950000000002</v>
      </c>
      <c r="Q82">
        <f t="shared" si="1"/>
        <v>23.454450000000001</v>
      </c>
      <c r="R82">
        <f t="shared" si="1"/>
        <v>25.459199999999999</v>
      </c>
      <c r="S82">
        <f t="shared" si="2"/>
        <v>22.496624999999998</v>
      </c>
    </row>
    <row r="83" spans="9:19" x14ac:dyDescent="0.25">
      <c r="I83" t="s">
        <v>52</v>
      </c>
      <c r="J83">
        <f t="shared" si="1"/>
        <v>20.558699999999998</v>
      </c>
      <c r="K83">
        <f t="shared" si="1"/>
        <v>20.558699999999998</v>
      </c>
      <c r="L83">
        <f t="shared" si="1"/>
        <v>24.568199999999997</v>
      </c>
      <c r="M83">
        <f t="shared" si="1"/>
        <v>26.350199999999997</v>
      </c>
      <c r="N83">
        <f t="shared" si="1"/>
        <v>24.345450000000003</v>
      </c>
      <c r="O83">
        <f t="shared" si="1"/>
        <v>23.89995</v>
      </c>
      <c r="P83">
        <f t="shared" si="1"/>
        <v>24.568199999999997</v>
      </c>
      <c r="Q83">
        <f t="shared" si="1"/>
        <v>22.786200000000001</v>
      </c>
      <c r="R83">
        <f t="shared" si="1"/>
        <v>25.236449999999998</v>
      </c>
      <c r="S83">
        <f t="shared" si="2"/>
        <v>21.026475000000005</v>
      </c>
    </row>
    <row r="84" spans="9:19" x14ac:dyDescent="0.25">
      <c r="I84" t="s">
        <v>53</v>
      </c>
      <c r="J84">
        <f t="shared" si="1"/>
        <v>11.871450000000003</v>
      </c>
      <c r="K84">
        <f t="shared" si="1"/>
        <v>14.3217</v>
      </c>
      <c r="L84">
        <f t="shared" si="1"/>
        <v>19.890449999999998</v>
      </c>
      <c r="M84">
        <f t="shared" si="1"/>
        <v>24.345450000000003</v>
      </c>
      <c r="N84">
        <f t="shared" si="1"/>
        <v>25.681949999999997</v>
      </c>
      <c r="O84">
        <f t="shared" si="1"/>
        <v>26.7957</v>
      </c>
      <c r="P84">
        <f t="shared" si="1"/>
        <v>27.463950000000001</v>
      </c>
      <c r="Q84">
        <f t="shared" si="1"/>
        <v>25.904699999999995</v>
      </c>
      <c r="R84">
        <f t="shared" si="1"/>
        <v>24.568199999999997</v>
      </c>
      <c r="S84">
        <f t="shared" si="2"/>
        <v>20.291400000000003</v>
      </c>
    </row>
    <row r="85" spans="9:19" x14ac:dyDescent="0.25">
      <c r="I85" t="s">
        <v>54</v>
      </c>
      <c r="J85">
        <f t="shared" si="1"/>
        <v>23.2317</v>
      </c>
      <c r="K85">
        <f t="shared" si="1"/>
        <v>24.790949999999999</v>
      </c>
      <c r="L85">
        <f t="shared" si="1"/>
        <v>29.245950000000004</v>
      </c>
      <c r="M85">
        <f t="shared" si="1"/>
        <v>27.241199999999996</v>
      </c>
      <c r="N85">
        <f t="shared" si="1"/>
        <v>28.354949999999999</v>
      </c>
      <c r="O85">
        <f t="shared" si="1"/>
        <v>28.577700000000004</v>
      </c>
      <c r="P85">
        <f t="shared" si="1"/>
        <v>22.786200000000001</v>
      </c>
      <c r="Q85">
        <f t="shared" si="1"/>
        <v>24.122700000000002</v>
      </c>
      <c r="R85">
        <f t="shared" si="1"/>
        <v>25.459199999999999</v>
      </c>
      <c r="S85">
        <f t="shared" si="2"/>
        <v>24.946875000000006</v>
      </c>
    </row>
    <row r="86" spans="9:19" x14ac:dyDescent="0.25">
      <c r="I86" t="s">
        <v>55</v>
      </c>
      <c r="J86">
        <f t="shared" si="1"/>
        <v>22.56345</v>
      </c>
      <c r="K86">
        <f t="shared" si="1"/>
        <v>23.2317</v>
      </c>
      <c r="L86">
        <f t="shared" si="1"/>
        <v>25.236449999999998</v>
      </c>
      <c r="M86">
        <f t="shared" si="1"/>
        <v>25.904699999999995</v>
      </c>
      <c r="N86">
        <f t="shared" si="1"/>
        <v>28.354949999999999</v>
      </c>
      <c r="O86">
        <f t="shared" si="1"/>
        <v>25.459199999999999</v>
      </c>
      <c r="P86">
        <f t="shared" si="1"/>
        <v>22.56345</v>
      </c>
      <c r="Q86">
        <f t="shared" si="1"/>
        <v>23.89995</v>
      </c>
      <c r="R86">
        <f t="shared" si="1"/>
        <v>24.122700000000002</v>
      </c>
      <c r="S86">
        <f t="shared" si="2"/>
        <v>21.026475000000005</v>
      </c>
    </row>
    <row r="87" spans="9:19" x14ac:dyDescent="0.25">
      <c r="I87" t="s">
        <v>56</v>
      </c>
      <c r="J87">
        <f t="shared" si="1"/>
        <v>23.2317</v>
      </c>
      <c r="K87">
        <f t="shared" si="1"/>
        <v>22.56345</v>
      </c>
      <c r="L87">
        <f t="shared" si="1"/>
        <v>25.236449999999998</v>
      </c>
      <c r="M87">
        <f t="shared" si="1"/>
        <v>22.340700000000002</v>
      </c>
      <c r="N87">
        <f t="shared" si="1"/>
        <v>22.786200000000001</v>
      </c>
      <c r="O87">
        <f t="shared" si="1"/>
        <v>24.122700000000002</v>
      </c>
      <c r="P87">
        <f t="shared" si="1"/>
        <v>24.790949999999999</v>
      </c>
      <c r="Q87">
        <f t="shared" si="1"/>
        <v>22.786200000000001</v>
      </c>
      <c r="R87">
        <f t="shared" si="1"/>
        <v>23.89995</v>
      </c>
      <c r="S87">
        <f t="shared" si="2"/>
        <v>22.74165</v>
      </c>
    </row>
    <row r="88" spans="9:19" x14ac:dyDescent="0.25">
      <c r="I88" t="s">
        <v>57</v>
      </c>
      <c r="J88">
        <f t="shared" si="1"/>
        <v>17.217449999999999</v>
      </c>
      <c r="K88">
        <f t="shared" si="1"/>
        <v>19.667699999999996</v>
      </c>
      <c r="L88">
        <f t="shared" si="1"/>
        <v>26.350199999999997</v>
      </c>
      <c r="M88">
        <f t="shared" si="1"/>
        <v>25.681949999999997</v>
      </c>
      <c r="N88">
        <f t="shared" si="1"/>
        <v>27.241199999999996</v>
      </c>
      <c r="O88">
        <f t="shared" si="1"/>
        <v>25.904699999999995</v>
      </c>
      <c r="P88">
        <f t="shared" si="1"/>
        <v>27.018449999999998</v>
      </c>
      <c r="Q88">
        <f t="shared" si="1"/>
        <v>23.008950000000002</v>
      </c>
      <c r="R88">
        <f t="shared" si="1"/>
        <v>23.677200000000003</v>
      </c>
      <c r="S88">
        <f t="shared" si="2"/>
        <v>22.006574999999998</v>
      </c>
    </row>
    <row r="89" spans="9:19" x14ac:dyDescent="0.25">
      <c r="I89" t="s">
        <v>58</v>
      </c>
      <c r="J89">
        <f t="shared" si="1"/>
        <v>26.12745</v>
      </c>
      <c r="K89">
        <f t="shared" si="1"/>
        <v>25.904699999999995</v>
      </c>
      <c r="L89">
        <f t="shared" si="1"/>
        <v>27.018449999999998</v>
      </c>
      <c r="M89">
        <f t="shared" si="1"/>
        <v>28.577700000000004</v>
      </c>
      <c r="N89">
        <f t="shared" si="1"/>
        <v>24.790949999999999</v>
      </c>
      <c r="O89">
        <f t="shared" si="1"/>
        <v>25.236449999999998</v>
      </c>
      <c r="P89">
        <f t="shared" si="1"/>
        <v>23.454450000000001</v>
      </c>
      <c r="Q89">
        <f t="shared" si="1"/>
        <v>24.568199999999997</v>
      </c>
      <c r="R89">
        <f t="shared" si="1"/>
        <v>25.459199999999999</v>
      </c>
      <c r="S89">
        <f t="shared" si="2"/>
        <v>24.70185</v>
      </c>
    </row>
    <row r="90" spans="9:19" x14ac:dyDescent="0.25">
      <c r="I90" t="s">
        <v>59</v>
      </c>
      <c r="J90">
        <f t="shared" ref="J90:R96" si="3">22.275*J62-6.1713</f>
        <v>25.013699999999996</v>
      </c>
      <c r="K90">
        <f t="shared" si="3"/>
        <v>24.790949999999999</v>
      </c>
      <c r="L90">
        <f t="shared" si="3"/>
        <v>27.909450000000003</v>
      </c>
      <c r="M90">
        <f t="shared" si="3"/>
        <v>29.245950000000004</v>
      </c>
      <c r="N90">
        <f t="shared" si="3"/>
        <v>29.914200000000005</v>
      </c>
      <c r="O90">
        <f t="shared" si="3"/>
        <v>29.468700000000002</v>
      </c>
      <c r="P90">
        <f t="shared" si="3"/>
        <v>26.572949999999995</v>
      </c>
      <c r="Q90">
        <f t="shared" si="3"/>
        <v>23.89995</v>
      </c>
      <c r="R90">
        <f t="shared" si="3"/>
        <v>25.459199999999999</v>
      </c>
      <c r="S90">
        <f t="shared" si="2"/>
        <v>23.966774999999998</v>
      </c>
    </row>
    <row r="91" spans="9:19" x14ac:dyDescent="0.25">
      <c r="I91" t="s">
        <v>60</v>
      </c>
      <c r="J91">
        <f t="shared" si="3"/>
        <v>23.2317</v>
      </c>
      <c r="K91">
        <f t="shared" si="3"/>
        <v>22.786200000000001</v>
      </c>
      <c r="L91">
        <f t="shared" si="3"/>
        <v>25.459199999999999</v>
      </c>
      <c r="M91">
        <f t="shared" si="3"/>
        <v>27.909450000000003</v>
      </c>
      <c r="N91">
        <f t="shared" si="3"/>
        <v>27.686699999999998</v>
      </c>
      <c r="O91">
        <f t="shared" si="3"/>
        <v>27.241199999999996</v>
      </c>
      <c r="P91">
        <f t="shared" si="3"/>
        <v>25.681949999999997</v>
      </c>
      <c r="Q91">
        <f t="shared" si="3"/>
        <v>21.672450000000001</v>
      </c>
      <c r="R91">
        <f t="shared" si="3"/>
        <v>22.340700000000002</v>
      </c>
      <c r="S91">
        <f t="shared" si="2"/>
        <v>20.046375000000005</v>
      </c>
    </row>
    <row r="92" spans="9:19" x14ac:dyDescent="0.25">
      <c r="I92" t="s">
        <v>61</v>
      </c>
      <c r="J92">
        <f t="shared" si="3"/>
        <v>25.236449999999998</v>
      </c>
      <c r="K92">
        <f t="shared" si="3"/>
        <v>25.013699999999996</v>
      </c>
      <c r="L92">
        <f t="shared" si="3"/>
        <v>24.790949999999999</v>
      </c>
      <c r="M92">
        <f t="shared" si="3"/>
        <v>28.132200000000001</v>
      </c>
      <c r="N92">
        <f t="shared" si="3"/>
        <v>29.023199999999999</v>
      </c>
      <c r="O92">
        <f t="shared" si="3"/>
        <v>28.132200000000001</v>
      </c>
      <c r="P92">
        <f t="shared" si="3"/>
        <v>27.463950000000001</v>
      </c>
      <c r="Q92">
        <f t="shared" si="3"/>
        <v>25.459199999999999</v>
      </c>
      <c r="R92">
        <f t="shared" si="3"/>
        <v>23.2317</v>
      </c>
      <c r="S92">
        <f>22.275*(S64*1.1)-6.1713</f>
        <v>24.456824999999998</v>
      </c>
    </row>
    <row r="93" spans="9:19" x14ac:dyDescent="0.25">
      <c r="I93" t="s">
        <v>62</v>
      </c>
      <c r="J93">
        <f t="shared" si="3"/>
        <v>18.776700000000002</v>
      </c>
      <c r="K93">
        <f t="shared" si="3"/>
        <v>14.767199999999999</v>
      </c>
      <c r="L93">
        <f t="shared" si="3"/>
        <v>16.1037</v>
      </c>
      <c r="M93">
        <f t="shared" si="3"/>
        <v>20.113199999999999</v>
      </c>
      <c r="N93">
        <f t="shared" si="3"/>
        <v>22.786200000000001</v>
      </c>
      <c r="O93">
        <f t="shared" si="3"/>
        <v>20.113199999999999</v>
      </c>
      <c r="P93">
        <f t="shared" si="3"/>
        <v>22.11795</v>
      </c>
      <c r="Q93">
        <f t="shared" si="3"/>
        <v>23.008950000000002</v>
      </c>
      <c r="R93">
        <f t="shared" si="3"/>
        <v>25.904699999999995</v>
      </c>
      <c r="S93">
        <f t="shared" ref="S93:S95" si="4">22.275*(S65*1.1)-6.1713</f>
        <v>25.436925000000006</v>
      </c>
    </row>
    <row r="94" spans="9:19" x14ac:dyDescent="0.25">
      <c r="I94" t="s">
        <v>63</v>
      </c>
      <c r="J94">
        <f t="shared" si="3"/>
        <v>25.236449999999998</v>
      </c>
      <c r="K94">
        <f t="shared" si="3"/>
        <v>25.904699999999995</v>
      </c>
      <c r="L94">
        <f t="shared" si="3"/>
        <v>26.572949999999995</v>
      </c>
      <c r="M94">
        <f t="shared" si="3"/>
        <v>22.11795</v>
      </c>
      <c r="N94">
        <f t="shared" si="3"/>
        <v>24.568199999999997</v>
      </c>
      <c r="O94">
        <f t="shared" si="3"/>
        <v>27.241199999999996</v>
      </c>
      <c r="P94">
        <f t="shared" si="3"/>
        <v>23.454450000000001</v>
      </c>
      <c r="Q94">
        <f t="shared" si="3"/>
        <v>22.786200000000001</v>
      </c>
      <c r="R94">
        <f t="shared" si="3"/>
        <v>25.904699999999995</v>
      </c>
      <c r="S94">
        <f t="shared" si="4"/>
        <v>24.456824999999998</v>
      </c>
    </row>
    <row r="95" spans="9:19" x14ac:dyDescent="0.25">
      <c r="I95" t="s">
        <v>64</v>
      </c>
      <c r="J95">
        <f t="shared" si="3"/>
        <v>25.236449999999998</v>
      </c>
      <c r="K95">
        <f t="shared" si="3"/>
        <v>23.2317</v>
      </c>
      <c r="L95">
        <f t="shared" si="3"/>
        <v>22.340700000000002</v>
      </c>
      <c r="M95">
        <f t="shared" si="3"/>
        <v>21.672450000000001</v>
      </c>
      <c r="N95">
        <f t="shared" si="3"/>
        <v>23.2317</v>
      </c>
      <c r="O95">
        <f t="shared" si="3"/>
        <v>24.122700000000002</v>
      </c>
      <c r="P95">
        <f t="shared" si="3"/>
        <v>20.558699999999998</v>
      </c>
      <c r="Q95">
        <f t="shared" si="3"/>
        <v>19.890449999999998</v>
      </c>
      <c r="R95">
        <f t="shared" si="3"/>
        <v>22.786200000000001</v>
      </c>
      <c r="S95">
        <f t="shared" si="4"/>
        <v>22.496624999999998</v>
      </c>
    </row>
    <row r="96" spans="9:19" x14ac:dyDescent="0.25">
      <c r="I96" t="s">
        <v>65</v>
      </c>
      <c r="J96">
        <f>22.275*J68-6.1713</f>
        <v>27.241199999999996</v>
      </c>
      <c r="K96">
        <f t="shared" si="3"/>
        <v>25.904699999999995</v>
      </c>
      <c r="L96">
        <f t="shared" si="3"/>
        <v>22.340700000000002</v>
      </c>
      <c r="M96">
        <f t="shared" si="3"/>
        <v>24.568199999999997</v>
      </c>
      <c r="N96">
        <f t="shared" si="3"/>
        <v>27.241199999999996</v>
      </c>
      <c r="O96">
        <f t="shared" si="3"/>
        <v>25.459199999999999</v>
      </c>
      <c r="P96">
        <f t="shared" si="3"/>
        <v>24.122700000000002</v>
      </c>
      <c r="Q96">
        <f t="shared" si="3"/>
        <v>20.558699999999998</v>
      </c>
      <c r="R96">
        <f t="shared" si="3"/>
        <v>22.340700000000002</v>
      </c>
      <c r="S96">
        <f>22.275*(S68*1.1)-6.1713</f>
        <v>23.476724999999998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0.18999449999999996</v>
      </c>
      <c r="K101" s="4">
        <f t="shared" si="5"/>
        <v>0.2122695</v>
      </c>
      <c r="L101" s="4">
        <f t="shared" si="5"/>
        <v>0.2389995</v>
      </c>
      <c r="M101" s="4">
        <f t="shared" si="5"/>
        <v>0.26127450000000002</v>
      </c>
      <c r="N101" s="4">
        <f t="shared" si="5"/>
        <v>0.24790949999999998</v>
      </c>
      <c r="O101" s="4">
        <f t="shared" si="5"/>
        <v>0.27463949999999998</v>
      </c>
      <c r="P101" s="4">
        <f t="shared" si="5"/>
        <v>0.27909450000000002</v>
      </c>
      <c r="Q101" s="4">
        <f t="shared" si="5"/>
        <v>0.26350199999999996</v>
      </c>
      <c r="R101" s="4">
        <f t="shared" si="5"/>
        <v>0.26572949999999995</v>
      </c>
      <c r="S101" s="4">
        <f t="shared" si="5"/>
        <v>0.27887174999999997</v>
      </c>
    </row>
    <row r="102" spans="9:19" x14ac:dyDescent="0.25">
      <c r="I102">
        <v>12</v>
      </c>
      <c r="J102" s="4">
        <f t="shared" ref="J102:S115" si="6">IF(J74&lt;0,"",J74/100)</f>
        <v>0.20781449999999999</v>
      </c>
      <c r="K102" s="4">
        <f t="shared" si="6"/>
        <v>0.21895199999999998</v>
      </c>
      <c r="L102" s="4">
        <f t="shared" si="6"/>
        <v>0.17662950000000002</v>
      </c>
      <c r="M102" s="4">
        <f t="shared" si="6"/>
        <v>0.1944495</v>
      </c>
      <c r="N102" s="4">
        <f t="shared" si="6"/>
        <v>0.19890449999999998</v>
      </c>
      <c r="O102" s="4">
        <f t="shared" si="6"/>
        <v>0.21449699999999999</v>
      </c>
      <c r="P102" s="4">
        <f t="shared" si="6"/>
        <v>0.2122695</v>
      </c>
      <c r="Q102" s="4">
        <f t="shared" si="6"/>
        <v>0.24345450000000002</v>
      </c>
      <c r="R102" s="4">
        <f t="shared" si="6"/>
        <v>0.25013699999999994</v>
      </c>
      <c r="S102" s="4">
        <f t="shared" si="6"/>
        <v>0.23966774999999998</v>
      </c>
    </row>
    <row r="103" spans="9:19" x14ac:dyDescent="0.25">
      <c r="I103">
        <v>13</v>
      </c>
      <c r="J103" s="4">
        <f t="shared" si="6"/>
        <v>0.20335949999999997</v>
      </c>
      <c r="K103" s="4">
        <f t="shared" si="6"/>
        <v>0.19890449999999998</v>
      </c>
      <c r="L103" s="4">
        <f t="shared" si="6"/>
        <v>0.21449699999999999</v>
      </c>
      <c r="M103" s="4">
        <f t="shared" si="6"/>
        <v>0.25013699999999994</v>
      </c>
      <c r="N103" s="4">
        <f t="shared" si="6"/>
        <v>0.267957</v>
      </c>
      <c r="O103" s="4">
        <f t="shared" si="6"/>
        <v>0.26350199999999996</v>
      </c>
      <c r="P103" s="4">
        <f t="shared" si="6"/>
        <v>0.25681949999999998</v>
      </c>
      <c r="Q103" s="4">
        <f t="shared" si="6"/>
        <v>0.24122700000000002</v>
      </c>
      <c r="R103" s="4">
        <f t="shared" si="6"/>
        <v>0.26127450000000002</v>
      </c>
      <c r="S103" s="4">
        <f t="shared" si="6"/>
        <v>0.26907075000000008</v>
      </c>
    </row>
    <row r="104" spans="9:19" x14ac:dyDescent="0.25">
      <c r="I104">
        <v>14</v>
      </c>
      <c r="J104" s="4">
        <f t="shared" si="6"/>
        <v>0.26572949999999995</v>
      </c>
      <c r="K104" s="4">
        <f t="shared" si="6"/>
        <v>0.26572949999999995</v>
      </c>
      <c r="L104" s="4">
        <f t="shared" si="6"/>
        <v>0.267957</v>
      </c>
      <c r="M104" s="4">
        <f t="shared" si="6"/>
        <v>0.27018449999999999</v>
      </c>
      <c r="N104" s="4">
        <f t="shared" si="6"/>
        <v>0.24345450000000002</v>
      </c>
      <c r="O104" s="4">
        <f t="shared" si="6"/>
        <v>0.24790949999999998</v>
      </c>
      <c r="P104" s="4">
        <f t="shared" si="6"/>
        <v>0.27463949999999998</v>
      </c>
      <c r="Q104" s="4">
        <f t="shared" si="6"/>
        <v>0.25459199999999998</v>
      </c>
      <c r="R104" s="4">
        <f t="shared" si="6"/>
        <v>0.25236449999999999</v>
      </c>
      <c r="S104" s="4">
        <f t="shared" si="6"/>
        <v>0.24456824999999999</v>
      </c>
    </row>
    <row r="105" spans="9:19" x14ac:dyDescent="0.25">
      <c r="I105">
        <v>21</v>
      </c>
      <c r="J105" s="4">
        <f t="shared" si="6"/>
        <v>0.25681949999999998</v>
      </c>
      <c r="K105" s="4">
        <f t="shared" si="6"/>
        <v>0.232317</v>
      </c>
      <c r="L105" s="4">
        <f t="shared" si="6"/>
        <v>0.25236449999999999</v>
      </c>
      <c r="M105" s="4">
        <f t="shared" si="6"/>
        <v>0.25236449999999999</v>
      </c>
      <c r="N105" s="4">
        <f t="shared" si="6"/>
        <v>0.25904699999999997</v>
      </c>
      <c r="O105" s="4">
        <f t="shared" si="6"/>
        <v>0.25904699999999997</v>
      </c>
      <c r="P105" s="4">
        <f t="shared" si="6"/>
        <v>0.232317</v>
      </c>
      <c r="Q105" s="4">
        <f t="shared" si="6"/>
        <v>0.25459199999999998</v>
      </c>
      <c r="R105" s="4">
        <f t="shared" si="6"/>
        <v>0.26572949999999995</v>
      </c>
      <c r="S105" s="4">
        <f t="shared" si="6"/>
        <v>0.28132200000000002</v>
      </c>
    </row>
    <row r="106" spans="9:19" x14ac:dyDescent="0.25">
      <c r="I106">
        <v>22</v>
      </c>
      <c r="J106" s="4">
        <f t="shared" si="6"/>
        <v>0.25236449999999999</v>
      </c>
      <c r="K106" s="4">
        <f t="shared" si="6"/>
        <v>0.23454450000000002</v>
      </c>
      <c r="L106" s="4">
        <f t="shared" si="6"/>
        <v>0.24122700000000002</v>
      </c>
      <c r="M106" s="4">
        <f t="shared" si="6"/>
        <v>0.25236449999999999</v>
      </c>
      <c r="N106" s="4">
        <f t="shared" si="6"/>
        <v>0.25013699999999994</v>
      </c>
      <c r="O106" s="4">
        <f t="shared" si="6"/>
        <v>0.19890449999999998</v>
      </c>
      <c r="P106" s="4">
        <f t="shared" si="6"/>
        <v>0.1855395</v>
      </c>
      <c r="Q106" s="4">
        <f t="shared" si="6"/>
        <v>0.23677200000000004</v>
      </c>
      <c r="R106" s="4">
        <f t="shared" si="6"/>
        <v>0.23677200000000004</v>
      </c>
      <c r="S106" s="4">
        <f t="shared" si="6"/>
        <v>0.22986674999999998</v>
      </c>
    </row>
    <row r="107" spans="9:19" x14ac:dyDescent="0.25">
      <c r="I107">
        <v>23</v>
      </c>
      <c r="J107" s="4">
        <f t="shared" si="6"/>
        <v>0.19890449999999998</v>
      </c>
      <c r="K107" s="4">
        <f t="shared" si="6"/>
        <v>0.20558699999999999</v>
      </c>
      <c r="L107" s="4">
        <f t="shared" si="6"/>
        <v>0.24790949999999998</v>
      </c>
      <c r="M107" s="4">
        <f t="shared" si="6"/>
        <v>0.25459199999999998</v>
      </c>
      <c r="N107" s="4">
        <f t="shared" si="6"/>
        <v>0.19667699999999996</v>
      </c>
      <c r="O107" s="4">
        <f t="shared" si="6"/>
        <v>0.12539700000000001</v>
      </c>
      <c r="P107" s="4">
        <f t="shared" si="6"/>
        <v>0.14989949999999999</v>
      </c>
      <c r="Q107" s="4">
        <f t="shared" si="6"/>
        <v>0.21672450000000001</v>
      </c>
      <c r="R107" s="4">
        <f t="shared" si="6"/>
        <v>0.2389995</v>
      </c>
      <c r="S107" s="4">
        <f t="shared" si="6"/>
        <v>0.25681950000000003</v>
      </c>
    </row>
    <row r="108" spans="9:19" x14ac:dyDescent="0.25">
      <c r="I108">
        <v>24</v>
      </c>
      <c r="J108" s="4">
        <f t="shared" si="6"/>
        <v>0.14321700000000001</v>
      </c>
      <c r="K108" s="4">
        <f t="shared" si="6"/>
        <v>0.12539700000000001</v>
      </c>
      <c r="L108" s="4">
        <f t="shared" si="6"/>
        <v>0.129852</v>
      </c>
      <c r="M108" s="4">
        <f t="shared" si="6"/>
        <v>0.138762</v>
      </c>
      <c r="N108" s="4">
        <f t="shared" si="6"/>
        <v>0.1454445</v>
      </c>
      <c r="O108" s="4">
        <f t="shared" si="6"/>
        <v>0.1454445</v>
      </c>
      <c r="P108" s="4">
        <f t="shared" si="6"/>
        <v>0.15212699999999998</v>
      </c>
      <c r="Q108" s="4">
        <f t="shared" si="6"/>
        <v>0.18776700000000002</v>
      </c>
      <c r="R108" s="4">
        <f t="shared" si="6"/>
        <v>0.2389995</v>
      </c>
      <c r="S108" s="4">
        <f t="shared" si="6"/>
        <v>0.25926975000000002</v>
      </c>
    </row>
    <row r="109" spans="9:19" x14ac:dyDescent="0.25">
      <c r="I109">
        <v>31</v>
      </c>
      <c r="J109" s="4">
        <f t="shared" si="6"/>
        <v>0.25236449999999999</v>
      </c>
      <c r="K109" s="4">
        <f t="shared" si="6"/>
        <v>0.24122700000000002</v>
      </c>
      <c r="L109" s="4">
        <f t="shared" si="6"/>
        <v>0.24122700000000002</v>
      </c>
      <c r="M109" s="4">
        <f t="shared" si="6"/>
        <v>0.24345450000000002</v>
      </c>
      <c r="N109" s="4">
        <f t="shared" si="6"/>
        <v>0.2211795</v>
      </c>
      <c r="O109" s="4">
        <f t="shared" si="6"/>
        <v>0.16771949999999999</v>
      </c>
      <c r="P109" s="4">
        <f t="shared" si="6"/>
        <v>0.17885699999999999</v>
      </c>
      <c r="Q109" s="4">
        <f t="shared" si="6"/>
        <v>0.1944495</v>
      </c>
      <c r="R109" s="4">
        <f t="shared" si="6"/>
        <v>0.23008950000000003</v>
      </c>
      <c r="S109" s="4">
        <f t="shared" si="6"/>
        <v>0.2372175</v>
      </c>
    </row>
    <row r="110" spans="9:19" x14ac:dyDescent="0.25">
      <c r="I110">
        <v>32</v>
      </c>
      <c r="J110" s="4">
        <f t="shared" si="6"/>
        <v>0.18999449999999996</v>
      </c>
      <c r="K110" s="4">
        <f t="shared" si="6"/>
        <v>0.17885699999999999</v>
      </c>
      <c r="L110" s="4">
        <f t="shared" si="6"/>
        <v>0.16326450000000001</v>
      </c>
      <c r="M110" s="4">
        <f t="shared" si="6"/>
        <v>0.156582</v>
      </c>
      <c r="N110" s="4">
        <f t="shared" si="6"/>
        <v>0.15880949999999999</v>
      </c>
      <c r="O110" s="4">
        <f t="shared" si="6"/>
        <v>0.15880949999999999</v>
      </c>
      <c r="P110" s="4">
        <f t="shared" si="6"/>
        <v>0.17662950000000002</v>
      </c>
      <c r="Q110" s="4">
        <f t="shared" si="6"/>
        <v>0.23454450000000002</v>
      </c>
      <c r="R110" s="4">
        <f t="shared" si="6"/>
        <v>0.25459199999999998</v>
      </c>
      <c r="S110" s="4">
        <f t="shared" si="6"/>
        <v>0.22496624999999998</v>
      </c>
    </row>
    <row r="111" spans="9:19" x14ac:dyDescent="0.25">
      <c r="I111">
        <v>33</v>
      </c>
      <c r="J111" s="4">
        <f t="shared" si="6"/>
        <v>0.20558699999999999</v>
      </c>
      <c r="K111" s="4">
        <f t="shared" si="6"/>
        <v>0.20558699999999999</v>
      </c>
      <c r="L111" s="4">
        <f t="shared" si="6"/>
        <v>0.24568199999999998</v>
      </c>
      <c r="M111" s="4">
        <f t="shared" si="6"/>
        <v>0.26350199999999996</v>
      </c>
      <c r="N111" s="4">
        <f t="shared" si="6"/>
        <v>0.24345450000000002</v>
      </c>
      <c r="O111" s="4">
        <f t="shared" si="6"/>
        <v>0.2389995</v>
      </c>
      <c r="P111" s="4">
        <f t="shared" si="6"/>
        <v>0.24568199999999998</v>
      </c>
      <c r="Q111" s="4">
        <f t="shared" si="6"/>
        <v>0.22786200000000001</v>
      </c>
      <c r="R111" s="4">
        <f t="shared" si="6"/>
        <v>0.25236449999999999</v>
      </c>
      <c r="S111" s="4">
        <f t="shared" si="6"/>
        <v>0.21026475000000006</v>
      </c>
    </row>
    <row r="112" spans="9:19" x14ac:dyDescent="0.25">
      <c r="I112">
        <v>34</v>
      </c>
      <c r="J112" s="4">
        <f t="shared" si="6"/>
        <v>0.11871450000000003</v>
      </c>
      <c r="K112" s="4">
        <f t="shared" si="6"/>
        <v>0.14321700000000001</v>
      </c>
      <c r="L112" s="4">
        <f t="shared" si="6"/>
        <v>0.19890449999999998</v>
      </c>
      <c r="M112" s="4">
        <f t="shared" si="6"/>
        <v>0.24345450000000002</v>
      </c>
      <c r="N112" s="4">
        <f t="shared" si="6"/>
        <v>0.25681949999999998</v>
      </c>
      <c r="O112" s="4">
        <f t="shared" si="6"/>
        <v>0.267957</v>
      </c>
      <c r="P112" s="4">
        <f t="shared" si="6"/>
        <v>0.27463949999999998</v>
      </c>
      <c r="Q112" s="4">
        <f t="shared" si="6"/>
        <v>0.25904699999999997</v>
      </c>
      <c r="R112" s="4">
        <f t="shared" si="6"/>
        <v>0.24568199999999998</v>
      </c>
      <c r="S112" s="4">
        <f t="shared" si="6"/>
        <v>0.20291400000000004</v>
      </c>
    </row>
    <row r="113" spans="9:19" x14ac:dyDescent="0.25">
      <c r="I113">
        <v>41</v>
      </c>
      <c r="J113" s="4">
        <f t="shared" si="6"/>
        <v>0.232317</v>
      </c>
      <c r="K113" s="4">
        <f t="shared" si="6"/>
        <v>0.24790949999999998</v>
      </c>
      <c r="L113" s="4">
        <f t="shared" si="6"/>
        <v>0.29245950000000004</v>
      </c>
      <c r="M113" s="4">
        <f t="shared" si="6"/>
        <v>0.27241199999999993</v>
      </c>
      <c r="N113" s="4">
        <f t="shared" si="6"/>
        <v>0.28354950000000001</v>
      </c>
      <c r="O113" s="4">
        <f t="shared" si="6"/>
        <v>0.28577700000000006</v>
      </c>
      <c r="P113" s="4">
        <f t="shared" si="6"/>
        <v>0.22786200000000001</v>
      </c>
      <c r="Q113" s="4">
        <f t="shared" si="6"/>
        <v>0.24122700000000002</v>
      </c>
      <c r="R113" s="4">
        <f t="shared" si="6"/>
        <v>0.25459199999999998</v>
      </c>
      <c r="S113" s="4">
        <f t="shared" si="6"/>
        <v>0.24946875000000004</v>
      </c>
    </row>
    <row r="114" spans="9:19" x14ac:dyDescent="0.25">
      <c r="I114">
        <v>42</v>
      </c>
      <c r="J114" s="4">
        <f t="shared" si="6"/>
        <v>0.22563449999999999</v>
      </c>
      <c r="K114" s="4">
        <f t="shared" si="6"/>
        <v>0.232317</v>
      </c>
      <c r="L114" s="4">
        <f t="shared" si="6"/>
        <v>0.25236449999999999</v>
      </c>
      <c r="M114" s="4">
        <f t="shared" si="6"/>
        <v>0.25904699999999997</v>
      </c>
      <c r="N114" s="4">
        <f t="shared" si="6"/>
        <v>0.28354950000000001</v>
      </c>
      <c r="O114" s="4">
        <f t="shared" si="6"/>
        <v>0.25459199999999998</v>
      </c>
      <c r="P114" s="4">
        <f t="shared" si="6"/>
        <v>0.22563449999999999</v>
      </c>
      <c r="Q114" s="4">
        <f t="shared" si="6"/>
        <v>0.2389995</v>
      </c>
      <c r="R114" s="4">
        <f t="shared" si="6"/>
        <v>0.24122700000000002</v>
      </c>
      <c r="S114" s="4">
        <f t="shared" si="6"/>
        <v>0.21026475000000006</v>
      </c>
    </row>
    <row r="115" spans="9:19" x14ac:dyDescent="0.25">
      <c r="I115">
        <v>43</v>
      </c>
      <c r="J115" s="4">
        <f t="shared" si="6"/>
        <v>0.232317</v>
      </c>
      <c r="K115" s="4">
        <f t="shared" si="6"/>
        <v>0.22563449999999999</v>
      </c>
      <c r="L115" s="4">
        <f t="shared" si="6"/>
        <v>0.25236449999999999</v>
      </c>
      <c r="M115" s="4">
        <f t="shared" si="6"/>
        <v>0.22340700000000002</v>
      </c>
      <c r="N115" s="4">
        <f t="shared" si="6"/>
        <v>0.22786200000000001</v>
      </c>
      <c r="O115" s="4">
        <f t="shared" si="6"/>
        <v>0.24122700000000002</v>
      </c>
      <c r="P115" s="4">
        <f t="shared" si="6"/>
        <v>0.24790949999999998</v>
      </c>
      <c r="Q115" s="4">
        <f t="shared" si="6"/>
        <v>0.22786200000000001</v>
      </c>
      <c r="R115" s="4">
        <f t="shared" si="6"/>
        <v>0.2389995</v>
      </c>
      <c r="S115" s="4">
        <f t="shared" si="6"/>
        <v>0.22741649999999999</v>
      </c>
    </row>
    <row r="116" spans="9:19" x14ac:dyDescent="0.25">
      <c r="I116">
        <v>44</v>
      </c>
      <c r="J116" s="4">
        <f t="shared" ref="J116:S116" si="7">IF(J88&lt;0,"",J88/100)</f>
        <v>0.17217450000000001</v>
      </c>
      <c r="K116" s="4">
        <f t="shared" si="7"/>
        <v>0.19667699999999996</v>
      </c>
      <c r="L116" s="4">
        <f t="shared" si="7"/>
        <v>0.26350199999999996</v>
      </c>
      <c r="M116" s="4">
        <f t="shared" si="7"/>
        <v>0.25681949999999998</v>
      </c>
      <c r="N116" s="4">
        <f t="shared" si="7"/>
        <v>0.27241199999999993</v>
      </c>
      <c r="O116" s="4">
        <f t="shared" si="7"/>
        <v>0.25904699999999997</v>
      </c>
      <c r="P116" s="4">
        <f t="shared" si="7"/>
        <v>0.27018449999999999</v>
      </c>
      <c r="Q116" s="4">
        <f t="shared" si="7"/>
        <v>0.23008950000000003</v>
      </c>
      <c r="R116" s="4">
        <f t="shared" si="7"/>
        <v>0.23677200000000004</v>
      </c>
      <c r="S116" s="4">
        <f t="shared" si="7"/>
        <v>0.22006574999999998</v>
      </c>
    </row>
    <row r="117" spans="9:19" x14ac:dyDescent="0.25">
      <c r="I117">
        <v>51</v>
      </c>
      <c r="J117" s="4">
        <f t="shared" ref="J117:S123" si="8">IF(J89&lt;0,"",J89/100)</f>
        <v>0.26127450000000002</v>
      </c>
      <c r="K117" s="4">
        <f t="shared" si="8"/>
        <v>0.25904699999999997</v>
      </c>
      <c r="L117" s="4">
        <f t="shared" si="8"/>
        <v>0.27018449999999999</v>
      </c>
      <c r="M117" s="4">
        <f t="shared" si="8"/>
        <v>0.28577700000000006</v>
      </c>
      <c r="N117" s="4">
        <f t="shared" si="8"/>
        <v>0.24790949999999998</v>
      </c>
      <c r="O117" s="4">
        <f t="shared" si="8"/>
        <v>0.25236449999999999</v>
      </c>
      <c r="P117" s="4">
        <f t="shared" si="8"/>
        <v>0.23454450000000002</v>
      </c>
      <c r="Q117" s="4">
        <f t="shared" si="8"/>
        <v>0.24568199999999998</v>
      </c>
      <c r="R117" s="4">
        <f t="shared" si="8"/>
        <v>0.25459199999999998</v>
      </c>
      <c r="S117" s="4">
        <f t="shared" si="8"/>
        <v>0.2470185</v>
      </c>
    </row>
    <row r="118" spans="9:19" x14ac:dyDescent="0.25">
      <c r="I118">
        <v>52</v>
      </c>
      <c r="J118" s="4">
        <f t="shared" si="8"/>
        <v>0.25013699999999994</v>
      </c>
      <c r="K118" s="4">
        <f t="shared" si="8"/>
        <v>0.24790949999999998</v>
      </c>
      <c r="L118" s="4">
        <f t="shared" si="8"/>
        <v>0.27909450000000002</v>
      </c>
      <c r="M118" s="4">
        <f t="shared" si="8"/>
        <v>0.29245950000000004</v>
      </c>
      <c r="N118" s="4">
        <f t="shared" si="8"/>
        <v>0.29914200000000002</v>
      </c>
      <c r="O118" s="4">
        <f t="shared" si="8"/>
        <v>0.29468700000000003</v>
      </c>
      <c r="P118" s="4">
        <f t="shared" si="8"/>
        <v>0.26572949999999995</v>
      </c>
      <c r="Q118" s="4">
        <f t="shared" si="8"/>
        <v>0.2389995</v>
      </c>
      <c r="R118" s="4">
        <f t="shared" si="8"/>
        <v>0.25459199999999998</v>
      </c>
      <c r="S118" s="4">
        <f t="shared" si="8"/>
        <v>0.23966774999999998</v>
      </c>
    </row>
    <row r="119" spans="9:19" x14ac:dyDescent="0.25">
      <c r="I119">
        <v>53</v>
      </c>
      <c r="J119" s="4">
        <f t="shared" si="8"/>
        <v>0.232317</v>
      </c>
      <c r="K119" s="4">
        <f t="shared" si="8"/>
        <v>0.22786200000000001</v>
      </c>
      <c r="L119" s="4">
        <f t="shared" si="8"/>
        <v>0.25459199999999998</v>
      </c>
      <c r="M119" s="4">
        <f t="shared" si="8"/>
        <v>0.27909450000000002</v>
      </c>
      <c r="N119" s="4">
        <f t="shared" si="8"/>
        <v>0.27686699999999997</v>
      </c>
      <c r="O119" s="4">
        <f t="shared" si="8"/>
        <v>0.27241199999999993</v>
      </c>
      <c r="P119" s="4">
        <f t="shared" si="8"/>
        <v>0.25681949999999998</v>
      </c>
      <c r="Q119" s="4">
        <f t="shared" si="8"/>
        <v>0.21672450000000001</v>
      </c>
      <c r="R119" s="4">
        <f t="shared" si="8"/>
        <v>0.22340700000000002</v>
      </c>
      <c r="S119" s="4">
        <f t="shared" si="8"/>
        <v>0.20046375000000005</v>
      </c>
    </row>
    <row r="120" spans="9:19" x14ac:dyDescent="0.25">
      <c r="I120">
        <v>54</v>
      </c>
      <c r="J120" s="4">
        <f t="shared" si="8"/>
        <v>0.25236449999999999</v>
      </c>
      <c r="K120" s="4">
        <f t="shared" si="8"/>
        <v>0.25013699999999994</v>
      </c>
      <c r="L120" s="4">
        <f t="shared" si="8"/>
        <v>0.24790949999999998</v>
      </c>
      <c r="M120" s="4">
        <f t="shared" si="8"/>
        <v>0.28132200000000002</v>
      </c>
      <c r="N120" s="4">
        <f t="shared" si="8"/>
        <v>0.29023199999999999</v>
      </c>
      <c r="O120" s="4">
        <f t="shared" si="8"/>
        <v>0.28132200000000002</v>
      </c>
      <c r="P120" s="4">
        <f t="shared" si="8"/>
        <v>0.27463949999999998</v>
      </c>
      <c r="Q120" s="4">
        <f t="shared" si="8"/>
        <v>0.25459199999999998</v>
      </c>
      <c r="R120" s="4">
        <f t="shared" si="8"/>
        <v>0.232317</v>
      </c>
      <c r="S120" s="4">
        <f t="shared" si="8"/>
        <v>0.24456824999999999</v>
      </c>
    </row>
    <row r="121" spans="9:19" x14ac:dyDescent="0.25">
      <c r="I121">
        <v>61</v>
      </c>
      <c r="J121" s="4">
        <f t="shared" si="8"/>
        <v>0.18776700000000002</v>
      </c>
      <c r="K121" s="4">
        <f t="shared" si="8"/>
        <v>0.147672</v>
      </c>
      <c r="L121" s="4">
        <f t="shared" si="8"/>
        <v>0.16103699999999999</v>
      </c>
      <c r="M121" s="4">
        <f t="shared" si="8"/>
        <v>0.20113199999999998</v>
      </c>
      <c r="N121" s="4">
        <f t="shared" si="8"/>
        <v>0.22786200000000001</v>
      </c>
      <c r="O121" s="4">
        <f t="shared" si="8"/>
        <v>0.20113199999999998</v>
      </c>
      <c r="P121" s="4">
        <f t="shared" si="8"/>
        <v>0.2211795</v>
      </c>
      <c r="Q121" s="4">
        <f t="shared" si="8"/>
        <v>0.23008950000000003</v>
      </c>
      <c r="R121" s="4">
        <f t="shared" si="8"/>
        <v>0.25904699999999997</v>
      </c>
      <c r="S121" s="4">
        <f t="shared" si="8"/>
        <v>0.25436925000000005</v>
      </c>
    </row>
    <row r="122" spans="9:19" x14ac:dyDescent="0.25">
      <c r="I122">
        <v>62</v>
      </c>
      <c r="J122" s="4">
        <f t="shared" si="8"/>
        <v>0.25236449999999999</v>
      </c>
      <c r="K122" s="4">
        <f t="shared" si="8"/>
        <v>0.25904699999999997</v>
      </c>
      <c r="L122" s="4">
        <f t="shared" si="8"/>
        <v>0.26572949999999995</v>
      </c>
      <c r="M122" s="4">
        <f t="shared" si="8"/>
        <v>0.2211795</v>
      </c>
      <c r="N122" s="4">
        <f t="shared" si="8"/>
        <v>0.24568199999999998</v>
      </c>
      <c r="O122" s="4">
        <f t="shared" si="8"/>
        <v>0.27241199999999993</v>
      </c>
      <c r="P122" s="4">
        <f t="shared" si="8"/>
        <v>0.23454450000000002</v>
      </c>
      <c r="Q122" s="4">
        <f t="shared" si="8"/>
        <v>0.22786200000000001</v>
      </c>
      <c r="R122" s="4">
        <f t="shared" si="8"/>
        <v>0.25904699999999997</v>
      </c>
      <c r="S122" s="4">
        <f t="shared" si="8"/>
        <v>0.24456824999999999</v>
      </c>
    </row>
    <row r="123" spans="9:19" x14ac:dyDescent="0.25">
      <c r="I123">
        <v>63</v>
      </c>
      <c r="J123" s="4">
        <f t="shared" si="8"/>
        <v>0.25236449999999999</v>
      </c>
      <c r="K123" s="4">
        <f t="shared" si="8"/>
        <v>0.232317</v>
      </c>
      <c r="L123" s="4">
        <f t="shared" si="8"/>
        <v>0.22340700000000002</v>
      </c>
      <c r="M123" s="4">
        <f t="shared" si="8"/>
        <v>0.21672450000000001</v>
      </c>
      <c r="N123" s="4">
        <f t="shared" si="8"/>
        <v>0.232317</v>
      </c>
      <c r="O123" s="4">
        <f t="shared" si="8"/>
        <v>0.24122700000000002</v>
      </c>
      <c r="P123" s="4">
        <f t="shared" si="8"/>
        <v>0.20558699999999999</v>
      </c>
      <c r="Q123" s="4">
        <f t="shared" si="8"/>
        <v>0.19890449999999998</v>
      </c>
      <c r="R123" s="4">
        <f t="shared" si="8"/>
        <v>0.22786200000000001</v>
      </c>
      <c r="S123" s="4">
        <f t="shared" si="8"/>
        <v>0.22496624999999998</v>
      </c>
    </row>
    <row r="124" spans="9:19" x14ac:dyDescent="0.25">
      <c r="I124">
        <v>64</v>
      </c>
      <c r="J124" s="4">
        <f t="shared" ref="J124:S124" si="9">IF(J96&lt;0,"",J96/100)</f>
        <v>0.27241199999999993</v>
      </c>
      <c r="K124" s="4">
        <f t="shared" si="9"/>
        <v>0.25904699999999997</v>
      </c>
      <c r="L124" s="4">
        <f t="shared" si="9"/>
        <v>0.22340700000000002</v>
      </c>
      <c r="M124" s="4">
        <f t="shared" si="9"/>
        <v>0.24568199999999998</v>
      </c>
      <c r="N124" s="4">
        <f t="shared" si="9"/>
        <v>0.27241199999999993</v>
      </c>
      <c r="O124" s="4">
        <f t="shared" si="9"/>
        <v>0.25459199999999998</v>
      </c>
      <c r="P124" s="4">
        <f t="shared" si="9"/>
        <v>0.24122700000000002</v>
      </c>
      <c r="Q124" s="4">
        <f t="shared" si="9"/>
        <v>0.20558699999999999</v>
      </c>
      <c r="R124" s="4">
        <f t="shared" si="9"/>
        <v>0.22340700000000002</v>
      </c>
      <c r="S124" s="4">
        <f t="shared" si="9"/>
        <v>0.23476724999999998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2FC0-8E46-4AE4-841B-94694CC411D1}">
  <dimension ref="A1:T124"/>
  <sheetViews>
    <sheetView topLeftCell="F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10362</v>
      </c>
      <c r="F1">
        <v>0</v>
      </c>
      <c r="G1">
        <v>10</v>
      </c>
      <c r="H1">
        <v>1826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5</v>
      </c>
      <c r="G18">
        <v>26</v>
      </c>
      <c r="H18">
        <v>6</v>
      </c>
      <c r="I18">
        <v>53</v>
      </c>
      <c r="J18">
        <v>1.1299999999999999</v>
      </c>
      <c r="K18">
        <v>1.21</v>
      </c>
      <c r="L18">
        <v>1.33</v>
      </c>
      <c r="M18">
        <v>1.44</v>
      </c>
      <c r="N18">
        <v>1.4</v>
      </c>
      <c r="O18">
        <v>1.49</v>
      </c>
      <c r="P18">
        <v>1.53</v>
      </c>
      <c r="Q18">
        <v>1.44</v>
      </c>
      <c r="R18">
        <v>1.48</v>
      </c>
      <c r="S18">
        <v>1.29</v>
      </c>
      <c r="T18">
        <v>3739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5</v>
      </c>
      <c r="G19">
        <v>26</v>
      </c>
      <c r="H19">
        <v>6</v>
      </c>
      <c r="I19">
        <v>50</v>
      </c>
      <c r="J19">
        <v>1.27</v>
      </c>
      <c r="K19">
        <v>1.32</v>
      </c>
      <c r="L19">
        <v>1.17</v>
      </c>
      <c r="M19">
        <v>1.23</v>
      </c>
      <c r="N19">
        <v>1.19</v>
      </c>
      <c r="O19">
        <v>1.25</v>
      </c>
      <c r="P19">
        <v>1.2</v>
      </c>
      <c r="Q19">
        <v>1.37</v>
      </c>
      <c r="R19">
        <v>1.4</v>
      </c>
      <c r="S19">
        <v>1.17</v>
      </c>
      <c r="T19">
        <v>3726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5</v>
      </c>
      <c r="G20">
        <v>26</v>
      </c>
      <c r="H20">
        <v>7</v>
      </c>
      <c r="I20">
        <v>2</v>
      </c>
      <c r="J20">
        <v>1.22</v>
      </c>
      <c r="K20">
        <v>1.19</v>
      </c>
      <c r="L20">
        <v>1.25</v>
      </c>
      <c r="M20">
        <v>1.42</v>
      </c>
      <c r="N20">
        <v>1.46</v>
      </c>
      <c r="O20">
        <v>1.46</v>
      </c>
      <c r="P20">
        <v>1.44</v>
      </c>
      <c r="Q20">
        <v>1.34</v>
      </c>
      <c r="R20">
        <v>1.4</v>
      </c>
      <c r="S20">
        <v>1.24</v>
      </c>
      <c r="T20">
        <v>3727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5</v>
      </c>
      <c r="G21">
        <v>26</v>
      </c>
      <c r="H21">
        <v>7</v>
      </c>
      <c r="I21">
        <v>0</v>
      </c>
      <c r="J21">
        <v>1.48</v>
      </c>
      <c r="K21">
        <v>1.46</v>
      </c>
      <c r="L21">
        <v>1.5</v>
      </c>
      <c r="M21">
        <v>1.47</v>
      </c>
      <c r="N21">
        <v>1.38</v>
      </c>
      <c r="O21">
        <v>1.36</v>
      </c>
      <c r="P21">
        <v>1.52</v>
      </c>
      <c r="Q21">
        <v>1.43</v>
      </c>
      <c r="R21">
        <v>1.38</v>
      </c>
      <c r="S21">
        <v>1.17</v>
      </c>
      <c r="T21">
        <v>3743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5</v>
      </c>
      <c r="G22">
        <v>26</v>
      </c>
      <c r="H22">
        <v>7</v>
      </c>
      <c r="I22">
        <v>12</v>
      </c>
      <c r="J22">
        <v>1.04</v>
      </c>
      <c r="K22">
        <v>0.89</v>
      </c>
      <c r="L22">
        <v>0.88</v>
      </c>
      <c r="M22">
        <v>0.91</v>
      </c>
      <c r="N22">
        <v>0.92</v>
      </c>
      <c r="O22">
        <v>0.91</v>
      </c>
      <c r="P22">
        <v>0.99</v>
      </c>
      <c r="Q22">
        <v>1.1100000000000001</v>
      </c>
      <c r="R22">
        <v>1.32</v>
      </c>
      <c r="S22">
        <v>1.22</v>
      </c>
      <c r="T22">
        <v>3745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5</v>
      </c>
      <c r="G23">
        <v>26</v>
      </c>
      <c r="H23">
        <v>7</v>
      </c>
      <c r="I23">
        <v>16</v>
      </c>
      <c r="J23">
        <v>1.22</v>
      </c>
      <c r="K23">
        <v>1.25</v>
      </c>
      <c r="L23">
        <v>1.43</v>
      </c>
      <c r="M23">
        <v>1.48</v>
      </c>
      <c r="N23">
        <v>1.24</v>
      </c>
      <c r="O23">
        <v>1</v>
      </c>
      <c r="P23">
        <v>1.07</v>
      </c>
      <c r="Q23">
        <v>1.25</v>
      </c>
      <c r="R23">
        <v>1.34</v>
      </c>
      <c r="S23">
        <v>1.27</v>
      </c>
      <c r="T23">
        <v>3730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5</v>
      </c>
      <c r="G24">
        <v>26</v>
      </c>
      <c r="H24">
        <v>7</v>
      </c>
      <c r="I24">
        <v>21</v>
      </c>
      <c r="J24">
        <v>1.43</v>
      </c>
      <c r="K24">
        <v>1.35</v>
      </c>
      <c r="L24">
        <v>1.38</v>
      </c>
      <c r="M24">
        <v>1.41</v>
      </c>
      <c r="N24">
        <v>1.37</v>
      </c>
      <c r="O24">
        <v>1.1499999999999999</v>
      </c>
      <c r="P24">
        <v>1.1100000000000001</v>
      </c>
      <c r="Q24">
        <v>1.33</v>
      </c>
      <c r="R24">
        <v>1.37</v>
      </c>
      <c r="S24">
        <v>1.0900000000000001</v>
      </c>
      <c r="T24">
        <v>3740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5</v>
      </c>
      <c r="G25">
        <v>26</v>
      </c>
      <c r="H25">
        <v>7</v>
      </c>
      <c r="I25">
        <v>25</v>
      </c>
      <c r="J25">
        <v>1.47</v>
      </c>
      <c r="K25">
        <v>1.39</v>
      </c>
      <c r="L25">
        <v>1.41</v>
      </c>
      <c r="M25">
        <v>1.41</v>
      </c>
      <c r="N25">
        <v>1.44</v>
      </c>
      <c r="O25">
        <v>1.45</v>
      </c>
      <c r="P25">
        <v>1.29</v>
      </c>
      <c r="Q25">
        <v>1.41</v>
      </c>
      <c r="R25">
        <v>1.47</v>
      </c>
      <c r="S25">
        <v>1.38</v>
      </c>
      <c r="T25">
        <v>3755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5</v>
      </c>
      <c r="G26">
        <v>26</v>
      </c>
      <c r="H26">
        <v>7</v>
      </c>
      <c r="I26">
        <v>21</v>
      </c>
      <c r="J26">
        <v>1.42</v>
      </c>
      <c r="K26">
        <v>1.34</v>
      </c>
      <c r="L26">
        <v>1.38</v>
      </c>
      <c r="M26">
        <v>1.35</v>
      </c>
      <c r="N26">
        <v>1.26</v>
      </c>
      <c r="O26">
        <v>1.1299999999999999</v>
      </c>
      <c r="P26">
        <v>1.1499999999999999</v>
      </c>
      <c r="Q26">
        <v>1.2</v>
      </c>
      <c r="R26">
        <v>1.32</v>
      </c>
      <c r="S26">
        <v>1.17</v>
      </c>
      <c r="T26">
        <v>3727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5</v>
      </c>
      <c r="G27">
        <v>26</v>
      </c>
      <c r="H27">
        <v>7</v>
      </c>
      <c r="I27">
        <v>34</v>
      </c>
      <c r="J27">
        <v>1.21</v>
      </c>
      <c r="K27">
        <v>1.1399999999999999</v>
      </c>
      <c r="L27">
        <v>1.04</v>
      </c>
      <c r="M27">
        <v>1.02</v>
      </c>
      <c r="N27">
        <v>0.95</v>
      </c>
      <c r="O27">
        <v>0.98</v>
      </c>
      <c r="P27">
        <v>1.08</v>
      </c>
      <c r="Q27">
        <v>1.3</v>
      </c>
      <c r="R27">
        <v>1.41</v>
      </c>
      <c r="S27">
        <v>1.23</v>
      </c>
      <c r="T27">
        <v>3729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5</v>
      </c>
      <c r="G28">
        <v>26</v>
      </c>
      <c r="H28">
        <v>7</v>
      </c>
      <c r="I28">
        <v>30</v>
      </c>
      <c r="J28">
        <v>1.18</v>
      </c>
      <c r="K28">
        <v>1.21</v>
      </c>
      <c r="L28">
        <v>1.36</v>
      </c>
      <c r="M28">
        <v>1.43</v>
      </c>
      <c r="N28">
        <v>1.38</v>
      </c>
      <c r="O28">
        <v>1.36</v>
      </c>
      <c r="P28">
        <v>1.37</v>
      </c>
      <c r="Q28">
        <v>1.3</v>
      </c>
      <c r="R28">
        <v>1.41</v>
      </c>
      <c r="S28">
        <v>1.1599999999999999</v>
      </c>
      <c r="T28">
        <v>3733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5</v>
      </c>
      <c r="G29">
        <v>26</v>
      </c>
      <c r="H29">
        <v>7</v>
      </c>
      <c r="I29">
        <v>42</v>
      </c>
      <c r="J29">
        <v>0.94</v>
      </c>
      <c r="K29">
        <v>1.05</v>
      </c>
      <c r="L29">
        <v>1.28</v>
      </c>
      <c r="M29">
        <v>1.4</v>
      </c>
      <c r="N29">
        <v>1.46</v>
      </c>
      <c r="O29">
        <v>1.47</v>
      </c>
      <c r="P29">
        <v>1.5</v>
      </c>
      <c r="Q29">
        <v>1.43</v>
      </c>
      <c r="R29">
        <v>1.34</v>
      </c>
      <c r="S29">
        <v>1.17</v>
      </c>
      <c r="T29">
        <v>3741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5</v>
      </c>
      <c r="G30">
        <v>26</v>
      </c>
      <c r="H30">
        <v>7</v>
      </c>
      <c r="I30">
        <v>51</v>
      </c>
      <c r="J30">
        <v>1.1299999999999999</v>
      </c>
      <c r="K30">
        <v>1.17</v>
      </c>
      <c r="L30">
        <v>1.48</v>
      </c>
      <c r="M30">
        <v>1.44</v>
      </c>
      <c r="N30">
        <v>1.46</v>
      </c>
      <c r="O30">
        <v>1.42</v>
      </c>
      <c r="P30">
        <v>1.47</v>
      </c>
      <c r="Q30">
        <v>1.31</v>
      </c>
      <c r="R30">
        <v>1.29</v>
      </c>
      <c r="S30">
        <v>1.1399999999999999</v>
      </c>
      <c r="T30">
        <v>3740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5</v>
      </c>
      <c r="G31">
        <v>26</v>
      </c>
      <c r="H31">
        <v>7</v>
      </c>
      <c r="I31">
        <v>56</v>
      </c>
      <c r="J31">
        <v>1.33</v>
      </c>
      <c r="K31">
        <v>1.34</v>
      </c>
      <c r="L31">
        <v>1.42</v>
      </c>
      <c r="M31">
        <v>1.28</v>
      </c>
      <c r="N31">
        <v>1.31</v>
      </c>
      <c r="O31">
        <v>1.31</v>
      </c>
      <c r="P31">
        <v>1.37</v>
      </c>
      <c r="Q31">
        <v>1.3</v>
      </c>
      <c r="R31">
        <v>1.32</v>
      </c>
      <c r="S31">
        <v>1.23</v>
      </c>
      <c r="T31">
        <v>3723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5</v>
      </c>
      <c r="G32">
        <v>26</v>
      </c>
      <c r="H32">
        <v>8</v>
      </c>
      <c r="I32">
        <v>0</v>
      </c>
      <c r="J32">
        <v>1.31</v>
      </c>
      <c r="K32">
        <v>1.32</v>
      </c>
      <c r="L32">
        <v>1.39</v>
      </c>
      <c r="M32">
        <v>1.42</v>
      </c>
      <c r="N32">
        <v>1.53</v>
      </c>
      <c r="O32">
        <v>1.37</v>
      </c>
      <c r="P32">
        <v>1.27</v>
      </c>
      <c r="Q32">
        <v>1.32</v>
      </c>
      <c r="R32">
        <v>1.36</v>
      </c>
      <c r="S32">
        <v>1.2</v>
      </c>
      <c r="T32">
        <v>3720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5</v>
      </c>
      <c r="G33">
        <v>26</v>
      </c>
      <c r="H33">
        <v>8</v>
      </c>
      <c r="I33">
        <v>4</v>
      </c>
      <c r="J33">
        <v>1.3</v>
      </c>
      <c r="K33">
        <v>1.41</v>
      </c>
      <c r="L33">
        <v>1.57</v>
      </c>
      <c r="M33">
        <v>1.51</v>
      </c>
      <c r="N33">
        <v>1.52</v>
      </c>
      <c r="O33">
        <v>1.56</v>
      </c>
      <c r="P33">
        <v>1.3</v>
      </c>
      <c r="Q33">
        <v>1.34</v>
      </c>
      <c r="R33">
        <v>1.41</v>
      </c>
      <c r="S33">
        <v>1.3</v>
      </c>
      <c r="T33">
        <v>3674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5</v>
      </c>
      <c r="G34">
        <v>26</v>
      </c>
      <c r="H34">
        <v>8</v>
      </c>
      <c r="I34">
        <v>1</v>
      </c>
      <c r="J34">
        <v>1.51</v>
      </c>
      <c r="K34">
        <v>1.48</v>
      </c>
      <c r="L34">
        <v>1.51</v>
      </c>
      <c r="M34">
        <v>1.54</v>
      </c>
      <c r="N34">
        <v>1.4</v>
      </c>
      <c r="O34">
        <v>1.44</v>
      </c>
      <c r="P34">
        <v>1.31</v>
      </c>
      <c r="Q34">
        <v>1.36</v>
      </c>
      <c r="R34">
        <v>1.44</v>
      </c>
      <c r="S34">
        <v>1.35</v>
      </c>
      <c r="T34">
        <v>3691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5</v>
      </c>
      <c r="G35">
        <v>26</v>
      </c>
      <c r="H35">
        <v>8</v>
      </c>
      <c r="I35">
        <v>14</v>
      </c>
      <c r="J35">
        <v>1.43</v>
      </c>
      <c r="K35">
        <v>1.4</v>
      </c>
      <c r="L35">
        <v>1.52</v>
      </c>
      <c r="M35">
        <v>1.57</v>
      </c>
      <c r="N35">
        <v>1.63</v>
      </c>
      <c r="O35">
        <v>1.58</v>
      </c>
      <c r="P35">
        <v>1.49</v>
      </c>
      <c r="Q35">
        <v>1.35</v>
      </c>
      <c r="R35">
        <v>1.39</v>
      </c>
      <c r="S35">
        <v>1.32</v>
      </c>
      <c r="T35">
        <v>3710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5</v>
      </c>
      <c r="G36">
        <v>26</v>
      </c>
      <c r="H36">
        <v>8</v>
      </c>
      <c r="I36">
        <v>10</v>
      </c>
      <c r="J36">
        <v>1.37</v>
      </c>
      <c r="K36">
        <v>1.37</v>
      </c>
      <c r="L36">
        <v>1.44</v>
      </c>
      <c r="M36">
        <v>1.55</v>
      </c>
      <c r="N36">
        <v>1.54</v>
      </c>
      <c r="O36">
        <v>1.51</v>
      </c>
      <c r="P36">
        <v>1.4</v>
      </c>
      <c r="Q36">
        <v>1.24</v>
      </c>
      <c r="R36">
        <v>1.27</v>
      </c>
      <c r="S36">
        <v>1.1100000000000001</v>
      </c>
      <c r="T36">
        <v>3689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5</v>
      </c>
      <c r="G37">
        <v>26</v>
      </c>
      <c r="H37">
        <v>8</v>
      </c>
      <c r="I37">
        <v>23</v>
      </c>
      <c r="J37">
        <v>1.43</v>
      </c>
      <c r="K37">
        <v>1.4</v>
      </c>
      <c r="L37">
        <v>1.39</v>
      </c>
      <c r="M37">
        <v>1.51</v>
      </c>
      <c r="N37">
        <v>1.56</v>
      </c>
      <c r="O37">
        <v>1.57</v>
      </c>
      <c r="P37">
        <v>1.52</v>
      </c>
      <c r="Q37">
        <v>1.4</v>
      </c>
      <c r="R37">
        <v>1.31</v>
      </c>
      <c r="S37">
        <v>1.32</v>
      </c>
      <c r="T37">
        <v>3690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5</v>
      </c>
      <c r="G38">
        <v>26</v>
      </c>
      <c r="H38">
        <v>8</v>
      </c>
      <c r="I38">
        <v>27</v>
      </c>
      <c r="J38">
        <v>1.54</v>
      </c>
      <c r="K38">
        <v>1.47</v>
      </c>
      <c r="L38">
        <v>1.28</v>
      </c>
      <c r="M38">
        <v>1.38</v>
      </c>
      <c r="N38">
        <v>1.48</v>
      </c>
      <c r="O38">
        <v>1.43</v>
      </c>
      <c r="P38">
        <v>1.33</v>
      </c>
      <c r="Q38">
        <v>1.19</v>
      </c>
      <c r="R38">
        <v>1.27</v>
      </c>
      <c r="S38">
        <v>1.25</v>
      </c>
      <c r="T38">
        <v>3713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5</v>
      </c>
      <c r="G39">
        <v>26</v>
      </c>
      <c r="H39">
        <v>8</v>
      </c>
      <c r="I39">
        <v>32</v>
      </c>
      <c r="J39">
        <v>1.48</v>
      </c>
      <c r="K39">
        <v>1.34</v>
      </c>
      <c r="L39">
        <v>1.31</v>
      </c>
      <c r="M39">
        <v>1.25</v>
      </c>
      <c r="N39">
        <v>1.31</v>
      </c>
      <c r="O39">
        <v>1.31</v>
      </c>
      <c r="P39">
        <v>1.1499999999999999</v>
      </c>
      <c r="Q39">
        <v>1.17</v>
      </c>
      <c r="R39">
        <v>1.26</v>
      </c>
      <c r="S39">
        <v>1.21</v>
      </c>
      <c r="T39">
        <v>3677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5</v>
      </c>
      <c r="G40">
        <v>26</v>
      </c>
      <c r="H40">
        <v>8</v>
      </c>
      <c r="I40">
        <v>37</v>
      </c>
      <c r="J40">
        <v>1.41</v>
      </c>
      <c r="K40">
        <v>1.44</v>
      </c>
      <c r="L40">
        <v>1.5</v>
      </c>
      <c r="M40">
        <v>1.24</v>
      </c>
      <c r="N40">
        <v>1.37</v>
      </c>
      <c r="O40">
        <v>1.48</v>
      </c>
      <c r="P40">
        <v>1.28</v>
      </c>
      <c r="Q40">
        <v>1.29</v>
      </c>
      <c r="R40">
        <v>1.43</v>
      </c>
      <c r="S40">
        <v>1.3</v>
      </c>
      <c r="T40">
        <v>3693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5</v>
      </c>
      <c r="G41">
        <v>26</v>
      </c>
      <c r="H41">
        <v>8</v>
      </c>
      <c r="I41">
        <v>43</v>
      </c>
      <c r="J41">
        <v>1.1299999999999999</v>
      </c>
      <c r="K41">
        <v>0.98</v>
      </c>
      <c r="L41">
        <v>1.07</v>
      </c>
      <c r="M41">
        <v>1.26</v>
      </c>
      <c r="N41">
        <v>1.34</v>
      </c>
      <c r="O41">
        <v>1.22</v>
      </c>
      <c r="P41">
        <v>1.23</v>
      </c>
      <c r="Q41">
        <v>1.31</v>
      </c>
      <c r="R41">
        <v>1.4</v>
      </c>
      <c r="S41">
        <v>1.25</v>
      </c>
      <c r="T41">
        <v>3676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5</v>
      </c>
      <c r="G45">
        <v>26</v>
      </c>
      <c r="H45">
        <v>6</v>
      </c>
      <c r="I45">
        <v>53</v>
      </c>
      <c r="J45">
        <v>1.1299999999999999</v>
      </c>
      <c r="K45">
        <v>1.21</v>
      </c>
      <c r="L45">
        <v>1.33</v>
      </c>
      <c r="M45">
        <v>1.44</v>
      </c>
      <c r="N45">
        <v>1.4</v>
      </c>
      <c r="O45">
        <v>1.49</v>
      </c>
      <c r="P45">
        <v>1.53</v>
      </c>
      <c r="Q45">
        <v>1.44</v>
      </c>
      <c r="R45">
        <v>1.48</v>
      </c>
      <c r="S45">
        <v>1.29</v>
      </c>
      <c r="T45">
        <v>3739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5</v>
      </c>
      <c r="G46">
        <v>26</v>
      </c>
      <c r="H46">
        <v>6</v>
      </c>
      <c r="I46">
        <v>50</v>
      </c>
      <c r="J46">
        <v>1.27</v>
      </c>
      <c r="K46">
        <v>1.32</v>
      </c>
      <c r="L46">
        <v>1.17</v>
      </c>
      <c r="M46">
        <v>1.23</v>
      </c>
      <c r="N46">
        <v>1.19</v>
      </c>
      <c r="O46">
        <v>1.25</v>
      </c>
      <c r="P46">
        <v>1.2</v>
      </c>
      <c r="Q46">
        <v>1.37</v>
      </c>
      <c r="R46">
        <v>1.4</v>
      </c>
      <c r="S46">
        <v>1.17</v>
      </c>
      <c r="T46">
        <v>3726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5</v>
      </c>
      <c r="G47">
        <v>26</v>
      </c>
      <c r="H47">
        <v>7</v>
      </c>
      <c r="I47">
        <v>2</v>
      </c>
      <c r="J47">
        <v>1.22</v>
      </c>
      <c r="K47">
        <v>1.19</v>
      </c>
      <c r="L47">
        <v>1.25</v>
      </c>
      <c r="M47">
        <v>1.42</v>
      </c>
      <c r="N47">
        <v>1.46</v>
      </c>
      <c r="O47">
        <v>1.46</v>
      </c>
      <c r="P47">
        <v>1.44</v>
      </c>
      <c r="Q47">
        <v>1.34</v>
      </c>
      <c r="R47">
        <v>1.4</v>
      </c>
      <c r="S47">
        <v>1.24</v>
      </c>
      <c r="T47">
        <v>3727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5</v>
      </c>
      <c r="G48">
        <v>26</v>
      </c>
      <c r="H48">
        <v>7</v>
      </c>
      <c r="I48">
        <v>0</v>
      </c>
      <c r="J48">
        <v>1.48</v>
      </c>
      <c r="K48">
        <v>1.46</v>
      </c>
      <c r="L48">
        <v>1.5</v>
      </c>
      <c r="M48">
        <v>1.47</v>
      </c>
      <c r="N48">
        <v>1.38</v>
      </c>
      <c r="O48">
        <v>1.36</v>
      </c>
      <c r="P48">
        <v>1.52</v>
      </c>
      <c r="Q48">
        <v>1.43</v>
      </c>
      <c r="R48">
        <v>1.38</v>
      </c>
      <c r="S48">
        <v>1.17</v>
      </c>
      <c r="T48">
        <v>3743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5</v>
      </c>
      <c r="G49">
        <v>26</v>
      </c>
      <c r="H49">
        <v>7</v>
      </c>
      <c r="I49">
        <v>25</v>
      </c>
      <c r="J49">
        <v>1.47</v>
      </c>
      <c r="K49">
        <v>1.39</v>
      </c>
      <c r="L49">
        <v>1.41</v>
      </c>
      <c r="M49">
        <v>1.41</v>
      </c>
      <c r="N49">
        <v>1.44</v>
      </c>
      <c r="O49">
        <v>1.45</v>
      </c>
      <c r="P49">
        <v>1.29</v>
      </c>
      <c r="Q49">
        <v>1.41</v>
      </c>
      <c r="R49">
        <v>1.47</v>
      </c>
      <c r="S49">
        <v>1.38</v>
      </c>
      <c r="T49">
        <v>3755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5</v>
      </c>
      <c r="G50">
        <v>26</v>
      </c>
      <c r="H50">
        <v>7</v>
      </c>
      <c r="I50">
        <v>21</v>
      </c>
      <c r="J50">
        <v>1.43</v>
      </c>
      <c r="K50">
        <v>1.35</v>
      </c>
      <c r="L50">
        <v>1.38</v>
      </c>
      <c r="M50">
        <v>1.41</v>
      </c>
      <c r="N50">
        <v>1.37</v>
      </c>
      <c r="O50">
        <v>1.1499999999999999</v>
      </c>
      <c r="P50">
        <v>1.1100000000000001</v>
      </c>
      <c r="Q50">
        <v>1.33</v>
      </c>
      <c r="R50">
        <v>1.37</v>
      </c>
      <c r="S50">
        <v>1.0900000000000001</v>
      </c>
      <c r="T50">
        <v>3740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5</v>
      </c>
      <c r="G51">
        <v>26</v>
      </c>
      <c r="H51">
        <v>7</v>
      </c>
      <c r="I51">
        <v>16</v>
      </c>
      <c r="J51">
        <v>1.22</v>
      </c>
      <c r="K51">
        <v>1.25</v>
      </c>
      <c r="L51">
        <v>1.43</v>
      </c>
      <c r="M51">
        <v>1.48</v>
      </c>
      <c r="N51">
        <v>1.24</v>
      </c>
      <c r="O51">
        <v>1</v>
      </c>
      <c r="P51">
        <v>1.07</v>
      </c>
      <c r="Q51">
        <v>1.25</v>
      </c>
      <c r="R51">
        <v>1.34</v>
      </c>
      <c r="S51">
        <v>1.27</v>
      </c>
      <c r="T51">
        <v>3730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5</v>
      </c>
      <c r="G52">
        <v>26</v>
      </c>
      <c r="H52">
        <v>7</v>
      </c>
      <c r="I52">
        <v>12</v>
      </c>
      <c r="J52">
        <v>1.04</v>
      </c>
      <c r="K52">
        <v>0.89</v>
      </c>
      <c r="L52">
        <v>0.88</v>
      </c>
      <c r="M52">
        <v>0.91</v>
      </c>
      <c r="N52">
        <v>0.92</v>
      </c>
      <c r="O52">
        <v>0.91</v>
      </c>
      <c r="P52">
        <v>0.99</v>
      </c>
      <c r="Q52">
        <v>1.1100000000000001</v>
      </c>
      <c r="R52">
        <v>1.32</v>
      </c>
      <c r="S52">
        <v>1.22</v>
      </c>
      <c r="T52">
        <v>3745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5</v>
      </c>
      <c r="G53">
        <v>26</v>
      </c>
      <c r="H53">
        <v>7</v>
      </c>
      <c r="I53">
        <v>21</v>
      </c>
      <c r="J53">
        <v>1.42</v>
      </c>
      <c r="K53">
        <v>1.34</v>
      </c>
      <c r="L53">
        <v>1.38</v>
      </c>
      <c r="M53">
        <v>1.35</v>
      </c>
      <c r="N53">
        <v>1.26</v>
      </c>
      <c r="O53">
        <v>1.1299999999999999</v>
      </c>
      <c r="P53">
        <v>1.1499999999999999</v>
      </c>
      <c r="Q53">
        <v>1.2</v>
      </c>
      <c r="R53">
        <v>1.32</v>
      </c>
      <c r="S53">
        <v>1.17</v>
      </c>
      <c r="T53">
        <v>3727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5</v>
      </c>
      <c r="G54">
        <v>26</v>
      </c>
      <c r="H54">
        <v>7</v>
      </c>
      <c r="I54">
        <v>34</v>
      </c>
      <c r="J54">
        <v>1.21</v>
      </c>
      <c r="K54">
        <v>1.1399999999999999</v>
      </c>
      <c r="L54">
        <v>1.04</v>
      </c>
      <c r="M54">
        <v>1.02</v>
      </c>
      <c r="N54">
        <v>0.95</v>
      </c>
      <c r="O54">
        <v>0.98</v>
      </c>
      <c r="P54">
        <v>1.08</v>
      </c>
      <c r="Q54">
        <v>1.3</v>
      </c>
      <c r="R54">
        <v>1.41</v>
      </c>
      <c r="S54">
        <v>1.23</v>
      </c>
      <c r="T54">
        <v>3729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5</v>
      </c>
      <c r="G55">
        <v>26</v>
      </c>
      <c r="H55">
        <v>7</v>
      </c>
      <c r="I55">
        <v>30</v>
      </c>
      <c r="J55">
        <v>1.18</v>
      </c>
      <c r="K55">
        <v>1.21</v>
      </c>
      <c r="L55">
        <v>1.36</v>
      </c>
      <c r="M55">
        <v>1.43</v>
      </c>
      <c r="N55">
        <v>1.38</v>
      </c>
      <c r="O55">
        <v>1.36</v>
      </c>
      <c r="P55">
        <v>1.37</v>
      </c>
      <c r="Q55">
        <v>1.3</v>
      </c>
      <c r="R55">
        <v>1.41</v>
      </c>
      <c r="S55">
        <v>1.1599999999999999</v>
      </c>
      <c r="T55">
        <v>3733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5</v>
      </c>
      <c r="G56">
        <v>26</v>
      </c>
      <c r="H56">
        <v>7</v>
      </c>
      <c r="I56">
        <v>42</v>
      </c>
      <c r="J56">
        <v>0.94</v>
      </c>
      <c r="K56">
        <v>1.05</v>
      </c>
      <c r="L56">
        <v>1.28</v>
      </c>
      <c r="M56">
        <v>1.4</v>
      </c>
      <c r="N56">
        <v>1.46</v>
      </c>
      <c r="O56">
        <v>1.47</v>
      </c>
      <c r="P56">
        <v>1.5</v>
      </c>
      <c r="Q56">
        <v>1.43</v>
      </c>
      <c r="R56">
        <v>1.34</v>
      </c>
      <c r="S56">
        <v>1.17</v>
      </c>
      <c r="T56">
        <v>3741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5</v>
      </c>
      <c r="G57">
        <v>26</v>
      </c>
      <c r="H57">
        <v>8</v>
      </c>
      <c r="I57">
        <v>4</v>
      </c>
      <c r="J57">
        <v>1.3</v>
      </c>
      <c r="K57">
        <v>1.41</v>
      </c>
      <c r="L57">
        <v>1.57</v>
      </c>
      <c r="M57">
        <v>1.51</v>
      </c>
      <c r="N57">
        <v>1.52</v>
      </c>
      <c r="O57">
        <v>1.56</v>
      </c>
      <c r="P57">
        <v>1.3</v>
      </c>
      <c r="Q57">
        <v>1.34</v>
      </c>
      <c r="R57">
        <v>1.41</v>
      </c>
      <c r="S57">
        <v>1.3</v>
      </c>
      <c r="T57">
        <v>3674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5</v>
      </c>
      <c r="G58">
        <v>26</v>
      </c>
      <c r="H58">
        <v>8</v>
      </c>
      <c r="I58">
        <v>0</v>
      </c>
      <c r="J58">
        <v>1.31</v>
      </c>
      <c r="K58">
        <v>1.32</v>
      </c>
      <c r="L58">
        <v>1.39</v>
      </c>
      <c r="M58">
        <v>1.42</v>
      </c>
      <c r="N58">
        <v>1.53</v>
      </c>
      <c r="O58">
        <v>1.37</v>
      </c>
      <c r="P58">
        <v>1.27</v>
      </c>
      <c r="Q58">
        <v>1.32</v>
      </c>
      <c r="R58">
        <v>1.36</v>
      </c>
      <c r="S58">
        <v>1.2</v>
      </c>
      <c r="T58">
        <v>3720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5</v>
      </c>
      <c r="G59">
        <v>26</v>
      </c>
      <c r="H59">
        <v>7</v>
      </c>
      <c r="I59">
        <v>56</v>
      </c>
      <c r="J59">
        <v>1.33</v>
      </c>
      <c r="K59">
        <v>1.34</v>
      </c>
      <c r="L59">
        <v>1.42</v>
      </c>
      <c r="M59">
        <v>1.28</v>
      </c>
      <c r="N59">
        <v>1.31</v>
      </c>
      <c r="O59">
        <v>1.31</v>
      </c>
      <c r="P59">
        <v>1.37</v>
      </c>
      <c r="Q59">
        <v>1.3</v>
      </c>
      <c r="R59">
        <v>1.32</v>
      </c>
      <c r="S59">
        <v>1.23</v>
      </c>
      <c r="T59">
        <v>3723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5</v>
      </c>
      <c r="G60">
        <v>26</v>
      </c>
      <c r="H60">
        <v>7</v>
      </c>
      <c r="I60">
        <v>51</v>
      </c>
      <c r="J60">
        <v>1.1299999999999999</v>
      </c>
      <c r="K60">
        <v>1.17</v>
      </c>
      <c r="L60">
        <v>1.48</v>
      </c>
      <c r="M60">
        <v>1.44</v>
      </c>
      <c r="N60">
        <v>1.46</v>
      </c>
      <c r="O60">
        <v>1.42</v>
      </c>
      <c r="P60">
        <v>1.47</v>
      </c>
      <c r="Q60">
        <v>1.31</v>
      </c>
      <c r="R60">
        <v>1.29</v>
      </c>
      <c r="S60">
        <v>1.1399999999999999</v>
      </c>
      <c r="T60">
        <v>3740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5</v>
      </c>
      <c r="G61">
        <v>26</v>
      </c>
      <c r="H61">
        <v>8</v>
      </c>
      <c r="I61">
        <v>1</v>
      </c>
      <c r="J61">
        <v>1.51</v>
      </c>
      <c r="K61">
        <v>1.48</v>
      </c>
      <c r="L61">
        <v>1.51</v>
      </c>
      <c r="M61">
        <v>1.54</v>
      </c>
      <c r="N61">
        <v>1.4</v>
      </c>
      <c r="O61">
        <v>1.44</v>
      </c>
      <c r="P61">
        <v>1.31</v>
      </c>
      <c r="Q61">
        <v>1.36</v>
      </c>
      <c r="R61">
        <v>1.44</v>
      </c>
      <c r="S61">
        <v>1.35</v>
      </c>
      <c r="T61">
        <v>3691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5</v>
      </c>
      <c r="G62">
        <v>26</v>
      </c>
      <c r="H62">
        <v>8</v>
      </c>
      <c r="I62">
        <v>14</v>
      </c>
      <c r="J62">
        <v>1.43</v>
      </c>
      <c r="K62">
        <v>1.4</v>
      </c>
      <c r="L62">
        <v>1.52</v>
      </c>
      <c r="M62">
        <v>1.57</v>
      </c>
      <c r="N62">
        <v>1.63</v>
      </c>
      <c r="O62">
        <v>1.58</v>
      </c>
      <c r="P62">
        <v>1.49</v>
      </c>
      <c r="Q62">
        <v>1.35</v>
      </c>
      <c r="R62">
        <v>1.39</v>
      </c>
      <c r="S62">
        <v>1.32</v>
      </c>
      <c r="T62">
        <v>3710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5</v>
      </c>
      <c r="G63">
        <v>26</v>
      </c>
      <c r="H63">
        <v>8</v>
      </c>
      <c r="I63">
        <v>10</v>
      </c>
      <c r="J63">
        <v>1.37</v>
      </c>
      <c r="K63">
        <v>1.37</v>
      </c>
      <c r="L63">
        <v>1.44</v>
      </c>
      <c r="M63">
        <v>1.55</v>
      </c>
      <c r="N63">
        <v>1.54</v>
      </c>
      <c r="O63">
        <v>1.51</v>
      </c>
      <c r="P63">
        <v>1.4</v>
      </c>
      <c r="Q63">
        <v>1.24</v>
      </c>
      <c r="R63">
        <v>1.27</v>
      </c>
      <c r="S63">
        <v>1.1100000000000001</v>
      </c>
      <c r="T63">
        <v>3689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5</v>
      </c>
      <c r="G64">
        <v>26</v>
      </c>
      <c r="H64">
        <v>8</v>
      </c>
      <c r="I64">
        <v>23</v>
      </c>
      <c r="J64">
        <v>1.43</v>
      </c>
      <c r="K64">
        <v>1.4</v>
      </c>
      <c r="L64">
        <v>1.39</v>
      </c>
      <c r="M64">
        <v>1.51</v>
      </c>
      <c r="N64">
        <v>1.56</v>
      </c>
      <c r="O64">
        <v>1.57</v>
      </c>
      <c r="P64">
        <v>1.52</v>
      </c>
      <c r="Q64">
        <v>1.4</v>
      </c>
      <c r="R64">
        <v>1.31</v>
      </c>
      <c r="S64">
        <v>1.32</v>
      </c>
      <c r="T64">
        <v>3690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5</v>
      </c>
      <c r="G65">
        <v>26</v>
      </c>
      <c r="H65">
        <v>8</v>
      </c>
      <c r="I65">
        <v>43</v>
      </c>
      <c r="J65">
        <v>1.1299999999999999</v>
      </c>
      <c r="K65">
        <v>0.98</v>
      </c>
      <c r="L65">
        <v>1.07</v>
      </c>
      <c r="M65">
        <v>1.26</v>
      </c>
      <c r="N65">
        <v>1.34</v>
      </c>
      <c r="O65">
        <v>1.22</v>
      </c>
      <c r="P65">
        <v>1.23</v>
      </c>
      <c r="Q65">
        <v>1.31</v>
      </c>
      <c r="R65">
        <v>1.4</v>
      </c>
      <c r="S65">
        <v>1.25</v>
      </c>
      <c r="T65">
        <v>3676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5</v>
      </c>
      <c r="G66">
        <v>26</v>
      </c>
      <c r="H66">
        <v>8</v>
      </c>
      <c r="I66">
        <v>37</v>
      </c>
      <c r="J66">
        <v>1.41</v>
      </c>
      <c r="K66">
        <v>1.44</v>
      </c>
      <c r="L66">
        <v>1.5</v>
      </c>
      <c r="M66">
        <v>1.24</v>
      </c>
      <c r="N66">
        <v>1.37</v>
      </c>
      <c r="O66">
        <v>1.48</v>
      </c>
      <c r="P66">
        <v>1.28</v>
      </c>
      <c r="Q66">
        <v>1.29</v>
      </c>
      <c r="R66">
        <v>1.43</v>
      </c>
      <c r="S66">
        <v>1.3</v>
      </c>
      <c r="T66">
        <v>3693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5</v>
      </c>
      <c r="G67">
        <v>26</v>
      </c>
      <c r="H67">
        <v>8</v>
      </c>
      <c r="I67">
        <v>32</v>
      </c>
      <c r="J67">
        <v>1.48</v>
      </c>
      <c r="K67">
        <v>1.34</v>
      </c>
      <c r="L67">
        <v>1.31</v>
      </c>
      <c r="M67">
        <v>1.25</v>
      </c>
      <c r="N67">
        <v>1.31</v>
      </c>
      <c r="O67">
        <v>1.31</v>
      </c>
      <c r="P67">
        <v>1.1499999999999999</v>
      </c>
      <c r="Q67">
        <v>1.17</v>
      </c>
      <c r="R67">
        <v>1.26</v>
      </c>
      <c r="S67">
        <v>1.21</v>
      </c>
      <c r="T67">
        <v>3677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5</v>
      </c>
      <c r="G68">
        <v>26</v>
      </c>
      <c r="H68">
        <v>8</v>
      </c>
      <c r="I68">
        <v>27</v>
      </c>
      <c r="J68">
        <v>1.54</v>
      </c>
      <c r="K68">
        <v>1.47</v>
      </c>
      <c r="L68">
        <v>1.28</v>
      </c>
      <c r="M68">
        <v>1.38</v>
      </c>
      <c r="N68">
        <v>1.48</v>
      </c>
      <c r="O68">
        <v>1.43</v>
      </c>
      <c r="P68">
        <v>1.33</v>
      </c>
      <c r="Q68">
        <v>1.19</v>
      </c>
      <c r="R68">
        <v>1.27</v>
      </c>
      <c r="S68">
        <v>1.25</v>
      </c>
      <c r="T68">
        <v>3713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18.999449999999996</v>
      </c>
      <c r="K73">
        <f t="shared" ref="K73:R73" si="0">22.275*K45-6.1713</f>
        <v>20.78145</v>
      </c>
      <c r="L73">
        <f t="shared" si="0"/>
        <v>23.454450000000001</v>
      </c>
      <c r="M73">
        <f t="shared" si="0"/>
        <v>25.904699999999995</v>
      </c>
      <c r="N73">
        <f t="shared" si="0"/>
        <v>25.013699999999996</v>
      </c>
      <c r="O73">
        <f t="shared" si="0"/>
        <v>27.018449999999998</v>
      </c>
      <c r="P73">
        <f t="shared" si="0"/>
        <v>27.909450000000003</v>
      </c>
      <c r="Q73">
        <f t="shared" si="0"/>
        <v>25.904699999999995</v>
      </c>
      <c r="R73">
        <f t="shared" si="0"/>
        <v>26.7957</v>
      </c>
      <c r="S73">
        <f>22.275*(S45*1.1)-6.1713</f>
        <v>25.436925000000006</v>
      </c>
    </row>
    <row r="74" spans="1:20" x14ac:dyDescent="0.25">
      <c r="I74" t="s">
        <v>43</v>
      </c>
      <c r="J74">
        <f t="shared" ref="J74:R89" si="1">22.275*J46-6.1713</f>
        <v>22.11795</v>
      </c>
      <c r="K74">
        <f t="shared" si="1"/>
        <v>23.2317</v>
      </c>
      <c r="L74">
        <f t="shared" si="1"/>
        <v>19.890449999999998</v>
      </c>
      <c r="M74">
        <f t="shared" si="1"/>
        <v>21.226949999999999</v>
      </c>
      <c r="N74">
        <f t="shared" si="1"/>
        <v>20.335949999999997</v>
      </c>
      <c r="O74">
        <f t="shared" si="1"/>
        <v>21.672450000000001</v>
      </c>
      <c r="P74">
        <f t="shared" si="1"/>
        <v>20.558699999999998</v>
      </c>
      <c r="Q74">
        <f t="shared" si="1"/>
        <v>24.345450000000003</v>
      </c>
      <c r="R74">
        <f t="shared" si="1"/>
        <v>25.013699999999996</v>
      </c>
      <c r="S74">
        <f t="shared" ref="S74:S91" si="2">22.275*(S46*1.1)-6.1713</f>
        <v>22.496624999999998</v>
      </c>
    </row>
    <row r="75" spans="1:20" x14ac:dyDescent="0.25">
      <c r="I75" t="s">
        <v>44</v>
      </c>
      <c r="J75">
        <f t="shared" si="1"/>
        <v>21.004199999999997</v>
      </c>
      <c r="K75">
        <f t="shared" si="1"/>
        <v>20.335949999999997</v>
      </c>
      <c r="L75">
        <f t="shared" si="1"/>
        <v>21.672450000000001</v>
      </c>
      <c r="M75">
        <f t="shared" si="1"/>
        <v>25.459199999999999</v>
      </c>
      <c r="N75">
        <f t="shared" si="1"/>
        <v>26.350199999999997</v>
      </c>
      <c r="O75">
        <f t="shared" si="1"/>
        <v>26.350199999999997</v>
      </c>
      <c r="P75">
        <f t="shared" si="1"/>
        <v>25.904699999999995</v>
      </c>
      <c r="Q75">
        <f t="shared" si="1"/>
        <v>23.677200000000003</v>
      </c>
      <c r="R75">
        <f t="shared" si="1"/>
        <v>25.013699999999996</v>
      </c>
      <c r="S75">
        <f t="shared" si="2"/>
        <v>24.2118</v>
      </c>
    </row>
    <row r="76" spans="1:20" x14ac:dyDescent="0.25">
      <c r="I76" t="s">
        <v>45</v>
      </c>
      <c r="J76">
        <f t="shared" si="1"/>
        <v>26.7957</v>
      </c>
      <c r="K76">
        <f t="shared" si="1"/>
        <v>26.350199999999997</v>
      </c>
      <c r="L76">
        <f t="shared" si="1"/>
        <v>27.241199999999996</v>
      </c>
      <c r="M76">
        <f t="shared" si="1"/>
        <v>26.572949999999995</v>
      </c>
      <c r="N76">
        <f t="shared" si="1"/>
        <v>24.568199999999997</v>
      </c>
      <c r="O76">
        <f t="shared" si="1"/>
        <v>24.122700000000002</v>
      </c>
      <c r="P76">
        <f t="shared" si="1"/>
        <v>27.686699999999998</v>
      </c>
      <c r="Q76">
        <f t="shared" si="1"/>
        <v>25.681949999999997</v>
      </c>
      <c r="R76">
        <f t="shared" si="1"/>
        <v>24.568199999999997</v>
      </c>
      <c r="S76">
        <f t="shared" si="2"/>
        <v>22.496624999999998</v>
      </c>
    </row>
    <row r="77" spans="1:20" x14ac:dyDescent="0.25">
      <c r="I77" t="s">
        <v>46</v>
      </c>
      <c r="J77">
        <f t="shared" si="1"/>
        <v>26.572949999999995</v>
      </c>
      <c r="K77">
        <f t="shared" si="1"/>
        <v>24.790949999999999</v>
      </c>
      <c r="L77">
        <f t="shared" si="1"/>
        <v>25.236449999999998</v>
      </c>
      <c r="M77">
        <f t="shared" si="1"/>
        <v>25.236449999999998</v>
      </c>
      <c r="N77">
        <f t="shared" si="1"/>
        <v>25.904699999999995</v>
      </c>
      <c r="O77">
        <f t="shared" si="1"/>
        <v>26.12745</v>
      </c>
      <c r="P77">
        <f t="shared" si="1"/>
        <v>22.56345</v>
      </c>
      <c r="Q77">
        <f t="shared" si="1"/>
        <v>25.236449999999998</v>
      </c>
      <c r="R77">
        <f t="shared" si="1"/>
        <v>26.572949999999995</v>
      </c>
      <c r="S77">
        <f t="shared" si="2"/>
        <v>27.642149999999997</v>
      </c>
    </row>
    <row r="78" spans="1:20" x14ac:dyDescent="0.25">
      <c r="I78" t="s">
        <v>47</v>
      </c>
      <c r="J78">
        <f t="shared" si="1"/>
        <v>25.681949999999997</v>
      </c>
      <c r="K78">
        <f t="shared" si="1"/>
        <v>23.89995</v>
      </c>
      <c r="L78">
        <f t="shared" si="1"/>
        <v>24.568199999999997</v>
      </c>
      <c r="M78">
        <f t="shared" si="1"/>
        <v>25.236449999999998</v>
      </c>
      <c r="N78">
        <f t="shared" si="1"/>
        <v>24.345450000000003</v>
      </c>
      <c r="O78">
        <f t="shared" si="1"/>
        <v>19.444949999999999</v>
      </c>
      <c r="P78">
        <f t="shared" si="1"/>
        <v>18.55395</v>
      </c>
      <c r="Q78">
        <f t="shared" si="1"/>
        <v>23.454450000000001</v>
      </c>
      <c r="R78">
        <f t="shared" si="1"/>
        <v>24.345450000000003</v>
      </c>
      <c r="S78">
        <f t="shared" si="2"/>
        <v>20.536425000000005</v>
      </c>
    </row>
    <row r="79" spans="1:20" x14ac:dyDescent="0.25">
      <c r="I79" t="s">
        <v>48</v>
      </c>
      <c r="J79">
        <f t="shared" si="1"/>
        <v>21.004199999999997</v>
      </c>
      <c r="K79">
        <f t="shared" si="1"/>
        <v>21.672450000000001</v>
      </c>
      <c r="L79">
        <f t="shared" si="1"/>
        <v>25.681949999999997</v>
      </c>
      <c r="M79">
        <f t="shared" si="1"/>
        <v>26.7957</v>
      </c>
      <c r="N79">
        <f t="shared" si="1"/>
        <v>21.4497</v>
      </c>
      <c r="O79">
        <f t="shared" si="1"/>
        <v>16.1037</v>
      </c>
      <c r="P79">
        <f t="shared" si="1"/>
        <v>17.662950000000002</v>
      </c>
      <c r="Q79">
        <f t="shared" si="1"/>
        <v>21.672450000000001</v>
      </c>
      <c r="R79">
        <f t="shared" si="1"/>
        <v>23.677200000000003</v>
      </c>
      <c r="S79">
        <f t="shared" si="2"/>
        <v>24.946875000000006</v>
      </c>
    </row>
    <row r="80" spans="1:20" x14ac:dyDescent="0.25">
      <c r="I80" t="s">
        <v>49</v>
      </c>
      <c r="J80">
        <f t="shared" si="1"/>
        <v>16.994700000000002</v>
      </c>
      <c r="K80">
        <f t="shared" si="1"/>
        <v>13.653449999999999</v>
      </c>
      <c r="L80">
        <f t="shared" si="1"/>
        <v>13.430700000000002</v>
      </c>
      <c r="M80">
        <f t="shared" si="1"/>
        <v>14.098950000000002</v>
      </c>
      <c r="N80">
        <f t="shared" si="1"/>
        <v>14.3217</v>
      </c>
      <c r="O80">
        <f t="shared" si="1"/>
        <v>14.098950000000002</v>
      </c>
      <c r="P80">
        <f t="shared" si="1"/>
        <v>15.880949999999999</v>
      </c>
      <c r="Q80">
        <f t="shared" si="1"/>
        <v>18.55395</v>
      </c>
      <c r="R80">
        <f t="shared" si="1"/>
        <v>23.2317</v>
      </c>
      <c r="S80">
        <f t="shared" si="2"/>
        <v>23.72175</v>
      </c>
    </row>
    <row r="81" spans="9:19" x14ac:dyDescent="0.25">
      <c r="I81" t="s">
        <v>50</v>
      </c>
      <c r="J81">
        <f t="shared" si="1"/>
        <v>25.459199999999999</v>
      </c>
      <c r="K81">
        <f t="shared" si="1"/>
        <v>23.677200000000003</v>
      </c>
      <c r="L81">
        <f t="shared" si="1"/>
        <v>24.568199999999997</v>
      </c>
      <c r="M81">
        <f t="shared" si="1"/>
        <v>23.89995</v>
      </c>
      <c r="N81">
        <f t="shared" si="1"/>
        <v>21.895199999999999</v>
      </c>
      <c r="O81">
        <f t="shared" si="1"/>
        <v>18.999449999999996</v>
      </c>
      <c r="P81">
        <f t="shared" si="1"/>
        <v>19.444949999999999</v>
      </c>
      <c r="Q81">
        <f t="shared" si="1"/>
        <v>20.558699999999998</v>
      </c>
      <c r="R81">
        <f t="shared" si="1"/>
        <v>23.2317</v>
      </c>
      <c r="S81">
        <f t="shared" si="2"/>
        <v>22.496624999999998</v>
      </c>
    </row>
    <row r="82" spans="9:19" x14ac:dyDescent="0.25">
      <c r="I82" t="s">
        <v>51</v>
      </c>
      <c r="J82">
        <f t="shared" si="1"/>
        <v>20.78145</v>
      </c>
      <c r="K82">
        <f t="shared" si="1"/>
        <v>19.222199999999997</v>
      </c>
      <c r="L82">
        <f t="shared" si="1"/>
        <v>16.994700000000002</v>
      </c>
      <c r="M82">
        <f t="shared" si="1"/>
        <v>16.549199999999999</v>
      </c>
      <c r="N82">
        <f t="shared" si="1"/>
        <v>14.98995</v>
      </c>
      <c r="O82">
        <f t="shared" si="1"/>
        <v>15.658200000000001</v>
      </c>
      <c r="P82">
        <f t="shared" si="1"/>
        <v>17.8857</v>
      </c>
      <c r="Q82">
        <f t="shared" si="1"/>
        <v>22.786200000000001</v>
      </c>
      <c r="R82">
        <f t="shared" si="1"/>
        <v>25.236449999999998</v>
      </c>
      <c r="S82">
        <f t="shared" si="2"/>
        <v>23.966774999999998</v>
      </c>
    </row>
    <row r="83" spans="9:19" x14ac:dyDescent="0.25">
      <c r="I83" t="s">
        <v>52</v>
      </c>
      <c r="J83">
        <f t="shared" si="1"/>
        <v>20.113199999999999</v>
      </c>
      <c r="K83">
        <f t="shared" si="1"/>
        <v>20.78145</v>
      </c>
      <c r="L83">
        <f t="shared" si="1"/>
        <v>24.122700000000002</v>
      </c>
      <c r="M83">
        <f t="shared" si="1"/>
        <v>25.681949999999997</v>
      </c>
      <c r="N83">
        <f t="shared" si="1"/>
        <v>24.568199999999997</v>
      </c>
      <c r="O83">
        <f t="shared" si="1"/>
        <v>24.122700000000002</v>
      </c>
      <c r="P83">
        <f t="shared" si="1"/>
        <v>24.345450000000003</v>
      </c>
      <c r="Q83">
        <f t="shared" si="1"/>
        <v>22.786200000000001</v>
      </c>
      <c r="R83">
        <f t="shared" si="1"/>
        <v>25.236449999999998</v>
      </c>
      <c r="S83">
        <f t="shared" si="2"/>
        <v>22.2516</v>
      </c>
    </row>
    <row r="84" spans="9:19" x14ac:dyDescent="0.25">
      <c r="I84" t="s">
        <v>53</v>
      </c>
      <c r="J84">
        <f t="shared" si="1"/>
        <v>14.767199999999999</v>
      </c>
      <c r="K84">
        <f t="shared" si="1"/>
        <v>17.217449999999999</v>
      </c>
      <c r="L84">
        <f t="shared" si="1"/>
        <v>22.340700000000002</v>
      </c>
      <c r="M84">
        <f t="shared" si="1"/>
        <v>25.013699999999996</v>
      </c>
      <c r="N84">
        <f t="shared" si="1"/>
        <v>26.350199999999997</v>
      </c>
      <c r="O84">
        <f t="shared" si="1"/>
        <v>26.572949999999995</v>
      </c>
      <c r="P84">
        <f t="shared" si="1"/>
        <v>27.241199999999996</v>
      </c>
      <c r="Q84">
        <f t="shared" si="1"/>
        <v>25.681949999999997</v>
      </c>
      <c r="R84">
        <f t="shared" si="1"/>
        <v>23.677200000000003</v>
      </c>
      <c r="S84">
        <f t="shared" si="2"/>
        <v>22.496624999999998</v>
      </c>
    </row>
    <row r="85" spans="9:19" x14ac:dyDescent="0.25">
      <c r="I85" t="s">
        <v>54</v>
      </c>
      <c r="J85">
        <f t="shared" si="1"/>
        <v>22.786200000000001</v>
      </c>
      <c r="K85">
        <f t="shared" si="1"/>
        <v>25.236449999999998</v>
      </c>
      <c r="L85">
        <f t="shared" si="1"/>
        <v>28.800450000000001</v>
      </c>
      <c r="M85">
        <f t="shared" si="1"/>
        <v>27.463950000000001</v>
      </c>
      <c r="N85">
        <f t="shared" si="1"/>
        <v>27.686699999999998</v>
      </c>
      <c r="O85">
        <f t="shared" si="1"/>
        <v>28.577700000000004</v>
      </c>
      <c r="P85">
        <f t="shared" si="1"/>
        <v>22.786200000000001</v>
      </c>
      <c r="Q85">
        <f t="shared" si="1"/>
        <v>23.677200000000003</v>
      </c>
      <c r="R85">
        <f t="shared" si="1"/>
        <v>25.236449999999998</v>
      </c>
      <c r="S85">
        <f t="shared" si="2"/>
        <v>25.681950000000004</v>
      </c>
    </row>
    <row r="86" spans="9:19" x14ac:dyDescent="0.25">
      <c r="I86" t="s">
        <v>55</v>
      </c>
      <c r="J86">
        <f t="shared" si="1"/>
        <v>23.008950000000002</v>
      </c>
      <c r="K86">
        <f t="shared" si="1"/>
        <v>23.2317</v>
      </c>
      <c r="L86">
        <f t="shared" si="1"/>
        <v>24.790949999999999</v>
      </c>
      <c r="M86">
        <f t="shared" si="1"/>
        <v>25.459199999999999</v>
      </c>
      <c r="N86">
        <f t="shared" si="1"/>
        <v>27.909450000000003</v>
      </c>
      <c r="O86">
        <f t="shared" si="1"/>
        <v>24.345450000000003</v>
      </c>
      <c r="P86">
        <f t="shared" si="1"/>
        <v>22.11795</v>
      </c>
      <c r="Q86">
        <f t="shared" si="1"/>
        <v>23.2317</v>
      </c>
      <c r="R86">
        <f t="shared" si="1"/>
        <v>24.122700000000002</v>
      </c>
      <c r="S86">
        <f t="shared" si="2"/>
        <v>23.2317</v>
      </c>
    </row>
    <row r="87" spans="9:19" x14ac:dyDescent="0.25">
      <c r="I87" t="s">
        <v>56</v>
      </c>
      <c r="J87">
        <f t="shared" si="1"/>
        <v>23.454450000000001</v>
      </c>
      <c r="K87">
        <f t="shared" si="1"/>
        <v>23.677200000000003</v>
      </c>
      <c r="L87">
        <f t="shared" si="1"/>
        <v>25.459199999999999</v>
      </c>
      <c r="M87">
        <f t="shared" si="1"/>
        <v>22.340700000000002</v>
      </c>
      <c r="N87">
        <f t="shared" si="1"/>
        <v>23.008950000000002</v>
      </c>
      <c r="O87">
        <f t="shared" si="1"/>
        <v>23.008950000000002</v>
      </c>
      <c r="P87">
        <f t="shared" si="1"/>
        <v>24.345450000000003</v>
      </c>
      <c r="Q87">
        <f t="shared" si="1"/>
        <v>22.786200000000001</v>
      </c>
      <c r="R87">
        <f t="shared" si="1"/>
        <v>23.2317</v>
      </c>
      <c r="S87">
        <f t="shared" si="2"/>
        <v>23.966774999999998</v>
      </c>
    </row>
    <row r="88" spans="9:19" x14ac:dyDescent="0.25">
      <c r="I88" t="s">
        <v>57</v>
      </c>
      <c r="J88">
        <f t="shared" si="1"/>
        <v>18.999449999999996</v>
      </c>
      <c r="K88">
        <f t="shared" si="1"/>
        <v>19.890449999999998</v>
      </c>
      <c r="L88">
        <f t="shared" si="1"/>
        <v>26.7957</v>
      </c>
      <c r="M88">
        <f t="shared" si="1"/>
        <v>25.904699999999995</v>
      </c>
      <c r="N88">
        <f t="shared" si="1"/>
        <v>26.350199999999997</v>
      </c>
      <c r="O88">
        <f t="shared" si="1"/>
        <v>25.459199999999999</v>
      </c>
      <c r="P88">
        <f t="shared" si="1"/>
        <v>26.572949999999995</v>
      </c>
      <c r="Q88">
        <f t="shared" si="1"/>
        <v>23.008950000000002</v>
      </c>
      <c r="R88">
        <f t="shared" si="1"/>
        <v>22.56345</v>
      </c>
      <c r="S88">
        <f t="shared" si="2"/>
        <v>21.76155</v>
      </c>
    </row>
    <row r="89" spans="9:19" x14ac:dyDescent="0.25">
      <c r="I89" t="s">
        <v>58</v>
      </c>
      <c r="J89">
        <f t="shared" si="1"/>
        <v>27.463950000000001</v>
      </c>
      <c r="K89">
        <f t="shared" si="1"/>
        <v>26.7957</v>
      </c>
      <c r="L89">
        <f t="shared" si="1"/>
        <v>27.463950000000001</v>
      </c>
      <c r="M89">
        <f t="shared" si="1"/>
        <v>28.132200000000001</v>
      </c>
      <c r="N89">
        <f t="shared" si="1"/>
        <v>25.013699999999996</v>
      </c>
      <c r="O89">
        <f t="shared" si="1"/>
        <v>25.904699999999995</v>
      </c>
      <c r="P89">
        <f t="shared" si="1"/>
        <v>23.008950000000002</v>
      </c>
      <c r="Q89">
        <f t="shared" si="1"/>
        <v>24.122700000000002</v>
      </c>
      <c r="R89">
        <f t="shared" si="1"/>
        <v>25.904699999999995</v>
      </c>
      <c r="S89">
        <f t="shared" si="2"/>
        <v>26.90707500000001</v>
      </c>
    </row>
    <row r="90" spans="9:19" x14ac:dyDescent="0.25">
      <c r="I90" t="s">
        <v>59</v>
      </c>
      <c r="J90">
        <f t="shared" ref="J90:R96" si="3">22.275*J62-6.1713</f>
        <v>25.681949999999997</v>
      </c>
      <c r="K90">
        <f t="shared" si="3"/>
        <v>25.013699999999996</v>
      </c>
      <c r="L90">
        <f t="shared" si="3"/>
        <v>27.686699999999998</v>
      </c>
      <c r="M90">
        <f t="shared" si="3"/>
        <v>28.800450000000001</v>
      </c>
      <c r="N90">
        <f t="shared" si="3"/>
        <v>30.136949999999995</v>
      </c>
      <c r="O90">
        <f t="shared" si="3"/>
        <v>29.023199999999999</v>
      </c>
      <c r="P90">
        <f t="shared" si="3"/>
        <v>27.018449999999998</v>
      </c>
      <c r="Q90">
        <f t="shared" si="3"/>
        <v>23.89995</v>
      </c>
      <c r="R90">
        <f t="shared" si="3"/>
        <v>24.790949999999999</v>
      </c>
      <c r="S90">
        <f t="shared" si="2"/>
        <v>26.172000000000001</v>
      </c>
    </row>
    <row r="91" spans="9:19" x14ac:dyDescent="0.25">
      <c r="I91" t="s">
        <v>60</v>
      </c>
      <c r="J91">
        <f t="shared" si="3"/>
        <v>24.345450000000003</v>
      </c>
      <c r="K91">
        <f t="shared" si="3"/>
        <v>24.345450000000003</v>
      </c>
      <c r="L91">
        <f t="shared" si="3"/>
        <v>25.904699999999995</v>
      </c>
      <c r="M91">
        <f t="shared" si="3"/>
        <v>28.354949999999999</v>
      </c>
      <c r="N91">
        <f t="shared" si="3"/>
        <v>28.132200000000001</v>
      </c>
      <c r="O91">
        <f t="shared" si="3"/>
        <v>27.463950000000001</v>
      </c>
      <c r="P91">
        <f t="shared" si="3"/>
        <v>25.013699999999996</v>
      </c>
      <c r="Q91">
        <f t="shared" si="3"/>
        <v>21.4497</v>
      </c>
      <c r="R91">
        <f t="shared" si="3"/>
        <v>22.11795</v>
      </c>
      <c r="S91">
        <f t="shared" si="2"/>
        <v>21.026475000000005</v>
      </c>
    </row>
    <row r="92" spans="9:19" x14ac:dyDescent="0.25">
      <c r="I92" t="s">
        <v>61</v>
      </c>
      <c r="J92">
        <f t="shared" si="3"/>
        <v>25.681949999999997</v>
      </c>
      <c r="K92">
        <f t="shared" si="3"/>
        <v>25.013699999999996</v>
      </c>
      <c r="L92">
        <f t="shared" si="3"/>
        <v>24.790949999999999</v>
      </c>
      <c r="M92">
        <f t="shared" si="3"/>
        <v>27.463950000000001</v>
      </c>
      <c r="N92">
        <f t="shared" si="3"/>
        <v>28.577700000000004</v>
      </c>
      <c r="O92">
        <f t="shared" si="3"/>
        <v>28.800450000000001</v>
      </c>
      <c r="P92">
        <f t="shared" si="3"/>
        <v>27.686699999999998</v>
      </c>
      <c r="Q92">
        <f t="shared" si="3"/>
        <v>25.013699999999996</v>
      </c>
      <c r="R92">
        <f t="shared" si="3"/>
        <v>23.008950000000002</v>
      </c>
      <c r="S92">
        <f>22.275*(S64*1.1)-6.1713</f>
        <v>26.172000000000001</v>
      </c>
    </row>
    <row r="93" spans="9:19" x14ac:dyDescent="0.25">
      <c r="I93" t="s">
        <v>62</v>
      </c>
      <c r="J93">
        <f t="shared" si="3"/>
        <v>18.999449999999996</v>
      </c>
      <c r="K93">
        <f t="shared" si="3"/>
        <v>15.658200000000001</v>
      </c>
      <c r="L93">
        <f t="shared" si="3"/>
        <v>17.662950000000002</v>
      </c>
      <c r="M93">
        <f t="shared" si="3"/>
        <v>21.895199999999999</v>
      </c>
      <c r="N93">
        <f t="shared" si="3"/>
        <v>23.677200000000003</v>
      </c>
      <c r="O93">
        <f t="shared" si="3"/>
        <v>21.004199999999997</v>
      </c>
      <c r="P93">
        <f t="shared" si="3"/>
        <v>21.226949999999999</v>
      </c>
      <c r="Q93">
        <f t="shared" si="3"/>
        <v>23.008950000000002</v>
      </c>
      <c r="R93">
        <f t="shared" si="3"/>
        <v>25.013699999999996</v>
      </c>
      <c r="S93">
        <f t="shared" ref="S93:S95" si="4">22.275*(S65*1.1)-6.1713</f>
        <v>24.456824999999998</v>
      </c>
    </row>
    <row r="94" spans="9:19" x14ac:dyDescent="0.25">
      <c r="I94" t="s">
        <v>63</v>
      </c>
      <c r="J94">
        <f t="shared" si="3"/>
        <v>25.236449999999998</v>
      </c>
      <c r="K94">
        <f t="shared" si="3"/>
        <v>25.904699999999995</v>
      </c>
      <c r="L94">
        <f t="shared" si="3"/>
        <v>27.241199999999996</v>
      </c>
      <c r="M94">
        <f t="shared" si="3"/>
        <v>21.4497</v>
      </c>
      <c r="N94">
        <f t="shared" si="3"/>
        <v>24.345450000000003</v>
      </c>
      <c r="O94">
        <f t="shared" si="3"/>
        <v>26.7957</v>
      </c>
      <c r="P94">
        <f t="shared" si="3"/>
        <v>22.340700000000002</v>
      </c>
      <c r="Q94">
        <f t="shared" si="3"/>
        <v>22.56345</v>
      </c>
      <c r="R94">
        <f t="shared" si="3"/>
        <v>25.681949999999997</v>
      </c>
      <c r="S94">
        <f t="shared" si="4"/>
        <v>25.681950000000004</v>
      </c>
    </row>
    <row r="95" spans="9:19" x14ac:dyDescent="0.25">
      <c r="I95" t="s">
        <v>64</v>
      </c>
      <c r="J95">
        <f t="shared" si="3"/>
        <v>26.7957</v>
      </c>
      <c r="K95">
        <f t="shared" si="3"/>
        <v>23.677200000000003</v>
      </c>
      <c r="L95">
        <f t="shared" si="3"/>
        <v>23.008950000000002</v>
      </c>
      <c r="M95">
        <f t="shared" si="3"/>
        <v>21.672450000000001</v>
      </c>
      <c r="N95">
        <f t="shared" si="3"/>
        <v>23.008950000000002</v>
      </c>
      <c r="O95">
        <f t="shared" si="3"/>
        <v>23.008950000000002</v>
      </c>
      <c r="P95">
        <f t="shared" si="3"/>
        <v>19.444949999999999</v>
      </c>
      <c r="Q95">
        <f t="shared" si="3"/>
        <v>19.890449999999998</v>
      </c>
      <c r="R95">
        <f t="shared" si="3"/>
        <v>21.895199999999999</v>
      </c>
      <c r="S95">
        <f t="shared" si="4"/>
        <v>23.476724999999998</v>
      </c>
    </row>
    <row r="96" spans="9:19" x14ac:dyDescent="0.25">
      <c r="I96" t="s">
        <v>65</v>
      </c>
      <c r="J96">
        <f>22.275*J68-6.1713</f>
        <v>28.132200000000001</v>
      </c>
      <c r="K96">
        <f t="shared" si="3"/>
        <v>26.572949999999995</v>
      </c>
      <c r="L96">
        <f t="shared" si="3"/>
        <v>22.340700000000002</v>
      </c>
      <c r="M96">
        <f t="shared" si="3"/>
        <v>24.568199999999997</v>
      </c>
      <c r="N96">
        <f t="shared" si="3"/>
        <v>26.7957</v>
      </c>
      <c r="O96">
        <f t="shared" si="3"/>
        <v>25.681949999999997</v>
      </c>
      <c r="P96">
        <f t="shared" si="3"/>
        <v>23.454450000000001</v>
      </c>
      <c r="Q96">
        <f t="shared" si="3"/>
        <v>20.335949999999997</v>
      </c>
      <c r="R96">
        <f t="shared" si="3"/>
        <v>22.11795</v>
      </c>
      <c r="S96">
        <f>22.275*(S68*1.1)-6.1713</f>
        <v>24.456824999999998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0.18999449999999996</v>
      </c>
      <c r="K101" s="4">
        <f t="shared" si="5"/>
        <v>0.20781449999999999</v>
      </c>
      <c r="L101" s="4">
        <f t="shared" si="5"/>
        <v>0.23454450000000002</v>
      </c>
      <c r="M101" s="4">
        <f t="shared" si="5"/>
        <v>0.25904699999999997</v>
      </c>
      <c r="N101" s="4">
        <f t="shared" si="5"/>
        <v>0.25013699999999994</v>
      </c>
      <c r="O101" s="4">
        <f t="shared" si="5"/>
        <v>0.27018449999999999</v>
      </c>
      <c r="P101" s="4">
        <f t="shared" si="5"/>
        <v>0.27909450000000002</v>
      </c>
      <c r="Q101" s="4">
        <f t="shared" si="5"/>
        <v>0.25904699999999997</v>
      </c>
      <c r="R101" s="4">
        <f t="shared" si="5"/>
        <v>0.267957</v>
      </c>
      <c r="S101" s="4">
        <f t="shared" si="5"/>
        <v>0.25436925000000005</v>
      </c>
    </row>
    <row r="102" spans="9:19" x14ac:dyDescent="0.25">
      <c r="I102">
        <v>12</v>
      </c>
      <c r="J102" s="4">
        <f t="shared" ref="J102:S115" si="6">IF(J74&lt;0,"",J74/100)</f>
        <v>0.2211795</v>
      </c>
      <c r="K102" s="4">
        <f t="shared" si="6"/>
        <v>0.232317</v>
      </c>
      <c r="L102" s="4">
        <f t="shared" si="6"/>
        <v>0.19890449999999998</v>
      </c>
      <c r="M102" s="4">
        <f t="shared" si="6"/>
        <v>0.2122695</v>
      </c>
      <c r="N102" s="4">
        <f t="shared" si="6"/>
        <v>0.20335949999999997</v>
      </c>
      <c r="O102" s="4">
        <f t="shared" si="6"/>
        <v>0.21672450000000001</v>
      </c>
      <c r="P102" s="4">
        <f t="shared" si="6"/>
        <v>0.20558699999999999</v>
      </c>
      <c r="Q102" s="4">
        <f t="shared" si="6"/>
        <v>0.24345450000000002</v>
      </c>
      <c r="R102" s="4">
        <f t="shared" si="6"/>
        <v>0.25013699999999994</v>
      </c>
      <c r="S102" s="4">
        <f t="shared" si="6"/>
        <v>0.22496624999999998</v>
      </c>
    </row>
    <row r="103" spans="9:19" x14ac:dyDescent="0.25">
      <c r="I103">
        <v>13</v>
      </c>
      <c r="J103" s="4">
        <f t="shared" si="6"/>
        <v>0.21004199999999998</v>
      </c>
      <c r="K103" s="4">
        <f t="shared" si="6"/>
        <v>0.20335949999999997</v>
      </c>
      <c r="L103" s="4">
        <f t="shared" si="6"/>
        <v>0.21672450000000001</v>
      </c>
      <c r="M103" s="4">
        <f t="shared" si="6"/>
        <v>0.25459199999999998</v>
      </c>
      <c r="N103" s="4">
        <f t="shared" si="6"/>
        <v>0.26350199999999996</v>
      </c>
      <c r="O103" s="4">
        <f t="shared" si="6"/>
        <v>0.26350199999999996</v>
      </c>
      <c r="P103" s="4">
        <f t="shared" si="6"/>
        <v>0.25904699999999997</v>
      </c>
      <c r="Q103" s="4">
        <f t="shared" si="6"/>
        <v>0.23677200000000004</v>
      </c>
      <c r="R103" s="4">
        <f t="shared" si="6"/>
        <v>0.25013699999999994</v>
      </c>
      <c r="S103" s="4">
        <f t="shared" si="6"/>
        <v>0.242118</v>
      </c>
    </row>
    <row r="104" spans="9:19" x14ac:dyDescent="0.25">
      <c r="I104">
        <v>14</v>
      </c>
      <c r="J104" s="4">
        <f t="shared" si="6"/>
        <v>0.267957</v>
      </c>
      <c r="K104" s="4">
        <f t="shared" si="6"/>
        <v>0.26350199999999996</v>
      </c>
      <c r="L104" s="4">
        <f t="shared" si="6"/>
        <v>0.27241199999999993</v>
      </c>
      <c r="M104" s="4">
        <f t="shared" si="6"/>
        <v>0.26572949999999995</v>
      </c>
      <c r="N104" s="4">
        <f t="shared" si="6"/>
        <v>0.24568199999999998</v>
      </c>
      <c r="O104" s="4">
        <f t="shared" si="6"/>
        <v>0.24122700000000002</v>
      </c>
      <c r="P104" s="4">
        <f t="shared" si="6"/>
        <v>0.27686699999999997</v>
      </c>
      <c r="Q104" s="4">
        <f t="shared" si="6"/>
        <v>0.25681949999999998</v>
      </c>
      <c r="R104" s="4">
        <f t="shared" si="6"/>
        <v>0.24568199999999998</v>
      </c>
      <c r="S104" s="4">
        <f t="shared" si="6"/>
        <v>0.22496624999999998</v>
      </c>
    </row>
    <row r="105" spans="9:19" x14ac:dyDescent="0.25">
      <c r="I105">
        <v>21</v>
      </c>
      <c r="J105" s="4">
        <f t="shared" si="6"/>
        <v>0.26572949999999995</v>
      </c>
      <c r="K105" s="4">
        <f t="shared" si="6"/>
        <v>0.24790949999999998</v>
      </c>
      <c r="L105" s="4">
        <f t="shared" si="6"/>
        <v>0.25236449999999999</v>
      </c>
      <c r="M105" s="4">
        <f t="shared" si="6"/>
        <v>0.25236449999999999</v>
      </c>
      <c r="N105" s="4">
        <f t="shared" si="6"/>
        <v>0.25904699999999997</v>
      </c>
      <c r="O105" s="4">
        <f t="shared" si="6"/>
        <v>0.26127450000000002</v>
      </c>
      <c r="P105" s="4">
        <f t="shared" si="6"/>
        <v>0.22563449999999999</v>
      </c>
      <c r="Q105" s="4">
        <f t="shared" si="6"/>
        <v>0.25236449999999999</v>
      </c>
      <c r="R105" s="4">
        <f t="shared" si="6"/>
        <v>0.26572949999999995</v>
      </c>
      <c r="S105" s="4">
        <f t="shared" si="6"/>
        <v>0.27642149999999999</v>
      </c>
    </row>
    <row r="106" spans="9:19" x14ac:dyDescent="0.25">
      <c r="I106">
        <v>22</v>
      </c>
      <c r="J106" s="4">
        <f t="shared" si="6"/>
        <v>0.25681949999999998</v>
      </c>
      <c r="K106" s="4">
        <f t="shared" si="6"/>
        <v>0.2389995</v>
      </c>
      <c r="L106" s="4">
        <f t="shared" si="6"/>
        <v>0.24568199999999998</v>
      </c>
      <c r="M106" s="4">
        <f t="shared" si="6"/>
        <v>0.25236449999999999</v>
      </c>
      <c r="N106" s="4">
        <f t="shared" si="6"/>
        <v>0.24345450000000002</v>
      </c>
      <c r="O106" s="4">
        <f t="shared" si="6"/>
        <v>0.1944495</v>
      </c>
      <c r="P106" s="4">
        <f t="shared" si="6"/>
        <v>0.1855395</v>
      </c>
      <c r="Q106" s="4">
        <f t="shared" si="6"/>
        <v>0.23454450000000002</v>
      </c>
      <c r="R106" s="4">
        <f t="shared" si="6"/>
        <v>0.24345450000000002</v>
      </c>
      <c r="S106" s="4">
        <f t="shared" si="6"/>
        <v>0.20536425000000005</v>
      </c>
    </row>
    <row r="107" spans="9:19" x14ac:dyDescent="0.25">
      <c r="I107">
        <v>23</v>
      </c>
      <c r="J107" s="4">
        <f t="shared" si="6"/>
        <v>0.21004199999999998</v>
      </c>
      <c r="K107" s="4">
        <f t="shared" si="6"/>
        <v>0.21672450000000001</v>
      </c>
      <c r="L107" s="4">
        <f t="shared" si="6"/>
        <v>0.25681949999999998</v>
      </c>
      <c r="M107" s="4">
        <f t="shared" si="6"/>
        <v>0.267957</v>
      </c>
      <c r="N107" s="4">
        <f t="shared" si="6"/>
        <v>0.21449699999999999</v>
      </c>
      <c r="O107" s="4">
        <f t="shared" si="6"/>
        <v>0.16103699999999999</v>
      </c>
      <c r="P107" s="4">
        <f t="shared" si="6"/>
        <v>0.17662950000000002</v>
      </c>
      <c r="Q107" s="4">
        <f t="shared" si="6"/>
        <v>0.21672450000000001</v>
      </c>
      <c r="R107" s="4">
        <f t="shared" si="6"/>
        <v>0.23677200000000004</v>
      </c>
      <c r="S107" s="4">
        <f t="shared" si="6"/>
        <v>0.24946875000000004</v>
      </c>
    </row>
    <row r="108" spans="9:19" x14ac:dyDescent="0.25">
      <c r="I108">
        <v>24</v>
      </c>
      <c r="J108" s="4">
        <f t="shared" si="6"/>
        <v>0.16994700000000001</v>
      </c>
      <c r="K108" s="4">
        <f t="shared" si="6"/>
        <v>0.1365345</v>
      </c>
      <c r="L108" s="4">
        <f t="shared" si="6"/>
        <v>0.13430700000000001</v>
      </c>
      <c r="M108" s="4">
        <f t="shared" si="6"/>
        <v>0.14098950000000002</v>
      </c>
      <c r="N108" s="4">
        <f t="shared" si="6"/>
        <v>0.14321700000000001</v>
      </c>
      <c r="O108" s="4">
        <f t="shared" si="6"/>
        <v>0.14098950000000002</v>
      </c>
      <c r="P108" s="4">
        <f t="shared" si="6"/>
        <v>0.15880949999999999</v>
      </c>
      <c r="Q108" s="4">
        <f t="shared" si="6"/>
        <v>0.1855395</v>
      </c>
      <c r="R108" s="4">
        <f t="shared" si="6"/>
        <v>0.232317</v>
      </c>
      <c r="S108" s="4">
        <f t="shared" si="6"/>
        <v>0.2372175</v>
      </c>
    </row>
    <row r="109" spans="9:19" x14ac:dyDescent="0.25">
      <c r="I109">
        <v>31</v>
      </c>
      <c r="J109" s="4">
        <f t="shared" si="6"/>
        <v>0.25459199999999998</v>
      </c>
      <c r="K109" s="4">
        <f t="shared" si="6"/>
        <v>0.23677200000000004</v>
      </c>
      <c r="L109" s="4">
        <f t="shared" si="6"/>
        <v>0.24568199999999998</v>
      </c>
      <c r="M109" s="4">
        <f t="shared" si="6"/>
        <v>0.2389995</v>
      </c>
      <c r="N109" s="4">
        <f t="shared" si="6"/>
        <v>0.21895199999999998</v>
      </c>
      <c r="O109" s="4">
        <f t="shared" si="6"/>
        <v>0.18999449999999996</v>
      </c>
      <c r="P109" s="4">
        <f t="shared" si="6"/>
        <v>0.1944495</v>
      </c>
      <c r="Q109" s="4">
        <f t="shared" si="6"/>
        <v>0.20558699999999999</v>
      </c>
      <c r="R109" s="4">
        <f t="shared" si="6"/>
        <v>0.232317</v>
      </c>
      <c r="S109" s="4">
        <f t="shared" si="6"/>
        <v>0.22496624999999998</v>
      </c>
    </row>
    <row r="110" spans="9:19" x14ac:dyDescent="0.25">
      <c r="I110">
        <v>32</v>
      </c>
      <c r="J110" s="4">
        <f t="shared" si="6"/>
        <v>0.20781449999999999</v>
      </c>
      <c r="K110" s="4">
        <f t="shared" si="6"/>
        <v>0.19222199999999998</v>
      </c>
      <c r="L110" s="4">
        <f t="shared" si="6"/>
        <v>0.16994700000000001</v>
      </c>
      <c r="M110" s="4">
        <f t="shared" si="6"/>
        <v>0.165492</v>
      </c>
      <c r="N110" s="4">
        <f t="shared" si="6"/>
        <v>0.14989949999999999</v>
      </c>
      <c r="O110" s="4">
        <f t="shared" si="6"/>
        <v>0.156582</v>
      </c>
      <c r="P110" s="4">
        <f t="shared" si="6"/>
        <v>0.17885699999999999</v>
      </c>
      <c r="Q110" s="4">
        <f t="shared" si="6"/>
        <v>0.22786200000000001</v>
      </c>
      <c r="R110" s="4">
        <f t="shared" si="6"/>
        <v>0.25236449999999999</v>
      </c>
      <c r="S110" s="4">
        <f t="shared" si="6"/>
        <v>0.23966774999999998</v>
      </c>
    </row>
    <row r="111" spans="9:19" x14ac:dyDescent="0.25">
      <c r="I111">
        <v>33</v>
      </c>
      <c r="J111" s="4">
        <f t="shared" si="6"/>
        <v>0.20113199999999998</v>
      </c>
      <c r="K111" s="4">
        <f t="shared" si="6"/>
        <v>0.20781449999999999</v>
      </c>
      <c r="L111" s="4">
        <f t="shared" si="6"/>
        <v>0.24122700000000002</v>
      </c>
      <c r="M111" s="4">
        <f t="shared" si="6"/>
        <v>0.25681949999999998</v>
      </c>
      <c r="N111" s="4">
        <f t="shared" si="6"/>
        <v>0.24568199999999998</v>
      </c>
      <c r="O111" s="4">
        <f t="shared" si="6"/>
        <v>0.24122700000000002</v>
      </c>
      <c r="P111" s="4">
        <f t="shared" si="6"/>
        <v>0.24345450000000002</v>
      </c>
      <c r="Q111" s="4">
        <f t="shared" si="6"/>
        <v>0.22786200000000001</v>
      </c>
      <c r="R111" s="4">
        <f t="shared" si="6"/>
        <v>0.25236449999999999</v>
      </c>
      <c r="S111" s="4">
        <f t="shared" si="6"/>
        <v>0.22251599999999999</v>
      </c>
    </row>
    <row r="112" spans="9:19" x14ac:dyDescent="0.25">
      <c r="I112">
        <v>34</v>
      </c>
      <c r="J112" s="4">
        <f t="shared" si="6"/>
        <v>0.147672</v>
      </c>
      <c r="K112" s="4">
        <f t="shared" si="6"/>
        <v>0.17217450000000001</v>
      </c>
      <c r="L112" s="4">
        <f t="shared" si="6"/>
        <v>0.22340700000000002</v>
      </c>
      <c r="M112" s="4">
        <f t="shared" si="6"/>
        <v>0.25013699999999994</v>
      </c>
      <c r="N112" s="4">
        <f t="shared" si="6"/>
        <v>0.26350199999999996</v>
      </c>
      <c r="O112" s="4">
        <f t="shared" si="6"/>
        <v>0.26572949999999995</v>
      </c>
      <c r="P112" s="4">
        <f t="shared" si="6"/>
        <v>0.27241199999999993</v>
      </c>
      <c r="Q112" s="4">
        <f t="shared" si="6"/>
        <v>0.25681949999999998</v>
      </c>
      <c r="R112" s="4">
        <f t="shared" si="6"/>
        <v>0.23677200000000004</v>
      </c>
      <c r="S112" s="4">
        <f t="shared" si="6"/>
        <v>0.22496624999999998</v>
      </c>
    </row>
    <row r="113" spans="9:19" x14ac:dyDescent="0.25">
      <c r="I113">
        <v>41</v>
      </c>
      <c r="J113" s="4">
        <f t="shared" si="6"/>
        <v>0.22786200000000001</v>
      </c>
      <c r="K113" s="4">
        <f t="shared" si="6"/>
        <v>0.25236449999999999</v>
      </c>
      <c r="L113" s="4">
        <f t="shared" si="6"/>
        <v>0.2880045</v>
      </c>
      <c r="M113" s="4">
        <f t="shared" si="6"/>
        <v>0.27463949999999998</v>
      </c>
      <c r="N113" s="4">
        <f t="shared" si="6"/>
        <v>0.27686699999999997</v>
      </c>
      <c r="O113" s="4">
        <f t="shared" si="6"/>
        <v>0.28577700000000006</v>
      </c>
      <c r="P113" s="4">
        <f t="shared" si="6"/>
        <v>0.22786200000000001</v>
      </c>
      <c r="Q113" s="4">
        <f t="shared" si="6"/>
        <v>0.23677200000000004</v>
      </c>
      <c r="R113" s="4">
        <f t="shared" si="6"/>
        <v>0.25236449999999999</v>
      </c>
      <c r="S113" s="4">
        <f t="shared" si="6"/>
        <v>0.25681950000000003</v>
      </c>
    </row>
    <row r="114" spans="9:19" x14ac:dyDescent="0.25">
      <c r="I114">
        <v>42</v>
      </c>
      <c r="J114" s="4">
        <f t="shared" si="6"/>
        <v>0.23008950000000003</v>
      </c>
      <c r="K114" s="4">
        <f t="shared" si="6"/>
        <v>0.232317</v>
      </c>
      <c r="L114" s="4">
        <f t="shared" si="6"/>
        <v>0.24790949999999998</v>
      </c>
      <c r="M114" s="4">
        <f t="shared" si="6"/>
        <v>0.25459199999999998</v>
      </c>
      <c r="N114" s="4">
        <f t="shared" si="6"/>
        <v>0.27909450000000002</v>
      </c>
      <c r="O114" s="4">
        <f t="shared" si="6"/>
        <v>0.24345450000000002</v>
      </c>
      <c r="P114" s="4">
        <f t="shared" si="6"/>
        <v>0.2211795</v>
      </c>
      <c r="Q114" s="4">
        <f t="shared" si="6"/>
        <v>0.232317</v>
      </c>
      <c r="R114" s="4">
        <f t="shared" si="6"/>
        <v>0.24122700000000002</v>
      </c>
      <c r="S114" s="4">
        <f t="shared" si="6"/>
        <v>0.232317</v>
      </c>
    </row>
    <row r="115" spans="9:19" x14ac:dyDescent="0.25">
      <c r="I115">
        <v>43</v>
      </c>
      <c r="J115" s="4">
        <f t="shared" si="6"/>
        <v>0.23454450000000002</v>
      </c>
      <c r="K115" s="4">
        <f t="shared" si="6"/>
        <v>0.23677200000000004</v>
      </c>
      <c r="L115" s="4">
        <f t="shared" si="6"/>
        <v>0.25459199999999998</v>
      </c>
      <c r="M115" s="4">
        <f t="shared" si="6"/>
        <v>0.22340700000000002</v>
      </c>
      <c r="N115" s="4">
        <f t="shared" si="6"/>
        <v>0.23008950000000003</v>
      </c>
      <c r="O115" s="4">
        <f t="shared" si="6"/>
        <v>0.23008950000000003</v>
      </c>
      <c r="P115" s="4">
        <f t="shared" si="6"/>
        <v>0.24345450000000002</v>
      </c>
      <c r="Q115" s="4">
        <f t="shared" si="6"/>
        <v>0.22786200000000001</v>
      </c>
      <c r="R115" s="4">
        <f t="shared" si="6"/>
        <v>0.232317</v>
      </c>
      <c r="S115" s="4">
        <f t="shared" si="6"/>
        <v>0.23966774999999998</v>
      </c>
    </row>
    <row r="116" spans="9:19" x14ac:dyDescent="0.25">
      <c r="I116">
        <v>44</v>
      </c>
      <c r="J116" s="4">
        <f t="shared" ref="J116:S116" si="7">IF(J88&lt;0,"",J88/100)</f>
        <v>0.18999449999999996</v>
      </c>
      <c r="K116" s="4">
        <f t="shared" si="7"/>
        <v>0.19890449999999998</v>
      </c>
      <c r="L116" s="4">
        <f t="shared" si="7"/>
        <v>0.267957</v>
      </c>
      <c r="M116" s="4">
        <f t="shared" si="7"/>
        <v>0.25904699999999997</v>
      </c>
      <c r="N116" s="4">
        <f t="shared" si="7"/>
        <v>0.26350199999999996</v>
      </c>
      <c r="O116" s="4">
        <f t="shared" si="7"/>
        <v>0.25459199999999998</v>
      </c>
      <c r="P116" s="4">
        <f t="shared" si="7"/>
        <v>0.26572949999999995</v>
      </c>
      <c r="Q116" s="4">
        <f t="shared" si="7"/>
        <v>0.23008950000000003</v>
      </c>
      <c r="R116" s="4">
        <f t="shared" si="7"/>
        <v>0.22563449999999999</v>
      </c>
      <c r="S116" s="4">
        <f t="shared" si="7"/>
        <v>0.21761549999999999</v>
      </c>
    </row>
    <row r="117" spans="9:19" x14ac:dyDescent="0.25">
      <c r="I117">
        <v>51</v>
      </c>
      <c r="J117" s="4">
        <f t="shared" ref="J117:S123" si="8">IF(J89&lt;0,"",J89/100)</f>
        <v>0.27463949999999998</v>
      </c>
      <c r="K117" s="4">
        <f t="shared" si="8"/>
        <v>0.267957</v>
      </c>
      <c r="L117" s="4">
        <f t="shared" si="8"/>
        <v>0.27463949999999998</v>
      </c>
      <c r="M117" s="4">
        <f t="shared" si="8"/>
        <v>0.28132200000000002</v>
      </c>
      <c r="N117" s="4">
        <f t="shared" si="8"/>
        <v>0.25013699999999994</v>
      </c>
      <c r="O117" s="4">
        <f t="shared" si="8"/>
        <v>0.25904699999999997</v>
      </c>
      <c r="P117" s="4">
        <f t="shared" si="8"/>
        <v>0.23008950000000003</v>
      </c>
      <c r="Q117" s="4">
        <f t="shared" si="8"/>
        <v>0.24122700000000002</v>
      </c>
      <c r="R117" s="4">
        <f t="shared" si="8"/>
        <v>0.25904699999999997</v>
      </c>
      <c r="S117" s="4">
        <f t="shared" si="8"/>
        <v>0.26907075000000008</v>
      </c>
    </row>
    <row r="118" spans="9:19" x14ac:dyDescent="0.25">
      <c r="I118">
        <v>52</v>
      </c>
      <c r="J118" s="4">
        <f t="shared" si="8"/>
        <v>0.25681949999999998</v>
      </c>
      <c r="K118" s="4">
        <f t="shared" si="8"/>
        <v>0.25013699999999994</v>
      </c>
      <c r="L118" s="4">
        <f t="shared" si="8"/>
        <v>0.27686699999999997</v>
      </c>
      <c r="M118" s="4">
        <f t="shared" si="8"/>
        <v>0.2880045</v>
      </c>
      <c r="N118" s="4">
        <f t="shared" si="8"/>
        <v>0.30136949999999996</v>
      </c>
      <c r="O118" s="4">
        <f t="shared" si="8"/>
        <v>0.29023199999999999</v>
      </c>
      <c r="P118" s="4">
        <f t="shared" si="8"/>
        <v>0.27018449999999999</v>
      </c>
      <c r="Q118" s="4">
        <f t="shared" si="8"/>
        <v>0.2389995</v>
      </c>
      <c r="R118" s="4">
        <f t="shared" si="8"/>
        <v>0.24790949999999998</v>
      </c>
      <c r="S118" s="4">
        <f t="shared" si="8"/>
        <v>0.26172000000000001</v>
      </c>
    </row>
    <row r="119" spans="9:19" x14ac:dyDescent="0.25">
      <c r="I119">
        <v>53</v>
      </c>
      <c r="J119" s="4">
        <f t="shared" si="8"/>
        <v>0.24345450000000002</v>
      </c>
      <c r="K119" s="4">
        <f t="shared" si="8"/>
        <v>0.24345450000000002</v>
      </c>
      <c r="L119" s="4">
        <f t="shared" si="8"/>
        <v>0.25904699999999997</v>
      </c>
      <c r="M119" s="4">
        <f t="shared" si="8"/>
        <v>0.28354950000000001</v>
      </c>
      <c r="N119" s="4">
        <f t="shared" si="8"/>
        <v>0.28132200000000002</v>
      </c>
      <c r="O119" s="4">
        <f t="shared" si="8"/>
        <v>0.27463949999999998</v>
      </c>
      <c r="P119" s="4">
        <f t="shared" si="8"/>
        <v>0.25013699999999994</v>
      </c>
      <c r="Q119" s="4">
        <f t="shared" si="8"/>
        <v>0.21449699999999999</v>
      </c>
      <c r="R119" s="4">
        <f t="shared" si="8"/>
        <v>0.2211795</v>
      </c>
      <c r="S119" s="4">
        <f t="shared" si="8"/>
        <v>0.21026475000000006</v>
      </c>
    </row>
    <row r="120" spans="9:19" x14ac:dyDescent="0.25">
      <c r="I120">
        <v>54</v>
      </c>
      <c r="J120" s="4">
        <f t="shared" si="8"/>
        <v>0.25681949999999998</v>
      </c>
      <c r="K120" s="4">
        <f t="shared" si="8"/>
        <v>0.25013699999999994</v>
      </c>
      <c r="L120" s="4">
        <f t="shared" si="8"/>
        <v>0.24790949999999998</v>
      </c>
      <c r="M120" s="4">
        <f t="shared" si="8"/>
        <v>0.27463949999999998</v>
      </c>
      <c r="N120" s="4">
        <f t="shared" si="8"/>
        <v>0.28577700000000006</v>
      </c>
      <c r="O120" s="4">
        <f t="shared" si="8"/>
        <v>0.2880045</v>
      </c>
      <c r="P120" s="4">
        <f t="shared" si="8"/>
        <v>0.27686699999999997</v>
      </c>
      <c r="Q120" s="4">
        <f t="shared" si="8"/>
        <v>0.25013699999999994</v>
      </c>
      <c r="R120" s="4">
        <f t="shared" si="8"/>
        <v>0.23008950000000003</v>
      </c>
      <c r="S120" s="4">
        <f t="shared" si="8"/>
        <v>0.26172000000000001</v>
      </c>
    </row>
    <row r="121" spans="9:19" x14ac:dyDescent="0.25">
      <c r="I121">
        <v>61</v>
      </c>
      <c r="J121" s="4">
        <f t="shared" si="8"/>
        <v>0.18999449999999996</v>
      </c>
      <c r="K121" s="4">
        <f t="shared" si="8"/>
        <v>0.156582</v>
      </c>
      <c r="L121" s="4">
        <f t="shared" si="8"/>
        <v>0.17662950000000002</v>
      </c>
      <c r="M121" s="4">
        <f t="shared" si="8"/>
        <v>0.21895199999999998</v>
      </c>
      <c r="N121" s="4">
        <f t="shared" si="8"/>
        <v>0.23677200000000004</v>
      </c>
      <c r="O121" s="4">
        <f t="shared" si="8"/>
        <v>0.21004199999999998</v>
      </c>
      <c r="P121" s="4">
        <f t="shared" si="8"/>
        <v>0.2122695</v>
      </c>
      <c r="Q121" s="4">
        <f t="shared" si="8"/>
        <v>0.23008950000000003</v>
      </c>
      <c r="R121" s="4">
        <f t="shared" si="8"/>
        <v>0.25013699999999994</v>
      </c>
      <c r="S121" s="4">
        <f t="shared" si="8"/>
        <v>0.24456824999999999</v>
      </c>
    </row>
    <row r="122" spans="9:19" x14ac:dyDescent="0.25">
      <c r="I122">
        <v>62</v>
      </c>
      <c r="J122" s="4">
        <f t="shared" si="8"/>
        <v>0.25236449999999999</v>
      </c>
      <c r="K122" s="4">
        <f t="shared" si="8"/>
        <v>0.25904699999999997</v>
      </c>
      <c r="L122" s="4">
        <f t="shared" si="8"/>
        <v>0.27241199999999993</v>
      </c>
      <c r="M122" s="4">
        <f t="shared" si="8"/>
        <v>0.21449699999999999</v>
      </c>
      <c r="N122" s="4">
        <f t="shared" si="8"/>
        <v>0.24345450000000002</v>
      </c>
      <c r="O122" s="4">
        <f t="shared" si="8"/>
        <v>0.267957</v>
      </c>
      <c r="P122" s="4">
        <f t="shared" si="8"/>
        <v>0.22340700000000002</v>
      </c>
      <c r="Q122" s="4">
        <f t="shared" si="8"/>
        <v>0.22563449999999999</v>
      </c>
      <c r="R122" s="4">
        <f t="shared" si="8"/>
        <v>0.25681949999999998</v>
      </c>
      <c r="S122" s="4">
        <f t="shared" si="8"/>
        <v>0.25681950000000003</v>
      </c>
    </row>
    <row r="123" spans="9:19" x14ac:dyDescent="0.25">
      <c r="I123">
        <v>63</v>
      </c>
      <c r="J123" s="4">
        <f t="shared" si="8"/>
        <v>0.267957</v>
      </c>
      <c r="K123" s="4">
        <f t="shared" si="8"/>
        <v>0.23677200000000004</v>
      </c>
      <c r="L123" s="4">
        <f t="shared" si="8"/>
        <v>0.23008950000000003</v>
      </c>
      <c r="M123" s="4">
        <f t="shared" si="8"/>
        <v>0.21672450000000001</v>
      </c>
      <c r="N123" s="4">
        <f t="shared" si="8"/>
        <v>0.23008950000000003</v>
      </c>
      <c r="O123" s="4">
        <f t="shared" si="8"/>
        <v>0.23008950000000003</v>
      </c>
      <c r="P123" s="4">
        <f t="shared" si="8"/>
        <v>0.1944495</v>
      </c>
      <c r="Q123" s="4">
        <f t="shared" si="8"/>
        <v>0.19890449999999998</v>
      </c>
      <c r="R123" s="4">
        <f t="shared" si="8"/>
        <v>0.21895199999999998</v>
      </c>
      <c r="S123" s="4">
        <f t="shared" si="8"/>
        <v>0.23476724999999998</v>
      </c>
    </row>
    <row r="124" spans="9:19" x14ac:dyDescent="0.25">
      <c r="I124">
        <v>64</v>
      </c>
      <c r="J124" s="4">
        <f t="shared" ref="J124:S124" si="9">IF(J96&lt;0,"",J96/100)</f>
        <v>0.28132200000000002</v>
      </c>
      <c r="K124" s="4">
        <f t="shared" si="9"/>
        <v>0.26572949999999995</v>
      </c>
      <c r="L124" s="4">
        <f t="shared" si="9"/>
        <v>0.22340700000000002</v>
      </c>
      <c r="M124" s="4">
        <f t="shared" si="9"/>
        <v>0.24568199999999998</v>
      </c>
      <c r="N124" s="4">
        <f t="shared" si="9"/>
        <v>0.267957</v>
      </c>
      <c r="O124" s="4">
        <f t="shared" si="9"/>
        <v>0.25681949999999998</v>
      </c>
      <c r="P124" s="4">
        <f t="shared" si="9"/>
        <v>0.23454450000000002</v>
      </c>
      <c r="Q124" s="4">
        <f t="shared" si="9"/>
        <v>0.20335949999999997</v>
      </c>
      <c r="R124" s="4">
        <f t="shared" si="9"/>
        <v>0.2211795</v>
      </c>
      <c r="S124" s="4">
        <f t="shared" si="9"/>
        <v>0.24456824999999999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9C02-A204-48AC-BD35-2254A5E80668}">
  <dimension ref="A1:T124"/>
  <sheetViews>
    <sheetView topLeftCell="D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10241</v>
      </c>
      <c r="F1">
        <v>0</v>
      </c>
      <c r="G1">
        <v>10</v>
      </c>
      <c r="H1">
        <v>1822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6</v>
      </c>
      <c r="G18">
        <v>1</v>
      </c>
      <c r="H18">
        <v>6</v>
      </c>
      <c r="I18">
        <v>24</v>
      </c>
      <c r="J18">
        <v>1.1399999999999999</v>
      </c>
      <c r="K18">
        <v>1.2</v>
      </c>
      <c r="L18">
        <v>1.35</v>
      </c>
      <c r="M18">
        <v>1.47</v>
      </c>
      <c r="N18">
        <v>1.39</v>
      </c>
      <c r="O18">
        <v>1.51</v>
      </c>
      <c r="P18">
        <v>1.56</v>
      </c>
      <c r="Q18">
        <v>1.46</v>
      </c>
      <c r="R18">
        <v>1.47</v>
      </c>
      <c r="S18">
        <v>1.28</v>
      </c>
      <c r="T18">
        <v>3740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6</v>
      </c>
      <c r="G19">
        <v>1</v>
      </c>
      <c r="H19">
        <v>6</v>
      </c>
      <c r="I19">
        <v>21</v>
      </c>
      <c r="J19">
        <v>1.35</v>
      </c>
      <c r="K19">
        <v>1.4</v>
      </c>
      <c r="L19">
        <v>1.22</v>
      </c>
      <c r="M19">
        <v>1.23</v>
      </c>
      <c r="N19">
        <v>1.21</v>
      </c>
      <c r="O19">
        <v>1.24</v>
      </c>
      <c r="P19">
        <v>1.21</v>
      </c>
      <c r="Q19">
        <v>1.4</v>
      </c>
      <c r="R19">
        <v>1.39</v>
      </c>
      <c r="S19">
        <v>1.1599999999999999</v>
      </c>
      <c r="T19">
        <v>3706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6</v>
      </c>
      <c r="G20">
        <v>1</v>
      </c>
      <c r="H20">
        <v>6</v>
      </c>
      <c r="I20">
        <v>33</v>
      </c>
      <c r="J20">
        <v>1.3</v>
      </c>
      <c r="K20">
        <v>1.23</v>
      </c>
      <c r="L20">
        <v>1.29</v>
      </c>
      <c r="M20">
        <v>1.42</v>
      </c>
      <c r="N20">
        <v>1.47</v>
      </c>
      <c r="O20">
        <v>1.48</v>
      </c>
      <c r="P20">
        <v>1.42</v>
      </c>
      <c r="Q20">
        <v>1.33</v>
      </c>
      <c r="R20">
        <v>1.38</v>
      </c>
      <c r="S20">
        <v>1.1599999999999999</v>
      </c>
      <c r="T20">
        <v>3730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6</v>
      </c>
      <c r="G21">
        <v>1</v>
      </c>
      <c r="H21">
        <v>6</v>
      </c>
      <c r="I21">
        <v>37</v>
      </c>
      <c r="J21">
        <v>1.45</v>
      </c>
      <c r="K21">
        <v>1.49</v>
      </c>
      <c r="L21">
        <v>1.49</v>
      </c>
      <c r="M21">
        <v>1.51</v>
      </c>
      <c r="N21">
        <v>1.39</v>
      </c>
      <c r="O21">
        <v>1.38</v>
      </c>
      <c r="P21">
        <v>1.55</v>
      </c>
      <c r="Q21">
        <v>1.44</v>
      </c>
      <c r="R21">
        <v>1.42</v>
      </c>
      <c r="S21">
        <v>1.19</v>
      </c>
      <c r="T21">
        <v>3753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6</v>
      </c>
      <c r="G22">
        <v>1</v>
      </c>
      <c r="H22">
        <v>6</v>
      </c>
      <c r="I22">
        <v>41</v>
      </c>
      <c r="J22">
        <v>1.07</v>
      </c>
      <c r="K22">
        <v>0.93</v>
      </c>
      <c r="L22">
        <v>0.89</v>
      </c>
      <c r="M22">
        <v>0.92</v>
      </c>
      <c r="N22">
        <v>0.91</v>
      </c>
      <c r="O22">
        <v>0.91</v>
      </c>
      <c r="P22">
        <v>0.98</v>
      </c>
      <c r="Q22">
        <v>1.07</v>
      </c>
      <c r="R22">
        <v>1.27</v>
      </c>
      <c r="S22">
        <v>1.1499999999999999</v>
      </c>
      <c r="T22">
        <v>3749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6</v>
      </c>
      <c r="G23">
        <v>1</v>
      </c>
      <c r="H23">
        <v>6</v>
      </c>
      <c r="I23">
        <v>47</v>
      </c>
      <c r="J23">
        <v>1.28</v>
      </c>
      <c r="K23">
        <v>1.31</v>
      </c>
      <c r="L23">
        <v>1.46</v>
      </c>
      <c r="M23">
        <v>1.5</v>
      </c>
      <c r="N23">
        <v>1.34</v>
      </c>
      <c r="O23">
        <v>1.1000000000000001</v>
      </c>
      <c r="P23">
        <v>1.1299999999999999</v>
      </c>
      <c r="Q23">
        <v>1.24</v>
      </c>
      <c r="R23">
        <v>1.36</v>
      </c>
      <c r="S23">
        <v>1.23</v>
      </c>
      <c r="T23">
        <v>3722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6</v>
      </c>
      <c r="G24">
        <v>1</v>
      </c>
      <c r="H24">
        <v>6</v>
      </c>
      <c r="I24">
        <v>51</v>
      </c>
      <c r="J24">
        <v>1.43</v>
      </c>
      <c r="K24">
        <v>1.37</v>
      </c>
      <c r="L24">
        <v>1.39</v>
      </c>
      <c r="M24">
        <v>1.46</v>
      </c>
      <c r="N24">
        <v>1.39</v>
      </c>
      <c r="O24">
        <v>1.2</v>
      </c>
      <c r="P24">
        <v>1.1200000000000001</v>
      </c>
      <c r="Q24">
        <v>1.36</v>
      </c>
      <c r="R24">
        <v>1.35</v>
      </c>
      <c r="S24">
        <v>1.1100000000000001</v>
      </c>
      <c r="T24">
        <v>3737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6</v>
      </c>
      <c r="G25">
        <v>1</v>
      </c>
      <c r="H25">
        <v>6</v>
      </c>
      <c r="I25">
        <v>55</v>
      </c>
      <c r="J25">
        <v>1.51</v>
      </c>
      <c r="K25">
        <v>1.42</v>
      </c>
      <c r="L25">
        <v>1.45</v>
      </c>
      <c r="M25">
        <v>1.45</v>
      </c>
      <c r="N25">
        <v>1.47</v>
      </c>
      <c r="O25">
        <v>1.47</v>
      </c>
      <c r="P25">
        <v>1.3</v>
      </c>
      <c r="Q25">
        <v>1.45</v>
      </c>
      <c r="R25">
        <v>1.5</v>
      </c>
      <c r="S25">
        <v>1.31</v>
      </c>
      <c r="T25">
        <v>3736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6</v>
      </c>
      <c r="G26">
        <v>1</v>
      </c>
      <c r="H26">
        <v>7</v>
      </c>
      <c r="I26">
        <v>0</v>
      </c>
      <c r="J26">
        <v>1.46</v>
      </c>
      <c r="K26">
        <v>1.38</v>
      </c>
      <c r="L26">
        <v>1.4</v>
      </c>
      <c r="M26">
        <v>1.38</v>
      </c>
      <c r="N26">
        <v>1.29</v>
      </c>
      <c r="O26">
        <v>1.19</v>
      </c>
      <c r="P26">
        <v>1.1499999999999999</v>
      </c>
      <c r="Q26">
        <v>1.22</v>
      </c>
      <c r="R26">
        <v>1.28</v>
      </c>
      <c r="S26">
        <v>1.1299999999999999</v>
      </c>
      <c r="T26">
        <v>3734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6</v>
      </c>
      <c r="G27">
        <v>1</v>
      </c>
      <c r="H27">
        <v>7</v>
      </c>
      <c r="I27">
        <v>4</v>
      </c>
      <c r="J27">
        <v>1.24</v>
      </c>
      <c r="K27">
        <v>1.1499999999999999</v>
      </c>
      <c r="L27">
        <v>1.05</v>
      </c>
      <c r="M27">
        <v>1</v>
      </c>
      <c r="N27">
        <v>0.97</v>
      </c>
      <c r="O27">
        <v>0.97</v>
      </c>
      <c r="P27">
        <v>1.08</v>
      </c>
      <c r="Q27">
        <v>1.31</v>
      </c>
      <c r="R27">
        <v>1.39</v>
      </c>
      <c r="S27">
        <v>1.18</v>
      </c>
      <c r="T27">
        <v>3736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6</v>
      </c>
      <c r="G28">
        <v>1</v>
      </c>
      <c r="H28">
        <v>7</v>
      </c>
      <c r="I28">
        <v>0</v>
      </c>
      <c r="J28">
        <v>1.2</v>
      </c>
      <c r="K28">
        <v>1.19</v>
      </c>
      <c r="L28">
        <v>1.39</v>
      </c>
      <c r="M28">
        <v>1.45</v>
      </c>
      <c r="N28">
        <v>1.37</v>
      </c>
      <c r="O28">
        <v>1.34</v>
      </c>
      <c r="P28">
        <v>1.38</v>
      </c>
      <c r="Q28">
        <v>1.32</v>
      </c>
      <c r="R28">
        <v>1.42</v>
      </c>
      <c r="S28">
        <v>1.1399999999999999</v>
      </c>
      <c r="T28">
        <v>3728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6</v>
      </c>
      <c r="G29">
        <v>1</v>
      </c>
      <c r="H29">
        <v>7</v>
      </c>
      <c r="I29">
        <v>12</v>
      </c>
      <c r="J29">
        <v>1.02</v>
      </c>
      <c r="K29">
        <v>1.0900000000000001</v>
      </c>
      <c r="L29">
        <v>1.3</v>
      </c>
      <c r="M29">
        <v>1.42</v>
      </c>
      <c r="N29">
        <v>1.45</v>
      </c>
      <c r="O29">
        <v>1.51</v>
      </c>
      <c r="P29">
        <v>1.53</v>
      </c>
      <c r="Q29">
        <v>1.48</v>
      </c>
      <c r="R29">
        <v>1.33</v>
      </c>
      <c r="S29">
        <v>1.1599999999999999</v>
      </c>
      <c r="T29">
        <v>3721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6</v>
      </c>
      <c r="G30">
        <v>1</v>
      </c>
      <c r="H30">
        <v>7</v>
      </c>
      <c r="I30">
        <v>16</v>
      </c>
      <c r="J30">
        <v>1.1399999999999999</v>
      </c>
      <c r="K30">
        <v>1.21</v>
      </c>
      <c r="L30">
        <v>1.46</v>
      </c>
      <c r="M30">
        <v>1.42</v>
      </c>
      <c r="N30">
        <v>1.51</v>
      </c>
      <c r="O30">
        <v>1.43</v>
      </c>
      <c r="P30">
        <v>1.49</v>
      </c>
      <c r="Q30">
        <v>1.31</v>
      </c>
      <c r="R30">
        <v>1.24</v>
      </c>
      <c r="S30">
        <v>1.03</v>
      </c>
      <c r="T30">
        <v>3719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6</v>
      </c>
      <c r="G31">
        <v>1</v>
      </c>
      <c r="H31">
        <v>7</v>
      </c>
      <c r="I31">
        <v>20</v>
      </c>
      <c r="J31">
        <v>1.36</v>
      </c>
      <c r="K31">
        <v>1.33</v>
      </c>
      <c r="L31">
        <v>1.42</v>
      </c>
      <c r="M31">
        <v>1.29</v>
      </c>
      <c r="N31">
        <v>1.32</v>
      </c>
      <c r="O31">
        <v>1.34</v>
      </c>
      <c r="P31">
        <v>1.4</v>
      </c>
      <c r="Q31">
        <v>1.3</v>
      </c>
      <c r="R31">
        <v>1.33</v>
      </c>
      <c r="S31">
        <v>1.1599999999999999</v>
      </c>
      <c r="T31">
        <v>3712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6</v>
      </c>
      <c r="G32">
        <v>1</v>
      </c>
      <c r="H32">
        <v>7</v>
      </c>
      <c r="I32">
        <v>24</v>
      </c>
      <c r="J32">
        <v>1.35</v>
      </c>
      <c r="K32">
        <v>1.31</v>
      </c>
      <c r="L32">
        <v>1.44</v>
      </c>
      <c r="M32">
        <v>1.43</v>
      </c>
      <c r="N32">
        <v>1.54</v>
      </c>
      <c r="O32">
        <v>1.38</v>
      </c>
      <c r="P32">
        <v>1.25</v>
      </c>
      <c r="Q32">
        <v>1.32</v>
      </c>
      <c r="R32">
        <v>1.35</v>
      </c>
      <c r="S32">
        <v>1.1299999999999999</v>
      </c>
      <c r="T32">
        <v>3720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6</v>
      </c>
      <c r="G33">
        <v>1</v>
      </c>
      <c r="H33">
        <v>7</v>
      </c>
      <c r="I33">
        <v>20</v>
      </c>
      <c r="J33">
        <v>1.3</v>
      </c>
      <c r="K33">
        <v>1.42</v>
      </c>
      <c r="L33">
        <v>1.59</v>
      </c>
      <c r="M33">
        <v>1.54</v>
      </c>
      <c r="N33">
        <v>1.54</v>
      </c>
      <c r="O33">
        <v>1.56</v>
      </c>
      <c r="P33">
        <v>1.3</v>
      </c>
      <c r="Q33">
        <v>1.35</v>
      </c>
      <c r="R33">
        <v>1.35</v>
      </c>
      <c r="S33">
        <v>1.19</v>
      </c>
      <c r="T33">
        <v>3684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6</v>
      </c>
      <c r="G34">
        <v>1</v>
      </c>
      <c r="H34">
        <v>7</v>
      </c>
      <c r="I34">
        <v>32</v>
      </c>
      <c r="J34">
        <v>1.54</v>
      </c>
      <c r="K34">
        <v>1.5</v>
      </c>
      <c r="L34">
        <v>1.51</v>
      </c>
      <c r="M34">
        <v>1.55</v>
      </c>
      <c r="N34">
        <v>1.43</v>
      </c>
      <c r="O34">
        <v>1.42</v>
      </c>
      <c r="P34">
        <v>1.34</v>
      </c>
      <c r="Q34">
        <v>1.38</v>
      </c>
      <c r="R34">
        <v>1.47</v>
      </c>
      <c r="S34">
        <v>1.35</v>
      </c>
      <c r="T34">
        <v>3694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6</v>
      </c>
      <c r="G35">
        <v>1</v>
      </c>
      <c r="H35">
        <v>7</v>
      </c>
      <c r="I35">
        <v>36</v>
      </c>
      <c r="J35">
        <v>1.49</v>
      </c>
      <c r="K35">
        <v>1.47</v>
      </c>
      <c r="L35">
        <v>1.56</v>
      </c>
      <c r="M35">
        <v>1.59</v>
      </c>
      <c r="N35">
        <v>1.66</v>
      </c>
      <c r="O35">
        <v>1.58</v>
      </c>
      <c r="P35">
        <v>1.48</v>
      </c>
      <c r="Q35">
        <v>1.37</v>
      </c>
      <c r="R35">
        <v>1.43</v>
      </c>
      <c r="S35">
        <v>1.34</v>
      </c>
      <c r="T35">
        <v>3727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6</v>
      </c>
      <c r="G36">
        <v>1</v>
      </c>
      <c r="H36">
        <v>7</v>
      </c>
      <c r="I36">
        <v>40</v>
      </c>
      <c r="J36">
        <v>1.41</v>
      </c>
      <c r="K36">
        <v>1.38</v>
      </c>
      <c r="L36">
        <v>1.47</v>
      </c>
      <c r="M36">
        <v>1.58</v>
      </c>
      <c r="N36">
        <v>1.57</v>
      </c>
      <c r="O36">
        <v>1.5</v>
      </c>
      <c r="P36">
        <v>1.43</v>
      </c>
      <c r="Q36">
        <v>1.22</v>
      </c>
      <c r="R36">
        <v>1.26</v>
      </c>
      <c r="S36">
        <v>1.1000000000000001</v>
      </c>
      <c r="T36">
        <v>3688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6</v>
      </c>
      <c r="G37">
        <v>1</v>
      </c>
      <c r="H37">
        <v>7</v>
      </c>
      <c r="I37">
        <v>44</v>
      </c>
      <c r="J37">
        <v>1.43</v>
      </c>
      <c r="K37">
        <v>1.4</v>
      </c>
      <c r="L37">
        <v>1.41</v>
      </c>
      <c r="M37">
        <v>1.53</v>
      </c>
      <c r="N37">
        <v>1.58</v>
      </c>
      <c r="O37">
        <v>1.55</v>
      </c>
      <c r="P37">
        <v>1.54</v>
      </c>
      <c r="Q37">
        <v>1.4</v>
      </c>
      <c r="R37">
        <v>1.3</v>
      </c>
      <c r="S37">
        <v>1.33</v>
      </c>
      <c r="T37">
        <v>3683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6</v>
      </c>
      <c r="G38">
        <v>1</v>
      </c>
      <c r="H38">
        <v>7</v>
      </c>
      <c r="I38">
        <v>41</v>
      </c>
      <c r="J38">
        <v>1.56</v>
      </c>
      <c r="K38">
        <v>1.47</v>
      </c>
      <c r="L38">
        <v>1.3</v>
      </c>
      <c r="M38">
        <v>1.38</v>
      </c>
      <c r="N38">
        <v>1.49</v>
      </c>
      <c r="O38">
        <v>1.42</v>
      </c>
      <c r="P38">
        <v>1.35</v>
      </c>
      <c r="Q38">
        <v>1.2</v>
      </c>
      <c r="R38">
        <v>1.27</v>
      </c>
      <c r="S38">
        <v>1.24</v>
      </c>
      <c r="T38">
        <v>3690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6</v>
      </c>
      <c r="G39">
        <v>1</v>
      </c>
      <c r="H39">
        <v>7</v>
      </c>
      <c r="I39">
        <v>53</v>
      </c>
      <c r="J39">
        <v>1.48</v>
      </c>
      <c r="K39">
        <v>1.38</v>
      </c>
      <c r="L39">
        <v>1.33</v>
      </c>
      <c r="M39">
        <v>1.29</v>
      </c>
      <c r="N39">
        <v>1.36</v>
      </c>
      <c r="O39">
        <v>1.36</v>
      </c>
      <c r="P39">
        <v>1.1399999999999999</v>
      </c>
      <c r="Q39">
        <v>1.18</v>
      </c>
      <c r="R39">
        <v>1.28</v>
      </c>
      <c r="S39">
        <v>1.23</v>
      </c>
      <c r="T39">
        <v>3697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6</v>
      </c>
      <c r="G40">
        <v>1</v>
      </c>
      <c r="H40">
        <v>7</v>
      </c>
      <c r="I40">
        <v>57</v>
      </c>
      <c r="J40">
        <v>1.39</v>
      </c>
      <c r="K40">
        <v>1.45</v>
      </c>
      <c r="L40">
        <v>1.51</v>
      </c>
      <c r="M40">
        <v>1.26</v>
      </c>
      <c r="N40">
        <v>1.39</v>
      </c>
      <c r="O40">
        <v>1.53</v>
      </c>
      <c r="P40">
        <v>1.28</v>
      </c>
      <c r="Q40">
        <v>1.28</v>
      </c>
      <c r="R40">
        <v>1.43</v>
      </c>
      <c r="S40">
        <v>1.35</v>
      </c>
      <c r="T40">
        <v>3701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6</v>
      </c>
      <c r="G41">
        <v>1</v>
      </c>
      <c r="H41">
        <v>8</v>
      </c>
      <c r="I41">
        <v>1</v>
      </c>
      <c r="J41">
        <v>1.2</v>
      </c>
      <c r="K41">
        <v>1.03</v>
      </c>
      <c r="L41">
        <v>1.1200000000000001</v>
      </c>
      <c r="M41">
        <v>1.29</v>
      </c>
      <c r="N41">
        <v>1.36</v>
      </c>
      <c r="O41">
        <v>1.23</v>
      </c>
      <c r="P41">
        <v>1.23</v>
      </c>
      <c r="Q41">
        <v>1.29</v>
      </c>
      <c r="R41">
        <v>1.4</v>
      </c>
      <c r="S41">
        <v>1.33</v>
      </c>
      <c r="T41">
        <v>3657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6</v>
      </c>
      <c r="G45">
        <v>1</v>
      </c>
      <c r="H45">
        <v>6</v>
      </c>
      <c r="I45">
        <v>24</v>
      </c>
      <c r="J45">
        <v>1.1399999999999999</v>
      </c>
      <c r="K45">
        <v>1.2</v>
      </c>
      <c r="L45">
        <v>1.35</v>
      </c>
      <c r="M45">
        <v>1.47</v>
      </c>
      <c r="N45">
        <v>1.39</v>
      </c>
      <c r="O45">
        <v>1.51</v>
      </c>
      <c r="P45">
        <v>1.56</v>
      </c>
      <c r="Q45">
        <v>1.46</v>
      </c>
      <c r="R45">
        <v>1.47</v>
      </c>
      <c r="S45">
        <v>1.28</v>
      </c>
      <c r="T45">
        <v>3740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6</v>
      </c>
      <c r="G46">
        <v>1</v>
      </c>
      <c r="H46">
        <v>6</v>
      </c>
      <c r="I46">
        <v>21</v>
      </c>
      <c r="J46">
        <v>1.35</v>
      </c>
      <c r="K46">
        <v>1.4</v>
      </c>
      <c r="L46">
        <v>1.22</v>
      </c>
      <c r="M46">
        <v>1.23</v>
      </c>
      <c r="N46">
        <v>1.21</v>
      </c>
      <c r="O46">
        <v>1.24</v>
      </c>
      <c r="P46">
        <v>1.21</v>
      </c>
      <c r="Q46">
        <v>1.4</v>
      </c>
      <c r="R46">
        <v>1.39</v>
      </c>
      <c r="S46">
        <v>1.1599999999999999</v>
      </c>
      <c r="T46">
        <v>3706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6</v>
      </c>
      <c r="G47">
        <v>1</v>
      </c>
      <c r="H47">
        <v>6</v>
      </c>
      <c r="I47">
        <v>33</v>
      </c>
      <c r="J47">
        <v>1.3</v>
      </c>
      <c r="K47">
        <v>1.23</v>
      </c>
      <c r="L47">
        <v>1.29</v>
      </c>
      <c r="M47">
        <v>1.42</v>
      </c>
      <c r="N47">
        <v>1.47</v>
      </c>
      <c r="O47">
        <v>1.48</v>
      </c>
      <c r="P47">
        <v>1.42</v>
      </c>
      <c r="Q47">
        <v>1.33</v>
      </c>
      <c r="R47">
        <v>1.38</v>
      </c>
      <c r="S47">
        <v>1.1599999999999999</v>
      </c>
      <c r="T47">
        <v>3730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6</v>
      </c>
      <c r="G48">
        <v>1</v>
      </c>
      <c r="H48">
        <v>6</v>
      </c>
      <c r="I48">
        <v>37</v>
      </c>
      <c r="J48">
        <v>1.45</v>
      </c>
      <c r="K48">
        <v>1.49</v>
      </c>
      <c r="L48">
        <v>1.49</v>
      </c>
      <c r="M48">
        <v>1.51</v>
      </c>
      <c r="N48">
        <v>1.39</v>
      </c>
      <c r="O48">
        <v>1.38</v>
      </c>
      <c r="P48">
        <v>1.55</v>
      </c>
      <c r="Q48">
        <v>1.44</v>
      </c>
      <c r="R48">
        <v>1.42</v>
      </c>
      <c r="S48">
        <v>1.19</v>
      </c>
      <c r="T48">
        <v>3753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6</v>
      </c>
      <c r="G49">
        <v>1</v>
      </c>
      <c r="H49">
        <v>6</v>
      </c>
      <c r="I49">
        <v>55</v>
      </c>
      <c r="J49">
        <v>1.51</v>
      </c>
      <c r="K49">
        <v>1.42</v>
      </c>
      <c r="L49">
        <v>1.45</v>
      </c>
      <c r="M49">
        <v>1.45</v>
      </c>
      <c r="N49">
        <v>1.47</v>
      </c>
      <c r="O49">
        <v>1.47</v>
      </c>
      <c r="P49">
        <v>1.3</v>
      </c>
      <c r="Q49">
        <v>1.45</v>
      </c>
      <c r="R49">
        <v>1.5</v>
      </c>
      <c r="S49">
        <v>1.31</v>
      </c>
      <c r="T49">
        <v>3736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6</v>
      </c>
      <c r="G50">
        <v>1</v>
      </c>
      <c r="H50">
        <v>6</v>
      </c>
      <c r="I50">
        <v>51</v>
      </c>
      <c r="J50">
        <v>1.43</v>
      </c>
      <c r="K50">
        <v>1.37</v>
      </c>
      <c r="L50">
        <v>1.39</v>
      </c>
      <c r="M50">
        <v>1.46</v>
      </c>
      <c r="N50">
        <v>1.39</v>
      </c>
      <c r="O50">
        <v>1.2</v>
      </c>
      <c r="P50">
        <v>1.1200000000000001</v>
      </c>
      <c r="Q50">
        <v>1.36</v>
      </c>
      <c r="R50">
        <v>1.35</v>
      </c>
      <c r="S50">
        <v>1.1100000000000001</v>
      </c>
      <c r="T50">
        <v>3737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6</v>
      </c>
      <c r="G51">
        <v>1</v>
      </c>
      <c r="H51">
        <v>6</v>
      </c>
      <c r="I51">
        <v>47</v>
      </c>
      <c r="J51">
        <v>1.28</v>
      </c>
      <c r="K51">
        <v>1.31</v>
      </c>
      <c r="L51">
        <v>1.46</v>
      </c>
      <c r="M51">
        <v>1.5</v>
      </c>
      <c r="N51">
        <v>1.34</v>
      </c>
      <c r="O51">
        <v>1.1000000000000001</v>
      </c>
      <c r="P51">
        <v>1.1299999999999999</v>
      </c>
      <c r="Q51">
        <v>1.24</v>
      </c>
      <c r="R51">
        <v>1.36</v>
      </c>
      <c r="S51">
        <v>1.23</v>
      </c>
      <c r="T51">
        <v>3722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6</v>
      </c>
      <c r="G52">
        <v>1</v>
      </c>
      <c r="H52">
        <v>6</v>
      </c>
      <c r="I52">
        <v>41</v>
      </c>
      <c r="J52">
        <v>1.07</v>
      </c>
      <c r="K52">
        <v>0.93</v>
      </c>
      <c r="L52">
        <v>0.89</v>
      </c>
      <c r="M52">
        <v>0.92</v>
      </c>
      <c r="N52">
        <v>0.91</v>
      </c>
      <c r="O52">
        <v>0.91</v>
      </c>
      <c r="P52">
        <v>0.98</v>
      </c>
      <c r="Q52">
        <v>1.07</v>
      </c>
      <c r="R52">
        <v>1.27</v>
      </c>
      <c r="S52">
        <v>1.1499999999999999</v>
      </c>
      <c r="T52">
        <v>3749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6</v>
      </c>
      <c r="G53">
        <v>1</v>
      </c>
      <c r="H53">
        <v>7</v>
      </c>
      <c r="I53">
        <v>0</v>
      </c>
      <c r="J53">
        <v>1.46</v>
      </c>
      <c r="K53">
        <v>1.38</v>
      </c>
      <c r="L53">
        <v>1.4</v>
      </c>
      <c r="M53">
        <v>1.38</v>
      </c>
      <c r="N53">
        <v>1.29</v>
      </c>
      <c r="O53">
        <v>1.19</v>
      </c>
      <c r="P53">
        <v>1.1499999999999999</v>
      </c>
      <c r="Q53">
        <v>1.22</v>
      </c>
      <c r="R53">
        <v>1.28</v>
      </c>
      <c r="S53">
        <v>1.1299999999999999</v>
      </c>
      <c r="T53">
        <v>3734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6</v>
      </c>
      <c r="G54">
        <v>1</v>
      </c>
      <c r="H54">
        <v>7</v>
      </c>
      <c r="I54">
        <v>4</v>
      </c>
      <c r="J54">
        <v>1.24</v>
      </c>
      <c r="K54">
        <v>1.1499999999999999</v>
      </c>
      <c r="L54">
        <v>1.05</v>
      </c>
      <c r="M54">
        <v>1</v>
      </c>
      <c r="N54">
        <v>0.97</v>
      </c>
      <c r="O54">
        <v>0.97</v>
      </c>
      <c r="P54">
        <v>1.08</v>
      </c>
      <c r="Q54">
        <v>1.31</v>
      </c>
      <c r="R54">
        <v>1.39</v>
      </c>
      <c r="S54">
        <v>1.18</v>
      </c>
      <c r="T54">
        <v>3736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6</v>
      </c>
      <c r="G55">
        <v>1</v>
      </c>
      <c r="H55">
        <v>7</v>
      </c>
      <c r="I55">
        <v>0</v>
      </c>
      <c r="J55">
        <v>1.2</v>
      </c>
      <c r="K55">
        <v>1.19</v>
      </c>
      <c r="L55">
        <v>1.39</v>
      </c>
      <c r="M55">
        <v>1.45</v>
      </c>
      <c r="N55">
        <v>1.37</v>
      </c>
      <c r="O55">
        <v>1.34</v>
      </c>
      <c r="P55">
        <v>1.38</v>
      </c>
      <c r="Q55">
        <v>1.32</v>
      </c>
      <c r="R55">
        <v>1.42</v>
      </c>
      <c r="S55">
        <v>1.1399999999999999</v>
      </c>
      <c r="T55">
        <v>3728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6</v>
      </c>
      <c r="G56">
        <v>1</v>
      </c>
      <c r="H56">
        <v>7</v>
      </c>
      <c r="I56">
        <v>12</v>
      </c>
      <c r="J56">
        <v>1.02</v>
      </c>
      <c r="K56">
        <v>1.0900000000000001</v>
      </c>
      <c r="L56">
        <v>1.3</v>
      </c>
      <c r="M56">
        <v>1.42</v>
      </c>
      <c r="N56">
        <v>1.45</v>
      </c>
      <c r="O56">
        <v>1.51</v>
      </c>
      <c r="P56">
        <v>1.53</v>
      </c>
      <c r="Q56">
        <v>1.48</v>
      </c>
      <c r="R56">
        <v>1.33</v>
      </c>
      <c r="S56">
        <v>1.1599999999999999</v>
      </c>
      <c r="T56">
        <v>3721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6</v>
      </c>
      <c r="G57">
        <v>1</v>
      </c>
      <c r="H57">
        <v>7</v>
      </c>
      <c r="I57">
        <v>20</v>
      </c>
      <c r="J57">
        <v>1.3</v>
      </c>
      <c r="K57">
        <v>1.42</v>
      </c>
      <c r="L57">
        <v>1.59</v>
      </c>
      <c r="M57">
        <v>1.54</v>
      </c>
      <c r="N57">
        <v>1.54</v>
      </c>
      <c r="O57">
        <v>1.56</v>
      </c>
      <c r="P57">
        <v>1.3</v>
      </c>
      <c r="Q57">
        <v>1.35</v>
      </c>
      <c r="R57">
        <v>1.35</v>
      </c>
      <c r="S57">
        <v>1.19</v>
      </c>
      <c r="T57">
        <v>3684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6</v>
      </c>
      <c r="G58">
        <v>1</v>
      </c>
      <c r="H58">
        <v>7</v>
      </c>
      <c r="I58">
        <v>24</v>
      </c>
      <c r="J58">
        <v>1.35</v>
      </c>
      <c r="K58">
        <v>1.31</v>
      </c>
      <c r="L58">
        <v>1.44</v>
      </c>
      <c r="M58">
        <v>1.43</v>
      </c>
      <c r="N58">
        <v>1.54</v>
      </c>
      <c r="O58">
        <v>1.38</v>
      </c>
      <c r="P58">
        <v>1.25</v>
      </c>
      <c r="Q58">
        <v>1.32</v>
      </c>
      <c r="R58">
        <v>1.35</v>
      </c>
      <c r="S58">
        <v>1.1299999999999999</v>
      </c>
      <c r="T58">
        <v>3720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6</v>
      </c>
      <c r="G59">
        <v>1</v>
      </c>
      <c r="H59">
        <v>7</v>
      </c>
      <c r="I59">
        <v>20</v>
      </c>
      <c r="J59">
        <v>1.36</v>
      </c>
      <c r="K59">
        <v>1.33</v>
      </c>
      <c r="L59">
        <v>1.42</v>
      </c>
      <c r="M59">
        <v>1.29</v>
      </c>
      <c r="N59">
        <v>1.32</v>
      </c>
      <c r="O59">
        <v>1.34</v>
      </c>
      <c r="P59">
        <v>1.4</v>
      </c>
      <c r="Q59">
        <v>1.3</v>
      </c>
      <c r="R59">
        <v>1.33</v>
      </c>
      <c r="S59">
        <v>1.1599999999999999</v>
      </c>
      <c r="T59">
        <v>3712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6</v>
      </c>
      <c r="G60">
        <v>1</v>
      </c>
      <c r="H60">
        <v>7</v>
      </c>
      <c r="I60">
        <v>16</v>
      </c>
      <c r="J60">
        <v>1.1399999999999999</v>
      </c>
      <c r="K60">
        <v>1.21</v>
      </c>
      <c r="L60">
        <v>1.46</v>
      </c>
      <c r="M60">
        <v>1.42</v>
      </c>
      <c r="N60">
        <v>1.51</v>
      </c>
      <c r="O60">
        <v>1.43</v>
      </c>
      <c r="P60">
        <v>1.49</v>
      </c>
      <c r="Q60">
        <v>1.31</v>
      </c>
      <c r="R60">
        <v>1.24</v>
      </c>
      <c r="S60">
        <v>1.03</v>
      </c>
      <c r="T60">
        <v>3719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6</v>
      </c>
      <c r="G61">
        <v>1</v>
      </c>
      <c r="H61">
        <v>7</v>
      </c>
      <c r="I61">
        <v>32</v>
      </c>
      <c r="J61">
        <v>1.54</v>
      </c>
      <c r="K61">
        <v>1.5</v>
      </c>
      <c r="L61">
        <v>1.51</v>
      </c>
      <c r="M61">
        <v>1.55</v>
      </c>
      <c r="N61">
        <v>1.43</v>
      </c>
      <c r="O61">
        <v>1.42</v>
      </c>
      <c r="P61">
        <v>1.34</v>
      </c>
      <c r="Q61">
        <v>1.38</v>
      </c>
      <c r="R61">
        <v>1.47</v>
      </c>
      <c r="S61">
        <v>1.35</v>
      </c>
      <c r="T61">
        <v>3694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6</v>
      </c>
      <c r="G62">
        <v>1</v>
      </c>
      <c r="H62">
        <v>7</v>
      </c>
      <c r="I62">
        <v>36</v>
      </c>
      <c r="J62">
        <v>1.49</v>
      </c>
      <c r="K62">
        <v>1.47</v>
      </c>
      <c r="L62">
        <v>1.56</v>
      </c>
      <c r="M62">
        <v>1.59</v>
      </c>
      <c r="N62">
        <v>1.66</v>
      </c>
      <c r="O62">
        <v>1.58</v>
      </c>
      <c r="P62">
        <v>1.48</v>
      </c>
      <c r="Q62">
        <v>1.37</v>
      </c>
      <c r="R62">
        <v>1.43</v>
      </c>
      <c r="S62">
        <v>1.34</v>
      </c>
      <c r="T62">
        <v>3727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6</v>
      </c>
      <c r="G63">
        <v>1</v>
      </c>
      <c r="H63">
        <v>7</v>
      </c>
      <c r="I63">
        <v>40</v>
      </c>
      <c r="J63">
        <v>1.41</v>
      </c>
      <c r="K63">
        <v>1.38</v>
      </c>
      <c r="L63">
        <v>1.47</v>
      </c>
      <c r="M63">
        <v>1.58</v>
      </c>
      <c r="N63">
        <v>1.57</v>
      </c>
      <c r="O63">
        <v>1.5</v>
      </c>
      <c r="P63">
        <v>1.43</v>
      </c>
      <c r="Q63">
        <v>1.22</v>
      </c>
      <c r="R63">
        <v>1.26</v>
      </c>
      <c r="S63">
        <v>1.1000000000000001</v>
      </c>
      <c r="T63">
        <v>3688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6</v>
      </c>
      <c r="G64">
        <v>1</v>
      </c>
      <c r="H64">
        <v>7</v>
      </c>
      <c r="I64">
        <v>44</v>
      </c>
      <c r="J64">
        <v>1.43</v>
      </c>
      <c r="K64">
        <v>1.4</v>
      </c>
      <c r="L64">
        <v>1.41</v>
      </c>
      <c r="M64">
        <v>1.53</v>
      </c>
      <c r="N64">
        <v>1.58</v>
      </c>
      <c r="O64">
        <v>1.55</v>
      </c>
      <c r="P64">
        <v>1.54</v>
      </c>
      <c r="Q64">
        <v>1.4</v>
      </c>
      <c r="R64">
        <v>1.3</v>
      </c>
      <c r="S64">
        <v>1.33</v>
      </c>
      <c r="T64">
        <v>3683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6</v>
      </c>
      <c r="G65">
        <v>1</v>
      </c>
      <c r="H65">
        <v>8</v>
      </c>
      <c r="I65">
        <v>1</v>
      </c>
      <c r="J65">
        <v>1.2</v>
      </c>
      <c r="K65">
        <v>1.03</v>
      </c>
      <c r="L65">
        <v>1.1200000000000001</v>
      </c>
      <c r="M65">
        <v>1.29</v>
      </c>
      <c r="N65">
        <v>1.36</v>
      </c>
      <c r="O65">
        <v>1.23</v>
      </c>
      <c r="P65">
        <v>1.23</v>
      </c>
      <c r="Q65">
        <v>1.29</v>
      </c>
      <c r="R65">
        <v>1.4</v>
      </c>
      <c r="S65">
        <v>1.33</v>
      </c>
      <c r="T65">
        <v>3657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6</v>
      </c>
      <c r="G66">
        <v>1</v>
      </c>
      <c r="H66">
        <v>7</v>
      </c>
      <c r="I66">
        <v>57</v>
      </c>
      <c r="J66">
        <v>1.39</v>
      </c>
      <c r="K66">
        <v>1.45</v>
      </c>
      <c r="L66">
        <v>1.51</v>
      </c>
      <c r="M66">
        <v>1.26</v>
      </c>
      <c r="N66">
        <v>1.39</v>
      </c>
      <c r="O66">
        <v>1.53</v>
      </c>
      <c r="P66">
        <v>1.28</v>
      </c>
      <c r="Q66">
        <v>1.28</v>
      </c>
      <c r="R66">
        <v>1.43</v>
      </c>
      <c r="S66">
        <v>1.35</v>
      </c>
      <c r="T66">
        <v>3701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6</v>
      </c>
      <c r="G67">
        <v>1</v>
      </c>
      <c r="H67">
        <v>7</v>
      </c>
      <c r="I67">
        <v>53</v>
      </c>
      <c r="J67">
        <v>1.48</v>
      </c>
      <c r="K67">
        <v>1.38</v>
      </c>
      <c r="L67">
        <v>1.33</v>
      </c>
      <c r="M67">
        <v>1.29</v>
      </c>
      <c r="N67">
        <v>1.36</v>
      </c>
      <c r="O67">
        <v>1.36</v>
      </c>
      <c r="P67">
        <v>1.1399999999999999</v>
      </c>
      <c r="Q67">
        <v>1.18</v>
      </c>
      <c r="R67">
        <v>1.28</v>
      </c>
      <c r="S67">
        <v>1.23</v>
      </c>
      <c r="T67">
        <v>3697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6</v>
      </c>
      <c r="G68">
        <v>1</v>
      </c>
      <c r="H68">
        <v>7</v>
      </c>
      <c r="I68">
        <v>41</v>
      </c>
      <c r="J68">
        <v>1.56</v>
      </c>
      <c r="K68">
        <v>1.47</v>
      </c>
      <c r="L68">
        <v>1.3</v>
      </c>
      <c r="M68">
        <v>1.38</v>
      </c>
      <c r="N68">
        <v>1.49</v>
      </c>
      <c r="O68">
        <v>1.42</v>
      </c>
      <c r="P68">
        <v>1.35</v>
      </c>
      <c r="Q68">
        <v>1.2</v>
      </c>
      <c r="R68">
        <v>1.27</v>
      </c>
      <c r="S68">
        <v>1.24</v>
      </c>
      <c r="T68">
        <v>3690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19.222199999999997</v>
      </c>
      <c r="K73">
        <f t="shared" ref="K73:R73" si="0">22.275*K45-6.1713</f>
        <v>20.558699999999998</v>
      </c>
      <c r="L73">
        <f t="shared" si="0"/>
        <v>23.89995</v>
      </c>
      <c r="M73">
        <f t="shared" si="0"/>
        <v>26.572949999999995</v>
      </c>
      <c r="N73">
        <f t="shared" si="0"/>
        <v>24.790949999999999</v>
      </c>
      <c r="O73">
        <f t="shared" si="0"/>
        <v>27.463950000000001</v>
      </c>
      <c r="P73">
        <f t="shared" si="0"/>
        <v>28.577700000000004</v>
      </c>
      <c r="Q73">
        <f t="shared" si="0"/>
        <v>26.350199999999997</v>
      </c>
      <c r="R73">
        <f t="shared" si="0"/>
        <v>26.572949999999995</v>
      </c>
      <c r="S73">
        <f>22.275*(S45*1.1)-6.1713</f>
        <v>25.191900000000004</v>
      </c>
    </row>
    <row r="74" spans="1:20" x14ac:dyDescent="0.25">
      <c r="I74" t="s">
        <v>43</v>
      </c>
      <c r="J74">
        <f t="shared" ref="J74:R89" si="1">22.275*J46-6.1713</f>
        <v>23.89995</v>
      </c>
      <c r="K74">
        <f t="shared" si="1"/>
        <v>25.013699999999996</v>
      </c>
      <c r="L74">
        <f t="shared" si="1"/>
        <v>21.004199999999997</v>
      </c>
      <c r="M74">
        <f t="shared" si="1"/>
        <v>21.226949999999999</v>
      </c>
      <c r="N74">
        <f t="shared" si="1"/>
        <v>20.78145</v>
      </c>
      <c r="O74">
        <f t="shared" si="1"/>
        <v>21.4497</v>
      </c>
      <c r="P74">
        <f t="shared" si="1"/>
        <v>20.78145</v>
      </c>
      <c r="Q74">
        <f t="shared" si="1"/>
        <v>25.013699999999996</v>
      </c>
      <c r="R74">
        <f t="shared" si="1"/>
        <v>24.790949999999999</v>
      </c>
      <c r="S74">
        <f t="shared" ref="S74:S91" si="2">22.275*(S46*1.1)-6.1713</f>
        <v>22.2516</v>
      </c>
    </row>
    <row r="75" spans="1:20" x14ac:dyDescent="0.25">
      <c r="I75" t="s">
        <v>44</v>
      </c>
      <c r="J75">
        <f t="shared" si="1"/>
        <v>22.786200000000001</v>
      </c>
      <c r="K75">
        <f t="shared" si="1"/>
        <v>21.226949999999999</v>
      </c>
      <c r="L75">
        <f t="shared" si="1"/>
        <v>22.56345</v>
      </c>
      <c r="M75">
        <f t="shared" si="1"/>
        <v>25.459199999999999</v>
      </c>
      <c r="N75">
        <f t="shared" si="1"/>
        <v>26.572949999999995</v>
      </c>
      <c r="O75">
        <f t="shared" si="1"/>
        <v>26.7957</v>
      </c>
      <c r="P75">
        <f t="shared" si="1"/>
        <v>25.459199999999999</v>
      </c>
      <c r="Q75">
        <f t="shared" si="1"/>
        <v>23.454450000000001</v>
      </c>
      <c r="R75">
        <f t="shared" si="1"/>
        <v>24.568199999999997</v>
      </c>
      <c r="S75">
        <f t="shared" si="2"/>
        <v>22.2516</v>
      </c>
    </row>
    <row r="76" spans="1:20" x14ac:dyDescent="0.25">
      <c r="I76" t="s">
        <v>45</v>
      </c>
      <c r="J76">
        <f t="shared" si="1"/>
        <v>26.12745</v>
      </c>
      <c r="K76">
        <f t="shared" si="1"/>
        <v>27.018449999999998</v>
      </c>
      <c r="L76">
        <f t="shared" si="1"/>
        <v>27.018449999999998</v>
      </c>
      <c r="M76">
        <f t="shared" si="1"/>
        <v>27.463950000000001</v>
      </c>
      <c r="N76">
        <f t="shared" si="1"/>
        <v>24.790949999999999</v>
      </c>
      <c r="O76">
        <f t="shared" si="1"/>
        <v>24.568199999999997</v>
      </c>
      <c r="P76">
        <f t="shared" si="1"/>
        <v>28.354949999999999</v>
      </c>
      <c r="Q76">
        <f t="shared" si="1"/>
        <v>25.904699999999995</v>
      </c>
      <c r="R76">
        <f t="shared" si="1"/>
        <v>25.459199999999999</v>
      </c>
      <c r="S76">
        <f t="shared" si="2"/>
        <v>22.986674999999998</v>
      </c>
    </row>
    <row r="77" spans="1:20" x14ac:dyDescent="0.25">
      <c r="I77" t="s">
        <v>46</v>
      </c>
      <c r="J77">
        <f t="shared" si="1"/>
        <v>27.463950000000001</v>
      </c>
      <c r="K77">
        <f t="shared" si="1"/>
        <v>25.459199999999999</v>
      </c>
      <c r="L77">
        <f t="shared" si="1"/>
        <v>26.12745</v>
      </c>
      <c r="M77">
        <f t="shared" si="1"/>
        <v>26.12745</v>
      </c>
      <c r="N77">
        <f t="shared" si="1"/>
        <v>26.572949999999995</v>
      </c>
      <c r="O77">
        <f t="shared" si="1"/>
        <v>26.572949999999995</v>
      </c>
      <c r="P77">
        <f t="shared" si="1"/>
        <v>22.786200000000001</v>
      </c>
      <c r="Q77">
        <f t="shared" si="1"/>
        <v>26.12745</v>
      </c>
      <c r="R77">
        <f t="shared" si="1"/>
        <v>27.241199999999996</v>
      </c>
      <c r="S77">
        <f t="shared" si="2"/>
        <v>25.926975000000002</v>
      </c>
    </row>
    <row r="78" spans="1:20" x14ac:dyDescent="0.25">
      <c r="I78" t="s">
        <v>47</v>
      </c>
      <c r="J78">
        <f t="shared" si="1"/>
        <v>25.681949999999997</v>
      </c>
      <c r="K78">
        <f t="shared" si="1"/>
        <v>24.345450000000003</v>
      </c>
      <c r="L78">
        <f t="shared" si="1"/>
        <v>24.790949999999999</v>
      </c>
      <c r="M78">
        <f t="shared" si="1"/>
        <v>26.350199999999997</v>
      </c>
      <c r="N78">
        <f t="shared" si="1"/>
        <v>24.790949999999999</v>
      </c>
      <c r="O78">
        <f t="shared" si="1"/>
        <v>20.558699999999998</v>
      </c>
      <c r="P78">
        <f t="shared" si="1"/>
        <v>18.776700000000002</v>
      </c>
      <c r="Q78">
        <f t="shared" si="1"/>
        <v>24.122700000000002</v>
      </c>
      <c r="R78">
        <f t="shared" si="1"/>
        <v>23.89995</v>
      </c>
      <c r="S78">
        <f t="shared" si="2"/>
        <v>21.026475000000005</v>
      </c>
    </row>
    <row r="79" spans="1:20" x14ac:dyDescent="0.25">
      <c r="I79" t="s">
        <v>48</v>
      </c>
      <c r="J79">
        <f t="shared" si="1"/>
        <v>22.340700000000002</v>
      </c>
      <c r="K79">
        <f t="shared" si="1"/>
        <v>23.008950000000002</v>
      </c>
      <c r="L79">
        <f t="shared" si="1"/>
        <v>26.350199999999997</v>
      </c>
      <c r="M79">
        <f t="shared" si="1"/>
        <v>27.241199999999996</v>
      </c>
      <c r="N79">
        <f t="shared" si="1"/>
        <v>23.677200000000003</v>
      </c>
      <c r="O79">
        <f t="shared" si="1"/>
        <v>18.331200000000003</v>
      </c>
      <c r="P79">
        <f t="shared" si="1"/>
        <v>18.999449999999996</v>
      </c>
      <c r="Q79">
        <f t="shared" si="1"/>
        <v>21.4497</v>
      </c>
      <c r="R79">
        <f t="shared" si="1"/>
        <v>24.122700000000002</v>
      </c>
      <c r="S79">
        <f t="shared" si="2"/>
        <v>23.966774999999998</v>
      </c>
    </row>
    <row r="80" spans="1:20" x14ac:dyDescent="0.25">
      <c r="I80" t="s">
        <v>49</v>
      </c>
      <c r="J80">
        <f t="shared" si="1"/>
        <v>17.662950000000002</v>
      </c>
      <c r="K80">
        <f t="shared" si="1"/>
        <v>14.544450000000001</v>
      </c>
      <c r="L80">
        <f t="shared" si="1"/>
        <v>13.653449999999999</v>
      </c>
      <c r="M80">
        <f t="shared" si="1"/>
        <v>14.3217</v>
      </c>
      <c r="N80">
        <f t="shared" si="1"/>
        <v>14.098950000000002</v>
      </c>
      <c r="O80">
        <f t="shared" si="1"/>
        <v>14.098950000000002</v>
      </c>
      <c r="P80">
        <f t="shared" si="1"/>
        <v>15.658200000000001</v>
      </c>
      <c r="Q80">
        <f t="shared" si="1"/>
        <v>17.662950000000002</v>
      </c>
      <c r="R80">
        <f t="shared" si="1"/>
        <v>22.11795</v>
      </c>
      <c r="S80">
        <f t="shared" si="2"/>
        <v>22.006574999999998</v>
      </c>
    </row>
    <row r="81" spans="9:19" x14ac:dyDescent="0.25">
      <c r="I81" t="s">
        <v>50</v>
      </c>
      <c r="J81">
        <f t="shared" si="1"/>
        <v>26.350199999999997</v>
      </c>
      <c r="K81">
        <f t="shared" si="1"/>
        <v>24.568199999999997</v>
      </c>
      <c r="L81">
        <f t="shared" si="1"/>
        <v>25.013699999999996</v>
      </c>
      <c r="M81">
        <f t="shared" si="1"/>
        <v>24.568199999999997</v>
      </c>
      <c r="N81">
        <f t="shared" si="1"/>
        <v>22.56345</v>
      </c>
      <c r="O81">
        <f t="shared" si="1"/>
        <v>20.335949999999997</v>
      </c>
      <c r="P81">
        <f t="shared" si="1"/>
        <v>19.444949999999999</v>
      </c>
      <c r="Q81">
        <f t="shared" si="1"/>
        <v>21.004199999999997</v>
      </c>
      <c r="R81">
        <f t="shared" si="1"/>
        <v>22.340700000000002</v>
      </c>
      <c r="S81">
        <f t="shared" si="2"/>
        <v>21.516524999999998</v>
      </c>
    </row>
    <row r="82" spans="9:19" x14ac:dyDescent="0.25">
      <c r="I82" t="s">
        <v>51</v>
      </c>
      <c r="J82">
        <f t="shared" si="1"/>
        <v>21.4497</v>
      </c>
      <c r="K82">
        <f t="shared" si="1"/>
        <v>19.444949999999999</v>
      </c>
      <c r="L82">
        <f t="shared" si="1"/>
        <v>17.217449999999999</v>
      </c>
      <c r="M82">
        <f t="shared" si="1"/>
        <v>16.1037</v>
      </c>
      <c r="N82">
        <f t="shared" si="1"/>
        <v>15.435449999999999</v>
      </c>
      <c r="O82">
        <f t="shared" si="1"/>
        <v>15.435449999999999</v>
      </c>
      <c r="P82">
        <f t="shared" si="1"/>
        <v>17.8857</v>
      </c>
      <c r="Q82">
        <f t="shared" si="1"/>
        <v>23.008950000000002</v>
      </c>
      <c r="R82">
        <f t="shared" si="1"/>
        <v>24.790949999999999</v>
      </c>
      <c r="S82">
        <f t="shared" si="2"/>
        <v>22.74165</v>
      </c>
    </row>
    <row r="83" spans="9:19" x14ac:dyDescent="0.25">
      <c r="I83" t="s">
        <v>52</v>
      </c>
      <c r="J83">
        <f t="shared" si="1"/>
        <v>20.558699999999998</v>
      </c>
      <c r="K83">
        <f t="shared" si="1"/>
        <v>20.335949999999997</v>
      </c>
      <c r="L83">
        <f t="shared" si="1"/>
        <v>24.790949999999999</v>
      </c>
      <c r="M83">
        <f t="shared" si="1"/>
        <v>26.12745</v>
      </c>
      <c r="N83">
        <f t="shared" si="1"/>
        <v>24.345450000000003</v>
      </c>
      <c r="O83">
        <f t="shared" si="1"/>
        <v>23.677200000000003</v>
      </c>
      <c r="P83">
        <f t="shared" si="1"/>
        <v>24.568199999999997</v>
      </c>
      <c r="Q83">
        <f t="shared" si="1"/>
        <v>23.2317</v>
      </c>
      <c r="R83">
        <f t="shared" si="1"/>
        <v>25.459199999999999</v>
      </c>
      <c r="S83">
        <f t="shared" si="2"/>
        <v>21.76155</v>
      </c>
    </row>
    <row r="84" spans="9:19" x14ac:dyDescent="0.25">
      <c r="I84" t="s">
        <v>53</v>
      </c>
      <c r="J84">
        <f t="shared" si="1"/>
        <v>16.549199999999999</v>
      </c>
      <c r="K84">
        <f t="shared" si="1"/>
        <v>18.108450000000001</v>
      </c>
      <c r="L84">
        <f t="shared" si="1"/>
        <v>22.786200000000001</v>
      </c>
      <c r="M84">
        <f t="shared" si="1"/>
        <v>25.459199999999999</v>
      </c>
      <c r="N84">
        <f t="shared" si="1"/>
        <v>26.12745</v>
      </c>
      <c r="O84">
        <f t="shared" si="1"/>
        <v>27.463950000000001</v>
      </c>
      <c r="P84">
        <f t="shared" si="1"/>
        <v>27.909450000000003</v>
      </c>
      <c r="Q84">
        <f t="shared" si="1"/>
        <v>26.7957</v>
      </c>
      <c r="R84">
        <f t="shared" si="1"/>
        <v>23.454450000000001</v>
      </c>
      <c r="S84">
        <f t="shared" si="2"/>
        <v>22.2516</v>
      </c>
    </row>
    <row r="85" spans="9:19" x14ac:dyDescent="0.25">
      <c r="I85" t="s">
        <v>54</v>
      </c>
      <c r="J85">
        <f t="shared" si="1"/>
        <v>22.786200000000001</v>
      </c>
      <c r="K85">
        <f t="shared" si="1"/>
        <v>25.459199999999999</v>
      </c>
      <c r="L85">
        <f t="shared" si="1"/>
        <v>29.245950000000004</v>
      </c>
      <c r="M85">
        <f t="shared" si="1"/>
        <v>28.132200000000001</v>
      </c>
      <c r="N85">
        <f t="shared" si="1"/>
        <v>28.132200000000001</v>
      </c>
      <c r="O85">
        <f t="shared" si="1"/>
        <v>28.577700000000004</v>
      </c>
      <c r="P85">
        <f t="shared" si="1"/>
        <v>22.786200000000001</v>
      </c>
      <c r="Q85">
        <f t="shared" si="1"/>
        <v>23.89995</v>
      </c>
      <c r="R85">
        <f t="shared" si="1"/>
        <v>23.89995</v>
      </c>
      <c r="S85">
        <f t="shared" si="2"/>
        <v>22.986674999999998</v>
      </c>
    </row>
    <row r="86" spans="9:19" x14ac:dyDescent="0.25">
      <c r="I86" t="s">
        <v>55</v>
      </c>
      <c r="J86">
        <f t="shared" si="1"/>
        <v>23.89995</v>
      </c>
      <c r="K86">
        <f t="shared" si="1"/>
        <v>23.008950000000002</v>
      </c>
      <c r="L86">
        <f t="shared" si="1"/>
        <v>25.904699999999995</v>
      </c>
      <c r="M86">
        <f t="shared" si="1"/>
        <v>25.681949999999997</v>
      </c>
      <c r="N86">
        <f t="shared" si="1"/>
        <v>28.132200000000001</v>
      </c>
      <c r="O86">
        <f t="shared" si="1"/>
        <v>24.568199999999997</v>
      </c>
      <c r="P86">
        <f t="shared" si="1"/>
        <v>21.672450000000001</v>
      </c>
      <c r="Q86">
        <f t="shared" si="1"/>
        <v>23.2317</v>
      </c>
      <c r="R86">
        <f t="shared" si="1"/>
        <v>23.89995</v>
      </c>
      <c r="S86">
        <f t="shared" si="2"/>
        <v>21.516524999999998</v>
      </c>
    </row>
    <row r="87" spans="9:19" x14ac:dyDescent="0.25">
      <c r="I87" t="s">
        <v>56</v>
      </c>
      <c r="J87">
        <f t="shared" si="1"/>
        <v>24.122700000000002</v>
      </c>
      <c r="K87">
        <f t="shared" si="1"/>
        <v>23.454450000000001</v>
      </c>
      <c r="L87">
        <f t="shared" si="1"/>
        <v>25.459199999999999</v>
      </c>
      <c r="M87">
        <f t="shared" si="1"/>
        <v>22.56345</v>
      </c>
      <c r="N87">
        <f t="shared" si="1"/>
        <v>23.2317</v>
      </c>
      <c r="O87">
        <f t="shared" si="1"/>
        <v>23.677200000000003</v>
      </c>
      <c r="P87">
        <f t="shared" si="1"/>
        <v>25.013699999999996</v>
      </c>
      <c r="Q87">
        <f t="shared" si="1"/>
        <v>22.786200000000001</v>
      </c>
      <c r="R87">
        <f t="shared" si="1"/>
        <v>23.454450000000001</v>
      </c>
      <c r="S87">
        <f t="shared" si="2"/>
        <v>22.2516</v>
      </c>
    </row>
    <row r="88" spans="9:19" x14ac:dyDescent="0.25">
      <c r="I88" t="s">
        <v>57</v>
      </c>
      <c r="J88">
        <f t="shared" si="1"/>
        <v>19.222199999999997</v>
      </c>
      <c r="K88">
        <f t="shared" si="1"/>
        <v>20.78145</v>
      </c>
      <c r="L88">
        <f t="shared" si="1"/>
        <v>26.350199999999997</v>
      </c>
      <c r="M88">
        <f t="shared" si="1"/>
        <v>25.459199999999999</v>
      </c>
      <c r="N88">
        <f t="shared" si="1"/>
        <v>27.463950000000001</v>
      </c>
      <c r="O88">
        <f t="shared" si="1"/>
        <v>25.681949999999997</v>
      </c>
      <c r="P88">
        <f t="shared" si="1"/>
        <v>27.018449999999998</v>
      </c>
      <c r="Q88">
        <f t="shared" si="1"/>
        <v>23.008950000000002</v>
      </c>
      <c r="R88">
        <f t="shared" si="1"/>
        <v>21.4497</v>
      </c>
      <c r="S88">
        <f t="shared" si="2"/>
        <v>19.066275000000005</v>
      </c>
    </row>
    <row r="89" spans="9:19" x14ac:dyDescent="0.25">
      <c r="I89" t="s">
        <v>58</v>
      </c>
      <c r="J89">
        <f t="shared" si="1"/>
        <v>28.132200000000001</v>
      </c>
      <c r="K89">
        <f t="shared" si="1"/>
        <v>27.241199999999996</v>
      </c>
      <c r="L89">
        <f t="shared" si="1"/>
        <v>27.463950000000001</v>
      </c>
      <c r="M89">
        <f t="shared" si="1"/>
        <v>28.354949999999999</v>
      </c>
      <c r="N89">
        <f t="shared" si="1"/>
        <v>25.681949999999997</v>
      </c>
      <c r="O89">
        <f t="shared" si="1"/>
        <v>25.459199999999999</v>
      </c>
      <c r="P89">
        <f t="shared" si="1"/>
        <v>23.677200000000003</v>
      </c>
      <c r="Q89">
        <f t="shared" si="1"/>
        <v>24.568199999999997</v>
      </c>
      <c r="R89">
        <f t="shared" si="1"/>
        <v>26.572949999999995</v>
      </c>
      <c r="S89">
        <f t="shared" si="2"/>
        <v>26.90707500000001</v>
      </c>
    </row>
    <row r="90" spans="9:19" x14ac:dyDescent="0.25">
      <c r="I90" t="s">
        <v>59</v>
      </c>
      <c r="J90">
        <f t="shared" ref="J90:R96" si="3">22.275*J62-6.1713</f>
        <v>27.018449999999998</v>
      </c>
      <c r="K90">
        <f t="shared" si="3"/>
        <v>26.572949999999995</v>
      </c>
      <c r="L90">
        <f t="shared" si="3"/>
        <v>28.577700000000004</v>
      </c>
      <c r="M90">
        <f t="shared" si="3"/>
        <v>29.245950000000004</v>
      </c>
      <c r="N90">
        <f t="shared" si="3"/>
        <v>30.805199999999996</v>
      </c>
      <c r="O90">
        <f t="shared" si="3"/>
        <v>29.023199999999999</v>
      </c>
      <c r="P90">
        <f t="shared" si="3"/>
        <v>26.7957</v>
      </c>
      <c r="Q90">
        <f t="shared" si="3"/>
        <v>24.345450000000003</v>
      </c>
      <c r="R90">
        <f t="shared" si="3"/>
        <v>25.681949999999997</v>
      </c>
      <c r="S90">
        <f t="shared" si="2"/>
        <v>26.662050000000004</v>
      </c>
    </row>
    <row r="91" spans="9:19" x14ac:dyDescent="0.25">
      <c r="I91" t="s">
        <v>60</v>
      </c>
      <c r="J91">
        <f t="shared" si="3"/>
        <v>25.236449999999998</v>
      </c>
      <c r="K91">
        <f t="shared" si="3"/>
        <v>24.568199999999997</v>
      </c>
      <c r="L91">
        <f t="shared" si="3"/>
        <v>26.572949999999995</v>
      </c>
      <c r="M91">
        <f t="shared" si="3"/>
        <v>29.023199999999999</v>
      </c>
      <c r="N91">
        <f t="shared" si="3"/>
        <v>28.800450000000001</v>
      </c>
      <c r="O91">
        <f t="shared" si="3"/>
        <v>27.241199999999996</v>
      </c>
      <c r="P91">
        <f t="shared" si="3"/>
        <v>25.681949999999997</v>
      </c>
      <c r="Q91">
        <f t="shared" si="3"/>
        <v>21.004199999999997</v>
      </c>
      <c r="R91">
        <f t="shared" si="3"/>
        <v>21.895199999999999</v>
      </c>
      <c r="S91">
        <f t="shared" si="2"/>
        <v>20.781450000000003</v>
      </c>
    </row>
    <row r="92" spans="9:19" x14ac:dyDescent="0.25">
      <c r="I92" t="s">
        <v>61</v>
      </c>
      <c r="J92">
        <f t="shared" si="3"/>
        <v>25.681949999999997</v>
      </c>
      <c r="K92">
        <f t="shared" si="3"/>
        <v>25.013699999999996</v>
      </c>
      <c r="L92">
        <f t="shared" si="3"/>
        <v>25.236449999999998</v>
      </c>
      <c r="M92">
        <f t="shared" si="3"/>
        <v>27.909450000000003</v>
      </c>
      <c r="N92">
        <f t="shared" si="3"/>
        <v>29.023199999999999</v>
      </c>
      <c r="O92">
        <f t="shared" si="3"/>
        <v>28.354949999999999</v>
      </c>
      <c r="P92">
        <f t="shared" si="3"/>
        <v>28.132200000000001</v>
      </c>
      <c r="Q92">
        <f t="shared" si="3"/>
        <v>25.013699999999996</v>
      </c>
      <c r="R92">
        <f t="shared" si="3"/>
        <v>22.786200000000001</v>
      </c>
      <c r="S92">
        <f>22.275*(S64*1.1)-6.1713</f>
        <v>26.417025000000006</v>
      </c>
    </row>
    <row r="93" spans="9:19" x14ac:dyDescent="0.25">
      <c r="I93" t="s">
        <v>62</v>
      </c>
      <c r="J93">
        <f t="shared" si="3"/>
        <v>20.558699999999998</v>
      </c>
      <c r="K93">
        <f t="shared" si="3"/>
        <v>16.77195</v>
      </c>
      <c r="L93">
        <f t="shared" si="3"/>
        <v>18.776700000000002</v>
      </c>
      <c r="M93">
        <f t="shared" si="3"/>
        <v>22.56345</v>
      </c>
      <c r="N93">
        <f t="shared" si="3"/>
        <v>24.122700000000002</v>
      </c>
      <c r="O93">
        <f t="shared" si="3"/>
        <v>21.226949999999999</v>
      </c>
      <c r="P93">
        <f t="shared" si="3"/>
        <v>21.226949999999999</v>
      </c>
      <c r="Q93">
        <f t="shared" si="3"/>
        <v>22.56345</v>
      </c>
      <c r="R93">
        <f t="shared" si="3"/>
        <v>25.013699999999996</v>
      </c>
      <c r="S93">
        <f t="shared" ref="S93:S95" si="4">22.275*(S65*1.1)-6.1713</f>
        <v>26.417025000000006</v>
      </c>
    </row>
    <row r="94" spans="9:19" x14ac:dyDescent="0.25">
      <c r="I94" t="s">
        <v>63</v>
      </c>
      <c r="J94">
        <f t="shared" si="3"/>
        <v>24.790949999999999</v>
      </c>
      <c r="K94">
        <f t="shared" si="3"/>
        <v>26.12745</v>
      </c>
      <c r="L94">
        <f t="shared" si="3"/>
        <v>27.463950000000001</v>
      </c>
      <c r="M94">
        <f t="shared" si="3"/>
        <v>21.895199999999999</v>
      </c>
      <c r="N94">
        <f t="shared" si="3"/>
        <v>24.790949999999999</v>
      </c>
      <c r="O94">
        <f t="shared" si="3"/>
        <v>27.909450000000003</v>
      </c>
      <c r="P94">
        <f t="shared" si="3"/>
        <v>22.340700000000002</v>
      </c>
      <c r="Q94">
        <f t="shared" si="3"/>
        <v>22.340700000000002</v>
      </c>
      <c r="R94">
        <f t="shared" si="3"/>
        <v>25.681949999999997</v>
      </c>
      <c r="S94">
        <f t="shared" si="4"/>
        <v>26.90707500000001</v>
      </c>
    </row>
    <row r="95" spans="9:19" x14ac:dyDescent="0.25">
      <c r="I95" t="s">
        <v>64</v>
      </c>
      <c r="J95">
        <f t="shared" si="3"/>
        <v>26.7957</v>
      </c>
      <c r="K95">
        <f t="shared" si="3"/>
        <v>24.568199999999997</v>
      </c>
      <c r="L95">
        <f t="shared" si="3"/>
        <v>23.454450000000001</v>
      </c>
      <c r="M95">
        <f t="shared" si="3"/>
        <v>22.56345</v>
      </c>
      <c r="N95">
        <f t="shared" si="3"/>
        <v>24.122700000000002</v>
      </c>
      <c r="O95">
        <f t="shared" si="3"/>
        <v>24.122700000000002</v>
      </c>
      <c r="P95">
        <f t="shared" si="3"/>
        <v>19.222199999999997</v>
      </c>
      <c r="Q95">
        <f t="shared" si="3"/>
        <v>20.113199999999999</v>
      </c>
      <c r="R95">
        <f t="shared" si="3"/>
        <v>22.340700000000002</v>
      </c>
      <c r="S95">
        <f t="shared" si="4"/>
        <v>23.966774999999998</v>
      </c>
    </row>
    <row r="96" spans="9:19" x14ac:dyDescent="0.25">
      <c r="I96" t="s">
        <v>65</v>
      </c>
      <c r="J96">
        <f>22.275*J68-6.1713</f>
        <v>28.577700000000004</v>
      </c>
      <c r="K96">
        <f t="shared" si="3"/>
        <v>26.572949999999995</v>
      </c>
      <c r="L96">
        <f t="shared" si="3"/>
        <v>22.786200000000001</v>
      </c>
      <c r="M96">
        <f t="shared" si="3"/>
        <v>24.568199999999997</v>
      </c>
      <c r="N96">
        <f t="shared" si="3"/>
        <v>27.018449999999998</v>
      </c>
      <c r="O96">
        <f t="shared" si="3"/>
        <v>25.459199999999999</v>
      </c>
      <c r="P96">
        <f t="shared" si="3"/>
        <v>23.89995</v>
      </c>
      <c r="Q96">
        <f t="shared" si="3"/>
        <v>20.558699999999998</v>
      </c>
      <c r="R96">
        <f t="shared" si="3"/>
        <v>22.11795</v>
      </c>
      <c r="S96">
        <f>22.275*(S68*1.1)-6.1713</f>
        <v>24.2118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0.19222199999999998</v>
      </c>
      <c r="K101" s="4">
        <f t="shared" si="5"/>
        <v>0.20558699999999999</v>
      </c>
      <c r="L101" s="4">
        <f t="shared" si="5"/>
        <v>0.2389995</v>
      </c>
      <c r="M101" s="4">
        <f t="shared" si="5"/>
        <v>0.26572949999999995</v>
      </c>
      <c r="N101" s="4">
        <f t="shared" si="5"/>
        <v>0.24790949999999998</v>
      </c>
      <c r="O101" s="4">
        <f t="shared" si="5"/>
        <v>0.27463949999999998</v>
      </c>
      <c r="P101" s="4">
        <f t="shared" si="5"/>
        <v>0.28577700000000006</v>
      </c>
      <c r="Q101" s="4">
        <f t="shared" si="5"/>
        <v>0.26350199999999996</v>
      </c>
      <c r="R101" s="4">
        <f t="shared" si="5"/>
        <v>0.26572949999999995</v>
      </c>
      <c r="S101" s="4">
        <f t="shared" si="5"/>
        <v>0.25191900000000006</v>
      </c>
    </row>
    <row r="102" spans="9:19" x14ac:dyDescent="0.25">
      <c r="I102">
        <v>12</v>
      </c>
      <c r="J102" s="4">
        <f t="shared" ref="J102:S115" si="6">IF(J74&lt;0,"",J74/100)</f>
        <v>0.2389995</v>
      </c>
      <c r="K102" s="4">
        <f t="shared" si="6"/>
        <v>0.25013699999999994</v>
      </c>
      <c r="L102" s="4">
        <f t="shared" si="6"/>
        <v>0.21004199999999998</v>
      </c>
      <c r="M102" s="4">
        <f t="shared" si="6"/>
        <v>0.2122695</v>
      </c>
      <c r="N102" s="4">
        <f t="shared" si="6"/>
        <v>0.20781449999999999</v>
      </c>
      <c r="O102" s="4">
        <f t="shared" si="6"/>
        <v>0.21449699999999999</v>
      </c>
      <c r="P102" s="4">
        <f t="shared" si="6"/>
        <v>0.20781449999999999</v>
      </c>
      <c r="Q102" s="4">
        <f t="shared" si="6"/>
        <v>0.25013699999999994</v>
      </c>
      <c r="R102" s="4">
        <f t="shared" si="6"/>
        <v>0.24790949999999998</v>
      </c>
      <c r="S102" s="4">
        <f t="shared" si="6"/>
        <v>0.22251599999999999</v>
      </c>
    </row>
    <row r="103" spans="9:19" x14ac:dyDescent="0.25">
      <c r="I103">
        <v>13</v>
      </c>
      <c r="J103" s="4">
        <f t="shared" si="6"/>
        <v>0.22786200000000001</v>
      </c>
      <c r="K103" s="4">
        <f t="shared" si="6"/>
        <v>0.2122695</v>
      </c>
      <c r="L103" s="4">
        <f t="shared" si="6"/>
        <v>0.22563449999999999</v>
      </c>
      <c r="M103" s="4">
        <f t="shared" si="6"/>
        <v>0.25459199999999998</v>
      </c>
      <c r="N103" s="4">
        <f t="shared" si="6"/>
        <v>0.26572949999999995</v>
      </c>
      <c r="O103" s="4">
        <f t="shared" si="6"/>
        <v>0.267957</v>
      </c>
      <c r="P103" s="4">
        <f t="shared" si="6"/>
        <v>0.25459199999999998</v>
      </c>
      <c r="Q103" s="4">
        <f t="shared" si="6"/>
        <v>0.23454450000000002</v>
      </c>
      <c r="R103" s="4">
        <f t="shared" si="6"/>
        <v>0.24568199999999998</v>
      </c>
      <c r="S103" s="4">
        <f t="shared" si="6"/>
        <v>0.22251599999999999</v>
      </c>
    </row>
    <row r="104" spans="9:19" x14ac:dyDescent="0.25">
      <c r="I104">
        <v>14</v>
      </c>
      <c r="J104" s="4">
        <f t="shared" si="6"/>
        <v>0.26127450000000002</v>
      </c>
      <c r="K104" s="4">
        <f t="shared" si="6"/>
        <v>0.27018449999999999</v>
      </c>
      <c r="L104" s="4">
        <f t="shared" si="6"/>
        <v>0.27018449999999999</v>
      </c>
      <c r="M104" s="4">
        <f t="shared" si="6"/>
        <v>0.27463949999999998</v>
      </c>
      <c r="N104" s="4">
        <f t="shared" si="6"/>
        <v>0.24790949999999998</v>
      </c>
      <c r="O104" s="4">
        <f t="shared" si="6"/>
        <v>0.24568199999999998</v>
      </c>
      <c r="P104" s="4">
        <f t="shared" si="6"/>
        <v>0.28354950000000001</v>
      </c>
      <c r="Q104" s="4">
        <f t="shared" si="6"/>
        <v>0.25904699999999997</v>
      </c>
      <c r="R104" s="4">
        <f t="shared" si="6"/>
        <v>0.25459199999999998</v>
      </c>
      <c r="S104" s="4">
        <f t="shared" si="6"/>
        <v>0.22986674999999998</v>
      </c>
    </row>
    <row r="105" spans="9:19" x14ac:dyDescent="0.25">
      <c r="I105">
        <v>21</v>
      </c>
      <c r="J105" s="4">
        <f t="shared" si="6"/>
        <v>0.27463949999999998</v>
      </c>
      <c r="K105" s="4">
        <f t="shared" si="6"/>
        <v>0.25459199999999998</v>
      </c>
      <c r="L105" s="4">
        <f t="shared" si="6"/>
        <v>0.26127450000000002</v>
      </c>
      <c r="M105" s="4">
        <f t="shared" si="6"/>
        <v>0.26127450000000002</v>
      </c>
      <c r="N105" s="4">
        <f t="shared" si="6"/>
        <v>0.26572949999999995</v>
      </c>
      <c r="O105" s="4">
        <f t="shared" si="6"/>
        <v>0.26572949999999995</v>
      </c>
      <c r="P105" s="4">
        <f t="shared" si="6"/>
        <v>0.22786200000000001</v>
      </c>
      <c r="Q105" s="4">
        <f t="shared" si="6"/>
        <v>0.26127450000000002</v>
      </c>
      <c r="R105" s="4">
        <f t="shared" si="6"/>
        <v>0.27241199999999993</v>
      </c>
      <c r="S105" s="4">
        <f t="shared" si="6"/>
        <v>0.25926975000000002</v>
      </c>
    </row>
    <row r="106" spans="9:19" x14ac:dyDescent="0.25">
      <c r="I106">
        <v>22</v>
      </c>
      <c r="J106" s="4">
        <f t="shared" si="6"/>
        <v>0.25681949999999998</v>
      </c>
      <c r="K106" s="4">
        <f t="shared" si="6"/>
        <v>0.24345450000000002</v>
      </c>
      <c r="L106" s="4">
        <f t="shared" si="6"/>
        <v>0.24790949999999998</v>
      </c>
      <c r="M106" s="4">
        <f t="shared" si="6"/>
        <v>0.26350199999999996</v>
      </c>
      <c r="N106" s="4">
        <f t="shared" si="6"/>
        <v>0.24790949999999998</v>
      </c>
      <c r="O106" s="4">
        <f t="shared" si="6"/>
        <v>0.20558699999999999</v>
      </c>
      <c r="P106" s="4">
        <f t="shared" si="6"/>
        <v>0.18776700000000002</v>
      </c>
      <c r="Q106" s="4">
        <f t="shared" si="6"/>
        <v>0.24122700000000002</v>
      </c>
      <c r="R106" s="4">
        <f t="shared" si="6"/>
        <v>0.2389995</v>
      </c>
      <c r="S106" s="4">
        <f t="shared" si="6"/>
        <v>0.21026475000000006</v>
      </c>
    </row>
    <row r="107" spans="9:19" x14ac:dyDescent="0.25">
      <c r="I107">
        <v>23</v>
      </c>
      <c r="J107" s="4">
        <f t="shared" si="6"/>
        <v>0.22340700000000002</v>
      </c>
      <c r="K107" s="4">
        <f t="shared" si="6"/>
        <v>0.23008950000000003</v>
      </c>
      <c r="L107" s="4">
        <f t="shared" si="6"/>
        <v>0.26350199999999996</v>
      </c>
      <c r="M107" s="4">
        <f t="shared" si="6"/>
        <v>0.27241199999999993</v>
      </c>
      <c r="N107" s="4">
        <f t="shared" si="6"/>
        <v>0.23677200000000004</v>
      </c>
      <c r="O107" s="4">
        <f t="shared" si="6"/>
        <v>0.18331200000000003</v>
      </c>
      <c r="P107" s="4">
        <f t="shared" si="6"/>
        <v>0.18999449999999996</v>
      </c>
      <c r="Q107" s="4">
        <f t="shared" si="6"/>
        <v>0.21449699999999999</v>
      </c>
      <c r="R107" s="4">
        <f t="shared" si="6"/>
        <v>0.24122700000000002</v>
      </c>
      <c r="S107" s="4">
        <f t="shared" si="6"/>
        <v>0.23966774999999998</v>
      </c>
    </row>
    <row r="108" spans="9:19" x14ac:dyDescent="0.25">
      <c r="I108">
        <v>24</v>
      </c>
      <c r="J108" s="4">
        <f t="shared" si="6"/>
        <v>0.17662950000000002</v>
      </c>
      <c r="K108" s="4">
        <f t="shared" si="6"/>
        <v>0.1454445</v>
      </c>
      <c r="L108" s="4">
        <f t="shared" si="6"/>
        <v>0.1365345</v>
      </c>
      <c r="M108" s="4">
        <f t="shared" si="6"/>
        <v>0.14321700000000001</v>
      </c>
      <c r="N108" s="4">
        <f t="shared" si="6"/>
        <v>0.14098950000000002</v>
      </c>
      <c r="O108" s="4">
        <f t="shared" si="6"/>
        <v>0.14098950000000002</v>
      </c>
      <c r="P108" s="4">
        <f t="shared" si="6"/>
        <v>0.156582</v>
      </c>
      <c r="Q108" s="4">
        <f t="shared" si="6"/>
        <v>0.17662950000000002</v>
      </c>
      <c r="R108" s="4">
        <f t="shared" si="6"/>
        <v>0.2211795</v>
      </c>
      <c r="S108" s="4">
        <f t="shared" si="6"/>
        <v>0.22006574999999998</v>
      </c>
    </row>
    <row r="109" spans="9:19" x14ac:dyDescent="0.25">
      <c r="I109">
        <v>31</v>
      </c>
      <c r="J109" s="4">
        <f t="shared" si="6"/>
        <v>0.26350199999999996</v>
      </c>
      <c r="K109" s="4">
        <f t="shared" si="6"/>
        <v>0.24568199999999998</v>
      </c>
      <c r="L109" s="4">
        <f t="shared" si="6"/>
        <v>0.25013699999999994</v>
      </c>
      <c r="M109" s="4">
        <f t="shared" si="6"/>
        <v>0.24568199999999998</v>
      </c>
      <c r="N109" s="4">
        <f t="shared" si="6"/>
        <v>0.22563449999999999</v>
      </c>
      <c r="O109" s="4">
        <f t="shared" si="6"/>
        <v>0.20335949999999997</v>
      </c>
      <c r="P109" s="4">
        <f t="shared" si="6"/>
        <v>0.1944495</v>
      </c>
      <c r="Q109" s="4">
        <f t="shared" si="6"/>
        <v>0.21004199999999998</v>
      </c>
      <c r="R109" s="4">
        <f t="shared" si="6"/>
        <v>0.22340700000000002</v>
      </c>
      <c r="S109" s="4">
        <f t="shared" si="6"/>
        <v>0.21516524999999997</v>
      </c>
    </row>
    <row r="110" spans="9:19" x14ac:dyDescent="0.25">
      <c r="I110">
        <v>32</v>
      </c>
      <c r="J110" s="4">
        <f t="shared" si="6"/>
        <v>0.21449699999999999</v>
      </c>
      <c r="K110" s="4">
        <f t="shared" si="6"/>
        <v>0.1944495</v>
      </c>
      <c r="L110" s="4">
        <f t="shared" si="6"/>
        <v>0.17217450000000001</v>
      </c>
      <c r="M110" s="4">
        <f t="shared" si="6"/>
        <v>0.16103699999999999</v>
      </c>
      <c r="N110" s="4">
        <f t="shared" si="6"/>
        <v>0.15435450000000001</v>
      </c>
      <c r="O110" s="4">
        <f t="shared" si="6"/>
        <v>0.15435450000000001</v>
      </c>
      <c r="P110" s="4">
        <f t="shared" si="6"/>
        <v>0.17885699999999999</v>
      </c>
      <c r="Q110" s="4">
        <f t="shared" si="6"/>
        <v>0.23008950000000003</v>
      </c>
      <c r="R110" s="4">
        <f t="shared" si="6"/>
        <v>0.24790949999999998</v>
      </c>
      <c r="S110" s="4">
        <f t="shared" si="6"/>
        <v>0.22741649999999999</v>
      </c>
    </row>
    <row r="111" spans="9:19" x14ac:dyDescent="0.25">
      <c r="I111">
        <v>33</v>
      </c>
      <c r="J111" s="4">
        <f t="shared" si="6"/>
        <v>0.20558699999999999</v>
      </c>
      <c r="K111" s="4">
        <f t="shared" si="6"/>
        <v>0.20335949999999997</v>
      </c>
      <c r="L111" s="4">
        <f t="shared" si="6"/>
        <v>0.24790949999999998</v>
      </c>
      <c r="M111" s="4">
        <f t="shared" si="6"/>
        <v>0.26127450000000002</v>
      </c>
      <c r="N111" s="4">
        <f t="shared" si="6"/>
        <v>0.24345450000000002</v>
      </c>
      <c r="O111" s="4">
        <f t="shared" si="6"/>
        <v>0.23677200000000004</v>
      </c>
      <c r="P111" s="4">
        <f t="shared" si="6"/>
        <v>0.24568199999999998</v>
      </c>
      <c r="Q111" s="4">
        <f t="shared" si="6"/>
        <v>0.232317</v>
      </c>
      <c r="R111" s="4">
        <f t="shared" si="6"/>
        <v>0.25459199999999998</v>
      </c>
      <c r="S111" s="4">
        <f t="shared" si="6"/>
        <v>0.21761549999999999</v>
      </c>
    </row>
    <row r="112" spans="9:19" x14ac:dyDescent="0.25">
      <c r="I112">
        <v>34</v>
      </c>
      <c r="J112" s="4">
        <f t="shared" si="6"/>
        <v>0.165492</v>
      </c>
      <c r="K112" s="4">
        <f t="shared" si="6"/>
        <v>0.18108450000000001</v>
      </c>
      <c r="L112" s="4">
        <f t="shared" si="6"/>
        <v>0.22786200000000001</v>
      </c>
      <c r="M112" s="4">
        <f t="shared" si="6"/>
        <v>0.25459199999999998</v>
      </c>
      <c r="N112" s="4">
        <f t="shared" si="6"/>
        <v>0.26127450000000002</v>
      </c>
      <c r="O112" s="4">
        <f t="shared" si="6"/>
        <v>0.27463949999999998</v>
      </c>
      <c r="P112" s="4">
        <f t="shared" si="6"/>
        <v>0.27909450000000002</v>
      </c>
      <c r="Q112" s="4">
        <f t="shared" si="6"/>
        <v>0.267957</v>
      </c>
      <c r="R112" s="4">
        <f t="shared" si="6"/>
        <v>0.23454450000000002</v>
      </c>
      <c r="S112" s="4">
        <f t="shared" si="6"/>
        <v>0.22251599999999999</v>
      </c>
    </row>
    <row r="113" spans="9:19" x14ac:dyDescent="0.25">
      <c r="I113">
        <v>41</v>
      </c>
      <c r="J113" s="4">
        <f t="shared" si="6"/>
        <v>0.22786200000000001</v>
      </c>
      <c r="K113" s="4">
        <f t="shared" si="6"/>
        <v>0.25459199999999998</v>
      </c>
      <c r="L113" s="4">
        <f t="shared" si="6"/>
        <v>0.29245950000000004</v>
      </c>
      <c r="M113" s="4">
        <f t="shared" si="6"/>
        <v>0.28132200000000002</v>
      </c>
      <c r="N113" s="4">
        <f t="shared" si="6"/>
        <v>0.28132200000000002</v>
      </c>
      <c r="O113" s="4">
        <f t="shared" si="6"/>
        <v>0.28577700000000006</v>
      </c>
      <c r="P113" s="4">
        <f t="shared" si="6"/>
        <v>0.22786200000000001</v>
      </c>
      <c r="Q113" s="4">
        <f t="shared" si="6"/>
        <v>0.2389995</v>
      </c>
      <c r="R113" s="4">
        <f t="shared" si="6"/>
        <v>0.2389995</v>
      </c>
      <c r="S113" s="4">
        <f t="shared" si="6"/>
        <v>0.22986674999999998</v>
      </c>
    </row>
    <row r="114" spans="9:19" x14ac:dyDescent="0.25">
      <c r="I114">
        <v>42</v>
      </c>
      <c r="J114" s="4">
        <f t="shared" si="6"/>
        <v>0.2389995</v>
      </c>
      <c r="K114" s="4">
        <f t="shared" si="6"/>
        <v>0.23008950000000003</v>
      </c>
      <c r="L114" s="4">
        <f t="shared" si="6"/>
        <v>0.25904699999999997</v>
      </c>
      <c r="M114" s="4">
        <f t="shared" si="6"/>
        <v>0.25681949999999998</v>
      </c>
      <c r="N114" s="4">
        <f t="shared" si="6"/>
        <v>0.28132200000000002</v>
      </c>
      <c r="O114" s="4">
        <f t="shared" si="6"/>
        <v>0.24568199999999998</v>
      </c>
      <c r="P114" s="4">
        <f t="shared" si="6"/>
        <v>0.21672450000000001</v>
      </c>
      <c r="Q114" s="4">
        <f t="shared" si="6"/>
        <v>0.232317</v>
      </c>
      <c r="R114" s="4">
        <f t="shared" si="6"/>
        <v>0.2389995</v>
      </c>
      <c r="S114" s="4">
        <f t="shared" si="6"/>
        <v>0.21516524999999997</v>
      </c>
    </row>
    <row r="115" spans="9:19" x14ac:dyDescent="0.25">
      <c r="I115">
        <v>43</v>
      </c>
      <c r="J115" s="4">
        <f t="shared" si="6"/>
        <v>0.24122700000000002</v>
      </c>
      <c r="K115" s="4">
        <f t="shared" si="6"/>
        <v>0.23454450000000002</v>
      </c>
      <c r="L115" s="4">
        <f t="shared" si="6"/>
        <v>0.25459199999999998</v>
      </c>
      <c r="M115" s="4">
        <f t="shared" si="6"/>
        <v>0.22563449999999999</v>
      </c>
      <c r="N115" s="4">
        <f t="shared" si="6"/>
        <v>0.232317</v>
      </c>
      <c r="O115" s="4">
        <f t="shared" si="6"/>
        <v>0.23677200000000004</v>
      </c>
      <c r="P115" s="4">
        <f t="shared" si="6"/>
        <v>0.25013699999999994</v>
      </c>
      <c r="Q115" s="4">
        <f t="shared" si="6"/>
        <v>0.22786200000000001</v>
      </c>
      <c r="R115" s="4">
        <f t="shared" si="6"/>
        <v>0.23454450000000002</v>
      </c>
      <c r="S115" s="4">
        <f t="shared" si="6"/>
        <v>0.22251599999999999</v>
      </c>
    </row>
    <row r="116" spans="9:19" x14ac:dyDescent="0.25">
      <c r="I116">
        <v>44</v>
      </c>
      <c r="J116" s="4">
        <f t="shared" ref="J116:S116" si="7">IF(J88&lt;0,"",J88/100)</f>
        <v>0.19222199999999998</v>
      </c>
      <c r="K116" s="4">
        <f t="shared" si="7"/>
        <v>0.20781449999999999</v>
      </c>
      <c r="L116" s="4">
        <f t="shared" si="7"/>
        <v>0.26350199999999996</v>
      </c>
      <c r="M116" s="4">
        <f t="shared" si="7"/>
        <v>0.25459199999999998</v>
      </c>
      <c r="N116" s="4">
        <f t="shared" si="7"/>
        <v>0.27463949999999998</v>
      </c>
      <c r="O116" s="4">
        <f t="shared" si="7"/>
        <v>0.25681949999999998</v>
      </c>
      <c r="P116" s="4">
        <f t="shared" si="7"/>
        <v>0.27018449999999999</v>
      </c>
      <c r="Q116" s="4">
        <f t="shared" si="7"/>
        <v>0.23008950000000003</v>
      </c>
      <c r="R116" s="4">
        <f t="shared" si="7"/>
        <v>0.21449699999999999</v>
      </c>
      <c r="S116" s="4">
        <f t="shared" si="7"/>
        <v>0.19066275000000005</v>
      </c>
    </row>
    <row r="117" spans="9:19" x14ac:dyDescent="0.25">
      <c r="I117">
        <v>51</v>
      </c>
      <c r="J117" s="4">
        <f t="shared" ref="J117:S123" si="8">IF(J89&lt;0,"",J89/100)</f>
        <v>0.28132200000000002</v>
      </c>
      <c r="K117" s="4">
        <f t="shared" si="8"/>
        <v>0.27241199999999993</v>
      </c>
      <c r="L117" s="4">
        <f t="shared" si="8"/>
        <v>0.27463949999999998</v>
      </c>
      <c r="M117" s="4">
        <f t="shared" si="8"/>
        <v>0.28354950000000001</v>
      </c>
      <c r="N117" s="4">
        <f t="shared" si="8"/>
        <v>0.25681949999999998</v>
      </c>
      <c r="O117" s="4">
        <f t="shared" si="8"/>
        <v>0.25459199999999998</v>
      </c>
      <c r="P117" s="4">
        <f t="shared" si="8"/>
        <v>0.23677200000000004</v>
      </c>
      <c r="Q117" s="4">
        <f t="shared" si="8"/>
        <v>0.24568199999999998</v>
      </c>
      <c r="R117" s="4">
        <f t="shared" si="8"/>
        <v>0.26572949999999995</v>
      </c>
      <c r="S117" s="4">
        <f t="shared" si="8"/>
        <v>0.26907075000000008</v>
      </c>
    </row>
    <row r="118" spans="9:19" x14ac:dyDescent="0.25">
      <c r="I118">
        <v>52</v>
      </c>
      <c r="J118" s="4">
        <f t="shared" si="8"/>
        <v>0.27018449999999999</v>
      </c>
      <c r="K118" s="4">
        <f t="shared" si="8"/>
        <v>0.26572949999999995</v>
      </c>
      <c r="L118" s="4">
        <f t="shared" si="8"/>
        <v>0.28577700000000006</v>
      </c>
      <c r="M118" s="4">
        <f t="shared" si="8"/>
        <v>0.29245950000000004</v>
      </c>
      <c r="N118" s="4">
        <f t="shared" si="8"/>
        <v>0.30805199999999994</v>
      </c>
      <c r="O118" s="4">
        <f t="shared" si="8"/>
        <v>0.29023199999999999</v>
      </c>
      <c r="P118" s="4">
        <f t="shared" si="8"/>
        <v>0.267957</v>
      </c>
      <c r="Q118" s="4">
        <f t="shared" si="8"/>
        <v>0.24345450000000002</v>
      </c>
      <c r="R118" s="4">
        <f t="shared" si="8"/>
        <v>0.25681949999999998</v>
      </c>
      <c r="S118" s="4">
        <f t="shared" si="8"/>
        <v>0.26662050000000004</v>
      </c>
    </row>
    <row r="119" spans="9:19" x14ac:dyDescent="0.25">
      <c r="I119">
        <v>53</v>
      </c>
      <c r="J119" s="4">
        <f t="shared" si="8"/>
        <v>0.25236449999999999</v>
      </c>
      <c r="K119" s="4">
        <f t="shared" si="8"/>
        <v>0.24568199999999998</v>
      </c>
      <c r="L119" s="4">
        <f t="shared" si="8"/>
        <v>0.26572949999999995</v>
      </c>
      <c r="M119" s="4">
        <f t="shared" si="8"/>
        <v>0.29023199999999999</v>
      </c>
      <c r="N119" s="4">
        <f t="shared" si="8"/>
        <v>0.2880045</v>
      </c>
      <c r="O119" s="4">
        <f t="shared" si="8"/>
        <v>0.27241199999999993</v>
      </c>
      <c r="P119" s="4">
        <f t="shared" si="8"/>
        <v>0.25681949999999998</v>
      </c>
      <c r="Q119" s="4">
        <f t="shared" si="8"/>
        <v>0.21004199999999998</v>
      </c>
      <c r="R119" s="4">
        <f t="shared" si="8"/>
        <v>0.21895199999999998</v>
      </c>
      <c r="S119" s="4">
        <f t="shared" si="8"/>
        <v>0.20781450000000004</v>
      </c>
    </row>
    <row r="120" spans="9:19" x14ac:dyDescent="0.25">
      <c r="I120">
        <v>54</v>
      </c>
      <c r="J120" s="4">
        <f t="shared" si="8"/>
        <v>0.25681949999999998</v>
      </c>
      <c r="K120" s="4">
        <f t="shared" si="8"/>
        <v>0.25013699999999994</v>
      </c>
      <c r="L120" s="4">
        <f t="shared" si="8"/>
        <v>0.25236449999999999</v>
      </c>
      <c r="M120" s="4">
        <f t="shared" si="8"/>
        <v>0.27909450000000002</v>
      </c>
      <c r="N120" s="4">
        <f t="shared" si="8"/>
        <v>0.29023199999999999</v>
      </c>
      <c r="O120" s="4">
        <f t="shared" si="8"/>
        <v>0.28354950000000001</v>
      </c>
      <c r="P120" s="4">
        <f t="shared" si="8"/>
        <v>0.28132200000000002</v>
      </c>
      <c r="Q120" s="4">
        <f t="shared" si="8"/>
        <v>0.25013699999999994</v>
      </c>
      <c r="R120" s="4">
        <f t="shared" si="8"/>
        <v>0.22786200000000001</v>
      </c>
      <c r="S120" s="4">
        <f t="shared" si="8"/>
        <v>0.26417025000000005</v>
      </c>
    </row>
    <row r="121" spans="9:19" x14ac:dyDescent="0.25">
      <c r="I121">
        <v>61</v>
      </c>
      <c r="J121" s="4">
        <f t="shared" si="8"/>
        <v>0.20558699999999999</v>
      </c>
      <c r="K121" s="4">
        <f t="shared" si="8"/>
        <v>0.16771949999999999</v>
      </c>
      <c r="L121" s="4">
        <f t="shared" si="8"/>
        <v>0.18776700000000002</v>
      </c>
      <c r="M121" s="4">
        <f t="shared" si="8"/>
        <v>0.22563449999999999</v>
      </c>
      <c r="N121" s="4">
        <f t="shared" si="8"/>
        <v>0.24122700000000002</v>
      </c>
      <c r="O121" s="4">
        <f t="shared" si="8"/>
        <v>0.2122695</v>
      </c>
      <c r="P121" s="4">
        <f t="shared" si="8"/>
        <v>0.2122695</v>
      </c>
      <c r="Q121" s="4">
        <f t="shared" si="8"/>
        <v>0.22563449999999999</v>
      </c>
      <c r="R121" s="4">
        <f t="shared" si="8"/>
        <v>0.25013699999999994</v>
      </c>
      <c r="S121" s="4">
        <f t="shared" si="8"/>
        <v>0.26417025000000005</v>
      </c>
    </row>
    <row r="122" spans="9:19" x14ac:dyDescent="0.25">
      <c r="I122">
        <v>62</v>
      </c>
      <c r="J122" s="4">
        <f t="shared" si="8"/>
        <v>0.24790949999999998</v>
      </c>
      <c r="K122" s="4">
        <f t="shared" si="8"/>
        <v>0.26127450000000002</v>
      </c>
      <c r="L122" s="4">
        <f t="shared" si="8"/>
        <v>0.27463949999999998</v>
      </c>
      <c r="M122" s="4">
        <f t="shared" si="8"/>
        <v>0.21895199999999998</v>
      </c>
      <c r="N122" s="4">
        <f t="shared" si="8"/>
        <v>0.24790949999999998</v>
      </c>
      <c r="O122" s="4">
        <f t="shared" si="8"/>
        <v>0.27909450000000002</v>
      </c>
      <c r="P122" s="4">
        <f t="shared" si="8"/>
        <v>0.22340700000000002</v>
      </c>
      <c r="Q122" s="4">
        <f t="shared" si="8"/>
        <v>0.22340700000000002</v>
      </c>
      <c r="R122" s="4">
        <f t="shared" si="8"/>
        <v>0.25681949999999998</v>
      </c>
      <c r="S122" s="4">
        <f t="shared" si="8"/>
        <v>0.26907075000000008</v>
      </c>
    </row>
    <row r="123" spans="9:19" x14ac:dyDescent="0.25">
      <c r="I123">
        <v>63</v>
      </c>
      <c r="J123" s="4">
        <f t="shared" si="8"/>
        <v>0.267957</v>
      </c>
      <c r="K123" s="4">
        <f t="shared" si="8"/>
        <v>0.24568199999999998</v>
      </c>
      <c r="L123" s="4">
        <f t="shared" si="8"/>
        <v>0.23454450000000002</v>
      </c>
      <c r="M123" s="4">
        <f t="shared" si="8"/>
        <v>0.22563449999999999</v>
      </c>
      <c r="N123" s="4">
        <f t="shared" si="8"/>
        <v>0.24122700000000002</v>
      </c>
      <c r="O123" s="4">
        <f t="shared" si="8"/>
        <v>0.24122700000000002</v>
      </c>
      <c r="P123" s="4">
        <f t="shared" si="8"/>
        <v>0.19222199999999998</v>
      </c>
      <c r="Q123" s="4">
        <f t="shared" si="8"/>
        <v>0.20113199999999998</v>
      </c>
      <c r="R123" s="4">
        <f t="shared" si="8"/>
        <v>0.22340700000000002</v>
      </c>
      <c r="S123" s="4">
        <f t="shared" si="8"/>
        <v>0.23966774999999998</v>
      </c>
    </row>
    <row r="124" spans="9:19" x14ac:dyDescent="0.25">
      <c r="I124">
        <v>64</v>
      </c>
      <c r="J124" s="4">
        <f t="shared" ref="J124:S124" si="9">IF(J96&lt;0,"",J96/100)</f>
        <v>0.28577700000000006</v>
      </c>
      <c r="K124" s="4">
        <f t="shared" si="9"/>
        <v>0.26572949999999995</v>
      </c>
      <c r="L124" s="4">
        <f t="shared" si="9"/>
        <v>0.22786200000000001</v>
      </c>
      <c r="M124" s="4">
        <f t="shared" si="9"/>
        <v>0.24568199999999998</v>
      </c>
      <c r="N124" s="4">
        <f t="shared" si="9"/>
        <v>0.27018449999999999</v>
      </c>
      <c r="O124" s="4">
        <f t="shared" si="9"/>
        <v>0.25459199999999998</v>
      </c>
      <c r="P124" s="4">
        <f t="shared" si="9"/>
        <v>0.2389995</v>
      </c>
      <c r="Q124" s="4">
        <f t="shared" si="9"/>
        <v>0.20558699999999999</v>
      </c>
      <c r="R124" s="4">
        <f t="shared" si="9"/>
        <v>0.2211795</v>
      </c>
      <c r="S124" s="4">
        <f t="shared" si="9"/>
        <v>0.242118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8652-629B-41AC-8704-B0B1693E093F}">
  <dimension ref="A1:T124"/>
  <sheetViews>
    <sheetView topLeftCell="D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10305</v>
      </c>
      <c r="F1">
        <v>0</v>
      </c>
      <c r="G1">
        <v>10</v>
      </c>
      <c r="H1">
        <v>1823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6</v>
      </c>
      <c r="G18">
        <v>8</v>
      </c>
      <c r="H18">
        <v>7</v>
      </c>
      <c r="I18">
        <v>1</v>
      </c>
      <c r="J18">
        <v>1.18</v>
      </c>
      <c r="K18">
        <v>1.22</v>
      </c>
      <c r="L18">
        <v>1.35</v>
      </c>
      <c r="M18">
        <v>1.47</v>
      </c>
      <c r="N18">
        <v>1.39</v>
      </c>
      <c r="O18">
        <v>1.51</v>
      </c>
      <c r="P18">
        <v>1.53</v>
      </c>
      <c r="Q18">
        <v>1.46</v>
      </c>
      <c r="R18">
        <v>1.48</v>
      </c>
      <c r="S18">
        <v>1.32</v>
      </c>
      <c r="T18">
        <v>3742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6</v>
      </c>
      <c r="G19">
        <v>8</v>
      </c>
      <c r="H19">
        <v>7</v>
      </c>
      <c r="I19">
        <v>5</v>
      </c>
      <c r="J19">
        <v>1.35</v>
      </c>
      <c r="K19">
        <v>1.4</v>
      </c>
      <c r="L19">
        <v>1.2</v>
      </c>
      <c r="M19">
        <v>1.21</v>
      </c>
      <c r="N19">
        <v>1.17</v>
      </c>
      <c r="O19">
        <v>1.23</v>
      </c>
      <c r="P19">
        <v>1.19</v>
      </c>
      <c r="Q19">
        <v>1.37</v>
      </c>
      <c r="R19">
        <v>1.35</v>
      </c>
      <c r="S19">
        <v>1.2</v>
      </c>
      <c r="T19">
        <v>3720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6</v>
      </c>
      <c r="G20">
        <v>8</v>
      </c>
      <c r="H20">
        <v>7</v>
      </c>
      <c r="I20">
        <v>11</v>
      </c>
      <c r="J20">
        <v>1.27</v>
      </c>
      <c r="K20">
        <v>1.22</v>
      </c>
      <c r="L20">
        <v>1.29</v>
      </c>
      <c r="M20">
        <v>1.41</v>
      </c>
      <c r="N20">
        <v>1.47</v>
      </c>
      <c r="O20">
        <v>1.46</v>
      </c>
      <c r="P20">
        <v>1.44</v>
      </c>
      <c r="Q20">
        <v>1.33</v>
      </c>
      <c r="R20">
        <v>1.31</v>
      </c>
      <c r="S20">
        <v>1.1499999999999999</v>
      </c>
      <c r="T20">
        <v>3730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6</v>
      </c>
      <c r="G21">
        <v>8</v>
      </c>
      <c r="H21">
        <v>7</v>
      </c>
      <c r="I21">
        <v>16</v>
      </c>
      <c r="J21">
        <v>1.46</v>
      </c>
      <c r="K21">
        <v>1.47</v>
      </c>
      <c r="L21">
        <v>1.47</v>
      </c>
      <c r="M21">
        <v>1.34</v>
      </c>
      <c r="N21">
        <v>1.37</v>
      </c>
      <c r="O21">
        <v>1.54</v>
      </c>
      <c r="P21">
        <v>1.44</v>
      </c>
      <c r="Q21">
        <v>1.35</v>
      </c>
      <c r="R21">
        <v>1.36</v>
      </c>
      <c r="S21">
        <v>1.29</v>
      </c>
      <c r="T21">
        <v>3754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6</v>
      </c>
      <c r="G22">
        <v>8</v>
      </c>
      <c r="H22">
        <v>7</v>
      </c>
      <c r="I22">
        <v>20</v>
      </c>
      <c r="J22">
        <v>1.06</v>
      </c>
      <c r="K22">
        <v>0.93</v>
      </c>
      <c r="L22">
        <v>0.87</v>
      </c>
      <c r="M22">
        <v>0.9</v>
      </c>
      <c r="N22">
        <v>0.91</v>
      </c>
      <c r="O22">
        <v>0.9</v>
      </c>
      <c r="P22">
        <v>0.93</v>
      </c>
      <c r="Q22">
        <v>1.05</v>
      </c>
      <c r="R22">
        <v>1.23</v>
      </c>
      <c r="S22">
        <v>1.23</v>
      </c>
      <c r="T22">
        <v>3736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6</v>
      </c>
      <c r="G23">
        <v>8</v>
      </c>
      <c r="H23">
        <v>7</v>
      </c>
      <c r="I23">
        <v>24</v>
      </c>
      <c r="J23">
        <v>1.34</v>
      </c>
      <c r="K23">
        <v>1.34</v>
      </c>
      <c r="L23">
        <v>1.43</v>
      </c>
      <c r="M23">
        <v>1.5</v>
      </c>
      <c r="N23">
        <v>1.36</v>
      </c>
      <c r="O23">
        <v>1.1299999999999999</v>
      </c>
      <c r="P23">
        <v>1.1399999999999999</v>
      </c>
      <c r="Q23">
        <v>1.23</v>
      </c>
      <c r="R23">
        <v>1.31</v>
      </c>
      <c r="S23">
        <v>1.22</v>
      </c>
      <c r="T23">
        <v>3721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6</v>
      </c>
      <c r="G24">
        <v>8</v>
      </c>
      <c r="H24">
        <v>7</v>
      </c>
      <c r="I24">
        <v>21</v>
      </c>
      <c r="J24">
        <v>1.44</v>
      </c>
      <c r="K24">
        <v>1.41</v>
      </c>
      <c r="L24">
        <v>1.39</v>
      </c>
      <c r="M24">
        <v>1.45</v>
      </c>
      <c r="N24">
        <v>1.36</v>
      </c>
      <c r="O24">
        <v>1.1599999999999999</v>
      </c>
      <c r="P24">
        <v>1.1200000000000001</v>
      </c>
      <c r="Q24">
        <v>1.31</v>
      </c>
      <c r="R24">
        <v>1.3</v>
      </c>
      <c r="S24">
        <v>1.08</v>
      </c>
      <c r="T24">
        <v>3735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6</v>
      </c>
      <c r="G25">
        <v>8</v>
      </c>
      <c r="H25">
        <v>7</v>
      </c>
      <c r="I25">
        <v>34</v>
      </c>
      <c r="J25">
        <v>1.5</v>
      </c>
      <c r="K25">
        <v>1.38</v>
      </c>
      <c r="L25">
        <v>1.43</v>
      </c>
      <c r="M25">
        <v>1.42</v>
      </c>
      <c r="N25">
        <v>1.46</v>
      </c>
      <c r="O25">
        <v>1.44</v>
      </c>
      <c r="P25">
        <v>1.26</v>
      </c>
      <c r="Q25">
        <v>1.42</v>
      </c>
      <c r="R25">
        <v>1.41</v>
      </c>
      <c r="S25">
        <v>1.25</v>
      </c>
      <c r="T25">
        <v>3741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6</v>
      </c>
      <c r="G26">
        <v>8</v>
      </c>
      <c r="H26">
        <v>7</v>
      </c>
      <c r="I26">
        <v>30</v>
      </c>
      <c r="J26">
        <v>1.51</v>
      </c>
      <c r="K26">
        <v>1.4</v>
      </c>
      <c r="L26">
        <v>1.39</v>
      </c>
      <c r="M26">
        <v>1.43</v>
      </c>
      <c r="N26">
        <v>1.4</v>
      </c>
      <c r="O26">
        <v>1.24</v>
      </c>
      <c r="P26">
        <v>1.17</v>
      </c>
      <c r="Q26">
        <v>1.19</v>
      </c>
      <c r="R26">
        <v>1.23</v>
      </c>
      <c r="S26">
        <v>1.04</v>
      </c>
      <c r="T26">
        <v>3729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6</v>
      </c>
      <c r="G27">
        <v>8</v>
      </c>
      <c r="H27">
        <v>7</v>
      </c>
      <c r="I27">
        <v>43</v>
      </c>
      <c r="J27">
        <v>1.2</v>
      </c>
      <c r="K27">
        <v>1.17</v>
      </c>
      <c r="L27">
        <v>1.04</v>
      </c>
      <c r="M27">
        <v>1.01</v>
      </c>
      <c r="N27">
        <v>0.98</v>
      </c>
      <c r="O27">
        <v>0.97</v>
      </c>
      <c r="P27">
        <v>1.05</v>
      </c>
      <c r="Q27">
        <v>1.3</v>
      </c>
      <c r="R27">
        <v>1.34</v>
      </c>
      <c r="S27">
        <v>1.1200000000000001</v>
      </c>
      <c r="T27">
        <v>3730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6</v>
      </c>
      <c r="G28">
        <v>8</v>
      </c>
      <c r="H28">
        <v>7</v>
      </c>
      <c r="I28">
        <v>40</v>
      </c>
      <c r="J28">
        <v>1.2</v>
      </c>
      <c r="K28">
        <v>1.19</v>
      </c>
      <c r="L28">
        <v>1.38</v>
      </c>
      <c r="M28">
        <v>1.46</v>
      </c>
      <c r="N28">
        <v>1.39</v>
      </c>
      <c r="O28">
        <v>1.34</v>
      </c>
      <c r="P28">
        <v>1.38</v>
      </c>
      <c r="Q28">
        <v>1.27</v>
      </c>
      <c r="R28">
        <v>1.41</v>
      </c>
      <c r="S28">
        <v>1.21</v>
      </c>
      <c r="T28">
        <v>3742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6</v>
      </c>
      <c r="G29">
        <v>8</v>
      </c>
      <c r="H29">
        <v>7</v>
      </c>
      <c r="I29">
        <v>52</v>
      </c>
      <c r="J29">
        <v>1.05</v>
      </c>
      <c r="K29">
        <v>1.1000000000000001</v>
      </c>
      <c r="L29">
        <v>1.3</v>
      </c>
      <c r="M29">
        <v>1.4</v>
      </c>
      <c r="N29">
        <v>1.43</v>
      </c>
      <c r="O29">
        <v>1.48</v>
      </c>
      <c r="P29">
        <v>1.49</v>
      </c>
      <c r="Q29">
        <v>1.39</v>
      </c>
      <c r="R29">
        <v>1.26</v>
      </c>
      <c r="S29">
        <v>1.03</v>
      </c>
      <c r="T29">
        <v>3732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6</v>
      </c>
      <c r="G30">
        <v>8</v>
      </c>
      <c r="H30">
        <v>7</v>
      </c>
      <c r="I30">
        <v>56</v>
      </c>
      <c r="J30">
        <v>1.1399999999999999</v>
      </c>
      <c r="K30">
        <v>1.18</v>
      </c>
      <c r="L30">
        <v>1.47</v>
      </c>
      <c r="M30">
        <v>1.45</v>
      </c>
      <c r="N30">
        <v>1.47</v>
      </c>
      <c r="O30">
        <v>1.44</v>
      </c>
      <c r="P30">
        <v>1.45</v>
      </c>
      <c r="Q30">
        <v>1.28</v>
      </c>
      <c r="R30">
        <v>1.1200000000000001</v>
      </c>
      <c r="S30">
        <v>0.94</v>
      </c>
      <c r="T30">
        <v>3754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6</v>
      </c>
      <c r="G31">
        <v>8</v>
      </c>
      <c r="H31">
        <v>8</v>
      </c>
      <c r="I31">
        <v>0</v>
      </c>
      <c r="J31">
        <v>1.36</v>
      </c>
      <c r="K31">
        <v>1.34</v>
      </c>
      <c r="L31">
        <v>1.42</v>
      </c>
      <c r="M31">
        <v>1.28</v>
      </c>
      <c r="N31">
        <v>1.3</v>
      </c>
      <c r="O31">
        <v>1.3</v>
      </c>
      <c r="P31">
        <v>1.37</v>
      </c>
      <c r="Q31">
        <v>1.28</v>
      </c>
      <c r="R31">
        <v>1.28</v>
      </c>
      <c r="S31">
        <v>1.1499999999999999</v>
      </c>
      <c r="T31">
        <v>3728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6</v>
      </c>
      <c r="G32">
        <v>8</v>
      </c>
      <c r="H32">
        <v>8</v>
      </c>
      <c r="I32">
        <v>4</v>
      </c>
      <c r="J32">
        <v>1.31</v>
      </c>
      <c r="K32">
        <v>1.33</v>
      </c>
      <c r="L32">
        <v>1.41</v>
      </c>
      <c r="M32">
        <v>1.42</v>
      </c>
      <c r="N32">
        <v>1.53</v>
      </c>
      <c r="O32">
        <v>1.38</v>
      </c>
      <c r="P32">
        <v>1.25</v>
      </c>
      <c r="Q32">
        <v>1.29</v>
      </c>
      <c r="R32">
        <v>1.25</v>
      </c>
      <c r="S32">
        <v>1.06</v>
      </c>
      <c r="T32">
        <v>3726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6</v>
      </c>
      <c r="G33">
        <v>8</v>
      </c>
      <c r="H33">
        <v>8</v>
      </c>
      <c r="I33">
        <v>0</v>
      </c>
      <c r="J33">
        <v>1.27</v>
      </c>
      <c r="K33">
        <v>1.39</v>
      </c>
      <c r="L33">
        <v>1.59</v>
      </c>
      <c r="M33">
        <v>1.54</v>
      </c>
      <c r="N33">
        <v>1.54</v>
      </c>
      <c r="O33">
        <v>1.57</v>
      </c>
      <c r="P33">
        <v>1.29</v>
      </c>
      <c r="Q33">
        <v>1.33</v>
      </c>
      <c r="R33">
        <v>1.28</v>
      </c>
      <c r="S33">
        <v>1.1599999999999999</v>
      </c>
      <c r="T33">
        <v>3708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6</v>
      </c>
      <c r="G34">
        <v>8</v>
      </c>
      <c r="H34">
        <v>8</v>
      </c>
      <c r="I34">
        <v>13</v>
      </c>
      <c r="J34">
        <v>1.55</v>
      </c>
      <c r="K34">
        <v>1.49</v>
      </c>
      <c r="L34">
        <v>1.51</v>
      </c>
      <c r="M34">
        <v>1.56</v>
      </c>
      <c r="N34">
        <v>1.43</v>
      </c>
      <c r="O34">
        <v>1.42</v>
      </c>
      <c r="P34">
        <v>1.34</v>
      </c>
      <c r="Q34">
        <v>1.35</v>
      </c>
      <c r="R34">
        <v>1.43</v>
      </c>
      <c r="S34">
        <v>1.3</v>
      </c>
      <c r="T34">
        <v>3699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6</v>
      </c>
      <c r="G35">
        <v>8</v>
      </c>
      <c r="H35">
        <v>8</v>
      </c>
      <c r="I35">
        <v>10</v>
      </c>
      <c r="J35">
        <v>1.47</v>
      </c>
      <c r="K35">
        <v>1.43</v>
      </c>
      <c r="L35">
        <v>1.55</v>
      </c>
      <c r="M35">
        <v>1.58</v>
      </c>
      <c r="N35">
        <v>1.67</v>
      </c>
      <c r="O35">
        <v>1.62</v>
      </c>
      <c r="P35">
        <v>1.51</v>
      </c>
      <c r="Q35">
        <v>1.33</v>
      </c>
      <c r="R35">
        <v>1.38</v>
      </c>
      <c r="S35">
        <v>1.26</v>
      </c>
      <c r="T35">
        <v>3710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6</v>
      </c>
      <c r="G36">
        <v>8</v>
      </c>
      <c r="H36">
        <v>8</v>
      </c>
      <c r="I36">
        <v>22</v>
      </c>
      <c r="J36">
        <v>1.42</v>
      </c>
      <c r="K36">
        <v>1.38</v>
      </c>
      <c r="L36">
        <v>1.5</v>
      </c>
      <c r="M36">
        <v>1.57</v>
      </c>
      <c r="N36">
        <v>1.53</v>
      </c>
      <c r="O36">
        <v>1.49</v>
      </c>
      <c r="P36">
        <v>1.44</v>
      </c>
      <c r="Q36">
        <v>1.2</v>
      </c>
      <c r="R36">
        <v>1.23</v>
      </c>
      <c r="S36">
        <v>1.05</v>
      </c>
      <c r="T36">
        <v>3694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6</v>
      </c>
      <c r="G37">
        <v>8</v>
      </c>
      <c r="H37">
        <v>8</v>
      </c>
      <c r="I37">
        <v>26</v>
      </c>
      <c r="J37">
        <v>1.42</v>
      </c>
      <c r="K37">
        <v>1.38</v>
      </c>
      <c r="L37">
        <v>1.4</v>
      </c>
      <c r="M37">
        <v>1.51</v>
      </c>
      <c r="N37">
        <v>1.55</v>
      </c>
      <c r="O37">
        <v>1.55</v>
      </c>
      <c r="P37">
        <v>1.49</v>
      </c>
      <c r="Q37">
        <v>1.39</v>
      </c>
      <c r="R37">
        <v>1.29</v>
      </c>
      <c r="S37">
        <v>1.33</v>
      </c>
      <c r="T37">
        <v>3711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6</v>
      </c>
      <c r="G38">
        <v>8</v>
      </c>
      <c r="H38">
        <v>8</v>
      </c>
      <c r="I38">
        <v>30</v>
      </c>
      <c r="J38">
        <v>1.51</v>
      </c>
      <c r="K38">
        <v>1.46</v>
      </c>
      <c r="L38">
        <v>1.27</v>
      </c>
      <c r="M38">
        <v>1.39</v>
      </c>
      <c r="N38">
        <v>1.48</v>
      </c>
      <c r="O38">
        <v>1.42</v>
      </c>
      <c r="P38">
        <v>1.31</v>
      </c>
      <c r="Q38">
        <v>1.1499999999999999</v>
      </c>
      <c r="R38">
        <v>1.19</v>
      </c>
      <c r="S38">
        <v>1.1000000000000001</v>
      </c>
      <c r="T38">
        <v>3692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6</v>
      </c>
      <c r="G39">
        <v>8</v>
      </c>
      <c r="H39">
        <v>8</v>
      </c>
      <c r="I39">
        <v>35</v>
      </c>
      <c r="J39">
        <v>1.47</v>
      </c>
      <c r="K39">
        <v>1.38</v>
      </c>
      <c r="L39">
        <v>1.34</v>
      </c>
      <c r="M39">
        <v>1.28</v>
      </c>
      <c r="N39">
        <v>1.31</v>
      </c>
      <c r="O39">
        <v>1.35</v>
      </c>
      <c r="P39">
        <v>1.1499999999999999</v>
      </c>
      <c r="Q39">
        <v>1.1299999999999999</v>
      </c>
      <c r="R39">
        <v>1.19</v>
      </c>
      <c r="S39">
        <v>1.1399999999999999</v>
      </c>
      <c r="T39">
        <v>3694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6</v>
      </c>
      <c r="G40">
        <v>8</v>
      </c>
      <c r="H40">
        <v>8</v>
      </c>
      <c r="I40">
        <v>40</v>
      </c>
      <c r="J40">
        <v>1.4</v>
      </c>
      <c r="K40">
        <v>1.43</v>
      </c>
      <c r="L40">
        <v>1.48</v>
      </c>
      <c r="M40">
        <v>1.25</v>
      </c>
      <c r="N40">
        <v>1.38</v>
      </c>
      <c r="O40">
        <v>1.49</v>
      </c>
      <c r="P40">
        <v>1.3</v>
      </c>
      <c r="Q40">
        <v>1.26</v>
      </c>
      <c r="R40">
        <v>1.4</v>
      </c>
      <c r="S40">
        <v>1.32</v>
      </c>
      <c r="T40">
        <v>3685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6</v>
      </c>
      <c r="G41">
        <v>8</v>
      </c>
      <c r="H41">
        <v>8</v>
      </c>
      <c r="I41">
        <v>44</v>
      </c>
      <c r="J41">
        <v>1.23</v>
      </c>
      <c r="K41">
        <v>1.07</v>
      </c>
      <c r="L41">
        <v>1.1100000000000001</v>
      </c>
      <c r="M41">
        <v>1.27</v>
      </c>
      <c r="N41">
        <v>1.37</v>
      </c>
      <c r="O41">
        <v>1.2</v>
      </c>
      <c r="P41">
        <v>1.24</v>
      </c>
      <c r="Q41">
        <v>1.29</v>
      </c>
      <c r="R41">
        <v>1.32</v>
      </c>
      <c r="S41">
        <v>1.17</v>
      </c>
      <c r="T41">
        <v>3677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6</v>
      </c>
      <c r="G45">
        <v>8</v>
      </c>
      <c r="H45">
        <v>7</v>
      </c>
      <c r="I45">
        <v>1</v>
      </c>
      <c r="J45">
        <v>1.18</v>
      </c>
      <c r="K45">
        <v>1.22</v>
      </c>
      <c r="L45">
        <v>1.35</v>
      </c>
      <c r="M45">
        <v>1.47</v>
      </c>
      <c r="N45">
        <v>1.39</v>
      </c>
      <c r="O45">
        <v>1.51</v>
      </c>
      <c r="P45">
        <v>1.53</v>
      </c>
      <c r="Q45">
        <v>1.46</v>
      </c>
      <c r="R45">
        <v>1.48</v>
      </c>
      <c r="S45">
        <v>1.32</v>
      </c>
      <c r="T45">
        <v>3742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6</v>
      </c>
      <c r="G46">
        <v>8</v>
      </c>
      <c r="H46">
        <v>7</v>
      </c>
      <c r="I46">
        <v>5</v>
      </c>
      <c r="J46">
        <v>1.35</v>
      </c>
      <c r="K46">
        <v>1.4</v>
      </c>
      <c r="L46">
        <v>1.2</v>
      </c>
      <c r="M46">
        <v>1.21</v>
      </c>
      <c r="N46">
        <v>1.17</v>
      </c>
      <c r="O46">
        <v>1.23</v>
      </c>
      <c r="P46">
        <v>1.19</v>
      </c>
      <c r="Q46">
        <v>1.37</v>
      </c>
      <c r="R46">
        <v>1.35</v>
      </c>
      <c r="S46">
        <v>1.2</v>
      </c>
      <c r="T46">
        <v>3720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6</v>
      </c>
      <c r="G47">
        <v>8</v>
      </c>
      <c r="H47">
        <v>7</v>
      </c>
      <c r="I47">
        <v>11</v>
      </c>
      <c r="J47">
        <v>1.27</v>
      </c>
      <c r="K47">
        <v>1.22</v>
      </c>
      <c r="L47">
        <v>1.29</v>
      </c>
      <c r="M47">
        <v>1.41</v>
      </c>
      <c r="N47">
        <v>1.47</v>
      </c>
      <c r="O47">
        <v>1.46</v>
      </c>
      <c r="P47">
        <v>1.44</v>
      </c>
      <c r="Q47">
        <v>1.33</v>
      </c>
      <c r="R47">
        <v>1.31</v>
      </c>
      <c r="S47">
        <v>1.1499999999999999</v>
      </c>
      <c r="T47">
        <v>3730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6</v>
      </c>
      <c r="G48">
        <v>8</v>
      </c>
      <c r="H48">
        <v>7</v>
      </c>
      <c r="I48">
        <v>16</v>
      </c>
      <c r="J48">
        <v>1.46</v>
      </c>
      <c r="K48">
        <v>1.47</v>
      </c>
      <c r="L48">
        <v>1.47</v>
      </c>
      <c r="M48">
        <v>1.34</v>
      </c>
      <c r="N48">
        <v>1.37</v>
      </c>
      <c r="O48">
        <v>1.54</v>
      </c>
      <c r="P48">
        <v>1.44</v>
      </c>
      <c r="Q48">
        <v>1.35</v>
      </c>
      <c r="R48">
        <v>1.36</v>
      </c>
      <c r="S48">
        <v>1.29</v>
      </c>
      <c r="T48">
        <v>3754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6</v>
      </c>
      <c r="G49">
        <v>8</v>
      </c>
      <c r="H49">
        <v>7</v>
      </c>
      <c r="I49">
        <v>34</v>
      </c>
      <c r="J49">
        <v>1.5</v>
      </c>
      <c r="K49">
        <v>1.38</v>
      </c>
      <c r="L49">
        <v>1.43</v>
      </c>
      <c r="M49">
        <v>1.42</v>
      </c>
      <c r="N49">
        <v>1.46</v>
      </c>
      <c r="O49">
        <v>1.44</v>
      </c>
      <c r="P49">
        <v>1.26</v>
      </c>
      <c r="Q49">
        <v>1.42</v>
      </c>
      <c r="R49">
        <v>1.41</v>
      </c>
      <c r="S49">
        <v>1.25</v>
      </c>
      <c r="T49">
        <v>3741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6</v>
      </c>
      <c r="G50">
        <v>8</v>
      </c>
      <c r="H50">
        <v>7</v>
      </c>
      <c r="I50">
        <v>21</v>
      </c>
      <c r="J50">
        <v>1.44</v>
      </c>
      <c r="K50">
        <v>1.41</v>
      </c>
      <c r="L50">
        <v>1.39</v>
      </c>
      <c r="M50">
        <v>1.45</v>
      </c>
      <c r="N50">
        <v>1.36</v>
      </c>
      <c r="O50">
        <v>1.1599999999999999</v>
      </c>
      <c r="P50">
        <v>1.1200000000000001</v>
      </c>
      <c r="Q50">
        <v>1.31</v>
      </c>
      <c r="R50">
        <v>1.3</v>
      </c>
      <c r="S50">
        <v>1.08</v>
      </c>
      <c r="T50">
        <v>3735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6</v>
      </c>
      <c r="G51">
        <v>8</v>
      </c>
      <c r="H51">
        <v>7</v>
      </c>
      <c r="I51">
        <v>24</v>
      </c>
      <c r="J51">
        <v>1.34</v>
      </c>
      <c r="K51">
        <v>1.34</v>
      </c>
      <c r="L51">
        <v>1.43</v>
      </c>
      <c r="M51">
        <v>1.5</v>
      </c>
      <c r="N51">
        <v>1.36</v>
      </c>
      <c r="O51">
        <v>1.1299999999999999</v>
      </c>
      <c r="P51">
        <v>1.1399999999999999</v>
      </c>
      <c r="Q51">
        <v>1.23</v>
      </c>
      <c r="R51">
        <v>1.31</v>
      </c>
      <c r="S51">
        <v>1.22</v>
      </c>
      <c r="T51">
        <v>3721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6</v>
      </c>
      <c r="G52">
        <v>8</v>
      </c>
      <c r="H52">
        <v>7</v>
      </c>
      <c r="I52">
        <v>20</v>
      </c>
      <c r="J52">
        <v>1.06</v>
      </c>
      <c r="K52">
        <v>0.93</v>
      </c>
      <c r="L52">
        <v>0.87</v>
      </c>
      <c r="M52">
        <v>0.9</v>
      </c>
      <c r="N52">
        <v>0.91</v>
      </c>
      <c r="O52">
        <v>0.9</v>
      </c>
      <c r="P52">
        <v>0.93</v>
      </c>
      <c r="Q52">
        <v>1.05</v>
      </c>
      <c r="R52">
        <v>1.23</v>
      </c>
      <c r="S52">
        <v>1.23</v>
      </c>
      <c r="T52">
        <v>3736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6</v>
      </c>
      <c r="G53">
        <v>8</v>
      </c>
      <c r="H53">
        <v>7</v>
      </c>
      <c r="I53">
        <v>30</v>
      </c>
      <c r="J53">
        <v>1.51</v>
      </c>
      <c r="K53">
        <v>1.4</v>
      </c>
      <c r="L53">
        <v>1.39</v>
      </c>
      <c r="M53">
        <v>1.43</v>
      </c>
      <c r="N53">
        <v>1.4</v>
      </c>
      <c r="O53">
        <v>1.24</v>
      </c>
      <c r="P53">
        <v>1.17</v>
      </c>
      <c r="Q53">
        <v>1.19</v>
      </c>
      <c r="R53">
        <v>1.23</v>
      </c>
      <c r="S53">
        <v>1.04</v>
      </c>
      <c r="T53">
        <v>3729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6</v>
      </c>
      <c r="G54">
        <v>8</v>
      </c>
      <c r="H54">
        <v>7</v>
      </c>
      <c r="I54">
        <v>43</v>
      </c>
      <c r="J54">
        <v>1.2</v>
      </c>
      <c r="K54">
        <v>1.17</v>
      </c>
      <c r="L54">
        <v>1.04</v>
      </c>
      <c r="M54">
        <v>1.01</v>
      </c>
      <c r="N54">
        <v>0.98</v>
      </c>
      <c r="O54">
        <v>0.97</v>
      </c>
      <c r="P54">
        <v>1.05</v>
      </c>
      <c r="Q54">
        <v>1.3</v>
      </c>
      <c r="R54">
        <v>1.34</v>
      </c>
      <c r="S54">
        <v>1.1200000000000001</v>
      </c>
      <c r="T54">
        <v>3730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6</v>
      </c>
      <c r="G55">
        <v>8</v>
      </c>
      <c r="H55">
        <v>7</v>
      </c>
      <c r="I55">
        <v>40</v>
      </c>
      <c r="J55">
        <v>1.2</v>
      </c>
      <c r="K55">
        <v>1.19</v>
      </c>
      <c r="L55">
        <v>1.38</v>
      </c>
      <c r="M55">
        <v>1.46</v>
      </c>
      <c r="N55">
        <v>1.39</v>
      </c>
      <c r="O55">
        <v>1.34</v>
      </c>
      <c r="P55">
        <v>1.38</v>
      </c>
      <c r="Q55">
        <v>1.27</v>
      </c>
      <c r="R55">
        <v>1.41</v>
      </c>
      <c r="S55">
        <v>1.21</v>
      </c>
      <c r="T55">
        <v>3742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6</v>
      </c>
      <c r="G56">
        <v>8</v>
      </c>
      <c r="H56">
        <v>7</v>
      </c>
      <c r="I56">
        <v>52</v>
      </c>
      <c r="J56">
        <v>1.05</v>
      </c>
      <c r="K56">
        <v>1.1000000000000001</v>
      </c>
      <c r="L56">
        <v>1.3</v>
      </c>
      <c r="M56">
        <v>1.4</v>
      </c>
      <c r="N56">
        <v>1.43</v>
      </c>
      <c r="O56">
        <v>1.48</v>
      </c>
      <c r="P56">
        <v>1.49</v>
      </c>
      <c r="Q56">
        <v>1.39</v>
      </c>
      <c r="R56">
        <v>1.26</v>
      </c>
      <c r="S56">
        <v>1.03</v>
      </c>
      <c r="T56">
        <v>3732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6</v>
      </c>
      <c r="G57">
        <v>8</v>
      </c>
      <c r="H57">
        <v>8</v>
      </c>
      <c r="I57">
        <v>0</v>
      </c>
      <c r="J57">
        <v>1.27</v>
      </c>
      <c r="K57">
        <v>1.39</v>
      </c>
      <c r="L57">
        <v>1.59</v>
      </c>
      <c r="M57">
        <v>1.54</v>
      </c>
      <c r="N57">
        <v>1.54</v>
      </c>
      <c r="O57">
        <v>1.57</v>
      </c>
      <c r="P57">
        <v>1.29</v>
      </c>
      <c r="Q57">
        <v>1.33</v>
      </c>
      <c r="R57">
        <v>1.28</v>
      </c>
      <c r="S57">
        <v>1.1599999999999999</v>
      </c>
      <c r="T57">
        <v>3708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6</v>
      </c>
      <c r="G58">
        <v>8</v>
      </c>
      <c r="H58">
        <v>8</v>
      </c>
      <c r="I58">
        <v>4</v>
      </c>
      <c r="J58">
        <v>1.31</v>
      </c>
      <c r="K58">
        <v>1.33</v>
      </c>
      <c r="L58">
        <v>1.41</v>
      </c>
      <c r="M58">
        <v>1.42</v>
      </c>
      <c r="N58">
        <v>1.53</v>
      </c>
      <c r="O58">
        <v>1.38</v>
      </c>
      <c r="P58">
        <v>1.25</v>
      </c>
      <c r="Q58">
        <v>1.29</v>
      </c>
      <c r="R58">
        <v>1.25</v>
      </c>
      <c r="S58">
        <v>1.06</v>
      </c>
      <c r="T58">
        <v>3726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6</v>
      </c>
      <c r="G59">
        <v>8</v>
      </c>
      <c r="H59">
        <v>8</v>
      </c>
      <c r="I59">
        <v>0</v>
      </c>
      <c r="J59">
        <v>1.36</v>
      </c>
      <c r="K59">
        <v>1.34</v>
      </c>
      <c r="L59">
        <v>1.42</v>
      </c>
      <c r="M59">
        <v>1.28</v>
      </c>
      <c r="N59">
        <v>1.3</v>
      </c>
      <c r="O59">
        <v>1.3</v>
      </c>
      <c r="P59">
        <v>1.37</v>
      </c>
      <c r="Q59">
        <v>1.28</v>
      </c>
      <c r="R59">
        <v>1.28</v>
      </c>
      <c r="S59">
        <v>1.1499999999999999</v>
      </c>
      <c r="T59">
        <v>3728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6</v>
      </c>
      <c r="G60">
        <v>8</v>
      </c>
      <c r="H60">
        <v>7</v>
      </c>
      <c r="I60">
        <v>56</v>
      </c>
      <c r="J60">
        <v>1.1399999999999999</v>
      </c>
      <c r="K60">
        <v>1.18</v>
      </c>
      <c r="L60">
        <v>1.47</v>
      </c>
      <c r="M60">
        <v>1.45</v>
      </c>
      <c r="N60">
        <v>1.47</v>
      </c>
      <c r="O60">
        <v>1.44</v>
      </c>
      <c r="P60">
        <v>1.45</v>
      </c>
      <c r="Q60">
        <v>1.28</v>
      </c>
      <c r="R60">
        <v>1.1200000000000001</v>
      </c>
      <c r="S60">
        <v>0.94</v>
      </c>
      <c r="T60">
        <v>3754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6</v>
      </c>
      <c r="G61">
        <v>8</v>
      </c>
      <c r="H61">
        <v>8</v>
      </c>
      <c r="I61">
        <v>13</v>
      </c>
      <c r="J61">
        <v>1.55</v>
      </c>
      <c r="K61">
        <v>1.49</v>
      </c>
      <c r="L61">
        <v>1.51</v>
      </c>
      <c r="M61">
        <v>1.56</v>
      </c>
      <c r="N61">
        <v>1.43</v>
      </c>
      <c r="O61">
        <v>1.42</v>
      </c>
      <c r="P61">
        <v>1.34</v>
      </c>
      <c r="Q61">
        <v>1.35</v>
      </c>
      <c r="R61">
        <v>1.43</v>
      </c>
      <c r="S61">
        <v>1.3</v>
      </c>
      <c r="T61">
        <v>3699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6</v>
      </c>
      <c r="G62">
        <v>8</v>
      </c>
      <c r="H62">
        <v>8</v>
      </c>
      <c r="I62">
        <v>10</v>
      </c>
      <c r="J62">
        <v>1.47</v>
      </c>
      <c r="K62">
        <v>1.43</v>
      </c>
      <c r="L62">
        <v>1.55</v>
      </c>
      <c r="M62">
        <v>1.58</v>
      </c>
      <c r="N62">
        <v>1.67</v>
      </c>
      <c r="O62">
        <v>1.62</v>
      </c>
      <c r="P62">
        <v>1.51</v>
      </c>
      <c r="Q62">
        <v>1.33</v>
      </c>
      <c r="R62">
        <v>1.38</v>
      </c>
      <c r="S62">
        <v>1.26</v>
      </c>
      <c r="T62">
        <v>3710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6</v>
      </c>
      <c r="G63">
        <v>8</v>
      </c>
      <c r="H63">
        <v>8</v>
      </c>
      <c r="I63">
        <v>22</v>
      </c>
      <c r="J63">
        <v>1.42</v>
      </c>
      <c r="K63">
        <v>1.38</v>
      </c>
      <c r="L63">
        <v>1.5</v>
      </c>
      <c r="M63">
        <v>1.57</v>
      </c>
      <c r="N63">
        <v>1.53</v>
      </c>
      <c r="O63">
        <v>1.49</v>
      </c>
      <c r="P63">
        <v>1.44</v>
      </c>
      <c r="Q63">
        <v>1.2</v>
      </c>
      <c r="R63">
        <v>1.23</v>
      </c>
      <c r="S63">
        <v>1.05</v>
      </c>
      <c r="T63">
        <v>3694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6</v>
      </c>
      <c r="G64">
        <v>8</v>
      </c>
      <c r="H64">
        <v>8</v>
      </c>
      <c r="I64">
        <v>26</v>
      </c>
      <c r="J64">
        <v>1.42</v>
      </c>
      <c r="K64">
        <v>1.38</v>
      </c>
      <c r="L64">
        <v>1.4</v>
      </c>
      <c r="M64">
        <v>1.51</v>
      </c>
      <c r="N64">
        <v>1.55</v>
      </c>
      <c r="O64">
        <v>1.55</v>
      </c>
      <c r="P64">
        <v>1.49</v>
      </c>
      <c r="Q64">
        <v>1.39</v>
      </c>
      <c r="R64">
        <v>1.29</v>
      </c>
      <c r="S64">
        <v>1.33</v>
      </c>
      <c r="T64">
        <v>3711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6</v>
      </c>
      <c r="G65">
        <v>8</v>
      </c>
      <c r="H65">
        <v>8</v>
      </c>
      <c r="I65">
        <v>44</v>
      </c>
      <c r="J65">
        <v>1.23</v>
      </c>
      <c r="K65">
        <v>1.07</v>
      </c>
      <c r="L65">
        <v>1.1100000000000001</v>
      </c>
      <c r="M65">
        <v>1.27</v>
      </c>
      <c r="N65">
        <v>1.37</v>
      </c>
      <c r="O65">
        <v>1.2</v>
      </c>
      <c r="P65">
        <v>1.24</v>
      </c>
      <c r="Q65">
        <v>1.29</v>
      </c>
      <c r="R65">
        <v>1.32</v>
      </c>
      <c r="S65">
        <v>1.17</v>
      </c>
      <c r="T65">
        <v>3677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6</v>
      </c>
      <c r="G66">
        <v>8</v>
      </c>
      <c r="H66">
        <v>8</v>
      </c>
      <c r="I66">
        <v>40</v>
      </c>
      <c r="J66">
        <v>1.4</v>
      </c>
      <c r="K66">
        <v>1.43</v>
      </c>
      <c r="L66">
        <v>1.48</v>
      </c>
      <c r="M66">
        <v>1.25</v>
      </c>
      <c r="N66">
        <v>1.38</v>
      </c>
      <c r="O66">
        <v>1.49</v>
      </c>
      <c r="P66">
        <v>1.3</v>
      </c>
      <c r="Q66">
        <v>1.26</v>
      </c>
      <c r="R66">
        <v>1.4</v>
      </c>
      <c r="S66">
        <v>1.32</v>
      </c>
      <c r="T66">
        <v>3685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6</v>
      </c>
      <c r="G67">
        <v>8</v>
      </c>
      <c r="H67">
        <v>8</v>
      </c>
      <c r="I67">
        <v>35</v>
      </c>
      <c r="J67">
        <v>1.47</v>
      </c>
      <c r="K67">
        <v>1.38</v>
      </c>
      <c r="L67">
        <v>1.34</v>
      </c>
      <c r="M67">
        <v>1.28</v>
      </c>
      <c r="N67">
        <v>1.31</v>
      </c>
      <c r="O67">
        <v>1.35</v>
      </c>
      <c r="P67">
        <v>1.1499999999999999</v>
      </c>
      <c r="Q67">
        <v>1.1299999999999999</v>
      </c>
      <c r="R67">
        <v>1.19</v>
      </c>
      <c r="S67">
        <v>1.1399999999999999</v>
      </c>
      <c r="T67">
        <v>3694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6</v>
      </c>
      <c r="G68">
        <v>8</v>
      </c>
      <c r="H68">
        <v>8</v>
      </c>
      <c r="I68">
        <v>30</v>
      </c>
      <c r="J68">
        <v>1.51</v>
      </c>
      <c r="K68">
        <v>1.46</v>
      </c>
      <c r="L68">
        <v>1.27</v>
      </c>
      <c r="M68">
        <v>1.39</v>
      </c>
      <c r="N68">
        <v>1.48</v>
      </c>
      <c r="O68">
        <v>1.42</v>
      </c>
      <c r="P68">
        <v>1.31</v>
      </c>
      <c r="Q68">
        <v>1.1499999999999999</v>
      </c>
      <c r="R68">
        <v>1.19</v>
      </c>
      <c r="S68">
        <v>1.1000000000000001</v>
      </c>
      <c r="T68">
        <v>3692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20.113199999999999</v>
      </c>
      <c r="K73">
        <f t="shared" ref="K73:R73" si="0">22.275*K45-6.1713</f>
        <v>21.004199999999997</v>
      </c>
      <c r="L73">
        <f t="shared" si="0"/>
        <v>23.89995</v>
      </c>
      <c r="M73">
        <f t="shared" si="0"/>
        <v>26.572949999999995</v>
      </c>
      <c r="N73">
        <f t="shared" si="0"/>
        <v>24.790949999999999</v>
      </c>
      <c r="O73">
        <f t="shared" si="0"/>
        <v>27.463950000000001</v>
      </c>
      <c r="P73">
        <f t="shared" si="0"/>
        <v>27.909450000000003</v>
      </c>
      <c r="Q73">
        <f t="shared" si="0"/>
        <v>26.350199999999997</v>
      </c>
      <c r="R73">
        <f t="shared" si="0"/>
        <v>26.7957</v>
      </c>
      <c r="S73">
        <f>22.275*(S45*1.1)-6.1713</f>
        <v>26.172000000000001</v>
      </c>
    </row>
    <row r="74" spans="1:20" x14ac:dyDescent="0.25">
      <c r="I74" t="s">
        <v>43</v>
      </c>
      <c r="J74">
        <f t="shared" ref="J74:R89" si="1">22.275*J46-6.1713</f>
        <v>23.89995</v>
      </c>
      <c r="K74">
        <f t="shared" si="1"/>
        <v>25.013699999999996</v>
      </c>
      <c r="L74">
        <f t="shared" si="1"/>
        <v>20.558699999999998</v>
      </c>
      <c r="M74">
        <f t="shared" si="1"/>
        <v>20.78145</v>
      </c>
      <c r="N74">
        <f t="shared" si="1"/>
        <v>19.890449999999998</v>
      </c>
      <c r="O74">
        <f t="shared" si="1"/>
        <v>21.226949999999999</v>
      </c>
      <c r="P74">
        <f t="shared" si="1"/>
        <v>20.335949999999997</v>
      </c>
      <c r="Q74">
        <f t="shared" si="1"/>
        <v>24.345450000000003</v>
      </c>
      <c r="R74">
        <f t="shared" si="1"/>
        <v>23.89995</v>
      </c>
      <c r="S74">
        <f t="shared" ref="S74:S91" si="2">22.275*(S46*1.1)-6.1713</f>
        <v>23.2317</v>
      </c>
    </row>
    <row r="75" spans="1:20" x14ac:dyDescent="0.25">
      <c r="I75" t="s">
        <v>44</v>
      </c>
      <c r="J75">
        <f t="shared" si="1"/>
        <v>22.11795</v>
      </c>
      <c r="K75">
        <f t="shared" si="1"/>
        <v>21.004199999999997</v>
      </c>
      <c r="L75">
        <f t="shared" si="1"/>
        <v>22.56345</v>
      </c>
      <c r="M75">
        <f t="shared" si="1"/>
        <v>25.236449999999998</v>
      </c>
      <c r="N75">
        <f t="shared" si="1"/>
        <v>26.572949999999995</v>
      </c>
      <c r="O75">
        <f t="shared" si="1"/>
        <v>26.350199999999997</v>
      </c>
      <c r="P75">
        <f t="shared" si="1"/>
        <v>25.904699999999995</v>
      </c>
      <c r="Q75">
        <f t="shared" si="1"/>
        <v>23.454450000000001</v>
      </c>
      <c r="R75">
        <f t="shared" si="1"/>
        <v>23.008950000000002</v>
      </c>
      <c r="S75">
        <f t="shared" si="2"/>
        <v>22.006574999999998</v>
      </c>
    </row>
    <row r="76" spans="1:20" x14ac:dyDescent="0.25">
      <c r="I76" t="s">
        <v>45</v>
      </c>
      <c r="J76">
        <f t="shared" si="1"/>
        <v>26.350199999999997</v>
      </c>
      <c r="K76">
        <f t="shared" si="1"/>
        <v>26.572949999999995</v>
      </c>
      <c r="L76">
        <f t="shared" si="1"/>
        <v>26.572949999999995</v>
      </c>
      <c r="M76">
        <f t="shared" si="1"/>
        <v>23.677200000000003</v>
      </c>
      <c r="N76">
        <f t="shared" si="1"/>
        <v>24.345450000000003</v>
      </c>
      <c r="O76">
        <f t="shared" si="1"/>
        <v>28.132200000000001</v>
      </c>
      <c r="P76">
        <f t="shared" si="1"/>
        <v>25.904699999999995</v>
      </c>
      <c r="Q76">
        <f t="shared" si="1"/>
        <v>23.89995</v>
      </c>
      <c r="R76">
        <f t="shared" si="1"/>
        <v>24.122700000000002</v>
      </c>
      <c r="S76">
        <f t="shared" si="2"/>
        <v>25.436925000000006</v>
      </c>
    </row>
    <row r="77" spans="1:20" x14ac:dyDescent="0.25">
      <c r="I77" t="s">
        <v>46</v>
      </c>
      <c r="J77">
        <f t="shared" si="1"/>
        <v>27.241199999999996</v>
      </c>
      <c r="K77">
        <f t="shared" si="1"/>
        <v>24.568199999999997</v>
      </c>
      <c r="L77">
        <f t="shared" si="1"/>
        <v>25.681949999999997</v>
      </c>
      <c r="M77">
        <f t="shared" si="1"/>
        <v>25.459199999999999</v>
      </c>
      <c r="N77">
        <f t="shared" si="1"/>
        <v>26.350199999999997</v>
      </c>
      <c r="O77">
        <f t="shared" si="1"/>
        <v>25.904699999999995</v>
      </c>
      <c r="P77">
        <f t="shared" si="1"/>
        <v>21.895199999999999</v>
      </c>
      <c r="Q77">
        <f t="shared" si="1"/>
        <v>25.459199999999999</v>
      </c>
      <c r="R77">
        <f t="shared" si="1"/>
        <v>25.236449999999998</v>
      </c>
      <c r="S77">
        <f t="shared" si="2"/>
        <v>24.456824999999998</v>
      </c>
    </row>
    <row r="78" spans="1:20" x14ac:dyDescent="0.25">
      <c r="I78" t="s">
        <v>47</v>
      </c>
      <c r="J78">
        <f t="shared" si="1"/>
        <v>25.904699999999995</v>
      </c>
      <c r="K78">
        <f t="shared" si="1"/>
        <v>25.236449999999998</v>
      </c>
      <c r="L78">
        <f t="shared" si="1"/>
        <v>24.790949999999999</v>
      </c>
      <c r="M78">
        <f t="shared" si="1"/>
        <v>26.12745</v>
      </c>
      <c r="N78">
        <f t="shared" si="1"/>
        <v>24.122700000000002</v>
      </c>
      <c r="O78">
        <f t="shared" si="1"/>
        <v>19.667699999999996</v>
      </c>
      <c r="P78">
        <f t="shared" si="1"/>
        <v>18.776700000000002</v>
      </c>
      <c r="Q78">
        <f t="shared" si="1"/>
        <v>23.008950000000002</v>
      </c>
      <c r="R78">
        <f t="shared" si="1"/>
        <v>22.786200000000001</v>
      </c>
      <c r="S78">
        <f t="shared" si="2"/>
        <v>20.291400000000003</v>
      </c>
    </row>
    <row r="79" spans="1:20" x14ac:dyDescent="0.25">
      <c r="I79" t="s">
        <v>48</v>
      </c>
      <c r="J79">
        <f t="shared" si="1"/>
        <v>23.677200000000003</v>
      </c>
      <c r="K79">
        <f t="shared" si="1"/>
        <v>23.677200000000003</v>
      </c>
      <c r="L79">
        <f t="shared" si="1"/>
        <v>25.681949999999997</v>
      </c>
      <c r="M79">
        <f t="shared" si="1"/>
        <v>27.241199999999996</v>
      </c>
      <c r="N79">
        <f t="shared" si="1"/>
        <v>24.122700000000002</v>
      </c>
      <c r="O79">
        <f t="shared" si="1"/>
        <v>18.999449999999996</v>
      </c>
      <c r="P79">
        <f t="shared" si="1"/>
        <v>19.222199999999997</v>
      </c>
      <c r="Q79">
        <f t="shared" si="1"/>
        <v>21.226949999999999</v>
      </c>
      <c r="R79">
        <f t="shared" si="1"/>
        <v>23.008950000000002</v>
      </c>
      <c r="S79">
        <f t="shared" si="2"/>
        <v>23.72175</v>
      </c>
    </row>
    <row r="80" spans="1:20" x14ac:dyDescent="0.25">
      <c r="I80" t="s">
        <v>49</v>
      </c>
      <c r="J80">
        <f t="shared" si="1"/>
        <v>17.440200000000001</v>
      </c>
      <c r="K80">
        <f t="shared" si="1"/>
        <v>14.544450000000001</v>
      </c>
      <c r="L80">
        <f t="shared" si="1"/>
        <v>13.20795</v>
      </c>
      <c r="M80">
        <f t="shared" si="1"/>
        <v>13.876200000000001</v>
      </c>
      <c r="N80">
        <f t="shared" si="1"/>
        <v>14.098950000000002</v>
      </c>
      <c r="O80">
        <f t="shared" si="1"/>
        <v>13.876200000000001</v>
      </c>
      <c r="P80">
        <f t="shared" si="1"/>
        <v>14.544450000000001</v>
      </c>
      <c r="Q80">
        <f t="shared" si="1"/>
        <v>17.217449999999999</v>
      </c>
      <c r="R80">
        <f t="shared" si="1"/>
        <v>21.226949999999999</v>
      </c>
      <c r="S80">
        <f t="shared" si="2"/>
        <v>23.966774999999998</v>
      </c>
    </row>
    <row r="81" spans="9:19" x14ac:dyDescent="0.25">
      <c r="I81" t="s">
        <v>50</v>
      </c>
      <c r="J81">
        <f t="shared" si="1"/>
        <v>27.463950000000001</v>
      </c>
      <c r="K81">
        <f t="shared" si="1"/>
        <v>25.013699999999996</v>
      </c>
      <c r="L81">
        <f t="shared" si="1"/>
        <v>24.790949999999999</v>
      </c>
      <c r="M81">
        <f t="shared" si="1"/>
        <v>25.681949999999997</v>
      </c>
      <c r="N81">
        <f t="shared" si="1"/>
        <v>25.013699999999996</v>
      </c>
      <c r="O81">
        <f t="shared" si="1"/>
        <v>21.4497</v>
      </c>
      <c r="P81">
        <f t="shared" si="1"/>
        <v>19.890449999999998</v>
      </c>
      <c r="Q81">
        <f t="shared" si="1"/>
        <v>20.335949999999997</v>
      </c>
      <c r="R81">
        <f t="shared" si="1"/>
        <v>21.226949999999999</v>
      </c>
      <c r="S81">
        <f t="shared" si="2"/>
        <v>19.311300000000003</v>
      </c>
    </row>
    <row r="82" spans="9:19" x14ac:dyDescent="0.25">
      <c r="I82" t="s">
        <v>51</v>
      </c>
      <c r="J82">
        <f t="shared" si="1"/>
        <v>20.558699999999998</v>
      </c>
      <c r="K82">
        <f t="shared" si="1"/>
        <v>19.890449999999998</v>
      </c>
      <c r="L82">
        <f t="shared" si="1"/>
        <v>16.994700000000002</v>
      </c>
      <c r="M82">
        <f t="shared" si="1"/>
        <v>16.326450000000001</v>
      </c>
      <c r="N82">
        <f t="shared" si="1"/>
        <v>15.658200000000001</v>
      </c>
      <c r="O82">
        <f t="shared" si="1"/>
        <v>15.435449999999999</v>
      </c>
      <c r="P82">
        <f t="shared" si="1"/>
        <v>17.217449999999999</v>
      </c>
      <c r="Q82">
        <f t="shared" si="1"/>
        <v>22.786200000000001</v>
      </c>
      <c r="R82">
        <f t="shared" si="1"/>
        <v>23.677200000000003</v>
      </c>
      <c r="S82">
        <f t="shared" si="2"/>
        <v>21.271500000000003</v>
      </c>
    </row>
    <row r="83" spans="9:19" x14ac:dyDescent="0.25">
      <c r="I83" t="s">
        <v>52</v>
      </c>
      <c r="J83">
        <f t="shared" si="1"/>
        <v>20.558699999999998</v>
      </c>
      <c r="K83">
        <f t="shared" si="1"/>
        <v>20.335949999999997</v>
      </c>
      <c r="L83">
        <f t="shared" si="1"/>
        <v>24.568199999999997</v>
      </c>
      <c r="M83">
        <f t="shared" si="1"/>
        <v>26.350199999999997</v>
      </c>
      <c r="N83">
        <f t="shared" si="1"/>
        <v>24.790949999999999</v>
      </c>
      <c r="O83">
        <f t="shared" si="1"/>
        <v>23.677200000000003</v>
      </c>
      <c r="P83">
        <f t="shared" si="1"/>
        <v>24.568199999999997</v>
      </c>
      <c r="Q83">
        <f t="shared" si="1"/>
        <v>22.11795</v>
      </c>
      <c r="R83">
        <f t="shared" si="1"/>
        <v>25.236449999999998</v>
      </c>
      <c r="S83">
        <f t="shared" si="2"/>
        <v>23.476724999999998</v>
      </c>
    </row>
    <row r="84" spans="9:19" x14ac:dyDescent="0.25">
      <c r="I84" t="s">
        <v>53</v>
      </c>
      <c r="J84">
        <f t="shared" si="1"/>
        <v>17.217449999999999</v>
      </c>
      <c r="K84">
        <f t="shared" si="1"/>
        <v>18.331200000000003</v>
      </c>
      <c r="L84">
        <f t="shared" si="1"/>
        <v>22.786200000000001</v>
      </c>
      <c r="M84">
        <f t="shared" si="1"/>
        <v>25.013699999999996</v>
      </c>
      <c r="N84">
        <f t="shared" si="1"/>
        <v>25.681949999999997</v>
      </c>
      <c r="O84">
        <f t="shared" si="1"/>
        <v>26.7957</v>
      </c>
      <c r="P84">
        <f t="shared" si="1"/>
        <v>27.018449999999998</v>
      </c>
      <c r="Q84">
        <f t="shared" si="1"/>
        <v>24.790949999999999</v>
      </c>
      <c r="R84">
        <f t="shared" si="1"/>
        <v>21.895199999999999</v>
      </c>
      <c r="S84">
        <f t="shared" si="2"/>
        <v>19.066275000000005</v>
      </c>
    </row>
    <row r="85" spans="9:19" x14ac:dyDescent="0.25">
      <c r="I85" t="s">
        <v>54</v>
      </c>
      <c r="J85">
        <f t="shared" si="1"/>
        <v>22.11795</v>
      </c>
      <c r="K85">
        <f t="shared" si="1"/>
        <v>24.790949999999999</v>
      </c>
      <c r="L85">
        <f t="shared" si="1"/>
        <v>29.245950000000004</v>
      </c>
      <c r="M85">
        <f t="shared" si="1"/>
        <v>28.132200000000001</v>
      </c>
      <c r="N85">
        <f t="shared" si="1"/>
        <v>28.132200000000001</v>
      </c>
      <c r="O85">
        <f t="shared" si="1"/>
        <v>28.800450000000001</v>
      </c>
      <c r="P85">
        <f t="shared" si="1"/>
        <v>22.56345</v>
      </c>
      <c r="Q85">
        <f t="shared" si="1"/>
        <v>23.454450000000001</v>
      </c>
      <c r="R85">
        <f t="shared" si="1"/>
        <v>22.340700000000002</v>
      </c>
      <c r="S85">
        <f t="shared" si="2"/>
        <v>22.2516</v>
      </c>
    </row>
    <row r="86" spans="9:19" x14ac:dyDescent="0.25">
      <c r="I86" t="s">
        <v>55</v>
      </c>
      <c r="J86">
        <f t="shared" si="1"/>
        <v>23.008950000000002</v>
      </c>
      <c r="K86">
        <f t="shared" si="1"/>
        <v>23.454450000000001</v>
      </c>
      <c r="L86">
        <f t="shared" si="1"/>
        <v>25.236449999999998</v>
      </c>
      <c r="M86">
        <f t="shared" si="1"/>
        <v>25.459199999999999</v>
      </c>
      <c r="N86">
        <f t="shared" si="1"/>
        <v>27.909450000000003</v>
      </c>
      <c r="O86">
        <f t="shared" si="1"/>
        <v>24.568199999999997</v>
      </c>
      <c r="P86">
        <f t="shared" si="1"/>
        <v>21.672450000000001</v>
      </c>
      <c r="Q86">
        <f t="shared" si="1"/>
        <v>22.56345</v>
      </c>
      <c r="R86">
        <f t="shared" si="1"/>
        <v>21.672450000000001</v>
      </c>
      <c r="S86">
        <f t="shared" si="2"/>
        <v>19.801350000000003</v>
      </c>
    </row>
    <row r="87" spans="9:19" x14ac:dyDescent="0.25">
      <c r="I87" t="s">
        <v>56</v>
      </c>
      <c r="J87">
        <f t="shared" si="1"/>
        <v>24.122700000000002</v>
      </c>
      <c r="K87">
        <f t="shared" si="1"/>
        <v>23.677200000000003</v>
      </c>
      <c r="L87">
        <f t="shared" si="1"/>
        <v>25.459199999999999</v>
      </c>
      <c r="M87">
        <f t="shared" si="1"/>
        <v>22.340700000000002</v>
      </c>
      <c r="N87">
        <f t="shared" si="1"/>
        <v>22.786200000000001</v>
      </c>
      <c r="O87">
        <f t="shared" si="1"/>
        <v>22.786200000000001</v>
      </c>
      <c r="P87">
        <f t="shared" si="1"/>
        <v>24.345450000000003</v>
      </c>
      <c r="Q87">
        <f t="shared" si="1"/>
        <v>22.340700000000002</v>
      </c>
      <c r="R87">
        <f t="shared" si="1"/>
        <v>22.340700000000002</v>
      </c>
      <c r="S87">
        <f t="shared" si="2"/>
        <v>22.006574999999998</v>
      </c>
    </row>
    <row r="88" spans="9:19" x14ac:dyDescent="0.25">
      <c r="I88" t="s">
        <v>57</v>
      </c>
      <c r="J88">
        <f t="shared" si="1"/>
        <v>19.222199999999997</v>
      </c>
      <c r="K88">
        <f t="shared" si="1"/>
        <v>20.113199999999999</v>
      </c>
      <c r="L88">
        <f t="shared" si="1"/>
        <v>26.572949999999995</v>
      </c>
      <c r="M88">
        <f t="shared" si="1"/>
        <v>26.12745</v>
      </c>
      <c r="N88">
        <f t="shared" si="1"/>
        <v>26.572949999999995</v>
      </c>
      <c r="O88">
        <f t="shared" si="1"/>
        <v>25.904699999999995</v>
      </c>
      <c r="P88">
        <f t="shared" si="1"/>
        <v>26.12745</v>
      </c>
      <c r="Q88">
        <f t="shared" si="1"/>
        <v>22.340700000000002</v>
      </c>
      <c r="R88">
        <f t="shared" si="1"/>
        <v>18.776700000000002</v>
      </c>
      <c r="S88">
        <f t="shared" si="2"/>
        <v>16.861049999999999</v>
      </c>
    </row>
    <row r="89" spans="9:19" x14ac:dyDescent="0.25">
      <c r="I89" t="s">
        <v>58</v>
      </c>
      <c r="J89">
        <f t="shared" si="1"/>
        <v>28.354949999999999</v>
      </c>
      <c r="K89">
        <f t="shared" si="1"/>
        <v>27.018449999999998</v>
      </c>
      <c r="L89">
        <f t="shared" si="1"/>
        <v>27.463950000000001</v>
      </c>
      <c r="M89">
        <f t="shared" si="1"/>
        <v>28.577700000000004</v>
      </c>
      <c r="N89">
        <f t="shared" si="1"/>
        <v>25.681949999999997</v>
      </c>
      <c r="O89">
        <f t="shared" si="1"/>
        <v>25.459199999999999</v>
      </c>
      <c r="P89">
        <f t="shared" si="1"/>
        <v>23.677200000000003</v>
      </c>
      <c r="Q89">
        <f t="shared" si="1"/>
        <v>23.89995</v>
      </c>
      <c r="R89">
        <f t="shared" si="1"/>
        <v>25.681949999999997</v>
      </c>
      <c r="S89">
        <f t="shared" si="2"/>
        <v>25.681950000000004</v>
      </c>
    </row>
    <row r="90" spans="9:19" x14ac:dyDescent="0.25">
      <c r="I90" t="s">
        <v>59</v>
      </c>
      <c r="J90">
        <f t="shared" ref="J90:R96" si="3">22.275*J62-6.1713</f>
        <v>26.572949999999995</v>
      </c>
      <c r="K90">
        <f t="shared" si="3"/>
        <v>25.681949999999997</v>
      </c>
      <c r="L90">
        <f t="shared" si="3"/>
        <v>28.354949999999999</v>
      </c>
      <c r="M90">
        <f t="shared" si="3"/>
        <v>29.023199999999999</v>
      </c>
      <c r="N90">
        <f t="shared" si="3"/>
        <v>31.027950000000001</v>
      </c>
      <c r="O90">
        <f t="shared" si="3"/>
        <v>29.914200000000005</v>
      </c>
      <c r="P90">
        <f t="shared" si="3"/>
        <v>27.463950000000001</v>
      </c>
      <c r="Q90">
        <f t="shared" si="3"/>
        <v>23.454450000000001</v>
      </c>
      <c r="R90">
        <f t="shared" si="3"/>
        <v>24.568199999999997</v>
      </c>
      <c r="S90">
        <f t="shared" si="2"/>
        <v>24.70185</v>
      </c>
    </row>
    <row r="91" spans="9:19" x14ac:dyDescent="0.25">
      <c r="I91" t="s">
        <v>60</v>
      </c>
      <c r="J91">
        <f t="shared" si="3"/>
        <v>25.459199999999999</v>
      </c>
      <c r="K91">
        <f t="shared" si="3"/>
        <v>24.568199999999997</v>
      </c>
      <c r="L91">
        <f t="shared" si="3"/>
        <v>27.241199999999996</v>
      </c>
      <c r="M91">
        <f t="shared" si="3"/>
        <v>28.800450000000001</v>
      </c>
      <c r="N91">
        <f t="shared" si="3"/>
        <v>27.909450000000003</v>
      </c>
      <c r="O91">
        <f t="shared" si="3"/>
        <v>27.018449999999998</v>
      </c>
      <c r="P91">
        <f t="shared" si="3"/>
        <v>25.904699999999995</v>
      </c>
      <c r="Q91">
        <f t="shared" si="3"/>
        <v>20.558699999999998</v>
      </c>
      <c r="R91">
        <f t="shared" si="3"/>
        <v>21.226949999999999</v>
      </c>
      <c r="S91">
        <f t="shared" si="2"/>
        <v>19.556325000000005</v>
      </c>
    </row>
    <row r="92" spans="9:19" x14ac:dyDescent="0.25">
      <c r="I92" t="s">
        <v>61</v>
      </c>
      <c r="J92">
        <f t="shared" si="3"/>
        <v>25.459199999999999</v>
      </c>
      <c r="K92">
        <f t="shared" si="3"/>
        <v>24.568199999999997</v>
      </c>
      <c r="L92">
        <f t="shared" si="3"/>
        <v>25.013699999999996</v>
      </c>
      <c r="M92">
        <f t="shared" si="3"/>
        <v>27.463950000000001</v>
      </c>
      <c r="N92">
        <f t="shared" si="3"/>
        <v>28.354949999999999</v>
      </c>
      <c r="O92">
        <f t="shared" si="3"/>
        <v>28.354949999999999</v>
      </c>
      <c r="P92">
        <f t="shared" si="3"/>
        <v>27.018449999999998</v>
      </c>
      <c r="Q92">
        <f t="shared" si="3"/>
        <v>24.790949999999999</v>
      </c>
      <c r="R92">
        <f t="shared" si="3"/>
        <v>22.56345</v>
      </c>
      <c r="S92">
        <f>22.275*(S64*1.1)-6.1713</f>
        <v>26.417025000000006</v>
      </c>
    </row>
    <row r="93" spans="9:19" x14ac:dyDescent="0.25">
      <c r="I93" t="s">
        <v>62</v>
      </c>
      <c r="J93">
        <f t="shared" si="3"/>
        <v>21.226949999999999</v>
      </c>
      <c r="K93">
        <f t="shared" si="3"/>
        <v>17.662950000000002</v>
      </c>
      <c r="L93">
        <f t="shared" si="3"/>
        <v>18.55395</v>
      </c>
      <c r="M93">
        <f t="shared" si="3"/>
        <v>22.11795</v>
      </c>
      <c r="N93">
        <f t="shared" si="3"/>
        <v>24.345450000000003</v>
      </c>
      <c r="O93">
        <f t="shared" si="3"/>
        <v>20.558699999999998</v>
      </c>
      <c r="P93">
        <f t="shared" si="3"/>
        <v>21.4497</v>
      </c>
      <c r="Q93">
        <f t="shared" si="3"/>
        <v>22.56345</v>
      </c>
      <c r="R93">
        <f t="shared" si="3"/>
        <v>23.2317</v>
      </c>
      <c r="S93">
        <f t="shared" ref="S93:S95" si="4">22.275*(S65*1.1)-6.1713</f>
        <v>22.496624999999998</v>
      </c>
    </row>
    <row r="94" spans="9:19" x14ac:dyDescent="0.25">
      <c r="I94" t="s">
        <v>63</v>
      </c>
      <c r="J94">
        <f t="shared" si="3"/>
        <v>25.013699999999996</v>
      </c>
      <c r="K94">
        <f t="shared" si="3"/>
        <v>25.681949999999997</v>
      </c>
      <c r="L94">
        <f t="shared" si="3"/>
        <v>26.7957</v>
      </c>
      <c r="M94">
        <f t="shared" si="3"/>
        <v>21.672450000000001</v>
      </c>
      <c r="N94">
        <f t="shared" si="3"/>
        <v>24.568199999999997</v>
      </c>
      <c r="O94">
        <f t="shared" si="3"/>
        <v>27.018449999999998</v>
      </c>
      <c r="P94">
        <f t="shared" si="3"/>
        <v>22.786200000000001</v>
      </c>
      <c r="Q94">
        <f t="shared" si="3"/>
        <v>21.895199999999999</v>
      </c>
      <c r="R94">
        <f t="shared" si="3"/>
        <v>25.013699999999996</v>
      </c>
      <c r="S94">
        <f t="shared" si="4"/>
        <v>26.172000000000001</v>
      </c>
    </row>
    <row r="95" spans="9:19" x14ac:dyDescent="0.25">
      <c r="I95" t="s">
        <v>64</v>
      </c>
      <c r="J95">
        <f t="shared" si="3"/>
        <v>26.572949999999995</v>
      </c>
      <c r="K95">
        <f t="shared" si="3"/>
        <v>24.568199999999997</v>
      </c>
      <c r="L95">
        <f t="shared" si="3"/>
        <v>23.677200000000003</v>
      </c>
      <c r="M95">
        <f t="shared" si="3"/>
        <v>22.340700000000002</v>
      </c>
      <c r="N95">
        <f t="shared" si="3"/>
        <v>23.008950000000002</v>
      </c>
      <c r="O95">
        <f t="shared" si="3"/>
        <v>23.89995</v>
      </c>
      <c r="P95">
        <f t="shared" si="3"/>
        <v>19.444949999999999</v>
      </c>
      <c r="Q95">
        <f t="shared" si="3"/>
        <v>18.999449999999996</v>
      </c>
      <c r="R95">
        <f t="shared" si="3"/>
        <v>20.335949999999997</v>
      </c>
      <c r="S95">
        <f t="shared" si="4"/>
        <v>21.76155</v>
      </c>
    </row>
    <row r="96" spans="9:19" x14ac:dyDescent="0.25">
      <c r="I96" t="s">
        <v>65</v>
      </c>
      <c r="J96">
        <f>22.275*J68-6.1713</f>
        <v>27.463950000000001</v>
      </c>
      <c r="K96">
        <f t="shared" si="3"/>
        <v>26.350199999999997</v>
      </c>
      <c r="L96">
        <f t="shared" si="3"/>
        <v>22.11795</v>
      </c>
      <c r="M96">
        <f t="shared" si="3"/>
        <v>24.790949999999999</v>
      </c>
      <c r="N96">
        <f t="shared" si="3"/>
        <v>26.7957</v>
      </c>
      <c r="O96">
        <f t="shared" si="3"/>
        <v>25.459199999999999</v>
      </c>
      <c r="P96">
        <f t="shared" si="3"/>
        <v>23.008950000000002</v>
      </c>
      <c r="Q96">
        <f t="shared" si="3"/>
        <v>19.444949999999999</v>
      </c>
      <c r="R96">
        <f t="shared" si="3"/>
        <v>20.335949999999997</v>
      </c>
      <c r="S96">
        <f>22.275*(S68*1.1)-6.1713</f>
        <v>20.781450000000003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0.20113199999999998</v>
      </c>
      <c r="K101" s="4">
        <f t="shared" si="5"/>
        <v>0.21004199999999998</v>
      </c>
      <c r="L101" s="4">
        <f t="shared" si="5"/>
        <v>0.2389995</v>
      </c>
      <c r="M101" s="4">
        <f t="shared" si="5"/>
        <v>0.26572949999999995</v>
      </c>
      <c r="N101" s="4">
        <f t="shared" si="5"/>
        <v>0.24790949999999998</v>
      </c>
      <c r="O101" s="4">
        <f t="shared" si="5"/>
        <v>0.27463949999999998</v>
      </c>
      <c r="P101" s="4">
        <f t="shared" si="5"/>
        <v>0.27909450000000002</v>
      </c>
      <c r="Q101" s="4">
        <f t="shared" si="5"/>
        <v>0.26350199999999996</v>
      </c>
      <c r="R101" s="4">
        <f t="shared" si="5"/>
        <v>0.267957</v>
      </c>
      <c r="S101" s="4">
        <f t="shared" si="5"/>
        <v>0.26172000000000001</v>
      </c>
    </row>
    <row r="102" spans="9:19" x14ac:dyDescent="0.25">
      <c r="I102">
        <v>12</v>
      </c>
      <c r="J102" s="4">
        <f t="shared" ref="J102:S115" si="6">IF(J74&lt;0,"",J74/100)</f>
        <v>0.2389995</v>
      </c>
      <c r="K102" s="4">
        <f t="shared" si="6"/>
        <v>0.25013699999999994</v>
      </c>
      <c r="L102" s="4">
        <f t="shared" si="6"/>
        <v>0.20558699999999999</v>
      </c>
      <c r="M102" s="4">
        <f t="shared" si="6"/>
        <v>0.20781449999999999</v>
      </c>
      <c r="N102" s="4">
        <f t="shared" si="6"/>
        <v>0.19890449999999998</v>
      </c>
      <c r="O102" s="4">
        <f t="shared" si="6"/>
        <v>0.2122695</v>
      </c>
      <c r="P102" s="4">
        <f t="shared" si="6"/>
        <v>0.20335949999999997</v>
      </c>
      <c r="Q102" s="4">
        <f t="shared" si="6"/>
        <v>0.24345450000000002</v>
      </c>
      <c r="R102" s="4">
        <f t="shared" si="6"/>
        <v>0.2389995</v>
      </c>
      <c r="S102" s="4">
        <f t="shared" si="6"/>
        <v>0.232317</v>
      </c>
    </row>
    <row r="103" spans="9:19" x14ac:dyDescent="0.25">
      <c r="I103">
        <v>13</v>
      </c>
      <c r="J103" s="4">
        <f t="shared" si="6"/>
        <v>0.2211795</v>
      </c>
      <c r="K103" s="4">
        <f t="shared" si="6"/>
        <v>0.21004199999999998</v>
      </c>
      <c r="L103" s="4">
        <f t="shared" si="6"/>
        <v>0.22563449999999999</v>
      </c>
      <c r="M103" s="4">
        <f t="shared" si="6"/>
        <v>0.25236449999999999</v>
      </c>
      <c r="N103" s="4">
        <f t="shared" si="6"/>
        <v>0.26572949999999995</v>
      </c>
      <c r="O103" s="4">
        <f t="shared" si="6"/>
        <v>0.26350199999999996</v>
      </c>
      <c r="P103" s="4">
        <f t="shared" si="6"/>
        <v>0.25904699999999997</v>
      </c>
      <c r="Q103" s="4">
        <f t="shared" si="6"/>
        <v>0.23454450000000002</v>
      </c>
      <c r="R103" s="4">
        <f t="shared" si="6"/>
        <v>0.23008950000000003</v>
      </c>
      <c r="S103" s="4">
        <f t="shared" si="6"/>
        <v>0.22006574999999998</v>
      </c>
    </row>
    <row r="104" spans="9:19" x14ac:dyDescent="0.25">
      <c r="I104">
        <v>14</v>
      </c>
      <c r="J104" s="4">
        <f t="shared" si="6"/>
        <v>0.26350199999999996</v>
      </c>
      <c r="K104" s="4">
        <f t="shared" si="6"/>
        <v>0.26572949999999995</v>
      </c>
      <c r="L104" s="4">
        <f t="shared" si="6"/>
        <v>0.26572949999999995</v>
      </c>
      <c r="M104" s="4">
        <f t="shared" si="6"/>
        <v>0.23677200000000004</v>
      </c>
      <c r="N104" s="4">
        <f t="shared" si="6"/>
        <v>0.24345450000000002</v>
      </c>
      <c r="O104" s="4">
        <f t="shared" si="6"/>
        <v>0.28132200000000002</v>
      </c>
      <c r="P104" s="4">
        <f t="shared" si="6"/>
        <v>0.25904699999999997</v>
      </c>
      <c r="Q104" s="4">
        <f t="shared" si="6"/>
        <v>0.2389995</v>
      </c>
      <c r="R104" s="4">
        <f t="shared" si="6"/>
        <v>0.24122700000000002</v>
      </c>
      <c r="S104" s="4">
        <f t="shared" si="6"/>
        <v>0.25436925000000005</v>
      </c>
    </row>
    <row r="105" spans="9:19" x14ac:dyDescent="0.25">
      <c r="I105">
        <v>21</v>
      </c>
      <c r="J105" s="4">
        <f t="shared" si="6"/>
        <v>0.27241199999999993</v>
      </c>
      <c r="K105" s="4">
        <f t="shared" si="6"/>
        <v>0.24568199999999998</v>
      </c>
      <c r="L105" s="4">
        <f t="shared" si="6"/>
        <v>0.25681949999999998</v>
      </c>
      <c r="M105" s="4">
        <f t="shared" si="6"/>
        <v>0.25459199999999998</v>
      </c>
      <c r="N105" s="4">
        <f t="shared" si="6"/>
        <v>0.26350199999999996</v>
      </c>
      <c r="O105" s="4">
        <f t="shared" si="6"/>
        <v>0.25904699999999997</v>
      </c>
      <c r="P105" s="4">
        <f t="shared" si="6"/>
        <v>0.21895199999999998</v>
      </c>
      <c r="Q105" s="4">
        <f t="shared" si="6"/>
        <v>0.25459199999999998</v>
      </c>
      <c r="R105" s="4">
        <f t="shared" si="6"/>
        <v>0.25236449999999999</v>
      </c>
      <c r="S105" s="4">
        <f t="shared" si="6"/>
        <v>0.24456824999999999</v>
      </c>
    </row>
    <row r="106" spans="9:19" x14ac:dyDescent="0.25">
      <c r="I106">
        <v>22</v>
      </c>
      <c r="J106" s="4">
        <f t="shared" si="6"/>
        <v>0.25904699999999997</v>
      </c>
      <c r="K106" s="4">
        <f t="shared" si="6"/>
        <v>0.25236449999999999</v>
      </c>
      <c r="L106" s="4">
        <f t="shared" si="6"/>
        <v>0.24790949999999998</v>
      </c>
      <c r="M106" s="4">
        <f t="shared" si="6"/>
        <v>0.26127450000000002</v>
      </c>
      <c r="N106" s="4">
        <f t="shared" si="6"/>
        <v>0.24122700000000002</v>
      </c>
      <c r="O106" s="4">
        <f t="shared" si="6"/>
        <v>0.19667699999999996</v>
      </c>
      <c r="P106" s="4">
        <f t="shared" si="6"/>
        <v>0.18776700000000002</v>
      </c>
      <c r="Q106" s="4">
        <f t="shared" si="6"/>
        <v>0.23008950000000003</v>
      </c>
      <c r="R106" s="4">
        <f t="shared" si="6"/>
        <v>0.22786200000000001</v>
      </c>
      <c r="S106" s="4">
        <f t="shared" si="6"/>
        <v>0.20291400000000004</v>
      </c>
    </row>
    <row r="107" spans="9:19" x14ac:dyDescent="0.25">
      <c r="I107">
        <v>23</v>
      </c>
      <c r="J107" s="4">
        <f t="shared" si="6"/>
        <v>0.23677200000000004</v>
      </c>
      <c r="K107" s="4">
        <f t="shared" si="6"/>
        <v>0.23677200000000004</v>
      </c>
      <c r="L107" s="4">
        <f t="shared" si="6"/>
        <v>0.25681949999999998</v>
      </c>
      <c r="M107" s="4">
        <f t="shared" si="6"/>
        <v>0.27241199999999993</v>
      </c>
      <c r="N107" s="4">
        <f t="shared" si="6"/>
        <v>0.24122700000000002</v>
      </c>
      <c r="O107" s="4">
        <f t="shared" si="6"/>
        <v>0.18999449999999996</v>
      </c>
      <c r="P107" s="4">
        <f t="shared" si="6"/>
        <v>0.19222199999999998</v>
      </c>
      <c r="Q107" s="4">
        <f t="shared" si="6"/>
        <v>0.2122695</v>
      </c>
      <c r="R107" s="4">
        <f t="shared" si="6"/>
        <v>0.23008950000000003</v>
      </c>
      <c r="S107" s="4">
        <f t="shared" si="6"/>
        <v>0.2372175</v>
      </c>
    </row>
    <row r="108" spans="9:19" x14ac:dyDescent="0.25">
      <c r="I108">
        <v>24</v>
      </c>
      <c r="J108" s="4">
        <f t="shared" si="6"/>
        <v>0.174402</v>
      </c>
      <c r="K108" s="4">
        <f t="shared" si="6"/>
        <v>0.1454445</v>
      </c>
      <c r="L108" s="4">
        <f t="shared" si="6"/>
        <v>0.13207950000000002</v>
      </c>
      <c r="M108" s="4">
        <f t="shared" si="6"/>
        <v>0.138762</v>
      </c>
      <c r="N108" s="4">
        <f t="shared" si="6"/>
        <v>0.14098950000000002</v>
      </c>
      <c r="O108" s="4">
        <f t="shared" si="6"/>
        <v>0.138762</v>
      </c>
      <c r="P108" s="4">
        <f t="shared" si="6"/>
        <v>0.1454445</v>
      </c>
      <c r="Q108" s="4">
        <f t="shared" si="6"/>
        <v>0.17217450000000001</v>
      </c>
      <c r="R108" s="4">
        <f t="shared" si="6"/>
        <v>0.2122695</v>
      </c>
      <c r="S108" s="4">
        <f t="shared" si="6"/>
        <v>0.23966774999999998</v>
      </c>
    </row>
    <row r="109" spans="9:19" x14ac:dyDescent="0.25">
      <c r="I109">
        <v>31</v>
      </c>
      <c r="J109" s="4">
        <f t="shared" si="6"/>
        <v>0.27463949999999998</v>
      </c>
      <c r="K109" s="4">
        <f t="shared" si="6"/>
        <v>0.25013699999999994</v>
      </c>
      <c r="L109" s="4">
        <f t="shared" si="6"/>
        <v>0.24790949999999998</v>
      </c>
      <c r="M109" s="4">
        <f t="shared" si="6"/>
        <v>0.25681949999999998</v>
      </c>
      <c r="N109" s="4">
        <f t="shared" si="6"/>
        <v>0.25013699999999994</v>
      </c>
      <c r="O109" s="4">
        <f t="shared" si="6"/>
        <v>0.21449699999999999</v>
      </c>
      <c r="P109" s="4">
        <f t="shared" si="6"/>
        <v>0.19890449999999998</v>
      </c>
      <c r="Q109" s="4">
        <f t="shared" si="6"/>
        <v>0.20335949999999997</v>
      </c>
      <c r="R109" s="4">
        <f t="shared" si="6"/>
        <v>0.2122695</v>
      </c>
      <c r="S109" s="4">
        <f t="shared" si="6"/>
        <v>0.19311300000000003</v>
      </c>
    </row>
    <row r="110" spans="9:19" x14ac:dyDescent="0.25">
      <c r="I110">
        <v>32</v>
      </c>
      <c r="J110" s="4">
        <f t="shared" si="6"/>
        <v>0.20558699999999999</v>
      </c>
      <c r="K110" s="4">
        <f t="shared" si="6"/>
        <v>0.19890449999999998</v>
      </c>
      <c r="L110" s="4">
        <f t="shared" si="6"/>
        <v>0.16994700000000001</v>
      </c>
      <c r="M110" s="4">
        <f t="shared" si="6"/>
        <v>0.16326450000000001</v>
      </c>
      <c r="N110" s="4">
        <f t="shared" si="6"/>
        <v>0.156582</v>
      </c>
      <c r="O110" s="4">
        <f t="shared" si="6"/>
        <v>0.15435450000000001</v>
      </c>
      <c r="P110" s="4">
        <f t="shared" si="6"/>
        <v>0.17217450000000001</v>
      </c>
      <c r="Q110" s="4">
        <f t="shared" si="6"/>
        <v>0.22786200000000001</v>
      </c>
      <c r="R110" s="4">
        <f t="shared" si="6"/>
        <v>0.23677200000000004</v>
      </c>
      <c r="S110" s="4">
        <f t="shared" si="6"/>
        <v>0.21271500000000004</v>
      </c>
    </row>
    <row r="111" spans="9:19" x14ac:dyDescent="0.25">
      <c r="I111">
        <v>33</v>
      </c>
      <c r="J111" s="4">
        <f t="shared" si="6"/>
        <v>0.20558699999999999</v>
      </c>
      <c r="K111" s="4">
        <f t="shared" si="6"/>
        <v>0.20335949999999997</v>
      </c>
      <c r="L111" s="4">
        <f t="shared" si="6"/>
        <v>0.24568199999999998</v>
      </c>
      <c r="M111" s="4">
        <f t="shared" si="6"/>
        <v>0.26350199999999996</v>
      </c>
      <c r="N111" s="4">
        <f t="shared" si="6"/>
        <v>0.24790949999999998</v>
      </c>
      <c r="O111" s="4">
        <f t="shared" si="6"/>
        <v>0.23677200000000004</v>
      </c>
      <c r="P111" s="4">
        <f t="shared" si="6"/>
        <v>0.24568199999999998</v>
      </c>
      <c r="Q111" s="4">
        <f t="shared" si="6"/>
        <v>0.2211795</v>
      </c>
      <c r="R111" s="4">
        <f t="shared" si="6"/>
        <v>0.25236449999999999</v>
      </c>
      <c r="S111" s="4">
        <f t="shared" si="6"/>
        <v>0.23476724999999998</v>
      </c>
    </row>
    <row r="112" spans="9:19" x14ac:dyDescent="0.25">
      <c r="I112">
        <v>34</v>
      </c>
      <c r="J112" s="4">
        <f t="shared" si="6"/>
        <v>0.17217450000000001</v>
      </c>
      <c r="K112" s="4">
        <f t="shared" si="6"/>
        <v>0.18331200000000003</v>
      </c>
      <c r="L112" s="4">
        <f t="shared" si="6"/>
        <v>0.22786200000000001</v>
      </c>
      <c r="M112" s="4">
        <f t="shared" si="6"/>
        <v>0.25013699999999994</v>
      </c>
      <c r="N112" s="4">
        <f t="shared" si="6"/>
        <v>0.25681949999999998</v>
      </c>
      <c r="O112" s="4">
        <f t="shared" si="6"/>
        <v>0.267957</v>
      </c>
      <c r="P112" s="4">
        <f t="shared" si="6"/>
        <v>0.27018449999999999</v>
      </c>
      <c r="Q112" s="4">
        <f t="shared" si="6"/>
        <v>0.24790949999999998</v>
      </c>
      <c r="R112" s="4">
        <f t="shared" si="6"/>
        <v>0.21895199999999998</v>
      </c>
      <c r="S112" s="4">
        <f t="shared" si="6"/>
        <v>0.19066275000000005</v>
      </c>
    </row>
    <row r="113" spans="9:19" x14ac:dyDescent="0.25">
      <c r="I113">
        <v>41</v>
      </c>
      <c r="J113" s="4">
        <f t="shared" si="6"/>
        <v>0.2211795</v>
      </c>
      <c r="K113" s="4">
        <f t="shared" si="6"/>
        <v>0.24790949999999998</v>
      </c>
      <c r="L113" s="4">
        <f t="shared" si="6"/>
        <v>0.29245950000000004</v>
      </c>
      <c r="M113" s="4">
        <f t="shared" si="6"/>
        <v>0.28132200000000002</v>
      </c>
      <c r="N113" s="4">
        <f t="shared" si="6"/>
        <v>0.28132200000000002</v>
      </c>
      <c r="O113" s="4">
        <f t="shared" si="6"/>
        <v>0.2880045</v>
      </c>
      <c r="P113" s="4">
        <f t="shared" si="6"/>
        <v>0.22563449999999999</v>
      </c>
      <c r="Q113" s="4">
        <f t="shared" si="6"/>
        <v>0.23454450000000002</v>
      </c>
      <c r="R113" s="4">
        <f t="shared" si="6"/>
        <v>0.22340700000000002</v>
      </c>
      <c r="S113" s="4">
        <f t="shared" si="6"/>
        <v>0.22251599999999999</v>
      </c>
    </row>
    <row r="114" spans="9:19" x14ac:dyDescent="0.25">
      <c r="I114">
        <v>42</v>
      </c>
      <c r="J114" s="4">
        <f t="shared" si="6"/>
        <v>0.23008950000000003</v>
      </c>
      <c r="K114" s="4">
        <f t="shared" si="6"/>
        <v>0.23454450000000002</v>
      </c>
      <c r="L114" s="4">
        <f t="shared" si="6"/>
        <v>0.25236449999999999</v>
      </c>
      <c r="M114" s="4">
        <f t="shared" si="6"/>
        <v>0.25459199999999998</v>
      </c>
      <c r="N114" s="4">
        <f t="shared" si="6"/>
        <v>0.27909450000000002</v>
      </c>
      <c r="O114" s="4">
        <f t="shared" si="6"/>
        <v>0.24568199999999998</v>
      </c>
      <c r="P114" s="4">
        <f t="shared" si="6"/>
        <v>0.21672450000000001</v>
      </c>
      <c r="Q114" s="4">
        <f t="shared" si="6"/>
        <v>0.22563449999999999</v>
      </c>
      <c r="R114" s="4">
        <f t="shared" si="6"/>
        <v>0.21672450000000001</v>
      </c>
      <c r="S114" s="4">
        <f t="shared" si="6"/>
        <v>0.19801350000000004</v>
      </c>
    </row>
    <row r="115" spans="9:19" x14ac:dyDescent="0.25">
      <c r="I115">
        <v>43</v>
      </c>
      <c r="J115" s="4">
        <f t="shared" si="6"/>
        <v>0.24122700000000002</v>
      </c>
      <c r="K115" s="4">
        <f t="shared" si="6"/>
        <v>0.23677200000000004</v>
      </c>
      <c r="L115" s="4">
        <f t="shared" si="6"/>
        <v>0.25459199999999998</v>
      </c>
      <c r="M115" s="4">
        <f t="shared" si="6"/>
        <v>0.22340700000000002</v>
      </c>
      <c r="N115" s="4">
        <f t="shared" si="6"/>
        <v>0.22786200000000001</v>
      </c>
      <c r="O115" s="4">
        <f t="shared" si="6"/>
        <v>0.22786200000000001</v>
      </c>
      <c r="P115" s="4">
        <f t="shared" si="6"/>
        <v>0.24345450000000002</v>
      </c>
      <c r="Q115" s="4">
        <f t="shared" si="6"/>
        <v>0.22340700000000002</v>
      </c>
      <c r="R115" s="4">
        <f t="shared" si="6"/>
        <v>0.22340700000000002</v>
      </c>
      <c r="S115" s="4">
        <f t="shared" si="6"/>
        <v>0.22006574999999998</v>
      </c>
    </row>
    <row r="116" spans="9:19" x14ac:dyDescent="0.25">
      <c r="I116">
        <v>44</v>
      </c>
      <c r="J116" s="4">
        <f t="shared" ref="J116:S116" si="7">IF(J88&lt;0,"",J88/100)</f>
        <v>0.19222199999999998</v>
      </c>
      <c r="K116" s="4">
        <f t="shared" si="7"/>
        <v>0.20113199999999998</v>
      </c>
      <c r="L116" s="4">
        <f t="shared" si="7"/>
        <v>0.26572949999999995</v>
      </c>
      <c r="M116" s="4">
        <f t="shared" si="7"/>
        <v>0.26127450000000002</v>
      </c>
      <c r="N116" s="4">
        <f t="shared" si="7"/>
        <v>0.26572949999999995</v>
      </c>
      <c r="O116" s="4">
        <f t="shared" si="7"/>
        <v>0.25904699999999997</v>
      </c>
      <c r="P116" s="4">
        <f t="shared" si="7"/>
        <v>0.26127450000000002</v>
      </c>
      <c r="Q116" s="4">
        <f t="shared" si="7"/>
        <v>0.22340700000000002</v>
      </c>
      <c r="R116" s="4">
        <f t="shared" si="7"/>
        <v>0.18776700000000002</v>
      </c>
      <c r="S116" s="4">
        <f t="shared" si="7"/>
        <v>0.1686105</v>
      </c>
    </row>
    <row r="117" spans="9:19" x14ac:dyDescent="0.25">
      <c r="I117">
        <v>51</v>
      </c>
      <c r="J117" s="4">
        <f t="shared" ref="J117:S123" si="8">IF(J89&lt;0,"",J89/100)</f>
        <v>0.28354950000000001</v>
      </c>
      <c r="K117" s="4">
        <f t="shared" si="8"/>
        <v>0.27018449999999999</v>
      </c>
      <c r="L117" s="4">
        <f t="shared" si="8"/>
        <v>0.27463949999999998</v>
      </c>
      <c r="M117" s="4">
        <f t="shared" si="8"/>
        <v>0.28577700000000006</v>
      </c>
      <c r="N117" s="4">
        <f t="shared" si="8"/>
        <v>0.25681949999999998</v>
      </c>
      <c r="O117" s="4">
        <f t="shared" si="8"/>
        <v>0.25459199999999998</v>
      </c>
      <c r="P117" s="4">
        <f t="shared" si="8"/>
        <v>0.23677200000000004</v>
      </c>
      <c r="Q117" s="4">
        <f t="shared" si="8"/>
        <v>0.2389995</v>
      </c>
      <c r="R117" s="4">
        <f t="shared" si="8"/>
        <v>0.25681949999999998</v>
      </c>
      <c r="S117" s="4">
        <f t="shared" si="8"/>
        <v>0.25681950000000003</v>
      </c>
    </row>
    <row r="118" spans="9:19" x14ac:dyDescent="0.25">
      <c r="I118">
        <v>52</v>
      </c>
      <c r="J118" s="4">
        <f t="shared" si="8"/>
        <v>0.26572949999999995</v>
      </c>
      <c r="K118" s="4">
        <f t="shared" si="8"/>
        <v>0.25681949999999998</v>
      </c>
      <c r="L118" s="4">
        <f t="shared" si="8"/>
        <v>0.28354950000000001</v>
      </c>
      <c r="M118" s="4">
        <f t="shared" si="8"/>
        <v>0.29023199999999999</v>
      </c>
      <c r="N118" s="4">
        <f t="shared" si="8"/>
        <v>0.31027949999999999</v>
      </c>
      <c r="O118" s="4">
        <f t="shared" si="8"/>
        <v>0.29914200000000002</v>
      </c>
      <c r="P118" s="4">
        <f t="shared" si="8"/>
        <v>0.27463949999999998</v>
      </c>
      <c r="Q118" s="4">
        <f t="shared" si="8"/>
        <v>0.23454450000000002</v>
      </c>
      <c r="R118" s="4">
        <f t="shared" si="8"/>
        <v>0.24568199999999998</v>
      </c>
      <c r="S118" s="4">
        <f t="shared" si="8"/>
        <v>0.2470185</v>
      </c>
    </row>
    <row r="119" spans="9:19" x14ac:dyDescent="0.25">
      <c r="I119">
        <v>53</v>
      </c>
      <c r="J119" s="4">
        <f t="shared" si="8"/>
        <v>0.25459199999999998</v>
      </c>
      <c r="K119" s="4">
        <f t="shared" si="8"/>
        <v>0.24568199999999998</v>
      </c>
      <c r="L119" s="4">
        <f t="shared" si="8"/>
        <v>0.27241199999999993</v>
      </c>
      <c r="M119" s="4">
        <f t="shared" si="8"/>
        <v>0.2880045</v>
      </c>
      <c r="N119" s="4">
        <f t="shared" si="8"/>
        <v>0.27909450000000002</v>
      </c>
      <c r="O119" s="4">
        <f t="shared" si="8"/>
        <v>0.27018449999999999</v>
      </c>
      <c r="P119" s="4">
        <f t="shared" si="8"/>
        <v>0.25904699999999997</v>
      </c>
      <c r="Q119" s="4">
        <f t="shared" si="8"/>
        <v>0.20558699999999999</v>
      </c>
      <c r="R119" s="4">
        <f t="shared" si="8"/>
        <v>0.2122695</v>
      </c>
      <c r="S119" s="4">
        <f t="shared" si="8"/>
        <v>0.19556325000000005</v>
      </c>
    </row>
    <row r="120" spans="9:19" x14ac:dyDescent="0.25">
      <c r="I120">
        <v>54</v>
      </c>
      <c r="J120" s="4">
        <f t="shared" si="8"/>
        <v>0.25459199999999998</v>
      </c>
      <c r="K120" s="4">
        <f t="shared" si="8"/>
        <v>0.24568199999999998</v>
      </c>
      <c r="L120" s="4">
        <f t="shared" si="8"/>
        <v>0.25013699999999994</v>
      </c>
      <c r="M120" s="4">
        <f t="shared" si="8"/>
        <v>0.27463949999999998</v>
      </c>
      <c r="N120" s="4">
        <f t="shared" si="8"/>
        <v>0.28354950000000001</v>
      </c>
      <c r="O120" s="4">
        <f t="shared" si="8"/>
        <v>0.28354950000000001</v>
      </c>
      <c r="P120" s="4">
        <f t="shared" si="8"/>
        <v>0.27018449999999999</v>
      </c>
      <c r="Q120" s="4">
        <f t="shared" si="8"/>
        <v>0.24790949999999998</v>
      </c>
      <c r="R120" s="4">
        <f t="shared" si="8"/>
        <v>0.22563449999999999</v>
      </c>
      <c r="S120" s="4">
        <f t="shared" si="8"/>
        <v>0.26417025000000005</v>
      </c>
    </row>
    <row r="121" spans="9:19" x14ac:dyDescent="0.25">
      <c r="I121">
        <v>61</v>
      </c>
      <c r="J121" s="4">
        <f t="shared" si="8"/>
        <v>0.2122695</v>
      </c>
      <c r="K121" s="4">
        <f t="shared" si="8"/>
        <v>0.17662950000000002</v>
      </c>
      <c r="L121" s="4">
        <f t="shared" si="8"/>
        <v>0.1855395</v>
      </c>
      <c r="M121" s="4">
        <f t="shared" si="8"/>
        <v>0.2211795</v>
      </c>
      <c r="N121" s="4">
        <f t="shared" si="8"/>
        <v>0.24345450000000002</v>
      </c>
      <c r="O121" s="4">
        <f t="shared" si="8"/>
        <v>0.20558699999999999</v>
      </c>
      <c r="P121" s="4">
        <f t="shared" si="8"/>
        <v>0.21449699999999999</v>
      </c>
      <c r="Q121" s="4">
        <f t="shared" si="8"/>
        <v>0.22563449999999999</v>
      </c>
      <c r="R121" s="4">
        <f t="shared" si="8"/>
        <v>0.232317</v>
      </c>
      <c r="S121" s="4">
        <f t="shared" si="8"/>
        <v>0.22496624999999998</v>
      </c>
    </row>
    <row r="122" spans="9:19" x14ac:dyDescent="0.25">
      <c r="I122">
        <v>62</v>
      </c>
      <c r="J122" s="4">
        <f t="shared" si="8"/>
        <v>0.25013699999999994</v>
      </c>
      <c r="K122" s="4">
        <f t="shared" si="8"/>
        <v>0.25681949999999998</v>
      </c>
      <c r="L122" s="4">
        <f t="shared" si="8"/>
        <v>0.267957</v>
      </c>
      <c r="M122" s="4">
        <f t="shared" si="8"/>
        <v>0.21672450000000001</v>
      </c>
      <c r="N122" s="4">
        <f t="shared" si="8"/>
        <v>0.24568199999999998</v>
      </c>
      <c r="O122" s="4">
        <f t="shared" si="8"/>
        <v>0.27018449999999999</v>
      </c>
      <c r="P122" s="4">
        <f t="shared" si="8"/>
        <v>0.22786200000000001</v>
      </c>
      <c r="Q122" s="4">
        <f t="shared" si="8"/>
        <v>0.21895199999999998</v>
      </c>
      <c r="R122" s="4">
        <f t="shared" si="8"/>
        <v>0.25013699999999994</v>
      </c>
      <c r="S122" s="4">
        <f t="shared" si="8"/>
        <v>0.26172000000000001</v>
      </c>
    </row>
    <row r="123" spans="9:19" x14ac:dyDescent="0.25">
      <c r="I123">
        <v>63</v>
      </c>
      <c r="J123" s="4">
        <f t="shared" si="8"/>
        <v>0.26572949999999995</v>
      </c>
      <c r="K123" s="4">
        <f t="shared" si="8"/>
        <v>0.24568199999999998</v>
      </c>
      <c r="L123" s="4">
        <f t="shared" si="8"/>
        <v>0.23677200000000004</v>
      </c>
      <c r="M123" s="4">
        <f t="shared" si="8"/>
        <v>0.22340700000000002</v>
      </c>
      <c r="N123" s="4">
        <f t="shared" si="8"/>
        <v>0.23008950000000003</v>
      </c>
      <c r="O123" s="4">
        <f t="shared" si="8"/>
        <v>0.2389995</v>
      </c>
      <c r="P123" s="4">
        <f t="shared" si="8"/>
        <v>0.1944495</v>
      </c>
      <c r="Q123" s="4">
        <f t="shared" si="8"/>
        <v>0.18999449999999996</v>
      </c>
      <c r="R123" s="4">
        <f t="shared" si="8"/>
        <v>0.20335949999999997</v>
      </c>
      <c r="S123" s="4">
        <f t="shared" si="8"/>
        <v>0.21761549999999999</v>
      </c>
    </row>
    <row r="124" spans="9:19" x14ac:dyDescent="0.25">
      <c r="I124">
        <v>64</v>
      </c>
      <c r="J124" s="4">
        <f t="shared" ref="J124:S124" si="9">IF(J96&lt;0,"",J96/100)</f>
        <v>0.27463949999999998</v>
      </c>
      <c r="K124" s="4">
        <f t="shared" si="9"/>
        <v>0.26350199999999996</v>
      </c>
      <c r="L124" s="4">
        <f t="shared" si="9"/>
        <v>0.2211795</v>
      </c>
      <c r="M124" s="4">
        <f t="shared" si="9"/>
        <v>0.24790949999999998</v>
      </c>
      <c r="N124" s="4">
        <f t="shared" si="9"/>
        <v>0.267957</v>
      </c>
      <c r="O124" s="4">
        <f t="shared" si="9"/>
        <v>0.25459199999999998</v>
      </c>
      <c r="P124" s="4">
        <f t="shared" si="9"/>
        <v>0.23008950000000003</v>
      </c>
      <c r="Q124" s="4">
        <f t="shared" si="9"/>
        <v>0.1944495</v>
      </c>
      <c r="R124" s="4">
        <f t="shared" si="9"/>
        <v>0.20335949999999997</v>
      </c>
      <c r="S124" s="4">
        <f t="shared" si="9"/>
        <v>0.20781450000000004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2DA4-1B28-44C5-AB07-DB48C61FEF24}">
  <dimension ref="A1:T124"/>
  <sheetViews>
    <sheetView topLeftCell="D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10349</v>
      </c>
      <c r="F1">
        <v>0</v>
      </c>
      <c r="G1">
        <v>10</v>
      </c>
      <c r="H1">
        <v>1831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6</v>
      </c>
      <c r="G18">
        <v>15</v>
      </c>
      <c r="H18">
        <v>6</v>
      </c>
      <c r="I18">
        <v>40</v>
      </c>
      <c r="J18">
        <v>1.1000000000000001</v>
      </c>
      <c r="K18">
        <v>1.19</v>
      </c>
      <c r="L18">
        <v>1.33</v>
      </c>
      <c r="M18">
        <v>1.47</v>
      </c>
      <c r="N18">
        <v>1.39</v>
      </c>
      <c r="O18">
        <v>1.47</v>
      </c>
      <c r="P18">
        <v>1.54</v>
      </c>
      <c r="Q18">
        <v>1.45</v>
      </c>
      <c r="R18">
        <v>1.4</v>
      </c>
      <c r="S18">
        <v>1.26</v>
      </c>
      <c r="T18">
        <v>3738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6</v>
      </c>
      <c r="G19">
        <v>15</v>
      </c>
      <c r="H19">
        <v>6</v>
      </c>
      <c r="I19">
        <v>44</v>
      </c>
      <c r="J19">
        <v>1.37</v>
      </c>
      <c r="K19">
        <v>1.36</v>
      </c>
      <c r="L19">
        <v>1.19</v>
      </c>
      <c r="M19">
        <v>1.2</v>
      </c>
      <c r="N19">
        <v>1.18</v>
      </c>
      <c r="O19">
        <v>1.2</v>
      </c>
      <c r="P19">
        <v>1.2</v>
      </c>
      <c r="Q19">
        <v>1.36</v>
      </c>
      <c r="R19">
        <v>1.28</v>
      </c>
      <c r="S19">
        <v>1.01</v>
      </c>
      <c r="T19">
        <v>3724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6</v>
      </c>
      <c r="G20">
        <v>15</v>
      </c>
      <c r="H20">
        <v>6</v>
      </c>
      <c r="I20">
        <v>40</v>
      </c>
      <c r="J20">
        <v>1.29</v>
      </c>
      <c r="K20">
        <v>1.23</v>
      </c>
      <c r="L20">
        <v>1.25</v>
      </c>
      <c r="M20">
        <v>1.41</v>
      </c>
      <c r="N20">
        <v>1.46</v>
      </c>
      <c r="O20">
        <v>1.45</v>
      </c>
      <c r="P20">
        <v>1.41</v>
      </c>
      <c r="Q20">
        <v>1.29</v>
      </c>
      <c r="R20">
        <v>1.2</v>
      </c>
      <c r="S20">
        <v>1.07</v>
      </c>
      <c r="T20">
        <v>3727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6</v>
      </c>
      <c r="G21">
        <v>15</v>
      </c>
      <c r="H21">
        <v>6</v>
      </c>
      <c r="I21">
        <v>52</v>
      </c>
      <c r="J21">
        <v>1.44</v>
      </c>
      <c r="K21">
        <v>1.45</v>
      </c>
      <c r="L21">
        <v>1.48</v>
      </c>
      <c r="M21">
        <v>1.47</v>
      </c>
      <c r="N21">
        <v>1.34</v>
      </c>
      <c r="O21">
        <v>1.36</v>
      </c>
      <c r="P21">
        <v>1.52</v>
      </c>
      <c r="Q21">
        <v>1.43</v>
      </c>
      <c r="R21">
        <v>1.32</v>
      </c>
      <c r="S21">
        <v>1.17</v>
      </c>
      <c r="T21">
        <v>3740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6</v>
      </c>
      <c r="G22">
        <v>15</v>
      </c>
      <c r="H22">
        <v>6</v>
      </c>
      <c r="I22">
        <v>56</v>
      </c>
      <c r="J22">
        <v>1.08</v>
      </c>
      <c r="K22">
        <v>0.94</v>
      </c>
      <c r="L22">
        <v>0.87</v>
      </c>
      <c r="M22">
        <v>0.88</v>
      </c>
      <c r="N22">
        <v>0.88</v>
      </c>
      <c r="O22">
        <v>0.86</v>
      </c>
      <c r="P22">
        <v>0.91</v>
      </c>
      <c r="Q22">
        <v>0.99</v>
      </c>
      <c r="R22">
        <v>1.0900000000000001</v>
      </c>
      <c r="S22">
        <v>1.1000000000000001</v>
      </c>
      <c r="T22">
        <v>3773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6</v>
      </c>
      <c r="G23">
        <v>15</v>
      </c>
      <c r="H23">
        <v>7</v>
      </c>
      <c r="I23">
        <v>0</v>
      </c>
      <c r="J23">
        <v>1.33</v>
      </c>
      <c r="K23">
        <v>1.36</v>
      </c>
      <c r="L23">
        <v>1.46</v>
      </c>
      <c r="M23">
        <v>1.51</v>
      </c>
      <c r="N23">
        <v>1.36</v>
      </c>
      <c r="O23">
        <v>1.1100000000000001</v>
      </c>
      <c r="P23">
        <v>1.1000000000000001</v>
      </c>
      <c r="Q23">
        <v>1.2</v>
      </c>
      <c r="R23">
        <v>1.19</v>
      </c>
      <c r="S23">
        <v>1.1000000000000001</v>
      </c>
      <c r="T23">
        <v>3712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6</v>
      </c>
      <c r="G24">
        <v>15</v>
      </c>
      <c r="H24">
        <v>7</v>
      </c>
      <c r="I24">
        <v>5</v>
      </c>
      <c r="J24">
        <v>1.46</v>
      </c>
      <c r="K24">
        <v>1.36</v>
      </c>
      <c r="L24">
        <v>1.38</v>
      </c>
      <c r="M24">
        <v>1.42</v>
      </c>
      <c r="N24">
        <v>1.37</v>
      </c>
      <c r="O24">
        <v>1.19</v>
      </c>
      <c r="P24">
        <v>1.08</v>
      </c>
      <c r="Q24">
        <v>1.3</v>
      </c>
      <c r="R24">
        <v>1.2</v>
      </c>
      <c r="S24">
        <v>1.02</v>
      </c>
      <c r="T24">
        <v>3738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6</v>
      </c>
      <c r="G25">
        <v>15</v>
      </c>
      <c r="H25">
        <v>7</v>
      </c>
      <c r="I25">
        <v>1</v>
      </c>
      <c r="J25">
        <v>1.48</v>
      </c>
      <c r="K25">
        <v>1.38</v>
      </c>
      <c r="L25">
        <v>1.43</v>
      </c>
      <c r="M25">
        <v>1.42</v>
      </c>
      <c r="N25">
        <v>1.43</v>
      </c>
      <c r="O25">
        <v>1.44</v>
      </c>
      <c r="P25">
        <v>1.27</v>
      </c>
      <c r="Q25">
        <v>1.37</v>
      </c>
      <c r="R25">
        <v>1.25</v>
      </c>
      <c r="S25">
        <v>1.1599999999999999</v>
      </c>
      <c r="T25">
        <v>3744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6</v>
      </c>
      <c r="G26">
        <v>15</v>
      </c>
      <c r="H26">
        <v>7</v>
      </c>
      <c r="I26">
        <v>13</v>
      </c>
      <c r="J26">
        <v>1.51</v>
      </c>
      <c r="K26">
        <v>1.43</v>
      </c>
      <c r="L26">
        <v>1.44</v>
      </c>
      <c r="M26">
        <v>1.45</v>
      </c>
      <c r="N26">
        <v>1.49</v>
      </c>
      <c r="O26">
        <v>1.3</v>
      </c>
      <c r="P26">
        <v>1.1499999999999999</v>
      </c>
      <c r="Q26">
        <v>1.1599999999999999</v>
      </c>
      <c r="R26">
        <v>1.0900000000000001</v>
      </c>
      <c r="S26">
        <v>0.95</v>
      </c>
      <c r="T26">
        <v>3743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6</v>
      </c>
      <c r="G27">
        <v>15</v>
      </c>
      <c r="H27">
        <v>7</v>
      </c>
      <c r="I27">
        <v>20</v>
      </c>
      <c r="J27">
        <v>1.2</v>
      </c>
      <c r="K27">
        <v>1.1599999999999999</v>
      </c>
      <c r="L27">
        <v>1.01</v>
      </c>
      <c r="M27">
        <v>0.99</v>
      </c>
      <c r="N27">
        <v>0.96</v>
      </c>
      <c r="O27">
        <v>0.92</v>
      </c>
      <c r="P27">
        <v>1.05</v>
      </c>
      <c r="Q27">
        <v>1.26</v>
      </c>
      <c r="R27">
        <v>1.23</v>
      </c>
      <c r="S27">
        <v>1.03</v>
      </c>
      <c r="T27">
        <v>3731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6</v>
      </c>
      <c r="G28">
        <v>15</v>
      </c>
      <c r="H28">
        <v>7</v>
      </c>
      <c r="I28">
        <v>24</v>
      </c>
      <c r="J28">
        <v>1.2</v>
      </c>
      <c r="K28">
        <v>1.18</v>
      </c>
      <c r="L28">
        <v>1.38</v>
      </c>
      <c r="M28">
        <v>1.45</v>
      </c>
      <c r="N28">
        <v>1.37</v>
      </c>
      <c r="O28">
        <v>1.35</v>
      </c>
      <c r="P28">
        <v>1.36</v>
      </c>
      <c r="Q28">
        <v>1.26</v>
      </c>
      <c r="R28">
        <v>1.27</v>
      </c>
      <c r="S28">
        <v>1.06</v>
      </c>
      <c r="T28">
        <v>3743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6</v>
      </c>
      <c r="G29">
        <v>15</v>
      </c>
      <c r="H29">
        <v>7</v>
      </c>
      <c r="I29">
        <v>20</v>
      </c>
      <c r="J29">
        <v>1.02</v>
      </c>
      <c r="K29">
        <v>1.1100000000000001</v>
      </c>
      <c r="L29">
        <v>1.31</v>
      </c>
      <c r="M29">
        <v>1.39</v>
      </c>
      <c r="N29">
        <v>1.42</v>
      </c>
      <c r="O29">
        <v>1.43</v>
      </c>
      <c r="P29">
        <v>1.48</v>
      </c>
      <c r="Q29">
        <v>1.39</v>
      </c>
      <c r="R29">
        <v>1.0900000000000001</v>
      </c>
      <c r="S29">
        <v>0.93</v>
      </c>
      <c r="T29">
        <v>3734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6</v>
      </c>
      <c r="G30">
        <v>15</v>
      </c>
      <c r="H30">
        <v>7</v>
      </c>
      <c r="I30">
        <v>33</v>
      </c>
      <c r="J30">
        <v>1.0900000000000001</v>
      </c>
      <c r="K30">
        <v>1.2</v>
      </c>
      <c r="L30">
        <v>1.46</v>
      </c>
      <c r="M30">
        <v>1.42</v>
      </c>
      <c r="N30">
        <v>1.49</v>
      </c>
      <c r="O30">
        <v>1.39</v>
      </c>
      <c r="P30">
        <v>1.47</v>
      </c>
      <c r="Q30">
        <v>1.26</v>
      </c>
      <c r="R30">
        <v>1.04</v>
      </c>
      <c r="S30">
        <v>0.94</v>
      </c>
      <c r="T30">
        <v>3747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6</v>
      </c>
      <c r="G31">
        <v>15</v>
      </c>
      <c r="H31">
        <v>7</v>
      </c>
      <c r="I31">
        <v>37</v>
      </c>
      <c r="J31">
        <v>1.33</v>
      </c>
      <c r="K31">
        <v>1.33</v>
      </c>
      <c r="L31">
        <v>1.43</v>
      </c>
      <c r="M31">
        <v>1.27</v>
      </c>
      <c r="N31">
        <v>1.3</v>
      </c>
      <c r="O31">
        <v>1.3</v>
      </c>
      <c r="P31">
        <v>1.34</v>
      </c>
      <c r="Q31">
        <v>1.22</v>
      </c>
      <c r="R31">
        <v>1.2</v>
      </c>
      <c r="S31">
        <v>1.1100000000000001</v>
      </c>
      <c r="T31">
        <v>3710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6</v>
      </c>
      <c r="G32">
        <v>15</v>
      </c>
      <c r="H32">
        <v>7</v>
      </c>
      <c r="I32">
        <v>42</v>
      </c>
      <c r="J32">
        <v>1.29</v>
      </c>
      <c r="K32">
        <v>1.3</v>
      </c>
      <c r="L32">
        <v>1.4</v>
      </c>
      <c r="M32">
        <v>1.37</v>
      </c>
      <c r="N32">
        <v>1.53</v>
      </c>
      <c r="O32">
        <v>1.34</v>
      </c>
      <c r="P32">
        <v>1.24</v>
      </c>
      <c r="Q32">
        <v>1.21</v>
      </c>
      <c r="R32">
        <v>1.1299999999999999</v>
      </c>
      <c r="S32">
        <v>1</v>
      </c>
      <c r="T32">
        <v>3710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6</v>
      </c>
      <c r="G33">
        <v>15</v>
      </c>
      <c r="H33">
        <v>7</v>
      </c>
      <c r="I33">
        <v>47</v>
      </c>
      <c r="J33">
        <v>1.3</v>
      </c>
      <c r="K33">
        <v>1.38</v>
      </c>
      <c r="L33">
        <v>1.57</v>
      </c>
      <c r="M33">
        <v>1.49</v>
      </c>
      <c r="N33">
        <v>1.56</v>
      </c>
      <c r="O33">
        <v>1.54</v>
      </c>
      <c r="P33">
        <v>1.27</v>
      </c>
      <c r="Q33">
        <v>1.29</v>
      </c>
      <c r="R33">
        <v>1.1599999999999999</v>
      </c>
      <c r="S33">
        <v>1.1399999999999999</v>
      </c>
      <c r="T33">
        <v>3708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6</v>
      </c>
      <c r="G34">
        <v>15</v>
      </c>
      <c r="H34">
        <v>7</v>
      </c>
      <c r="I34">
        <v>51</v>
      </c>
      <c r="J34">
        <v>1.55</v>
      </c>
      <c r="K34">
        <v>1.48</v>
      </c>
      <c r="L34">
        <v>1.5</v>
      </c>
      <c r="M34">
        <v>1.51</v>
      </c>
      <c r="N34">
        <v>1.43</v>
      </c>
      <c r="O34">
        <v>1.41</v>
      </c>
      <c r="P34">
        <v>1.32</v>
      </c>
      <c r="Q34">
        <v>1.36</v>
      </c>
      <c r="R34">
        <v>1.39</v>
      </c>
      <c r="S34">
        <v>1.31</v>
      </c>
      <c r="T34">
        <v>3695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6</v>
      </c>
      <c r="G35">
        <v>15</v>
      </c>
      <c r="H35">
        <v>7</v>
      </c>
      <c r="I35">
        <v>55</v>
      </c>
      <c r="J35">
        <v>1.5</v>
      </c>
      <c r="K35">
        <v>1.41</v>
      </c>
      <c r="L35">
        <v>1.53</v>
      </c>
      <c r="M35">
        <v>1.56</v>
      </c>
      <c r="N35">
        <v>1.64</v>
      </c>
      <c r="O35">
        <v>1.62</v>
      </c>
      <c r="P35">
        <v>1.5</v>
      </c>
      <c r="Q35">
        <v>1.32</v>
      </c>
      <c r="R35">
        <v>1.36</v>
      </c>
      <c r="S35">
        <v>1.29</v>
      </c>
      <c r="T35">
        <v>3700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6</v>
      </c>
      <c r="G36">
        <v>15</v>
      </c>
      <c r="H36">
        <v>7</v>
      </c>
      <c r="I36">
        <v>51</v>
      </c>
      <c r="J36">
        <v>1.4</v>
      </c>
      <c r="K36">
        <v>1.42</v>
      </c>
      <c r="L36">
        <v>1.46</v>
      </c>
      <c r="M36">
        <v>1.56</v>
      </c>
      <c r="N36">
        <v>1.53</v>
      </c>
      <c r="O36">
        <v>1.5</v>
      </c>
      <c r="P36">
        <v>1.4</v>
      </c>
      <c r="Q36">
        <v>1.1499999999999999</v>
      </c>
      <c r="R36">
        <v>1.07</v>
      </c>
      <c r="S36">
        <v>0.95</v>
      </c>
      <c r="T36">
        <v>3692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6</v>
      </c>
      <c r="G37">
        <v>15</v>
      </c>
      <c r="H37">
        <v>8</v>
      </c>
      <c r="I37">
        <v>3</v>
      </c>
      <c r="J37">
        <v>1.39</v>
      </c>
      <c r="K37">
        <v>1.38</v>
      </c>
      <c r="L37">
        <v>1.36</v>
      </c>
      <c r="M37">
        <v>1.5</v>
      </c>
      <c r="N37">
        <v>1.53</v>
      </c>
      <c r="O37">
        <v>1.56</v>
      </c>
      <c r="P37">
        <v>1.49</v>
      </c>
      <c r="Q37">
        <v>1.41</v>
      </c>
      <c r="R37">
        <v>1.26</v>
      </c>
      <c r="S37">
        <v>1.36</v>
      </c>
      <c r="T37">
        <v>3706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6</v>
      </c>
      <c r="G38">
        <v>15</v>
      </c>
      <c r="H38">
        <v>8</v>
      </c>
      <c r="I38">
        <v>0</v>
      </c>
      <c r="J38">
        <v>1.51</v>
      </c>
      <c r="K38">
        <v>1.43</v>
      </c>
      <c r="L38">
        <v>1.28</v>
      </c>
      <c r="M38">
        <v>1.34</v>
      </c>
      <c r="N38">
        <v>1.48</v>
      </c>
      <c r="O38">
        <v>1.38</v>
      </c>
      <c r="P38">
        <v>1.29</v>
      </c>
      <c r="Q38">
        <v>1.1200000000000001</v>
      </c>
      <c r="R38">
        <v>1.05</v>
      </c>
      <c r="S38">
        <v>1.02</v>
      </c>
      <c r="T38">
        <v>3685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6</v>
      </c>
      <c r="G39">
        <v>15</v>
      </c>
      <c r="H39">
        <v>8</v>
      </c>
      <c r="I39">
        <v>12</v>
      </c>
      <c r="J39">
        <v>1.47</v>
      </c>
      <c r="K39">
        <v>1.39</v>
      </c>
      <c r="L39">
        <v>1.31</v>
      </c>
      <c r="M39">
        <v>1.26</v>
      </c>
      <c r="N39">
        <v>1.33</v>
      </c>
      <c r="O39">
        <v>1.34</v>
      </c>
      <c r="P39">
        <v>1.1299999999999999</v>
      </c>
      <c r="Q39">
        <v>1.1100000000000001</v>
      </c>
      <c r="R39">
        <v>1.08</v>
      </c>
      <c r="S39">
        <v>1.1200000000000001</v>
      </c>
      <c r="T39">
        <v>3676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6</v>
      </c>
      <c r="G40">
        <v>15</v>
      </c>
      <c r="H40">
        <v>8</v>
      </c>
      <c r="I40">
        <v>16</v>
      </c>
      <c r="J40">
        <v>1.38</v>
      </c>
      <c r="K40">
        <v>1.41</v>
      </c>
      <c r="L40">
        <v>1.49</v>
      </c>
      <c r="M40">
        <v>1.23</v>
      </c>
      <c r="N40">
        <v>1.38</v>
      </c>
      <c r="O40">
        <v>1.46</v>
      </c>
      <c r="P40">
        <v>1.27</v>
      </c>
      <c r="Q40">
        <v>1.24</v>
      </c>
      <c r="R40">
        <v>1.26</v>
      </c>
      <c r="S40">
        <v>1.28</v>
      </c>
      <c r="T40">
        <v>3700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6</v>
      </c>
      <c r="G41">
        <v>15</v>
      </c>
      <c r="H41">
        <v>8</v>
      </c>
      <c r="I41">
        <v>20</v>
      </c>
      <c r="J41">
        <v>1.25</v>
      </c>
      <c r="K41">
        <v>1.07</v>
      </c>
      <c r="L41">
        <v>1.1200000000000001</v>
      </c>
      <c r="M41">
        <v>1.26</v>
      </c>
      <c r="N41">
        <v>1.34</v>
      </c>
      <c r="O41">
        <v>1.18</v>
      </c>
      <c r="P41">
        <v>1.2</v>
      </c>
      <c r="Q41">
        <v>1.26</v>
      </c>
      <c r="R41">
        <v>1.21</v>
      </c>
      <c r="S41">
        <v>1.1299999999999999</v>
      </c>
      <c r="T41">
        <v>3662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6</v>
      </c>
      <c r="G45">
        <v>15</v>
      </c>
      <c r="H45">
        <v>6</v>
      </c>
      <c r="I45">
        <v>40</v>
      </c>
      <c r="J45">
        <v>1.1000000000000001</v>
      </c>
      <c r="K45">
        <v>1.19</v>
      </c>
      <c r="L45">
        <v>1.33</v>
      </c>
      <c r="M45">
        <v>1.47</v>
      </c>
      <c r="N45">
        <v>1.39</v>
      </c>
      <c r="O45">
        <v>1.47</v>
      </c>
      <c r="P45">
        <v>1.54</v>
      </c>
      <c r="Q45">
        <v>1.45</v>
      </c>
      <c r="R45">
        <v>1.4</v>
      </c>
      <c r="S45">
        <v>1.26</v>
      </c>
      <c r="T45">
        <v>3738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6</v>
      </c>
      <c r="G46">
        <v>15</v>
      </c>
      <c r="H46">
        <v>6</v>
      </c>
      <c r="I46">
        <v>44</v>
      </c>
      <c r="J46">
        <v>1.37</v>
      </c>
      <c r="K46">
        <v>1.36</v>
      </c>
      <c r="L46">
        <v>1.19</v>
      </c>
      <c r="M46">
        <v>1.2</v>
      </c>
      <c r="N46">
        <v>1.18</v>
      </c>
      <c r="O46">
        <v>1.2</v>
      </c>
      <c r="P46">
        <v>1.2</v>
      </c>
      <c r="Q46">
        <v>1.36</v>
      </c>
      <c r="R46">
        <v>1.28</v>
      </c>
      <c r="S46">
        <v>1.01</v>
      </c>
      <c r="T46">
        <v>3724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6</v>
      </c>
      <c r="G47">
        <v>15</v>
      </c>
      <c r="H47">
        <v>6</v>
      </c>
      <c r="I47">
        <v>40</v>
      </c>
      <c r="J47">
        <v>1.29</v>
      </c>
      <c r="K47">
        <v>1.23</v>
      </c>
      <c r="L47">
        <v>1.25</v>
      </c>
      <c r="M47">
        <v>1.41</v>
      </c>
      <c r="N47">
        <v>1.46</v>
      </c>
      <c r="O47">
        <v>1.45</v>
      </c>
      <c r="P47">
        <v>1.41</v>
      </c>
      <c r="Q47">
        <v>1.29</v>
      </c>
      <c r="R47">
        <v>1.2</v>
      </c>
      <c r="S47">
        <v>1.07</v>
      </c>
      <c r="T47">
        <v>3727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6</v>
      </c>
      <c r="G48">
        <v>15</v>
      </c>
      <c r="H48">
        <v>6</v>
      </c>
      <c r="I48">
        <v>52</v>
      </c>
      <c r="J48">
        <v>1.44</v>
      </c>
      <c r="K48">
        <v>1.45</v>
      </c>
      <c r="L48">
        <v>1.48</v>
      </c>
      <c r="M48">
        <v>1.47</v>
      </c>
      <c r="N48">
        <v>1.34</v>
      </c>
      <c r="O48">
        <v>1.36</v>
      </c>
      <c r="P48">
        <v>1.52</v>
      </c>
      <c r="Q48">
        <v>1.43</v>
      </c>
      <c r="R48">
        <v>1.32</v>
      </c>
      <c r="S48">
        <v>1.17</v>
      </c>
      <c r="T48">
        <v>3740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6</v>
      </c>
      <c r="G49">
        <v>15</v>
      </c>
      <c r="H49">
        <v>7</v>
      </c>
      <c r="I49">
        <v>1</v>
      </c>
      <c r="J49">
        <v>1.48</v>
      </c>
      <c r="K49">
        <v>1.38</v>
      </c>
      <c r="L49">
        <v>1.43</v>
      </c>
      <c r="M49">
        <v>1.42</v>
      </c>
      <c r="N49">
        <v>1.43</v>
      </c>
      <c r="O49">
        <v>1.44</v>
      </c>
      <c r="P49">
        <v>1.27</v>
      </c>
      <c r="Q49">
        <v>1.37</v>
      </c>
      <c r="R49">
        <v>1.25</v>
      </c>
      <c r="S49">
        <v>1.1599999999999999</v>
      </c>
      <c r="T49">
        <v>3744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6</v>
      </c>
      <c r="G50">
        <v>15</v>
      </c>
      <c r="H50">
        <v>7</v>
      </c>
      <c r="I50">
        <v>5</v>
      </c>
      <c r="J50">
        <v>1.46</v>
      </c>
      <c r="K50">
        <v>1.36</v>
      </c>
      <c r="L50">
        <v>1.38</v>
      </c>
      <c r="M50">
        <v>1.42</v>
      </c>
      <c r="N50">
        <v>1.37</v>
      </c>
      <c r="O50">
        <v>1.19</v>
      </c>
      <c r="P50">
        <v>1.08</v>
      </c>
      <c r="Q50">
        <v>1.3</v>
      </c>
      <c r="R50">
        <v>1.2</v>
      </c>
      <c r="S50">
        <v>1.02</v>
      </c>
      <c r="T50">
        <v>3738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6</v>
      </c>
      <c r="G51">
        <v>15</v>
      </c>
      <c r="H51">
        <v>7</v>
      </c>
      <c r="I51">
        <v>0</v>
      </c>
      <c r="J51">
        <v>1.33</v>
      </c>
      <c r="K51">
        <v>1.36</v>
      </c>
      <c r="L51">
        <v>1.46</v>
      </c>
      <c r="M51">
        <v>1.51</v>
      </c>
      <c r="N51">
        <v>1.36</v>
      </c>
      <c r="O51">
        <v>1.1100000000000001</v>
      </c>
      <c r="P51">
        <v>1.1000000000000001</v>
      </c>
      <c r="Q51">
        <v>1.2</v>
      </c>
      <c r="R51">
        <v>1.19</v>
      </c>
      <c r="S51">
        <v>1.1000000000000001</v>
      </c>
      <c r="T51">
        <v>3712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6</v>
      </c>
      <c r="G52">
        <v>15</v>
      </c>
      <c r="H52">
        <v>6</v>
      </c>
      <c r="I52">
        <v>56</v>
      </c>
      <c r="J52">
        <v>1.08</v>
      </c>
      <c r="K52">
        <v>0.94</v>
      </c>
      <c r="L52">
        <v>0.87</v>
      </c>
      <c r="M52">
        <v>0.88</v>
      </c>
      <c r="N52">
        <v>0.88</v>
      </c>
      <c r="O52">
        <v>0.86</v>
      </c>
      <c r="P52">
        <v>0.91</v>
      </c>
      <c r="Q52">
        <v>0.99</v>
      </c>
      <c r="R52">
        <v>1.0900000000000001</v>
      </c>
      <c r="S52">
        <v>1.1000000000000001</v>
      </c>
      <c r="T52">
        <v>3773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6</v>
      </c>
      <c r="G53">
        <v>15</v>
      </c>
      <c r="H53">
        <v>7</v>
      </c>
      <c r="I53">
        <v>13</v>
      </c>
      <c r="J53">
        <v>1.51</v>
      </c>
      <c r="K53">
        <v>1.43</v>
      </c>
      <c r="L53">
        <v>1.44</v>
      </c>
      <c r="M53">
        <v>1.45</v>
      </c>
      <c r="N53">
        <v>1.49</v>
      </c>
      <c r="O53">
        <v>1.3</v>
      </c>
      <c r="P53">
        <v>1.1499999999999999</v>
      </c>
      <c r="Q53">
        <v>1.1599999999999999</v>
      </c>
      <c r="R53">
        <v>1.0900000000000001</v>
      </c>
      <c r="S53">
        <v>0.95</v>
      </c>
      <c r="T53">
        <v>3743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6</v>
      </c>
      <c r="G54">
        <v>15</v>
      </c>
      <c r="H54">
        <v>7</v>
      </c>
      <c r="I54">
        <v>20</v>
      </c>
      <c r="J54">
        <v>1.2</v>
      </c>
      <c r="K54">
        <v>1.1599999999999999</v>
      </c>
      <c r="L54">
        <v>1.01</v>
      </c>
      <c r="M54">
        <v>0.99</v>
      </c>
      <c r="N54">
        <v>0.96</v>
      </c>
      <c r="O54">
        <v>0.92</v>
      </c>
      <c r="P54">
        <v>1.05</v>
      </c>
      <c r="Q54">
        <v>1.26</v>
      </c>
      <c r="R54">
        <v>1.23</v>
      </c>
      <c r="S54">
        <v>1.03</v>
      </c>
      <c r="T54">
        <v>3731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6</v>
      </c>
      <c r="G55">
        <v>15</v>
      </c>
      <c r="H55">
        <v>7</v>
      </c>
      <c r="I55">
        <v>24</v>
      </c>
      <c r="J55">
        <v>1.2</v>
      </c>
      <c r="K55">
        <v>1.18</v>
      </c>
      <c r="L55">
        <v>1.38</v>
      </c>
      <c r="M55">
        <v>1.45</v>
      </c>
      <c r="N55">
        <v>1.37</v>
      </c>
      <c r="O55">
        <v>1.35</v>
      </c>
      <c r="P55">
        <v>1.36</v>
      </c>
      <c r="Q55">
        <v>1.26</v>
      </c>
      <c r="R55">
        <v>1.27</v>
      </c>
      <c r="S55">
        <v>1.06</v>
      </c>
      <c r="T55">
        <v>3743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6</v>
      </c>
      <c r="G56">
        <v>15</v>
      </c>
      <c r="H56">
        <v>7</v>
      </c>
      <c r="I56">
        <v>20</v>
      </c>
      <c r="J56">
        <v>1.02</v>
      </c>
      <c r="K56">
        <v>1.1100000000000001</v>
      </c>
      <c r="L56">
        <v>1.31</v>
      </c>
      <c r="M56">
        <v>1.39</v>
      </c>
      <c r="N56">
        <v>1.42</v>
      </c>
      <c r="O56">
        <v>1.43</v>
      </c>
      <c r="P56">
        <v>1.48</v>
      </c>
      <c r="Q56">
        <v>1.39</v>
      </c>
      <c r="R56">
        <v>1.0900000000000001</v>
      </c>
      <c r="S56">
        <v>0.93</v>
      </c>
      <c r="T56">
        <v>3734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6</v>
      </c>
      <c r="G57">
        <v>15</v>
      </c>
      <c r="H57">
        <v>7</v>
      </c>
      <c r="I57">
        <v>47</v>
      </c>
      <c r="J57">
        <v>1.3</v>
      </c>
      <c r="K57">
        <v>1.38</v>
      </c>
      <c r="L57">
        <v>1.57</v>
      </c>
      <c r="M57">
        <v>1.49</v>
      </c>
      <c r="N57">
        <v>1.56</v>
      </c>
      <c r="O57">
        <v>1.54</v>
      </c>
      <c r="P57">
        <v>1.27</v>
      </c>
      <c r="Q57">
        <v>1.29</v>
      </c>
      <c r="R57">
        <v>1.1599999999999999</v>
      </c>
      <c r="S57">
        <v>1.1399999999999999</v>
      </c>
      <c r="T57">
        <v>3708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6</v>
      </c>
      <c r="G58">
        <v>15</v>
      </c>
      <c r="H58">
        <v>7</v>
      </c>
      <c r="I58">
        <v>42</v>
      </c>
      <c r="J58">
        <v>1.29</v>
      </c>
      <c r="K58">
        <v>1.3</v>
      </c>
      <c r="L58">
        <v>1.4</v>
      </c>
      <c r="M58">
        <v>1.37</v>
      </c>
      <c r="N58">
        <v>1.53</v>
      </c>
      <c r="O58">
        <v>1.34</v>
      </c>
      <c r="P58">
        <v>1.24</v>
      </c>
      <c r="Q58">
        <v>1.21</v>
      </c>
      <c r="R58">
        <v>1.1299999999999999</v>
      </c>
      <c r="S58">
        <v>1</v>
      </c>
      <c r="T58">
        <v>3710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6</v>
      </c>
      <c r="G59">
        <v>15</v>
      </c>
      <c r="H59">
        <v>7</v>
      </c>
      <c r="I59">
        <v>37</v>
      </c>
      <c r="J59">
        <v>1.33</v>
      </c>
      <c r="K59">
        <v>1.33</v>
      </c>
      <c r="L59">
        <v>1.43</v>
      </c>
      <c r="M59">
        <v>1.27</v>
      </c>
      <c r="N59">
        <v>1.3</v>
      </c>
      <c r="O59">
        <v>1.3</v>
      </c>
      <c r="P59">
        <v>1.34</v>
      </c>
      <c r="Q59">
        <v>1.22</v>
      </c>
      <c r="R59">
        <v>1.2</v>
      </c>
      <c r="S59">
        <v>1.1100000000000001</v>
      </c>
      <c r="T59">
        <v>3710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6</v>
      </c>
      <c r="G60">
        <v>15</v>
      </c>
      <c r="H60">
        <v>7</v>
      </c>
      <c r="I60">
        <v>33</v>
      </c>
      <c r="J60">
        <v>1.0900000000000001</v>
      </c>
      <c r="K60">
        <v>1.2</v>
      </c>
      <c r="L60">
        <v>1.46</v>
      </c>
      <c r="M60">
        <v>1.42</v>
      </c>
      <c r="N60">
        <v>1.49</v>
      </c>
      <c r="O60">
        <v>1.39</v>
      </c>
      <c r="P60">
        <v>1.47</v>
      </c>
      <c r="Q60">
        <v>1.26</v>
      </c>
      <c r="R60">
        <v>1.04</v>
      </c>
      <c r="S60">
        <v>0.94</v>
      </c>
      <c r="T60">
        <v>3747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6</v>
      </c>
      <c r="G61">
        <v>15</v>
      </c>
      <c r="H61">
        <v>7</v>
      </c>
      <c r="I61">
        <v>51</v>
      </c>
      <c r="J61">
        <v>1.55</v>
      </c>
      <c r="K61">
        <v>1.48</v>
      </c>
      <c r="L61">
        <v>1.5</v>
      </c>
      <c r="M61">
        <v>1.51</v>
      </c>
      <c r="N61">
        <v>1.43</v>
      </c>
      <c r="O61">
        <v>1.41</v>
      </c>
      <c r="P61">
        <v>1.32</v>
      </c>
      <c r="Q61">
        <v>1.36</v>
      </c>
      <c r="R61">
        <v>1.39</v>
      </c>
      <c r="S61">
        <v>1.31</v>
      </c>
      <c r="T61">
        <v>3695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6</v>
      </c>
      <c r="G62">
        <v>15</v>
      </c>
      <c r="H62">
        <v>7</v>
      </c>
      <c r="I62">
        <v>55</v>
      </c>
      <c r="J62">
        <v>1.5</v>
      </c>
      <c r="K62">
        <v>1.41</v>
      </c>
      <c r="L62">
        <v>1.53</v>
      </c>
      <c r="M62">
        <v>1.56</v>
      </c>
      <c r="N62">
        <v>1.64</v>
      </c>
      <c r="O62">
        <v>1.62</v>
      </c>
      <c r="P62">
        <v>1.5</v>
      </c>
      <c r="Q62">
        <v>1.32</v>
      </c>
      <c r="R62">
        <v>1.36</v>
      </c>
      <c r="S62">
        <v>1.29</v>
      </c>
      <c r="T62">
        <v>3700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6</v>
      </c>
      <c r="G63">
        <v>15</v>
      </c>
      <c r="H63">
        <v>7</v>
      </c>
      <c r="I63">
        <v>51</v>
      </c>
      <c r="J63">
        <v>1.4</v>
      </c>
      <c r="K63">
        <v>1.42</v>
      </c>
      <c r="L63">
        <v>1.46</v>
      </c>
      <c r="M63">
        <v>1.56</v>
      </c>
      <c r="N63">
        <v>1.53</v>
      </c>
      <c r="O63">
        <v>1.5</v>
      </c>
      <c r="P63">
        <v>1.4</v>
      </c>
      <c r="Q63">
        <v>1.1499999999999999</v>
      </c>
      <c r="R63">
        <v>1.07</v>
      </c>
      <c r="S63">
        <v>0.95</v>
      </c>
      <c r="T63">
        <v>3692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6</v>
      </c>
      <c r="G64">
        <v>15</v>
      </c>
      <c r="H64">
        <v>8</v>
      </c>
      <c r="I64">
        <v>3</v>
      </c>
      <c r="J64">
        <v>1.39</v>
      </c>
      <c r="K64">
        <v>1.38</v>
      </c>
      <c r="L64">
        <v>1.36</v>
      </c>
      <c r="M64">
        <v>1.5</v>
      </c>
      <c r="N64">
        <v>1.53</v>
      </c>
      <c r="O64">
        <v>1.56</v>
      </c>
      <c r="P64">
        <v>1.49</v>
      </c>
      <c r="Q64">
        <v>1.41</v>
      </c>
      <c r="R64">
        <v>1.26</v>
      </c>
      <c r="S64">
        <v>1.36</v>
      </c>
      <c r="T64">
        <v>3706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6</v>
      </c>
      <c r="G65">
        <v>15</v>
      </c>
      <c r="H65">
        <v>8</v>
      </c>
      <c r="I65">
        <v>20</v>
      </c>
      <c r="J65">
        <v>1.25</v>
      </c>
      <c r="K65">
        <v>1.07</v>
      </c>
      <c r="L65">
        <v>1.1200000000000001</v>
      </c>
      <c r="M65">
        <v>1.26</v>
      </c>
      <c r="N65">
        <v>1.34</v>
      </c>
      <c r="O65">
        <v>1.18</v>
      </c>
      <c r="P65">
        <v>1.2</v>
      </c>
      <c r="Q65">
        <v>1.26</v>
      </c>
      <c r="R65">
        <v>1.21</v>
      </c>
      <c r="S65">
        <v>1.1299999999999999</v>
      </c>
      <c r="T65">
        <v>3662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6</v>
      </c>
      <c r="G66">
        <v>15</v>
      </c>
      <c r="H66">
        <v>8</v>
      </c>
      <c r="I66">
        <v>16</v>
      </c>
      <c r="J66">
        <v>1.38</v>
      </c>
      <c r="K66">
        <v>1.41</v>
      </c>
      <c r="L66">
        <v>1.49</v>
      </c>
      <c r="M66">
        <v>1.23</v>
      </c>
      <c r="N66">
        <v>1.38</v>
      </c>
      <c r="O66">
        <v>1.46</v>
      </c>
      <c r="P66">
        <v>1.27</v>
      </c>
      <c r="Q66">
        <v>1.24</v>
      </c>
      <c r="R66">
        <v>1.26</v>
      </c>
      <c r="S66">
        <v>1.28</v>
      </c>
      <c r="T66">
        <v>3700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6</v>
      </c>
      <c r="G67">
        <v>15</v>
      </c>
      <c r="H67">
        <v>8</v>
      </c>
      <c r="I67">
        <v>12</v>
      </c>
      <c r="J67">
        <v>1.47</v>
      </c>
      <c r="K67">
        <v>1.39</v>
      </c>
      <c r="L67">
        <v>1.31</v>
      </c>
      <c r="M67">
        <v>1.26</v>
      </c>
      <c r="N67">
        <v>1.33</v>
      </c>
      <c r="O67">
        <v>1.34</v>
      </c>
      <c r="P67">
        <v>1.1299999999999999</v>
      </c>
      <c r="Q67">
        <v>1.1100000000000001</v>
      </c>
      <c r="R67">
        <v>1.08</v>
      </c>
      <c r="S67">
        <v>1.1200000000000001</v>
      </c>
      <c r="T67">
        <v>3676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6</v>
      </c>
      <c r="G68">
        <v>15</v>
      </c>
      <c r="H68">
        <v>8</v>
      </c>
      <c r="I68">
        <v>0</v>
      </c>
      <c r="J68">
        <v>1.51</v>
      </c>
      <c r="K68">
        <v>1.43</v>
      </c>
      <c r="L68">
        <v>1.28</v>
      </c>
      <c r="M68">
        <v>1.34</v>
      </c>
      <c r="N68">
        <v>1.48</v>
      </c>
      <c r="O68">
        <v>1.38</v>
      </c>
      <c r="P68">
        <v>1.29</v>
      </c>
      <c r="Q68">
        <v>1.1200000000000001</v>
      </c>
      <c r="R68">
        <v>1.05</v>
      </c>
      <c r="S68">
        <v>1.02</v>
      </c>
      <c r="T68">
        <v>3685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18.331200000000003</v>
      </c>
      <c r="K73">
        <f t="shared" ref="K73:R73" si="0">22.275*K45-6.1713</f>
        <v>20.335949999999997</v>
      </c>
      <c r="L73">
        <f t="shared" si="0"/>
        <v>23.454450000000001</v>
      </c>
      <c r="M73">
        <f t="shared" si="0"/>
        <v>26.572949999999995</v>
      </c>
      <c r="N73">
        <f t="shared" si="0"/>
        <v>24.790949999999999</v>
      </c>
      <c r="O73">
        <f t="shared" si="0"/>
        <v>26.572949999999995</v>
      </c>
      <c r="P73">
        <f t="shared" si="0"/>
        <v>28.132200000000001</v>
      </c>
      <c r="Q73">
        <f t="shared" si="0"/>
        <v>26.12745</v>
      </c>
      <c r="R73">
        <f t="shared" si="0"/>
        <v>25.013699999999996</v>
      </c>
      <c r="S73">
        <f>22.275*(S45*1.1)-6.1713</f>
        <v>24.70185</v>
      </c>
    </row>
    <row r="74" spans="1:20" x14ac:dyDescent="0.25">
      <c r="I74" t="s">
        <v>43</v>
      </c>
      <c r="J74">
        <f t="shared" ref="J74:R89" si="1">22.275*J46-6.1713</f>
        <v>24.345450000000003</v>
      </c>
      <c r="K74">
        <f t="shared" si="1"/>
        <v>24.122700000000002</v>
      </c>
      <c r="L74">
        <f t="shared" si="1"/>
        <v>20.335949999999997</v>
      </c>
      <c r="M74">
        <f t="shared" si="1"/>
        <v>20.558699999999998</v>
      </c>
      <c r="N74">
        <f t="shared" si="1"/>
        <v>20.113199999999999</v>
      </c>
      <c r="O74">
        <f t="shared" si="1"/>
        <v>20.558699999999998</v>
      </c>
      <c r="P74">
        <f t="shared" si="1"/>
        <v>20.558699999999998</v>
      </c>
      <c r="Q74">
        <f t="shared" si="1"/>
        <v>24.122700000000002</v>
      </c>
      <c r="R74">
        <f t="shared" si="1"/>
        <v>22.340700000000002</v>
      </c>
      <c r="S74">
        <f t="shared" ref="S74:S91" si="2">22.275*(S46*1.1)-6.1713</f>
        <v>18.576225000000004</v>
      </c>
    </row>
    <row r="75" spans="1:20" x14ac:dyDescent="0.25">
      <c r="I75" t="s">
        <v>44</v>
      </c>
      <c r="J75">
        <f t="shared" si="1"/>
        <v>22.56345</v>
      </c>
      <c r="K75">
        <f t="shared" si="1"/>
        <v>21.226949999999999</v>
      </c>
      <c r="L75">
        <f t="shared" si="1"/>
        <v>21.672450000000001</v>
      </c>
      <c r="M75">
        <f t="shared" si="1"/>
        <v>25.236449999999998</v>
      </c>
      <c r="N75">
        <f t="shared" si="1"/>
        <v>26.350199999999997</v>
      </c>
      <c r="O75">
        <f t="shared" si="1"/>
        <v>26.12745</v>
      </c>
      <c r="P75">
        <f t="shared" si="1"/>
        <v>25.236449999999998</v>
      </c>
      <c r="Q75">
        <f t="shared" si="1"/>
        <v>22.56345</v>
      </c>
      <c r="R75">
        <f t="shared" si="1"/>
        <v>20.558699999999998</v>
      </c>
      <c r="S75">
        <f t="shared" si="2"/>
        <v>20.046375000000005</v>
      </c>
    </row>
    <row r="76" spans="1:20" x14ac:dyDescent="0.25">
      <c r="I76" t="s">
        <v>45</v>
      </c>
      <c r="J76">
        <f t="shared" si="1"/>
        <v>25.904699999999995</v>
      </c>
      <c r="K76">
        <f t="shared" si="1"/>
        <v>26.12745</v>
      </c>
      <c r="L76">
        <f t="shared" si="1"/>
        <v>26.7957</v>
      </c>
      <c r="M76">
        <f t="shared" si="1"/>
        <v>26.572949999999995</v>
      </c>
      <c r="N76">
        <f t="shared" si="1"/>
        <v>23.677200000000003</v>
      </c>
      <c r="O76">
        <f t="shared" si="1"/>
        <v>24.122700000000002</v>
      </c>
      <c r="P76">
        <f t="shared" si="1"/>
        <v>27.686699999999998</v>
      </c>
      <c r="Q76">
        <f t="shared" si="1"/>
        <v>25.681949999999997</v>
      </c>
      <c r="R76">
        <f t="shared" si="1"/>
        <v>23.2317</v>
      </c>
      <c r="S76">
        <f t="shared" si="2"/>
        <v>22.496624999999998</v>
      </c>
    </row>
    <row r="77" spans="1:20" x14ac:dyDescent="0.25">
      <c r="I77" t="s">
        <v>46</v>
      </c>
      <c r="J77">
        <f t="shared" si="1"/>
        <v>26.7957</v>
      </c>
      <c r="K77">
        <f t="shared" si="1"/>
        <v>24.568199999999997</v>
      </c>
      <c r="L77">
        <f t="shared" si="1"/>
        <v>25.681949999999997</v>
      </c>
      <c r="M77">
        <f t="shared" si="1"/>
        <v>25.459199999999999</v>
      </c>
      <c r="N77">
        <f t="shared" si="1"/>
        <v>25.681949999999997</v>
      </c>
      <c r="O77">
        <f t="shared" si="1"/>
        <v>25.904699999999995</v>
      </c>
      <c r="P77">
        <f t="shared" si="1"/>
        <v>22.11795</v>
      </c>
      <c r="Q77">
        <f t="shared" si="1"/>
        <v>24.345450000000003</v>
      </c>
      <c r="R77">
        <f t="shared" si="1"/>
        <v>21.672450000000001</v>
      </c>
      <c r="S77">
        <f t="shared" si="2"/>
        <v>22.2516</v>
      </c>
    </row>
    <row r="78" spans="1:20" x14ac:dyDescent="0.25">
      <c r="I78" t="s">
        <v>47</v>
      </c>
      <c r="J78">
        <f t="shared" si="1"/>
        <v>26.350199999999997</v>
      </c>
      <c r="K78">
        <f t="shared" si="1"/>
        <v>24.122700000000002</v>
      </c>
      <c r="L78">
        <f t="shared" si="1"/>
        <v>24.568199999999997</v>
      </c>
      <c r="M78">
        <f t="shared" si="1"/>
        <v>25.459199999999999</v>
      </c>
      <c r="N78">
        <f t="shared" si="1"/>
        <v>24.345450000000003</v>
      </c>
      <c r="O78">
        <f t="shared" si="1"/>
        <v>20.335949999999997</v>
      </c>
      <c r="P78">
        <f t="shared" si="1"/>
        <v>17.8857</v>
      </c>
      <c r="Q78">
        <f t="shared" si="1"/>
        <v>22.786200000000001</v>
      </c>
      <c r="R78">
        <f t="shared" si="1"/>
        <v>20.558699999999998</v>
      </c>
      <c r="S78">
        <f t="shared" si="2"/>
        <v>18.821250000000003</v>
      </c>
    </row>
    <row r="79" spans="1:20" x14ac:dyDescent="0.25">
      <c r="I79" t="s">
        <v>48</v>
      </c>
      <c r="J79">
        <f t="shared" si="1"/>
        <v>23.454450000000001</v>
      </c>
      <c r="K79">
        <f t="shared" si="1"/>
        <v>24.122700000000002</v>
      </c>
      <c r="L79">
        <f t="shared" si="1"/>
        <v>26.350199999999997</v>
      </c>
      <c r="M79">
        <f t="shared" si="1"/>
        <v>27.463950000000001</v>
      </c>
      <c r="N79">
        <f t="shared" si="1"/>
        <v>24.122700000000002</v>
      </c>
      <c r="O79">
        <f t="shared" si="1"/>
        <v>18.55395</v>
      </c>
      <c r="P79">
        <f t="shared" si="1"/>
        <v>18.331200000000003</v>
      </c>
      <c r="Q79">
        <f t="shared" si="1"/>
        <v>20.558699999999998</v>
      </c>
      <c r="R79">
        <f t="shared" si="1"/>
        <v>20.335949999999997</v>
      </c>
      <c r="S79">
        <f t="shared" si="2"/>
        <v>20.781450000000003</v>
      </c>
    </row>
    <row r="80" spans="1:20" x14ac:dyDescent="0.25">
      <c r="I80" t="s">
        <v>49</v>
      </c>
      <c r="J80">
        <f t="shared" si="1"/>
        <v>17.8857</v>
      </c>
      <c r="K80">
        <f t="shared" si="1"/>
        <v>14.767199999999999</v>
      </c>
      <c r="L80">
        <f t="shared" si="1"/>
        <v>13.20795</v>
      </c>
      <c r="M80">
        <f t="shared" si="1"/>
        <v>13.430700000000002</v>
      </c>
      <c r="N80">
        <f t="shared" si="1"/>
        <v>13.430700000000002</v>
      </c>
      <c r="O80">
        <f t="shared" si="1"/>
        <v>12.985199999999999</v>
      </c>
      <c r="P80">
        <f t="shared" si="1"/>
        <v>14.098950000000002</v>
      </c>
      <c r="Q80">
        <f t="shared" si="1"/>
        <v>15.880949999999999</v>
      </c>
      <c r="R80">
        <f t="shared" si="1"/>
        <v>18.108450000000001</v>
      </c>
      <c r="S80">
        <f t="shared" si="2"/>
        <v>20.781450000000003</v>
      </c>
    </row>
    <row r="81" spans="9:19" x14ac:dyDescent="0.25">
      <c r="I81" t="s">
        <v>50</v>
      </c>
      <c r="J81">
        <f t="shared" si="1"/>
        <v>27.463950000000001</v>
      </c>
      <c r="K81">
        <f t="shared" si="1"/>
        <v>25.681949999999997</v>
      </c>
      <c r="L81">
        <f t="shared" si="1"/>
        <v>25.904699999999995</v>
      </c>
      <c r="M81">
        <f t="shared" si="1"/>
        <v>26.12745</v>
      </c>
      <c r="N81">
        <f t="shared" si="1"/>
        <v>27.018449999999998</v>
      </c>
      <c r="O81">
        <f t="shared" si="1"/>
        <v>22.786200000000001</v>
      </c>
      <c r="P81">
        <f t="shared" si="1"/>
        <v>19.444949999999999</v>
      </c>
      <c r="Q81">
        <f t="shared" si="1"/>
        <v>19.667699999999996</v>
      </c>
      <c r="R81">
        <f t="shared" si="1"/>
        <v>18.108450000000001</v>
      </c>
      <c r="S81">
        <f t="shared" si="2"/>
        <v>17.106074999999997</v>
      </c>
    </row>
    <row r="82" spans="9:19" x14ac:dyDescent="0.25">
      <c r="I82" t="s">
        <v>51</v>
      </c>
      <c r="J82">
        <f t="shared" si="1"/>
        <v>20.558699999999998</v>
      </c>
      <c r="K82">
        <f t="shared" si="1"/>
        <v>19.667699999999996</v>
      </c>
      <c r="L82">
        <f t="shared" si="1"/>
        <v>16.326450000000001</v>
      </c>
      <c r="M82">
        <f t="shared" si="1"/>
        <v>15.880949999999999</v>
      </c>
      <c r="N82">
        <f t="shared" si="1"/>
        <v>15.212699999999998</v>
      </c>
      <c r="O82">
        <f t="shared" si="1"/>
        <v>14.3217</v>
      </c>
      <c r="P82">
        <f t="shared" si="1"/>
        <v>17.217449999999999</v>
      </c>
      <c r="Q82">
        <f t="shared" si="1"/>
        <v>21.895199999999999</v>
      </c>
      <c r="R82">
        <f t="shared" si="1"/>
        <v>21.226949999999999</v>
      </c>
      <c r="S82">
        <f t="shared" si="2"/>
        <v>19.066275000000005</v>
      </c>
    </row>
    <row r="83" spans="9:19" x14ac:dyDescent="0.25">
      <c r="I83" t="s">
        <v>52</v>
      </c>
      <c r="J83">
        <f t="shared" si="1"/>
        <v>20.558699999999998</v>
      </c>
      <c r="K83">
        <f t="shared" si="1"/>
        <v>20.113199999999999</v>
      </c>
      <c r="L83">
        <f t="shared" si="1"/>
        <v>24.568199999999997</v>
      </c>
      <c r="M83">
        <f t="shared" si="1"/>
        <v>26.12745</v>
      </c>
      <c r="N83">
        <f t="shared" si="1"/>
        <v>24.345450000000003</v>
      </c>
      <c r="O83">
        <f t="shared" si="1"/>
        <v>23.89995</v>
      </c>
      <c r="P83">
        <f t="shared" si="1"/>
        <v>24.122700000000002</v>
      </c>
      <c r="Q83">
        <f t="shared" si="1"/>
        <v>21.895199999999999</v>
      </c>
      <c r="R83">
        <f t="shared" si="1"/>
        <v>22.11795</v>
      </c>
      <c r="S83">
        <f t="shared" si="2"/>
        <v>19.801350000000003</v>
      </c>
    </row>
    <row r="84" spans="9:19" x14ac:dyDescent="0.25">
      <c r="I84" t="s">
        <v>53</v>
      </c>
      <c r="J84">
        <f t="shared" si="1"/>
        <v>16.549199999999999</v>
      </c>
      <c r="K84">
        <f t="shared" si="1"/>
        <v>18.55395</v>
      </c>
      <c r="L84">
        <f t="shared" si="1"/>
        <v>23.008950000000002</v>
      </c>
      <c r="M84">
        <f t="shared" si="1"/>
        <v>24.790949999999999</v>
      </c>
      <c r="N84">
        <f t="shared" si="1"/>
        <v>25.459199999999999</v>
      </c>
      <c r="O84">
        <f t="shared" si="1"/>
        <v>25.681949999999997</v>
      </c>
      <c r="P84">
        <f t="shared" si="1"/>
        <v>26.7957</v>
      </c>
      <c r="Q84">
        <f t="shared" si="1"/>
        <v>24.790949999999999</v>
      </c>
      <c r="R84">
        <f t="shared" si="1"/>
        <v>18.108450000000001</v>
      </c>
      <c r="S84">
        <f t="shared" si="2"/>
        <v>16.616025000000004</v>
      </c>
    </row>
    <row r="85" spans="9:19" x14ac:dyDescent="0.25">
      <c r="I85" t="s">
        <v>54</v>
      </c>
      <c r="J85">
        <f t="shared" si="1"/>
        <v>22.786200000000001</v>
      </c>
      <c r="K85">
        <f t="shared" si="1"/>
        <v>24.568199999999997</v>
      </c>
      <c r="L85">
        <f t="shared" si="1"/>
        <v>28.800450000000001</v>
      </c>
      <c r="M85">
        <f t="shared" si="1"/>
        <v>27.018449999999998</v>
      </c>
      <c r="N85">
        <f t="shared" si="1"/>
        <v>28.577700000000004</v>
      </c>
      <c r="O85">
        <f t="shared" si="1"/>
        <v>28.132200000000001</v>
      </c>
      <c r="P85">
        <f t="shared" si="1"/>
        <v>22.11795</v>
      </c>
      <c r="Q85">
        <f t="shared" si="1"/>
        <v>22.56345</v>
      </c>
      <c r="R85">
        <f t="shared" si="1"/>
        <v>19.667699999999996</v>
      </c>
      <c r="S85">
        <f t="shared" si="2"/>
        <v>21.76155</v>
      </c>
    </row>
    <row r="86" spans="9:19" x14ac:dyDescent="0.25">
      <c r="I86" t="s">
        <v>55</v>
      </c>
      <c r="J86">
        <f t="shared" si="1"/>
        <v>22.56345</v>
      </c>
      <c r="K86">
        <f t="shared" si="1"/>
        <v>22.786200000000001</v>
      </c>
      <c r="L86">
        <f t="shared" si="1"/>
        <v>25.013699999999996</v>
      </c>
      <c r="M86">
        <f t="shared" si="1"/>
        <v>24.345450000000003</v>
      </c>
      <c r="N86">
        <f t="shared" si="1"/>
        <v>27.909450000000003</v>
      </c>
      <c r="O86">
        <f t="shared" si="1"/>
        <v>23.677200000000003</v>
      </c>
      <c r="P86">
        <f t="shared" si="1"/>
        <v>21.4497</v>
      </c>
      <c r="Q86">
        <f t="shared" si="1"/>
        <v>20.78145</v>
      </c>
      <c r="R86">
        <f t="shared" si="1"/>
        <v>18.999449999999996</v>
      </c>
      <c r="S86">
        <f t="shared" si="2"/>
        <v>18.331200000000003</v>
      </c>
    </row>
    <row r="87" spans="9:19" x14ac:dyDescent="0.25">
      <c r="I87" t="s">
        <v>56</v>
      </c>
      <c r="J87">
        <f t="shared" si="1"/>
        <v>23.454450000000001</v>
      </c>
      <c r="K87">
        <f t="shared" si="1"/>
        <v>23.454450000000001</v>
      </c>
      <c r="L87">
        <f t="shared" si="1"/>
        <v>25.681949999999997</v>
      </c>
      <c r="M87">
        <f t="shared" si="1"/>
        <v>22.11795</v>
      </c>
      <c r="N87">
        <f t="shared" si="1"/>
        <v>22.786200000000001</v>
      </c>
      <c r="O87">
        <f t="shared" si="1"/>
        <v>22.786200000000001</v>
      </c>
      <c r="P87">
        <f t="shared" si="1"/>
        <v>23.677200000000003</v>
      </c>
      <c r="Q87">
        <f t="shared" si="1"/>
        <v>21.004199999999997</v>
      </c>
      <c r="R87">
        <f t="shared" si="1"/>
        <v>20.558699999999998</v>
      </c>
      <c r="S87">
        <f t="shared" si="2"/>
        <v>21.026475000000005</v>
      </c>
    </row>
    <row r="88" spans="9:19" x14ac:dyDescent="0.25">
      <c r="I88" t="s">
        <v>57</v>
      </c>
      <c r="J88">
        <f t="shared" si="1"/>
        <v>18.108450000000001</v>
      </c>
      <c r="K88">
        <f t="shared" si="1"/>
        <v>20.558699999999998</v>
      </c>
      <c r="L88">
        <f t="shared" si="1"/>
        <v>26.350199999999997</v>
      </c>
      <c r="M88">
        <f t="shared" si="1"/>
        <v>25.459199999999999</v>
      </c>
      <c r="N88">
        <f t="shared" si="1"/>
        <v>27.018449999999998</v>
      </c>
      <c r="O88">
        <f t="shared" si="1"/>
        <v>24.790949999999999</v>
      </c>
      <c r="P88">
        <f t="shared" si="1"/>
        <v>26.572949999999995</v>
      </c>
      <c r="Q88">
        <f t="shared" si="1"/>
        <v>21.895199999999999</v>
      </c>
      <c r="R88">
        <f t="shared" si="1"/>
        <v>16.994700000000002</v>
      </c>
      <c r="S88">
        <f t="shared" si="2"/>
        <v>16.861049999999999</v>
      </c>
    </row>
    <row r="89" spans="9:19" x14ac:dyDescent="0.25">
      <c r="I89" t="s">
        <v>58</v>
      </c>
      <c r="J89">
        <f t="shared" si="1"/>
        <v>28.354949999999999</v>
      </c>
      <c r="K89">
        <f t="shared" si="1"/>
        <v>26.7957</v>
      </c>
      <c r="L89">
        <f t="shared" si="1"/>
        <v>27.241199999999996</v>
      </c>
      <c r="M89">
        <f t="shared" si="1"/>
        <v>27.463950000000001</v>
      </c>
      <c r="N89">
        <f t="shared" si="1"/>
        <v>25.681949999999997</v>
      </c>
      <c r="O89">
        <f t="shared" si="1"/>
        <v>25.236449999999998</v>
      </c>
      <c r="P89">
        <f t="shared" si="1"/>
        <v>23.2317</v>
      </c>
      <c r="Q89">
        <f t="shared" si="1"/>
        <v>24.122700000000002</v>
      </c>
      <c r="R89">
        <f t="shared" si="1"/>
        <v>24.790949999999999</v>
      </c>
      <c r="S89">
        <f t="shared" si="2"/>
        <v>25.926975000000002</v>
      </c>
    </row>
    <row r="90" spans="9:19" x14ac:dyDescent="0.25">
      <c r="I90" t="s">
        <v>59</v>
      </c>
      <c r="J90">
        <f t="shared" ref="J90:R96" si="3">22.275*J62-6.1713</f>
        <v>27.241199999999996</v>
      </c>
      <c r="K90">
        <f t="shared" si="3"/>
        <v>25.236449999999998</v>
      </c>
      <c r="L90">
        <f t="shared" si="3"/>
        <v>27.909450000000003</v>
      </c>
      <c r="M90">
        <f t="shared" si="3"/>
        <v>28.577700000000004</v>
      </c>
      <c r="N90">
        <f t="shared" si="3"/>
        <v>30.3597</v>
      </c>
      <c r="O90">
        <f t="shared" si="3"/>
        <v>29.914200000000005</v>
      </c>
      <c r="P90">
        <f t="shared" si="3"/>
        <v>27.241199999999996</v>
      </c>
      <c r="Q90">
        <f t="shared" si="3"/>
        <v>23.2317</v>
      </c>
      <c r="R90">
        <f t="shared" si="3"/>
        <v>24.122700000000002</v>
      </c>
      <c r="S90">
        <f t="shared" si="2"/>
        <v>25.436925000000006</v>
      </c>
    </row>
    <row r="91" spans="9:19" x14ac:dyDescent="0.25">
      <c r="I91" t="s">
        <v>60</v>
      </c>
      <c r="J91">
        <f t="shared" si="3"/>
        <v>25.013699999999996</v>
      </c>
      <c r="K91">
        <f t="shared" si="3"/>
        <v>25.459199999999999</v>
      </c>
      <c r="L91">
        <f t="shared" si="3"/>
        <v>26.350199999999997</v>
      </c>
      <c r="M91">
        <f t="shared" si="3"/>
        <v>28.577700000000004</v>
      </c>
      <c r="N91">
        <f t="shared" si="3"/>
        <v>27.909450000000003</v>
      </c>
      <c r="O91">
        <f t="shared" si="3"/>
        <v>27.241199999999996</v>
      </c>
      <c r="P91">
        <f t="shared" si="3"/>
        <v>25.013699999999996</v>
      </c>
      <c r="Q91">
        <f t="shared" si="3"/>
        <v>19.444949999999999</v>
      </c>
      <c r="R91">
        <f t="shared" si="3"/>
        <v>17.662950000000002</v>
      </c>
      <c r="S91">
        <f t="shared" si="2"/>
        <v>17.106074999999997</v>
      </c>
    </row>
    <row r="92" spans="9:19" x14ac:dyDescent="0.25">
      <c r="I92" t="s">
        <v>61</v>
      </c>
      <c r="J92">
        <f t="shared" si="3"/>
        <v>24.790949999999999</v>
      </c>
      <c r="K92">
        <f t="shared" si="3"/>
        <v>24.568199999999997</v>
      </c>
      <c r="L92">
        <f t="shared" si="3"/>
        <v>24.122700000000002</v>
      </c>
      <c r="M92">
        <f t="shared" si="3"/>
        <v>27.241199999999996</v>
      </c>
      <c r="N92">
        <f t="shared" si="3"/>
        <v>27.909450000000003</v>
      </c>
      <c r="O92">
        <f t="shared" si="3"/>
        <v>28.577700000000004</v>
      </c>
      <c r="P92">
        <f t="shared" si="3"/>
        <v>27.018449999999998</v>
      </c>
      <c r="Q92">
        <f t="shared" si="3"/>
        <v>25.236449999999998</v>
      </c>
      <c r="R92">
        <f t="shared" si="3"/>
        <v>21.895199999999999</v>
      </c>
      <c r="S92">
        <f>22.275*(S64*1.1)-6.1713</f>
        <v>27.152100000000001</v>
      </c>
    </row>
    <row r="93" spans="9:19" x14ac:dyDescent="0.25">
      <c r="I93" t="s">
        <v>62</v>
      </c>
      <c r="J93">
        <f t="shared" si="3"/>
        <v>21.672450000000001</v>
      </c>
      <c r="K93">
        <f t="shared" si="3"/>
        <v>17.662950000000002</v>
      </c>
      <c r="L93">
        <f t="shared" si="3"/>
        <v>18.776700000000002</v>
      </c>
      <c r="M93">
        <f t="shared" si="3"/>
        <v>21.895199999999999</v>
      </c>
      <c r="N93">
        <f t="shared" si="3"/>
        <v>23.677200000000003</v>
      </c>
      <c r="O93">
        <f t="shared" si="3"/>
        <v>20.113199999999999</v>
      </c>
      <c r="P93">
        <f t="shared" si="3"/>
        <v>20.558699999999998</v>
      </c>
      <c r="Q93">
        <f t="shared" si="3"/>
        <v>21.895199999999999</v>
      </c>
      <c r="R93">
        <f t="shared" si="3"/>
        <v>20.78145</v>
      </c>
      <c r="S93">
        <f t="shared" ref="S93:S95" si="4">22.275*(S65*1.1)-6.1713</f>
        <v>21.516524999999998</v>
      </c>
    </row>
    <row r="94" spans="9:19" x14ac:dyDescent="0.25">
      <c r="I94" t="s">
        <v>63</v>
      </c>
      <c r="J94">
        <f t="shared" si="3"/>
        <v>24.568199999999997</v>
      </c>
      <c r="K94">
        <f t="shared" si="3"/>
        <v>25.236449999999998</v>
      </c>
      <c r="L94">
        <f t="shared" si="3"/>
        <v>27.018449999999998</v>
      </c>
      <c r="M94">
        <f t="shared" si="3"/>
        <v>21.226949999999999</v>
      </c>
      <c r="N94">
        <f t="shared" si="3"/>
        <v>24.568199999999997</v>
      </c>
      <c r="O94">
        <f t="shared" si="3"/>
        <v>26.350199999999997</v>
      </c>
      <c r="P94">
        <f t="shared" si="3"/>
        <v>22.11795</v>
      </c>
      <c r="Q94">
        <f t="shared" si="3"/>
        <v>21.4497</v>
      </c>
      <c r="R94">
        <f t="shared" si="3"/>
        <v>21.895199999999999</v>
      </c>
      <c r="S94">
        <f t="shared" si="4"/>
        <v>25.191900000000004</v>
      </c>
    </row>
    <row r="95" spans="9:19" x14ac:dyDescent="0.25">
      <c r="I95" t="s">
        <v>64</v>
      </c>
      <c r="J95">
        <f t="shared" si="3"/>
        <v>26.572949999999995</v>
      </c>
      <c r="K95">
        <f t="shared" si="3"/>
        <v>24.790949999999999</v>
      </c>
      <c r="L95">
        <f t="shared" si="3"/>
        <v>23.008950000000002</v>
      </c>
      <c r="M95">
        <f t="shared" si="3"/>
        <v>21.895199999999999</v>
      </c>
      <c r="N95">
        <f t="shared" si="3"/>
        <v>23.454450000000001</v>
      </c>
      <c r="O95">
        <f t="shared" si="3"/>
        <v>23.677200000000003</v>
      </c>
      <c r="P95">
        <f t="shared" si="3"/>
        <v>18.999449999999996</v>
      </c>
      <c r="Q95">
        <f t="shared" si="3"/>
        <v>18.55395</v>
      </c>
      <c r="R95">
        <f t="shared" si="3"/>
        <v>17.8857</v>
      </c>
      <c r="S95">
        <f t="shared" si="4"/>
        <v>21.271500000000003</v>
      </c>
    </row>
    <row r="96" spans="9:19" x14ac:dyDescent="0.25">
      <c r="I96" t="s">
        <v>65</v>
      </c>
      <c r="J96">
        <f>22.275*J68-6.1713</f>
        <v>27.463950000000001</v>
      </c>
      <c r="K96">
        <f t="shared" si="3"/>
        <v>25.681949999999997</v>
      </c>
      <c r="L96">
        <f t="shared" si="3"/>
        <v>22.340700000000002</v>
      </c>
      <c r="M96">
        <f t="shared" si="3"/>
        <v>23.677200000000003</v>
      </c>
      <c r="N96">
        <f t="shared" si="3"/>
        <v>26.7957</v>
      </c>
      <c r="O96">
        <f t="shared" si="3"/>
        <v>24.568199999999997</v>
      </c>
      <c r="P96">
        <f t="shared" si="3"/>
        <v>22.56345</v>
      </c>
      <c r="Q96">
        <f t="shared" si="3"/>
        <v>18.776700000000002</v>
      </c>
      <c r="R96">
        <f t="shared" si="3"/>
        <v>17.217449999999999</v>
      </c>
      <c r="S96">
        <f>22.275*(S68*1.1)-6.1713</f>
        <v>18.821250000000003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0.18331200000000003</v>
      </c>
      <c r="K101" s="4">
        <f t="shared" si="5"/>
        <v>0.20335949999999997</v>
      </c>
      <c r="L101" s="4">
        <f t="shared" si="5"/>
        <v>0.23454450000000002</v>
      </c>
      <c r="M101" s="4">
        <f t="shared" si="5"/>
        <v>0.26572949999999995</v>
      </c>
      <c r="N101" s="4">
        <f t="shared" si="5"/>
        <v>0.24790949999999998</v>
      </c>
      <c r="O101" s="4">
        <f t="shared" si="5"/>
        <v>0.26572949999999995</v>
      </c>
      <c r="P101" s="4">
        <f t="shared" si="5"/>
        <v>0.28132200000000002</v>
      </c>
      <c r="Q101" s="4">
        <f t="shared" si="5"/>
        <v>0.26127450000000002</v>
      </c>
      <c r="R101" s="4">
        <f t="shared" si="5"/>
        <v>0.25013699999999994</v>
      </c>
      <c r="S101" s="4">
        <f t="shared" si="5"/>
        <v>0.2470185</v>
      </c>
    </row>
    <row r="102" spans="9:19" x14ac:dyDescent="0.25">
      <c r="I102">
        <v>12</v>
      </c>
      <c r="J102" s="4">
        <f t="shared" ref="J102:S115" si="6">IF(J74&lt;0,"",J74/100)</f>
        <v>0.24345450000000002</v>
      </c>
      <c r="K102" s="4">
        <f t="shared" si="6"/>
        <v>0.24122700000000002</v>
      </c>
      <c r="L102" s="4">
        <f t="shared" si="6"/>
        <v>0.20335949999999997</v>
      </c>
      <c r="M102" s="4">
        <f t="shared" si="6"/>
        <v>0.20558699999999999</v>
      </c>
      <c r="N102" s="4">
        <f t="shared" si="6"/>
        <v>0.20113199999999998</v>
      </c>
      <c r="O102" s="4">
        <f t="shared" si="6"/>
        <v>0.20558699999999999</v>
      </c>
      <c r="P102" s="4">
        <f t="shared" si="6"/>
        <v>0.20558699999999999</v>
      </c>
      <c r="Q102" s="4">
        <f t="shared" si="6"/>
        <v>0.24122700000000002</v>
      </c>
      <c r="R102" s="4">
        <f t="shared" si="6"/>
        <v>0.22340700000000002</v>
      </c>
      <c r="S102" s="4">
        <f t="shared" si="6"/>
        <v>0.18576225000000005</v>
      </c>
    </row>
    <row r="103" spans="9:19" x14ac:dyDescent="0.25">
      <c r="I103">
        <v>13</v>
      </c>
      <c r="J103" s="4">
        <f t="shared" si="6"/>
        <v>0.22563449999999999</v>
      </c>
      <c r="K103" s="4">
        <f t="shared" si="6"/>
        <v>0.2122695</v>
      </c>
      <c r="L103" s="4">
        <f t="shared" si="6"/>
        <v>0.21672450000000001</v>
      </c>
      <c r="M103" s="4">
        <f t="shared" si="6"/>
        <v>0.25236449999999999</v>
      </c>
      <c r="N103" s="4">
        <f t="shared" si="6"/>
        <v>0.26350199999999996</v>
      </c>
      <c r="O103" s="4">
        <f t="shared" si="6"/>
        <v>0.26127450000000002</v>
      </c>
      <c r="P103" s="4">
        <f t="shared" si="6"/>
        <v>0.25236449999999999</v>
      </c>
      <c r="Q103" s="4">
        <f t="shared" si="6"/>
        <v>0.22563449999999999</v>
      </c>
      <c r="R103" s="4">
        <f t="shared" si="6"/>
        <v>0.20558699999999999</v>
      </c>
      <c r="S103" s="4">
        <f t="shared" si="6"/>
        <v>0.20046375000000005</v>
      </c>
    </row>
    <row r="104" spans="9:19" x14ac:dyDescent="0.25">
      <c r="I104">
        <v>14</v>
      </c>
      <c r="J104" s="4">
        <f t="shared" si="6"/>
        <v>0.25904699999999997</v>
      </c>
      <c r="K104" s="4">
        <f t="shared" si="6"/>
        <v>0.26127450000000002</v>
      </c>
      <c r="L104" s="4">
        <f t="shared" si="6"/>
        <v>0.267957</v>
      </c>
      <c r="M104" s="4">
        <f t="shared" si="6"/>
        <v>0.26572949999999995</v>
      </c>
      <c r="N104" s="4">
        <f t="shared" si="6"/>
        <v>0.23677200000000004</v>
      </c>
      <c r="O104" s="4">
        <f t="shared" si="6"/>
        <v>0.24122700000000002</v>
      </c>
      <c r="P104" s="4">
        <f t="shared" si="6"/>
        <v>0.27686699999999997</v>
      </c>
      <c r="Q104" s="4">
        <f t="shared" si="6"/>
        <v>0.25681949999999998</v>
      </c>
      <c r="R104" s="4">
        <f t="shared" si="6"/>
        <v>0.232317</v>
      </c>
      <c r="S104" s="4">
        <f t="shared" si="6"/>
        <v>0.22496624999999998</v>
      </c>
    </row>
    <row r="105" spans="9:19" x14ac:dyDescent="0.25">
      <c r="I105">
        <v>21</v>
      </c>
      <c r="J105" s="4">
        <f t="shared" si="6"/>
        <v>0.267957</v>
      </c>
      <c r="K105" s="4">
        <f t="shared" si="6"/>
        <v>0.24568199999999998</v>
      </c>
      <c r="L105" s="4">
        <f t="shared" si="6"/>
        <v>0.25681949999999998</v>
      </c>
      <c r="M105" s="4">
        <f t="shared" si="6"/>
        <v>0.25459199999999998</v>
      </c>
      <c r="N105" s="4">
        <f t="shared" si="6"/>
        <v>0.25681949999999998</v>
      </c>
      <c r="O105" s="4">
        <f t="shared" si="6"/>
        <v>0.25904699999999997</v>
      </c>
      <c r="P105" s="4">
        <f t="shared" si="6"/>
        <v>0.2211795</v>
      </c>
      <c r="Q105" s="4">
        <f t="shared" si="6"/>
        <v>0.24345450000000002</v>
      </c>
      <c r="R105" s="4">
        <f t="shared" si="6"/>
        <v>0.21672450000000001</v>
      </c>
      <c r="S105" s="4">
        <f t="shared" si="6"/>
        <v>0.22251599999999999</v>
      </c>
    </row>
    <row r="106" spans="9:19" x14ac:dyDescent="0.25">
      <c r="I106">
        <v>22</v>
      </c>
      <c r="J106" s="4">
        <f t="shared" si="6"/>
        <v>0.26350199999999996</v>
      </c>
      <c r="K106" s="4">
        <f t="shared" si="6"/>
        <v>0.24122700000000002</v>
      </c>
      <c r="L106" s="4">
        <f t="shared" si="6"/>
        <v>0.24568199999999998</v>
      </c>
      <c r="M106" s="4">
        <f t="shared" si="6"/>
        <v>0.25459199999999998</v>
      </c>
      <c r="N106" s="4">
        <f t="shared" si="6"/>
        <v>0.24345450000000002</v>
      </c>
      <c r="O106" s="4">
        <f t="shared" si="6"/>
        <v>0.20335949999999997</v>
      </c>
      <c r="P106" s="4">
        <f t="shared" si="6"/>
        <v>0.17885699999999999</v>
      </c>
      <c r="Q106" s="4">
        <f t="shared" si="6"/>
        <v>0.22786200000000001</v>
      </c>
      <c r="R106" s="4">
        <f t="shared" si="6"/>
        <v>0.20558699999999999</v>
      </c>
      <c r="S106" s="4">
        <f t="shared" si="6"/>
        <v>0.18821250000000003</v>
      </c>
    </row>
    <row r="107" spans="9:19" x14ac:dyDescent="0.25">
      <c r="I107">
        <v>23</v>
      </c>
      <c r="J107" s="4">
        <f t="shared" si="6"/>
        <v>0.23454450000000002</v>
      </c>
      <c r="K107" s="4">
        <f t="shared" si="6"/>
        <v>0.24122700000000002</v>
      </c>
      <c r="L107" s="4">
        <f t="shared" si="6"/>
        <v>0.26350199999999996</v>
      </c>
      <c r="M107" s="4">
        <f t="shared" si="6"/>
        <v>0.27463949999999998</v>
      </c>
      <c r="N107" s="4">
        <f t="shared" si="6"/>
        <v>0.24122700000000002</v>
      </c>
      <c r="O107" s="4">
        <f t="shared" si="6"/>
        <v>0.1855395</v>
      </c>
      <c r="P107" s="4">
        <f t="shared" si="6"/>
        <v>0.18331200000000003</v>
      </c>
      <c r="Q107" s="4">
        <f t="shared" si="6"/>
        <v>0.20558699999999999</v>
      </c>
      <c r="R107" s="4">
        <f t="shared" si="6"/>
        <v>0.20335949999999997</v>
      </c>
      <c r="S107" s="4">
        <f t="shared" si="6"/>
        <v>0.20781450000000004</v>
      </c>
    </row>
    <row r="108" spans="9:19" x14ac:dyDescent="0.25">
      <c r="I108">
        <v>24</v>
      </c>
      <c r="J108" s="4">
        <f t="shared" si="6"/>
        <v>0.17885699999999999</v>
      </c>
      <c r="K108" s="4">
        <f t="shared" si="6"/>
        <v>0.147672</v>
      </c>
      <c r="L108" s="4">
        <f t="shared" si="6"/>
        <v>0.13207950000000002</v>
      </c>
      <c r="M108" s="4">
        <f t="shared" si="6"/>
        <v>0.13430700000000001</v>
      </c>
      <c r="N108" s="4">
        <f t="shared" si="6"/>
        <v>0.13430700000000001</v>
      </c>
      <c r="O108" s="4">
        <f t="shared" si="6"/>
        <v>0.129852</v>
      </c>
      <c r="P108" s="4">
        <f t="shared" si="6"/>
        <v>0.14098950000000002</v>
      </c>
      <c r="Q108" s="4">
        <f t="shared" si="6"/>
        <v>0.15880949999999999</v>
      </c>
      <c r="R108" s="4">
        <f t="shared" si="6"/>
        <v>0.18108450000000001</v>
      </c>
      <c r="S108" s="4">
        <f t="shared" si="6"/>
        <v>0.20781450000000004</v>
      </c>
    </row>
    <row r="109" spans="9:19" x14ac:dyDescent="0.25">
      <c r="I109">
        <v>31</v>
      </c>
      <c r="J109" s="4">
        <f t="shared" si="6"/>
        <v>0.27463949999999998</v>
      </c>
      <c r="K109" s="4">
        <f t="shared" si="6"/>
        <v>0.25681949999999998</v>
      </c>
      <c r="L109" s="4">
        <f t="shared" si="6"/>
        <v>0.25904699999999997</v>
      </c>
      <c r="M109" s="4">
        <f t="shared" si="6"/>
        <v>0.26127450000000002</v>
      </c>
      <c r="N109" s="4">
        <f t="shared" si="6"/>
        <v>0.27018449999999999</v>
      </c>
      <c r="O109" s="4">
        <f t="shared" si="6"/>
        <v>0.22786200000000001</v>
      </c>
      <c r="P109" s="4">
        <f t="shared" si="6"/>
        <v>0.1944495</v>
      </c>
      <c r="Q109" s="4">
        <f t="shared" si="6"/>
        <v>0.19667699999999996</v>
      </c>
      <c r="R109" s="4">
        <f t="shared" si="6"/>
        <v>0.18108450000000001</v>
      </c>
      <c r="S109" s="4">
        <f t="shared" si="6"/>
        <v>0.17106074999999998</v>
      </c>
    </row>
    <row r="110" spans="9:19" x14ac:dyDescent="0.25">
      <c r="I110">
        <v>32</v>
      </c>
      <c r="J110" s="4">
        <f t="shared" si="6"/>
        <v>0.20558699999999999</v>
      </c>
      <c r="K110" s="4">
        <f t="shared" si="6"/>
        <v>0.19667699999999996</v>
      </c>
      <c r="L110" s="4">
        <f t="shared" si="6"/>
        <v>0.16326450000000001</v>
      </c>
      <c r="M110" s="4">
        <f t="shared" si="6"/>
        <v>0.15880949999999999</v>
      </c>
      <c r="N110" s="4">
        <f t="shared" si="6"/>
        <v>0.15212699999999998</v>
      </c>
      <c r="O110" s="4">
        <f t="shared" si="6"/>
        <v>0.14321700000000001</v>
      </c>
      <c r="P110" s="4">
        <f t="shared" si="6"/>
        <v>0.17217450000000001</v>
      </c>
      <c r="Q110" s="4">
        <f t="shared" si="6"/>
        <v>0.21895199999999998</v>
      </c>
      <c r="R110" s="4">
        <f t="shared" si="6"/>
        <v>0.2122695</v>
      </c>
      <c r="S110" s="4">
        <f t="shared" si="6"/>
        <v>0.19066275000000005</v>
      </c>
    </row>
    <row r="111" spans="9:19" x14ac:dyDescent="0.25">
      <c r="I111">
        <v>33</v>
      </c>
      <c r="J111" s="4">
        <f t="shared" si="6"/>
        <v>0.20558699999999999</v>
      </c>
      <c r="K111" s="4">
        <f t="shared" si="6"/>
        <v>0.20113199999999998</v>
      </c>
      <c r="L111" s="4">
        <f t="shared" si="6"/>
        <v>0.24568199999999998</v>
      </c>
      <c r="M111" s="4">
        <f t="shared" si="6"/>
        <v>0.26127450000000002</v>
      </c>
      <c r="N111" s="4">
        <f t="shared" si="6"/>
        <v>0.24345450000000002</v>
      </c>
      <c r="O111" s="4">
        <f t="shared" si="6"/>
        <v>0.2389995</v>
      </c>
      <c r="P111" s="4">
        <f t="shared" si="6"/>
        <v>0.24122700000000002</v>
      </c>
      <c r="Q111" s="4">
        <f t="shared" si="6"/>
        <v>0.21895199999999998</v>
      </c>
      <c r="R111" s="4">
        <f t="shared" si="6"/>
        <v>0.2211795</v>
      </c>
      <c r="S111" s="4">
        <f t="shared" si="6"/>
        <v>0.19801350000000004</v>
      </c>
    </row>
    <row r="112" spans="9:19" x14ac:dyDescent="0.25">
      <c r="I112">
        <v>34</v>
      </c>
      <c r="J112" s="4">
        <f t="shared" si="6"/>
        <v>0.165492</v>
      </c>
      <c r="K112" s="4">
        <f t="shared" si="6"/>
        <v>0.1855395</v>
      </c>
      <c r="L112" s="4">
        <f t="shared" si="6"/>
        <v>0.23008950000000003</v>
      </c>
      <c r="M112" s="4">
        <f t="shared" si="6"/>
        <v>0.24790949999999998</v>
      </c>
      <c r="N112" s="4">
        <f t="shared" si="6"/>
        <v>0.25459199999999998</v>
      </c>
      <c r="O112" s="4">
        <f t="shared" si="6"/>
        <v>0.25681949999999998</v>
      </c>
      <c r="P112" s="4">
        <f t="shared" si="6"/>
        <v>0.267957</v>
      </c>
      <c r="Q112" s="4">
        <f t="shared" si="6"/>
        <v>0.24790949999999998</v>
      </c>
      <c r="R112" s="4">
        <f t="shared" si="6"/>
        <v>0.18108450000000001</v>
      </c>
      <c r="S112" s="4">
        <f t="shared" si="6"/>
        <v>0.16616025000000004</v>
      </c>
    </row>
    <row r="113" spans="9:19" x14ac:dyDescent="0.25">
      <c r="I113">
        <v>41</v>
      </c>
      <c r="J113" s="4">
        <f t="shared" si="6"/>
        <v>0.22786200000000001</v>
      </c>
      <c r="K113" s="4">
        <f t="shared" si="6"/>
        <v>0.24568199999999998</v>
      </c>
      <c r="L113" s="4">
        <f t="shared" si="6"/>
        <v>0.2880045</v>
      </c>
      <c r="M113" s="4">
        <f t="shared" si="6"/>
        <v>0.27018449999999999</v>
      </c>
      <c r="N113" s="4">
        <f t="shared" si="6"/>
        <v>0.28577700000000006</v>
      </c>
      <c r="O113" s="4">
        <f t="shared" si="6"/>
        <v>0.28132200000000002</v>
      </c>
      <c r="P113" s="4">
        <f t="shared" si="6"/>
        <v>0.2211795</v>
      </c>
      <c r="Q113" s="4">
        <f t="shared" si="6"/>
        <v>0.22563449999999999</v>
      </c>
      <c r="R113" s="4">
        <f t="shared" si="6"/>
        <v>0.19667699999999996</v>
      </c>
      <c r="S113" s="4">
        <f t="shared" si="6"/>
        <v>0.21761549999999999</v>
      </c>
    </row>
    <row r="114" spans="9:19" x14ac:dyDescent="0.25">
      <c r="I114">
        <v>42</v>
      </c>
      <c r="J114" s="4">
        <f t="shared" si="6"/>
        <v>0.22563449999999999</v>
      </c>
      <c r="K114" s="4">
        <f t="shared" si="6"/>
        <v>0.22786200000000001</v>
      </c>
      <c r="L114" s="4">
        <f t="shared" si="6"/>
        <v>0.25013699999999994</v>
      </c>
      <c r="M114" s="4">
        <f t="shared" si="6"/>
        <v>0.24345450000000002</v>
      </c>
      <c r="N114" s="4">
        <f t="shared" si="6"/>
        <v>0.27909450000000002</v>
      </c>
      <c r="O114" s="4">
        <f t="shared" si="6"/>
        <v>0.23677200000000004</v>
      </c>
      <c r="P114" s="4">
        <f t="shared" si="6"/>
        <v>0.21449699999999999</v>
      </c>
      <c r="Q114" s="4">
        <f t="shared" si="6"/>
        <v>0.20781449999999999</v>
      </c>
      <c r="R114" s="4">
        <f t="shared" si="6"/>
        <v>0.18999449999999996</v>
      </c>
      <c r="S114" s="4">
        <f t="shared" si="6"/>
        <v>0.18331200000000003</v>
      </c>
    </row>
    <row r="115" spans="9:19" x14ac:dyDescent="0.25">
      <c r="I115">
        <v>43</v>
      </c>
      <c r="J115" s="4">
        <f t="shared" si="6"/>
        <v>0.23454450000000002</v>
      </c>
      <c r="K115" s="4">
        <f t="shared" si="6"/>
        <v>0.23454450000000002</v>
      </c>
      <c r="L115" s="4">
        <f t="shared" si="6"/>
        <v>0.25681949999999998</v>
      </c>
      <c r="M115" s="4">
        <f t="shared" si="6"/>
        <v>0.2211795</v>
      </c>
      <c r="N115" s="4">
        <f t="shared" si="6"/>
        <v>0.22786200000000001</v>
      </c>
      <c r="O115" s="4">
        <f t="shared" si="6"/>
        <v>0.22786200000000001</v>
      </c>
      <c r="P115" s="4">
        <f t="shared" si="6"/>
        <v>0.23677200000000004</v>
      </c>
      <c r="Q115" s="4">
        <f t="shared" si="6"/>
        <v>0.21004199999999998</v>
      </c>
      <c r="R115" s="4">
        <f t="shared" si="6"/>
        <v>0.20558699999999999</v>
      </c>
      <c r="S115" s="4">
        <f t="shared" si="6"/>
        <v>0.21026475000000006</v>
      </c>
    </row>
    <row r="116" spans="9:19" x14ac:dyDescent="0.25">
      <c r="I116">
        <v>44</v>
      </c>
      <c r="J116" s="4">
        <f t="shared" ref="J116:S116" si="7">IF(J88&lt;0,"",J88/100)</f>
        <v>0.18108450000000001</v>
      </c>
      <c r="K116" s="4">
        <f t="shared" si="7"/>
        <v>0.20558699999999999</v>
      </c>
      <c r="L116" s="4">
        <f t="shared" si="7"/>
        <v>0.26350199999999996</v>
      </c>
      <c r="M116" s="4">
        <f t="shared" si="7"/>
        <v>0.25459199999999998</v>
      </c>
      <c r="N116" s="4">
        <f t="shared" si="7"/>
        <v>0.27018449999999999</v>
      </c>
      <c r="O116" s="4">
        <f t="shared" si="7"/>
        <v>0.24790949999999998</v>
      </c>
      <c r="P116" s="4">
        <f t="shared" si="7"/>
        <v>0.26572949999999995</v>
      </c>
      <c r="Q116" s="4">
        <f t="shared" si="7"/>
        <v>0.21895199999999998</v>
      </c>
      <c r="R116" s="4">
        <f t="shared" si="7"/>
        <v>0.16994700000000001</v>
      </c>
      <c r="S116" s="4">
        <f t="shared" si="7"/>
        <v>0.1686105</v>
      </c>
    </row>
    <row r="117" spans="9:19" x14ac:dyDescent="0.25">
      <c r="I117">
        <v>51</v>
      </c>
      <c r="J117" s="4">
        <f t="shared" ref="J117:S123" si="8">IF(J89&lt;0,"",J89/100)</f>
        <v>0.28354950000000001</v>
      </c>
      <c r="K117" s="4">
        <f t="shared" si="8"/>
        <v>0.267957</v>
      </c>
      <c r="L117" s="4">
        <f t="shared" si="8"/>
        <v>0.27241199999999993</v>
      </c>
      <c r="M117" s="4">
        <f t="shared" si="8"/>
        <v>0.27463949999999998</v>
      </c>
      <c r="N117" s="4">
        <f t="shared" si="8"/>
        <v>0.25681949999999998</v>
      </c>
      <c r="O117" s="4">
        <f t="shared" si="8"/>
        <v>0.25236449999999999</v>
      </c>
      <c r="P117" s="4">
        <f t="shared" si="8"/>
        <v>0.232317</v>
      </c>
      <c r="Q117" s="4">
        <f t="shared" si="8"/>
        <v>0.24122700000000002</v>
      </c>
      <c r="R117" s="4">
        <f t="shared" si="8"/>
        <v>0.24790949999999998</v>
      </c>
      <c r="S117" s="4">
        <f t="shared" si="8"/>
        <v>0.25926975000000002</v>
      </c>
    </row>
    <row r="118" spans="9:19" x14ac:dyDescent="0.25">
      <c r="I118">
        <v>52</v>
      </c>
      <c r="J118" s="4">
        <f t="shared" si="8"/>
        <v>0.27241199999999993</v>
      </c>
      <c r="K118" s="4">
        <f t="shared" si="8"/>
        <v>0.25236449999999999</v>
      </c>
      <c r="L118" s="4">
        <f t="shared" si="8"/>
        <v>0.27909450000000002</v>
      </c>
      <c r="M118" s="4">
        <f t="shared" si="8"/>
        <v>0.28577700000000006</v>
      </c>
      <c r="N118" s="4">
        <f t="shared" si="8"/>
        <v>0.30359700000000001</v>
      </c>
      <c r="O118" s="4">
        <f t="shared" si="8"/>
        <v>0.29914200000000002</v>
      </c>
      <c r="P118" s="4">
        <f t="shared" si="8"/>
        <v>0.27241199999999993</v>
      </c>
      <c r="Q118" s="4">
        <f t="shared" si="8"/>
        <v>0.232317</v>
      </c>
      <c r="R118" s="4">
        <f t="shared" si="8"/>
        <v>0.24122700000000002</v>
      </c>
      <c r="S118" s="4">
        <f t="shared" si="8"/>
        <v>0.25436925000000005</v>
      </c>
    </row>
    <row r="119" spans="9:19" x14ac:dyDescent="0.25">
      <c r="I119">
        <v>53</v>
      </c>
      <c r="J119" s="4">
        <f t="shared" si="8"/>
        <v>0.25013699999999994</v>
      </c>
      <c r="K119" s="4">
        <f t="shared" si="8"/>
        <v>0.25459199999999998</v>
      </c>
      <c r="L119" s="4">
        <f t="shared" si="8"/>
        <v>0.26350199999999996</v>
      </c>
      <c r="M119" s="4">
        <f t="shared" si="8"/>
        <v>0.28577700000000006</v>
      </c>
      <c r="N119" s="4">
        <f t="shared" si="8"/>
        <v>0.27909450000000002</v>
      </c>
      <c r="O119" s="4">
        <f t="shared" si="8"/>
        <v>0.27241199999999993</v>
      </c>
      <c r="P119" s="4">
        <f t="shared" si="8"/>
        <v>0.25013699999999994</v>
      </c>
      <c r="Q119" s="4">
        <f t="shared" si="8"/>
        <v>0.1944495</v>
      </c>
      <c r="R119" s="4">
        <f t="shared" si="8"/>
        <v>0.17662950000000002</v>
      </c>
      <c r="S119" s="4">
        <f t="shared" si="8"/>
        <v>0.17106074999999998</v>
      </c>
    </row>
    <row r="120" spans="9:19" x14ac:dyDescent="0.25">
      <c r="I120">
        <v>54</v>
      </c>
      <c r="J120" s="4">
        <f t="shared" si="8"/>
        <v>0.24790949999999998</v>
      </c>
      <c r="K120" s="4">
        <f t="shared" si="8"/>
        <v>0.24568199999999998</v>
      </c>
      <c r="L120" s="4">
        <f t="shared" si="8"/>
        <v>0.24122700000000002</v>
      </c>
      <c r="M120" s="4">
        <f t="shared" si="8"/>
        <v>0.27241199999999993</v>
      </c>
      <c r="N120" s="4">
        <f t="shared" si="8"/>
        <v>0.27909450000000002</v>
      </c>
      <c r="O120" s="4">
        <f t="shared" si="8"/>
        <v>0.28577700000000006</v>
      </c>
      <c r="P120" s="4">
        <f t="shared" si="8"/>
        <v>0.27018449999999999</v>
      </c>
      <c r="Q120" s="4">
        <f t="shared" si="8"/>
        <v>0.25236449999999999</v>
      </c>
      <c r="R120" s="4">
        <f t="shared" si="8"/>
        <v>0.21895199999999998</v>
      </c>
      <c r="S120" s="4">
        <f t="shared" si="8"/>
        <v>0.27152100000000001</v>
      </c>
    </row>
    <row r="121" spans="9:19" x14ac:dyDescent="0.25">
      <c r="I121">
        <v>61</v>
      </c>
      <c r="J121" s="4">
        <f t="shared" si="8"/>
        <v>0.21672450000000001</v>
      </c>
      <c r="K121" s="4">
        <f t="shared" si="8"/>
        <v>0.17662950000000002</v>
      </c>
      <c r="L121" s="4">
        <f t="shared" si="8"/>
        <v>0.18776700000000002</v>
      </c>
      <c r="M121" s="4">
        <f t="shared" si="8"/>
        <v>0.21895199999999998</v>
      </c>
      <c r="N121" s="4">
        <f t="shared" si="8"/>
        <v>0.23677200000000004</v>
      </c>
      <c r="O121" s="4">
        <f t="shared" si="8"/>
        <v>0.20113199999999998</v>
      </c>
      <c r="P121" s="4">
        <f t="shared" si="8"/>
        <v>0.20558699999999999</v>
      </c>
      <c r="Q121" s="4">
        <f t="shared" si="8"/>
        <v>0.21895199999999998</v>
      </c>
      <c r="R121" s="4">
        <f t="shared" si="8"/>
        <v>0.20781449999999999</v>
      </c>
      <c r="S121" s="4">
        <f t="shared" si="8"/>
        <v>0.21516524999999997</v>
      </c>
    </row>
    <row r="122" spans="9:19" x14ac:dyDescent="0.25">
      <c r="I122">
        <v>62</v>
      </c>
      <c r="J122" s="4">
        <f t="shared" si="8"/>
        <v>0.24568199999999998</v>
      </c>
      <c r="K122" s="4">
        <f t="shared" si="8"/>
        <v>0.25236449999999999</v>
      </c>
      <c r="L122" s="4">
        <f t="shared" si="8"/>
        <v>0.27018449999999999</v>
      </c>
      <c r="M122" s="4">
        <f t="shared" si="8"/>
        <v>0.2122695</v>
      </c>
      <c r="N122" s="4">
        <f t="shared" si="8"/>
        <v>0.24568199999999998</v>
      </c>
      <c r="O122" s="4">
        <f t="shared" si="8"/>
        <v>0.26350199999999996</v>
      </c>
      <c r="P122" s="4">
        <f t="shared" si="8"/>
        <v>0.2211795</v>
      </c>
      <c r="Q122" s="4">
        <f t="shared" si="8"/>
        <v>0.21449699999999999</v>
      </c>
      <c r="R122" s="4">
        <f t="shared" si="8"/>
        <v>0.21895199999999998</v>
      </c>
      <c r="S122" s="4">
        <f t="shared" si="8"/>
        <v>0.25191900000000006</v>
      </c>
    </row>
    <row r="123" spans="9:19" x14ac:dyDescent="0.25">
      <c r="I123">
        <v>63</v>
      </c>
      <c r="J123" s="4">
        <f t="shared" si="8"/>
        <v>0.26572949999999995</v>
      </c>
      <c r="K123" s="4">
        <f t="shared" si="8"/>
        <v>0.24790949999999998</v>
      </c>
      <c r="L123" s="4">
        <f t="shared" si="8"/>
        <v>0.23008950000000003</v>
      </c>
      <c r="M123" s="4">
        <f t="shared" si="8"/>
        <v>0.21895199999999998</v>
      </c>
      <c r="N123" s="4">
        <f t="shared" si="8"/>
        <v>0.23454450000000002</v>
      </c>
      <c r="O123" s="4">
        <f t="shared" si="8"/>
        <v>0.23677200000000004</v>
      </c>
      <c r="P123" s="4">
        <f t="shared" si="8"/>
        <v>0.18999449999999996</v>
      </c>
      <c r="Q123" s="4">
        <f t="shared" si="8"/>
        <v>0.1855395</v>
      </c>
      <c r="R123" s="4">
        <f t="shared" si="8"/>
        <v>0.17885699999999999</v>
      </c>
      <c r="S123" s="4">
        <f t="shared" si="8"/>
        <v>0.21271500000000004</v>
      </c>
    </row>
    <row r="124" spans="9:19" x14ac:dyDescent="0.25">
      <c r="I124">
        <v>64</v>
      </c>
      <c r="J124" s="4">
        <f t="shared" ref="J124:S124" si="9">IF(J96&lt;0,"",J96/100)</f>
        <v>0.27463949999999998</v>
      </c>
      <c r="K124" s="4">
        <f t="shared" si="9"/>
        <v>0.25681949999999998</v>
      </c>
      <c r="L124" s="4">
        <f t="shared" si="9"/>
        <v>0.22340700000000002</v>
      </c>
      <c r="M124" s="4">
        <f t="shared" si="9"/>
        <v>0.23677200000000004</v>
      </c>
      <c r="N124" s="4">
        <f t="shared" si="9"/>
        <v>0.267957</v>
      </c>
      <c r="O124" s="4">
        <f t="shared" si="9"/>
        <v>0.24568199999999998</v>
      </c>
      <c r="P124" s="4">
        <f t="shared" si="9"/>
        <v>0.22563449999999999</v>
      </c>
      <c r="Q124" s="4">
        <f t="shared" si="9"/>
        <v>0.18776700000000002</v>
      </c>
      <c r="R124" s="4">
        <f t="shared" si="9"/>
        <v>0.17217450000000001</v>
      </c>
      <c r="S124" s="4">
        <f t="shared" si="9"/>
        <v>0.18821250000000003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16EB-B620-43C9-A78A-FC8B1CB2B2AF}">
  <dimension ref="A1:T124"/>
  <sheetViews>
    <sheetView topLeftCell="G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10212</v>
      </c>
      <c r="F1">
        <v>0</v>
      </c>
      <c r="G1">
        <v>10</v>
      </c>
      <c r="H1">
        <v>1820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6</v>
      </c>
      <c r="G18">
        <v>22</v>
      </c>
      <c r="H18">
        <v>6</v>
      </c>
      <c r="I18">
        <v>50</v>
      </c>
      <c r="J18">
        <v>1.1100000000000001</v>
      </c>
      <c r="K18">
        <v>1.19</v>
      </c>
      <c r="L18">
        <v>1.32</v>
      </c>
      <c r="M18">
        <v>1.48</v>
      </c>
      <c r="N18">
        <v>1.41</v>
      </c>
      <c r="O18">
        <v>1.44</v>
      </c>
      <c r="P18">
        <v>1.51</v>
      </c>
      <c r="Q18">
        <v>1.41</v>
      </c>
      <c r="R18">
        <v>1.29</v>
      </c>
      <c r="S18">
        <v>1.2</v>
      </c>
      <c r="T18">
        <v>3722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6</v>
      </c>
      <c r="G19">
        <v>22</v>
      </c>
      <c r="H19">
        <v>7</v>
      </c>
      <c r="I19">
        <v>2</v>
      </c>
      <c r="J19">
        <v>1.39</v>
      </c>
      <c r="K19">
        <v>1.39</v>
      </c>
      <c r="L19">
        <v>1.2</v>
      </c>
      <c r="M19">
        <v>1.19</v>
      </c>
      <c r="N19">
        <v>1.19</v>
      </c>
      <c r="O19">
        <v>1.22</v>
      </c>
      <c r="P19">
        <v>1.19</v>
      </c>
      <c r="Q19">
        <v>1.36</v>
      </c>
      <c r="R19">
        <v>1.1100000000000001</v>
      </c>
      <c r="S19">
        <v>0.94</v>
      </c>
      <c r="T19">
        <v>3736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6</v>
      </c>
      <c r="G20">
        <v>22</v>
      </c>
      <c r="H20">
        <v>7</v>
      </c>
      <c r="I20">
        <v>6</v>
      </c>
      <c r="J20">
        <v>1.28</v>
      </c>
      <c r="K20">
        <v>1.22</v>
      </c>
      <c r="L20">
        <v>1.28</v>
      </c>
      <c r="M20">
        <v>1.4</v>
      </c>
      <c r="N20">
        <v>1.48</v>
      </c>
      <c r="O20">
        <v>1.48</v>
      </c>
      <c r="P20">
        <v>1.39</v>
      </c>
      <c r="Q20">
        <v>1.26</v>
      </c>
      <c r="R20">
        <v>1.1499999999999999</v>
      </c>
      <c r="S20">
        <v>1.05</v>
      </c>
      <c r="T20">
        <v>3739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6</v>
      </c>
      <c r="G21">
        <v>22</v>
      </c>
      <c r="H21">
        <v>7</v>
      </c>
      <c r="I21">
        <v>10</v>
      </c>
      <c r="J21">
        <v>1.47</v>
      </c>
      <c r="K21">
        <v>1.45</v>
      </c>
      <c r="L21">
        <v>1.49</v>
      </c>
      <c r="M21">
        <v>1.47</v>
      </c>
      <c r="N21">
        <v>1.33</v>
      </c>
      <c r="O21">
        <v>1.34</v>
      </c>
      <c r="P21">
        <v>1.49</v>
      </c>
      <c r="Q21">
        <v>1.41</v>
      </c>
      <c r="R21">
        <v>1.21</v>
      </c>
      <c r="S21">
        <v>1.07</v>
      </c>
      <c r="T21">
        <v>3735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6</v>
      </c>
      <c r="G22">
        <v>22</v>
      </c>
      <c r="H22">
        <v>7</v>
      </c>
      <c r="I22">
        <v>15</v>
      </c>
      <c r="J22">
        <v>1.08</v>
      </c>
      <c r="K22">
        <v>0.93</v>
      </c>
      <c r="L22">
        <v>0.9</v>
      </c>
      <c r="M22">
        <v>0.89</v>
      </c>
      <c r="N22">
        <v>0.87</v>
      </c>
      <c r="O22">
        <v>0.85</v>
      </c>
      <c r="P22">
        <v>0.85</v>
      </c>
      <c r="Q22">
        <v>0.87</v>
      </c>
      <c r="R22">
        <v>1</v>
      </c>
      <c r="S22">
        <v>1.03</v>
      </c>
      <c r="T22">
        <v>3752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6</v>
      </c>
      <c r="G23">
        <v>22</v>
      </c>
      <c r="H23">
        <v>7</v>
      </c>
      <c r="I23">
        <v>11</v>
      </c>
      <c r="J23">
        <v>1.39</v>
      </c>
      <c r="K23">
        <v>1.35</v>
      </c>
      <c r="L23">
        <v>1.48</v>
      </c>
      <c r="M23">
        <v>1.5</v>
      </c>
      <c r="N23">
        <v>1.38</v>
      </c>
      <c r="O23">
        <v>1.1100000000000001</v>
      </c>
      <c r="P23">
        <v>1.1000000000000001</v>
      </c>
      <c r="Q23">
        <v>1.18</v>
      </c>
      <c r="R23">
        <v>1.1000000000000001</v>
      </c>
      <c r="S23">
        <v>1</v>
      </c>
      <c r="T23">
        <v>3717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6</v>
      </c>
      <c r="G24">
        <v>22</v>
      </c>
      <c r="H24">
        <v>7</v>
      </c>
      <c r="I24">
        <v>24</v>
      </c>
      <c r="J24">
        <v>1.46</v>
      </c>
      <c r="K24">
        <v>1.39</v>
      </c>
      <c r="L24">
        <v>1.39</v>
      </c>
      <c r="M24">
        <v>1.45</v>
      </c>
      <c r="N24">
        <v>1.38</v>
      </c>
      <c r="O24">
        <v>1.18</v>
      </c>
      <c r="P24">
        <v>1.06</v>
      </c>
      <c r="Q24">
        <v>1.27</v>
      </c>
      <c r="R24">
        <v>1.17</v>
      </c>
      <c r="S24">
        <v>1.06</v>
      </c>
      <c r="T24">
        <v>3758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6</v>
      </c>
      <c r="G25">
        <v>22</v>
      </c>
      <c r="H25">
        <v>7</v>
      </c>
      <c r="I25">
        <v>20</v>
      </c>
      <c r="J25">
        <v>1.49</v>
      </c>
      <c r="K25">
        <v>1.37</v>
      </c>
      <c r="L25">
        <v>1.44</v>
      </c>
      <c r="M25">
        <v>1.41</v>
      </c>
      <c r="N25">
        <v>1.46</v>
      </c>
      <c r="O25">
        <v>1.45</v>
      </c>
      <c r="P25">
        <v>1.28</v>
      </c>
      <c r="Q25">
        <v>1.34</v>
      </c>
      <c r="R25">
        <v>1.1399999999999999</v>
      </c>
      <c r="S25">
        <v>1.0900000000000001</v>
      </c>
      <c r="T25">
        <v>3745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6</v>
      </c>
      <c r="G26">
        <v>22</v>
      </c>
      <c r="H26">
        <v>7</v>
      </c>
      <c r="I26">
        <v>34</v>
      </c>
      <c r="J26">
        <v>1.57</v>
      </c>
      <c r="K26">
        <v>1.45</v>
      </c>
      <c r="L26">
        <v>1.45</v>
      </c>
      <c r="M26">
        <v>1.5</v>
      </c>
      <c r="N26">
        <v>1.5</v>
      </c>
      <c r="O26">
        <v>1.34</v>
      </c>
      <c r="P26">
        <v>1.1499999999999999</v>
      </c>
      <c r="Q26">
        <v>1.0900000000000001</v>
      </c>
      <c r="R26">
        <v>1.02</v>
      </c>
      <c r="S26">
        <v>0.91</v>
      </c>
      <c r="T26">
        <v>3736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6</v>
      </c>
      <c r="G27">
        <v>22</v>
      </c>
      <c r="H27">
        <v>7</v>
      </c>
      <c r="I27">
        <v>31</v>
      </c>
      <c r="J27">
        <v>1.21</v>
      </c>
      <c r="K27">
        <v>1.1299999999999999</v>
      </c>
      <c r="L27">
        <v>1.03</v>
      </c>
      <c r="M27">
        <v>0.96</v>
      </c>
      <c r="N27">
        <v>0.96</v>
      </c>
      <c r="O27">
        <v>0.95</v>
      </c>
      <c r="P27">
        <v>1.01</v>
      </c>
      <c r="Q27">
        <v>1.21</v>
      </c>
      <c r="R27">
        <v>1.1599999999999999</v>
      </c>
      <c r="S27">
        <v>1.1000000000000001</v>
      </c>
      <c r="T27">
        <v>3723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6</v>
      </c>
      <c r="G28">
        <v>22</v>
      </c>
      <c r="H28">
        <v>7</v>
      </c>
      <c r="I28">
        <v>43</v>
      </c>
      <c r="J28">
        <v>1.17</v>
      </c>
      <c r="K28">
        <v>1.17</v>
      </c>
      <c r="L28">
        <v>1.36</v>
      </c>
      <c r="M28">
        <v>1.44</v>
      </c>
      <c r="N28">
        <v>1.37</v>
      </c>
      <c r="O28">
        <v>1.31</v>
      </c>
      <c r="P28">
        <v>1.32</v>
      </c>
      <c r="Q28">
        <v>1.26</v>
      </c>
      <c r="R28">
        <v>1.1599999999999999</v>
      </c>
      <c r="S28">
        <v>0.97</v>
      </c>
      <c r="T28">
        <v>3743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6</v>
      </c>
      <c r="G29">
        <v>22</v>
      </c>
      <c r="H29">
        <v>7</v>
      </c>
      <c r="I29">
        <v>47</v>
      </c>
      <c r="J29">
        <v>1.02</v>
      </c>
      <c r="K29">
        <v>1.1000000000000001</v>
      </c>
      <c r="L29">
        <v>1.3</v>
      </c>
      <c r="M29">
        <v>1.4</v>
      </c>
      <c r="N29">
        <v>1.43</v>
      </c>
      <c r="O29">
        <v>1.45</v>
      </c>
      <c r="P29">
        <v>1.48</v>
      </c>
      <c r="Q29">
        <v>1.38</v>
      </c>
      <c r="R29">
        <v>1.0900000000000001</v>
      </c>
      <c r="S29">
        <v>0.97</v>
      </c>
      <c r="T29">
        <v>3737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6</v>
      </c>
      <c r="G30">
        <v>22</v>
      </c>
      <c r="H30">
        <v>7</v>
      </c>
      <c r="I30">
        <v>52</v>
      </c>
      <c r="J30">
        <v>1.1200000000000001</v>
      </c>
      <c r="K30">
        <v>1.19</v>
      </c>
      <c r="L30">
        <v>1.48</v>
      </c>
      <c r="M30">
        <v>1.46</v>
      </c>
      <c r="N30">
        <v>1.5</v>
      </c>
      <c r="O30">
        <v>1.41</v>
      </c>
      <c r="P30">
        <v>1.46</v>
      </c>
      <c r="Q30">
        <v>1.23</v>
      </c>
      <c r="R30">
        <v>0.97</v>
      </c>
      <c r="S30">
        <v>0.93</v>
      </c>
      <c r="T30">
        <v>3745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6</v>
      </c>
      <c r="G31">
        <v>22</v>
      </c>
      <c r="H31">
        <v>7</v>
      </c>
      <c r="I31">
        <v>56</v>
      </c>
      <c r="J31">
        <v>1.38</v>
      </c>
      <c r="K31">
        <v>1.36</v>
      </c>
      <c r="L31">
        <v>1.42</v>
      </c>
      <c r="M31">
        <v>1.24</v>
      </c>
      <c r="N31">
        <v>1.3</v>
      </c>
      <c r="O31">
        <v>1.31</v>
      </c>
      <c r="P31">
        <v>1.35</v>
      </c>
      <c r="Q31">
        <v>1.24</v>
      </c>
      <c r="R31">
        <v>1.08</v>
      </c>
      <c r="S31">
        <v>1.04</v>
      </c>
      <c r="T31">
        <v>3725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6</v>
      </c>
      <c r="G32">
        <v>22</v>
      </c>
      <c r="H32">
        <v>8</v>
      </c>
      <c r="I32">
        <v>1</v>
      </c>
      <c r="J32">
        <v>1.31</v>
      </c>
      <c r="K32">
        <v>1.29</v>
      </c>
      <c r="L32">
        <v>1.42</v>
      </c>
      <c r="M32">
        <v>1.4</v>
      </c>
      <c r="N32">
        <v>1.51</v>
      </c>
      <c r="O32">
        <v>1.33</v>
      </c>
      <c r="P32">
        <v>1.21</v>
      </c>
      <c r="Q32">
        <v>1.1599999999999999</v>
      </c>
      <c r="R32">
        <v>1.07</v>
      </c>
      <c r="S32">
        <v>0.97</v>
      </c>
      <c r="T32">
        <v>3717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6</v>
      </c>
      <c r="G33">
        <v>22</v>
      </c>
      <c r="H33">
        <v>8</v>
      </c>
      <c r="I33">
        <v>5</v>
      </c>
      <c r="J33">
        <v>1.29</v>
      </c>
      <c r="K33">
        <v>1.38</v>
      </c>
      <c r="L33">
        <v>1.59</v>
      </c>
      <c r="M33">
        <v>1.51</v>
      </c>
      <c r="N33">
        <v>1.52</v>
      </c>
      <c r="O33">
        <v>1.55</v>
      </c>
      <c r="P33">
        <v>1.27</v>
      </c>
      <c r="Q33">
        <v>1.24</v>
      </c>
      <c r="R33">
        <v>1.1299999999999999</v>
      </c>
      <c r="S33">
        <v>1.1000000000000001</v>
      </c>
      <c r="T33">
        <v>3689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6</v>
      </c>
      <c r="G34">
        <v>22</v>
      </c>
      <c r="H34">
        <v>8</v>
      </c>
      <c r="I34">
        <v>11</v>
      </c>
      <c r="J34">
        <v>1.52</v>
      </c>
      <c r="K34">
        <v>1.51</v>
      </c>
      <c r="L34">
        <v>1.51</v>
      </c>
      <c r="M34">
        <v>1.51</v>
      </c>
      <c r="N34">
        <v>1.43</v>
      </c>
      <c r="O34">
        <v>1.4</v>
      </c>
      <c r="P34">
        <v>1.3</v>
      </c>
      <c r="Q34">
        <v>1.27</v>
      </c>
      <c r="R34">
        <v>1.26</v>
      </c>
      <c r="S34">
        <v>1.24</v>
      </c>
      <c r="T34">
        <v>3677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6</v>
      </c>
      <c r="G35">
        <v>22</v>
      </c>
      <c r="H35">
        <v>8</v>
      </c>
      <c r="I35">
        <v>16</v>
      </c>
      <c r="J35">
        <v>1.47</v>
      </c>
      <c r="K35">
        <v>1.42</v>
      </c>
      <c r="L35">
        <v>1.55</v>
      </c>
      <c r="M35">
        <v>1.58</v>
      </c>
      <c r="N35">
        <v>1.63</v>
      </c>
      <c r="O35">
        <v>1.6</v>
      </c>
      <c r="P35">
        <v>1.48</v>
      </c>
      <c r="Q35">
        <v>1.32</v>
      </c>
      <c r="R35">
        <v>1.22</v>
      </c>
      <c r="S35">
        <v>1.19</v>
      </c>
      <c r="T35">
        <v>3705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6</v>
      </c>
      <c r="G36">
        <v>22</v>
      </c>
      <c r="H36">
        <v>8</v>
      </c>
      <c r="I36">
        <v>20</v>
      </c>
      <c r="J36">
        <v>1.42</v>
      </c>
      <c r="K36">
        <v>1.4</v>
      </c>
      <c r="L36">
        <v>1.49</v>
      </c>
      <c r="M36">
        <v>1.57</v>
      </c>
      <c r="N36">
        <v>1.54</v>
      </c>
      <c r="O36">
        <v>1.49</v>
      </c>
      <c r="P36">
        <v>1.41</v>
      </c>
      <c r="Q36">
        <v>1.1200000000000001</v>
      </c>
      <c r="R36">
        <v>0.95</v>
      </c>
      <c r="S36">
        <v>0.85</v>
      </c>
      <c r="T36">
        <v>3703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6</v>
      </c>
      <c r="G37">
        <v>22</v>
      </c>
      <c r="H37">
        <v>8</v>
      </c>
      <c r="I37">
        <v>24</v>
      </c>
      <c r="J37">
        <v>1.39</v>
      </c>
      <c r="K37">
        <v>1.39</v>
      </c>
      <c r="L37">
        <v>1.39</v>
      </c>
      <c r="M37">
        <v>1.52</v>
      </c>
      <c r="N37">
        <v>1.58</v>
      </c>
      <c r="O37">
        <v>1.55</v>
      </c>
      <c r="P37">
        <v>1.49</v>
      </c>
      <c r="Q37">
        <v>1.34</v>
      </c>
      <c r="R37">
        <v>1.06</v>
      </c>
      <c r="S37">
        <v>1.1299999999999999</v>
      </c>
      <c r="T37">
        <v>3712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6</v>
      </c>
      <c r="G38">
        <v>22</v>
      </c>
      <c r="H38">
        <v>8</v>
      </c>
      <c r="I38">
        <v>20</v>
      </c>
      <c r="J38">
        <v>1.52</v>
      </c>
      <c r="K38">
        <v>1.46</v>
      </c>
      <c r="L38">
        <v>1.3</v>
      </c>
      <c r="M38">
        <v>1.37</v>
      </c>
      <c r="N38">
        <v>1.44</v>
      </c>
      <c r="O38">
        <v>1.43</v>
      </c>
      <c r="P38">
        <v>1.29</v>
      </c>
      <c r="Q38">
        <v>1.07</v>
      </c>
      <c r="R38">
        <v>0.96</v>
      </c>
      <c r="S38">
        <v>0.92</v>
      </c>
      <c r="T38">
        <v>3698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6</v>
      </c>
      <c r="G39">
        <v>22</v>
      </c>
      <c r="H39">
        <v>8</v>
      </c>
      <c r="I39">
        <v>32</v>
      </c>
      <c r="J39">
        <v>1.48</v>
      </c>
      <c r="K39">
        <v>1.37</v>
      </c>
      <c r="L39">
        <v>1.33</v>
      </c>
      <c r="M39">
        <v>1.25</v>
      </c>
      <c r="N39">
        <v>1.31</v>
      </c>
      <c r="O39">
        <v>1.35</v>
      </c>
      <c r="P39">
        <v>1.1299999999999999</v>
      </c>
      <c r="Q39">
        <v>1.08</v>
      </c>
      <c r="R39">
        <v>1.02</v>
      </c>
      <c r="S39">
        <v>0.96</v>
      </c>
      <c r="T39">
        <v>3686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6</v>
      </c>
      <c r="G40">
        <v>22</v>
      </c>
      <c r="H40">
        <v>8</v>
      </c>
      <c r="I40">
        <v>36</v>
      </c>
      <c r="J40">
        <v>1.38</v>
      </c>
      <c r="K40">
        <v>1.43</v>
      </c>
      <c r="L40">
        <v>1.5</v>
      </c>
      <c r="M40">
        <v>1.25</v>
      </c>
      <c r="N40">
        <v>1.36</v>
      </c>
      <c r="O40">
        <v>1.48</v>
      </c>
      <c r="P40">
        <v>1.27</v>
      </c>
      <c r="Q40">
        <v>1.19</v>
      </c>
      <c r="R40">
        <v>1.0900000000000001</v>
      </c>
      <c r="S40">
        <v>1.0900000000000001</v>
      </c>
      <c r="T40">
        <v>3700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6</v>
      </c>
      <c r="G41">
        <v>22</v>
      </c>
      <c r="H41">
        <v>8</v>
      </c>
      <c r="I41">
        <v>40</v>
      </c>
      <c r="J41">
        <v>1.26</v>
      </c>
      <c r="K41">
        <v>1.07</v>
      </c>
      <c r="L41">
        <v>1.1399999999999999</v>
      </c>
      <c r="M41">
        <v>1.3</v>
      </c>
      <c r="N41">
        <v>1.35</v>
      </c>
      <c r="O41">
        <v>1.18</v>
      </c>
      <c r="P41">
        <v>1.21</v>
      </c>
      <c r="Q41">
        <v>1.23</v>
      </c>
      <c r="R41">
        <v>1.1299999999999999</v>
      </c>
      <c r="S41">
        <v>1.06</v>
      </c>
      <c r="T41">
        <v>3662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6</v>
      </c>
      <c r="G45">
        <v>22</v>
      </c>
      <c r="H45">
        <v>6</v>
      </c>
      <c r="I45">
        <v>50</v>
      </c>
      <c r="J45">
        <v>1.1100000000000001</v>
      </c>
      <c r="K45">
        <v>1.19</v>
      </c>
      <c r="L45">
        <v>1.32</v>
      </c>
      <c r="M45">
        <v>1.48</v>
      </c>
      <c r="N45">
        <v>1.41</v>
      </c>
      <c r="O45">
        <v>1.44</v>
      </c>
      <c r="P45">
        <v>1.51</v>
      </c>
      <c r="Q45">
        <v>1.41</v>
      </c>
      <c r="R45">
        <v>1.29</v>
      </c>
      <c r="S45">
        <v>1.2</v>
      </c>
      <c r="T45">
        <v>3722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6</v>
      </c>
      <c r="G46">
        <v>22</v>
      </c>
      <c r="H46">
        <v>7</v>
      </c>
      <c r="I46">
        <v>2</v>
      </c>
      <c r="J46">
        <v>1.39</v>
      </c>
      <c r="K46">
        <v>1.39</v>
      </c>
      <c r="L46">
        <v>1.2</v>
      </c>
      <c r="M46">
        <v>1.19</v>
      </c>
      <c r="N46">
        <v>1.19</v>
      </c>
      <c r="O46">
        <v>1.22</v>
      </c>
      <c r="P46">
        <v>1.19</v>
      </c>
      <c r="Q46">
        <v>1.36</v>
      </c>
      <c r="R46">
        <v>1.1100000000000001</v>
      </c>
      <c r="S46">
        <v>0.94</v>
      </c>
      <c r="T46">
        <v>3736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6</v>
      </c>
      <c r="G47">
        <v>22</v>
      </c>
      <c r="H47">
        <v>7</v>
      </c>
      <c r="I47">
        <v>6</v>
      </c>
      <c r="J47">
        <v>1.28</v>
      </c>
      <c r="K47">
        <v>1.22</v>
      </c>
      <c r="L47">
        <v>1.28</v>
      </c>
      <c r="M47">
        <v>1.4</v>
      </c>
      <c r="N47">
        <v>1.48</v>
      </c>
      <c r="O47">
        <v>1.48</v>
      </c>
      <c r="P47">
        <v>1.39</v>
      </c>
      <c r="Q47">
        <v>1.26</v>
      </c>
      <c r="R47">
        <v>1.1499999999999999</v>
      </c>
      <c r="S47">
        <v>1.05</v>
      </c>
      <c r="T47">
        <v>3739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6</v>
      </c>
      <c r="G48">
        <v>22</v>
      </c>
      <c r="H48">
        <v>7</v>
      </c>
      <c r="I48">
        <v>10</v>
      </c>
      <c r="J48">
        <v>1.47</v>
      </c>
      <c r="K48">
        <v>1.45</v>
      </c>
      <c r="L48">
        <v>1.49</v>
      </c>
      <c r="M48">
        <v>1.47</v>
      </c>
      <c r="N48">
        <v>1.33</v>
      </c>
      <c r="O48">
        <v>1.34</v>
      </c>
      <c r="P48">
        <v>1.49</v>
      </c>
      <c r="Q48">
        <v>1.41</v>
      </c>
      <c r="R48">
        <v>1.21</v>
      </c>
      <c r="S48">
        <v>1.07</v>
      </c>
      <c r="T48">
        <v>3735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6</v>
      </c>
      <c r="G49">
        <v>22</v>
      </c>
      <c r="H49">
        <v>7</v>
      </c>
      <c r="I49">
        <v>20</v>
      </c>
      <c r="J49">
        <v>1.49</v>
      </c>
      <c r="K49">
        <v>1.37</v>
      </c>
      <c r="L49">
        <v>1.44</v>
      </c>
      <c r="M49">
        <v>1.41</v>
      </c>
      <c r="N49">
        <v>1.46</v>
      </c>
      <c r="O49">
        <v>1.45</v>
      </c>
      <c r="P49">
        <v>1.28</v>
      </c>
      <c r="Q49">
        <v>1.34</v>
      </c>
      <c r="R49">
        <v>1.1399999999999999</v>
      </c>
      <c r="S49">
        <v>1.0900000000000001</v>
      </c>
      <c r="T49">
        <v>3745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6</v>
      </c>
      <c r="G50">
        <v>22</v>
      </c>
      <c r="H50">
        <v>7</v>
      </c>
      <c r="I50">
        <v>24</v>
      </c>
      <c r="J50">
        <v>1.46</v>
      </c>
      <c r="K50">
        <v>1.39</v>
      </c>
      <c r="L50">
        <v>1.39</v>
      </c>
      <c r="M50">
        <v>1.45</v>
      </c>
      <c r="N50">
        <v>1.38</v>
      </c>
      <c r="O50">
        <v>1.18</v>
      </c>
      <c r="P50">
        <v>1.06</v>
      </c>
      <c r="Q50">
        <v>1.27</v>
      </c>
      <c r="R50">
        <v>1.17</v>
      </c>
      <c r="S50">
        <v>1.06</v>
      </c>
      <c r="T50">
        <v>3758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6</v>
      </c>
      <c r="G51">
        <v>22</v>
      </c>
      <c r="H51">
        <v>7</v>
      </c>
      <c r="I51">
        <v>11</v>
      </c>
      <c r="J51">
        <v>1.39</v>
      </c>
      <c r="K51">
        <v>1.35</v>
      </c>
      <c r="L51">
        <v>1.48</v>
      </c>
      <c r="M51">
        <v>1.5</v>
      </c>
      <c r="N51">
        <v>1.38</v>
      </c>
      <c r="O51">
        <v>1.1100000000000001</v>
      </c>
      <c r="P51">
        <v>1.1000000000000001</v>
      </c>
      <c r="Q51">
        <v>1.18</v>
      </c>
      <c r="R51">
        <v>1.1000000000000001</v>
      </c>
      <c r="S51">
        <v>1</v>
      </c>
      <c r="T51">
        <v>3717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6</v>
      </c>
      <c r="G52">
        <v>22</v>
      </c>
      <c r="H52">
        <v>7</v>
      </c>
      <c r="I52">
        <v>15</v>
      </c>
      <c r="J52">
        <v>1.08</v>
      </c>
      <c r="K52">
        <v>0.93</v>
      </c>
      <c r="L52">
        <v>0.9</v>
      </c>
      <c r="M52">
        <v>0.89</v>
      </c>
      <c r="N52">
        <v>0.87</v>
      </c>
      <c r="O52">
        <v>0.85</v>
      </c>
      <c r="P52">
        <v>0.85</v>
      </c>
      <c r="Q52">
        <v>0.87</v>
      </c>
      <c r="R52">
        <v>1</v>
      </c>
      <c r="S52">
        <v>1.03</v>
      </c>
      <c r="T52">
        <v>3752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6</v>
      </c>
      <c r="G53">
        <v>22</v>
      </c>
      <c r="H53">
        <v>7</v>
      </c>
      <c r="I53">
        <v>34</v>
      </c>
      <c r="J53">
        <v>1.57</v>
      </c>
      <c r="K53">
        <v>1.45</v>
      </c>
      <c r="L53">
        <v>1.45</v>
      </c>
      <c r="M53">
        <v>1.5</v>
      </c>
      <c r="N53">
        <v>1.5</v>
      </c>
      <c r="O53">
        <v>1.34</v>
      </c>
      <c r="P53">
        <v>1.1499999999999999</v>
      </c>
      <c r="Q53">
        <v>1.0900000000000001</v>
      </c>
      <c r="R53">
        <v>1.02</v>
      </c>
      <c r="S53">
        <v>0.91</v>
      </c>
      <c r="T53">
        <v>3736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6</v>
      </c>
      <c r="G54">
        <v>22</v>
      </c>
      <c r="H54">
        <v>7</v>
      </c>
      <c r="I54">
        <v>31</v>
      </c>
      <c r="J54">
        <v>1.21</v>
      </c>
      <c r="K54">
        <v>1.1299999999999999</v>
      </c>
      <c r="L54">
        <v>1.03</v>
      </c>
      <c r="M54">
        <v>0.96</v>
      </c>
      <c r="N54">
        <v>0.96</v>
      </c>
      <c r="O54">
        <v>0.95</v>
      </c>
      <c r="P54">
        <v>1.01</v>
      </c>
      <c r="Q54">
        <v>1.21</v>
      </c>
      <c r="R54">
        <v>1.1599999999999999</v>
      </c>
      <c r="S54">
        <v>1.1000000000000001</v>
      </c>
      <c r="T54">
        <v>3723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6</v>
      </c>
      <c r="G55">
        <v>22</v>
      </c>
      <c r="H55">
        <v>7</v>
      </c>
      <c r="I55">
        <v>43</v>
      </c>
      <c r="J55">
        <v>1.17</v>
      </c>
      <c r="K55">
        <v>1.17</v>
      </c>
      <c r="L55">
        <v>1.36</v>
      </c>
      <c r="M55">
        <v>1.44</v>
      </c>
      <c r="N55">
        <v>1.37</v>
      </c>
      <c r="O55">
        <v>1.31</v>
      </c>
      <c r="P55">
        <v>1.32</v>
      </c>
      <c r="Q55">
        <v>1.26</v>
      </c>
      <c r="R55">
        <v>1.1599999999999999</v>
      </c>
      <c r="S55">
        <v>0.97</v>
      </c>
      <c r="T55">
        <v>3743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6</v>
      </c>
      <c r="G56">
        <v>22</v>
      </c>
      <c r="H56">
        <v>7</v>
      </c>
      <c r="I56">
        <v>47</v>
      </c>
      <c r="J56">
        <v>1.02</v>
      </c>
      <c r="K56">
        <v>1.1000000000000001</v>
      </c>
      <c r="L56">
        <v>1.3</v>
      </c>
      <c r="M56">
        <v>1.4</v>
      </c>
      <c r="N56">
        <v>1.43</v>
      </c>
      <c r="O56">
        <v>1.45</v>
      </c>
      <c r="P56">
        <v>1.48</v>
      </c>
      <c r="Q56">
        <v>1.38</v>
      </c>
      <c r="R56">
        <v>1.0900000000000001</v>
      </c>
      <c r="S56">
        <v>0.97</v>
      </c>
      <c r="T56">
        <v>3737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6</v>
      </c>
      <c r="G57">
        <v>22</v>
      </c>
      <c r="H57">
        <v>8</v>
      </c>
      <c r="I57">
        <v>5</v>
      </c>
      <c r="J57">
        <v>1.29</v>
      </c>
      <c r="K57">
        <v>1.38</v>
      </c>
      <c r="L57">
        <v>1.59</v>
      </c>
      <c r="M57">
        <v>1.51</v>
      </c>
      <c r="N57">
        <v>1.52</v>
      </c>
      <c r="O57">
        <v>1.55</v>
      </c>
      <c r="P57">
        <v>1.27</v>
      </c>
      <c r="Q57">
        <v>1.24</v>
      </c>
      <c r="R57">
        <v>1.1299999999999999</v>
      </c>
      <c r="S57">
        <v>1.1000000000000001</v>
      </c>
      <c r="T57">
        <v>3689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6</v>
      </c>
      <c r="G58">
        <v>22</v>
      </c>
      <c r="H58">
        <v>8</v>
      </c>
      <c r="I58">
        <v>1</v>
      </c>
      <c r="J58">
        <v>1.31</v>
      </c>
      <c r="K58">
        <v>1.29</v>
      </c>
      <c r="L58">
        <v>1.42</v>
      </c>
      <c r="M58">
        <v>1.4</v>
      </c>
      <c r="N58">
        <v>1.51</v>
      </c>
      <c r="O58">
        <v>1.33</v>
      </c>
      <c r="P58">
        <v>1.21</v>
      </c>
      <c r="Q58">
        <v>1.1599999999999999</v>
      </c>
      <c r="R58">
        <v>1.07</v>
      </c>
      <c r="S58">
        <v>0.97</v>
      </c>
      <c r="T58">
        <v>3717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6</v>
      </c>
      <c r="G59">
        <v>22</v>
      </c>
      <c r="H59">
        <v>7</v>
      </c>
      <c r="I59">
        <v>56</v>
      </c>
      <c r="J59">
        <v>1.38</v>
      </c>
      <c r="K59">
        <v>1.36</v>
      </c>
      <c r="L59">
        <v>1.42</v>
      </c>
      <c r="M59">
        <v>1.24</v>
      </c>
      <c r="N59">
        <v>1.3</v>
      </c>
      <c r="O59">
        <v>1.31</v>
      </c>
      <c r="P59">
        <v>1.35</v>
      </c>
      <c r="Q59">
        <v>1.24</v>
      </c>
      <c r="R59">
        <v>1.08</v>
      </c>
      <c r="S59">
        <v>1.04</v>
      </c>
      <c r="T59">
        <v>3725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6</v>
      </c>
      <c r="G60">
        <v>22</v>
      </c>
      <c r="H60">
        <v>7</v>
      </c>
      <c r="I60">
        <v>52</v>
      </c>
      <c r="J60">
        <v>1.1200000000000001</v>
      </c>
      <c r="K60">
        <v>1.19</v>
      </c>
      <c r="L60">
        <v>1.48</v>
      </c>
      <c r="M60">
        <v>1.46</v>
      </c>
      <c r="N60">
        <v>1.5</v>
      </c>
      <c r="O60">
        <v>1.41</v>
      </c>
      <c r="P60">
        <v>1.46</v>
      </c>
      <c r="Q60">
        <v>1.23</v>
      </c>
      <c r="R60">
        <v>0.97</v>
      </c>
      <c r="S60">
        <v>0.93</v>
      </c>
      <c r="T60">
        <v>3745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6</v>
      </c>
      <c r="G61">
        <v>22</v>
      </c>
      <c r="H61">
        <v>8</v>
      </c>
      <c r="I61">
        <v>11</v>
      </c>
      <c r="J61">
        <v>1.52</v>
      </c>
      <c r="K61">
        <v>1.51</v>
      </c>
      <c r="L61">
        <v>1.51</v>
      </c>
      <c r="M61">
        <v>1.51</v>
      </c>
      <c r="N61">
        <v>1.43</v>
      </c>
      <c r="O61">
        <v>1.4</v>
      </c>
      <c r="P61">
        <v>1.3</v>
      </c>
      <c r="Q61">
        <v>1.27</v>
      </c>
      <c r="R61">
        <v>1.26</v>
      </c>
      <c r="S61">
        <v>1.24</v>
      </c>
      <c r="T61">
        <v>3677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6</v>
      </c>
      <c r="G62">
        <v>22</v>
      </c>
      <c r="H62">
        <v>8</v>
      </c>
      <c r="I62">
        <v>16</v>
      </c>
      <c r="J62">
        <v>1.47</v>
      </c>
      <c r="K62">
        <v>1.42</v>
      </c>
      <c r="L62">
        <v>1.55</v>
      </c>
      <c r="M62">
        <v>1.58</v>
      </c>
      <c r="N62">
        <v>1.63</v>
      </c>
      <c r="O62">
        <v>1.6</v>
      </c>
      <c r="P62">
        <v>1.48</v>
      </c>
      <c r="Q62">
        <v>1.32</v>
      </c>
      <c r="R62">
        <v>1.22</v>
      </c>
      <c r="S62">
        <v>1.19</v>
      </c>
      <c r="T62">
        <v>3705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6</v>
      </c>
      <c r="G63">
        <v>22</v>
      </c>
      <c r="H63">
        <v>8</v>
      </c>
      <c r="I63">
        <v>20</v>
      </c>
      <c r="J63">
        <v>1.42</v>
      </c>
      <c r="K63">
        <v>1.4</v>
      </c>
      <c r="L63">
        <v>1.49</v>
      </c>
      <c r="M63">
        <v>1.57</v>
      </c>
      <c r="N63">
        <v>1.54</v>
      </c>
      <c r="O63">
        <v>1.49</v>
      </c>
      <c r="P63">
        <v>1.41</v>
      </c>
      <c r="Q63">
        <v>1.1200000000000001</v>
      </c>
      <c r="R63">
        <v>0.95</v>
      </c>
      <c r="S63">
        <v>0.85</v>
      </c>
      <c r="T63">
        <v>3703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6</v>
      </c>
      <c r="G64">
        <v>22</v>
      </c>
      <c r="H64">
        <v>8</v>
      </c>
      <c r="I64">
        <v>24</v>
      </c>
      <c r="J64">
        <v>1.39</v>
      </c>
      <c r="K64">
        <v>1.39</v>
      </c>
      <c r="L64">
        <v>1.39</v>
      </c>
      <c r="M64">
        <v>1.52</v>
      </c>
      <c r="N64">
        <v>1.58</v>
      </c>
      <c r="O64">
        <v>1.55</v>
      </c>
      <c r="P64">
        <v>1.49</v>
      </c>
      <c r="Q64">
        <v>1.34</v>
      </c>
      <c r="R64">
        <v>1.06</v>
      </c>
      <c r="S64">
        <v>1.1299999999999999</v>
      </c>
      <c r="T64">
        <v>3712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6</v>
      </c>
      <c r="G65">
        <v>22</v>
      </c>
      <c r="H65">
        <v>8</v>
      </c>
      <c r="I65">
        <v>40</v>
      </c>
      <c r="J65">
        <v>1.26</v>
      </c>
      <c r="K65">
        <v>1.07</v>
      </c>
      <c r="L65">
        <v>1.1399999999999999</v>
      </c>
      <c r="M65">
        <v>1.3</v>
      </c>
      <c r="N65">
        <v>1.35</v>
      </c>
      <c r="O65">
        <v>1.18</v>
      </c>
      <c r="P65">
        <v>1.21</v>
      </c>
      <c r="Q65">
        <v>1.23</v>
      </c>
      <c r="R65">
        <v>1.1299999999999999</v>
      </c>
      <c r="S65">
        <v>1.06</v>
      </c>
      <c r="T65">
        <v>3662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6</v>
      </c>
      <c r="G66">
        <v>22</v>
      </c>
      <c r="H66">
        <v>8</v>
      </c>
      <c r="I66">
        <v>36</v>
      </c>
      <c r="J66">
        <v>1.38</v>
      </c>
      <c r="K66">
        <v>1.43</v>
      </c>
      <c r="L66">
        <v>1.5</v>
      </c>
      <c r="M66">
        <v>1.25</v>
      </c>
      <c r="N66">
        <v>1.36</v>
      </c>
      <c r="O66">
        <v>1.48</v>
      </c>
      <c r="P66">
        <v>1.27</v>
      </c>
      <c r="Q66">
        <v>1.19</v>
      </c>
      <c r="R66">
        <v>1.0900000000000001</v>
      </c>
      <c r="S66">
        <v>1.0900000000000001</v>
      </c>
      <c r="T66">
        <v>3700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6</v>
      </c>
      <c r="G67">
        <v>22</v>
      </c>
      <c r="H67">
        <v>8</v>
      </c>
      <c r="I67">
        <v>32</v>
      </c>
      <c r="J67">
        <v>1.48</v>
      </c>
      <c r="K67">
        <v>1.37</v>
      </c>
      <c r="L67">
        <v>1.33</v>
      </c>
      <c r="M67">
        <v>1.25</v>
      </c>
      <c r="N67">
        <v>1.31</v>
      </c>
      <c r="O67">
        <v>1.35</v>
      </c>
      <c r="P67">
        <v>1.1299999999999999</v>
      </c>
      <c r="Q67">
        <v>1.08</v>
      </c>
      <c r="R67">
        <v>1.02</v>
      </c>
      <c r="S67">
        <v>0.96</v>
      </c>
      <c r="T67">
        <v>3686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6</v>
      </c>
      <c r="G68">
        <v>22</v>
      </c>
      <c r="H68">
        <v>8</v>
      </c>
      <c r="I68">
        <v>20</v>
      </c>
      <c r="J68">
        <v>1.52</v>
      </c>
      <c r="K68">
        <v>1.46</v>
      </c>
      <c r="L68">
        <v>1.3</v>
      </c>
      <c r="M68">
        <v>1.37</v>
      </c>
      <c r="N68">
        <v>1.44</v>
      </c>
      <c r="O68">
        <v>1.43</v>
      </c>
      <c r="P68">
        <v>1.29</v>
      </c>
      <c r="Q68">
        <v>1.07</v>
      </c>
      <c r="R68">
        <v>0.96</v>
      </c>
      <c r="S68">
        <v>0.92</v>
      </c>
      <c r="T68">
        <v>3698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18.55395</v>
      </c>
      <c r="K73">
        <f t="shared" ref="K73:R73" si="0">22.275*K45-6.1713</f>
        <v>20.335949999999997</v>
      </c>
      <c r="L73">
        <f t="shared" si="0"/>
        <v>23.2317</v>
      </c>
      <c r="M73">
        <f t="shared" si="0"/>
        <v>26.7957</v>
      </c>
      <c r="N73">
        <f t="shared" si="0"/>
        <v>25.236449999999998</v>
      </c>
      <c r="O73">
        <f t="shared" si="0"/>
        <v>25.904699999999995</v>
      </c>
      <c r="P73">
        <f t="shared" si="0"/>
        <v>27.463950000000001</v>
      </c>
      <c r="Q73">
        <f t="shared" si="0"/>
        <v>25.236449999999998</v>
      </c>
      <c r="R73">
        <f t="shared" si="0"/>
        <v>22.56345</v>
      </c>
      <c r="S73">
        <f>22.275*(S45*1.1)-6.1713</f>
        <v>23.2317</v>
      </c>
    </row>
    <row r="74" spans="1:20" x14ac:dyDescent="0.25">
      <c r="I74" t="s">
        <v>43</v>
      </c>
      <c r="J74">
        <f t="shared" ref="J74:R89" si="1">22.275*J46-6.1713</f>
        <v>24.790949999999999</v>
      </c>
      <c r="K74">
        <f t="shared" si="1"/>
        <v>24.790949999999999</v>
      </c>
      <c r="L74">
        <f t="shared" si="1"/>
        <v>20.558699999999998</v>
      </c>
      <c r="M74">
        <f t="shared" si="1"/>
        <v>20.335949999999997</v>
      </c>
      <c r="N74">
        <f t="shared" si="1"/>
        <v>20.335949999999997</v>
      </c>
      <c r="O74">
        <f t="shared" si="1"/>
        <v>21.004199999999997</v>
      </c>
      <c r="P74">
        <f t="shared" si="1"/>
        <v>20.335949999999997</v>
      </c>
      <c r="Q74">
        <f t="shared" si="1"/>
        <v>24.122700000000002</v>
      </c>
      <c r="R74">
        <f t="shared" si="1"/>
        <v>18.55395</v>
      </c>
      <c r="S74">
        <f t="shared" ref="S74:S91" si="2">22.275*(S46*1.1)-6.1713</f>
        <v>16.861049999999999</v>
      </c>
    </row>
    <row r="75" spans="1:20" x14ac:dyDescent="0.25">
      <c r="I75" t="s">
        <v>44</v>
      </c>
      <c r="J75">
        <f t="shared" si="1"/>
        <v>22.340700000000002</v>
      </c>
      <c r="K75">
        <f t="shared" si="1"/>
        <v>21.004199999999997</v>
      </c>
      <c r="L75">
        <f t="shared" si="1"/>
        <v>22.340700000000002</v>
      </c>
      <c r="M75">
        <f t="shared" si="1"/>
        <v>25.013699999999996</v>
      </c>
      <c r="N75">
        <f t="shared" si="1"/>
        <v>26.7957</v>
      </c>
      <c r="O75">
        <f t="shared" si="1"/>
        <v>26.7957</v>
      </c>
      <c r="P75">
        <f t="shared" si="1"/>
        <v>24.790949999999999</v>
      </c>
      <c r="Q75">
        <f t="shared" si="1"/>
        <v>21.895199999999999</v>
      </c>
      <c r="R75">
        <f t="shared" si="1"/>
        <v>19.444949999999999</v>
      </c>
      <c r="S75">
        <f t="shared" si="2"/>
        <v>19.556325000000005</v>
      </c>
    </row>
    <row r="76" spans="1:20" x14ac:dyDescent="0.25">
      <c r="I76" t="s">
        <v>45</v>
      </c>
      <c r="J76">
        <f t="shared" si="1"/>
        <v>26.572949999999995</v>
      </c>
      <c r="K76">
        <f t="shared" si="1"/>
        <v>26.12745</v>
      </c>
      <c r="L76">
        <f t="shared" si="1"/>
        <v>27.018449999999998</v>
      </c>
      <c r="M76">
        <f t="shared" si="1"/>
        <v>26.572949999999995</v>
      </c>
      <c r="N76">
        <f t="shared" si="1"/>
        <v>23.454450000000001</v>
      </c>
      <c r="O76">
        <f t="shared" si="1"/>
        <v>23.677200000000003</v>
      </c>
      <c r="P76">
        <f t="shared" si="1"/>
        <v>27.018449999999998</v>
      </c>
      <c r="Q76">
        <f t="shared" si="1"/>
        <v>25.236449999999998</v>
      </c>
      <c r="R76">
        <f t="shared" si="1"/>
        <v>20.78145</v>
      </c>
      <c r="S76">
        <f t="shared" si="2"/>
        <v>20.046375000000005</v>
      </c>
    </row>
    <row r="77" spans="1:20" x14ac:dyDescent="0.25">
      <c r="I77" t="s">
        <v>46</v>
      </c>
      <c r="J77">
        <f t="shared" si="1"/>
        <v>27.018449999999998</v>
      </c>
      <c r="K77">
        <f t="shared" si="1"/>
        <v>24.345450000000003</v>
      </c>
      <c r="L77">
        <f t="shared" si="1"/>
        <v>25.904699999999995</v>
      </c>
      <c r="M77">
        <f t="shared" si="1"/>
        <v>25.236449999999998</v>
      </c>
      <c r="N77">
        <f t="shared" si="1"/>
        <v>26.350199999999997</v>
      </c>
      <c r="O77">
        <f t="shared" si="1"/>
        <v>26.12745</v>
      </c>
      <c r="P77">
        <f t="shared" si="1"/>
        <v>22.340700000000002</v>
      </c>
      <c r="Q77">
        <f t="shared" si="1"/>
        <v>23.677200000000003</v>
      </c>
      <c r="R77">
        <f t="shared" si="1"/>
        <v>19.222199999999997</v>
      </c>
      <c r="S77">
        <f t="shared" si="2"/>
        <v>20.536425000000005</v>
      </c>
    </row>
    <row r="78" spans="1:20" x14ac:dyDescent="0.25">
      <c r="I78" t="s">
        <v>47</v>
      </c>
      <c r="J78">
        <f t="shared" si="1"/>
        <v>26.350199999999997</v>
      </c>
      <c r="K78">
        <f t="shared" si="1"/>
        <v>24.790949999999999</v>
      </c>
      <c r="L78">
        <f t="shared" si="1"/>
        <v>24.790949999999999</v>
      </c>
      <c r="M78">
        <f t="shared" si="1"/>
        <v>26.12745</v>
      </c>
      <c r="N78">
        <f t="shared" si="1"/>
        <v>24.568199999999997</v>
      </c>
      <c r="O78">
        <f t="shared" si="1"/>
        <v>20.113199999999999</v>
      </c>
      <c r="P78">
        <f t="shared" si="1"/>
        <v>17.440200000000001</v>
      </c>
      <c r="Q78">
        <f t="shared" si="1"/>
        <v>22.11795</v>
      </c>
      <c r="R78">
        <f t="shared" si="1"/>
        <v>19.890449999999998</v>
      </c>
      <c r="S78">
        <f t="shared" si="2"/>
        <v>19.801350000000003</v>
      </c>
    </row>
    <row r="79" spans="1:20" x14ac:dyDescent="0.25">
      <c r="I79" t="s">
        <v>48</v>
      </c>
      <c r="J79">
        <f t="shared" si="1"/>
        <v>24.790949999999999</v>
      </c>
      <c r="K79">
        <f t="shared" si="1"/>
        <v>23.89995</v>
      </c>
      <c r="L79">
        <f t="shared" si="1"/>
        <v>26.7957</v>
      </c>
      <c r="M79">
        <f t="shared" si="1"/>
        <v>27.241199999999996</v>
      </c>
      <c r="N79">
        <f t="shared" si="1"/>
        <v>24.568199999999997</v>
      </c>
      <c r="O79">
        <f t="shared" si="1"/>
        <v>18.55395</v>
      </c>
      <c r="P79">
        <f t="shared" si="1"/>
        <v>18.331200000000003</v>
      </c>
      <c r="Q79">
        <f t="shared" si="1"/>
        <v>20.113199999999999</v>
      </c>
      <c r="R79">
        <f t="shared" si="1"/>
        <v>18.331200000000003</v>
      </c>
      <c r="S79">
        <f t="shared" si="2"/>
        <v>18.331200000000003</v>
      </c>
    </row>
    <row r="80" spans="1:20" x14ac:dyDescent="0.25">
      <c r="I80" t="s">
        <v>49</v>
      </c>
      <c r="J80">
        <f t="shared" si="1"/>
        <v>17.8857</v>
      </c>
      <c r="K80">
        <f t="shared" si="1"/>
        <v>14.544450000000001</v>
      </c>
      <c r="L80">
        <f t="shared" si="1"/>
        <v>13.876200000000001</v>
      </c>
      <c r="M80">
        <f t="shared" si="1"/>
        <v>13.653449999999999</v>
      </c>
      <c r="N80">
        <f t="shared" si="1"/>
        <v>13.20795</v>
      </c>
      <c r="O80">
        <f t="shared" si="1"/>
        <v>12.762450000000001</v>
      </c>
      <c r="P80">
        <f t="shared" si="1"/>
        <v>12.762450000000001</v>
      </c>
      <c r="Q80">
        <f t="shared" si="1"/>
        <v>13.20795</v>
      </c>
      <c r="R80">
        <f t="shared" si="1"/>
        <v>16.1037</v>
      </c>
      <c r="S80">
        <f t="shared" si="2"/>
        <v>19.066275000000005</v>
      </c>
    </row>
    <row r="81" spans="9:19" x14ac:dyDescent="0.25">
      <c r="I81" t="s">
        <v>50</v>
      </c>
      <c r="J81">
        <f t="shared" si="1"/>
        <v>28.800450000000001</v>
      </c>
      <c r="K81">
        <f t="shared" si="1"/>
        <v>26.12745</v>
      </c>
      <c r="L81">
        <f t="shared" si="1"/>
        <v>26.12745</v>
      </c>
      <c r="M81">
        <f t="shared" si="1"/>
        <v>27.241199999999996</v>
      </c>
      <c r="N81">
        <f t="shared" si="1"/>
        <v>27.241199999999996</v>
      </c>
      <c r="O81">
        <f t="shared" si="1"/>
        <v>23.677200000000003</v>
      </c>
      <c r="P81">
        <f t="shared" si="1"/>
        <v>19.444949999999999</v>
      </c>
      <c r="Q81">
        <f t="shared" si="1"/>
        <v>18.108450000000001</v>
      </c>
      <c r="R81">
        <f t="shared" si="1"/>
        <v>16.549199999999999</v>
      </c>
      <c r="S81">
        <f t="shared" si="2"/>
        <v>16.125975000000004</v>
      </c>
    </row>
    <row r="82" spans="9:19" x14ac:dyDescent="0.25">
      <c r="I82" t="s">
        <v>51</v>
      </c>
      <c r="J82">
        <f t="shared" si="1"/>
        <v>20.78145</v>
      </c>
      <c r="K82">
        <f t="shared" si="1"/>
        <v>18.999449999999996</v>
      </c>
      <c r="L82">
        <f t="shared" si="1"/>
        <v>16.77195</v>
      </c>
      <c r="M82">
        <f t="shared" si="1"/>
        <v>15.212699999999998</v>
      </c>
      <c r="N82">
        <f t="shared" si="1"/>
        <v>15.212699999999998</v>
      </c>
      <c r="O82">
        <f t="shared" si="1"/>
        <v>14.98995</v>
      </c>
      <c r="P82">
        <f t="shared" si="1"/>
        <v>16.326450000000001</v>
      </c>
      <c r="Q82">
        <f t="shared" si="1"/>
        <v>20.78145</v>
      </c>
      <c r="R82">
        <f t="shared" si="1"/>
        <v>19.667699999999996</v>
      </c>
      <c r="S82">
        <f t="shared" si="2"/>
        <v>20.781450000000003</v>
      </c>
    </row>
    <row r="83" spans="9:19" x14ac:dyDescent="0.25">
      <c r="I83" t="s">
        <v>52</v>
      </c>
      <c r="J83">
        <f t="shared" si="1"/>
        <v>19.890449999999998</v>
      </c>
      <c r="K83">
        <f t="shared" si="1"/>
        <v>19.890449999999998</v>
      </c>
      <c r="L83">
        <f t="shared" si="1"/>
        <v>24.122700000000002</v>
      </c>
      <c r="M83">
        <f t="shared" si="1"/>
        <v>25.904699999999995</v>
      </c>
      <c r="N83">
        <f t="shared" si="1"/>
        <v>24.345450000000003</v>
      </c>
      <c r="O83">
        <f t="shared" si="1"/>
        <v>23.008950000000002</v>
      </c>
      <c r="P83">
        <f t="shared" si="1"/>
        <v>23.2317</v>
      </c>
      <c r="Q83">
        <f t="shared" si="1"/>
        <v>21.895199999999999</v>
      </c>
      <c r="R83">
        <f t="shared" si="1"/>
        <v>19.667699999999996</v>
      </c>
      <c r="S83">
        <f t="shared" si="2"/>
        <v>17.596124999999997</v>
      </c>
    </row>
    <row r="84" spans="9:19" x14ac:dyDescent="0.25">
      <c r="I84" t="s">
        <v>53</v>
      </c>
      <c r="J84">
        <f t="shared" si="1"/>
        <v>16.549199999999999</v>
      </c>
      <c r="K84">
        <f t="shared" si="1"/>
        <v>18.331200000000003</v>
      </c>
      <c r="L84">
        <f t="shared" si="1"/>
        <v>22.786200000000001</v>
      </c>
      <c r="M84">
        <f t="shared" si="1"/>
        <v>25.013699999999996</v>
      </c>
      <c r="N84">
        <f t="shared" si="1"/>
        <v>25.681949999999997</v>
      </c>
      <c r="O84">
        <f t="shared" si="1"/>
        <v>26.12745</v>
      </c>
      <c r="P84">
        <f t="shared" si="1"/>
        <v>26.7957</v>
      </c>
      <c r="Q84">
        <f t="shared" si="1"/>
        <v>24.568199999999997</v>
      </c>
      <c r="R84">
        <f t="shared" si="1"/>
        <v>18.108450000000001</v>
      </c>
      <c r="S84">
        <f t="shared" si="2"/>
        <v>17.596124999999997</v>
      </c>
    </row>
    <row r="85" spans="9:19" x14ac:dyDescent="0.25">
      <c r="I85" t="s">
        <v>54</v>
      </c>
      <c r="J85">
        <f t="shared" si="1"/>
        <v>22.56345</v>
      </c>
      <c r="K85">
        <f t="shared" si="1"/>
        <v>24.568199999999997</v>
      </c>
      <c r="L85">
        <f t="shared" si="1"/>
        <v>29.245950000000004</v>
      </c>
      <c r="M85">
        <f t="shared" si="1"/>
        <v>27.463950000000001</v>
      </c>
      <c r="N85">
        <f t="shared" si="1"/>
        <v>27.686699999999998</v>
      </c>
      <c r="O85">
        <f t="shared" si="1"/>
        <v>28.354949999999999</v>
      </c>
      <c r="P85">
        <f t="shared" si="1"/>
        <v>22.11795</v>
      </c>
      <c r="Q85">
        <f t="shared" si="1"/>
        <v>21.4497</v>
      </c>
      <c r="R85">
        <f t="shared" si="1"/>
        <v>18.999449999999996</v>
      </c>
      <c r="S85">
        <f t="shared" si="2"/>
        <v>20.781450000000003</v>
      </c>
    </row>
    <row r="86" spans="9:19" x14ac:dyDescent="0.25">
      <c r="I86" t="s">
        <v>55</v>
      </c>
      <c r="J86">
        <f t="shared" si="1"/>
        <v>23.008950000000002</v>
      </c>
      <c r="K86">
        <f t="shared" si="1"/>
        <v>22.56345</v>
      </c>
      <c r="L86">
        <f t="shared" si="1"/>
        <v>25.459199999999999</v>
      </c>
      <c r="M86">
        <f t="shared" si="1"/>
        <v>25.013699999999996</v>
      </c>
      <c r="N86">
        <f t="shared" si="1"/>
        <v>27.463950000000001</v>
      </c>
      <c r="O86">
        <f t="shared" si="1"/>
        <v>23.454450000000001</v>
      </c>
      <c r="P86">
        <f t="shared" si="1"/>
        <v>20.78145</v>
      </c>
      <c r="Q86">
        <f t="shared" si="1"/>
        <v>19.667699999999996</v>
      </c>
      <c r="R86">
        <f t="shared" si="1"/>
        <v>17.662950000000002</v>
      </c>
      <c r="S86">
        <f t="shared" si="2"/>
        <v>17.596124999999997</v>
      </c>
    </row>
    <row r="87" spans="9:19" x14ac:dyDescent="0.25">
      <c r="I87" t="s">
        <v>56</v>
      </c>
      <c r="J87">
        <f t="shared" si="1"/>
        <v>24.568199999999997</v>
      </c>
      <c r="K87">
        <f t="shared" si="1"/>
        <v>24.122700000000002</v>
      </c>
      <c r="L87">
        <f t="shared" si="1"/>
        <v>25.459199999999999</v>
      </c>
      <c r="M87">
        <f t="shared" si="1"/>
        <v>21.4497</v>
      </c>
      <c r="N87">
        <f t="shared" si="1"/>
        <v>22.786200000000001</v>
      </c>
      <c r="O87">
        <f t="shared" si="1"/>
        <v>23.008950000000002</v>
      </c>
      <c r="P87">
        <f t="shared" si="1"/>
        <v>23.89995</v>
      </c>
      <c r="Q87">
        <f t="shared" si="1"/>
        <v>21.4497</v>
      </c>
      <c r="R87">
        <f t="shared" si="1"/>
        <v>17.8857</v>
      </c>
      <c r="S87">
        <f t="shared" si="2"/>
        <v>19.311300000000003</v>
      </c>
    </row>
    <row r="88" spans="9:19" x14ac:dyDescent="0.25">
      <c r="I88" t="s">
        <v>57</v>
      </c>
      <c r="J88">
        <f t="shared" si="1"/>
        <v>18.776700000000002</v>
      </c>
      <c r="K88">
        <f t="shared" si="1"/>
        <v>20.335949999999997</v>
      </c>
      <c r="L88">
        <f t="shared" si="1"/>
        <v>26.7957</v>
      </c>
      <c r="M88">
        <f t="shared" si="1"/>
        <v>26.350199999999997</v>
      </c>
      <c r="N88">
        <f t="shared" si="1"/>
        <v>27.241199999999996</v>
      </c>
      <c r="O88">
        <f t="shared" si="1"/>
        <v>25.236449999999998</v>
      </c>
      <c r="P88">
        <f t="shared" si="1"/>
        <v>26.350199999999997</v>
      </c>
      <c r="Q88">
        <f t="shared" si="1"/>
        <v>21.226949999999999</v>
      </c>
      <c r="R88">
        <f t="shared" si="1"/>
        <v>15.435449999999999</v>
      </c>
      <c r="S88">
        <f t="shared" si="2"/>
        <v>16.616025000000004</v>
      </c>
    </row>
    <row r="89" spans="9:19" x14ac:dyDescent="0.25">
      <c r="I89" t="s">
        <v>58</v>
      </c>
      <c r="J89">
        <f t="shared" si="1"/>
        <v>27.686699999999998</v>
      </c>
      <c r="K89">
        <f t="shared" si="1"/>
        <v>27.463950000000001</v>
      </c>
      <c r="L89">
        <f t="shared" si="1"/>
        <v>27.463950000000001</v>
      </c>
      <c r="M89">
        <f t="shared" si="1"/>
        <v>27.463950000000001</v>
      </c>
      <c r="N89">
        <f t="shared" si="1"/>
        <v>25.681949999999997</v>
      </c>
      <c r="O89">
        <f t="shared" si="1"/>
        <v>25.013699999999996</v>
      </c>
      <c r="P89">
        <f t="shared" si="1"/>
        <v>22.786200000000001</v>
      </c>
      <c r="Q89">
        <f t="shared" si="1"/>
        <v>22.11795</v>
      </c>
      <c r="R89">
        <f t="shared" si="1"/>
        <v>21.895199999999999</v>
      </c>
      <c r="S89">
        <f t="shared" si="2"/>
        <v>24.2118</v>
      </c>
    </row>
    <row r="90" spans="9:19" x14ac:dyDescent="0.25">
      <c r="I90" t="s">
        <v>59</v>
      </c>
      <c r="J90">
        <f t="shared" ref="J90:R96" si="3">22.275*J62-6.1713</f>
        <v>26.572949999999995</v>
      </c>
      <c r="K90">
        <f t="shared" si="3"/>
        <v>25.459199999999999</v>
      </c>
      <c r="L90">
        <f t="shared" si="3"/>
        <v>28.354949999999999</v>
      </c>
      <c r="M90">
        <f t="shared" si="3"/>
        <v>29.023199999999999</v>
      </c>
      <c r="N90">
        <f t="shared" si="3"/>
        <v>30.136949999999995</v>
      </c>
      <c r="O90">
        <f t="shared" si="3"/>
        <v>29.468700000000002</v>
      </c>
      <c r="P90">
        <f t="shared" si="3"/>
        <v>26.7957</v>
      </c>
      <c r="Q90">
        <f t="shared" si="3"/>
        <v>23.2317</v>
      </c>
      <c r="R90">
        <f t="shared" si="3"/>
        <v>21.004199999999997</v>
      </c>
      <c r="S90">
        <f t="shared" si="2"/>
        <v>22.986674999999998</v>
      </c>
    </row>
    <row r="91" spans="9:19" x14ac:dyDescent="0.25">
      <c r="I91" t="s">
        <v>60</v>
      </c>
      <c r="J91">
        <f t="shared" si="3"/>
        <v>25.459199999999999</v>
      </c>
      <c r="K91">
        <f t="shared" si="3"/>
        <v>25.013699999999996</v>
      </c>
      <c r="L91">
        <f t="shared" si="3"/>
        <v>27.018449999999998</v>
      </c>
      <c r="M91">
        <f t="shared" si="3"/>
        <v>28.800450000000001</v>
      </c>
      <c r="N91">
        <f t="shared" si="3"/>
        <v>28.132200000000001</v>
      </c>
      <c r="O91">
        <f t="shared" si="3"/>
        <v>27.018449999999998</v>
      </c>
      <c r="P91">
        <f t="shared" si="3"/>
        <v>25.236449999999998</v>
      </c>
      <c r="Q91">
        <f t="shared" si="3"/>
        <v>18.776700000000002</v>
      </c>
      <c r="R91">
        <f t="shared" si="3"/>
        <v>14.98995</v>
      </c>
      <c r="S91">
        <f t="shared" si="2"/>
        <v>14.655825</v>
      </c>
    </row>
    <row r="92" spans="9:19" x14ac:dyDescent="0.25">
      <c r="I92" t="s">
        <v>61</v>
      </c>
      <c r="J92">
        <f t="shared" si="3"/>
        <v>24.790949999999999</v>
      </c>
      <c r="K92">
        <f t="shared" si="3"/>
        <v>24.790949999999999</v>
      </c>
      <c r="L92">
        <f t="shared" si="3"/>
        <v>24.790949999999999</v>
      </c>
      <c r="M92">
        <f t="shared" si="3"/>
        <v>27.686699999999998</v>
      </c>
      <c r="N92">
        <f t="shared" si="3"/>
        <v>29.023199999999999</v>
      </c>
      <c r="O92">
        <f t="shared" si="3"/>
        <v>28.354949999999999</v>
      </c>
      <c r="P92">
        <f t="shared" si="3"/>
        <v>27.018449999999998</v>
      </c>
      <c r="Q92">
        <f t="shared" si="3"/>
        <v>23.677200000000003</v>
      </c>
      <c r="R92">
        <f t="shared" si="3"/>
        <v>17.440200000000001</v>
      </c>
      <c r="S92">
        <f>22.275*(S64*1.1)-6.1713</f>
        <v>21.516524999999998</v>
      </c>
    </row>
    <row r="93" spans="9:19" x14ac:dyDescent="0.25">
      <c r="I93" t="s">
        <v>62</v>
      </c>
      <c r="J93">
        <f t="shared" si="3"/>
        <v>21.895199999999999</v>
      </c>
      <c r="K93">
        <f t="shared" si="3"/>
        <v>17.662950000000002</v>
      </c>
      <c r="L93">
        <f t="shared" si="3"/>
        <v>19.222199999999997</v>
      </c>
      <c r="M93">
        <f t="shared" si="3"/>
        <v>22.786200000000001</v>
      </c>
      <c r="N93">
        <f t="shared" si="3"/>
        <v>23.89995</v>
      </c>
      <c r="O93">
        <f t="shared" si="3"/>
        <v>20.113199999999999</v>
      </c>
      <c r="P93">
        <f t="shared" si="3"/>
        <v>20.78145</v>
      </c>
      <c r="Q93">
        <f t="shared" si="3"/>
        <v>21.226949999999999</v>
      </c>
      <c r="R93">
        <f t="shared" si="3"/>
        <v>18.999449999999996</v>
      </c>
      <c r="S93">
        <f t="shared" ref="S93:S95" si="4">22.275*(S65*1.1)-6.1713</f>
        <v>19.801350000000003</v>
      </c>
    </row>
    <row r="94" spans="9:19" x14ac:dyDescent="0.25">
      <c r="I94" t="s">
        <v>63</v>
      </c>
      <c r="J94">
        <f t="shared" si="3"/>
        <v>24.568199999999997</v>
      </c>
      <c r="K94">
        <f t="shared" si="3"/>
        <v>25.681949999999997</v>
      </c>
      <c r="L94">
        <f t="shared" si="3"/>
        <v>27.241199999999996</v>
      </c>
      <c r="M94">
        <f t="shared" si="3"/>
        <v>21.672450000000001</v>
      </c>
      <c r="N94">
        <f t="shared" si="3"/>
        <v>24.122700000000002</v>
      </c>
      <c r="O94">
        <f t="shared" si="3"/>
        <v>26.7957</v>
      </c>
      <c r="P94">
        <f t="shared" si="3"/>
        <v>22.11795</v>
      </c>
      <c r="Q94">
        <f t="shared" si="3"/>
        <v>20.335949999999997</v>
      </c>
      <c r="R94">
        <f t="shared" si="3"/>
        <v>18.108450000000001</v>
      </c>
      <c r="S94">
        <f t="shared" si="4"/>
        <v>20.536425000000005</v>
      </c>
    </row>
    <row r="95" spans="9:19" x14ac:dyDescent="0.25">
      <c r="I95" t="s">
        <v>64</v>
      </c>
      <c r="J95">
        <f t="shared" si="3"/>
        <v>26.7957</v>
      </c>
      <c r="K95">
        <f t="shared" si="3"/>
        <v>24.345450000000003</v>
      </c>
      <c r="L95">
        <f t="shared" si="3"/>
        <v>23.454450000000001</v>
      </c>
      <c r="M95">
        <f t="shared" si="3"/>
        <v>21.672450000000001</v>
      </c>
      <c r="N95">
        <f t="shared" si="3"/>
        <v>23.008950000000002</v>
      </c>
      <c r="O95">
        <f t="shared" si="3"/>
        <v>23.89995</v>
      </c>
      <c r="P95">
        <f t="shared" si="3"/>
        <v>18.999449999999996</v>
      </c>
      <c r="Q95">
        <f t="shared" si="3"/>
        <v>17.8857</v>
      </c>
      <c r="R95">
        <f t="shared" si="3"/>
        <v>16.549199999999999</v>
      </c>
      <c r="S95">
        <f t="shared" si="4"/>
        <v>17.351100000000002</v>
      </c>
    </row>
    <row r="96" spans="9:19" x14ac:dyDescent="0.25">
      <c r="I96" t="s">
        <v>65</v>
      </c>
      <c r="J96">
        <f>22.275*J68-6.1713</f>
        <v>27.686699999999998</v>
      </c>
      <c r="K96">
        <f t="shared" si="3"/>
        <v>26.350199999999997</v>
      </c>
      <c r="L96">
        <f t="shared" si="3"/>
        <v>22.786200000000001</v>
      </c>
      <c r="M96">
        <f t="shared" si="3"/>
        <v>24.345450000000003</v>
      </c>
      <c r="N96">
        <f t="shared" si="3"/>
        <v>25.904699999999995</v>
      </c>
      <c r="O96">
        <f t="shared" si="3"/>
        <v>25.681949999999997</v>
      </c>
      <c r="P96">
        <f t="shared" si="3"/>
        <v>22.56345</v>
      </c>
      <c r="Q96">
        <f t="shared" si="3"/>
        <v>17.662950000000002</v>
      </c>
      <c r="R96">
        <f t="shared" si="3"/>
        <v>15.212699999999998</v>
      </c>
      <c r="S96">
        <f>22.275*(S68*1.1)-6.1713</f>
        <v>16.371000000000006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0.1855395</v>
      </c>
      <c r="K101" s="4">
        <f t="shared" si="5"/>
        <v>0.20335949999999997</v>
      </c>
      <c r="L101" s="4">
        <f t="shared" si="5"/>
        <v>0.232317</v>
      </c>
      <c r="M101" s="4">
        <f t="shared" si="5"/>
        <v>0.267957</v>
      </c>
      <c r="N101" s="4">
        <f t="shared" si="5"/>
        <v>0.25236449999999999</v>
      </c>
      <c r="O101" s="4">
        <f t="shared" si="5"/>
        <v>0.25904699999999997</v>
      </c>
      <c r="P101" s="4">
        <f t="shared" si="5"/>
        <v>0.27463949999999998</v>
      </c>
      <c r="Q101" s="4">
        <f t="shared" si="5"/>
        <v>0.25236449999999999</v>
      </c>
      <c r="R101" s="4">
        <f t="shared" si="5"/>
        <v>0.22563449999999999</v>
      </c>
      <c r="S101" s="4">
        <f t="shared" si="5"/>
        <v>0.232317</v>
      </c>
    </row>
    <row r="102" spans="9:19" x14ac:dyDescent="0.25">
      <c r="I102">
        <v>12</v>
      </c>
      <c r="J102" s="4">
        <f t="shared" ref="J102:S115" si="6">IF(J74&lt;0,"",J74/100)</f>
        <v>0.24790949999999998</v>
      </c>
      <c r="K102" s="4">
        <f t="shared" si="6"/>
        <v>0.24790949999999998</v>
      </c>
      <c r="L102" s="4">
        <f t="shared" si="6"/>
        <v>0.20558699999999999</v>
      </c>
      <c r="M102" s="4">
        <f t="shared" si="6"/>
        <v>0.20335949999999997</v>
      </c>
      <c r="N102" s="4">
        <f t="shared" si="6"/>
        <v>0.20335949999999997</v>
      </c>
      <c r="O102" s="4">
        <f t="shared" si="6"/>
        <v>0.21004199999999998</v>
      </c>
      <c r="P102" s="4">
        <f t="shared" si="6"/>
        <v>0.20335949999999997</v>
      </c>
      <c r="Q102" s="4">
        <f t="shared" si="6"/>
        <v>0.24122700000000002</v>
      </c>
      <c r="R102" s="4">
        <f t="shared" si="6"/>
        <v>0.1855395</v>
      </c>
      <c r="S102" s="4">
        <f t="shared" si="6"/>
        <v>0.1686105</v>
      </c>
    </row>
    <row r="103" spans="9:19" x14ac:dyDescent="0.25">
      <c r="I103">
        <v>13</v>
      </c>
      <c r="J103" s="4">
        <f t="shared" si="6"/>
        <v>0.22340700000000002</v>
      </c>
      <c r="K103" s="4">
        <f t="shared" si="6"/>
        <v>0.21004199999999998</v>
      </c>
      <c r="L103" s="4">
        <f t="shared" si="6"/>
        <v>0.22340700000000002</v>
      </c>
      <c r="M103" s="4">
        <f t="shared" si="6"/>
        <v>0.25013699999999994</v>
      </c>
      <c r="N103" s="4">
        <f t="shared" si="6"/>
        <v>0.267957</v>
      </c>
      <c r="O103" s="4">
        <f t="shared" si="6"/>
        <v>0.267957</v>
      </c>
      <c r="P103" s="4">
        <f t="shared" si="6"/>
        <v>0.24790949999999998</v>
      </c>
      <c r="Q103" s="4">
        <f t="shared" si="6"/>
        <v>0.21895199999999998</v>
      </c>
      <c r="R103" s="4">
        <f t="shared" si="6"/>
        <v>0.1944495</v>
      </c>
      <c r="S103" s="4">
        <f t="shared" si="6"/>
        <v>0.19556325000000005</v>
      </c>
    </row>
    <row r="104" spans="9:19" x14ac:dyDescent="0.25">
      <c r="I104">
        <v>14</v>
      </c>
      <c r="J104" s="4">
        <f t="shared" si="6"/>
        <v>0.26572949999999995</v>
      </c>
      <c r="K104" s="4">
        <f t="shared" si="6"/>
        <v>0.26127450000000002</v>
      </c>
      <c r="L104" s="4">
        <f t="shared" si="6"/>
        <v>0.27018449999999999</v>
      </c>
      <c r="M104" s="4">
        <f t="shared" si="6"/>
        <v>0.26572949999999995</v>
      </c>
      <c r="N104" s="4">
        <f t="shared" si="6"/>
        <v>0.23454450000000002</v>
      </c>
      <c r="O104" s="4">
        <f t="shared" si="6"/>
        <v>0.23677200000000004</v>
      </c>
      <c r="P104" s="4">
        <f t="shared" si="6"/>
        <v>0.27018449999999999</v>
      </c>
      <c r="Q104" s="4">
        <f t="shared" si="6"/>
        <v>0.25236449999999999</v>
      </c>
      <c r="R104" s="4">
        <f t="shared" si="6"/>
        <v>0.20781449999999999</v>
      </c>
      <c r="S104" s="4">
        <f t="shared" si="6"/>
        <v>0.20046375000000005</v>
      </c>
    </row>
    <row r="105" spans="9:19" x14ac:dyDescent="0.25">
      <c r="I105">
        <v>21</v>
      </c>
      <c r="J105" s="4">
        <f t="shared" si="6"/>
        <v>0.27018449999999999</v>
      </c>
      <c r="K105" s="4">
        <f t="shared" si="6"/>
        <v>0.24345450000000002</v>
      </c>
      <c r="L105" s="4">
        <f t="shared" si="6"/>
        <v>0.25904699999999997</v>
      </c>
      <c r="M105" s="4">
        <f t="shared" si="6"/>
        <v>0.25236449999999999</v>
      </c>
      <c r="N105" s="4">
        <f t="shared" si="6"/>
        <v>0.26350199999999996</v>
      </c>
      <c r="O105" s="4">
        <f t="shared" si="6"/>
        <v>0.26127450000000002</v>
      </c>
      <c r="P105" s="4">
        <f t="shared" si="6"/>
        <v>0.22340700000000002</v>
      </c>
      <c r="Q105" s="4">
        <f t="shared" si="6"/>
        <v>0.23677200000000004</v>
      </c>
      <c r="R105" s="4">
        <f t="shared" si="6"/>
        <v>0.19222199999999998</v>
      </c>
      <c r="S105" s="4">
        <f t="shared" si="6"/>
        <v>0.20536425000000005</v>
      </c>
    </row>
    <row r="106" spans="9:19" x14ac:dyDescent="0.25">
      <c r="I106">
        <v>22</v>
      </c>
      <c r="J106" s="4">
        <f t="shared" si="6"/>
        <v>0.26350199999999996</v>
      </c>
      <c r="K106" s="4">
        <f t="shared" si="6"/>
        <v>0.24790949999999998</v>
      </c>
      <c r="L106" s="4">
        <f t="shared" si="6"/>
        <v>0.24790949999999998</v>
      </c>
      <c r="M106" s="4">
        <f t="shared" si="6"/>
        <v>0.26127450000000002</v>
      </c>
      <c r="N106" s="4">
        <f t="shared" si="6"/>
        <v>0.24568199999999998</v>
      </c>
      <c r="O106" s="4">
        <f t="shared" si="6"/>
        <v>0.20113199999999998</v>
      </c>
      <c r="P106" s="4">
        <f t="shared" si="6"/>
        <v>0.174402</v>
      </c>
      <c r="Q106" s="4">
        <f t="shared" si="6"/>
        <v>0.2211795</v>
      </c>
      <c r="R106" s="4">
        <f t="shared" si="6"/>
        <v>0.19890449999999998</v>
      </c>
      <c r="S106" s="4">
        <f t="shared" si="6"/>
        <v>0.19801350000000004</v>
      </c>
    </row>
    <row r="107" spans="9:19" x14ac:dyDescent="0.25">
      <c r="I107">
        <v>23</v>
      </c>
      <c r="J107" s="4">
        <f t="shared" si="6"/>
        <v>0.24790949999999998</v>
      </c>
      <c r="K107" s="4">
        <f t="shared" si="6"/>
        <v>0.2389995</v>
      </c>
      <c r="L107" s="4">
        <f t="shared" si="6"/>
        <v>0.267957</v>
      </c>
      <c r="M107" s="4">
        <f t="shared" si="6"/>
        <v>0.27241199999999993</v>
      </c>
      <c r="N107" s="4">
        <f t="shared" si="6"/>
        <v>0.24568199999999998</v>
      </c>
      <c r="O107" s="4">
        <f t="shared" si="6"/>
        <v>0.1855395</v>
      </c>
      <c r="P107" s="4">
        <f t="shared" si="6"/>
        <v>0.18331200000000003</v>
      </c>
      <c r="Q107" s="4">
        <f t="shared" si="6"/>
        <v>0.20113199999999998</v>
      </c>
      <c r="R107" s="4">
        <f t="shared" si="6"/>
        <v>0.18331200000000003</v>
      </c>
      <c r="S107" s="4">
        <f t="shared" si="6"/>
        <v>0.18331200000000003</v>
      </c>
    </row>
    <row r="108" spans="9:19" x14ac:dyDescent="0.25">
      <c r="I108">
        <v>24</v>
      </c>
      <c r="J108" s="4">
        <f t="shared" si="6"/>
        <v>0.17885699999999999</v>
      </c>
      <c r="K108" s="4">
        <f t="shared" si="6"/>
        <v>0.1454445</v>
      </c>
      <c r="L108" s="4">
        <f t="shared" si="6"/>
        <v>0.138762</v>
      </c>
      <c r="M108" s="4">
        <f t="shared" si="6"/>
        <v>0.1365345</v>
      </c>
      <c r="N108" s="4">
        <f t="shared" si="6"/>
        <v>0.13207950000000002</v>
      </c>
      <c r="O108" s="4">
        <f t="shared" si="6"/>
        <v>0.1276245</v>
      </c>
      <c r="P108" s="4">
        <f t="shared" si="6"/>
        <v>0.1276245</v>
      </c>
      <c r="Q108" s="4">
        <f t="shared" si="6"/>
        <v>0.13207950000000002</v>
      </c>
      <c r="R108" s="4">
        <f t="shared" si="6"/>
        <v>0.16103699999999999</v>
      </c>
      <c r="S108" s="4">
        <f t="shared" si="6"/>
        <v>0.19066275000000005</v>
      </c>
    </row>
    <row r="109" spans="9:19" x14ac:dyDescent="0.25">
      <c r="I109">
        <v>31</v>
      </c>
      <c r="J109" s="4">
        <f t="shared" si="6"/>
        <v>0.2880045</v>
      </c>
      <c r="K109" s="4">
        <f t="shared" si="6"/>
        <v>0.26127450000000002</v>
      </c>
      <c r="L109" s="4">
        <f t="shared" si="6"/>
        <v>0.26127450000000002</v>
      </c>
      <c r="M109" s="4">
        <f t="shared" si="6"/>
        <v>0.27241199999999993</v>
      </c>
      <c r="N109" s="4">
        <f t="shared" si="6"/>
        <v>0.27241199999999993</v>
      </c>
      <c r="O109" s="4">
        <f t="shared" si="6"/>
        <v>0.23677200000000004</v>
      </c>
      <c r="P109" s="4">
        <f t="shared" si="6"/>
        <v>0.1944495</v>
      </c>
      <c r="Q109" s="4">
        <f t="shared" si="6"/>
        <v>0.18108450000000001</v>
      </c>
      <c r="R109" s="4">
        <f t="shared" si="6"/>
        <v>0.165492</v>
      </c>
      <c r="S109" s="4">
        <f t="shared" si="6"/>
        <v>0.16125975000000004</v>
      </c>
    </row>
    <row r="110" spans="9:19" x14ac:dyDescent="0.25">
      <c r="I110">
        <v>32</v>
      </c>
      <c r="J110" s="4">
        <f t="shared" si="6"/>
        <v>0.20781449999999999</v>
      </c>
      <c r="K110" s="4">
        <f t="shared" si="6"/>
        <v>0.18999449999999996</v>
      </c>
      <c r="L110" s="4">
        <f t="shared" si="6"/>
        <v>0.16771949999999999</v>
      </c>
      <c r="M110" s="4">
        <f t="shared" si="6"/>
        <v>0.15212699999999998</v>
      </c>
      <c r="N110" s="4">
        <f t="shared" si="6"/>
        <v>0.15212699999999998</v>
      </c>
      <c r="O110" s="4">
        <f t="shared" si="6"/>
        <v>0.14989949999999999</v>
      </c>
      <c r="P110" s="4">
        <f t="shared" si="6"/>
        <v>0.16326450000000001</v>
      </c>
      <c r="Q110" s="4">
        <f t="shared" si="6"/>
        <v>0.20781449999999999</v>
      </c>
      <c r="R110" s="4">
        <f t="shared" si="6"/>
        <v>0.19667699999999996</v>
      </c>
      <c r="S110" s="4">
        <f t="shared" si="6"/>
        <v>0.20781450000000004</v>
      </c>
    </row>
    <row r="111" spans="9:19" x14ac:dyDescent="0.25">
      <c r="I111">
        <v>33</v>
      </c>
      <c r="J111" s="4">
        <f t="shared" si="6"/>
        <v>0.19890449999999998</v>
      </c>
      <c r="K111" s="4">
        <f t="shared" si="6"/>
        <v>0.19890449999999998</v>
      </c>
      <c r="L111" s="4">
        <f t="shared" si="6"/>
        <v>0.24122700000000002</v>
      </c>
      <c r="M111" s="4">
        <f t="shared" si="6"/>
        <v>0.25904699999999997</v>
      </c>
      <c r="N111" s="4">
        <f t="shared" si="6"/>
        <v>0.24345450000000002</v>
      </c>
      <c r="O111" s="4">
        <f t="shared" si="6"/>
        <v>0.23008950000000003</v>
      </c>
      <c r="P111" s="4">
        <f t="shared" si="6"/>
        <v>0.232317</v>
      </c>
      <c r="Q111" s="4">
        <f t="shared" si="6"/>
        <v>0.21895199999999998</v>
      </c>
      <c r="R111" s="4">
        <f t="shared" si="6"/>
        <v>0.19667699999999996</v>
      </c>
      <c r="S111" s="4">
        <f t="shared" si="6"/>
        <v>0.17596124999999996</v>
      </c>
    </row>
    <row r="112" spans="9:19" x14ac:dyDescent="0.25">
      <c r="I112">
        <v>34</v>
      </c>
      <c r="J112" s="4">
        <f t="shared" si="6"/>
        <v>0.165492</v>
      </c>
      <c r="K112" s="4">
        <f t="shared" si="6"/>
        <v>0.18331200000000003</v>
      </c>
      <c r="L112" s="4">
        <f t="shared" si="6"/>
        <v>0.22786200000000001</v>
      </c>
      <c r="M112" s="4">
        <f t="shared" si="6"/>
        <v>0.25013699999999994</v>
      </c>
      <c r="N112" s="4">
        <f t="shared" si="6"/>
        <v>0.25681949999999998</v>
      </c>
      <c r="O112" s="4">
        <f t="shared" si="6"/>
        <v>0.26127450000000002</v>
      </c>
      <c r="P112" s="4">
        <f t="shared" si="6"/>
        <v>0.267957</v>
      </c>
      <c r="Q112" s="4">
        <f t="shared" si="6"/>
        <v>0.24568199999999998</v>
      </c>
      <c r="R112" s="4">
        <f t="shared" si="6"/>
        <v>0.18108450000000001</v>
      </c>
      <c r="S112" s="4">
        <f t="shared" si="6"/>
        <v>0.17596124999999996</v>
      </c>
    </row>
    <row r="113" spans="9:19" x14ac:dyDescent="0.25">
      <c r="I113">
        <v>41</v>
      </c>
      <c r="J113" s="4">
        <f t="shared" si="6"/>
        <v>0.22563449999999999</v>
      </c>
      <c r="K113" s="4">
        <f t="shared" si="6"/>
        <v>0.24568199999999998</v>
      </c>
      <c r="L113" s="4">
        <f t="shared" si="6"/>
        <v>0.29245950000000004</v>
      </c>
      <c r="M113" s="4">
        <f t="shared" si="6"/>
        <v>0.27463949999999998</v>
      </c>
      <c r="N113" s="4">
        <f t="shared" si="6"/>
        <v>0.27686699999999997</v>
      </c>
      <c r="O113" s="4">
        <f t="shared" si="6"/>
        <v>0.28354950000000001</v>
      </c>
      <c r="P113" s="4">
        <f t="shared" si="6"/>
        <v>0.2211795</v>
      </c>
      <c r="Q113" s="4">
        <f t="shared" si="6"/>
        <v>0.21449699999999999</v>
      </c>
      <c r="R113" s="4">
        <f t="shared" si="6"/>
        <v>0.18999449999999996</v>
      </c>
      <c r="S113" s="4">
        <f t="shared" si="6"/>
        <v>0.20781450000000004</v>
      </c>
    </row>
    <row r="114" spans="9:19" x14ac:dyDescent="0.25">
      <c r="I114">
        <v>42</v>
      </c>
      <c r="J114" s="4">
        <f t="shared" si="6"/>
        <v>0.23008950000000003</v>
      </c>
      <c r="K114" s="4">
        <f t="shared" si="6"/>
        <v>0.22563449999999999</v>
      </c>
      <c r="L114" s="4">
        <f t="shared" si="6"/>
        <v>0.25459199999999998</v>
      </c>
      <c r="M114" s="4">
        <f t="shared" si="6"/>
        <v>0.25013699999999994</v>
      </c>
      <c r="N114" s="4">
        <f t="shared" si="6"/>
        <v>0.27463949999999998</v>
      </c>
      <c r="O114" s="4">
        <f t="shared" si="6"/>
        <v>0.23454450000000002</v>
      </c>
      <c r="P114" s="4">
        <f t="shared" si="6"/>
        <v>0.20781449999999999</v>
      </c>
      <c r="Q114" s="4">
        <f t="shared" si="6"/>
        <v>0.19667699999999996</v>
      </c>
      <c r="R114" s="4">
        <f t="shared" si="6"/>
        <v>0.17662950000000002</v>
      </c>
      <c r="S114" s="4">
        <f t="shared" si="6"/>
        <v>0.17596124999999996</v>
      </c>
    </row>
    <row r="115" spans="9:19" x14ac:dyDescent="0.25">
      <c r="I115">
        <v>43</v>
      </c>
      <c r="J115" s="4">
        <f t="shared" si="6"/>
        <v>0.24568199999999998</v>
      </c>
      <c r="K115" s="4">
        <f t="shared" si="6"/>
        <v>0.24122700000000002</v>
      </c>
      <c r="L115" s="4">
        <f t="shared" si="6"/>
        <v>0.25459199999999998</v>
      </c>
      <c r="M115" s="4">
        <f t="shared" si="6"/>
        <v>0.21449699999999999</v>
      </c>
      <c r="N115" s="4">
        <f t="shared" si="6"/>
        <v>0.22786200000000001</v>
      </c>
      <c r="O115" s="4">
        <f t="shared" si="6"/>
        <v>0.23008950000000003</v>
      </c>
      <c r="P115" s="4">
        <f t="shared" si="6"/>
        <v>0.2389995</v>
      </c>
      <c r="Q115" s="4">
        <f t="shared" si="6"/>
        <v>0.21449699999999999</v>
      </c>
      <c r="R115" s="4">
        <f t="shared" si="6"/>
        <v>0.17885699999999999</v>
      </c>
      <c r="S115" s="4">
        <f t="shared" si="6"/>
        <v>0.19311300000000003</v>
      </c>
    </row>
    <row r="116" spans="9:19" x14ac:dyDescent="0.25">
      <c r="I116">
        <v>44</v>
      </c>
      <c r="J116" s="4">
        <f t="shared" ref="J116:S116" si="7">IF(J88&lt;0,"",J88/100)</f>
        <v>0.18776700000000002</v>
      </c>
      <c r="K116" s="4">
        <f t="shared" si="7"/>
        <v>0.20335949999999997</v>
      </c>
      <c r="L116" s="4">
        <f t="shared" si="7"/>
        <v>0.267957</v>
      </c>
      <c r="M116" s="4">
        <f t="shared" si="7"/>
        <v>0.26350199999999996</v>
      </c>
      <c r="N116" s="4">
        <f t="shared" si="7"/>
        <v>0.27241199999999993</v>
      </c>
      <c r="O116" s="4">
        <f t="shared" si="7"/>
        <v>0.25236449999999999</v>
      </c>
      <c r="P116" s="4">
        <f t="shared" si="7"/>
        <v>0.26350199999999996</v>
      </c>
      <c r="Q116" s="4">
        <f t="shared" si="7"/>
        <v>0.2122695</v>
      </c>
      <c r="R116" s="4">
        <f t="shared" si="7"/>
        <v>0.15435450000000001</v>
      </c>
      <c r="S116" s="4">
        <f t="shared" si="7"/>
        <v>0.16616025000000004</v>
      </c>
    </row>
    <row r="117" spans="9:19" x14ac:dyDescent="0.25">
      <c r="I117">
        <v>51</v>
      </c>
      <c r="J117" s="4">
        <f t="shared" ref="J117:S123" si="8">IF(J89&lt;0,"",J89/100)</f>
        <v>0.27686699999999997</v>
      </c>
      <c r="K117" s="4">
        <f t="shared" si="8"/>
        <v>0.27463949999999998</v>
      </c>
      <c r="L117" s="4">
        <f t="shared" si="8"/>
        <v>0.27463949999999998</v>
      </c>
      <c r="M117" s="4">
        <f t="shared" si="8"/>
        <v>0.27463949999999998</v>
      </c>
      <c r="N117" s="4">
        <f t="shared" si="8"/>
        <v>0.25681949999999998</v>
      </c>
      <c r="O117" s="4">
        <f t="shared" si="8"/>
        <v>0.25013699999999994</v>
      </c>
      <c r="P117" s="4">
        <f t="shared" si="8"/>
        <v>0.22786200000000001</v>
      </c>
      <c r="Q117" s="4">
        <f t="shared" si="8"/>
        <v>0.2211795</v>
      </c>
      <c r="R117" s="4">
        <f t="shared" si="8"/>
        <v>0.21895199999999998</v>
      </c>
      <c r="S117" s="4">
        <f t="shared" si="8"/>
        <v>0.242118</v>
      </c>
    </row>
    <row r="118" spans="9:19" x14ac:dyDescent="0.25">
      <c r="I118">
        <v>52</v>
      </c>
      <c r="J118" s="4">
        <f t="shared" si="8"/>
        <v>0.26572949999999995</v>
      </c>
      <c r="K118" s="4">
        <f t="shared" si="8"/>
        <v>0.25459199999999998</v>
      </c>
      <c r="L118" s="4">
        <f t="shared" si="8"/>
        <v>0.28354950000000001</v>
      </c>
      <c r="M118" s="4">
        <f t="shared" si="8"/>
        <v>0.29023199999999999</v>
      </c>
      <c r="N118" s="4">
        <f t="shared" si="8"/>
        <v>0.30136949999999996</v>
      </c>
      <c r="O118" s="4">
        <f t="shared" si="8"/>
        <v>0.29468700000000003</v>
      </c>
      <c r="P118" s="4">
        <f t="shared" si="8"/>
        <v>0.267957</v>
      </c>
      <c r="Q118" s="4">
        <f t="shared" si="8"/>
        <v>0.232317</v>
      </c>
      <c r="R118" s="4">
        <f t="shared" si="8"/>
        <v>0.21004199999999998</v>
      </c>
      <c r="S118" s="4">
        <f t="shared" si="8"/>
        <v>0.22986674999999998</v>
      </c>
    </row>
    <row r="119" spans="9:19" x14ac:dyDescent="0.25">
      <c r="I119">
        <v>53</v>
      </c>
      <c r="J119" s="4">
        <f t="shared" si="8"/>
        <v>0.25459199999999998</v>
      </c>
      <c r="K119" s="4">
        <f t="shared" si="8"/>
        <v>0.25013699999999994</v>
      </c>
      <c r="L119" s="4">
        <f t="shared" si="8"/>
        <v>0.27018449999999999</v>
      </c>
      <c r="M119" s="4">
        <f t="shared" si="8"/>
        <v>0.2880045</v>
      </c>
      <c r="N119" s="4">
        <f t="shared" si="8"/>
        <v>0.28132200000000002</v>
      </c>
      <c r="O119" s="4">
        <f t="shared" si="8"/>
        <v>0.27018449999999999</v>
      </c>
      <c r="P119" s="4">
        <f t="shared" si="8"/>
        <v>0.25236449999999999</v>
      </c>
      <c r="Q119" s="4">
        <f t="shared" si="8"/>
        <v>0.18776700000000002</v>
      </c>
      <c r="R119" s="4">
        <f t="shared" si="8"/>
        <v>0.14989949999999999</v>
      </c>
      <c r="S119" s="4">
        <f t="shared" si="8"/>
        <v>0.14655825</v>
      </c>
    </row>
    <row r="120" spans="9:19" x14ac:dyDescent="0.25">
      <c r="I120">
        <v>54</v>
      </c>
      <c r="J120" s="4">
        <f t="shared" si="8"/>
        <v>0.24790949999999998</v>
      </c>
      <c r="K120" s="4">
        <f t="shared" si="8"/>
        <v>0.24790949999999998</v>
      </c>
      <c r="L120" s="4">
        <f t="shared" si="8"/>
        <v>0.24790949999999998</v>
      </c>
      <c r="M120" s="4">
        <f t="shared" si="8"/>
        <v>0.27686699999999997</v>
      </c>
      <c r="N120" s="4">
        <f t="shared" si="8"/>
        <v>0.29023199999999999</v>
      </c>
      <c r="O120" s="4">
        <f t="shared" si="8"/>
        <v>0.28354950000000001</v>
      </c>
      <c r="P120" s="4">
        <f t="shared" si="8"/>
        <v>0.27018449999999999</v>
      </c>
      <c r="Q120" s="4">
        <f t="shared" si="8"/>
        <v>0.23677200000000004</v>
      </c>
      <c r="R120" s="4">
        <f t="shared" si="8"/>
        <v>0.174402</v>
      </c>
      <c r="S120" s="4">
        <f t="shared" si="8"/>
        <v>0.21516524999999997</v>
      </c>
    </row>
    <row r="121" spans="9:19" x14ac:dyDescent="0.25">
      <c r="I121">
        <v>61</v>
      </c>
      <c r="J121" s="4">
        <f t="shared" si="8"/>
        <v>0.21895199999999998</v>
      </c>
      <c r="K121" s="4">
        <f t="shared" si="8"/>
        <v>0.17662950000000002</v>
      </c>
      <c r="L121" s="4">
        <f t="shared" si="8"/>
        <v>0.19222199999999998</v>
      </c>
      <c r="M121" s="4">
        <f t="shared" si="8"/>
        <v>0.22786200000000001</v>
      </c>
      <c r="N121" s="4">
        <f t="shared" si="8"/>
        <v>0.2389995</v>
      </c>
      <c r="O121" s="4">
        <f t="shared" si="8"/>
        <v>0.20113199999999998</v>
      </c>
      <c r="P121" s="4">
        <f t="shared" si="8"/>
        <v>0.20781449999999999</v>
      </c>
      <c r="Q121" s="4">
        <f t="shared" si="8"/>
        <v>0.2122695</v>
      </c>
      <c r="R121" s="4">
        <f t="shared" si="8"/>
        <v>0.18999449999999996</v>
      </c>
      <c r="S121" s="4">
        <f t="shared" si="8"/>
        <v>0.19801350000000004</v>
      </c>
    </row>
    <row r="122" spans="9:19" x14ac:dyDescent="0.25">
      <c r="I122">
        <v>62</v>
      </c>
      <c r="J122" s="4">
        <f t="shared" si="8"/>
        <v>0.24568199999999998</v>
      </c>
      <c r="K122" s="4">
        <f t="shared" si="8"/>
        <v>0.25681949999999998</v>
      </c>
      <c r="L122" s="4">
        <f t="shared" si="8"/>
        <v>0.27241199999999993</v>
      </c>
      <c r="M122" s="4">
        <f t="shared" si="8"/>
        <v>0.21672450000000001</v>
      </c>
      <c r="N122" s="4">
        <f t="shared" si="8"/>
        <v>0.24122700000000002</v>
      </c>
      <c r="O122" s="4">
        <f t="shared" si="8"/>
        <v>0.267957</v>
      </c>
      <c r="P122" s="4">
        <f t="shared" si="8"/>
        <v>0.2211795</v>
      </c>
      <c r="Q122" s="4">
        <f t="shared" si="8"/>
        <v>0.20335949999999997</v>
      </c>
      <c r="R122" s="4">
        <f t="shared" si="8"/>
        <v>0.18108450000000001</v>
      </c>
      <c r="S122" s="4">
        <f t="shared" si="8"/>
        <v>0.20536425000000005</v>
      </c>
    </row>
    <row r="123" spans="9:19" x14ac:dyDescent="0.25">
      <c r="I123">
        <v>63</v>
      </c>
      <c r="J123" s="4">
        <f t="shared" si="8"/>
        <v>0.267957</v>
      </c>
      <c r="K123" s="4">
        <f t="shared" si="8"/>
        <v>0.24345450000000002</v>
      </c>
      <c r="L123" s="4">
        <f t="shared" si="8"/>
        <v>0.23454450000000002</v>
      </c>
      <c r="M123" s="4">
        <f t="shared" si="8"/>
        <v>0.21672450000000001</v>
      </c>
      <c r="N123" s="4">
        <f t="shared" si="8"/>
        <v>0.23008950000000003</v>
      </c>
      <c r="O123" s="4">
        <f t="shared" si="8"/>
        <v>0.2389995</v>
      </c>
      <c r="P123" s="4">
        <f t="shared" si="8"/>
        <v>0.18999449999999996</v>
      </c>
      <c r="Q123" s="4">
        <f t="shared" si="8"/>
        <v>0.17885699999999999</v>
      </c>
      <c r="R123" s="4">
        <f t="shared" si="8"/>
        <v>0.165492</v>
      </c>
      <c r="S123" s="4">
        <f t="shared" si="8"/>
        <v>0.17351100000000003</v>
      </c>
    </row>
    <row r="124" spans="9:19" x14ac:dyDescent="0.25">
      <c r="I124">
        <v>64</v>
      </c>
      <c r="J124" s="4">
        <f t="shared" ref="J124:S124" si="9">IF(J96&lt;0,"",J96/100)</f>
        <v>0.27686699999999997</v>
      </c>
      <c r="K124" s="4">
        <f t="shared" si="9"/>
        <v>0.26350199999999996</v>
      </c>
      <c r="L124" s="4">
        <f t="shared" si="9"/>
        <v>0.22786200000000001</v>
      </c>
      <c r="M124" s="4">
        <f t="shared" si="9"/>
        <v>0.24345450000000002</v>
      </c>
      <c r="N124" s="4">
        <f t="shared" si="9"/>
        <v>0.25904699999999997</v>
      </c>
      <c r="O124" s="4">
        <f t="shared" si="9"/>
        <v>0.25681949999999998</v>
      </c>
      <c r="P124" s="4">
        <f t="shared" si="9"/>
        <v>0.22563449999999999</v>
      </c>
      <c r="Q124" s="4">
        <f t="shared" si="9"/>
        <v>0.17662950000000002</v>
      </c>
      <c r="R124" s="4">
        <f t="shared" si="9"/>
        <v>0.15212699999999998</v>
      </c>
      <c r="S124" s="4">
        <f t="shared" si="9"/>
        <v>0.16371000000000005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ED51-7B08-423B-AB5B-F5E357FA7EFE}">
  <dimension ref="A1:T124"/>
  <sheetViews>
    <sheetView topLeftCell="F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10343</v>
      </c>
      <c r="F1">
        <v>0</v>
      </c>
      <c r="G1">
        <v>10</v>
      </c>
      <c r="H1">
        <v>1825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6</v>
      </c>
      <c r="G18">
        <v>29</v>
      </c>
      <c r="H18">
        <v>6</v>
      </c>
      <c r="I18">
        <v>33</v>
      </c>
      <c r="J18">
        <v>1.0900000000000001</v>
      </c>
      <c r="K18">
        <v>1.1499999999999999</v>
      </c>
      <c r="L18">
        <v>1.3</v>
      </c>
      <c r="M18">
        <v>1.46</v>
      </c>
      <c r="N18">
        <v>1.35</v>
      </c>
      <c r="O18">
        <v>1.45</v>
      </c>
      <c r="P18">
        <v>1.46</v>
      </c>
      <c r="Q18">
        <v>1.31</v>
      </c>
      <c r="R18">
        <v>1.32</v>
      </c>
      <c r="S18">
        <v>1.25</v>
      </c>
      <c r="T18">
        <v>3735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6</v>
      </c>
      <c r="G19">
        <v>29</v>
      </c>
      <c r="H19">
        <v>6</v>
      </c>
      <c r="I19">
        <v>37</v>
      </c>
      <c r="J19">
        <v>1.35</v>
      </c>
      <c r="K19">
        <v>1.37</v>
      </c>
      <c r="L19">
        <v>1.19</v>
      </c>
      <c r="M19">
        <v>1.18</v>
      </c>
      <c r="N19">
        <v>1.1299999999999999</v>
      </c>
      <c r="O19">
        <v>1.2</v>
      </c>
      <c r="P19">
        <v>1.1499999999999999</v>
      </c>
      <c r="Q19">
        <v>1.27</v>
      </c>
      <c r="R19">
        <v>1.03</v>
      </c>
      <c r="S19">
        <v>0.88</v>
      </c>
      <c r="T19">
        <v>3743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6</v>
      </c>
      <c r="G20">
        <v>29</v>
      </c>
      <c r="H20">
        <v>6</v>
      </c>
      <c r="I20">
        <v>42</v>
      </c>
      <c r="J20">
        <v>1.29</v>
      </c>
      <c r="K20">
        <v>1.23</v>
      </c>
      <c r="L20">
        <v>1.25</v>
      </c>
      <c r="M20">
        <v>1.4</v>
      </c>
      <c r="N20">
        <v>1.43</v>
      </c>
      <c r="O20">
        <v>1.41</v>
      </c>
      <c r="P20">
        <v>1.34</v>
      </c>
      <c r="Q20">
        <v>1.1499999999999999</v>
      </c>
      <c r="R20">
        <v>1.1000000000000001</v>
      </c>
      <c r="S20">
        <v>1.07</v>
      </c>
      <c r="T20">
        <v>3722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6</v>
      </c>
      <c r="G21">
        <v>29</v>
      </c>
      <c r="H21">
        <v>6</v>
      </c>
      <c r="I21">
        <v>46</v>
      </c>
      <c r="J21">
        <v>1.43</v>
      </c>
      <c r="K21">
        <v>1.42</v>
      </c>
      <c r="L21">
        <v>1.46</v>
      </c>
      <c r="M21">
        <v>1.44</v>
      </c>
      <c r="N21">
        <v>1.32</v>
      </c>
      <c r="O21">
        <v>1.31</v>
      </c>
      <c r="P21">
        <v>1.48</v>
      </c>
      <c r="Q21">
        <v>1.38</v>
      </c>
      <c r="R21">
        <v>1.21</v>
      </c>
      <c r="S21">
        <v>1.1000000000000001</v>
      </c>
      <c r="T21">
        <v>3732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6</v>
      </c>
      <c r="G22">
        <v>29</v>
      </c>
      <c r="H22">
        <v>6</v>
      </c>
      <c r="I22">
        <v>52</v>
      </c>
      <c r="J22">
        <v>1.04</v>
      </c>
      <c r="K22">
        <v>0.9</v>
      </c>
      <c r="L22">
        <v>0.85</v>
      </c>
      <c r="M22">
        <v>0.86</v>
      </c>
      <c r="N22">
        <v>0.83</v>
      </c>
      <c r="O22">
        <v>0.79</v>
      </c>
      <c r="P22">
        <v>0.76</v>
      </c>
      <c r="Q22">
        <v>0.83</v>
      </c>
      <c r="R22">
        <v>1.06</v>
      </c>
      <c r="S22">
        <v>1.21</v>
      </c>
      <c r="T22">
        <v>3754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6</v>
      </c>
      <c r="G23">
        <v>29</v>
      </c>
      <c r="H23">
        <v>6</v>
      </c>
      <c r="I23">
        <v>56</v>
      </c>
      <c r="J23">
        <v>1.36</v>
      </c>
      <c r="K23">
        <v>1.35</v>
      </c>
      <c r="L23">
        <v>1.46</v>
      </c>
      <c r="M23">
        <v>1.49</v>
      </c>
      <c r="N23">
        <v>1.36</v>
      </c>
      <c r="O23">
        <v>1.1100000000000001</v>
      </c>
      <c r="P23">
        <v>1.08</v>
      </c>
      <c r="Q23">
        <v>1.1399999999999999</v>
      </c>
      <c r="R23">
        <v>1.05</v>
      </c>
      <c r="S23">
        <v>0.99</v>
      </c>
      <c r="T23">
        <v>3757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6</v>
      </c>
      <c r="G24">
        <v>29</v>
      </c>
      <c r="H24">
        <v>7</v>
      </c>
      <c r="I24">
        <v>1</v>
      </c>
      <c r="J24">
        <v>1.43</v>
      </c>
      <c r="K24">
        <v>1.37</v>
      </c>
      <c r="L24">
        <v>1.37</v>
      </c>
      <c r="M24">
        <v>1.4</v>
      </c>
      <c r="N24">
        <v>1.35</v>
      </c>
      <c r="O24">
        <v>1.1499999999999999</v>
      </c>
      <c r="P24">
        <v>1.01</v>
      </c>
      <c r="Q24">
        <v>1.2</v>
      </c>
      <c r="R24">
        <v>1.18</v>
      </c>
      <c r="S24">
        <v>1.1499999999999999</v>
      </c>
      <c r="T24">
        <v>3731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6</v>
      </c>
      <c r="G25">
        <v>29</v>
      </c>
      <c r="H25">
        <v>7</v>
      </c>
      <c r="I25">
        <v>5</v>
      </c>
      <c r="J25">
        <v>1.49</v>
      </c>
      <c r="K25">
        <v>1.37</v>
      </c>
      <c r="L25">
        <v>1.41</v>
      </c>
      <c r="M25">
        <v>1.39</v>
      </c>
      <c r="N25">
        <v>1.44</v>
      </c>
      <c r="O25">
        <v>1.43</v>
      </c>
      <c r="P25">
        <v>1.23</v>
      </c>
      <c r="Q25">
        <v>1.27</v>
      </c>
      <c r="R25">
        <v>1.1000000000000001</v>
      </c>
      <c r="S25">
        <v>1.17</v>
      </c>
      <c r="T25">
        <v>3747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6</v>
      </c>
      <c r="G26">
        <v>29</v>
      </c>
      <c r="H26">
        <v>7</v>
      </c>
      <c r="I26">
        <v>1</v>
      </c>
      <c r="J26">
        <v>1.53</v>
      </c>
      <c r="K26">
        <v>1.43</v>
      </c>
      <c r="L26">
        <v>1.43</v>
      </c>
      <c r="M26">
        <v>1.47</v>
      </c>
      <c r="N26">
        <v>1.49</v>
      </c>
      <c r="O26">
        <v>1.32</v>
      </c>
      <c r="P26">
        <v>1.1299999999999999</v>
      </c>
      <c r="Q26">
        <v>1.02</v>
      </c>
      <c r="R26">
        <v>1.03</v>
      </c>
      <c r="S26">
        <v>1.1000000000000001</v>
      </c>
      <c r="T26">
        <v>3725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6</v>
      </c>
      <c r="G27">
        <v>29</v>
      </c>
      <c r="H27">
        <v>7</v>
      </c>
      <c r="I27">
        <v>13</v>
      </c>
      <c r="J27">
        <v>1.21</v>
      </c>
      <c r="K27">
        <v>1.1399999999999999</v>
      </c>
      <c r="L27">
        <v>1.02</v>
      </c>
      <c r="M27">
        <v>0.97</v>
      </c>
      <c r="N27">
        <v>0.93</v>
      </c>
      <c r="O27">
        <v>0.91</v>
      </c>
      <c r="P27">
        <v>0.99</v>
      </c>
      <c r="Q27">
        <v>1.18</v>
      </c>
      <c r="R27">
        <v>1.21</v>
      </c>
      <c r="S27">
        <v>1.19</v>
      </c>
      <c r="T27">
        <v>3750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6</v>
      </c>
      <c r="G28">
        <v>29</v>
      </c>
      <c r="H28">
        <v>7</v>
      </c>
      <c r="I28">
        <v>17</v>
      </c>
      <c r="J28">
        <v>1.1599999999999999</v>
      </c>
      <c r="K28">
        <v>1.1599999999999999</v>
      </c>
      <c r="L28">
        <v>1.34</v>
      </c>
      <c r="M28">
        <v>1.44</v>
      </c>
      <c r="N28">
        <v>1.35</v>
      </c>
      <c r="O28">
        <v>1.28</v>
      </c>
      <c r="P28">
        <v>1.33</v>
      </c>
      <c r="Q28">
        <v>1.25</v>
      </c>
      <c r="R28">
        <v>1.29</v>
      </c>
      <c r="S28">
        <v>1.25</v>
      </c>
      <c r="T28">
        <v>3747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6</v>
      </c>
      <c r="G29">
        <v>29</v>
      </c>
      <c r="H29">
        <v>7</v>
      </c>
      <c r="I29">
        <v>22</v>
      </c>
      <c r="J29">
        <v>1.01</v>
      </c>
      <c r="K29">
        <v>1.07</v>
      </c>
      <c r="L29">
        <v>1.29</v>
      </c>
      <c r="M29">
        <v>1.38</v>
      </c>
      <c r="N29">
        <v>1.41</v>
      </c>
      <c r="O29">
        <v>1.42</v>
      </c>
      <c r="P29">
        <v>1.46</v>
      </c>
      <c r="Q29">
        <v>1.26</v>
      </c>
      <c r="R29">
        <v>1.05</v>
      </c>
      <c r="S29">
        <v>1.04</v>
      </c>
      <c r="T29">
        <v>3732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6</v>
      </c>
      <c r="G30">
        <v>29</v>
      </c>
      <c r="H30">
        <v>7</v>
      </c>
      <c r="I30">
        <v>26</v>
      </c>
      <c r="J30">
        <v>1.1100000000000001</v>
      </c>
      <c r="K30">
        <v>1.17</v>
      </c>
      <c r="L30">
        <v>1.46</v>
      </c>
      <c r="M30">
        <v>1.42</v>
      </c>
      <c r="N30">
        <v>1.46</v>
      </c>
      <c r="O30">
        <v>1.4</v>
      </c>
      <c r="P30">
        <v>1.43</v>
      </c>
      <c r="Q30">
        <v>1.18</v>
      </c>
      <c r="R30">
        <v>0.92</v>
      </c>
      <c r="S30">
        <v>0.91</v>
      </c>
      <c r="T30">
        <v>3742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6</v>
      </c>
      <c r="G31">
        <v>29</v>
      </c>
      <c r="H31">
        <v>7</v>
      </c>
      <c r="I31">
        <v>30</v>
      </c>
      <c r="J31">
        <v>1.31</v>
      </c>
      <c r="K31">
        <v>1.32</v>
      </c>
      <c r="L31">
        <v>1.4</v>
      </c>
      <c r="M31">
        <v>1.23</v>
      </c>
      <c r="N31">
        <v>1.27</v>
      </c>
      <c r="O31">
        <v>1.28</v>
      </c>
      <c r="P31">
        <v>1.31</v>
      </c>
      <c r="Q31">
        <v>1.1499999999999999</v>
      </c>
      <c r="R31">
        <v>0.98</v>
      </c>
      <c r="S31">
        <v>1.03</v>
      </c>
      <c r="T31">
        <v>3725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6</v>
      </c>
      <c r="G32">
        <v>29</v>
      </c>
      <c r="H32">
        <v>7</v>
      </c>
      <c r="I32">
        <v>34</v>
      </c>
      <c r="J32">
        <v>1.28</v>
      </c>
      <c r="K32">
        <v>1.27</v>
      </c>
      <c r="L32">
        <v>1.37</v>
      </c>
      <c r="M32">
        <v>1.39</v>
      </c>
      <c r="N32">
        <v>1.5</v>
      </c>
      <c r="O32">
        <v>1.32</v>
      </c>
      <c r="P32">
        <v>1.1200000000000001</v>
      </c>
      <c r="Q32">
        <v>1.06</v>
      </c>
      <c r="R32">
        <v>1.02</v>
      </c>
      <c r="S32">
        <v>1.02</v>
      </c>
      <c r="T32">
        <v>3724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6</v>
      </c>
      <c r="G33">
        <v>29</v>
      </c>
      <c r="H33">
        <v>7</v>
      </c>
      <c r="I33">
        <v>30</v>
      </c>
      <c r="J33">
        <v>1.28</v>
      </c>
      <c r="K33">
        <v>1.38</v>
      </c>
      <c r="L33">
        <v>1.55</v>
      </c>
      <c r="M33">
        <v>1.48</v>
      </c>
      <c r="N33">
        <v>1.53</v>
      </c>
      <c r="O33">
        <v>1.54</v>
      </c>
      <c r="P33">
        <v>1.26</v>
      </c>
      <c r="Q33">
        <v>1.21</v>
      </c>
      <c r="R33">
        <v>1.21</v>
      </c>
      <c r="S33">
        <v>1.1399999999999999</v>
      </c>
      <c r="T33">
        <v>3693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6</v>
      </c>
      <c r="G34">
        <v>29</v>
      </c>
      <c r="H34">
        <v>7</v>
      </c>
      <c r="I34">
        <v>44</v>
      </c>
      <c r="J34">
        <v>1.56</v>
      </c>
      <c r="K34">
        <v>1.46</v>
      </c>
      <c r="L34">
        <v>1.46</v>
      </c>
      <c r="M34">
        <v>1.52</v>
      </c>
      <c r="N34">
        <v>1.41</v>
      </c>
      <c r="O34">
        <v>1.39</v>
      </c>
      <c r="P34">
        <v>1.29</v>
      </c>
      <c r="Q34">
        <v>1.28</v>
      </c>
      <c r="R34">
        <v>1.31</v>
      </c>
      <c r="S34">
        <v>1.27</v>
      </c>
      <c r="T34">
        <v>3716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6</v>
      </c>
      <c r="G35">
        <v>29</v>
      </c>
      <c r="H35">
        <v>7</v>
      </c>
      <c r="I35">
        <v>50</v>
      </c>
      <c r="J35">
        <v>1.45</v>
      </c>
      <c r="K35">
        <v>1.42</v>
      </c>
      <c r="L35">
        <v>1.5</v>
      </c>
      <c r="M35">
        <v>1.55</v>
      </c>
      <c r="N35">
        <v>1.64</v>
      </c>
      <c r="O35">
        <v>1.56</v>
      </c>
      <c r="P35">
        <v>1.48</v>
      </c>
      <c r="Q35">
        <v>1.26</v>
      </c>
      <c r="R35">
        <v>1.21</v>
      </c>
      <c r="S35">
        <v>1.17</v>
      </c>
      <c r="T35">
        <v>3705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6</v>
      </c>
      <c r="G36">
        <v>29</v>
      </c>
      <c r="H36">
        <v>7</v>
      </c>
      <c r="I36">
        <v>54</v>
      </c>
      <c r="J36">
        <v>1.41</v>
      </c>
      <c r="K36">
        <v>1.39</v>
      </c>
      <c r="L36">
        <v>1.49</v>
      </c>
      <c r="M36">
        <v>1.55</v>
      </c>
      <c r="N36">
        <v>1.51</v>
      </c>
      <c r="O36">
        <v>1.48</v>
      </c>
      <c r="P36">
        <v>1.41</v>
      </c>
      <c r="Q36">
        <v>1.04</v>
      </c>
      <c r="R36">
        <v>0.92</v>
      </c>
      <c r="S36">
        <v>0.85</v>
      </c>
      <c r="T36">
        <v>3715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6</v>
      </c>
      <c r="G37">
        <v>29</v>
      </c>
      <c r="H37">
        <v>8</v>
      </c>
      <c r="I37">
        <v>3</v>
      </c>
      <c r="J37">
        <v>1.36</v>
      </c>
      <c r="K37">
        <v>1.37</v>
      </c>
      <c r="L37">
        <v>1.36</v>
      </c>
      <c r="M37">
        <v>1.48</v>
      </c>
      <c r="N37">
        <v>1.53</v>
      </c>
      <c r="O37">
        <v>1.52</v>
      </c>
      <c r="P37">
        <v>1.43</v>
      </c>
      <c r="Q37">
        <v>1.31</v>
      </c>
      <c r="R37">
        <v>1.1399999999999999</v>
      </c>
      <c r="S37">
        <v>1.1599999999999999</v>
      </c>
      <c r="T37">
        <v>3698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6</v>
      </c>
      <c r="G38">
        <v>29</v>
      </c>
      <c r="H38">
        <v>8</v>
      </c>
      <c r="I38">
        <v>0</v>
      </c>
      <c r="J38">
        <v>1.5</v>
      </c>
      <c r="K38">
        <v>1.42</v>
      </c>
      <c r="L38">
        <v>1.24</v>
      </c>
      <c r="M38">
        <v>1.35</v>
      </c>
      <c r="N38">
        <v>1.42</v>
      </c>
      <c r="O38">
        <v>1.37</v>
      </c>
      <c r="P38">
        <v>1.25</v>
      </c>
      <c r="Q38">
        <v>0.98</v>
      </c>
      <c r="R38">
        <v>0.89</v>
      </c>
      <c r="S38">
        <v>1.03</v>
      </c>
      <c r="T38">
        <v>3699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6</v>
      </c>
      <c r="G39">
        <v>29</v>
      </c>
      <c r="H39">
        <v>8</v>
      </c>
      <c r="I39">
        <v>12</v>
      </c>
      <c r="J39">
        <v>1.49</v>
      </c>
      <c r="K39">
        <v>1.34</v>
      </c>
      <c r="L39">
        <v>1.31</v>
      </c>
      <c r="M39">
        <v>1.23</v>
      </c>
      <c r="N39">
        <v>1.29</v>
      </c>
      <c r="O39">
        <v>1.33</v>
      </c>
      <c r="P39">
        <v>1.1100000000000001</v>
      </c>
      <c r="Q39">
        <v>1.02</v>
      </c>
      <c r="R39">
        <v>0.94</v>
      </c>
      <c r="S39">
        <v>0.96</v>
      </c>
      <c r="T39">
        <v>3692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6</v>
      </c>
      <c r="G40">
        <v>29</v>
      </c>
      <c r="H40">
        <v>8</v>
      </c>
      <c r="I40">
        <v>16</v>
      </c>
      <c r="J40">
        <v>1.34</v>
      </c>
      <c r="K40">
        <v>1.37</v>
      </c>
      <c r="L40">
        <v>1.45</v>
      </c>
      <c r="M40">
        <v>1.23</v>
      </c>
      <c r="N40">
        <v>1.32</v>
      </c>
      <c r="O40">
        <v>1.46</v>
      </c>
      <c r="P40">
        <v>1.22</v>
      </c>
      <c r="Q40">
        <v>1.19</v>
      </c>
      <c r="R40">
        <v>1.23</v>
      </c>
      <c r="S40">
        <v>1.19</v>
      </c>
      <c r="T40">
        <v>3692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6</v>
      </c>
      <c r="G41">
        <v>29</v>
      </c>
      <c r="H41">
        <v>8</v>
      </c>
      <c r="I41">
        <v>20</v>
      </c>
      <c r="J41">
        <v>1.23</v>
      </c>
      <c r="K41">
        <v>1.06</v>
      </c>
      <c r="L41">
        <v>1.1100000000000001</v>
      </c>
      <c r="M41">
        <v>1.25</v>
      </c>
      <c r="N41">
        <v>1.35</v>
      </c>
      <c r="O41">
        <v>1.1499999999999999</v>
      </c>
      <c r="P41">
        <v>1.1599999999999999</v>
      </c>
      <c r="Q41">
        <v>1.2</v>
      </c>
      <c r="R41">
        <v>1.1100000000000001</v>
      </c>
      <c r="S41">
        <v>1.1599999999999999</v>
      </c>
      <c r="T41">
        <v>3661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6</v>
      </c>
      <c r="G45">
        <v>29</v>
      </c>
      <c r="H45">
        <v>6</v>
      </c>
      <c r="I45">
        <v>33</v>
      </c>
      <c r="J45">
        <v>1.0900000000000001</v>
      </c>
      <c r="K45">
        <v>1.1499999999999999</v>
      </c>
      <c r="L45">
        <v>1.3</v>
      </c>
      <c r="M45">
        <v>1.46</v>
      </c>
      <c r="N45">
        <v>1.35</v>
      </c>
      <c r="O45">
        <v>1.45</v>
      </c>
      <c r="P45">
        <v>1.46</v>
      </c>
      <c r="Q45">
        <v>1.31</v>
      </c>
      <c r="R45">
        <v>1.32</v>
      </c>
      <c r="S45">
        <v>1.25</v>
      </c>
      <c r="T45">
        <v>3735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6</v>
      </c>
      <c r="G46">
        <v>29</v>
      </c>
      <c r="H46">
        <v>6</v>
      </c>
      <c r="I46">
        <v>37</v>
      </c>
      <c r="J46">
        <v>1.35</v>
      </c>
      <c r="K46">
        <v>1.37</v>
      </c>
      <c r="L46">
        <v>1.19</v>
      </c>
      <c r="M46">
        <v>1.18</v>
      </c>
      <c r="N46">
        <v>1.1299999999999999</v>
      </c>
      <c r="O46">
        <v>1.2</v>
      </c>
      <c r="P46">
        <v>1.1499999999999999</v>
      </c>
      <c r="Q46">
        <v>1.27</v>
      </c>
      <c r="R46">
        <v>1.03</v>
      </c>
      <c r="S46">
        <v>0.88</v>
      </c>
      <c r="T46">
        <v>3743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6</v>
      </c>
      <c r="G47">
        <v>29</v>
      </c>
      <c r="H47">
        <v>6</v>
      </c>
      <c r="I47">
        <v>42</v>
      </c>
      <c r="J47">
        <v>1.29</v>
      </c>
      <c r="K47">
        <v>1.23</v>
      </c>
      <c r="L47">
        <v>1.25</v>
      </c>
      <c r="M47">
        <v>1.4</v>
      </c>
      <c r="N47">
        <v>1.43</v>
      </c>
      <c r="O47">
        <v>1.41</v>
      </c>
      <c r="P47">
        <v>1.34</v>
      </c>
      <c r="Q47">
        <v>1.1499999999999999</v>
      </c>
      <c r="R47">
        <v>1.1000000000000001</v>
      </c>
      <c r="S47">
        <v>1.07</v>
      </c>
      <c r="T47">
        <v>3722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6</v>
      </c>
      <c r="G48">
        <v>29</v>
      </c>
      <c r="H48">
        <v>6</v>
      </c>
      <c r="I48">
        <v>46</v>
      </c>
      <c r="J48">
        <v>1.43</v>
      </c>
      <c r="K48">
        <v>1.42</v>
      </c>
      <c r="L48">
        <v>1.46</v>
      </c>
      <c r="M48">
        <v>1.44</v>
      </c>
      <c r="N48">
        <v>1.32</v>
      </c>
      <c r="O48">
        <v>1.31</v>
      </c>
      <c r="P48">
        <v>1.48</v>
      </c>
      <c r="Q48">
        <v>1.38</v>
      </c>
      <c r="R48">
        <v>1.21</v>
      </c>
      <c r="S48">
        <v>1.1000000000000001</v>
      </c>
      <c r="T48">
        <v>3732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6</v>
      </c>
      <c r="G49">
        <v>29</v>
      </c>
      <c r="H49">
        <v>7</v>
      </c>
      <c r="I49">
        <v>5</v>
      </c>
      <c r="J49">
        <v>1.49</v>
      </c>
      <c r="K49">
        <v>1.37</v>
      </c>
      <c r="L49">
        <v>1.41</v>
      </c>
      <c r="M49">
        <v>1.39</v>
      </c>
      <c r="N49">
        <v>1.44</v>
      </c>
      <c r="O49">
        <v>1.43</v>
      </c>
      <c r="P49">
        <v>1.23</v>
      </c>
      <c r="Q49">
        <v>1.27</v>
      </c>
      <c r="R49">
        <v>1.1000000000000001</v>
      </c>
      <c r="S49">
        <v>1.17</v>
      </c>
      <c r="T49">
        <v>3747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6</v>
      </c>
      <c r="G50">
        <v>29</v>
      </c>
      <c r="H50">
        <v>7</v>
      </c>
      <c r="I50">
        <v>1</v>
      </c>
      <c r="J50">
        <v>1.43</v>
      </c>
      <c r="K50">
        <v>1.37</v>
      </c>
      <c r="L50">
        <v>1.37</v>
      </c>
      <c r="M50">
        <v>1.4</v>
      </c>
      <c r="N50">
        <v>1.35</v>
      </c>
      <c r="O50">
        <v>1.1499999999999999</v>
      </c>
      <c r="P50">
        <v>1.01</v>
      </c>
      <c r="Q50">
        <v>1.2</v>
      </c>
      <c r="R50">
        <v>1.18</v>
      </c>
      <c r="S50">
        <v>1.1499999999999999</v>
      </c>
      <c r="T50">
        <v>3731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6</v>
      </c>
      <c r="G51">
        <v>29</v>
      </c>
      <c r="H51">
        <v>6</v>
      </c>
      <c r="I51">
        <v>56</v>
      </c>
      <c r="J51">
        <v>1.36</v>
      </c>
      <c r="K51">
        <v>1.35</v>
      </c>
      <c r="L51">
        <v>1.46</v>
      </c>
      <c r="M51">
        <v>1.49</v>
      </c>
      <c r="N51">
        <v>1.36</v>
      </c>
      <c r="O51">
        <v>1.1100000000000001</v>
      </c>
      <c r="P51">
        <v>1.08</v>
      </c>
      <c r="Q51">
        <v>1.1399999999999999</v>
      </c>
      <c r="R51">
        <v>1.05</v>
      </c>
      <c r="S51">
        <v>0.99</v>
      </c>
      <c r="T51">
        <v>3757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6</v>
      </c>
      <c r="G52">
        <v>29</v>
      </c>
      <c r="H52">
        <v>6</v>
      </c>
      <c r="I52">
        <v>52</v>
      </c>
      <c r="J52">
        <v>1.04</v>
      </c>
      <c r="K52">
        <v>0.9</v>
      </c>
      <c r="L52">
        <v>0.85</v>
      </c>
      <c r="M52">
        <v>0.86</v>
      </c>
      <c r="N52">
        <v>0.83</v>
      </c>
      <c r="O52">
        <v>0.79</v>
      </c>
      <c r="P52">
        <v>0.76</v>
      </c>
      <c r="Q52">
        <v>0.83</v>
      </c>
      <c r="R52">
        <v>1.06</v>
      </c>
      <c r="S52">
        <v>1.21</v>
      </c>
      <c r="T52">
        <v>3754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6</v>
      </c>
      <c r="G53">
        <v>29</v>
      </c>
      <c r="H53">
        <v>7</v>
      </c>
      <c r="I53">
        <v>1</v>
      </c>
      <c r="J53">
        <v>1.53</v>
      </c>
      <c r="K53">
        <v>1.43</v>
      </c>
      <c r="L53">
        <v>1.43</v>
      </c>
      <c r="M53">
        <v>1.47</v>
      </c>
      <c r="N53">
        <v>1.49</v>
      </c>
      <c r="O53">
        <v>1.32</v>
      </c>
      <c r="P53">
        <v>1.1299999999999999</v>
      </c>
      <c r="Q53">
        <v>1.02</v>
      </c>
      <c r="R53">
        <v>1.03</v>
      </c>
      <c r="S53">
        <v>1.1000000000000001</v>
      </c>
      <c r="T53">
        <v>3725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6</v>
      </c>
      <c r="G54">
        <v>29</v>
      </c>
      <c r="H54">
        <v>7</v>
      </c>
      <c r="I54">
        <v>13</v>
      </c>
      <c r="J54">
        <v>1.21</v>
      </c>
      <c r="K54">
        <v>1.1399999999999999</v>
      </c>
      <c r="L54">
        <v>1.02</v>
      </c>
      <c r="M54">
        <v>0.97</v>
      </c>
      <c r="N54">
        <v>0.93</v>
      </c>
      <c r="O54">
        <v>0.91</v>
      </c>
      <c r="P54">
        <v>0.99</v>
      </c>
      <c r="Q54">
        <v>1.18</v>
      </c>
      <c r="R54">
        <v>1.21</v>
      </c>
      <c r="S54">
        <v>1.19</v>
      </c>
      <c r="T54">
        <v>3750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6</v>
      </c>
      <c r="G55">
        <v>29</v>
      </c>
      <c r="H55">
        <v>7</v>
      </c>
      <c r="I55">
        <v>17</v>
      </c>
      <c r="J55">
        <v>1.1599999999999999</v>
      </c>
      <c r="K55">
        <v>1.1599999999999999</v>
      </c>
      <c r="L55">
        <v>1.34</v>
      </c>
      <c r="M55">
        <v>1.44</v>
      </c>
      <c r="N55">
        <v>1.35</v>
      </c>
      <c r="O55">
        <v>1.28</v>
      </c>
      <c r="P55">
        <v>1.33</v>
      </c>
      <c r="Q55">
        <v>1.25</v>
      </c>
      <c r="R55">
        <v>1.29</v>
      </c>
      <c r="S55">
        <v>1.25</v>
      </c>
      <c r="T55">
        <v>3747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6</v>
      </c>
      <c r="G56">
        <v>29</v>
      </c>
      <c r="H56">
        <v>7</v>
      </c>
      <c r="I56">
        <v>22</v>
      </c>
      <c r="J56">
        <v>1.01</v>
      </c>
      <c r="K56">
        <v>1.07</v>
      </c>
      <c r="L56">
        <v>1.29</v>
      </c>
      <c r="M56">
        <v>1.38</v>
      </c>
      <c r="N56">
        <v>1.41</v>
      </c>
      <c r="O56">
        <v>1.42</v>
      </c>
      <c r="P56">
        <v>1.46</v>
      </c>
      <c r="Q56">
        <v>1.26</v>
      </c>
      <c r="R56">
        <v>1.05</v>
      </c>
      <c r="S56">
        <v>1.04</v>
      </c>
      <c r="T56">
        <v>3732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6</v>
      </c>
      <c r="G57">
        <v>29</v>
      </c>
      <c r="H57">
        <v>7</v>
      </c>
      <c r="I57">
        <v>30</v>
      </c>
      <c r="J57">
        <v>1.28</v>
      </c>
      <c r="K57">
        <v>1.38</v>
      </c>
      <c r="L57">
        <v>1.55</v>
      </c>
      <c r="M57">
        <v>1.48</v>
      </c>
      <c r="N57">
        <v>1.53</v>
      </c>
      <c r="O57">
        <v>1.54</v>
      </c>
      <c r="P57">
        <v>1.26</v>
      </c>
      <c r="Q57">
        <v>1.21</v>
      </c>
      <c r="R57">
        <v>1.21</v>
      </c>
      <c r="S57">
        <v>1.1399999999999999</v>
      </c>
      <c r="T57">
        <v>3693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6</v>
      </c>
      <c r="G58">
        <v>29</v>
      </c>
      <c r="H58">
        <v>7</v>
      </c>
      <c r="I58">
        <v>34</v>
      </c>
      <c r="J58">
        <v>1.28</v>
      </c>
      <c r="K58">
        <v>1.27</v>
      </c>
      <c r="L58">
        <v>1.37</v>
      </c>
      <c r="M58">
        <v>1.39</v>
      </c>
      <c r="N58">
        <v>1.5</v>
      </c>
      <c r="O58">
        <v>1.32</v>
      </c>
      <c r="P58">
        <v>1.1200000000000001</v>
      </c>
      <c r="Q58">
        <v>1.06</v>
      </c>
      <c r="R58">
        <v>1.02</v>
      </c>
      <c r="S58">
        <v>1.02</v>
      </c>
      <c r="T58">
        <v>3724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6</v>
      </c>
      <c r="G59">
        <v>29</v>
      </c>
      <c r="H59">
        <v>7</v>
      </c>
      <c r="I59">
        <v>30</v>
      </c>
      <c r="J59">
        <v>1.31</v>
      </c>
      <c r="K59">
        <v>1.32</v>
      </c>
      <c r="L59">
        <v>1.4</v>
      </c>
      <c r="M59">
        <v>1.23</v>
      </c>
      <c r="N59">
        <v>1.27</v>
      </c>
      <c r="O59">
        <v>1.28</v>
      </c>
      <c r="P59">
        <v>1.31</v>
      </c>
      <c r="Q59">
        <v>1.1499999999999999</v>
      </c>
      <c r="R59">
        <v>0.98</v>
      </c>
      <c r="S59">
        <v>1.03</v>
      </c>
      <c r="T59">
        <v>3725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6</v>
      </c>
      <c r="G60">
        <v>29</v>
      </c>
      <c r="H60">
        <v>7</v>
      </c>
      <c r="I60">
        <v>26</v>
      </c>
      <c r="J60">
        <v>1.1100000000000001</v>
      </c>
      <c r="K60">
        <v>1.17</v>
      </c>
      <c r="L60">
        <v>1.46</v>
      </c>
      <c r="M60">
        <v>1.42</v>
      </c>
      <c r="N60">
        <v>1.46</v>
      </c>
      <c r="O60">
        <v>1.4</v>
      </c>
      <c r="P60">
        <v>1.43</v>
      </c>
      <c r="Q60">
        <v>1.18</v>
      </c>
      <c r="R60">
        <v>0.92</v>
      </c>
      <c r="S60">
        <v>0.91</v>
      </c>
      <c r="T60">
        <v>3742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6</v>
      </c>
      <c r="G61">
        <v>29</v>
      </c>
      <c r="H61">
        <v>7</v>
      </c>
      <c r="I61">
        <v>44</v>
      </c>
      <c r="J61">
        <v>1.56</v>
      </c>
      <c r="K61">
        <v>1.46</v>
      </c>
      <c r="L61">
        <v>1.46</v>
      </c>
      <c r="M61">
        <v>1.52</v>
      </c>
      <c r="N61">
        <v>1.41</v>
      </c>
      <c r="O61">
        <v>1.39</v>
      </c>
      <c r="P61">
        <v>1.29</v>
      </c>
      <c r="Q61">
        <v>1.28</v>
      </c>
      <c r="R61">
        <v>1.31</v>
      </c>
      <c r="S61">
        <v>1.27</v>
      </c>
      <c r="T61">
        <v>3716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6</v>
      </c>
      <c r="G62">
        <v>29</v>
      </c>
      <c r="H62">
        <v>7</v>
      </c>
      <c r="I62">
        <v>50</v>
      </c>
      <c r="J62">
        <v>1.45</v>
      </c>
      <c r="K62">
        <v>1.42</v>
      </c>
      <c r="L62">
        <v>1.5</v>
      </c>
      <c r="M62">
        <v>1.55</v>
      </c>
      <c r="N62">
        <v>1.64</v>
      </c>
      <c r="O62">
        <v>1.56</v>
      </c>
      <c r="P62">
        <v>1.48</v>
      </c>
      <c r="Q62">
        <v>1.26</v>
      </c>
      <c r="R62">
        <v>1.21</v>
      </c>
      <c r="S62">
        <v>1.17</v>
      </c>
      <c r="T62">
        <v>3705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6</v>
      </c>
      <c r="G63">
        <v>29</v>
      </c>
      <c r="H63">
        <v>7</v>
      </c>
      <c r="I63">
        <v>54</v>
      </c>
      <c r="J63">
        <v>1.41</v>
      </c>
      <c r="K63">
        <v>1.39</v>
      </c>
      <c r="L63">
        <v>1.49</v>
      </c>
      <c r="M63">
        <v>1.55</v>
      </c>
      <c r="N63">
        <v>1.51</v>
      </c>
      <c r="O63">
        <v>1.48</v>
      </c>
      <c r="P63">
        <v>1.41</v>
      </c>
      <c r="Q63">
        <v>1.04</v>
      </c>
      <c r="R63">
        <v>0.92</v>
      </c>
      <c r="S63">
        <v>0.85</v>
      </c>
      <c r="T63">
        <v>3715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6</v>
      </c>
      <c r="G64">
        <v>29</v>
      </c>
      <c r="H64">
        <v>8</v>
      </c>
      <c r="I64">
        <v>3</v>
      </c>
      <c r="J64">
        <v>1.36</v>
      </c>
      <c r="K64">
        <v>1.37</v>
      </c>
      <c r="L64">
        <v>1.36</v>
      </c>
      <c r="M64">
        <v>1.48</v>
      </c>
      <c r="N64">
        <v>1.53</v>
      </c>
      <c r="O64">
        <v>1.52</v>
      </c>
      <c r="P64">
        <v>1.43</v>
      </c>
      <c r="Q64">
        <v>1.31</v>
      </c>
      <c r="R64">
        <v>1.1399999999999999</v>
      </c>
      <c r="S64">
        <v>1.1599999999999999</v>
      </c>
      <c r="T64">
        <v>3698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6</v>
      </c>
      <c r="G65">
        <v>29</v>
      </c>
      <c r="H65">
        <v>8</v>
      </c>
      <c r="I65">
        <v>20</v>
      </c>
      <c r="J65">
        <v>1.23</v>
      </c>
      <c r="K65">
        <v>1.06</v>
      </c>
      <c r="L65">
        <v>1.1100000000000001</v>
      </c>
      <c r="M65">
        <v>1.25</v>
      </c>
      <c r="N65">
        <v>1.35</v>
      </c>
      <c r="O65">
        <v>1.1499999999999999</v>
      </c>
      <c r="P65">
        <v>1.1599999999999999</v>
      </c>
      <c r="Q65">
        <v>1.2</v>
      </c>
      <c r="R65">
        <v>1.1100000000000001</v>
      </c>
      <c r="S65">
        <v>1.1599999999999999</v>
      </c>
      <c r="T65">
        <v>3661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6</v>
      </c>
      <c r="G66">
        <v>29</v>
      </c>
      <c r="H66">
        <v>8</v>
      </c>
      <c r="I66">
        <v>16</v>
      </c>
      <c r="J66">
        <v>1.34</v>
      </c>
      <c r="K66">
        <v>1.37</v>
      </c>
      <c r="L66">
        <v>1.45</v>
      </c>
      <c r="M66">
        <v>1.23</v>
      </c>
      <c r="N66">
        <v>1.32</v>
      </c>
      <c r="O66">
        <v>1.46</v>
      </c>
      <c r="P66">
        <v>1.22</v>
      </c>
      <c r="Q66">
        <v>1.19</v>
      </c>
      <c r="R66">
        <v>1.23</v>
      </c>
      <c r="S66">
        <v>1.19</v>
      </c>
      <c r="T66">
        <v>3692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6</v>
      </c>
      <c r="G67">
        <v>29</v>
      </c>
      <c r="H67">
        <v>8</v>
      </c>
      <c r="I67">
        <v>12</v>
      </c>
      <c r="J67">
        <v>1.49</v>
      </c>
      <c r="K67">
        <v>1.34</v>
      </c>
      <c r="L67">
        <v>1.31</v>
      </c>
      <c r="M67">
        <v>1.23</v>
      </c>
      <c r="N67">
        <v>1.29</v>
      </c>
      <c r="O67">
        <v>1.33</v>
      </c>
      <c r="P67">
        <v>1.1100000000000001</v>
      </c>
      <c r="Q67">
        <v>1.02</v>
      </c>
      <c r="R67">
        <v>0.94</v>
      </c>
      <c r="S67">
        <v>0.96</v>
      </c>
      <c r="T67">
        <v>3692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6</v>
      </c>
      <c r="G68">
        <v>29</v>
      </c>
      <c r="H68">
        <v>8</v>
      </c>
      <c r="I68">
        <v>0</v>
      </c>
      <c r="J68">
        <v>1.5</v>
      </c>
      <c r="K68">
        <v>1.42</v>
      </c>
      <c r="L68">
        <v>1.24</v>
      </c>
      <c r="M68">
        <v>1.35</v>
      </c>
      <c r="N68">
        <v>1.42</v>
      </c>
      <c r="O68">
        <v>1.37</v>
      </c>
      <c r="P68">
        <v>1.25</v>
      </c>
      <c r="Q68">
        <v>0.98</v>
      </c>
      <c r="R68">
        <v>0.89</v>
      </c>
      <c r="S68">
        <v>1.03</v>
      </c>
      <c r="T68">
        <v>3699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18.108450000000001</v>
      </c>
      <c r="K73">
        <f t="shared" ref="K73:R73" si="0">22.275*K45-6.1713</f>
        <v>19.444949999999999</v>
      </c>
      <c r="L73">
        <f t="shared" si="0"/>
        <v>22.786200000000001</v>
      </c>
      <c r="M73">
        <f t="shared" si="0"/>
        <v>26.350199999999997</v>
      </c>
      <c r="N73">
        <f t="shared" si="0"/>
        <v>23.89995</v>
      </c>
      <c r="O73">
        <f t="shared" si="0"/>
        <v>26.12745</v>
      </c>
      <c r="P73">
        <f t="shared" si="0"/>
        <v>26.350199999999997</v>
      </c>
      <c r="Q73">
        <f t="shared" si="0"/>
        <v>23.008950000000002</v>
      </c>
      <c r="R73">
        <f t="shared" si="0"/>
        <v>23.2317</v>
      </c>
      <c r="S73">
        <f>22.275*(S45*1.1)-6.1713</f>
        <v>24.456824999999998</v>
      </c>
    </row>
    <row r="74" spans="1:20" x14ac:dyDescent="0.25">
      <c r="I74" t="s">
        <v>43</v>
      </c>
      <c r="J74">
        <f t="shared" ref="J74:R89" si="1">22.275*J46-6.1713</f>
        <v>23.89995</v>
      </c>
      <c r="K74">
        <f t="shared" si="1"/>
        <v>24.345450000000003</v>
      </c>
      <c r="L74">
        <f t="shared" si="1"/>
        <v>20.335949999999997</v>
      </c>
      <c r="M74">
        <f t="shared" si="1"/>
        <v>20.113199999999999</v>
      </c>
      <c r="N74">
        <f t="shared" si="1"/>
        <v>18.999449999999996</v>
      </c>
      <c r="O74">
        <f t="shared" si="1"/>
        <v>20.558699999999998</v>
      </c>
      <c r="P74">
        <f t="shared" si="1"/>
        <v>19.444949999999999</v>
      </c>
      <c r="Q74">
        <f t="shared" si="1"/>
        <v>22.11795</v>
      </c>
      <c r="R74">
        <f t="shared" si="1"/>
        <v>16.77195</v>
      </c>
      <c r="S74">
        <f t="shared" ref="S74:S91" si="2">22.275*(S46*1.1)-6.1713</f>
        <v>15.390900000000002</v>
      </c>
    </row>
    <row r="75" spans="1:20" x14ac:dyDescent="0.25">
      <c r="I75" t="s">
        <v>44</v>
      </c>
      <c r="J75">
        <f t="shared" si="1"/>
        <v>22.56345</v>
      </c>
      <c r="K75">
        <f t="shared" si="1"/>
        <v>21.226949999999999</v>
      </c>
      <c r="L75">
        <f t="shared" si="1"/>
        <v>21.672450000000001</v>
      </c>
      <c r="M75">
        <f t="shared" si="1"/>
        <v>25.013699999999996</v>
      </c>
      <c r="N75">
        <f t="shared" si="1"/>
        <v>25.681949999999997</v>
      </c>
      <c r="O75">
        <f t="shared" si="1"/>
        <v>25.236449999999998</v>
      </c>
      <c r="P75">
        <f t="shared" si="1"/>
        <v>23.677200000000003</v>
      </c>
      <c r="Q75">
        <f t="shared" si="1"/>
        <v>19.444949999999999</v>
      </c>
      <c r="R75">
        <f t="shared" si="1"/>
        <v>18.331200000000003</v>
      </c>
      <c r="S75">
        <f t="shared" si="2"/>
        <v>20.046375000000005</v>
      </c>
    </row>
    <row r="76" spans="1:20" x14ac:dyDescent="0.25">
      <c r="I76" t="s">
        <v>45</v>
      </c>
      <c r="J76">
        <f t="shared" si="1"/>
        <v>25.681949999999997</v>
      </c>
      <c r="K76">
        <f t="shared" si="1"/>
        <v>25.459199999999999</v>
      </c>
      <c r="L76">
        <f t="shared" si="1"/>
        <v>26.350199999999997</v>
      </c>
      <c r="M76">
        <f t="shared" si="1"/>
        <v>25.904699999999995</v>
      </c>
      <c r="N76">
        <f t="shared" si="1"/>
        <v>23.2317</v>
      </c>
      <c r="O76">
        <f t="shared" si="1"/>
        <v>23.008950000000002</v>
      </c>
      <c r="P76">
        <f t="shared" si="1"/>
        <v>26.7957</v>
      </c>
      <c r="Q76">
        <f t="shared" si="1"/>
        <v>24.568199999999997</v>
      </c>
      <c r="R76">
        <f t="shared" si="1"/>
        <v>20.78145</v>
      </c>
      <c r="S76">
        <f t="shared" si="2"/>
        <v>20.781450000000003</v>
      </c>
    </row>
    <row r="77" spans="1:20" x14ac:dyDescent="0.25">
      <c r="I77" t="s">
        <v>46</v>
      </c>
      <c r="J77">
        <f t="shared" si="1"/>
        <v>27.018449999999998</v>
      </c>
      <c r="K77">
        <f t="shared" si="1"/>
        <v>24.345450000000003</v>
      </c>
      <c r="L77">
        <f t="shared" si="1"/>
        <v>25.236449999999998</v>
      </c>
      <c r="M77">
        <f t="shared" si="1"/>
        <v>24.790949999999999</v>
      </c>
      <c r="N77">
        <f t="shared" si="1"/>
        <v>25.904699999999995</v>
      </c>
      <c r="O77">
        <f t="shared" si="1"/>
        <v>25.681949999999997</v>
      </c>
      <c r="P77">
        <f t="shared" si="1"/>
        <v>21.226949999999999</v>
      </c>
      <c r="Q77">
        <f t="shared" si="1"/>
        <v>22.11795</v>
      </c>
      <c r="R77">
        <f t="shared" si="1"/>
        <v>18.331200000000003</v>
      </c>
      <c r="S77">
        <f t="shared" si="2"/>
        <v>22.496624999999998</v>
      </c>
    </row>
    <row r="78" spans="1:20" x14ac:dyDescent="0.25">
      <c r="I78" t="s">
        <v>47</v>
      </c>
      <c r="J78">
        <f t="shared" si="1"/>
        <v>25.681949999999997</v>
      </c>
      <c r="K78">
        <f t="shared" si="1"/>
        <v>24.345450000000003</v>
      </c>
      <c r="L78">
        <f t="shared" si="1"/>
        <v>24.345450000000003</v>
      </c>
      <c r="M78">
        <f t="shared" si="1"/>
        <v>25.013699999999996</v>
      </c>
      <c r="N78">
        <f t="shared" si="1"/>
        <v>23.89995</v>
      </c>
      <c r="O78">
        <f t="shared" si="1"/>
        <v>19.444949999999999</v>
      </c>
      <c r="P78">
        <f t="shared" si="1"/>
        <v>16.326450000000001</v>
      </c>
      <c r="Q78">
        <f t="shared" si="1"/>
        <v>20.558699999999998</v>
      </c>
      <c r="R78">
        <f t="shared" si="1"/>
        <v>20.113199999999999</v>
      </c>
      <c r="S78">
        <f t="shared" si="2"/>
        <v>22.006574999999998</v>
      </c>
    </row>
    <row r="79" spans="1:20" x14ac:dyDescent="0.25">
      <c r="I79" t="s">
        <v>48</v>
      </c>
      <c r="J79">
        <f t="shared" si="1"/>
        <v>24.122700000000002</v>
      </c>
      <c r="K79">
        <f t="shared" si="1"/>
        <v>23.89995</v>
      </c>
      <c r="L79">
        <f t="shared" si="1"/>
        <v>26.350199999999997</v>
      </c>
      <c r="M79">
        <f t="shared" si="1"/>
        <v>27.018449999999998</v>
      </c>
      <c r="N79">
        <f t="shared" si="1"/>
        <v>24.122700000000002</v>
      </c>
      <c r="O79">
        <f t="shared" si="1"/>
        <v>18.55395</v>
      </c>
      <c r="P79">
        <f t="shared" si="1"/>
        <v>17.8857</v>
      </c>
      <c r="Q79">
        <f t="shared" si="1"/>
        <v>19.222199999999997</v>
      </c>
      <c r="R79">
        <f t="shared" si="1"/>
        <v>17.217449999999999</v>
      </c>
      <c r="S79">
        <f t="shared" si="2"/>
        <v>18.086175000000001</v>
      </c>
    </row>
    <row r="80" spans="1:20" x14ac:dyDescent="0.25">
      <c r="I80" t="s">
        <v>49</v>
      </c>
      <c r="J80">
        <f t="shared" si="1"/>
        <v>16.994700000000002</v>
      </c>
      <c r="K80">
        <f t="shared" si="1"/>
        <v>13.876200000000001</v>
      </c>
      <c r="L80">
        <f t="shared" si="1"/>
        <v>12.762450000000001</v>
      </c>
      <c r="M80">
        <f t="shared" si="1"/>
        <v>12.985199999999999</v>
      </c>
      <c r="N80">
        <f t="shared" si="1"/>
        <v>12.316949999999999</v>
      </c>
      <c r="O80">
        <f t="shared" si="1"/>
        <v>11.42595</v>
      </c>
      <c r="P80">
        <f t="shared" si="1"/>
        <v>10.7577</v>
      </c>
      <c r="Q80">
        <f t="shared" si="1"/>
        <v>12.316949999999999</v>
      </c>
      <c r="R80">
        <f t="shared" si="1"/>
        <v>17.440200000000001</v>
      </c>
      <c r="S80">
        <f t="shared" si="2"/>
        <v>23.476724999999998</v>
      </c>
    </row>
    <row r="81" spans="9:19" x14ac:dyDescent="0.25">
      <c r="I81" t="s">
        <v>50</v>
      </c>
      <c r="J81">
        <f t="shared" si="1"/>
        <v>27.909450000000003</v>
      </c>
      <c r="K81">
        <f t="shared" si="1"/>
        <v>25.681949999999997</v>
      </c>
      <c r="L81">
        <f t="shared" si="1"/>
        <v>25.681949999999997</v>
      </c>
      <c r="M81">
        <f t="shared" si="1"/>
        <v>26.572949999999995</v>
      </c>
      <c r="N81">
        <f t="shared" si="1"/>
        <v>27.018449999999998</v>
      </c>
      <c r="O81">
        <f t="shared" si="1"/>
        <v>23.2317</v>
      </c>
      <c r="P81">
        <f t="shared" si="1"/>
        <v>18.999449999999996</v>
      </c>
      <c r="Q81">
        <f t="shared" si="1"/>
        <v>16.549199999999999</v>
      </c>
      <c r="R81">
        <f t="shared" si="1"/>
        <v>16.77195</v>
      </c>
      <c r="S81">
        <f t="shared" si="2"/>
        <v>20.781450000000003</v>
      </c>
    </row>
    <row r="82" spans="9:19" x14ac:dyDescent="0.25">
      <c r="I82" t="s">
        <v>51</v>
      </c>
      <c r="J82">
        <f t="shared" si="1"/>
        <v>20.78145</v>
      </c>
      <c r="K82">
        <f t="shared" si="1"/>
        <v>19.222199999999997</v>
      </c>
      <c r="L82">
        <f t="shared" si="1"/>
        <v>16.549199999999999</v>
      </c>
      <c r="M82">
        <f t="shared" si="1"/>
        <v>15.435449999999999</v>
      </c>
      <c r="N82">
        <f t="shared" si="1"/>
        <v>14.544450000000001</v>
      </c>
      <c r="O82">
        <f t="shared" si="1"/>
        <v>14.098950000000002</v>
      </c>
      <c r="P82">
        <f t="shared" si="1"/>
        <v>15.880949999999999</v>
      </c>
      <c r="Q82">
        <f t="shared" si="1"/>
        <v>20.113199999999999</v>
      </c>
      <c r="R82">
        <f t="shared" si="1"/>
        <v>20.78145</v>
      </c>
      <c r="S82">
        <f t="shared" si="2"/>
        <v>22.986674999999998</v>
      </c>
    </row>
    <row r="83" spans="9:19" x14ac:dyDescent="0.25">
      <c r="I83" t="s">
        <v>52</v>
      </c>
      <c r="J83">
        <f t="shared" si="1"/>
        <v>19.667699999999996</v>
      </c>
      <c r="K83">
        <f t="shared" si="1"/>
        <v>19.667699999999996</v>
      </c>
      <c r="L83">
        <f t="shared" si="1"/>
        <v>23.677200000000003</v>
      </c>
      <c r="M83">
        <f t="shared" si="1"/>
        <v>25.904699999999995</v>
      </c>
      <c r="N83">
        <f t="shared" si="1"/>
        <v>23.89995</v>
      </c>
      <c r="O83">
        <f t="shared" si="1"/>
        <v>22.340700000000002</v>
      </c>
      <c r="P83">
        <f t="shared" si="1"/>
        <v>23.454450000000001</v>
      </c>
      <c r="Q83">
        <f t="shared" si="1"/>
        <v>21.672450000000001</v>
      </c>
      <c r="R83">
        <f t="shared" si="1"/>
        <v>22.56345</v>
      </c>
      <c r="S83">
        <f t="shared" si="2"/>
        <v>24.456824999999998</v>
      </c>
    </row>
    <row r="84" spans="9:19" x14ac:dyDescent="0.25">
      <c r="I84" t="s">
        <v>53</v>
      </c>
      <c r="J84">
        <f t="shared" si="1"/>
        <v>16.326450000000001</v>
      </c>
      <c r="K84">
        <f t="shared" si="1"/>
        <v>17.662950000000002</v>
      </c>
      <c r="L84">
        <f t="shared" si="1"/>
        <v>22.56345</v>
      </c>
      <c r="M84">
        <f t="shared" si="1"/>
        <v>24.568199999999997</v>
      </c>
      <c r="N84">
        <f t="shared" si="1"/>
        <v>25.236449999999998</v>
      </c>
      <c r="O84">
        <f t="shared" si="1"/>
        <v>25.459199999999999</v>
      </c>
      <c r="P84">
        <f t="shared" si="1"/>
        <v>26.350199999999997</v>
      </c>
      <c r="Q84">
        <f t="shared" si="1"/>
        <v>21.895199999999999</v>
      </c>
      <c r="R84">
        <f t="shared" si="1"/>
        <v>17.217449999999999</v>
      </c>
      <c r="S84">
        <f t="shared" si="2"/>
        <v>19.311300000000003</v>
      </c>
    </row>
    <row r="85" spans="9:19" x14ac:dyDescent="0.25">
      <c r="I85" t="s">
        <v>54</v>
      </c>
      <c r="J85">
        <f t="shared" si="1"/>
        <v>22.340700000000002</v>
      </c>
      <c r="K85">
        <f t="shared" si="1"/>
        <v>24.568199999999997</v>
      </c>
      <c r="L85">
        <f t="shared" si="1"/>
        <v>28.354949999999999</v>
      </c>
      <c r="M85">
        <f t="shared" si="1"/>
        <v>26.7957</v>
      </c>
      <c r="N85">
        <f t="shared" si="1"/>
        <v>27.909450000000003</v>
      </c>
      <c r="O85">
        <f t="shared" si="1"/>
        <v>28.132200000000001</v>
      </c>
      <c r="P85">
        <f t="shared" si="1"/>
        <v>21.895199999999999</v>
      </c>
      <c r="Q85">
        <f t="shared" si="1"/>
        <v>20.78145</v>
      </c>
      <c r="R85">
        <f t="shared" si="1"/>
        <v>20.78145</v>
      </c>
      <c r="S85">
        <f t="shared" si="2"/>
        <v>21.76155</v>
      </c>
    </row>
    <row r="86" spans="9:19" x14ac:dyDescent="0.25">
      <c r="I86" t="s">
        <v>55</v>
      </c>
      <c r="J86">
        <f t="shared" si="1"/>
        <v>22.340700000000002</v>
      </c>
      <c r="K86">
        <f t="shared" si="1"/>
        <v>22.11795</v>
      </c>
      <c r="L86">
        <f t="shared" si="1"/>
        <v>24.345450000000003</v>
      </c>
      <c r="M86">
        <f t="shared" si="1"/>
        <v>24.790949999999999</v>
      </c>
      <c r="N86">
        <f t="shared" si="1"/>
        <v>27.241199999999996</v>
      </c>
      <c r="O86">
        <f t="shared" si="1"/>
        <v>23.2317</v>
      </c>
      <c r="P86">
        <f t="shared" si="1"/>
        <v>18.776700000000002</v>
      </c>
      <c r="Q86">
        <f t="shared" si="1"/>
        <v>17.440200000000001</v>
      </c>
      <c r="R86">
        <f t="shared" si="1"/>
        <v>16.549199999999999</v>
      </c>
      <c r="S86">
        <f t="shared" si="2"/>
        <v>18.821250000000003</v>
      </c>
    </row>
    <row r="87" spans="9:19" x14ac:dyDescent="0.25">
      <c r="I87" t="s">
        <v>56</v>
      </c>
      <c r="J87">
        <f t="shared" si="1"/>
        <v>23.008950000000002</v>
      </c>
      <c r="K87">
        <f t="shared" si="1"/>
        <v>23.2317</v>
      </c>
      <c r="L87">
        <f t="shared" si="1"/>
        <v>25.013699999999996</v>
      </c>
      <c r="M87">
        <f t="shared" si="1"/>
        <v>21.226949999999999</v>
      </c>
      <c r="N87">
        <f t="shared" si="1"/>
        <v>22.11795</v>
      </c>
      <c r="O87">
        <f t="shared" si="1"/>
        <v>22.340700000000002</v>
      </c>
      <c r="P87">
        <f t="shared" si="1"/>
        <v>23.008950000000002</v>
      </c>
      <c r="Q87">
        <f t="shared" si="1"/>
        <v>19.444949999999999</v>
      </c>
      <c r="R87">
        <f t="shared" si="1"/>
        <v>15.658200000000001</v>
      </c>
      <c r="S87">
        <f t="shared" si="2"/>
        <v>19.066275000000005</v>
      </c>
    </row>
    <row r="88" spans="9:19" x14ac:dyDescent="0.25">
      <c r="I88" t="s">
        <v>57</v>
      </c>
      <c r="J88">
        <f t="shared" si="1"/>
        <v>18.55395</v>
      </c>
      <c r="K88">
        <f t="shared" si="1"/>
        <v>19.890449999999998</v>
      </c>
      <c r="L88">
        <f t="shared" si="1"/>
        <v>26.350199999999997</v>
      </c>
      <c r="M88">
        <f t="shared" si="1"/>
        <v>25.459199999999999</v>
      </c>
      <c r="N88">
        <f t="shared" si="1"/>
        <v>26.350199999999997</v>
      </c>
      <c r="O88">
        <f t="shared" si="1"/>
        <v>25.013699999999996</v>
      </c>
      <c r="P88">
        <f t="shared" si="1"/>
        <v>25.681949999999997</v>
      </c>
      <c r="Q88">
        <f t="shared" si="1"/>
        <v>20.113199999999999</v>
      </c>
      <c r="R88">
        <f t="shared" si="1"/>
        <v>14.3217</v>
      </c>
      <c r="S88">
        <f t="shared" si="2"/>
        <v>16.125975000000004</v>
      </c>
    </row>
    <row r="89" spans="9:19" x14ac:dyDescent="0.25">
      <c r="I89" t="s">
        <v>58</v>
      </c>
      <c r="J89">
        <f t="shared" si="1"/>
        <v>28.577700000000004</v>
      </c>
      <c r="K89">
        <f t="shared" si="1"/>
        <v>26.350199999999997</v>
      </c>
      <c r="L89">
        <f t="shared" si="1"/>
        <v>26.350199999999997</v>
      </c>
      <c r="M89">
        <f t="shared" si="1"/>
        <v>27.686699999999998</v>
      </c>
      <c r="N89">
        <f t="shared" si="1"/>
        <v>25.236449999999998</v>
      </c>
      <c r="O89">
        <f t="shared" si="1"/>
        <v>24.790949999999999</v>
      </c>
      <c r="P89">
        <f t="shared" si="1"/>
        <v>22.56345</v>
      </c>
      <c r="Q89">
        <f t="shared" si="1"/>
        <v>22.340700000000002</v>
      </c>
      <c r="R89">
        <f t="shared" si="1"/>
        <v>23.008950000000002</v>
      </c>
      <c r="S89">
        <f t="shared" si="2"/>
        <v>24.946875000000006</v>
      </c>
    </row>
    <row r="90" spans="9:19" x14ac:dyDescent="0.25">
      <c r="I90" t="s">
        <v>59</v>
      </c>
      <c r="J90">
        <f t="shared" ref="J90:R96" si="3">22.275*J62-6.1713</f>
        <v>26.12745</v>
      </c>
      <c r="K90">
        <f t="shared" si="3"/>
        <v>25.459199999999999</v>
      </c>
      <c r="L90">
        <f t="shared" si="3"/>
        <v>27.241199999999996</v>
      </c>
      <c r="M90">
        <f t="shared" si="3"/>
        <v>28.354949999999999</v>
      </c>
      <c r="N90">
        <f t="shared" si="3"/>
        <v>30.3597</v>
      </c>
      <c r="O90">
        <f t="shared" si="3"/>
        <v>28.577700000000004</v>
      </c>
      <c r="P90">
        <f t="shared" si="3"/>
        <v>26.7957</v>
      </c>
      <c r="Q90">
        <f t="shared" si="3"/>
        <v>21.895199999999999</v>
      </c>
      <c r="R90">
        <f t="shared" si="3"/>
        <v>20.78145</v>
      </c>
      <c r="S90">
        <f t="shared" si="2"/>
        <v>22.496624999999998</v>
      </c>
    </row>
    <row r="91" spans="9:19" x14ac:dyDescent="0.25">
      <c r="I91" t="s">
        <v>60</v>
      </c>
      <c r="J91">
        <f t="shared" si="3"/>
        <v>25.236449999999998</v>
      </c>
      <c r="K91">
        <f t="shared" si="3"/>
        <v>24.790949999999999</v>
      </c>
      <c r="L91">
        <f t="shared" si="3"/>
        <v>27.018449999999998</v>
      </c>
      <c r="M91">
        <f t="shared" si="3"/>
        <v>28.354949999999999</v>
      </c>
      <c r="N91">
        <f t="shared" si="3"/>
        <v>27.463950000000001</v>
      </c>
      <c r="O91">
        <f t="shared" si="3"/>
        <v>26.7957</v>
      </c>
      <c r="P91">
        <f t="shared" si="3"/>
        <v>25.236449999999998</v>
      </c>
      <c r="Q91">
        <f t="shared" si="3"/>
        <v>16.994700000000002</v>
      </c>
      <c r="R91">
        <f t="shared" si="3"/>
        <v>14.3217</v>
      </c>
      <c r="S91">
        <f t="shared" si="2"/>
        <v>14.655825</v>
      </c>
    </row>
    <row r="92" spans="9:19" x14ac:dyDescent="0.25">
      <c r="I92" t="s">
        <v>61</v>
      </c>
      <c r="J92">
        <f t="shared" si="3"/>
        <v>24.122700000000002</v>
      </c>
      <c r="K92">
        <f t="shared" si="3"/>
        <v>24.345450000000003</v>
      </c>
      <c r="L92">
        <f t="shared" si="3"/>
        <v>24.122700000000002</v>
      </c>
      <c r="M92">
        <f t="shared" si="3"/>
        <v>26.7957</v>
      </c>
      <c r="N92">
        <f t="shared" si="3"/>
        <v>27.909450000000003</v>
      </c>
      <c r="O92">
        <f t="shared" si="3"/>
        <v>27.686699999999998</v>
      </c>
      <c r="P92">
        <f t="shared" si="3"/>
        <v>25.681949999999997</v>
      </c>
      <c r="Q92">
        <f t="shared" si="3"/>
        <v>23.008950000000002</v>
      </c>
      <c r="R92">
        <f t="shared" si="3"/>
        <v>19.222199999999997</v>
      </c>
      <c r="S92">
        <f>22.275*(S64*1.1)-6.1713</f>
        <v>22.2516</v>
      </c>
    </row>
    <row r="93" spans="9:19" x14ac:dyDescent="0.25">
      <c r="I93" t="s">
        <v>62</v>
      </c>
      <c r="J93">
        <f t="shared" si="3"/>
        <v>21.226949999999999</v>
      </c>
      <c r="K93">
        <f t="shared" si="3"/>
        <v>17.440200000000001</v>
      </c>
      <c r="L93">
        <f t="shared" si="3"/>
        <v>18.55395</v>
      </c>
      <c r="M93">
        <f t="shared" si="3"/>
        <v>21.672450000000001</v>
      </c>
      <c r="N93">
        <f t="shared" si="3"/>
        <v>23.89995</v>
      </c>
      <c r="O93">
        <f t="shared" si="3"/>
        <v>19.444949999999999</v>
      </c>
      <c r="P93">
        <f t="shared" si="3"/>
        <v>19.667699999999996</v>
      </c>
      <c r="Q93">
        <f t="shared" si="3"/>
        <v>20.558699999999998</v>
      </c>
      <c r="R93">
        <f t="shared" si="3"/>
        <v>18.55395</v>
      </c>
      <c r="S93">
        <f t="shared" ref="S93:S95" si="4">22.275*(S65*1.1)-6.1713</f>
        <v>22.2516</v>
      </c>
    </row>
    <row r="94" spans="9:19" x14ac:dyDescent="0.25">
      <c r="I94" t="s">
        <v>63</v>
      </c>
      <c r="J94">
        <f t="shared" si="3"/>
        <v>23.677200000000003</v>
      </c>
      <c r="K94">
        <f t="shared" si="3"/>
        <v>24.345450000000003</v>
      </c>
      <c r="L94">
        <f t="shared" si="3"/>
        <v>26.12745</v>
      </c>
      <c r="M94">
        <f t="shared" si="3"/>
        <v>21.226949999999999</v>
      </c>
      <c r="N94">
        <f t="shared" si="3"/>
        <v>23.2317</v>
      </c>
      <c r="O94">
        <f t="shared" si="3"/>
        <v>26.350199999999997</v>
      </c>
      <c r="P94">
        <f t="shared" si="3"/>
        <v>21.004199999999997</v>
      </c>
      <c r="Q94">
        <f t="shared" si="3"/>
        <v>20.335949999999997</v>
      </c>
      <c r="R94">
        <f t="shared" si="3"/>
        <v>21.226949999999999</v>
      </c>
      <c r="S94">
        <f t="shared" si="4"/>
        <v>22.986674999999998</v>
      </c>
    </row>
    <row r="95" spans="9:19" x14ac:dyDescent="0.25">
      <c r="I95" t="s">
        <v>64</v>
      </c>
      <c r="J95">
        <f t="shared" si="3"/>
        <v>27.018449999999998</v>
      </c>
      <c r="K95">
        <f t="shared" si="3"/>
        <v>23.677200000000003</v>
      </c>
      <c r="L95">
        <f t="shared" si="3"/>
        <v>23.008950000000002</v>
      </c>
      <c r="M95">
        <f t="shared" si="3"/>
        <v>21.226949999999999</v>
      </c>
      <c r="N95">
        <f t="shared" si="3"/>
        <v>22.56345</v>
      </c>
      <c r="O95">
        <f t="shared" si="3"/>
        <v>23.454450000000001</v>
      </c>
      <c r="P95">
        <f t="shared" si="3"/>
        <v>18.55395</v>
      </c>
      <c r="Q95">
        <f t="shared" si="3"/>
        <v>16.549199999999999</v>
      </c>
      <c r="R95">
        <f t="shared" si="3"/>
        <v>14.767199999999999</v>
      </c>
      <c r="S95">
        <f t="shared" si="4"/>
        <v>17.351100000000002</v>
      </c>
    </row>
    <row r="96" spans="9:19" x14ac:dyDescent="0.25">
      <c r="I96" t="s">
        <v>65</v>
      </c>
      <c r="J96">
        <f>22.275*J68-6.1713</f>
        <v>27.241199999999996</v>
      </c>
      <c r="K96">
        <f t="shared" si="3"/>
        <v>25.459199999999999</v>
      </c>
      <c r="L96">
        <f t="shared" si="3"/>
        <v>21.4497</v>
      </c>
      <c r="M96">
        <f t="shared" si="3"/>
        <v>23.89995</v>
      </c>
      <c r="N96">
        <f t="shared" si="3"/>
        <v>25.459199999999999</v>
      </c>
      <c r="O96">
        <f t="shared" si="3"/>
        <v>24.345450000000003</v>
      </c>
      <c r="P96">
        <f t="shared" si="3"/>
        <v>21.672450000000001</v>
      </c>
      <c r="Q96">
        <f t="shared" si="3"/>
        <v>15.658200000000001</v>
      </c>
      <c r="R96">
        <f t="shared" si="3"/>
        <v>13.653449999999999</v>
      </c>
      <c r="S96">
        <f>22.275*(S68*1.1)-6.1713</f>
        <v>19.066275000000005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0.18108450000000001</v>
      </c>
      <c r="K101" s="4">
        <f t="shared" si="5"/>
        <v>0.1944495</v>
      </c>
      <c r="L101" s="4">
        <f t="shared" si="5"/>
        <v>0.22786200000000001</v>
      </c>
      <c r="M101" s="4">
        <f t="shared" si="5"/>
        <v>0.26350199999999996</v>
      </c>
      <c r="N101" s="4">
        <f t="shared" si="5"/>
        <v>0.2389995</v>
      </c>
      <c r="O101" s="4">
        <f t="shared" si="5"/>
        <v>0.26127450000000002</v>
      </c>
      <c r="P101" s="4">
        <f t="shared" si="5"/>
        <v>0.26350199999999996</v>
      </c>
      <c r="Q101" s="4">
        <f t="shared" si="5"/>
        <v>0.23008950000000003</v>
      </c>
      <c r="R101" s="4">
        <f t="shared" si="5"/>
        <v>0.232317</v>
      </c>
      <c r="S101" s="4">
        <f t="shared" si="5"/>
        <v>0.24456824999999999</v>
      </c>
    </row>
    <row r="102" spans="9:19" x14ac:dyDescent="0.25">
      <c r="I102">
        <v>12</v>
      </c>
      <c r="J102" s="4">
        <f t="shared" ref="J102:S115" si="6">IF(J74&lt;0,"",J74/100)</f>
        <v>0.2389995</v>
      </c>
      <c r="K102" s="4">
        <f t="shared" si="6"/>
        <v>0.24345450000000002</v>
      </c>
      <c r="L102" s="4">
        <f t="shared" si="6"/>
        <v>0.20335949999999997</v>
      </c>
      <c r="M102" s="4">
        <f t="shared" si="6"/>
        <v>0.20113199999999998</v>
      </c>
      <c r="N102" s="4">
        <f t="shared" si="6"/>
        <v>0.18999449999999996</v>
      </c>
      <c r="O102" s="4">
        <f t="shared" si="6"/>
        <v>0.20558699999999999</v>
      </c>
      <c r="P102" s="4">
        <f t="shared" si="6"/>
        <v>0.1944495</v>
      </c>
      <c r="Q102" s="4">
        <f t="shared" si="6"/>
        <v>0.2211795</v>
      </c>
      <c r="R102" s="4">
        <f t="shared" si="6"/>
        <v>0.16771949999999999</v>
      </c>
      <c r="S102" s="4">
        <f t="shared" si="6"/>
        <v>0.15390900000000002</v>
      </c>
    </row>
    <row r="103" spans="9:19" x14ac:dyDescent="0.25">
      <c r="I103">
        <v>13</v>
      </c>
      <c r="J103" s="4">
        <f t="shared" si="6"/>
        <v>0.22563449999999999</v>
      </c>
      <c r="K103" s="4">
        <f t="shared" si="6"/>
        <v>0.2122695</v>
      </c>
      <c r="L103" s="4">
        <f t="shared" si="6"/>
        <v>0.21672450000000001</v>
      </c>
      <c r="M103" s="4">
        <f t="shared" si="6"/>
        <v>0.25013699999999994</v>
      </c>
      <c r="N103" s="4">
        <f t="shared" si="6"/>
        <v>0.25681949999999998</v>
      </c>
      <c r="O103" s="4">
        <f t="shared" si="6"/>
        <v>0.25236449999999999</v>
      </c>
      <c r="P103" s="4">
        <f t="shared" si="6"/>
        <v>0.23677200000000004</v>
      </c>
      <c r="Q103" s="4">
        <f t="shared" si="6"/>
        <v>0.1944495</v>
      </c>
      <c r="R103" s="4">
        <f t="shared" si="6"/>
        <v>0.18331200000000003</v>
      </c>
      <c r="S103" s="4">
        <f t="shared" si="6"/>
        <v>0.20046375000000005</v>
      </c>
    </row>
    <row r="104" spans="9:19" x14ac:dyDescent="0.25">
      <c r="I104">
        <v>14</v>
      </c>
      <c r="J104" s="4">
        <f t="shared" si="6"/>
        <v>0.25681949999999998</v>
      </c>
      <c r="K104" s="4">
        <f t="shared" si="6"/>
        <v>0.25459199999999998</v>
      </c>
      <c r="L104" s="4">
        <f t="shared" si="6"/>
        <v>0.26350199999999996</v>
      </c>
      <c r="M104" s="4">
        <f t="shared" si="6"/>
        <v>0.25904699999999997</v>
      </c>
      <c r="N104" s="4">
        <f t="shared" si="6"/>
        <v>0.232317</v>
      </c>
      <c r="O104" s="4">
        <f t="shared" si="6"/>
        <v>0.23008950000000003</v>
      </c>
      <c r="P104" s="4">
        <f t="shared" si="6"/>
        <v>0.267957</v>
      </c>
      <c r="Q104" s="4">
        <f t="shared" si="6"/>
        <v>0.24568199999999998</v>
      </c>
      <c r="R104" s="4">
        <f t="shared" si="6"/>
        <v>0.20781449999999999</v>
      </c>
      <c r="S104" s="4">
        <f t="shared" si="6"/>
        <v>0.20781450000000004</v>
      </c>
    </row>
    <row r="105" spans="9:19" x14ac:dyDescent="0.25">
      <c r="I105">
        <v>21</v>
      </c>
      <c r="J105" s="4">
        <f t="shared" si="6"/>
        <v>0.27018449999999999</v>
      </c>
      <c r="K105" s="4">
        <f t="shared" si="6"/>
        <v>0.24345450000000002</v>
      </c>
      <c r="L105" s="4">
        <f t="shared" si="6"/>
        <v>0.25236449999999999</v>
      </c>
      <c r="M105" s="4">
        <f t="shared" si="6"/>
        <v>0.24790949999999998</v>
      </c>
      <c r="N105" s="4">
        <f t="shared" si="6"/>
        <v>0.25904699999999997</v>
      </c>
      <c r="O105" s="4">
        <f t="shared" si="6"/>
        <v>0.25681949999999998</v>
      </c>
      <c r="P105" s="4">
        <f t="shared" si="6"/>
        <v>0.2122695</v>
      </c>
      <c r="Q105" s="4">
        <f t="shared" si="6"/>
        <v>0.2211795</v>
      </c>
      <c r="R105" s="4">
        <f t="shared" si="6"/>
        <v>0.18331200000000003</v>
      </c>
      <c r="S105" s="4">
        <f t="shared" si="6"/>
        <v>0.22496624999999998</v>
      </c>
    </row>
    <row r="106" spans="9:19" x14ac:dyDescent="0.25">
      <c r="I106">
        <v>22</v>
      </c>
      <c r="J106" s="4">
        <f t="shared" si="6"/>
        <v>0.25681949999999998</v>
      </c>
      <c r="K106" s="4">
        <f t="shared" si="6"/>
        <v>0.24345450000000002</v>
      </c>
      <c r="L106" s="4">
        <f t="shared" si="6"/>
        <v>0.24345450000000002</v>
      </c>
      <c r="M106" s="4">
        <f t="shared" si="6"/>
        <v>0.25013699999999994</v>
      </c>
      <c r="N106" s="4">
        <f t="shared" si="6"/>
        <v>0.2389995</v>
      </c>
      <c r="O106" s="4">
        <f t="shared" si="6"/>
        <v>0.1944495</v>
      </c>
      <c r="P106" s="4">
        <f t="shared" si="6"/>
        <v>0.16326450000000001</v>
      </c>
      <c r="Q106" s="4">
        <f t="shared" si="6"/>
        <v>0.20558699999999999</v>
      </c>
      <c r="R106" s="4">
        <f t="shared" si="6"/>
        <v>0.20113199999999998</v>
      </c>
      <c r="S106" s="4">
        <f t="shared" si="6"/>
        <v>0.22006574999999998</v>
      </c>
    </row>
    <row r="107" spans="9:19" x14ac:dyDescent="0.25">
      <c r="I107">
        <v>23</v>
      </c>
      <c r="J107" s="4">
        <f t="shared" si="6"/>
        <v>0.24122700000000002</v>
      </c>
      <c r="K107" s="4">
        <f t="shared" si="6"/>
        <v>0.2389995</v>
      </c>
      <c r="L107" s="4">
        <f t="shared" si="6"/>
        <v>0.26350199999999996</v>
      </c>
      <c r="M107" s="4">
        <f t="shared" si="6"/>
        <v>0.27018449999999999</v>
      </c>
      <c r="N107" s="4">
        <f t="shared" si="6"/>
        <v>0.24122700000000002</v>
      </c>
      <c r="O107" s="4">
        <f t="shared" si="6"/>
        <v>0.1855395</v>
      </c>
      <c r="P107" s="4">
        <f t="shared" si="6"/>
        <v>0.17885699999999999</v>
      </c>
      <c r="Q107" s="4">
        <f t="shared" si="6"/>
        <v>0.19222199999999998</v>
      </c>
      <c r="R107" s="4">
        <f t="shared" si="6"/>
        <v>0.17217450000000001</v>
      </c>
      <c r="S107" s="4">
        <f t="shared" si="6"/>
        <v>0.18086175000000002</v>
      </c>
    </row>
    <row r="108" spans="9:19" x14ac:dyDescent="0.25">
      <c r="I108">
        <v>24</v>
      </c>
      <c r="J108" s="4">
        <f t="shared" si="6"/>
        <v>0.16994700000000001</v>
      </c>
      <c r="K108" s="4">
        <f t="shared" si="6"/>
        <v>0.138762</v>
      </c>
      <c r="L108" s="4">
        <f t="shared" si="6"/>
        <v>0.1276245</v>
      </c>
      <c r="M108" s="4">
        <f t="shared" si="6"/>
        <v>0.129852</v>
      </c>
      <c r="N108" s="4">
        <f t="shared" si="6"/>
        <v>0.12316949999999999</v>
      </c>
      <c r="O108" s="4">
        <f t="shared" si="6"/>
        <v>0.1142595</v>
      </c>
      <c r="P108" s="4">
        <f t="shared" si="6"/>
        <v>0.10757699999999999</v>
      </c>
      <c r="Q108" s="4">
        <f t="shared" si="6"/>
        <v>0.12316949999999999</v>
      </c>
      <c r="R108" s="4">
        <f t="shared" si="6"/>
        <v>0.174402</v>
      </c>
      <c r="S108" s="4">
        <f t="shared" si="6"/>
        <v>0.23476724999999998</v>
      </c>
    </row>
    <row r="109" spans="9:19" x14ac:dyDescent="0.25">
      <c r="I109">
        <v>31</v>
      </c>
      <c r="J109" s="4">
        <f t="shared" si="6"/>
        <v>0.27909450000000002</v>
      </c>
      <c r="K109" s="4">
        <f t="shared" si="6"/>
        <v>0.25681949999999998</v>
      </c>
      <c r="L109" s="4">
        <f t="shared" si="6"/>
        <v>0.25681949999999998</v>
      </c>
      <c r="M109" s="4">
        <f t="shared" si="6"/>
        <v>0.26572949999999995</v>
      </c>
      <c r="N109" s="4">
        <f t="shared" si="6"/>
        <v>0.27018449999999999</v>
      </c>
      <c r="O109" s="4">
        <f t="shared" si="6"/>
        <v>0.232317</v>
      </c>
      <c r="P109" s="4">
        <f t="shared" si="6"/>
        <v>0.18999449999999996</v>
      </c>
      <c r="Q109" s="4">
        <f t="shared" si="6"/>
        <v>0.165492</v>
      </c>
      <c r="R109" s="4">
        <f t="shared" si="6"/>
        <v>0.16771949999999999</v>
      </c>
      <c r="S109" s="4">
        <f t="shared" si="6"/>
        <v>0.20781450000000004</v>
      </c>
    </row>
    <row r="110" spans="9:19" x14ac:dyDescent="0.25">
      <c r="I110">
        <v>32</v>
      </c>
      <c r="J110" s="4">
        <f t="shared" si="6"/>
        <v>0.20781449999999999</v>
      </c>
      <c r="K110" s="4">
        <f t="shared" si="6"/>
        <v>0.19222199999999998</v>
      </c>
      <c r="L110" s="4">
        <f t="shared" si="6"/>
        <v>0.165492</v>
      </c>
      <c r="M110" s="4">
        <f t="shared" si="6"/>
        <v>0.15435450000000001</v>
      </c>
      <c r="N110" s="4">
        <f t="shared" si="6"/>
        <v>0.1454445</v>
      </c>
      <c r="O110" s="4">
        <f t="shared" si="6"/>
        <v>0.14098950000000002</v>
      </c>
      <c r="P110" s="4">
        <f t="shared" si="6"/>
        <v>0.15880949999999999</v>
      </c>
      <c r="Q110" s="4">
        <f t="shared" si="6"/>
        <v>0.20113199999999998</v>
      </c>
      <c r="R110" s="4">
        <f t="shared" si="6"/>
        <v>0.20781449999999999</v>
      </c>
      <c r="S110" s="4">
        <f t="shared" si="6"/>
        <v>0.22986674999999998</v>
      </c>
    </row>
    <row r="111" spans="9:19" x14ac:dyDescent="0.25">
      <c r="I111">
        <v>33</v>
      </c>
      <c r="J111" s="4">
        <f t="shared" si="6"/>
        <v>0.19667699999999996</v>
      </c>
      <c r="K111" s="4">
        <f t="shared" si="6"/>
        <v>0.19667699999999996</v>
      </c>
      <c r="L111" s="4">
        <f t="shared" si="6"/>
        <v>0.23677200000000004</v>
      </c>
      <c r="M111" s="4">
        <f t="shared" si="6"/>
        <v>0.25904699999999997</v>
      </c>
      <c r="N111" s="4">
        <f t="shared" si="6"/>
        <v>0.2389995</v>
      </c>
      <c r="O111" s="4">
        <f t="shared" si="6"/>
        <v>0.22340700000000002</v>
      </c>
      <c r="P111" s="4">
        <f t="shared" si="6"/>
        <v>0.23454450000000002</v>
      </c>
      <c r="Q111" s="4">
        <f t="shared" si="6"/>
        <v>0.21672450000000001</v>
      </c>
      <c r="R111" s="4">
        <f t="shared" si="6"/>
        <v>0.22563449999999999</v>
      </c>
      <c r="S111" s="4">
        <f t="shared" si="6"/>
        <v>0.24456824999999999</v>
      </c>
    </row>
    <row r="112" spans="9:19" x14ac:dyDescent="0.25">
      <c r="I112">
        <v>34</v>
      </c>
      <c r="J112" s="4">
        <f t="shared" si="6"/>
        <v>0.16326450000000001</v>
      </c>
      <c r="K112" s="4">
        <f t="shared" si="6"/>
        <v>0.17662950000000002</v>
      </c>
      <c r="L112" s="4">
        <f t="shared" si="6"/>
        <v>0.22563449999999999</v>
      </c>
      <c r="M112" s="4">
        <f t="shared" si="6"/>
        <v>0.24568199999999998</v>
      </c>
      <c r="N112" s="4">
        <f t="shared" si="6"/>
        <v>0.25236449999999999</v>
      </c>
      <c r="O112" s="4">
        <f t="shared" si="6"/>
        <v>0.25459199999999998</v>
      </c>
      <c r="P112" s="4">
        <f t="shared" si="6"/>
        <v>0.26350199999999996</v>
      </c>
      <c r="Q112" s="4">
        <f t="shared" si="6"/>
        <v>0.21895199999999998</v>
      </c>
      <c r="R112" s="4">
        <f t="shared" si="6"/>
        <v>0.17217450000000001</v>
      </c>
      <c r="S112" s="4">
        <f t="shared" si="6"/>
        <v>0.19311300000000003</v>
      </c>
    </row>
    <row r="113" spans="9:19" x14ac:dyDescent="0.25">
      <c r="I113">
        <v>41</v>
      </c>
      <c r="J113" s="4">
        <f t="shared" si="6"/>
        <v>0.22340700000000002</v>
      </c>
      <c r="K113" s="4">
        <f t="shared" si="6"/>
        <v>0.24568199999999998</v>
      </c>
      <c r="L113" s="4">
        <f t="shared" si="6"/>
        <v>0.28354950000000001</v>
      </c>
      <c r="M113" s="4">
        <f t="shared" si="6"/>
        <v>0.267957</v>
      </c>
      <c r="N113" s="4">
        <f t="shared" si="6"/>
        <v>0.27909450000000002</v>
      </c>
      <c r="O113" s="4">
        <f t="shared" si="6"/>
        <v>0.28132200000000002</v>
      </c>
      <c r="P113" s="4">
        <f t="shared" si="6"/>
        <v>0.21895199999999998</v>
      </c>
      <c r="Q113" s="4">
        <f t="shared" si="6"/>
        <v>0.20781449999999999</v>
      </c>
      <c r="R113" s="4">
        <f t="shared" si="6"/>
        <v>0.20781449999999999</v>
      </c>
      <c r="S113" s="4">
        <f t="shared" si="6"/>
        <v>0.21761549999999999</v>
      </c>
    </row>
    <row r="114" spans="9:19" x14ac:dyDescent="0.25">
      <c r="I114">
        <v>42</v>
      </c>
      <c r="J114" s="4">
        <f t="shared" si="6"/>
        <v>0.22340700000000002</v>
      </c>
      <c r="K114" s="4">
        <f t="shared" si="6"/>
        <v>0.2211795</v>
      </c>
      <c r="L114" s="4">
        <f t="shared" si="6"/>
        <v>0.24345450000000002</v>
      </c>
      <c r="M114" s="4">
        <f t="shared" si="6"/>
        <v>0.24790949999999998</v>
      </c>
      <c r="N114" s="4">
        <f t="shared" si="6"/>
        <v>0.27241199999999993</v>
      </c>
      <c r="O114" s="4">
        <f t="shared" si="6"/>
        <v>0.232317</v>
      </c>
      <c r="P114" s="4">
        <f t="shared" si="6"/>
        <v>0.18776700000000002</v>
      </c>
      <c r="Q114" s="4">
        <f t="shared" si="6"/>
        <v>0.174402</v>
      </c>
      <c r="R114" s="4">
        <f t="shared" si="6"/>
        <v>0.165492</v>
      </c>
      <c r="S114" s="4">
        <f t="shared" si="6"/>
        <v>0.18821250000000003</v>
      </c>
    </row>
    <row r="115" spans="9:19" x14ac:dyDescent="0.25">
      <c r="I115">
        <v>43</v>
      </c>
      <c r="J115" s="4">
        <f t="shared" si="6"/>
        <v>0.23008950000000003</v>
      </c>
      <c r="K115" s="4">
        <f t="shared" si="6"/>
        <v>0.232317</v>
      </c>
      <c r="L115" s="4">
        <f t="shared" si="6"/>
        <v>0.25013699999999994</v>
      </c>
      <c r="M115" s="4">
        <f t="shared" si="6"/>
        <v>0.2122695</v>
      </c>
      <c r="N115" s="4">
        <f t="shared" si="6"/>
        <v>0.2211795</v>
      </c>
      <c r="O115" s="4">
        <f t="shared" si="6"/>
        <v>0.22340700000000002</v>
      </c>
      <c r="P115" s="4">
        <f t="shared" si="6"/>
        <v>0.23008950000000003</v>
      </c>
      <c r="Q115" s="4">
        <f t="shared" si="6"/>
        <v>0.1944495</v>
      </c>
      <c r="R115" s="4">
        <f t="shared" si="6"/>
        <v>0.156582</v>
      </c>
      <c r="S115" s="4">
        <f t="shared" si="6"/>
        <v>0.19066275000000005</v>
      </c>
    </row>
    <row r="116" spans="9:19" x14ac:dyDescent="0.25">
      <c r="I116">
        <v>44</v>
      </c>
      <c r="J116" s="4">
        <f t="shared" ref="J116:S116" si="7">IF(J88&lt;0,"",J88/100)</f>
        <v>0.1855395</v>
      </c>
      <c r="K116" s="4">
        <f t="shared" si="7"/>
        <v>0.19890449999999998</v>
      </c>
      <c r="L116" s="4">
        <f t="shared" si="7"/>
        <v>0.26350199999999996</v>
      </c>
      <c r="M116" s="4">
        <f t="shared" si="7"/>
        <v>0.25459199999999998</v>
      </c>
      <c r="N116" s="4">
        <f t="shared" si="7"/>
        <v>0.26350199999999996</v>
      </c>
      <c r="O116" s="4">
        <f t="shared" si="7"/>
        <v>0.25013699999999994</v>
      </c>
      <c r="P116" s="4">
        <f t="shared" si="7"/>
        <v>0.25681949999999998</v>
      </c>
      <c r="Q116" s="4">
        <f t="shared" si="7"/>
        <v>0.20113199999999998</v>
      </c>
      <c r="R116" s="4">
        <f t="shared" si="7"/>
        <v>0.14321700000000001</v>
      </c>
      <c r="S116" s="4">
        <f t="shared" si="7"/>
        <v>0.16125975000000004</v>
      </c>
    </row>
    <row r="117" spans="9:19" x14ac:dyDescent="0.25">
      <c r="I117">
        <v>51</v>
      </c>
      <c r="J117" s="4">
        <f t="shared" ref="J117:S123" si="8">IF(J89&lt;0,"",J89/100)</f>
        <v>0.28577700000000006</v>
      </c>
      <c r="K117" s="4">
        <f t="shared" si="8"/>
        <v>0.26350199999999996</v>
      </c>
      <c r="L117" s="4">
        <f t="shared" si="8"/>
        <v>0.26350199999999996</v>
      </c>
      <c r="M117" s="4">
        <f t="shared" si="8"/>
        <v>0.27686699999999997</v>
      </c>
      <c r="N117" s="4">
        <f t="shared" si="8"/>
        <v>0.25236449999999999</v>
      </c>
      <c r="O117" s="4">
        <f t="shared" si="8"/>
        <v>0.24790949999999998</v>
      </c>
      <c r="P117" s="4">
        <f t="shared" si="8"/>
        <v>0.22563449999999999</v>
      </c>
      <c r="Q117" s="4">
        <f t="shared" si="8"/>
        <v>0.22340700000000002</v>
      </c>
      <c r="R117" s="4">
        <f t="shared" si="8"/>
        <v>0.23008950000000003</v>
      </c>
      <c r="S117" s="4">
        <f t="shared" si="8"/>
        <v>0.24946875000000004</v>
      </c>
    </row>
    <row r="118" spans="9:19" x14ac:dyDescent="0.25">
      <c r="I118">
        <v>52</v>
      </c>
      <c r="J118" s="4">
        <f t="shared" si="8"/>
        <v>0.26127450000000002</v>
      </c>
      <c r="K118" s="4">
        <f t="shared" si="8"/>
        <v>0.25459199999999998</v>
      </c>
      <c r="L118" s="4">
        <f t="shared" si="8"/>
        <v>0.27241199999999993</v>
      </c>
      <c r="M118" s="4">
        <f t="shared" si="8"/>
        <v>0.28354950000000001</v>
      </c>
      <c r="N118" s="4">
        <f t="shared" si="8"/>
        <v>0.30359700000000001</v>
      </c>
      <c r="O118" s="4">
        <f t="shared" si="8"/>
        <v>0.28577700000000006</v>
      </c>
      <c r="P118" s="4">
        <f t="shared" si="8"/>
        <v>0.267957</v>
      </c>
      <c r="Q118" s="4">
        <f t="shared" si="8"/>
        <v>0.21895199999999998</v>
      </c>
      <c r="R118" s="4">
        <f t="shared" si="8"/>
        <v>0.20781449999999999</v>
      </c>
      <c r="S118" s="4">
        <f t="shared" si="8"/>
        <v>0.22496624999999998</v>
      </c>
    </row>
    <row r="119" spans="9:19" x14ac:dyDescent="0.25">
      <c r="I119">
        <v>53</v>
      </c>
      <c r="J119" s="4">
        <f t="shared" si="8"/>
        <v>0.25236449999999999</v>
      </c>
      <c r="K119" s="4">
        <f t="shared" si="8"/>
        <v>0.24790949999999998</v>
      </c>
      <c r="L119" s="4">
        <f t="shared" si="8"/>
        <v>0.27018449999999999</v>
      </c>
      <c r="M119" s="4">
        <f t="shared" si="8"/>
        <v>0.28354950000000001</v>
      </c>
      <c r="N119" s="4">
        <f t="shared" si="8"/>
        <v>0.27463949999999998</v>
      </c>
      <c r="O119" s="4">
        <f t="shared" si="8"/>
        <v>0.267957</v>
      </c>
      <c r="P119" s="4">
        <f t="shared" si="8"/>
        <v>0.25236449999999999</v>
      </c>
      <c r="Q119" s="4">
        <f t="shared" si="8"/>
        <v>0.16994700000000001</v>
      </c>
      <c r="R119" s="4">
        <f t="shared" si="8"/>
        <v>0.14321700000000001</v>
      </c>
      <c r="S119" s="4">
        <f t="shared" si="8"/>
        <v>0.14655825</v>
      </c>
    </row>
    <row r="120" spans="9:19" x14ac:dyDescent="0.25">
      <c r="I120">
        <v>54</v>
      </c>
      <c r="J120" s="4">
        <f t="shared" si="8"/>
        <v>0.24122700000000002</v>
      </c>
      <c r="K120" s="4">
        <f t="shared" si="8"/>
        <v>0.24345450000000002</v>
      </c>
      <c r="L120" s="4">
        <f t="shared" si="8"/>
        <v>0.24122700000000002</v>
      </c>
      <c r="M120" s="4">
        <f t="shared" si="8"/>
        <v>0.267957</v>
      </c>
      <c r="N120" s="4">
        <f t="shared" si="8"/>
        <v>0.27909450000000002</v>
      </c>
      <c r="O120" s="4">
        <f t="shared" si="8"/>
        <v>0.27686699999999997</v>
      </c>
      <c r="P120" s="4">
        <f t="shared" si="8"/>
        <v>0.25681949999999998</v>
      </c>
      <c r="Q120" s="4">
        <f t="shared" si="8"/>
        <v>0.23008950000000003</v>
      </c>
      <c r="R120" s="4">
        <f t="shared" si="8"/>
        <v>0.19222199999999998</v>
      </c>
      <c r="S120" s="4">
        <f t="shared" si="8"/>
        <v>0.22251599999999999</v>
      </c>
    </row>
    <row r="121" spans="9:19" x14ac:dyDescent="0.25">
      <c r="I121">
        <v>61</v>
      </c>
      <c r="J121" s="4">
        <f t="shared" si="8"/>
        <v>0.2122695</v>
      </c>
      <c r="K121" s="4">
        <f t="shared" si="8"/>
        <v>0.174402</v>
      </c>
      <c r="L121" s="4">
        <f t="shared" si="8"/>
        <v>0.1855395</v>
      </c>
      <c r="M121" s="4">
        <f t="shared" si="8"/>
        <v>0.21672450000000001</v>
      </c>
      <c r="N121" s="4">
        <f t="shared" si="8"/>
        <v>0.2389995</v>
      </c>
      <c r="O121" s="4">
        <f t="shared" si="8"/>
        <v>0.1944495</v>
      </c>
      <c r="P121" s="4">
        <f t="shared" si="8"/>
        <v>0.19667699999999996</v>
      </c>
      <c r="Q121" s="4">
        <f t="shared" si="8"/>
        <v>0.20558699999999999</v>
      </c>
      <c r="R121" s="4">
        <f t="shared" si="8"/>
        <v>0.1855395</v>
      </c>
      <c r="S121" s="4">
        <f t="shared" si="8"/>
        <v>0.22251599999999999</v>
      </c>
    </row>
    <row r="122" spans="9:19" x14ac:dyDescent="0.25">
      <c r="I122">
        <v>62</v>
      </c>
      <c r="J122" s="4">
        <f t="shared" si="8"/>
        <v>0.23677200000000004</v>
      </c>
      <c r="K122" s="4">
        <f t="shared" si="8"/>
        <v>0.24345450000000002</v>
      </c>
      <c r="L122" s="4">
        <f t="shared" si="8"/>
        <v>0.26127450000000002</v>
      </c>
      <c r="M122" s="4">
        <f t="shared" si="8"/>
        <v>0.2122695</v>
      </c>
      <c r="N122" s="4">
        <f t="shared" si="8"/>
        <v>0.232317</v>
      </c>
      <c r="O122" s="4">
        <f t="shared" si="8"/>
        <v>0.26350199999999996</v>
      </c>
      <c r="P122" s="4">
        <f t="shared" si="8"/>
        <v>0.21004199999999998</v>
      </c>
      <c r="Q122" s="4">
        <f t="shared" si="8"/>
        <v>0.20335949999999997</v>
      </c>
      <c r="R122" s="4">
        <f t="shared" si="8"/>
        <v>0.2122695</v>
      </c>
      <c r="S122" s="4">
        <f t="shared" si="8"/>
        <v>0.22986674999999998</v>
      </c>
    </row>
    <row r="123" spans="9:19" x14ac:dyDescent="0.25">
      <c r="I123">
        <v>63</v>
      </c>
      <c r="J123" s="4">
        <f t="shared" si="8"/>
        <v>0.27018449999999999</v>
      </c>
      <c r="K123" s="4">
        <f t="shared" si="8"/>
        <v>0.23677200000000004</v>
      </c>
      <c r="L123" s="4">
        <f t="shared" si="8"/>
        <v>0.23008950000000003</v>
      </c>
      <c r="M123" s="4">
        <f t="shared" si="8"/>
        <v>0.2122695</v>
      </c>
      <c r="N123" s="4">
        <f t="shared" si="8"/>
        <v>0.22563449999999999</v>
      </c>
      <c r="O123" s="4">
        <f t="shared" si="8"/>
        <v>0.23454450000000002</v>
      </c>
      <c r="P123" s="4">
        <f t="shared" si="8"/>
        <v>0.1855395</v>
      </c>
      <c r="Q123" s="4">
        <f t="shared" si="8"/>
        <v>0.165492</v>
      </c>
      <c r="R123" s="4">
        <f t="shared" si="8"/>
        <v>0.147672</v>
      </c>
      <c r="S123" s="4">
        <f t="shared" si="8"/>
        <v>0.17351100000000003</v>
      </c>
    </row>
    <row r="124" spans="9:19" x14ac:dyDescent="0.25">
      <c r="I124">
        <v>64</v>
      </c>
      <c r="J124" s="4">
        <f t="shared" ref="J124:S124" si="9">IF(J96&lt;0,"",J96/100)</f>
        <v>0.27241199999999993</v>
      </c>
      <c r="K124" s="4">
        <f t="shared" si="9"/>
        <v>0.25459199999999998</v>
      </c>
      <c r="L124" s="4">
        <f t="shared" si="9"/>
        <v>0.21449699999999999</v>
      </c>
      <c r="M124" s="4">
        <f t="shared" si="9"/>
        <v>0.2389995</v>
      </c>
      <c r="N124" s="4">
        <f t="shared" si="9"/>
        <v>0.25459199999999998</v>
      </c>
      <c r="O124" s="4">
        <f t="shared" si="9"/>
        <v>0.24345450000000002</v>
      </c>
      <c r="P124" s="4">
        <f t="shared" si="9"/>
        <v>0.21672450000000001</v>
      </c>
      <c r="Q124" s="4">
        <f t="shared" si="9"/>
        <v>0.156582</v>
      </c>
      <c r="R124" s="4">
        <f t="shared" si="9"/>
        <v>0.1365345</v>
      </c>
      <c r="S124" s="4">
        <f t="shared" si="9"/>
        <v>0.19066275000000005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8FD9-8BB1-42A7-B70A-380C4FF87870}">
  <dimension ref="A1:T124"/>
  <sheetViews>
    <sheetView topLeftCell="E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10448</v>
      </c>
      <c r="F1">
        <v>0</v>
      </c>
      <c r="G1">
        <v>10</v>
      </c>
      <c r="H1">
        <v>1831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7</v>
      </c>
      <c r="G18">
        <v>6</v>
      </c>
      <c r="H18">
        <v>6</v>
      </c>
      <c r="I18">
        <v>0</v>
      </c>
      <c r="J18">
        <v>1.07</v>
      </c>
      <c r="K18">
        <v>1.1200000000000001</v>
      </c>
      <c r="L18">
        <v>1.27</v>
      </c>
      <c r="M18">
        <v>1.41</v>
      </c>
      <c r="N18">
        <v>1.3</v>
      </c>
      <c r="O18">
        <v>1.35</v>
      </c>
      <c r="P18">
        <v>1.32</v>
      </c>
      <c r="Q18">
        <v>1.22</v>
      </c>
      <c r="R18">
        <v>1.25</v>
      </c>
      <c r="S18">
        <v>1.1399999999999999</v>
      </c>
      <c r="T18">
        <v>3710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7</v>
      </c>
      <c r="G19">
        <v>6</v>
      </c>
      <c r="H19">
        <v>6</v>
      </c>
      <c r="I19">
        <v>13</v>
      </c>
      <c r="J19">
        <v>1.35</v>
      </c>
      <c r="K19">
        <v>1.34</v>
      </c>
      <c r="L19">
        <v>1.18</v>
      </c>
      <c r="M19">
        <v>1.17</v>
      </c>
      <c r="N19">
        <v>1.1100000000000001</v>
      </c>
      <c r="O19">
        <v>1.17</v>
      </c>
      <c r="P19">
        <v>1.1000000000000001</v>
      </c>
      <c r="Q19">
        <v>1.2</v>
      </c>
      <c r="R19">
        <v>1.01</v>
      </c>
      <c r="S19">
        <v>0.84</v>
      </c>
      <c r="T19">
        <v>3714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7</v>
      </c>
      <c r="G20">
        <v>6</v>
      </c>
      <c r="H20">
        <v>6</v>
      </c>
      <c r="I20">
        <v>10</v>
      </c>
      <c r="J20">
        <v>1.23</v>
      </c>
      <c r="K20">
        <v>1.2</v>
      </c>
      <c r="L20">
        <v>1.24</v>
      </c>
      <c r="M20">
        <v>1.38</v>
      </c>
      <c r="N20">
        <v>1.41</v>
      </c>
      <c r="O20">
        <v>1.39</v>
      </c>
      <c r="P20">
        <v>1.21</v>
      </c>
      <c r="Q20">
        <v>1.07</v>
      </c>
      <c r="R20">
        <v>1.06</v>
      </c>
      <c r="S20">
        <v>1.02</v>
      </c>
      <c r="T20">
        <v>3712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7</v>
      </c>
      <c r="G21">
        <v>6</v>
      </c>
      <c r="H21">
        <v>6</v>
      </c>
      <c r="I21">
        <v>22</v>
      </c>
      <c r="J21">
        <v>1.45</v>
      </c>
      <c r="K21">
        <v>1.39</v>
      </c>
      <c r="L21">
        <v>1.43</v>
      </c>
      <c r="M21">
        <v>1.42</v>
      </c>
      <c r="N21">
        <v>1.31</v>
      </c>
      <c r="O21">
        <v>1.29</v>
      </c>
      <c r="P21">
        <v>1.36</v>
      </c>
      <c r="Q21">
        <v>1.17</v>
      </c>
      <c r="R21">
        <v>1.06</v>
      </c>
      <c r="S21">
        <v>1</v>
      </c>
      <c r="T21">
        <v>3727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7</v>
      </c>
      <c r="G22">
        <v>6</v>
      </c>
      <c r="H22">
        <v>6</v>
      </c>
      <c r="I22">
        <v>27</v>
      </c>
      <c r="J22">
        <v>1.03</v>
      </c>
      <c r="K22">
        <v>0.9</v>
      </c>
      <c r="L22">
        <v>0.85</v>
      </c>
      <c r="M22">
        <v>0.84</v>
      </c>
      <c r="N22">
        <v>0.78</v>
      </c>
      <c r="O22">
        <v>0.72</v>
      </c>
      <c r="P22">
        <v>0.7</v>
      </c>
      <c r="Q22">
        <v>0.77</v>
      </c>
      <c r="R22">
        <v>0.98</v>
      </c>
      <c r="S22">
        <v>1.02</v>
      </c>
      <c r="T22">
        <v>3752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7</v>
      </c>
      <c r="G23">
        <v>6</v>
      </c>
      <c r="H23">
        <v>6</v>
      </c>
      <c r="I23">
        <v>31</v>
      </c>
      <c r="J23">
        <v>1.32</v>
      </c>
      <c r="K23">
        <v>1.32</v>
      </c>
      <c r="L23">
        <v>1.43</v>
      </c>
      <c r="M23">
        <v>1.49</v>
      </c>
      <c r="N23">
        <v>1.35</v>
      </c>
      <c r="O23">
        <v>1.1000000000000001</v>
      </c>
      <c r="P23">
        <v>1.05</v>
      </c>
      <c r="Q23">
        <v>1.07</v>
      </c>
      <c r="R23">
        <v>1.02</v>
      </c>
      <c r="S23">
        <v>0.96</v>
      </c>
      <c r="T23">
        <v>3727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7</v>
      </c>
      <c r="G24">
        <v>6</v>
      </c>
      <c r="H24">
        <v>6</v>
      </c>
      <c r="I24">
        <v>35</v>
      </c>
      <c r="J24">
        <v>1.42</v>
      </c>
      <c r="K24">
        <v>1.34</v>
      </c>
      <c r="L24">
        <v>1.33</v>
      </c>
      <c r="M24">
        <v>1.38</v>
      </c>
      <c r="N24">
        <v>1.33</v>
      </c>
      <c r="O24">
        <v>1.1200000000000001</v>
      </c>
      <c r="P24">
        <v>0.94</v>
      </c>
      <c r="Q24">
        <v>1.1100000000000001</v>
      </c>
      <c r="R24">
        <v>1.1100000000000001</v>
      </c>
      <c r="S24">
        <v>1.04</v>
      </c>
      <c r="T24">
        <v>3729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7</v>
      </c>
      <c r="G25">
        <v>6</v>
      </c>
      <c r="H25">
        <v>6</v>
      </c>
      <c r="I25">
        <v>41</v>
      </c>
      <c r="J25">
        <v>1.46</v>
      </c>
      <c r="K25">
        <v>1.34</v>
      </c>
      <c r="L25">
        <v>1.39</v>
      </c>
      <c r="M25">
        <v>1.39</v>
      </c>
      <c r="N25">
        <v>1.37</v>
      </c>
      <c r="O25">
        <v>1.4</v>
      </c>
      <c r="P25">
        <v>1.2</v>
      </c>
      <c r="Q25">
        <v>1.24</v>
      </c>
      <c r="R25">
        <v>1.05</v>
      </c>
      <c r="S25">
        <v>1.06</v>
      </c>
      <c r="T25">
        <v>3738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7</v>
      </c>
      <c r="G26">
        <v>6</v>
      </c>
      <c r="H26">
        <v>6</v>
      </c>
      <c r="I26">
        <v>46</v>
      </c>
      <c r="J26">
        <v>1.51</v>
      </c>
      <c r="K26">
        <v>1.42</v>
      </c>
      <c r="L26">
        <v>1.41</v>
      </c>
      <c r="M26">
        <v>1.49</v>
      </c>
      <c r="N26">
        <v>1.46</v>
      </c>
      <c r="O26">
        <v>1.26</v>
      </c>
      <c r="P26">
        <v>1.06</v>
      </c>
      <c r="Q26">
        <v>0.96</v>
      </c>
      <c r="R26">
        <v>0.97</v>
      </c>
      <c r="S26">
        <v>0.98</v>
      </c>
      <c r="T26">
        <v>3767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7</v>
      </c>
      <c r="G27">
        <v>6</v>
      </c>
      <c r="H27">
        <v>6</v>
      </c>
      <c r="I27">
        <v>50</v>
      </c>
      <c r="J27">
        <v>1.18</v>
      </c>
      <c r="K27">
        <v>1.1000000000000001</v>
      </c>
      <c r="L27">
        <v>1</v>
      </c>
      <c r="M27">
        <v>0.94</v>
      </c>
      <c r="N27">
        <v>0.9</v>
      </c>
      <c r="O27">
        <v>0.88</v>
      </c>
      <c r="P27">
        <v>0.92</v>
      </c>
      <c r="Q27">
        <v>1.1000000000000001</v>
      </c>
      <c r="R27">
        <v>1.06</v>
      </c>
      <c r="S27">
        <v>1.02</v>
      </c>
      <c r="T27">
        <v>3726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7</v>
      </c>
      <c r="G28">
        <v>6</v>
      </c>
      <c r="H28">
        <v>6</v>
      </c>
      <c r="I28">
        <v>54</v>
      </c>
      <c r="J28">
        <v>1.1499999999999999</v>
      </c>
      <c r="K28">
        <v>1.1399999999999999</v>
      </c>
      <c r="L28">
        <v>1.31</v>
      </c>
      <c r="M28">
        <v>1.42</v>
      </c>
      <c r="N28">
        <v>1.34</v>
      </c>
      <c r="O28">
        <v>1.25</v>
      </c>
      <c r="P28">
        <v>1.28</v>
      </c>
      <c r="Q28">
        <v>1.19</v>
      </c>
      <c r="R28">
        <v>1.1000000000000001</v>
      </c>
      <c r="S28">
        <v>1.04</v>
      </c>
      <c r="T28">
        <v>3725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7</v>
      </c>
      <c r="G29">
        <v>6</v>
      </c>
      <c r="H29">
        <v>6</v>
      </c>
      <c r="I29">
        <v>50</v>
      </c>
      <c r="J29">
        <v>1</v>
      </c>
      <c r="K29">
        <v>1.02</v>
      </c>
      <c r="L29">
        <v>1.26</v>
      </c>
      <c r="M29">
        <v>1.36</v>
      </c>
      <c r="N29">
        <v>1.41</v>
      </c>
      <c r="O29">
        <v>1.41</v>
      </c>
      <c r="P29">
        <v>1.39</v>
      </c>
      <c r="Q29">
        <v>1.19</v>
      </c>
      <c r="R29">
        <v>0.97</v>
      </c>
      <c r="S29">
        <v>0.89</v>
      </c>
      <c r="T29">
        <v>3742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7</v>
      </c>
      <c r="G30">
        <v>6</v>
      </c>
      <c r="H30">
        <v>7</v>
      </c>
      <c r="I30">
        <v>3</v>
      </c>
      <c r="J30">
        <v>1.07</v>
      </c>
      <c r="K30">
        <v>1.1399999999999999</v>
      </c>
      <c r="L30">
        <v>1.44</v>
      </c>
      <c r="M30">
        <v>1.37</v>
      </c>
      <c r="N30">
        <v>1.45</v>
      </c>
      <c r="O30">
        <v>1.37</v>
      </c>
      <c r="P30">
        <v>1.4</v>
      </c>
      <c r="Q30">
        <v>1.08</v>
      </c>
      <c r="R30">
        <v>0.89</v>
      </c>
      <c r="S30">
        <v>0.87</v>
      </c>
      <c r="T30">
        <v>3749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7</v>
      </c>
      <c r="G31">
        <v>6</v>
      </c>
      <c r="H31">
        <v>7</v>
      </c>
      <c r="I31">
        <v>0</v>
      </c>
      <c r="J31">
        <v>1.3</v>
      </c>
      <c r="K31">
        <v>1.29</v>
      </c>
      <c r="L31">
        <v>1.36</v>
      </c>
      <c r="M31">
        <v>1.19</v>
      </c>
      <c r="N31">
        <v>1.23</v>
      </c>
      <c r="O31">
        <v>1.23</v>
      </c>
      <c r="P31">
        <v>1.29</v>
      </c>
      <c r="Q31">
        <v>1.05</v>
      </c>
      <c r="R31">
        <v>0.96</v>
      </c>
      <c r="S31">
        <v>0.97</v>
      </c>
      <c r="T31">
        <v>3740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7</v>
      </c>
      <c r="G32">
        <v>6</v>
      </c>
      <c r="H32">
        <v>7</v>
      </c>
      <c r="I32">
        <v>12</v>
      </c>
      <c r="J32">
        <v>1.27</v>
      </c>
      <c r="K32">
        <v>1.29</v>
      </c>
      <c r="L32">
        <v>1.35</v>
      </c>
      <c r="M32">
        <v>1.35</v>
      </c>
      <c r="N32">
        <v>1.47</v>
      </c>
      <c r="O32">
        <v>1.28</v>
      </c>
      <c r="P32">
        <v>1.02</v>
      </c>
      <c r="Q32">
        <v>1</v>
      </c>
      <c r="R32">
        <v>1.01</v>
      </c>
      <c r="S32">
        <v>0.97</v>
      </c>
      <c r="T32">
        <v>3727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7</v>
      </c>
      <c r="G33">
        <v>6</v>
      </c>
      <c r="H33">
        <v>7</v>
      </c>
      <c r="I33">
        <v>16</v>
      </c>
      <c r="J33">
        <v>1.24</v>
      </c>
      <c r="K33">
        <v>1.34</v>
      </c>
      <c r="L33">
        <v>1.55</v>
      </c>
      <c r="M33">
        <v>1.49</v>
      </c>
      <c r="N33">
        <v>1.5</v>
      </c>
      <c r="O33">
        <v>1.53</v>
      </c>
      <c r="P33">
        <v>1.2</v>
      </c>
      <c r="Q33">
        <v>1.1000000000000001</v>
      </c>
      <c r="R33">
        <v>1.08</v>
      </c>
      <c r="S33">
        <v>1.07</v>
      </c>
      <c r="T33">
        <v>3681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7</v>
      </c>
      <c r="G34">
        <v>6</v>
      </c>
      <c r="H34">
        <v>7</v>
      </c>
      <c r="I34">
        <v>21</v>
      </c>
      <c r="J34">
        <v>1.5</v>
      </c>
      <c r="K34">
        <v>1.45</v>
      </c>
      <c r="L34">
        <v>1.47</v>
      </c>
      <c r="M34">
        <v>1.52</v>
      </c>
      <c r="N34">
        <v>1.36</v>
      </c>
      <c r="O34">
        <v>1.3</v>
      </c>
      <c r="P34">
        <v>1.1499999999999999</v>
      </c>
      <c r="Q34">
        <v>1.1200000000000001</v>
      </c>
      <c r="R34">
        <v>1.17</v>
      </c>
      <c r="S34">
        <v>1.18</v>
      </c>
      <c r="T34">
        <v>3688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7</v>
      </c>
      <c r="G35">
        <v>6</v>
      </c>
      <c r="H35">
        <v>7</v>
      </c>
      <c r="I35">
        <v>25</v>
      </c>
      <c r="J35">
        <v>1.4</v>
      </c>
      <c r="K35">
        <v>1.36</v>
      </c>
      <c r="L35">
        <v>1.5</v>
      </c>
      <c r="M35">
        <v>1.56</v>
      </c>
      <c r="N35">
        <v>1.58</v>
      </c>
      <c r="O35">
        <v>1.5</v>
      </c>
      <c r="P35">
        <v>1.38</v>
      </c>
      <c r="Q35">
        <v>1.1200000000000001</v>
      </c>
      <c r="R35">
        <v>1.07</v>
      </c>
      <c r="S35">
        <v>1.06</v>
      </c>
      <c r="T35">
        <v>3695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7</v>
      </c>
      <c r="G36">
        <v>6</v>
      </c>
      <c r="H36">
        <v>7</v>
      </c>
      <c r="I36">
        <v>21</v>
      </c>
      <c r="J36">
        <v>1.41</v>
      </c>
      <c r="K36">
        <v>1.34</v>
      </c>
      <c r="L36">
        <v>1.45</v>
      </c>
      <c r="M36">
        <v>1.5</v>
      </c>
      <c r="N36">
        <v>1.5</v>
      </c>
      <c r="O36">
        <v>1.46</v>
      </c>
      <c r="P36">
        <v>1.35</v>
      </c>
      <c r="Q36">
        <v>0.97</v>
      </c>
      <c r="R36">
        <v>0.88</v>
      </c>
      <c r="S36">
        <v>0.83</v>
      </c>
      <c r="T36">
        <v>3705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7</v>
      </c>
      <c r="G37">
        <v>6</v>
      </c>
      <c r="H37">
        <v>7</v>
      </c>
      <c r="I37">
        <v>34</v>
      </c>
      <c r="J37">
        <v>1.4</v>
      </c>
      <c r="K37">
        <v>1.35</v>
      </c>
      <c r="L37">
        <v>1.35</v>
      </c>
      <c r="M37">
        <v>1.45</v>
      </c>
      <c r="N37">
        <v>1.49</v>
      </c>
      <c r="O37">
        <v>1.47</v>
      </c>
      <c r="P37">
        <v>1.4</v>
      </c>
      <c r="Q37">
        <v>1.1100000000000001</v>
      </c>
      <c r="R37">
        <v>0.89</v>
      </c>
      <c r="S37">
        <v>0.9</v>
      </c>
      <c r="T37">
        <v>3702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7</v>
      </c>
      <c r="G38">
        <v>6</v>
      </c>
      <c r="H38">
        <v>7</v>
      </c>
      <c r="I38">
        <v>30</v>
      </c>
      <c r="J38">
        <v>1.49</v>
      </c>
      <c r="K38">
        <v>1.41</v>
      </c>
      <c r="L38">
        <v>1.25</v>
      </c>
      <c r="M38">
        <v>1.34</v>
      </c>
      <c r="N38">
        <v>1.45</v>
      </c>
      <c r="O38">
        <v>1.36</v>
      </c>
      <c r="P38">
        <v>1.24</v>
      </c>
      <c r="Q38">
        <v>0.91</v>
      </c>
      <c r="R38">
        <v>0.86</v>
      </c>
      <c r="S38">
        <v>0.9</v>
      </c>
      <c r="T38">
        <v>3700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7</v>
      </c>
      <c r="G39">
        <v>6</v>
      </c>
      <c r="H39">
        <v>7</v>
      </c>
      <c r="I39">
        <v>43</v>
      </c>
      <c r="J39">
        <v>1.45</v>
      </c>
      <c r="K39">
        <v>1.35</v>
      </c>
      <c r="L39">
        <v>1.27</v>
      </c>
      <c r="M39">
        <v>1.21</v>
      </c>
      <c r="N39">
        <v>1.25</v>
      </c>
      <c r="O39">
        <v>1.28</v>
      </c>
      <c r="P39">
        <v>1.08</v>
      </c>
      <c r="Q39">
        <v>0.96</v>
      </c>
      <c r="R39">
        <v>0.94</v>
      </c>
      <c r="S39">
        <v>0.93</v>
      </c>
      <c r="T39">
        <v>3706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7</v>
      </c>
      <c r="G40">
        <v>6</v>
      </c>
      <c r="H40">
        <v>7</v>
      </c>
      <c r="I40">
        <v>47</v>
      </c>
      <c r="J40">
        <v>1.33</v>
      </c>
      <c r="K40">
        <v>1.36</v>
      </c>
      <c r="L40">
        <v>1.45</v>
      </c>
      <c r="M40">
        <v>1.22</v>
      </c>
      <c r="N40">
        <v>1.29</v>
      </c>
      <c r="O40">
        <v>1.38</v>
      </c>
      <c r="P40">
        <v>1.1000000000000001</v>
      </c>
      <c r="Q40">
        <v>1.02</v>
      </c>
      <c r="R40">
        <v>1.08</v>
      </c>
      <c r="S40">
        <v>1.07</v>
      </c>
      <c r="T40">
        <v>3684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7</v>
      </c>
      <c r="G41">
        <v>6</v>
      </c>
      <c r="H41">
        <v>7</v>
      </c>
      <c r="I41">
        <v>51</v>
      </c>
      <c r="J41">
        <v>1.22</v>
      </c>
      <c r="K41">
        <v>1.04</v>
      </c>
      <c r="L41">
        <v>1.08</v>
      </c>
      <c r="M41">
        <v>1.23</v>
      </c>
      <c r="N41">
        <v>1.32</v>
      </c>
      <c r="O41">
        <v>1.1299999999999999</v>
      </c>
      <c r="P41">
        <v>1.1499999999999999</v>
      </c>
      <c r="Q41">
        <v>1.1200000000000001</v>
      </c>
      <c r="R41">
        <v>1.05</v>
      </c>
      <c r="S41">
        <v>0.99</v>
      </c>
      <c r="T41">
        <v>3669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7</v>
      </c>
      <c r="G45">
        <v>6</v>
      </c>
      <c r="H45">
        <v>6</v>
      </c>
      <c r="I45">
        <v>0</v>
      </c>
      <c r="J45">
        <v>1.07</v>
      </c>
      <c r="K45">
        <v>1.1200000000000001</v>
      </c>
      <c r="L45">
        <v>1.27</v>
      </c>
      <c r="M45">
        <v>1.41</v>
      </c>
      <c r="N45">
        <v>1.3</v>
      </c>
      <c r="O45">
        <v>1.35</v>
      </c>
      <c r="P45">
        <v>1.32</v>
      </c>
      <c r="Q45">
        <v>1.22</v>
      </c>
      <c r="R45">
        <v>1.25</v>
      </c>
      <c r="S45">
        <v>1.1399999999999999</v>
      </c>
      <c r="T45">
        <v>3710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7</v>
      </c>
      <c r="G46">
        <v>6</v>
      </c>
      <c r="H46">
        <v>6</v>
      </c>
      <c r="I46">
        <v>13</v>
      </c>
      <c r="J46">
        <v>1.35</v>
      </c>
      <c r="K46">
        <v>1.34</v>
      </c>
      <c r="L46">
        <v>1.18</v>
      </c>
      <c r="M46">
        <v>1.17</v>
      </c>
      <c r="N46">
        <v>1.1100000000000001</v>
      </c>
      <c r="O46">
        <v>1.17</v>
      </c>
      <c r="P46">
        <v>1.1000000000000001</v>
      </c>
      <c r="Q46">
        <v>1.2</v>
      </c>
      <c r="R46">
        <v>1.01</v>
      </c>
      <c r="S46">
        <v>0.84</v>
      </c>
      <c r="T46">
        <v>3714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7</v>
      </c>
      <c r="G47">
        <v>6</v>
      </c>
      <c r="H47">
        <v>6</v>
      </c>
      <c r="I47">
        <v>10</v>
      </c>
      <c r="J47">
        <v>1.23</v>
      </c>
      <c r="K47">
        <v>1.2</v>
      </c>
      <c r="L47">
        <v>1.24</v>
      </c>
      <c r="M47">
        <v>1.38</v>
      </c>
      <c r="N47">
        <v>1.41</v>
      </c>
      <c r="O47">
        <v>1.39</v>
      </c>
      <c r="P47">
        <v>1.21</v>
      </c>
      <c r="Q47">
        <v>1.07</v>
      </c>
      <c r="R47">
        <v>1.06</v>
      </c>
      <c r="S47">
        <v>1.02</v>
      </c>
      <c r="T47">
        <v>3712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7</v>
      </c>
      <c r="G48">
        <v>6</v>
      </c>
      <c r="H48">
        <v>6</v>
      </c>
      <c r="I48">
        <v>22</v>
      </c>
      <c r="J48">
        <v>1.45</v>
      </c>
      <c r="K48">
        <v>1.39</v>
      </c>
      <c r="L48">
        <v>1.43</v>
      </c>
      <c r="M48">
        <v>1.42</v>
      </c>
      <c r="N48">
        <v>1.31</v>
      </c>
      <c r="O48">
        <v>1.29</v>
      </c>
      <c r="P48">
        <v>1.36</v>
      </c>
      <c r="Q48">
        <v>1.17</v>
      </c>
      <c r="R48">
        <v>1.06</v>
      </c>
      <c r="S48">
        <v>1</v>
      </c>
      <c r="T48">
        <v>3727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7</v>
      </c>
      <c r="G49">
        <v>6</v>
      </c>
      <c r="H49">
        <v>6</v>
      </c>
      <c r="I49">
        <v>41</v>
      </c>
      <c r="J49">
        <v>1.46</v>
      </c>
      <c r="K49">
        <v>1.34</v>
      </c>
      <c r="L49">
        <v>1.39</v>
      </c>
      <c r="M49">
        <v>1.39</v>
      </c>
      <c r="N49">
        <v>1.37</v>
      </c>
      <c r="O49">
        <v>1.4</v>
      </c>
      <c r="P49">
        <v>1.2</v>
      </c>
      <c r="Q49">
        <v>1.24</v>
      </c>
      <c r="R49">
        <v>1.05</v>
      </c>
      <c r="S49">
        <v>1.06</v>
      </c>
      <c r="T49">
        <v>3738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7</v>
      </c>
      <c r="G50">
        <v>6</v>
      </c>
      <c r="H50">
        <v>6</v>
      </c>
      <c r="I50">
        <v>35</v>
      </c>
      <c r="J50">
        <v>1.42</v>
      </c>
      <c r="K50">
        <v>1.34</v>
      </c>
      <c r="L50">
        <v>1.33</v>
      </c>
      <c r="M50">
        <v>1.38</v>
      </c>
      <c r="N50">
        <v>1.33</v>
      </c>
      <c r="O50">
        <v>1.1200000000000001</v>
      </c>
      <c r="P50">
        <v>0.94</v>
      </c>
      <c r="Q50">
        <v>1.1100000000000001</v>
      </c>
      <c r="R50">
        <v>1.1100000000000001</v>
      </c>
      <c r="S50">
        <v>1.04</v>
      </c>
      <c r="T50">
        <v>3729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7</v>
      </c>
      <c r="G51">
        <v>6</v>
      </c>
      <c r="H51">
        <v>6</v>
      </c>
      <c r="I51">
        <v>31</v>
      </c>
      <c r="J51">
        <v>1.32</v>
      </c>
      <c r="K51">
        <v>1.32</v>
      </c>
      <c r="L51">
        <v>1.43</v>
      </c>
      <c r="M51">
        <v>1.49</v>
      </c>
      <c r="N51">
        <v>1.35</v>
      </c>
      <c r="O51">
        <v>1.1000000000000001</v>
      </c>
      <c r="P51">
        <v>1.05</v>
      </c>
      <c r="Q51">
        <v>1.07</v>
      </c>
      <c r="R51">
        <v>1.02</v>
      </c>
      <c r="S51">
        <v>0.96</v>
      </c>
      <c r="T51">
        <v>3727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7</v>
      </c>
      <c r="G52">
        <v>6</v>
      </c>
      <c r="H52">
        <v>6</v>
      </c>
      <c r="I52">
        <v>27</v>
      </c>
      <c r="J52">
        <v>1.03</v>
      </c>
      <c r="K52">
        <v>0.9</v>
      </c>
      <c r="L52">
        <v>0.85</v>
      </c>
      <c r="M52">
        <v>0.84</v>
      </c>
      <c r="N52">
        <v>0.78</v>
      </c>
      <c r="O52">
        <v>0.72</v>
      </c>
      <c r="P52">
        <v>0.7</v>
      </c>
      <c r="Q52">
        <v>0.77</v>
      </c>
      <c r="R52">
        <v>0.98</v>
      </c>
      <c r="S52">
        <v>1.02</v>
      </c>
      <c r="T52">
        <v>3752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7</v>
      </c>
      <c r="G53">
        <v>6</v>
      </c>
      <c r="H53">
        <v>6</v>
      </c>
      <c r="I53">
        <v>46</v>
      </c>
      <c r="J53">
        <v>1.51</v>
      </c>
      <c r="K53">
        <v>1.42</v>
      </c>
      <c r="L53">
        <v>1.41</v>
      </c>
      <c r="M53">
        <v>1.49</v>
      </c>
      <c r="N53">
        <v>1.46</v>
      </c>
      <c r="O53">
        <v>1.26</v>
      </c>
      <c r="P53">
        <v>1.06</v>
      </c>
      <c r="Q53">
        <v>0.96</v>
      </c>
      <c r="R53">
        <v>0.97</v>
      </c>
      <c r="S53">
        <v>0.98</v>
      </c>
      <c r="T53">
        <v>3767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7</v>
      </c>
      <c r="G54">
        <v>6</v>
      </c>
      <c r="H54">
        <v>6</v>
      </c>
      <c r="I54">
        <v>50</v>
      </c>
      <c r="J54">
        <v>1.18</v>
      </c>
      <c r="K54">
        <v>1.1000000000000001</v>
      </c>
      <c r="L54">
        <v>1</v>
      </c>
      <c r="M54">
        <v>0.94</v>
      </c>
      <c r="N54">
        <v>0.9</v>
      </c>
      <c r="O54">
        <v>0.88</v>
      </c>
      <c r="P54">
        <v>0.92</v>
      </c>
      <c r="Q54">
        <v>1.1000000000000001</v>
      </c>
      <c r="R54">
        <v>1.06</v>
      </c>
      <c r="S54">
        <v>1.02</v>
      </c>
      <c r="T54">
        <v>3726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7</v>
      </c>
      <c r="G55">
        <v>6</v>
      </c>
      <c r="H55">
        <v>6</v>
      </c>
      <c r="I55">
        <v>54</v>
      </c>
      <c r="J55">
        <v>1.1499999999999999</v>
      </c>
      <c r="K55">
        <v>1.1399999999999999</v>
      </c>
      <c r="L55">
        <v>1.31</v>
      </c>
      <c r="M55">
        <v>1.42</v>
      </c>
      <c r="N55">
        <v>1.34</v>
      </c>
      <c r="O55">
        <v>1.25</v>
      </c>
      <c r="P55">
        <v>1.28</v>
      </c>
      <c r="Q55">
        <v>1.19</v>
      </c>
      <c r="R55">
        <v>1.1000000000000001</v>
      </c>
      <c r="S55">
        <v>1.04</v>
      </c>
      <c r="T55">
        <v>3725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7</v>
      </c>
      <c r="G56">
        <v>6</v>
      </c>
      <c r="H56">
        <v>6</v>
      </c>
      <c r="I56">
        <v>50</v>
      </c>
      <c r="J56">
        <v>1</v>
      </c>
      <c r="K56">
        <v>1.02</v>
      </c>
      <c r="L56">
        <v>1.26</v>
      </c>
      <c r="M56">
        <v>1.36</v>
      </c>
      <c r="N56">
        <v>1.41</v>
      </c>
      <c r="O56">
        <v>1.41</v>
      </c>
      <c r="P56">
        <v>1.39</v>
      </c>
      <c r="Q56">
        <v>1.19</v>
      </c>
      <c r="R56">
        <v>0.97</v>
      </c>
      <c r="S56">
        <v>0.89</v>
      </c>
      <c r="T56">
        <v>3742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7</v>
      </c>
      <c r="G57">
        <v>6</v>
      </c>
      <c r="H57">
        <v>7</v>
      </c>
      <c r="I57">
        <v>16</v>
      </c>
      <c r="J57">
        <v>1.24</v>
      </c>
      <c r="K57">
        <v>1.34</v>
      </c>
      <c r="L57">
        <v>1.55</v>
      </c>
      <c r="M57">
        <v>1.49</v>
      </c>
      <c r="N57">
        <v>1.5</v>
      </c>
      <c r="O57">
        <v>1.53</v>
      </c>
      <c r="P57">
        <v>1.2</v>
      </c>
      <c r="Q57">
        <v>1.1000000000000001</v>
      </c>
      <c r="R57">
        <v>1.08</v>
      </c>
      <c r="S57">
        <v>1.07</v>
      </c>
      <c r="T57">
        <v>3681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7</v>
      </c>
      <c r="G58">
        <v>6</v>
      </c>
      <c r="H58">
        <v>7</v>
      </c>
      <c r="I58">
        <v>12</v>
      </c>
      <c r="J58">
        <v>1.27</v>
      </c>
      <c r="K58">
        <v>1.29</v>
      </c>
      <c r="L58">
        <v>1.35</v>
      </c>
      <c r="M58">
        <v>1.35</v>
      </c>
      <c r="N58">
        <v>1.47</v>
      </c>
      <c r="O58">
        <v>1.28</v>
      </c>
      <c r="P58">
        <v>1.02</v>
      </c>
      <c r="Q58">
        <v>1</v>
      </c>
      <c r="R58">
        <v>1.01</v>
      </c>
      <c r="S58">
        <v>0.97</v>
      </c>
      <c r="T58">
        <v>3727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7</v>
      </c>
      <c r="G59">
        <v>6</v>
      </c>
      <c r="H59">
        <v>7</v>
      </c>
      <c r="I59">
        <v>0</v>
      </c>
      <c r="J59">
        <v>1.3</v>
      </c>
      <c r="K59">
        <v>1.29</v>
      </c>
      <c r="L59">
        <v>1.36</v>
      </c>
      <c r="M59">
        <v>1.19</v>
      </c>
      <c r="N59">
        <v>1.23</v>
      </c>
      <c r="O59">
        <v>1.23</v>
      </c>
      <c r="P59">
        <v>1.29</v>
      </c>
      <c r="Q59">
        <v>1.05</v>
      </c>
      <c r="R59">
        <v>0.96</v>
      </c>
      <c r="S59">
        <v>0.97</v>
      </c>
      <c r="T59">
        <v>3740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7</v>
      </c>
      <c r="G60">
        <v>6</v>
      </c>
      <c r="H60">
        <v>7</v>
      </c>
      <c r="I60">
        <v>3</v>
      </c>
      <c r="J60">
        <v>1.07</v>
      </c>
      <c r="K60">
        <v>1.1399999999999999</v>
      </c>
      <c r="L60">
        <v>1.44</v>
      </c>
      <c r="M60">
        <v>1.37</v>
      </c>
      <c r="N60">
        <v>1.45</v>
      </c>
      <c r="O60">
        <v>1.37</v>
      </c>
      <c r="P60">
        <v>1.4</v>
      </c>
      <c r="Q60">
        <v>1.08</v>
      </c>
      <c r="R60">
        <v>0.89</v>
      </c>
      <c r="S60">
        <v>0.87</v>
      </c>
      <c r="T60">
        <v>3749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7</v>
      </c>
      <c r="G61">
        <v>6</v>
      </c>
      <c r="H61">
        <v>7</v>
      </c>
      <c r="I61">
        <v>21</v>
      </c>
      <c r="J61">
        <v>1.5</v>
      </c>
      <c r="K61">
        <v>1.45</v>
      </c>
      <c r="L61">
        <v>1.47</v>
      </c>
      <c r="M61">
        <v>1.52</v>
      </c>
      <c r="N61">
        <v>1.36</v>
      </c>
      <c r="O61">
        <v>1.3</v>
      </c>
      <c r="P61">
        <v>1.1499999999999999</v>
      </c>
      <c r="Q61">
        <v>1.1200000000000001</v>
      </c>
      <c r="R61">
        <v>1.17</v>
      </c>
      <c r="S61">
        <v>1.18</v>
      </c>
      <c r="T61">
        <v>3688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7</v>
      </c>
      <c r="G62">
        <v>6</v>
      </c>
      <c r="H62">
        <v>7</v>
      </c>
      <c r="I62">
        <v>25</v>
      </c>
      <c r="J62">
        <v>1.4</v>
      </c>
      <c r="K62">
        <v>1.36</v>
      </c>
      <c r="L62">
        <v>1.5</v>
      </c>
      <c r="M62">
        <v>1.56</v>
      </c>
      <c r="N62">
        <v>1.58</v>
      </c>
      <c r="O62">
        <v>1.5</v>
      </c>
      <c r="P62">
        <v>1.38</v>
      </c>
      <c r="Q62">
        <v>1.1200000000000001</v>
      </c>
      <c r="R62">
        <v>1.07</v>
      </c>
      <c r="S62">
        <v>1.06</v>
      </c>
      <c r="T62">
        <v>3695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7</v>
      </c>
      <c r="G63">
        <v>6</v>
      </c>
      <c r="H63">
        <v>7</v>
      </c>
      <c r="I63">
        <v>21</v>
      </c>
      <c r="J63">
        <v>1.41</v>
      </c>
      <c r="K63">
        <v>1.34</v>
      </c>
      <c r="L63">
        <v>1.45</v>
      </c>
      <c r="M63">
        <v>1.5</v>
      </c>
      <c r="N63">
        <v>1.5</v>
      </c>
      <c r="O63">
        <v>1.46</v>
      </c>
      <c r="P63">
        <v>1.35</v>
      </c>
      <c r="Q63">
        <v>0.97</v>
      </c>
      <c r="R63">
        <v>0.88</v>
      </c>
      <c r="S63">
        <v>0.83</v>
      </c>
      <c r="T63">
        <v>3705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7</v>
      </c>
      <c r="G64">
        <v>6</v>
      </c>
      <c r="H64">
        <v>7</v>
      </c>
      <c r="I64">
        <v>34</v>
      </c>
      <c r="J64">
        <v>1.4</v>
      </c>
      <c r="K64">
        <v>1.35</v>
      </c>
      <c r="L64">
        <v>1.35</v>
      </c>
      <c r="M64">
        <v>1.45</v>
      </c>
      <c r="N64">
        <v>1.49</v>
      </c>
      <c r="O64">
        <v>1.47</v>
      </c>
      <c r="P64">
        <v>1.4</v>
      </c>
      <c r="Q64">
        <v>1.1100000000000001</v>
      </c>
      <c r="R64">
        <v>0.89</v>
      </c>
      <c r="S64">
        <v>0.9</v>
      </c>
      <c r="T64">
        <v>3702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7</v>
      </c>
      <c r="G65">
        <v>6</v>
      </c>
      <c r="H65">
        <v>7</v>
      </c>
      <c r="I65">
        <v>51</v>
      </c>
      <c r="J65">
        <v>1.22</v>
      </c>
      <c r="K65">
        <v>1.04</v>
      </c>
      <c r="L65">
        <v>1.08</v>
      </c>
      <c r="M65">
        <v>1.23</v>
      </c>
      <c r="N65">
        <v>1.32</v>
      </c>
      <c r="O65">
        <v>1.1299999999999999</v>
      </c>
      <c r="P65">
        <v>1.1499999999999999</v>
      </c>
      <c r="Q65">
        <v>1.1200000000000001</v>
      </c>
      <c r="R65">
        <v>1.05</v>
      </c>
      <c r="S65">
        <v>0.99</v>
      </c>
      <c r="T65">
        <v>3669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7</v>
      </c>
      <c r="G66">
        <v>6</v>
      </c>
      <c r="H66">
        <v>7</v>
      </c>
      <c r="I66">
        <v>47</v>
      </c>
      <c r="J66">
        <v>1.33</v>
      </c>
      <c r="K66">
        <v>1.36</v>
      </c>
      <c r="L66">
        <v>1.45</v>
      </c>
      <c r="M66">
        <v>1.22</v>
      </c>
      <c r="N66">
        <v>1.29</v>
      </c>
      <c r="O66">
        <v>1.38</v>
      </c>
      <c r="P66">
        <v>1.1000000000000001</v>
      </c>
      <c r="Q66">
        <v>1.02</v>
      </c>
      <c r="R66">
        <v>1.08</v>
      </c>
      <c r="S66">
        <v>1.07</v>
      </c>
      <c r="T66">
        <v>3684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7</v>
      </c>
      <c r="G67">
        <v>6</v>
      </c>
      <c r="H67">
        <v>7</v>
      </c>
      <c r="I67">
        <v>43</v>
      </c>
      <c r="J67">
        <v>1.45</v>
      </c>
      <c r="K67">
        <v>1.35</v>
      </c>
      <c r="L67">
        <v>1.27</v>
      </c>
      <c r="M67">
        <v>1.21</v>
      </c>
      <c r="N67">
        <v>1.25</v>
      </c>
      <c r="O67">
        <v>1.28</v>
      </c>
      <c r="P67">
        <v>1.08</v>
      </c>
      <c r="Q67">
        <v>0.96</v>
      </c>
      <c r="R67">
        <v>0.94</v>
      </c>
      <c r="S67">
        <v>0.93</v>
      </c>
      <c r="T67">
        <v>3706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7</v>
      </c>
      <c r="G68">
        <v>6</v>
      </c>
      <c r="H68">
        <v>7</v>
      </c>
      <c r="I68">
        <v>30</v>
      </c>
      <c r="J68">
        <v>1.49</v>
      </c>
      <c r="K68">
        <v>1.41</v>
      </c>
      <c r="L68">
        <v>1.25</v>
      </c>
      <c r="M68">
        <v>1.34</v>
      </c>
      <c r="N68">
        <v>1.45</v>
      </c>
      <c r="O68">
        <v>1.36</v>
      </c>
      <c r="P68">
        <v>1.24</v>
      </c>
      <c r="Q68">
        <v>0.91</v>
      </c>
      <c r="R68">
        <v>0.86</v>
      </c>
      <c r="S68">
        <v>0.9</v>
      </c>
      <c r="T68">
        <v>3700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17.662950000000002</v>
      </c>
      <c r="K73">
        <f t="shared" ref="K73:R73" si="0">22.275*K45-6.1713</f>
        <v>18.776700000000002</v>
      </c>
      <c r="L73">
        <f t="shared" si="0"/>
        <v>22.11795</v>
      </c>
      <c r="M73">
        <f t="shared" si="0"/>
        <v>25.236449999999998</v>
      </c>
      <c r="N73">
        <f t="shared" si="0"/>
        <v>22.786200000000001</v>
      </c>
      <c r="O73">
        <f t="shared" si="0"/>
        <v>23.89995</v>
      </c>
      <c r="P73">
        <f t="shared" si="0"/>
        <v>23.2317</v>
      </c>
      <c r="Q73">
        <f t="shared" si="0"/>
        <v>21.004199999999997</v>
      </c>
      <c r="R73">
        <f t="shared" si="0"/>
        <v>21.672450000000001</v>
      </c>
      <c r="S73">
        <f>22.275*(S45*1.1)-6.1713</f>
        <v>21.76155</v>
      </c>
    </row>
    <row r="74" spans="1:20" x14ac:dyDescent="0.25">
      <c r="I74" t="s">
        <v>43</v>
      </c>
      <c r="J74">
        <f t="shared" ref="J74:R89" si="1">22.275*J46-6.1713</f>
        <v>23.89995</v>
      </c>
      <c r="K74">
        <f t="shared" si="1"/>
        <v>23.677200000000003</v>
      </c>
      <c r="L74">
        <f t="shared" si="1"/>
        <v>20.113199999999999</v>
      </c>
      <c r="M74">
        <f t="shared" si="1"/>
        <v>19.890449999999998</v>
      </c>
      <c r="N74">
        <f t="shared" si="1"/>
        <v>18.55395</v>
      </c>
      <c r="O74">
        <f t="shared" si="1"/>
        <v>19.890449999999998</v>
      </c>
      <c r="P74">
        <f t="shared" si="1"/>
        <v>18.331200000000003</v>
      </c>
      <c r="Q74">
        <f t="shared" si="1"/>
        <v>20.558699999999998</v>
      </c>
      <c r="R74">
        <f t="shared" si="1"/>
        <v>16.326450000000001</v>
      </c>
      <c r="S74">
        <f t="shared" ref="S74:S91" si="2">22.275*(S46*1.1)-6.1713</f>
        <v>14.410800000000002</v>
      </c>
    </row>
    <row r="75" spans="1:20" x14ac:dyDescent="0.25">
      <c r="I75" t="s">
        <v>44</v>
      </c>
      <c r="J75">
        <f t="shared" si="1"/>
        <v>21.226949999999999</v>
      </c>
      <c r="K75">
        <f t="shared" si="1"/>
        <v>20.558699999999998</v>
      </c>
      <c r="L75">
        <f t="shared" si="1"/>
        <v>21.4497</v>
      </c>
      <c r="M75">
        <f t="shared" si="1"/>
        <v>24.568199999999997</v>
      </c>
      <c r="N75">
        <f t="shared" si="1"/>
        <v>25.236449999999998</v>
      </c>
      <c r="O75">
        <f t="shared" si="1"/>
        <v>24.790949999999999</v>
      </c>
      <c r="P75">
        <f t="shared" si="1"/>
        <v>20.78145</v>
      </c>
      <c r="Q75">
        <f t="shared" si="1"/>
        <v>17.662950000000002</v>
      </c>
      <c r="R75">
        <f t="shared" si="1"/>
        <v>17.440200000000001</v>
      </c>
      <c r="S75">
        <f t="shared" si="2"/>
        <v>18.821250000000003</v>
      </c>
    </row>
    <row r="76" spans="1:20" x14ac:dyDescent="0.25">
      <c r="I76" t="s">
        <v>45</v>
      </c>
      <c r="J76">
        <f t="shared" si="1"/>
        <v>26.12745</v>
      </c>
      <c r="K76">
        <f t="shared" si="1"/>
        <v>24.790949999999999</v>
      </c>
      <c r="L76">
        <f t="shared" si="1"/>
        <v>25.681949999999997</v>
      </c>
      <c r="M76">
        <f t="shared" si="1"/>
        <v>25.459199999999999</v>
      </c>
      <c r="N76">
        <f t="shared" si="1"/>
        <v>23.008950000000002</v>
      </c>
      <c r="O76">
        <f t="shared" si="1"/>
        <v>22.56345</v>
      </c>
      <c r="P76">
        <f t="shared" si="1"/>
        <v>24.122700000000002</v>
      </c>
      <c r="Q76">
        <f t="shared" si="1"/>
        <v>19.890449999999998</v>
      </c>
      <c r="R76">
        <f t="shared" si="1"/>
        <v>17.440200000000001</v>
      </c>
      <c r="S76">
        <f t="shared" si="2"/>
        <v>18.331200000000003</v>
      </c>
    </row>
    <row r="77" spans="1:20" x14ac:dyDescent="0.25">
      <c r="I77" t="s">
        <v>46</v>
      </c>
      <c r="J77">
        <f t="shared" si="1"/>
        <v>26.350199999999997</v>
      </c>
      <c r="K77">
        <f t="shared" si="1"/>
        <v>23.677200000000003</v>
      </c>
      <c r="L77">
        <f t="shared" si="1"/>
        <v>24.790949999999999</v>
      </c>
      <c r="M77">
        <f t="shared" si="1"/>
        <v>24.790949999999999</v>
      </c>
      <c r="N77">
        <f t="shared" si="1"/>
        <v>24.345450000000003</v>
      </c>
      <c r="O77">
        <f t="shared" si="1"/>
        <v>25.013699999999996</v>
      </c>
      <c r="P77">
        <f t="shared" si="1"/>
        <v>20.558699999999998</v>
      </c>
      <c r="Q77">
        <f t="shared" si="1"/>
        <v>21.4497</v>
      </c>
      <c r="R77">
        <f t="shared" si="1"/>
        <v>17.217449999999999</v>
      </c>
      <c r="S77">
        <f t="shared" si="2"/>
        <v>19.801350000000003</v>
      </c>
    </row>
    <row r="78" spans="1:20" x14ac:dyDescent="0.25">
      <c r="I78" t="s">
        <v>47</v>
      </c>
      <c r="J78">
        <f t="shared" si="1"/>
        <v>25.459199999999999</v>
      </c>
      <c r="K78">
        <f t="shared" si="1"/>
        <v>23.677200000000003</v>
      </c>
      <c r="L78">
        <f t="shared" si="1"/>
        <v>23.454450000000001</v>
      </c>
      <c r="M78">
        <f t="shared" si="1"/>
        <v>24.568199999999997</v>
      </c>
      <c r="N78">
        <f t="shared" si="1"/>
        <v>23.454450000000001</v>
      </c>
      <c r="O78">
        <f t="shared" si="1"/>
        <v>18.776700000000002</v>
      </c>
      <c r="P78">
        <f t="shared" si="1"/>
        <v>14.767199999999999</v>
      </c>
      <c r="Q78">
        <f t="shared" si="1"/>
        <v>18.55395</v>
      </c>
      <c r="R78">
        <f t="shared" si="1"/>
        <v>18.55395</v>
      </c>
      <c r="S78">
        <f t="shared" si="2"/>
        <v>19.311300000000003</v>
      </c>
    </row>
    <row r="79" spans="1:20" x14ac:dyDescent="0.25">
      <c r="I79" t="s">
        <v>48</v>
      </c>
      <c r="J79">
        <f t="shared" si="1"/>
        <v>23.2317</v>
      </c>
      <c r="K79">
        <f t="shared" si="1"/>
        <v>23.2317</v>
      </c>
      <c r="L79">
        <f t="shared" si="1"/>
        <v>25.681949999999997</v>
      </c>
      <c r="M79">
        <f t="shared" si="1"/>
        <v>27.018449999999998</v>
      </c>
      <c r="N79">
        <f t="shared" si="1"/>
        <v>23.89995</v>
      </c>
      <c r="O79">
        <f t="shared" si="1"/>
        <v>18.331200000000003</v>
      </c>
      <c r="P79">
        <f t="shared" si="1"/>
        <v>17.217449999999999</v>
      </c>
      <c r="Q79">
        <f t="shared" si="1"/>
        <v>17.662950000000002</v>
      </c>
      <c r="R79">
        <f t="shared" si="1"/>
        <v>16.549199999999999</v>
      </c>
      <c r="S79">
        <f t="shared" si="2"/>
        <v>17.351100000000002</v>
      </c>
    </row>
    <row r="80" spans="1:20" x14ac:dyDescent="0.25">
      <c r="I80" t="s">
        <v>49</v>
      </c>
      <c r="J80">
        <f t="shared" si="1"/>
        <v>16.77195</v>
      </c>
      <c r="K80">
        <f t="shared" si="1"/>
        <v>13.876200000000001</v>
      </c>
      <c r="L80">
        <f t="shared" si="1"/>
        <v>12.762450000000001</v>
      </c>
      <c r="M80">
        <f t="shared" si="1"/>
        <v>12.5397</v>
      </c>
      <c r="N80">
        <f t="shared" si="1"/>
        <v>11.203200000000002</v>
      </c>
      <c r="O80">
        <f t="shared" si="1"/>
        <v>9.866699999999998</v>
      </c>
      <c r="P80">
        <f t="shared" si="1"/>
        <v>9.4211999999999989</v>
      </c>
      <c r="Q80">
        <f t="shared" si="1"/>
        <v>10.980450000000001</v>
      </c>
      <c r="R80">
        <f t="shared" si="1"/>
        <v>15.658200000000001</v>
      </c>
      <c r="S80">
        <f t="shared" si="2"/>
        <v>18.821250000000003</v>
      </c>
    </row>
    <row r="81" spans="9:19" x14ac:dyDescent="0.25">
      <c r="I81" t="s">
        <v>50</v>
      </c>
      <c r="J81">
        <f t="shared" si="1"/>
        <v>27.463950000000001</v>
      </c>
      <c r="K81">
        <f t="shared" si="1"/>
        <v>25.459199999999999</v>
      </c>
      <c r="L81">
        <f t="shared" si="1"/>
        <v>25.236449999999998</v>
      </c>
      <c r="M81">
        <f t="shared" si="1"/>
        <v>27.018449999999998</v>
      </c>
      <c r="N81">
        <f t="shared" si="1"/>
        <v>26.350199999999997</v>
      </c>
      <c r="O81">
        <f t="shared" si="1"/>
        <v>21.895199999999999</v>
      </c>
      <c r="P81">
        <f t="shared" si="1"/>
        <v>17.440200000000001</v>
      </c>
      <c r="Q81">
        <f t="shared" si="1"/>
        <v>15.212699999999998</v>
      </c>
      <c r="R81">
        <f t="shared" si="1"/>
        <v>15.435449999999999</v>
      </c>
      <c r="S81">
        <f t="shared" si="2"/>
        <v>17.841150000000003</v>
      </c>
    </row>
    <row r="82" spans="9:19" x14ac:dyDescent="0.25">
      <c r="I82" t="s">
        <v>51</v>
      </c>
      <c r="J82">
        <f t="shared" si="1"/>
        <v>20.113199999999999</v>
      </c>
      <c r="K82">
        <f t="shared" si="1"/>
        <v>18.331200000000003</v>
      </c>
      <c r="L82">
        <f t="shared" si="1"/>
        <v>16.1037</v>
      </c>
      <c r="M82">
        <f t="shared" si="1"/>
        <v>14.767199999999999</v>
      </c>
      <c r="N82">
        <f t="shared" si="1"/>
        <v>13.876200000000001</v>
      </c>
      <c r="O82">
        <f t="shared" si="1"/>
        <v>13.430700000000002</v>
      </c>
      <c r="P82">
        <f t="shared" si="1"/>
        <v>14.3217</v>
      </c>
      <c r="Q82">
        <f t="shared" si="1"/>
        <v>18.331200000000003</v>
      </c>
      <c r="R82">
        <f t="shared" si="1"/>
        <v>17.440200000000001</v>
      </c>
      <c r="S82">
        <f t="shared" si="2"/>
        <v>18.821250000000003</v>
      </c>
    </row>
    <row r="83" spans="9:19" x14ac:dyDescent="0.25">
      <c r="I83" t="s">
        <v>52</v>
      </c>
      <c r="J83">
        <f t="shared" si="1"/>
        <v>19.444949999999999</v>
      </c>
      <c r="K83">
        <f t="shared" si="1"/>
        <v>19.222199999999997</v>
      </c>
      <c r="L83">
        <f t="shared" si="1"/>
        <v>23.008950000000002</v>
      </c>
      <c r="M83">
        <f t="shared" si="1"/>
        <v>25.459199999999999</v>
      </c>
      <c r="N83">
        <f t="shared" si="1"/>
        <v>23.677200000000003</v>
      </c>
      <c r="O83">
        <f t="shared" si="1"/>
        <v>21.672450000000001</v>
      </c>
      <c r="P83">
        <f t="shared" si="1"/>
        <v>22.340700000000002</v>
      </c>
      <c r="Q83">
        <f t="shared" si="1"/>
        <v>20.335949999999997</v>
      </c>
      <c r="R83">
        <f t="shared" si="1"/>
        <v>18.331200000000003</v>
      </c>
      <c r="S83">
        <f t="shared" si="2"/>
        <v>19.311300000000003</v>
      </c>
    </row>
    <row r="84" spans="9:19" x14ac:dyDescent="0.25">
      <c r="I84" t="s">
        <v>53</v>
      </c>
      <c r="J84">
        <f t="shared" si="1"/>
        <v>16.1037</v>
      </c>
      <c r="K84">
        <f t="shared" si="1"/>
        <v>16.549199999999999</v>
      </c>
      <c r="L84">
        <f t="shared" si="1"/>
        <v>21.895199999999999</v>
      </c>
      <c r="M84">
        <f t="shared" si="1"/>
        <v>24.122700000000002</v>
      </c>
      <c r="N84">
        <f t="shared" si="1"/>
        <v>25.236449999999998</v>
      </c>
      <c r="O84">
        <f t="shared" si="1"/>
        <v>25.236449999999998</v>
      </c>
      <c r="P84">
        <f t="shared" si="1"/>
        <v>24.790949999999999</v>
      </c>
      <c r="Q84">
        <f t="shared" si="1"/>
        <v>20.335949999999997</v>
      </c>
      <c r="R84">
        <f t="shared" si="1"/>
        <v>15.435449999999999</v>
      </c>
      <c r="S84">
        <f t="shared" si="2"/>
        <v>15.635925</v>
      </c>
    </row>
    <row r="85" spans="9:19" x14ac:dyDescent="0.25">
      <c r="I85" t="s">
        <v>54</v>
      </c>
      <c r="J85">
        <f t="shared" si="1"/>
        <v>21.4497</v>
      </c>
      <c r="K85">
        <f t="shared" si="1"/>
        <v>23.677200000000003</v>
      </c>
      <c r="L85">
        <f t="shared" si="1"/>
        <v>28.354949999999999</v>
      </c>
      <c r="M85">
        <f t="shared" si="1"/>
        <v>27.018449999999998</v>
      </c>
      <c r="N85">
        <f t="shared" si="1"/>
        <v>27.241199999999996</v>
      </c>
      <c r="O85">
        <f t="shared" si="1"/>
        <v>27.909450000000003</v>
      </c>
      <c r="P85">
        <f t="shared" si="1"/>
        <v>20.558699999999998</v>
      </c>
      <c r="Q85">
        <f t="shared" si="1"/>
        <v>18.331200000000003</v>
      </c>
      <c r="R85">
        <f t="shared" si="1"/>
        <v>17.8857</v>
      </c>
      <c r="S85">
        <f t="shared" si="2"/>
        <v>20.046375000000005</v>
      </c>
    </row>
    <row r="86" spans="9:19" x14ac:dyDescent="0.25">
      <c r="I86" t="s">
        <v>55</v>
      </c>
      <c r="J86">
        <f t="shared" si="1"/>
        <v>22.11795</v>
      </c>
      <c r="K86">
        <f t="shared" si="1"/>
        <v>22.56345</v>
      </c>
      <c r="L86">
        <f t="shared" si="1"/>
        <v>23.89995</v>
      </c>
      <c r="M86">
        <f t="shared" si="1"/>
        <v>23.89995</v>
      </c>
      <c r="N86">
        <f t="shared" si="1"/>
        <v>26.572949999999995</v>
      </c>
      <c r="O86">
        <f t="shared" si="1"/>
        <v>22.340700000000002</v>
      </c>
      <c r="P86">
        <f t="shared" si="1"/>
        <v>16.549199999999999</v>
      </c>
      <c r="Q86">
        <f t="shared" si="1"/>
        <v>16.1037</v>
      </c>
      <c r="R86">
        <f t="shared" si="1"/>
        <v>16.326450000000001</v>
      </c>
      <c r="S86">
        <f t="shared" si="2"/>
        <v>17.596124999999997</v>
      </c>
    </row>
    <row r="87" spans="9:19" x14ac:dyDescent="0.25">
      <c r="I87" t="s">
        <v>56</v>
      </c>
      <c r="J87">
        <f t="shared" si="1"/>
        <v>22.786200000000001</v>
      </c>
      <c r="K87">
        <f t="shared" si="1"/>
        <v>22.56345</v>
      </c>
      <c r="L87">
        <f t="shared" si="1"/>
        <v>24.122700000000002</v>
      </c>
      <c r="M87">
        <f t="shared" si="1"/>
        <v>20.335949999999997</v>
      </c>
      <c r="N87">
        <f t="shared" si="1"/>
        <v>21.226949999999999</v>
      </c>
      <c r="O87">
        <f t="shared" si="1"/>
        <v>21.226949999999999</v>
      </c>
      <c r="P87">
        <f t="shared" si="1"/>
        <v>22.56345</v>
      </c>
      <c r="Q87">
        <f t="shared" si="1"/>
        <v>17.217449999999999</v>
      </c>
      <c r="R87">
        <f t="shared" si="1"/>
        <v>15.212699999999998</v>
      </c>
      <c r="S87">
        <f t="shared" si="2"/>
        <v>17.596124999999997</v>
      </c>
    </row>
    <row r="88" spans="9:19" x14ac:dyDescent="0.25">
      <c r="I88" t="s">
        <v>57</v>
      </c>
      <c r="J88">
        <f t="shared" si="1"/>
        <v>17.662950000000002</v>
      </c>
      <c r="K88">
        <f t="shared" si="1"/>
        <v>19.222199999999997</v>
      </c>
      <c r="L88">
        <f t="shared" si="1"/>
        <v>25.904699999999995</v>
      </c>
      <c r="M88">
        <f t="shared" si="1"/>
        <v>24.345450000000003</v>
      </c>
      <c r="N88">
        <f t="shared" si="1"/>
        <v>26.12745</v>
      </c>
      <c r="O88">
        <f t="shared" si="1"/>
        <v>24.345450000000003</v>
      </c>
      <c r="P88">
        <f t="shared" si="1"/>
        <v>25.013699999999996</v>
      </c>
      <c r="Q88">
        <f t="shared" si="1"/>
        <v>17.8857</v>
      </c>
      <c r="R88">
        <f t="shared" si="1"/>
        <v>13.653449999999999</v>
      </c>
      <c r="S88">
        <f t="shared" si="2"/>
        <v>15.145875</v>
      </c>
    </row>
    <row r="89" spans="9:19" x14ac:dyDescent="0.25">
      <c r="I89" t="s">
        <v>58</v>
      </c>
      <c r="J89">
        <f t="shared" si="1"/>
        <v>27.241199999999996</v>
      </c>
      <c r="K89">
        <f t="shared" si="1"/>
        <v>26.12745</v>
      </c>
      <c r="L89">
        <f t="shared" si="1"/>
        <v>26.572949999999995</v>
      </c>
      <c r="M89">
        <f t="shared" si="1"/>
        <v>27.686699999999998</v>
      </c>
      <c r="N89">
        <f t="shared" si="1"/>
        <v>24.122700000000002</v>
      </c>
      <c r="O89">
        <f t="shared" si="1"/>
        <v>22.786200000000001</v>
      </c>
      <c r="P89">
        <f t="shared" si="1"/>
        <v>19.444949999999999</v>
      </c>
      <c r="Q89">
        <f t="shared" si="1"/>
        <v>18.776700000000002</v>
      </c>
      <c r="R89">
        <f t="shared" si="1"/>
        <v>19.890449999999998</v>
      </c>
      <c r="S89">
        <f t="shared" si="2"/>
        <v>22.74165</v>
      </c>
    </row>
    <row r="90" spans="9:19" x14ac:dyDescent="0.25">
      <c r="I90" t="s">
        <v>59</v>
      </c>
      <c r="J90">
        <f t="shared" ref="J90:R96" si="3">22.275*J62-6.1713</f>
        <v>25.013699999999996</v>
      </c>
      <c r="K90">
        <f t="shared" si="3"/>
        <v>24.122700000000002</v>
      </c>
      <c r="L90">
        <f t="shared" si="3"/>
        <v>27.241199999999996</v>
      </c>
      <c r="M90">
        <f t="shared" si="3"/>
        <v>28.577700000000004</v>
      </c>
      <c r="N90">
        <f t="shared" si="3"/>
        <v>29.023199999999999</v>
      </c>
      <c r="O90">
        <f t="shared" si="3"/>
        <v>27.241199999999996</v>
      </c>
      <c r="P90">
        <f t="shared" si="3"/>
        <v>24.568199999999997</v>
      </c>
      <c r="Q90">
        <f t="shared" si="3"/>
        <v>18.776700000000002</v>
      </c>
      <c r="R90">
        <f t="shared" si="3"/>
        <v>17.662950000000002</v>
      </c>
      <c r="S90">
        <f t="shared" si="2"/>
        <v>19.801350000000003</v>
      </c>
    </row>
    <row r="91" spans="9:19" x14ac:dyDescent="0.25">
      <c r="I91" t="s">
        <v>60</v>
      </c>
      <c r="J91">
        <f t="shared" si="3"/>
        <v>25.236449999999998</v>
      </c>
      <c r="K91">
        <f t="shared" si="3"/>
        <v>23.677200000000003</v>
      </c>
      <c r="L91">
        <f t="shared" si="3"/>
        <v>26.12745</v>
      </c>
      <c r="M91">
        <f t="shared" si="3"/>
        <v>27.241199999999996</v>
      </c>
      <c r="N91">
        <f t="shared" si="3"/>
        <v>27.241199999999996</v>
      </c>
      <c r="O91">
        <f t="shared" si="3"/>
        <v>26.350199999999997</v>
      </c>
      <c r="P91">
        <f t="shared" si="3"/>
        <v>23.89995</v>
      </c>
      <c r="Q91">
        <f t="shared" si="3"/>
        <v>15.435449999999999</v>
      </c>
      <c r="R91">
        <f t="shared" si="3"/>
        <v>13.430700000000002</v>
      </c>
      <c r="S91">
        <f t="shared" si="2"/>
        <v>14.165775</v>
      </c>
    </row>
    <row r="92" spans="9:19" x14ac:dyDescent="0.25">
      <c r="I92" t="s">
        <v>61</v>
      </c>
      <c r="J92">
        <f t="shared" si="3"/>
        <v>25.013699999999996</v>
      </c>
      <c r="K92">
        <f t="shared" si="3"/>
        <v>23.89995</v>
      </c>
      <c r="L92">
        <f t="shared" si="3"/>
        <v>23.89995</v>
      </c>
      <c r="M92">
        <f t="shared" si="3"/>
        <v>26.12745</v>
      </c>
      <c r="N92">
        <f t="shared" si="3"/>
        <v>27.018449999999998</v>
      </c>
      <c r="O92">
        <f t="shared" si="3"/>
        <v>26.572949999999995</v>
      </c>
      <c r="P92">
        <f t="shared" si="3"/>
        <v>25.013699999999996</v>
      </c>
      <c r="Q92">
        <f t="shared" si="3"/>
        <v>18.55395</v>
      </c>
      <c r="R92">
        <f t="shared" si="3"/>
        <v>13.653449999999999</v>
      </c>
      <c r="S92">
        <f>22.275*(S64*1.1)-6.1713</f>
        <v>15.880950000000002</v>
      </c>
    </row>
    <row r="93" spans="9:19" x14ac:dyDescent="0.25">
      <c r="I93" t="s">
        <v>62</v>
      </c>
      <c r="J93">
        <f t="shared" si="3"/>
        <v>21.004199999999997</v>
      </c>
      <c r="K93">
        <f t="shared" si="3"/>
        <v>16.994700000000002</v>
      </c>
      <c r="L93">
        <f t="shared" si="3"/>
        <v>17.8857</v>
      </c>
      <c r="M93">
        <f t="shared" si="3"/>
        <v>21.226949999999999</v>
      </c>
      <c r="N93">
        <f t="shared" si="3"/>
        <v>23.2317</v>
      </c>
      <c r="O93">
        <f t="shared" si="3"/>
        <v>18.999449999999996</v>
      </c>
      <c r="P93">
        <f t="shared" si="3"/>
        <v>19.444949999999999</v>
      </c>
      <c r="Q93">
        <f t="shared" si="3"/>
        <v>18.776700000000002</v>
      </c>
      <c r="R93">
        <f t="shared" si="3"/>
        <v>17.217449999999999</v>
      </c>
      <c r="S93">
        <f t="shared" ref="S93:S95" si="4">22.275*(S65*1.1)-6.1713</f>
        <v>18.086175000000001</v>
      </c>
    </row>
    <row r="94" spans="9:19" x14ac:dyDescent="0.25">
      <c r="I94" t="s">
        <v>63</v>
      </c>
      <c r="J94">
        <f t="shared" si="3"/>
        <v>23.454450000000001</v>
      </c>
      <c r="K94">
        <f t="shared" si="3"/>
        <v>24.122700000000002</v>
      </c>
      <c r="L94">
        <f t="shared" si="3"/>
        <v>26.12745</v>
      </c>
      <c r="M94">
        <f t="shared" si="3"/>
        <v>21.004199999999997</v>
      </c>
      <c r="N94">
        <f t="shared" si="3"/>
        <v>22.56345</v>
      </c>
      <c r="O94">
        <f t="shared" si="3"/>
        <v>24.568199999999997</v>
      </c>
      <c r="P94">
        <f t="shared" si="3"/>
        <v>18.331200000000003</v>
      </c>
      <c r="Q94">
        <f t="shared" si="3"/>
        <v>16.549199999999999</v>
      </c>
      <c r="R94">
        <f t="shared" si="3"/>
        <v>17.8857</v>
      </c>
      <c r="S94">
        <f t="shared" si="4"/>
        <v>20.046375000000005</v>
      </c>
    </row>
    <row r="95" spans="9:19" x14ac:dyDescent="0.25">
      <c r="I95" t="s">
        <v>64</v>
      </c>
      <c r="J95">
        <f t="shared" si="3"/>
        <v>26.12745</v>
      </c>
      <c r="K95">
        <f t="shared" si="3"/>
        <v>23.89995</v>
      </c>
      <c r="L95">
        <f t="shared" si="3"/>
        <v>22.11795</v>
      </c>
      <c r="M95">
        <f t="shared" si="3"/>
        <v>20.78145</v>
      </c>
      <c r="N95">
        <f t="shared" si="3"/>
        <v>21.672450000000001</v>
      </c>
      <c r="O95">
        <f t="shared" si="3"/>
        <v>22.340700000000002</v>
      </c>
      <c r="P95">
        <f t="shared" si="3"/>
        <v>17.8857</v>
      </c>
      <c r="Q95">
        <f t="shared" si="3"/>
        <v>15.212699999999998</v>
      </c>
      <c r="R95">
        <f t="shared" si="3"/>
        <v>14.767199999999999</v>
      </c>
      <c r="S95">
        <f t="shared" si="4"/>
        <v>16.616025000000004</v>
      </c>
    </row>
    <row r="96" spans="9:19" x14ac:dyDescent="0.25">
      <c r="I96" t="s">
        <v>65</v>
      </c>
      <c r="J96">
        <f>22.275*J68-6.1713</f>
        <v>27.018449999999998</v>
      </c>
      <c r="K96">
        <f t="shared" si="3"/>
        <v>25.236449999999998</v>
      </c>
      <c r="L96">
        <f t="shared" si="3"/>
        <v>21.672450000000001</v>
      </c>
      <c r="M96">
        <f t="shared" si="3"/>
        <v>23.677200000000003</v>
      </c>
      <c r="N96">
        <f t="shared" si="3"/>
        <v>26.12745</v>
      </c>
      <c r="O96">
        <f t="shared" si="3"/>
        <v>24.122700000000002</v>
      </c>
      <c r="P96">
        <f t="shared" si="3"/>
        <v>21.4497</v>
      </c>
      <c r="Q96">
        <f t="shared" si="3"/>
        <v>14.098950000000002</v>
      </c>
      <c r="R96">
        <f t="shared" si="3"/>
        <v>12.985199999999999</v>
      </c>
      <c r="S96">
        <f>22.275*(S68*1.1)-6.1713</f>
        <v>15.880950000000002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0.17662950000000002</v>
      </c>
      <c r="K101" s="4">
        <f t="shared" si="5"/>
        <v>0.18776700000000002</v>
      </c>
      <c r="L101" s="4">
        <f t="shared" si="5"/>
        <v>0.2211795</v>
      </c>
      <c r="M101" s="4">
        <f t="shared" si="5"/>
        <v>0.25236449999999999</v>
      </c>
      <c r="N101" s="4">
        <f t="shared" si="5"/>
        <v>0.22786200000000001</v>
      </c>
      <c r="O101" s="4">
        <f t="shared" si="5"/>
        <v>0.2389995</v>
      </c>
      <c r="P101" s="4">
        <f t="shared" si="5"/>
        <v>0.232317</v>
      </c>
      <c r="Q101" s="4">
        <f t="shared" si="5"/>
        <v>0.21004199999999998</v>
      </c>
      <c r="R101" s="4">
        <f t="shared" si="5"/>
        <v>0.21672450000000001</v>
      </c>
      <c r="S101" s="4">
        <f t="shared" si="5"/>
        <v>0.21761549999999999</v>
      </c>
    </row>
    <row r="102" spans="9:19" x14ac:dyDescent="0.25">
      <c r="I102">
        <v>12</v>
      </c>
      <c r="J102" s="4">
        <f t="shared" ref="J102:S115" si="6">IF(J74&lt;0,"",J74/100)</f>
        <v>0.2389995</v>
      </c>
      <c r="K102" s="4">
        <f t="shared" si="6"/>
        <v>0.23677200000000004</v>
      </c>
      <c r="L102" s="4">
        <f t="shared" si="6"/>
        <v>0.20113199999999998</v>
      </c>
      <c r="M102" s="4">
        <f t="shared" si="6"/>
        <v>0.19890449999999998</v>
      </c>
      <c r="N102" s="4">
        <f t="shared" si="6"/>
        <v>0.1855395</v>
      </c>
      <c r="O102" s="4">
        <f t="shared" si="6"/>
        <v>0.19890449999999998</v>
      </c>
      <c r="P102" s="4">
        <f t="shared" si="6"/>
        <v>0.18331200000000003</v>
      </c>
      <c r="Q102" s="4">
        <f t="shared" si="6"/>
        <v>0.20558699999999999</v>
      </c>
      <c r="R102" s="4">
        <f t="shared" si="6"/>
        <v>0.16326450000000001</v>
      </c>
      <c r="S102" s="4">
        <f t="shared" si="6"/>
        <v>0.14410800000000001</v>
      </c>
    </row>
    <row r="103" spans="9:19" x14ac:dyDescent="0.25">
      <c r="I103">
        <v>13</v>
      </c>
      <c r="J103" s="4">
        <f t="shared" si="6"/>
        <v>0.2122695</v>
      </c>
      <c r="K103" s="4">
        <f t="shared" si="6"/>
        <v>0.20558699999999999</v>
      </c>
      <c r="L103" s="4">
        <f t="shared" si="6"/>
        <v>0.21449699999999999</v>
      </c>
      <c r="M103" s="4">
        <f t="shared" si="6"/>
        <v>0.24568199999999998</v>
      </c>
      <c r="N103" s="4">
        <f t="shared" si="6"/>
        <v>0.25236449999999999</v>
      </c>
      <c r="O103" s="4">
        <f t="shared" si="6"/>
        <v>0.24790949999999998</v>
      </c>
      <c r="P103" s="4">
        <f t="shared" si="6"/>
        <v>0.20781449999999999</v>
      </c>
      <c r="Q103" s="4">
        <f t="shared" si="6"/>
        <v>0.17662950000000002</v>
      </c>
      <c r="R103" s="4">
        <f t="shared" si="6"/>
        <v>0.174402</v>
      </c>
      <c r="S103" s="4">
        <f t="shared" si="6"/>
        <v>0.18821250000000003</v>
      </c>
    </row>
    <row r="104" spans="9:19" x14ac:dyDescent="0.25">
      <c r="I104">
        <v>14</v>
      </c>
      <c r="J104" s="4">
        <f t="shared" si="6"/>
        <v>0.26127450000000002</v>
      </c>
      <c r="K104" s="4">
        <f t="shared" si="6"/>
        <v>0.24790949999999998</v>
      </c>
      <c r="L104" s="4">
        <f t="shared" si="6"/>
        <v>0.25681949999999998</v>
      </c>
      <c r="M104" s="4">
        <f t="shared" si="6"/>
        <v>0.25459199999999998</v>
      </c>
      <c r="N104" s="4">
        <f t="shared" si="6"/>
        <v>0.23008950000000003</v>
      </c>
      <c r="O104" s="4">
        <f t="shared" si="6"/>
        <v>0.22563449999999999</v>
      </c>
      <c r="P104" s="4">
        <f t="shared" si="6"/>
        <v>0.24122700000000002</v>
      </c>
      <c r="Q104" s="4">
        <f t="shared" si="6"/>
        <v>0.19890449999999998</v>
      </c>
      <c r="R104" s="4">
        <f t="shared" si="6"/>
        <v>0.174402</v>
      </c>
      <c r="S104" s="4">
        <f t="shared" si="6"/>
        <v>0.18331200000000003</v>
      </c>
    </row>
    <row r="105" spans="9:19" x14ac:dyDescent="0.25">
      <c r="I105">
        <v>21</v>
      </c>
      <c r="J105" s="4">
        <f t="shared" si="6"/>
        <v>0.26350199999999996</v>
      </c>
      <c r="K105" s="4">
        <f t="shared" si="6"/>
        <v>0.23677200000000004</v>
      </c>
      <c r="L105" s="4">
        <f t="shared" si="6"/>
        <v>0.24790949999999998</v>
      </c>
      <c r="M105" s="4">
        <f t="shared" si="6"/>
        <v>0.24790949999999998</v>
      </c>
      <c r="N105" s="4">
        <f t="shared" si="6"/>
        <v>0.24345450000000002</v>
      </c>
      <c r="O105" s="4">
        <f t="shared" si="6"/>
        <v>0.25013699999999994</v>
      </c>
      <c r="P105" s="4">
        <f t="shared" si="6"/>
        <v>0.20558699999999999</v>
      </c>
      <c r="Q105" s="4">
        <f t="shared" si="6"/>
        <v>0.21449699999999999</v>
      </c>
      <c r="R105" s="4">
        <f t="shared" si="6"/>
        <v>0.17217450000000001</v>
      </c>
      <c r="S105" s="4">
        <f t="shared" si="6"/>
        <v>0.19801350000000004</v>
      </c>
    </row>
    <row r="106" spans="9:19" x14ac:dyDescent="0.25">
      <c r="I106">
        <v>22</v>
      </c>
      <c r="J106" s="4">
        <f t="shared" si="6"/>
        <v>0.25459199999999998</v>
      </c>
      <c r="K106" s="4">
        <f t="shared" si="6"/>
        <v>0.23677200000000004</v>
      </c>
      <c r="L106" s="4">
        <f t="shared" si="6"/>
        <v>0.23454450000000002</v>
      </c>
      <c r="M106" s="4">
        <f t="shared" si="6"/>
        <v>0.24568199999999998</v>
      </c>
      <c r="N106" s="4">
        <f t="shared" si="6"/>
        <v>0.23454450000000002</v>
      </c>
      <c r="O106" s="4">
        <f t="shared" si="6"/>
        <v>0.18776700000000002</v>
      </c>
      <c r="P106" s="4">
        <f t="shared" si="6"/>
        <v>0.147672</v>
      </c>
      <c r="Q106" s="4">
        <f t="shared" si="6"/>
        <v>0.1855395</v>
      </c>
      <c r="R106" s="4">
        <f t="shared" si="6"/>
        <v>0.1855395</v>
      </c>
      <c r="S106" s="4">
        <f t="shared" si="6"/>
        <v>0.19311300000000003</v>
      </c>
    </row>
    <row r="107" spans="9:19" x14ac:dyDescent="0.25">
      <c r="I107">
        <v>23</v>
      </c>
      <c r="J107" s="4">
        <f t="shared" si="6"/>
        <v>0.232317</v>
      </c>
      <c r="K107" s="4">
        <f t="shared" si="6"/>
        <v>0.232317</v>
      </c>
      <c r="L107" s="4">
        <f t="shared" si="6"/>
        <v>0.25681949999999998</v>
      </c>
      <c r="M107" s="4">
        <f t="shared" si="6"/>
        <v>0.27018449999999999</v>
      </c>
      <c r="N107" s="4">
        <f t="shared" si="6"/>
        <v>0.2389995</v>
      </c>
      <c r="O107" s="4">
        <f t="shared" si="6"/>
        <v>0.18331200000000003</v>
      </c>
      <c r="P107" s="4">
        <f t="shared" si="6"/>
        <v>0.17217450000000001</v>
      </c>
      <c r="Q107" s="4">
        <f t="shared" si="6"/>
        <v>0.17662950000000002</v>
      </c>
      <c r="R107" s="4">
        <f t="shared" si="6"/>
        <v>0.165492</v>
      </c>
      <c r="S107" s="4">
        <f t="shared" si="6"/>
        <v>0.17351100000000003</v>
      </c>
    </row>
    <row r="108" spans="9:19" x14ac:dyDescent="0.25">
      <c r="I108">
        <v>24</v>
      </c>
      <c r="J108" s="4">
        <f t="shared" si="6"/>
        <v>0.16771949999999999</v>
      </c>
      <c r="K108" s="4">
        <f t="shared" si="6"/>
        <v>0.138762</v>
      </c>
      <c r="L108" s="4">
        <f t="shared" si="6"/>
        <v>0.1276245</v>
      </c>
      <c r="M108" s="4">
        <f t="shared" si="6"/>
        <v>0.12539700000000001</v>
      </c>
      <c r="N108" s="4">
        <f t="shared" si="6"/>
        <v>0.11203200000000002</v>
      </c>
      <c r="O108" s="4">
        <f t="shared" si="6"/>
        <v>9.8666999999999977E-2</v>
      </c>
      <c r="P108" s="4">
        <f t="shared" si="6"/>
        <v>9.421199999999999E-2</v>
      </c>
      <c r="Q108" s="4">
        <f t="shared" si="6"/>
        <v>0.10980450000000001</v>
      </c>
      <c r="R108" s="4">
        <f t="shared" si="6"/>
        <v>0.156582</v>
      </c>
      <c r="S108" s="4">
        <f t="shared" si="6"/>
        <v>0.18821250000000003</v>
      </c>
    </row>
    <row r="109" spans="9:19" x14ac:dyDescent="0.25">
      <c r="I109">
        <v>31</v>
      </c>
      <c r="J109" s="4">
        <f t="shared" si="6"/>
        <v>0.27463949999999998</v>
      </c>
      <c r="K109" s="4">
        <f t="shared" si="6"/>
        <v>0.25459199999999998</v>
      </c>
      <c r="L109" s="4">
        <f t="shared" si="6"/>
        <v>0.25236449999999999</v>
      </c>
      <c r="M109" s="4">
        <f t="shared" si="6"/>
        <v>0.27018449999999999</v>
      </c>
      <c r="N109" s="4">
        <f t="shared" si="6"/>
        <v>0.26350199999999996</v>
      </c>
      <c r="O109" s="4">
        <f t="shared" si="6"/>
        <v>0.21895199999999998</v>
      </c>
      <c r="P109" s="4">
        <f t="shared" si="6"/>
        <v>0.174402</v>
      </c>
      <c r="Q109" s="4">
        <f t="shared" si="6"/>
        <v>0.15212699999999998</v>
      </c>
      <c r="R109" s="4">
        <f t="shared" si="6"/>
        <v>0.15435450000000001</v>
      </c>
      <c r="S109" s="4">
        <f t="shared" si="6"/>
        <v>0.17841150000000003</v>
      </c>
    </row>
    <row r="110" spans="9:19" x14ac:dyDescent="0.25">
      <c r="I110">
        <v>32</v>
      </c>
      <c r="J110" s="4">
        <f t="shared" si="6"/>
        <v>0.20113199999999998</v>
      </c>
      <c r="K110" s="4">
        <f t="shared" si="6"/>
        <v>0.18331200000000003</v>
      </c>
      <c r="L110" s="4">
        <f t="shared" si="6"/>
        <v>0.16103699999999999</v>
      </c>
      <c r="M110" s="4">
        <f t="shared" si="6"/>
        <v>0.147672</v>
      </c>
      <c r="N110" s="4">
        <f t="shared" si="6"/>
        <v>0.138762</v>
      </c>
      <c r="O110" s="4">
        <f t="shared" si="6"/>
        <v>0.13430700000000001</v>
      </c>
      <c r="P110" s="4">
        <f t="shared" si="6"/>
        <v>0.14321700000000001</v>
      </c>
      <c r="Q110" s="4">
        <f t="shared" si="6"/>
        <v>0.18331200000000003</v>
      </c>
      <c r="R110" s="4">
        <f t="shared" si="6"/>
        <v>0.174402</v>
      </c>
      <c r="S110" s="4">
        <f t="shared" si="6"/>
        <v>0.18821250000000003</v>
      </c>
    </row>
    <row r="111" spans="9:19" x14ac:dyDescent="0.25">
      <c r="I111">
        <v>33</v>
      </c>
      <c r="J111" s="4">
        <f t="shared" si="6"/>
        <v>0.1944495</v>
      </c>
      <c r="K111" s="4">
        <f t="shared" si="6"/>
        <v>0.19222199999999998</v>
      </c>
      <c r="L111" s="4">
        <f t="shared" si="6"/>
        <v>0.23008950000000003</v>
      </c>
      <c r="M111" s="4">
        <f t="shared" si="6"/>
        <v>0.25459199999999998</v>
      </c>
      <c r="N111" s="4">
        <f t="shared" si="6"/>
        <v>0.23677200000000004</v>
      </c>
      <c r="O111" s="4">
        <f t="shared" si="6"/>
        <v>0.21672450000000001</v>
      </c>
      <c r="P111" s="4">
        <f t="shared" si="6"/>
        <v>0.22340700000000002</v>
      </c>
      <c r="Q111" s="4">
        <f t="shared" si="6"/>
        <v>0.20335949999999997</v>
      </c>
      <c r="R111" s="4">
        <f t="shared" si="6"/>
        <v>0.18331200000000003</v>
      </c>
      <c r="S111" s="4">
        <f t="shared" si="6"/>
        <v>0.19311300000000003</v>
      </c>
    </row>
    <row r="112" spans="9:19" x14ac:dyDescent="0.25">
      <c r="I112">
        <v>34</v>
      </c>
      <c r="J112" s="4">
        <f t="shared" si="6"/>
        <v>0.16103699999999999</v>
      </c>
      <c r="K112" s="4">
        <f t="shared" si="6"/>
        <v>0.165492</v>
      </c>
      <c r="L112" s="4">
        <f t="shared" si="6"/>
        <v>0.21895199999999998</v>
      </c>
      <c r="M112" s="4">
        <f t="shared" si="6"/>
        <v>0.24122700000000002</v>
      </c>
      <c r="N112" s="4">
        <f t="shared" si="6"/>
        <v>0.25236449999999999</v>
      </c>
      <c r="O112" s="4">
        <f t="shared" si="6"/>
        <v>0.25236449999999999</v>
      </c>
      <c r="P112" s="4">
        <f t="shared" si="6"/>
        <v>0.24790949999999998</v>
      </c>
      <c r="Q112" s="4">
        <f t="shared" si="6"/>
        <v>0.20335949999999997</v>
      </c>
      <c r="R112" s="4">
        <f t="shared" si="6"/>
        <v>0.15435450000000001</v>
      </c>
      <c r="S112" s="4">
        <f t="shared" si="6"/>
        <v>0.15635925000000001</v>
      </c>
    </row>
    <row r="113" spans="9:19" x14ac:dyDescent="0.25">
      <c r="I113">
        <v>41</v>
      </c>
      <c r="J113" s="4">
        <f t="shared" si="6"/>
        <v>0.21449699999999999</v>
      </c>
      <c r="K113" s="4">
        <f t="shared" si="6"/>
        <v>0.23677200000000004</v>
      </c>
      <c r="L113" s="4">
        <f t="shared" si="6"/>
        <v>0.28354950000000001</v>
      </c>
      <c r="M113" s="4">
        <f t="shared" si="6"/>
        <v>0.27018449999999999</v>
      </c>
      <c r="N113" s="4">
        <f t="shared" si="6"/>
        <v>0.27241199999999993</v>
      </c>
      <c r="O113" s="4">
        <f t="shared" si="6"/>
        <v>0.27909450000000002</v>
      </c>
      <c r="P113" s="4">
        <f t="shared" si="6"/>
        <v>0.20558699999999999</v>
      </c>
      <c r="Q113" s="4">
        <f t="shared" si="6"/>
        <v>0.18331200000000003</v>
      </c>
      <c r="R113" s="4">
        <f t="shared" si="6"/>
        <v>0.17885699999999999</v>
      </c>
      <c r="S113" s="4">
        <f t="shared" si="6"/>
        <v>0.20046375000000005</v>
      </c>
    </row>
    <row r="114" spans="9:19" x14ac:dyDescent="0.25">
      <c r="I114">
        <v>42</v>
      </c>
      <c r="J114" s="4">
        <f t="shared" si="6"/>
        <v>0.2211795</v>
      </c>
      <c r="K114" s="4">
        <f t="shared" si="6"/>
        <v>0.22563449999999999</v>
      </c>
      <c r="L114" s="4">
        <f t="shared" si="6"/>
        <v>0.2389995</v>
      </c>
      <c r="M114" s="4">
        <f t="shared" si="6"/>
        <v>0.2389995</v>
      </c>
      <c r="N114" s="4">
        <f t="shared" si="6"/>
        <v>0.26572949999999995</v>
      </c>
      <c r="O114" s="4">
        <f t="shared" si="6"/>
        <v>0.22340700000000002</v>
      </c>
      <c r="P114" s="4">
        <f t="shared" si="6"/>
        <v>0.165492</v>
      </c>
      <c r="Q114" s="4">
        <f t="shared" si="6"/>
        <v>0.16103699999999999</v>
      </c>
      <c r="R114" s="4">
        <f t="shared" si="6"/>
        <v>0.16326450000000001</v>
      </c>
      <c r="S114" s="4">
        <f t="shared" si="6"/>
        <v>0.17596124999999996</v>
      </c>
    </row>
    <row r="115" spans="9:19" x14ac:dyDescent="0.25">
      <c r="I115">
        <v>43</v>
      </c>
      <c r="J115" s="4">
        <f t="shared" si="6"/>
        <v>0.22786200000000001</v>
      </c>
      <c r="K115" s="4">
        <f t="shared" si="6"/>
        <v>0.22563449999999999</v>
      </c>
      <c r="L115" s="4">
        <f t="shared" si="6"/>
        <v>0.24122700000000002</v>
      </c>
      <c r="M115" s="4">
        <f t="shared" si="6"/>
        <v>0.20335949999999997</v>
      </c>
      <c r="N115" s="4">
        <f t="shared" si="6"/>
        <v>0.2122695</v>
      </c>
      <c r="O115" s="4">
        <f t="shared" si="6"/>
        <v>0.2122695</v>
      </c>
      <c r="P115" s="4">
        <f t="shared" si="6"/>
        <v>0.22563449999999999</v>
      </c>
      <c r="Q115" s="4">
        <f t="shared" si="6"/>
        <v>0.17217450000000001</v>
      </c>
      <c r="R115" s="4">
        <f t="shared" si="6"/>
        <v>0.15212699999999998</v>
      </c>
      <c r="S115" s="4">
        <f t="shared" si="6"/>
        <v>0.17596124999999996</v>
      </c>
    </row>
    <row r="116" spans="9:19" x14ac:dyDescent="0.25">
      <c r="I116">
        <v>44</v>
      </c>
      <c r="J116" s="4">
        <f t="shared" ref="J116:S116" si="7">IF(J88&lt;0,"",J88/100)</f>
        <v>0.17662950000000002</v>
      </c>
      <c r="K116" s="4">
        <f t="shared" si="7"/>
        <v>0.19222199999999998</v>
      </c>
      <c r="L116" s="4">
        <f t="shared" si="7"/>
        <v>0.25904699999999997</v>
      </c>
      <c r="M116" s="4">
        <f t="shared" si="7"/>
        <v>0.24345450000000002</v>
      </c>
      <c r="N116" s="4">
        <f t="shared" si="7"/>
        <v>0.26127450000000002</v>
      </c>
      <c r="O116" s="4">
        <f t="shared" si="7"/>
        <v>0.24345450000000002</v>
      </c>
      <c r="P116" s="4">
        <f t="shared" si="7"/>
        <v>0.25013699999999994</v>
      </c>
      <c r="Q116" s="4">
        <f t="shared" si="7"/>
        <v>0.17885699999999999</v>
      </c>
      <c r="R116" s="4">
        <f t="shared" si="7"/>
        <v>0.1365345</v>
      </c>
      <c r="S116" s="4">
        <f t="shared" si="7"/>
        <v>0.15145875</v>
      </c>
    </row>
    <row r="117" spans="9:19" x14ac:dyDescent="0.25">
      <c r="I117">
        <v>51</v>
      </c>
      <c r="J117" s="4">
        <f t="shared" ref="J117:S123" si="8">IF(J89&lt;0,"",J89/100)</f>
        <v>0.27241199999999993</v>
      </c>
      <c r="K117" s="4">
        <f t="shared" si="8"/>
        <v>0.26127450000000002</v>
      </c>
      <c r="L117" s="4">
        <f t="shared" si="8"/>
        <v>0.26572949999999995</v>
      </c>
      <c r="M117" s="4">
        <f t="shared" si="8"/>
        <v>0.27686699999999997</v>
      </c>
      <c r="N117" s="4">
        <f t="shared" si="8"/>
        <v>0.24122700000000002</v>
      </c>
      <c r="O117" s="4">
        <f t="shared" si="8"/>
        <v>0.22786200000000001</v>
      </c>
      <c r="P117" s="4">
        <f t="shared" si="8"/>
        <v>0.1944495</v>
      </c>
      <c r="Q117" s="4">
        <f t="shared" si="8"/>
        <v>0.18776700000000002</v>
      </c>
      <c r="R117" s="4">
        <f t="shared" si="8"/>
        <v>0.19890449999999998</v>
      </c>
      <c r="S117" s="4">
        <f t="shared" si="8"/>
        <v>0.22741649999999999</v>
      </c>
    </row>
    <row r="118" spans="9:19" x14ac:dyDescent="0.25">
      <c r="I118">
        <v>52</v>
      </c>
      <c r="J118" s="4">
        <f t="shared" si="8"/>
        <v>0.25013699999999994</v>
      </c>
      <c r="K118" s="4">
        <f t="shared" si="8"/>
        <v>0.24122700000000002</v>
      </c>
      <c r="L118" s="4">
        <f t="shared" si="8"/>
        <v>0.27241199999999993</v>
      </c>
      <c r="M118" s="4">
        <f t="shared" si="8"/>
        <v>0.28577700000000006</v>
      </c>
      <c r="N118" s="4">
        <f t="shared" si="8"/>
        <v>0.29023199999999999</v>
      </c>
      <c r="O118" s="4">
        <f t="shared" si="8"/>
        <v>0.27241199999999993</v>
      </c>
      <c r="P118" s="4">
        <f t="shared" si="8"/>
        <v>0.24568199999999998</v>
      </c>
      <c r="Q118" s="4">
        <f t="shared" si="8"/>
        <v>0.18776700000000002</v>
      </c>
      <c r="R118" s="4">
        <f t="shared" si="8"/>
        <v>0.17662950000000002</v>
      </c>
      <c r="S118" s="4">
        <f t="shared" si="8"/>
        <v>0.19801350000000004</v>
      </c>
    </row>
    <row r="119" spans="9:19" x14ac:dyDescent="0.25">
      <c r="I119">
        <v>53</v>
      </c>
      <c r="J119" s="4">
        <f t="shared" si="8"/>
        <v>0.25236449999999999</v>
      </c>
      <c r="K119" s="4">
        <f t="shared" si="8"/>
        <v>0.23677200000000004</v>
      </c>
      <c r="L119" s="4">
        <f t="shared" si="8"/>
        <v>0.26127450000000002</v>
      </c>
      <c r="M119" s="4">
        <f t="shared" si="8"/>
        <v>0.27241199999999993</v>
      </c>
      <c r="N119" s="4">
        <f t="shared" si="8"/>
        <v>0.27241199999999993</v>
      </c>
      <c r="O119" s="4">
        <f t="shared" si="8"/>
        <v>0.26350199999999996</v>
      </c>
      <c r="P119" s="4">
        <f t="shared" si="8"/>
        <v>0.2389995</v>
      </c>
      <c r="Q119" s="4">
        <f t="shared" si="8"/>
        <v>0.15435450000000001</v>
      </c>
      <c r="R119" s="4">
        <f t="shared" si="8"/>
        <v>0.13430700000000001</v>
      </c>
      <c r="S119" s="4">
        <f t="shared" si="8"/>
        <v>0.14165775</v>
      </c>
    </row>
    <row r="120" spans="9:19" x14ac:dyDescent="0.25">
      <c r="I120">
        <v>54</v>
      </c>
      <c r="J120" s="4">
        <f t="shared" si="8"/>
        <v>0.25013699999999994</v>
      </c>
      <c r="K120" s="4">
        <f t="shared" si="8"/>
        <v>0.2389995</v>
      </c>
      <c r="L120" s="4">
        <f t="shared" si="8"/>
        <v>0.2389995</v>
      </c>
      <c r="M120" s="4">
        <f t="shared" si="8"/>
        <v>0.26127450000000002</v>
      </c>
      <c r="N120" s="4">
        <f t="shared" si="8"/>
        <v>0.27018449999999999</v>
      </c>
      <c r="O120" s="4">
        <f t="shared" si="8"/>
        <v>0.26572949999999995</v>
      </c>
      <c r="P120" s="4">
        <f t="shared" si="8"/>
        <v>0.25013699999999994</v>
      </c>
      <c r="Q120" s="4">
        <f t="shared" si="8"/>
        <v>0.1855395</v>
      </c>
      <c r="R120" s="4">
        <f t="shared" si="8"/>
        <v>0.1365345</v>
      </c>
      <c r="S120" s="4">
        <f t="shared" si="8"/>
        <v>0.15880950000000002</v>
      </c>
    </row>
    <row r="121" spans="9:19" x14ac:dyDescent="0.25">
      <c r="I121">
        <v>61</v>
      </c>
      <c r="J121" s="4">
        <f t="shared" si="8"/>
        <v>0.21004199999999998</v>
      </c>
      <c r="K121" s="4">
        <f t="shared" si="8"/>
        <v>0.16994700000000001</v>
      </c>
      <c r="L121" s="4">
        <f t="shared" si="8"/>
        <v>0.17885699999999999</v>
      </c>
      <c r="M121" s="4">
        <f t="shared" si="8"/>
        <v>0.2122695</v>
      </c>
      <c r="N121" s="4">
        <f t="shared" si="8"/>
        <v>0.232317</v>
      </c>
      <c r="O121" s="4">
        <f t="shared" si="8"/>
        <v>0.18999449999999996</v>
      </c>
      <c r="P121" s="4">
        <f t="shared" si="8"/>
        <v>0.1944495</v>
      </c>
      <c r="Q121" s="4">
        <f t="shared" si="8"/>
        <v>0.18776700000000002</v>
      </c>
      <c r="R121" s="4">
        <f t="shared" si="8"/>
        <v>0.17217450000000001</v>
      </c>
      <c r="S121" s="4">
        <f t="shared" si="8"/>
        <v>0.18086175000000002</v>
      </c>
    </row>
    <row r="122" spans="9:19" x14ac:dyDescent="0.25">
      <c r="I122">
        <v>62</v>
      </c>
      <c r="J122" s="4">
        <f t="shared" si="8"/>
        <v>0.23454450000000002</v>
      </c>
      <c r="K122" s="4">
        <f t="shared" si="8"/>
        <v>0.24122700000000002</v>
      </c>
      <c r="L122" s="4">
        <f t="shared" si="8"/>
        <v>0.26127450000000002</v>
      </c>
      <c r="M122" s="4">
        <f t="shared" si="8"/>
        <v>0.21004199999999998</v>
      </c>
      <c r="N122" s="4">
        <f t="shared" si="8"/>
        <v>0.22563449999999999</v>
      </c>
      <c r="O122" s="4">
        <f t="shared" si="8"/>
        <v>0.24568199999999998</v>
      </c>
      <c r="P122" s="4">
        <f t="shared" si="8"/>
        <v>0.18331200000000003</v>
      </c>
      <c r="Q122" s="4">
        <f t="shared" si="8"/>
        <v>0.165492</v>
      </c>
      <c r="R122" s="4">
        <f t="shared" si="8"/>
        <v>0.17885699999999999</v>
      </c>
      <c r="S122" s="4">
        <f t="shared" si="8"/>
        <v>0.20046375000000005</v>
      </c>
    </row>
    <row r="123" spans="9:19" x14ac:dyDescent="0.25">
      <c r="I123">
        <v>63</v>
      </c>
      <c r="J123" s="4">
        <f t="shared" si="8"/>
        <v>0.26127450000000002</v>
      </c>
      <c r="K123" s="4">
        <f t="shared" si="8"/>
        <v>0.2389995</v>
      </c>
      <c r="L123" s="4">
        <f t="shared" si="8"/>
        <v>0.2211795</v>
      </c>
      <c r="M123" s="4">
        <f t="shared" si="8"/>
        <v>0.20781449999999999</v>
      </c>
      <c r="N123" s="4">
        <f t="shared" si="8"/>
        <v>0.21672450000000001</v>
      </c>
      <c r="O123" s="4">
        <f t="shared" si="8"/>
        <v>0.22340700000000002</v>
      </c>
      <c r="P123" s="4">
        <f t="shared" si="8"/>
        <v>0.17885699999999999</v>
      </c>
      <c r="Q123" s="4">
        <f t="shared" si="8"/>
        <v>0.15212699999999998</v>
      </c>
      <c r="R123" s="4">
        <f t="shared" si="8"/>
        <v>0.147672</v>
      </c>
      <c r="S123" s="4">
        <f t="shared" si="8"/>
        <v>0.16616025000000004</v>
      </c>
    </row>
    <row r="124" spans="9:19" x14ac:dyDescent="0.25">
      <c r="I124">
        <v>64</v>
      </c>
      <c r="J124" s="4">
        <f t="shared" ref="J124:S124" si="9">IF(J96&lt;0,"",J96/100)</f>
        <v>0.27018449999999999</v>
      </c>
      <c r="K124" s="4">
        <f t="shared" si="9"/>
        <v>0.25236449999999999</v>
      </c>
      <c r="L124" s="4">
        <f t="shared" si="9"/>
        <v>0.21672450000000001</v>
      </c>
      <c r="M124" s="4">
        <f t="shared" si="9"/>
        <v>0.23677200000000004</v>
      </c>
      <c r="N124" s="4">
        <f t="shared" si="9"/>
        <v>0.26127450000000002</v>
      </c>
      <c r="O124" s="4">
        <f t="shared" si="9"/>
        <v>0.24122700000000002</v>
      </c>
      <c r="P124" s="4">
        <f t="shared" si="9"/>
        <v>0.21449699999999999</v>
      </c>
      <c r="Q124" s="4">
        <f t="shared" si="9"/>
        <v>0.14098950000000002</v>
      </c>
      <c r="R124" s="4">
        <f t="shared" si="9"/>
        <v>0.129852</v>
      </c>
      <c r="S124" s="4">
        <f t="shared" si="9"/>
        <v>0.15880950000000002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4D00-BC5A-41FF-A9FE-243977F8766C}">
  <dimension ref="A1:T124"/>
  <sheetViews>
    <sheetView topLeftCell="E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10325</v>
      </c>
      <c r="F1">
        <v>0</v>
      </c>
      <c r="G1">
        <v>10</v>
      </c>
      <c r="H1">
        <v>1825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7</v>
      </c>
      <c r="G18">
        <v>14</v>
      </c>
      <c r="H18">
        <v>6</v>
      </c>
      <c r="I18">
        <v>50</v>
      </c>
      <c r="J18">
        <v>1.06</v>
      </c>
      <c r="K18">
        <v>1.1399999999999999</v>
      </c>
      <c r="L18">
        <v>1.28</v>
      </c>
      <c r="M18">
        <v>1.43</v>
      </c>
      <c r="N18">
        <v>1.32</v>
      </c>
      <c r="O18">
        <v>1.34</v>
      </c>
      <c r="P18">
        <v>1.3</v>
      </c>
      <c r="Q18">
        <v>1.26</v>
      </c>
      <c r="R18">
        <v>1.24</v>
      </c>
      <c r="S18">
        <v>1.1000000000000001</v>
      </c>
      <c r="T18">
        <v>3716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7</v>
      </c>
      <c r="G19">
        <v>14</v>
      </c>
      <c r="H19">
        <v>7</v>
      </c>
      <c r="I19">
        <v>2</v>
      </c>
      <c r="J19">
        <v>1.33</v>
      </c>
      <c r="K19">
        <v>1.34</v>
      </c>
      <c r="L19">
        <v>1.19</v>
      </c>
      <c r="M19">
        <v>1.1399999999999999</v>
      </c>
      <c r="N19">
        <v>1.1200000000000001</v>
      </c>
      <c r="O19">
        <v>1.1200000000000001</v>
      </c>
      <c r="P19">
        <v>1.06</v>
      </c>
      <c r="Q19">
        <v>1.1599999999999999</v>
      </c>
      <c r="R19">
        <v>1</v>
      </c>
      <c r="S19">
        <v>0.87</v>
      </c>
      <c r="T19">
        <v>3716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7</v>
      </c>
      <c r="G20">
        <v>14</v>
      </c>
      <c r="H20">
        <v>7</v>
      </c>
      <c r="I20">
        <v>6</v>
      </c>
      <c r="J20">
        <v>1.26</v>
      </c>
      <c r="K20">
        <v>1.17</v>
      </c>
      <c r="L20">
        <v>1.25</v>
      </c>
      <c r="M20">
        <v>1.36</v>
      </c>
      <c r="N20">
        <v>1.41</v>
      </c>
      <c r="O20">
        <v>1.33</v>
      </c>
      <c r="P20">
        <v>1.1200000000000001</v>
      </c>
      <c r="Q20">
        <v>1</v>
      </c>
      <c r="R20">
        <v>1.07</v>
      </c>
      <c r="S20">
        <v>1</v>
      </c>
      <c r="T20">
        <v>3711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7</v>
      </c>
      <c r="G21">
        <v>14</v>
      </c>
      <c r="H21">
        <v>7</v>
      </c>
      <c r="I21">
        <v>10</v>
      </c>
      <c r="J21">
        <v>1.43</v>
      </c>
      <c r="K21">
        <v>1.41</v>
      </c>
      <c r="L21">
        <v>1.43</v>
      </c>
      <c r="M21">
        <v>1.39</v>
      </c>
      <c r="N21">
        <v>1.26</v>
      </c>
      <c r="O21">
        <v>1.23</v>
      </c>
      <c r="P21">
        <v>1.29</v>
      </c>
      <c r="Q21">
        <v>1.1000000000000001</v>
      </c>
      <c r="R21">
        <v>1.02</v>
      </c>
      <c r="S21">
        <v>0.94</v>
      </c>
      <c r="T21">
        <v>3722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7</v>
      </c>
      <c r="G22">
        <v>14</v>
      </c>
      <c r="H22">
        <v>7</v>
      </c>
      <c r="I22">
        <v>14</v>
      </c>
      <c r="J22">
        <v>1.04</v>
      </c>
      <c r="K22">
        <v>0.89</v>
      </c>
      <c r="L22">
        <v>0.83</v>
      </c>
      <c r="M22">
        <v>0.81</v>
      </c>
      <c r="N22">
        <v>0.74</v>
      </c>
      <c r="O22">
        <v>0.65</v>
      </c>
      <c r="P22">
        <v>0.64</v>
      </c>
      <c r="Q22">
        <v>0.74</v>
      </c>
      <c r="R22">
        <v>0.91</v>
      </c>
      <c r="S22">
        <v>0.99</v>
      </c>
      <c r="T22">
        <v>3758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7</v>
      </c>
      <c r="G23">
        <v>14</v>
      </c>
      <c r="H23">
        <v>7</v>
      </c>
      <c r="I23">
        <v>10</v>
      </c>
      <c r="J23">
        <v>1.36</v>
      </c>
      <c r="K23">
        <v>1.31</v>
      </c>
      <c r="L23">
        <v>1.46</v>
      </c>
      <c r="M23">
        <v>1.51</v>
      </c>
      <c r="N23">
        <v>1.38</v>
      </c>
      <c r="O23">
        <v>1.05</v>
      </c>
      <c r="P23">
        <v>1.01</v>
      </c>
      <c r="Q23">
        <v>0.99</v>
      </c>
      <c r="R23">
        <v>1.04</v>
      </c>
      <c r="S23">
        <v>0.95</v>
      </c>
      <c r="T23">
        <v>3737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7</v>
      </c>
      <c r="G24">
        <v>14</v>
      </c>
      <c r="H24">
        <v>7</v>
      </c>
      <c r="I24">
        <v>22</v>
      </c>
      <c r="J24">
        <v>1.44</v>
      </c>
      <c r="K24">
        <v>1.37</v>
      </c>
      <c r="L24">
        <v>1.35</v>
      </c>
      <c r="M24">
        <v>1.39</v>
      </c>
      <c r="N24">
        <v>1.32</v>
      </c>
      <c r="O24">
        <v>1.07</v>
      </c>
      <c r="P24">
        <v>0.87</v>
      </c>
      <c r="Q24">
        <v>1.08</v>
      </c>
      <c r="R24">
        <v>1.1000000000000001</v>
      </c>
      <c r="S24">
        <v>1.04</v>
      </c>
      <c r="T24">
        <v>3743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7</v>
      </c>
      <c r="G25">
        <v>14</v>
      </c>
      <c r="H25">
        <v>7</v>
      </c>
      <c r="I25">
        <v>26</v>
      </c>
      <c r="J25">
        <v>1.48</v>
      </c>
      <c r="K25">
        <v>1.34</v>
      </c>
      <c r="L25">
        <v>1.4</v>
      </c>
      <c r="M25">
        <v>1.38</v>
      </c>
      <c r="N25">
        <v>1.37</v>
      </c>
      <c r="O25">
        <v>1.39</v>
      </c>
      <c r="P25">
        <v>1.17</v>
      </c>
      <c r="Q25">
        <v>1.22</v>
      </c>
      <c r="R25">
        <v>1.1100000000000001</v>
      </c>
      <c r="S25">
        <v>1.1000000000000001</v>
      </c>
      <c r="T25">
        <v>3738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7</v>
      </c>
      <c r="G26">
        <v>14</v>
      </c>
      <c r="H26">
        <v>7</v>
      </c>
      <c r="I26">
        <v>30</v>
      </c>
      <c r="J26">
        <v>1.51</v>
      </c>
      <c r="K26">
        <v>1.44</v>
      </c>
      <c r="L26">
        <v>1.43</v>
      </c>
      <c r="M26">
        <v>1.47</v>
      </c>
      <c r="N26">
        <v>1.46</v>
      </c>
      <c r="O26">
        <v>1.28</v>
      </c>
      <c r="P26">
        <v>1.01</v>
      </c>
      <c r="Q26">
        <v>0.94</v>
      </c>
      <c r="R26">
        <v>0.96</v>
      </c>
      <c r="S26">
        <v>0.93</v>
      </c>
      <c r="T26">
        <v>3751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7</v>
      </c>
      <c r="G27">
        <v>14</v>
      </c>
      <c r="H27">
        <v>7</v>
      </c>
      <c r="I27">
        <v>34</v>
      </c>
      <c r="J27">
        <v>1.1499999999999999</v>
      </c>
      <c r="K27">
        <v>1.0900000000000001</v>
      </c>
      <c r="L27">
        <v>1</v>
      </c>
      <c r="M27">
        <v>0.93</v>
      </c>
      <c r="N27">
        <v>0.89</v>
      </c>
      <c r="O27">
        <v>0.84</v>
      </c>
      <c r="P27">
        <v>0.88</v>
      </c>
      <c r="Q27">
        <v>1.04</v>
      </c>
      <c r="R27">
        <v>1.06</v>
      </c>
      <c r="S27">
        <v>1</v>
      </c>
      <c r="T27">
        <v>3742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7</v>
      </c>
      <c r="G28">
        <v>14</v>
      </c>
      <c r="H28">
        <v>7</v>
      </c>
      <c r="I28">
        <v>30</v>
      </c>
      <c r="J28">
        <v>1.1299999999999999</v>
      </c>
      <c r="K28">
        <v>1.1200000000000001</v>
      </c>
      <c r="L28">
        <v>1.32</v>
      </c>
      <c r="M28">
        <v>1.42</v>
      </c>
      <c r="N28">
        <v>1.33</v>
      </c>
      <c r="O28">
        <v>1.25</v>
      </c>
      <c r="P28">
        <v>1.28</v>
      </c>
      <c r="Q28">
        <v>1.1499999999999999</v>
      </c>
      <c r="R28">
        <v>1.0900000000000001</v>
      </c>
      <c r="S28">
        <v>1.01</v>
      </c>
      <c r="T28">
        <v>3716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7</v>
      </c>
      <c r="G29">
        <v>14</v>
      </c>
      <c r="H29">
        <v>7</v>
      </c>
      <c r="I29">
        <v>42</v>
      </c>
      <c r="J29">
        <v>0.98</v>
      </c>
      <c r="K29">
        <v>1.04</v>
      </c>
      <c r="L29">
        <v>1.28</v>
      </c>
      <c r="M29">
        <v>1.37</v>
      </c>
      <c r="N29">
        <v>1.41</v>
      </c>
      <c r="O29">
        <v>1.38</v>
      </c>
      <c r="P29">
        <v>1.36</v>
      </c>
      <c r="Q29">
        <v>1.1399999999999999</v>
      </c>
      <c r="R29">
        <v>0.94</v>
      </c>
      <c r="S29">
        <v>0.91</v>
      </c>
      <c r="T29">
        <v>3752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7</v>
      </c>
      <c r="G30">
        <v>14</v>
      </c>
      <c r="H30">
        <v>7</v>
      </c>
      <c r="I30">
        <v>55</v>
      </c>
      <c r="J30">
        <v>1.08</v>
      </c>
      <c r="K30">
        <v>1.1200000000000001</v>
      </c>
      <c r="L30">
        <v>1.44</v>
      </c>
      <c r="M30">
        <v>1.38</v>
      </c>
      <c r="N30">
        <v>1.47</v>
      </c>
      <c r="O30">
        <v>1.38</v>
      </c>
      <c r="P30">
        <v>1.36</v>
      </c>
      <c r="Q30">
        <v>1.03</v>
      </c>
      <c r="R30">
        <v>0.86</v>
      </c>
      <c r="S30">
        <v>0.88</v>
      </c>
      <c r="T30">
        <v>3756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7</v>
      </c>
      <c r="G31">
        <v>14</v>
      </c>
      <c r="H31">
        <v>8</v>
      </c>
      <c r="I31">
        <v>40</v>
      </c>
      <c r="J31">
        <v>1.32</v>
      </c>
      <c r="K31">
        <v>1.26</v>
      </c>
      <c r="L31">
        <v>1.37</v>
      </c>
      <c r="M31">
        <v>1.2</v>
      </c>
      <c r="N31">
        <v>1.26</v>
      </c>
      <c r="O31">
        <v>1.23</v>
      </c>
      <c r="P31">
        <v>1.25</v>
      </c>
      <c r="Q31">
        <v>1.02</v>
      </c>
      <c r="R31">
        <v>0.93</v>
      </c>
      <c r="S31">
        <v>0.93</v>
      </c>
      <c r="T31">
        <v>3725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7</v>
      </c>
      <c r="G32">
        <v>14</v>
      </c>
      <c r="H32">
        <v>8</v>
      </c>
      <c r="I32">
        <v>44</v>
      </c>
      <c r="J32">
        <v>1.28</v>
      </c>
      <c r="K32">
        <v>1.26</v>
      </c>
      <c r="L32">
        <v>1.38</v>
      </c>
      <c r="M32">
        <v>1.35</v>
      </c>
      <c r="N32">
        <v>1.46</v>
      </c>
      <c r="O32">
        <v>1.2</v>
      </c>
      <c r="P32">
        <v>0.98</v>
      </c>
      <c r="Q32">
        <v>0.95</v>
      </c>
      <c r="R32">
        <v>1.07</v>
      </c>
      <c r="S32">
        <v>1</v>
      </c>
      <c r="T32">
        <v>3742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7</v>
      </c>
      <c r="G33">
        <v>14</v>
      </c>
      <c r="H33">
        <v>8</v>
      </c>
      <c r="I33">
        <v>40</v>
      </c>
      <c r="J33">
        <v>1.24</v>
      </c>
      <c r="K33">
        <v>1.31</v>
      </c>
      <c r="L33">
        <v>1.55</v>
      </c>
      <c r="M33">
        <v>1.47</v>
      </c>
      <c r="N33">
        <v>1.52</v>
      </c>
      <c r="O33">
        <v>1.5</v>
      </c>
      <c r="P33">
        <v>1.1499999999999999</v>
      </c>
      <c r="Q33">
        <v>1.02</v>
      </c>
      <c r="R33">
        <v>1.05</v>
      </c>
      <c r="S33">
        <v>1.01</v>
      </c>
      <c r="T33">
        <v>3668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7</v>
      </c>
      <c r="G34">
        <v>14</v>
      </c>
      <c r="H34">
        <v>8</v>
      </c>
      <c r="I34">
        <v>52</v>
      </c>
      <c r="J34">
        <v>1.52</v>
      </c>
      <c r="K34">
        <v>1.46</v>
      </c>
      <c r="L34">
        <v>1.47</v>
      </c>
      <c r="M34">
        <v>1.47</v>
      </c>
      <c r="N34">
        <v>1.34</v>
      </c>
      <c r="O34">
        <v>1.3</v>
      </c>
      <c r="P34">
        <v>1.1399999999999999</v>
      </c>
      <c r="Q34">
        <v>1.0900000000000001</v>
      </c>
      <c r="R34">
        <v>1.1399999999999999</v>
      </c>
      <c r="S34">
        <v>1.1200000000000001</v>
      </c>
      <c r="T34">
        <v>3693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7</v>
      </c>
      <c r="G35">
        <v>14</v>
      </c>
      <c r="H35">
        <v>8</v>
      </c>
      <c r="I35">
        <v>56</v>
      </c>
      <c r="J35">
        <v>1.42</v>
      </c>
      <c r="K35">
        <v>1.37</v>
      </c>
      <c r="L35">
        <v>1.51</v>
      </c>
      <c r="M35">
        <v>1.54</v>
      </c>
      <c r="N35">
        <v>1.55</v>
      </c>
      <c r="O35">
        <v>1.44</v>
      </c>
      <c r="P35">
        <v>1.36</v>
      </c>
      <c r="Q35">
        <v>1.06</v>
      </c>
      <c r="R35">
        <v>1.03</v>
      </c>
      <c r="S35">
        <v>1.01</v>
      </c>
      <c r="T35">
        <v>3693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7</v>
      </c>
      <c r="G36">
        <v>14</v>
      </c>
      <c r="H36">
        <v>9</v>
      </c>
      <c r="I36">
        <v>0</v>
      </c>
      <c r="J36">
        <v>1.4</v>
      </c>
      <c r="K36">
        <v>1.34</v>
      </c>
      <c r="L36">
        <v>1.47</v>
      </c>
      <c r="M36">
        <v>1.54</v>
      </c>
      <c r="N36">
        <v>1.5</v>
      </c>
      <c r="O36">
        <v>1.45</v>
      </c>
      <c r="P36">
        <v>1.32</v>
      </c>
      <c r="Q36">
        <v>0.91</v>
      </c>
      <c r="R36">
        <v>0.89</v>
      </c>
      <c r="S36">
        <v>0.84</v>
      </c>
      <c r="T36">
        <v>3700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7</v>
      </c>
      <c r="G37">
        <v>14</v>
      </c>
      <c r="H37">
        <v>9</v>
      </c>
      <c r="I37">
        <v>4</v>
      </c>
      <c r="J37">
        <v>1.38</v>
      </c>
      <c r="K37">
        <v>1.35</v>
      </c>
      <c r="L37">
        <v>1.32</v>
      </c>
      <c r="M37">
        <v>1.46</v>
      </c>
      <c r="N37">
        <v>1.51</v>
      </c>
      <c r="O37">
        <v>1.48</v>
      </c>
      <c r="P37">
        <v>1.31</v>
      </c>
      <c r="Q37">
        <v>1.04</v>
      </c>
      <c r="R37">
        <v>0.87</v>
      </c>
      <c r="S37">
        <v>1</v>
      </c>
      <c r="T37">
        <v>3691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7</v>
      </c>
      <c r="G38">
        <v>14</v>
      </c>
      <c r="H38">
        <v>9</v>
      </c>
      <c r="I38">
        <v>0</v>
      </c>
      <c r="J38">
        <v>1.48</v>
      </c>
      <c r="K38">
        <v>1.43</v>
      </c>
      <c r="L38">
        <v>1.26</v>
      </c>
      <c r="M38">
        <v>1.33</v>
      </c>
      <c r="N38">
        <v>1.43</v>
      </c>
      <c r="O38">
        <v>1.35</v>
      </c>
      <c r="P38">
        <v>1.1499999999999999</v>
      </c>
      <c r="Q38">
        <v>0.84</v>
      </c>
      <c r="R38">
        <v>0.83</v>
      </c>
      <c r="S38">
        <v>0.96</v>
      </c>
      <c r="T38">
        <v>3701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7</v>
      </c>
      <c r="G39">
        <v>14</v>
      </c>
      <c r="H39">
        <v>9</v>
      </c>
      <c r="I39">
        <v>12</v>
      </c>
      <c r="J39">
        <v>1.48</v>
      </c>
      <c r="K39">
        <v>1.34</v>
      </c>
      <c r="L39">
        <v>1.3</v>
      </c>
      <c r="M39">
        <v>1.24</v>
      </c>
      <c r="N39">
        <v>1.28</v>
      </c>
      <c r="O39">
        <v>1.29</v>
      </c>
      <c r="P39">
        <v>1.06</v>
      </c>
      <c r="Q39">
        <v>0.92</v>
      </c>
      <c r="R39">
        <v>0.92</v>
      </c>
      <c r="S39">
        <v>0.94</v>
      </c>
      <c r="T39">
        <v>3699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7</v>
      </c>
      <c r="G40">
        <v>14</v>
      </c>
      <c r="H40">
        <v>9</v>
      </c>
      <c r="I40">
        <v>16</v>
      </c>
      <c r="J40">
        <v>1.32</v>
      </c>
      <c r="K40">
        <v>1.38</v>
      </c>
      <c r="L40">
        <v>1.43</v>
      </c>
      <c r="M40">
        <v>1.2</v>
      </c>
      <c r="N40">
        <v>1.22</v>
      </c>
      <c r="O40">
        <v>1.31</v>
      </c>
      <c r="P40">
        <v>0.96</v>
      </c>
      <c r="Q40">
        <v>0.94</v>
      </c>
      <c r="R40">
        <v>1.07</v>
      </c>
      <c r="S40">
        <v>1.05</v>
      </c>
      <c r="T40">
        <v>3684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7</v>
      </c>
      <c r="G41">
        <v>14</v>
      </c>
      <c r="H41">
        <v>9</v>
      </c>
      <c r="I41">
        <v>20</v>
      </c>
      <c r="J41">
        <v>1.22</v>
      </c>
      <c r="K41">
        <v>1.04</v>
      </c>
      <c r="L41">
        <v>1.0900000000000001</v>
      </c>
      <c r="M41">
        <v>1.23</v>
      </c>
      <c r="N41">
        <v>1.28</v>
      </c>
      <c r="O41">
        <v>1.1399999999999999</v>
      </c>
      <c r="P41">
        <v>1.1000000000000001</v>
      </c>
      <c r="Q41">
        <v>1.05</v>
      </c>
      <c r="R41">
        <v>1.04</v>
      </c>
      <c r="S41">
        <v>0.95</v>
      </c>
      <c r="T41">
        <v>3665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7</v>
      </c>
      <c r="G45">
        <v>14</v>
      </c>
      <c r="H45">
        <v>6</v>
      </c>
      <c r="I45">
        <v>50</v>
      </c>
      <c r="J45">
        <v>1.06</v>
      </c>
      <c r="K45">
        <v>1.1399999999999999</v>
      </c>
      <c r="L45">
        <v>1.28</v>
      </c>
      <c r="M45">
        <v>1.43</v>
      </c>
      <c r="N45">
        <v>1.32</v>
      </c>
      <c r="O45">
        <v>1.34</v>
      </c>
      <c r="P45">
        <v>1.3</v>
      </c>
      <c r="Q45">
        <v>1.26</v>
      </c>
      <c r="R45">
        <v>1.24</v>
      </c>
      <c r="S45">
        <v>1.1000000000000001</v>
      </c>
      <c r="T45">
        <v>3716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7</v>
      </c>
      <c r="G46">
        <v>14</v>
      </c>
      <c r="H46">
        <v>7</v>
      </c>
      <c r="I46">
        <v>2</v>
      </c>
      <c r="J46">
        <v>1.33</v>
      </c>
      <c r="K46">
        <v>1.34</v>
      </c>
      <c r="L46">
        <v>1.19</v>
      </c>
      <c r="M46">
        <v>1.1399999999999999</v>
      </c>
      <c r="N46">
        <v>1.1200000000000001</v>
      </c>
      <c r="O46">
        <v>1.1200000000000001</v>
      </c>
      <c r="P46">
        <v>1.06</v>
      </c>
      <c r="Q46">
        <v>1.1599999999999999</v>
      </c>
      <c r="R46">
        <v>1</v>
      </c>
      <c r="S46">
        <v>0.87</v>
      </c>
      <c r="T46">
        <v>3716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7</v>
      </c>
      <c r="G47">
        <v>14</v>
      </c>
      <c r="H47">
        <v>7</v>
      </c>
      <c r="I47">
        <v>6</v>
      </c>
      <c r="J47">
        <v>1.26</v>
      </c>
      <c r="K47">
        <v>1.17</v>
      </c>
      <c r="L47">
        <v>1.25</v>
      </c>
      <c r="M47">
        <v>1.36</v>
      </c>
      <c r="N47">
        <v>1.41</v>
      </c>
      <c r="O47">
        <v>1.33</v>
      </c>
      <c r="P47">
        <v>1.1200000000000001</v>
      </c>
      <c r="Q47">
        <v>1</v>
      </c>
      <c r="R47">
        <v>1.07</v>
      </c>
      <c r="S47">
        <v>1</v>
      </c>
      <c r="T47">
        <v>3711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7</v>
      </c>
      <c r="G48">
        <v>14</v>
      </c>
      <c r="H48">
        <v>7</v>
      </c>
      <c r="I48">
        <v>10</v>
      </c>
      <c r="J48">
        <v>1.43</v>
      </c>
      <c r="K48">
        <v>1.41</v>
      </c>
      <c r="L48">
        <v>1.43</v>
      </c>
      <c r="M48">
        <v>1.39</v>
      </c>
      <c r="N48">
        <v>1.26</v>
      </c>
      <c r="O48">
        <v>1.23</v>
      </c>
      <c r="P48">
        <v>1.29</v>
      </c>
      <c r="Q48">
        <v>1.1000000000000001</v>
      </c>
      <c r="R48">
        <v>1.02</v>
      </c>
      <c r="S48">
        <v>0.94</v>
      </c>
      <c r="T48">
        <v>3722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7</v>
      </c>
      <c r="G49">
        <v>14</v>
      </c>
      <c r="H49">
        <v>7</v>
      </c>
      <c r="I49">
        <v>26</v>
      </c>
      <c r="J49">
        <v>1.48</v>
      </c>
      <c r="K49">
        <v>1.34</v>
      </c>
      <c r="L49">
        <v>1.4</v>
      </c>
      <c r="M49">
        <v>1.38</v>
      </c>
      <c r="N49">
        <v>1.37</v>
      </c>
      <c r="O49">
        <v>1.39</v>
      </c>
      <c r="P49">
        <v>1.17</v>
      </c>
      <c r="Q49">
        <v>1.22</v>
      </c>
      <c r="R49">
        <v>1.1100000000000001</v>
      </c>
      <c r="S49">
        <v>1.1000000000000001</v>
      </c>
      <c r="T49">
        <v>3738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7</v>
      </c>
      <c r="G50">
        <v>14</v>
      </c>
      <c r="H50">
        <v>7</v>
      </c>
      <c r="I50">
        <v>22</v>
      </c>
      <c r="J50">
        <v>1.44</v>
      </c>
      <c r="K50">
        <v>1.37</v>
      </c>
      <c r="L50">
        <v>1.35</v>
      </c>
      <c r="M50">
        <v>1.39</v>
      </c>
      <c r="N50">
        <v>1.32</v>
      </c>
      <c r="O50">
        <v>1.07</v>
      </c>
      <c r="P50">
        <v>0.87</v>
      </c>
      <c r="Q50">
        <v>1.08</v>
      </c>
      <c r="R50">
        <v>1.1000000000000001</v>
      </c>
      <c r="S50">
        <v>1.04</v>
      </c>
      <c r="T50">
        <v>3743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7</v>
      </c>
      <c r="G51">
        <v>14</v>
      </c>
      <c r="H51">
        <v>7</v>
      </c>
      <c r="I51">
        <v>10</v>
      </c>
      <c r="J51">
        <v>1.36</v>
      </c>
      <c r="K51">
        <v>1.31</v>
      </c>
      <c r="L51">
        <v>1.46</v>
      </c>
      <c r="M51">
        <v>1.51</v>
      </c>
      <c r="N51">
        <v>1.38</v>
      </c>
      <c r="O51">
        <v>1.05</v>
      </c>
      <c r="P51">
        <v>1.01</v>
      </c>
      <c r="Q51">
        <v>0.99</v>
      </c>
      <c r="R51">
        <v>1.04</v>
      </c>
      <c r="S51">
        <v>0.95</v>
      </c>
      <c r="T51">
        <v>3737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7</v>
      </c>
      <c r="G52">
        <v>14</v>
      </c>
      <c r="H52">
        <v>7</v>
      </c>
      <c r="I52">
        <v>14</v>
      </c>
      <c r="J52">
        <v>1.04</v>
      </c>
      <c r="K52">
        <v>0.89</v>
      </c>
      <c r="L52">
        <v>0.83</v>
      </c>
      <c r="M52">
        <v>0.81</v>
      </c>
      <c r="N52">
        <v>0.74</v>
      </c>
      <c r="O52">
        <v>0.65</v>
      </c>
      <c r="P52">
        <v>0.64</v>
      </c>
      <c r="Q52">
        <v>0.74</v>
      </c>
      <c r="R52">
        <v>0.91</v>
      </c>
      <c r="S52">
        <v>0.99</v>
      </c>
      <c r="T52">
        <v>3758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7</v>
      </c>
      <c r="G53">
        <v>14</v>
      </c>
      <c r="H53">
        <v>7</v>
      </c>
      <c r="I53">
        <v>30</v>
      </c>
      <c r="J53">
        <v>1.51</v>
      </c>
      <c r="K53">
        <v>1.44</v>
      </c>
      <c r="L53">
        <v>1.43</v>
      </c>
      <c r="M53">
        <v>1.47</v>
      </c>
      <c r="N53">
        <v>1.46</v>
      </c>
      <c r="O53">
        <v>1.28</v>
      </c>
      <c r="P53">
        <v>1.01</v>
      </c>
      <c r="Q53">
        <v>0.94</v>
      </c>
      <c r="R53">
        <v>0.96</v>
      </c>
      <c r="S53">
        <v>0.93</v>
      </c>
      <c r="T53">
        <v>3751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7</v>
      </c>
      <c r="G54">
        <v>14</v>
      </c>
      <c r="H54">
        <v>7</v>
      </c>
      <c r="I54">
        <v>34</v>
      </c>
      <c r="J54">
        <v>1.1499999999999999</v>
      </c>
      <c r="K54">
        <v>1.0900000000000001</v>
      </c>
      <c r="L54">
        <v>1</v>
      </c>
      <c r="M54">
        <v>0.93</v>
      </c>
      <c r="N54">
        <v>0.89</v>
      </c>
      <c r="O54">
        <v>0.84</v>
      </c>
      <c r="P54">
        <v>0.88</v>
      </c>
      <c r="Q54">
        <v>1.04</v>
      </c>
      <c r="R54">
        <v>1.06</v>
      </c>
      <c r="S54">
        <v>1</v>
      </c>
      <c r="T54">
        <v>3742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7</v>
      </c>
      <c r="G55">
        <v>14</v>
      </c>
      <c r="H55">
        <v>7</v>
      </c>
      <c r="I55">
        <v>30</v>
      </c>
      <c r="J55">
        <v>1.1299999999999999</v>
      </c>
      <c r="K55">
        <v>1.1200000000000001</v>
      </c>
      <c r="L55">
        <v>1.32</v>
      </c>
      <c r="M55">
        <v>1.42</v>
      </c>
      <c r="N55">
        <v>1.33</v>
      </c>
      <c r="O55">
        <v>1.25</v>
      </c>
      <c r="P55">
        <v>1.28</v>
      </c>
      <c r="Q55">
        <v>1.1499999999999999</v>
      </c>
      <c r="R55">
        <v>1.0900000000000001</v>
      </c>
      <c r="S55">
        <v>1.01</v>
      </c>
      <c r="T55">
        <v>3716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7</v>
      </c>
      <c r="G56">
        <v>14</v>
      </c>
      <c r="H56">
        <v>7</v>
      </c>
      <c r="I56">
        <v>42</v>
      </c>
      <c r="J56">
        <v>0.98</v>
      </c>
      <c r="K56">
        <v>1.04</v>
      </c>
      <c r="L56">
        <v>1.28</v>
      </c>
      <c r="M56">
        <v>1.37</v>
      </c>
      <c r="N56">
        <v>1.41</v>
      </c>
      <c r="O56">
        <v>1.38</v>
      </c>
      <c r="P56">
        <v>1.36</v>
      </c>
      <c r="Q56">
        <v>1.1399999999999999</v>
      </c>
      <c r="R56">
        <v>0.94</v>
      </c>
      <c r="S56">
        <v>0.91</v>
      </c>
      <c r="T56">
        <v>3752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7</v>
      </c>
      <c r="G57">
        <v>14</v>
      </c>
      <c r="H57">
        <v>8</v>
      </c>
      <c r="I57">
        <v>40</v>
      </c>
      <c r="J57">
        <v>1.24</v>
      </c>
      <c r="K57">
        <v>1.31</v>
      </c>
      <c r="L57">
        <v>1.55</v>
      </c>
      <c r="M57">
        <v>1.47</v>
      </c>
      <c r="N57">
        <v>1.52</v>
      </c>
      <c r="O57">
        <v>1.5</v>
      </c>
      <c r="P57">
        <v>1.1499999999999999</v>
      </c>
      <c r="Q57">
        <v>1.02</v>
      </c>
      <c r="R57">
        <v>1.05</v>
      </c>
      <c r="S57">
        <v>1.01</v>
      </c>
      <c r="T57">
        <v>3668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7</v>
      </c>
      <c r="G58">
        <v>14</v>
      </c>
      <c r="H58">
        <v>8</v>
      </c>
      <c r="I58">
        <v>44</v>
      </c>
      <c r="J58">
        <v>1.28</v>
      </c>
      <c r="K58">
        <v>1.26</v>
      </c>
      <c r="L58">
        <v>1.38</v>
      </c>
      <c r="M58">
        <v>1.35</v>
      </c>
      <c r="N58">
        <v>1.46</v>
      </c>
      <c r="O58">
        <v>1.2</v>
      </c>
      <c r="P58">
        <v>0.98</v>
      </c>
      <c r="Q58">
        <v>0.95</v>
      </c>
      <c r="R58">
        <v>1.07</v>
      </c>
      <c r="S58">
        <v>1</v>
      </c>
      <c r="T58">
        <v>3742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7</v>
      </c>
      <c r="G59">
        <v>14</v>
      </c>
      <c r="H59">
        <v>8</v>
      </c>
      <c r="I59">
        <v>40</v>
      </c>
      <c r="J59">
        <v>1.32</v>
      </c>
      <c r="K59">
        <v>1.26</v>
      </c>
      <c r="L59">
        <v>1.37</v>
      </c>
      <c r="M59">
        <v>1.2</v>
      </c>
      <c r="N59">
        <v>1.26</v>
      </c>
      <c r="O59">
        <v>1.23</v>
      </c>
      <c r="P59">
        <v>1.25</v>
      </c>
      <c r="Q59">
        <v>1.02</v>
      </c>
      <c r="R59">
        <v>0.93</v>
      </c>
      <c r="S59">
        <v>0.93</v>
      </c>
      <c r="T59">
        <v>3725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7</v>
      </c>
      <c r="G60">
        <v>14</v>
      </c>
      <c r="H60">
        <v>7</v>
      </c>
      <c r="I60">
        <v>55</v>
      </c>
      <c r="J60">
        <v>1.08</v>
      </c>
      <c r="K60">
        <v>1.1200000000000001</v>
      </c>
      <c r="L60">
        <v>1.44</v>
      </c>
      <c r="M60">
        <v>1.38</v>
      </c>
      <c r="N60">
        <v>1.47</v>
      </c>
      <c r="O60">
        <v>1.38</v>
      </c>
      <c r="P60">
        <v>1.36</v>
      </c>
      <c r="Q60">
        <v>1.03</v>
      </c>
      <c r="R60">
        <v>0.86</v>
      </c>
      <c r="S60">
        <v>0.88</v>
      </c>
      <c r="T60">
        <v>3756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7</v>
      </c>
      <c r="G61">
        <v>14</v>
      </c>
      <c r="H61">
        <v>8</v>
      </c>
      <c r="I61">
        <v>52</v>
      </c>
      <c r="J61">
        <v>1.52</v>
      </c>
      <c r="K61">
        <v>1.46</v>
      </c>
      <c r="L61">
        <v>1.47</v>
      </c>
      <c r="M61">
        <v>1.47</v>
      </c>
      <c r="N61">
        <v>1.34</v>
      </c>
      <c r="O61">
        <v>1.3</v>
      </c>
      <c r="P61">
        <v>1.1399999999999999</v>
      </c>
      <c r="Q61">
        <v>1.0900000000000001</v>
      </c>
      <c r="R61">
        <v>1.1399999999999999</v>
      </c>
      <c r="S61">
        <v>1.1200000000000001</v>
      </c>
      <c r="T61">
        <v>3693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7</v>
      </c>
      <c r="G62">
        <v>14</v>
      </c>
      <c r="H62">
        <v>8</v>
      </c>
      <c r="I62">
        <v>56</v>
      </c>
      <c r="J62">
        <v>1.42</v>
      </c>
      <c r="K62">
        <v>1.37</v>
      </c>
      <c r="L62">
        <v>1.51</v>
      </c>
      <c r="M62">
        <v>1.54</v>
      </c>
      <c r="N62">
        <v>1.55</v>
      </c>
      <c r="O62">
        <v>1.44</v>
      </c>
      <c r="P62">
        <v>1.36</v>
      </c>
      <c r="Q62">
        <v>1.06</v>
      </c>
      <c r="R62">
        <v>1.03</v>
      </c>
      <c r="S62">
        <v>1.01</v>
      </c>
      <c r="T62">
        <v>3693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7</v>
      </c>
      <c r="G63">
        <v>14</v>
      </c>
      <c r="H63">
        <v>9</v>
      </c>
      <c r="I63">
        <v>0</v>
      </c>
      <c r="J63">
        <v>1.4</v>
      </c>
      <c r="K63">
        <v>1.34</v>
      </c>
      <c r="L63">
        <v>1.47</v>
      </c>
      <c r="M63">
        <v>1.54</v>
      </c>
      <c r="N63">
        <v>1.5</v>
      </c>
      <c r="O63">
        <v>1.45</v>
      </c>
      <c r="P63">
        <v>1.32</v>
      </c>
      <c r="Q63">
        <v>0.91</v>
      </c>
      <c r="R63">
        <v>0.89</v>
      </c>
      <c r="S63">
        <v>0.84</v>
      </c>
      <c r="T63">
        <v>3700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7</v>
      </c>
      <c r="G64">
        <v>14</v>
      </c>
      <c r="H64">
        <v>9</v>
      </c>
      <c r="I64">
        <v>4</v>
      </c>
      <c r="J64">
        <v>1.38</v>
      </c>
      <c r="K64">
        <v>1.35</v>
      </c>
      <c r="L64">
        <v>1.32</v>
      </c>
      <c r="M64">
        <v>1.46</v>
      </c>
      <c r="N64">
        <v>1.51</v>
      </c>
      <c r="O64">
        <v>1.48</v>
      </c>
      <c r="P64">
        <v>1.31</v>
      </c>
      <c r="Q64">
        <v>1.04</v>
      </c>
      <c r="R64">
        <v>0.87</v>
      </c>
      <c r="S64">
        <v>1</v>
      </c>
      <c r="T64">
        <v>3691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7</v>
      </c>
      <c r="G65">
        <v>14</v>
      </c>
      <c r="H65">
        <v>9</v>
      </c>
      <c r="I65">
        <v>20</v>
      </c>
      <c r="J65">
        <v>1.22</v>
      </c>
      <c r="K65">
        <v>1.04</v>
      </c>
      <c r="L65">
        <v>1.0900000000000001</v>
      </c>
      <c r="M65">
        <v>1.23</v>
      </c>
      <c r="N65">
        <v>1.28</v>
      </c>
      <c r="O65">
        <v>1.1399999999999999</v>
      </c>
      <c r="P65">
        <v>1.1000000000000001</v>
      </c>
      <c r="Q65">
        <v>1.05</v>
      </c>
      <c r="R65">
        <v>1.04</v>
      </c>
      <c r="S65">
        <v>0.95</v>
      </c>
      <c r="T65">
        <v>3665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7</v>
      </c>
      <c r="G66">
        <v>14</v>
      </c>
      <c r="H66">
        <v>9</v>
      </c>
      <c r="I66">
        <v>16</v>
      </c>
      <c r="J66">
        <v>1.32</v>
      </c>
      <c r="K66">
        <v>1.38</v>
      </c>
      <c r="L66">
        <v>1.43</v>
      </c>
      <c r="M66">
        <v>1.2</v>
      </c>
      <c r="N66">
        <v>1.22</v>
      </c>
      <c r="O66">
        <v>1.31</v>
      </c>
      <c r="P66">
        <v>0.96</v>
      </c>
      <c r="Q66">
        <v>0.94</v>
      </c>
      <c r="R66">
        <v>1.07</v>
      </c>
      <c r="S66">
        <v>1.05</v>
      </c>
      <c r="T66">
        <v>3684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7</v>
      </c>
      <c r="G67">
        <v>14</v>
      </c>
      <c r="H67">
        <v>9</v>
      </c>
      <c r="I67">
        <v>12</v>
      </c>
      <c r="J67">
        <v>1.48</v>
      </c>
      <c r="K67">
        <v>1.34</v>
      </c>
      <c r="L67">
        <v>1.3</v>
      </c>
      <c r="M67">
        <v>1.24</v>
      </c>
      <c r="N67">
        <v>1.28</v>
      </c>
      <c r="O67">
        <v>1.29</v>
      </c>
      <c r="P67">
        <v>1.06</v>
      </c>
      <c r="Q67">
        <v>0.92</v>
      </c>
      <c r="R67">
        <v>0.92</v>
      </c>
      <c r="S67">
        <v>0.94</v>
      </c>
      <c r="T67">
        <v>3699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7</v>
      </c>
      <c r="G68">
        <v>14</v>
      </c>
      <c r="H68">
        <v>9</v>
      </c>
      <c r="I68">
        <v>0</v>
      </c>
      <c r="J68">
        <v>1.48</v>
      </c>
      <c r="K68">
        <v>1.43</v>
      </c>
      <c r="L68">
        <v>1.26</v>
      </c>
      <c r="M68">
        <v>1.33</v>
      </c>
      <c r="N68">
        <v>1.43</v>
      </c>
      <c r="O68">
        <v>1.35</v>
      </c>
      <c r="P68">
        <v>1.1499999999999999</v>
      </c>
      <c r="Q68">
        <v>0.84</v>
      </c>
      <c r="R68">
        <v>0.83</v>
      </c>
      <c r="S68">
        <v>0.96</v>
      </c>
      <c r="T68">
        <v>3701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17.440200000000001</v>
      </c>
      <c r="K73">
        <f t="shared" ref="K73:R73" si="0">22.275*K45-6.1713</f>
        <v>19.222199999999997</v>
      </c>
      <c r="L73">
        <f t="shared" si="0"/>
        <v>22.340700000000002</v>
      </c>
      <c r="M73">
        <f t="shared" si="0"/>
        <v>25.681949999999997</v>
      </c>
      <c r="N73">
        <f t="shared" si="0"/>
        <v>23.2317</v>
      </c>
      <c r="O73">
        <f t="shared" si="0"/>
        <v>23.677200000000003</v>
      </c>
      <c r="P73">
        <f t="shared" si="0"/>
        <v>22.786200000000001</v>
      </c>
      <c r="Q73">
        <f t="shared" si="0"/>
        <v>21.895199999999999</v>
      </c>
      <c r="R73">
        <f t="shared" si="0"/>
        <v>21.4497</v>
      </c>
      <c r="S73">
        <f>22.275*(S45*1.1)-6.1713</f>
        <v>20.781450000000003</v>
      </c>
    </row>
    <row r="74" spans="1:20" x14ac:dyDescent="0.25">
      <c r="I74" t="s">
        <v>43</v>
      </c>
      <c r="J74">
        <f t="shared" ref="J74:R89" si="1">22.275*J46-6.1713</f>
        <v>23.454450000000001</v>
      </c>
      <c r="K74">
        <f t="shared" si="1"/>
        <v>23.677200000000003</v>
      </c>
      <c r="L74">
        <f t="shared" si="1"/>
        <v>20.335949999999997</v>
      </c>
      <c r="M74">
        <f t="shared" si="1"/>
        <v>19.222199999999997</v>
      </c>
      <c r="N74">
        <f t="shared" si="1"/>
        <v>18.776700000000002</v>
      </c>
      <c r="O74">
        <f t="shared" si="1"/>
        <v>18.776700000000002</v>
      </c>
      <c r="P74">
        <f t="shared" si="1"/>
        <v>17.440200000000001</v>
      </c>
      <c r="Q74">
        <f t="shared" si="1"/>
        <v>19.667699999999996</v>
      </c>
      <c r="R74">
        <f t="shared" si="1"/>
        <v>16.1037</v>
      </c>
      <c r="S74">
        <f t="shared" ref="S74:S91" si="2">22.275*(S46*1.1)-6.1713</f>
        <v>15.145875</v>
      </c>
    </row>
    <row r="75" spans="1:20" x14ac:dyDescent="0.25">
      <c r="I75" t="s">
        <v>44</v>
      </c>
      <c r="J75">
        <f t="shared" si="1"/>
        <v>21.895199999999999</v>
      </c>
      <c r="K75">
        <f t="shared" si="1"/>
        <v>19.890449999999998</v>
      </c>
      <c r="L75">
        <f t="shared" si="1"/>
        <v>21.672450000000001</v>
      </c>
      <c r="M75">
        <f t="shared" si="1"/>
        <v>24.122700000000002</v>
      </c>
      <c r="N75">
        <f t="shared" si="1"/>
        <v>25.236449999999998</v>
      </c>
      <c r="O75">
        <f t="shared" si="1"/>
        <v>23.454450000000001</v>
      </c>
      <c r="P75">
        <f t="shared" si="1"/>
        <v>18.776700000000002</v>
      </c>
      <c r="Q75">
        <f t="shared" si="1"/>
        <v>16.1037</v>
      </c>
      <c r="R75">
        <f t="shared" si="1"/>
        <v>17.662950000000002</v>
      </c>
      <c r="S75">
        <f t="shared" si="2"/>
        <v>18.331200000000003</v>
      </c>
    </row>
    <row r="76" spans="1:20" x14ac:dyDescent="0.25">
      <c r="I76" t="s">
        <v>45</v>
      </c>
      <c r="J76">
        <f t="shared" si="1"/>
        <v>25.681949999999997</v>
      </c>
      <c r="K76">
        <f t="shared" si="1"/>
        <v>25.236449999999998</v>
      </c>
      <c r="L76">
        <f t="shared" si="1"/>
        <v>25.681949999999997</v>
      </c>
      <c r="M76">
        <f t="shared" si="1"/>
        <v>24.790949999999999</v>
      </c>
      <c r="N76">
        <f t="shared" si="1"/>
        <v>21.895199999999999</v>
      </c>
      <c r="O76">
        <f t="shared" si="1"/>
        <v>21.226949999999999</v>
      </c>
      <c r="P76">
        <f t="shared" si="1"/>
        <v>22.56345</v>
      </c>
      <c r="Q76">
        <f t="shared" si="1"/>
        <v>18.331200000000003</v>
      </c>
      <c r="R76">
        <f t="shared" si="1"/>
        <v>16.549199999999999</v>
      </c>
      <c r="S76">
        <f t="shared" si="2"/>
        <v>16.861049999999999</v>
      </c>
    </row>
    <row r="77" spans="1:20" x14ac:dyDescent="0.25">
      <c r="I77" t="s">
        <v>46</v>
      </c>
      <c r="J77">
        <f t="shared" si="1"/>
        <v>26.7957</v>
      </c>
      <c r="K77">
        <f t="shared" si="1"/>
        <v>23.677200000000003</v>
      </c>
      <c r="L77">
        <f t="shared" si="1"/>
        <v>25.013699999999996</v>
      </c>
      <c r="M77">
        <f t="shared" si="1"/>
        <v>24.568199999999997</v>
      </c>
      <c r="N77">
        <f t="shared" si="1"/>
        <v>24.345450000000003</v>
      </c>
      <c r="O77">
        <f t="shared" si="1"/>
        <v>24.790949999999999</v>
      </c>
      <c r="P77">
        <f t="shared" si="1"/>
        <v>19.890449999999998</v>
      </c>
      <c r="Q77">
        <f t="shared" si="1"/>
        <v>21.004199999999997</v>
      </c>
      <c r="R77">
        <f t="shared" si="1"/>
        <v>18.55395</v>
      </c>
      <c r="S77">
        <f t="shared" si="2"/>
        <v>20.781450000000003</v>
      </c>
    </row>
    <row r="78" spans="1:20" x14ac:dyDescent="0.25">
      <c r="I78" t="s">
        <v>47</v>
      </c>
      <c r="J78">
        <f t="shared" si="1"/>
        <v>25.904699999999995</v>
      </c>
      <c r="K78">
        <f t="shared" si="1"/>
        <v>24.345450000000003</v>
      </c>
      <c r="L78">
        <f t="shared" si="1"/>
        <v>23.89995</v>
      </c>
      <c r="M78">
        <f t="shared" si="1"/>
        <v>24.790949999999999</v>
      </c>
      <c r="N78">
        <f t="shared" si="1"/>
        <v>23.2317</v>
      </c>
      <c r="O78">
        <f t="shared" si="1"/>
        <v>17.662950000000002</v>
      </c>
      <c r="P78">
        <f t="shared" si="1"/>
        <v>13.20795</v>
      </c>
      <c r="Q78">
        <f t="shared" si="1"/>
        <v>17.8857</v>
      </c>
      <c r="R78">
        <f t="shared" si="1"/>
        <v>18.331200000000003</v>
      </c>
      <c r="S78">
        <f t="shared" si="2"/>
        <v>19.311300000000003</v>
      </c>
    </row>
    <row r="79" spans="1:20" x14ac:dyDescent="0.25">
      <c r="I79" t="s">
        <v>48</v>
      </c>
      <c r="J79">
        <f t="shared" si="1"/>
        <v>24.122700000000002</v>
      </c>
      <c r="K79">
        <f t="shared" si="1"/>
        <v>23.008950000000002</v>
      </c>
      <c r="L79">
        <f t="shared" si="1"/>
        <v>26.350199999999997</v>
      </c>
      <c r="M79">
        <f t="shared" si="1"/>
        <v>27.463950000000001</v>
      </c>
      <c r="N79">
        <f t="shared" si="1"/>
        <v>24.568199999999997</v>
      </c>
      <c r="O79">
        <f t="shared" si="1"/>
        <v>17.217449999999999</v>
      </c>
      <c r="P79">
        <f t="shared" si="1"/>
        <v>16.326450000000001</v>
      </c>
      <c r="Q79">
        <f t="shared" si="1"/>
        <v>15.880949999999999</v>
      </c>
      <c r="R79">
        <f t="shared" si="1"/>
        <v>16.994700000000002</v>
      </c>
      <c r="S79">
        <f t="shared" si="2"/>
        <v>17.106074999999997</v>
      </c>
    </row>
    <row r="80" spans="1:20" x14ac:dyDescent="0.25">
      <c r="I80" t="s">
        <v>49</v>
      </c>
      <c r="J80">
        <f t="shared" si="1"/>
        <v>16.994700000000002</v>
      </c>
      <c r="K80">
        <f t="shared" si="1"/>
        <v>13.653449999999999</v>
      </c>
      <c r="L80">
        <f t="shared" si="1"/>
        <v>12.316949999999999</v>
      </c>
      <c r="M80">
        <f t="shared" si="1"/>
        <v>11.871450000000003</v>
      </c>
      <c r="N80">
        <f t="shared" si="1"/>
        <v>10.312200000000001</v>
      </c>
      <c r="O80">
        <f t="shared" si="1"/>
        <v>8.3074499999999993</v>
      </c>
      <c r="P80">
        <f t="shared" si="1"/>
        <v>8.0847000000000016</v>
      </c>
      <c r="Q80">
        <f t="shared" si="1"/>
        <v>10.312200000000001</v>
      </c>
      <c r="R80">
        <f t="shared" si="1"/>
        <v>14.098950000000002</v>
      </c>
      <c r="S80">
        <f t="shared" si="2"/>
        <v>18.086175000000001</v>
      </c>
    </row>
    <row r="81" spans="9:19" x14ac:dyDescent="0.25">
      <c r="I81" t="s">
        <v>50</v>
      </c>
      <c r="J81">
        <f t="shared" si="1"/>
        <v>27.463950000000001</v>
      </c>
      <c r="K81">
        <f t="shared" si="1"/>
        <v>25.904699999999995</v>
      </c>
      <c r="L81">
        <f t="shared" si="1"/>
        <v>25.681949999999997</v>
      </c>
      <c r="M81">
        <f t="shared" si="1"/>
        <v>26.572949999999995</v>
      </c>
      <c r="N81">
        <f t="shared" si="1"/>
        <v>26.350199999999997</v>
      </c>
      <c r="O81">
        <f t="shared" si="1"/>
        <v>22.340700000000002</v>
      </c>
      <c r="P81">
        <f t="shared" si="1"/>
        <v>16.326450000000001</v>
      </c>
      <c r="Q81">
        <f t="shared" si="1"/>
        <v>14.767199999999999</v>
      </c>
      <c r="R81">
        <f t="shared" si="1"/>
        <v>15.212699999999998</v>
      </c>
      <c r="S81">
        <f t="shared" si="2"/>
        <v>16.616025000000004</v>
      </c>
    </row>
    <row r="82" spans="9:19" x14ac:dyDescent="0.25">
      <c r="I82" t="s">
        <v>51</v>
      </c>
      <c r="J82">
        <f t="shared" si="1"/>
        <v>19.444949999999999</v>
      </c>
      <c r="K82">
        <f t="shared" si="1"/>
        <v>18.108450000000001</v>
      </c>
      <c r="L82">
        <f t="shared" si="1"/>
        <v>16.1037</v>
      </c>
      <c r="M82">
        <f t="shared" si="1"/>
        <v>14.544450000000001</v>
      </c>
      <c r="N82">
        <f t="shared" si="1"/>
        <v>13.653449999999999</v>
      </c>
      <c r="O82">
        <f t="shared" si="1"/>
        <v>12.5397</v>
      </c>
      <c r="P82">
        <f t="shared" si="1"/>
        <v>13.430700000000002</v>
      </c>
      <c r="Q82">
        <f t="shared" si="1"/>
        <v>16.994700000000002</v>
      </c>
      <c r="R82">
        <f t="shared" si="1"/>
        <v>17.440200000000001</v>
      </c>
      <c r="S82">
        <f t="shared" si="2"/>
        <v>18.331200000000003</v>
      </c>
    </row>
    <row r="83" spans="9:19" x14ac:dyDescent="0.25">
      <c r="I83" t="s">
        <v>52</v>
      </c>
      <c r="J83">
        <f t="shared" si="1"/>
        <v>18.999449999999996</v>
      </c>
      <c r="K83">
        <f t="shared" si="1"/>
        <v>18.776700000000002</v>
      </c>
      <c r="L83">
        <f t="shared" si="1"/>
        <v>23.2317</v>
      </c>
      <c r="M83">
        <f t="shared" si="1"/>
        <v>25.459199999999999</v>
      </c>
      <c r="N83">
        <f t="shared" si="1"/>
        <v>23.454450000000001</v>
      </c>
      <c r="O83">
        <f t="shared" si="1"/>
        <v>21.672450000000001</v>
      </c>
      <c r="P83">
        <f t="shared" si="1"/>
        <v>22.340700000000002</v>
      </c>
      <c r="Q83">
        <f t="shared" si="1"/>
        <v>19.444949999999999</v>
      </c>
      <c r="R83">
        <f t="shared" si="1"/>
        <v>18.108450000000001</v>
      </c>
      <c r="S83">
        <f t="shared" si="2"/>
        <v>18.576225000000004</v>
      </c>
    </row>
    <row r="84" spans="9:19" x14ac:dyDescent="0.25">
      <c r="I84" t="s">
        <v>53</v>
      </c>
      <c r="J84">
        <f t="shared" si="1"/>
        <v>15.658200000000001</v>
      </c>
      <c r="K84">
        <f t="shared" si="1"/>
        <v>16.994700000000002</v>
      </c>
      <c r="L84">
        <f t="shared" si="1"/>
        <v>22.340700000000002</v>
      </c>
      <c r="M84">
        <f t="shared" si="1"/>
        <v>24.345450000000003</v>
      </c>
      <c r="N84">
        <f t="shared" si="1"/>
        <v>25.236449999999998</v>
      </c>
      <c r="O84">
        <f t="shared" si="1"/>
        <v>24.568199999999997</v>
      </c>
      <c r="P84">
        <f t="shared" si="1"/>
        <v>24.122700000000002</v>
      </c>
      <c r="Q84">
        <f t="shared" si="1"/>
        <v>19.222199999999997</v>
      </c>
      <c r="R84">
        <f t="shared" si="1"/>
        <v>14.767199999999999</v>
      </c>
      <c r="S84">
        <f t="shared" si="2"/>
        <v>16.125975000000004</v>
      </c>
    </row>
    <row r="85" spans="9:19" x14ac:dyDescent="0.25">
      <c r="I85" t="s">
        <v>54</v>
      </c>
      <c r="J85">
        <f t="shared" si="1"/>
        <v>21.4497</v>
      </c>
      <c r="K85">
        <f t="shared" si="1"/>
        <v>23.008950000000002</v>
      </c>
      <c r="L85">
        <f t="shared" si="1"/>
        <v>28.354949999999999</v>
      </c>
      <c r="M85">
        <f t="shared" si="1"/>
        <v>26.572949999999995</v>
      </c>
      <c r="N85">
        <f t="shared" si="1"/>
        <v>27.686699999999998</v>
      </c>
      <c r="O85">
        <f t="shared" si="1"/>
        <v>27.241199999999996</v>
      </c>
      <c r="P85">
        <f t="shared" si="1"/>
        <v>19.444949999999999</v>
      </c>
      <c r="Q85">
        <f t="shared" si="1"/>
        <v>16.549199999999999</v>
      </c>
      <c r="R85">
        <f t="shared" si="1"/>
        <v>17.217449999999999</v>
      </c>
      <c r="S85">
        <f t="shared" si="2"/>
        <v>18.576225000000004</v>
      </c>
    </row>
    <row r="86" spans="9:19" x14ac:dyDescent="0.25">
      <c r="I86" t="s">
        <v>55</v>
      </c>
      <c r="J86">
        <f t="shared" si="1"/>
        <v>22.340700000000002</v>
      </c>
      <c r="K86">
        <f t="shared" si="1"/>
        <v>21.895199999999999</v>
      </c>
      <c r="L86">
        <f t="shared" si="1"/>
        <v>24.568199999999997</v>
      </c>
      <c r="M86">
        <f t="shared" si="1"/>
        <v>23.89995</v>
      </c>
      <c r="N86">
        <f t="shared" si="1"/>
        <v>26.350199999999997</v>
      </c>
      <c r="O86">
        <f t="shared" si="1"/>
        <v>20.558699999999998</v>
      </c>
      <c r="P86">
        <f t="shared" si="1"/>
        <v>15.658200000000001</v>
      </c>
      <c r="Q86">
        <f t="shared" si="1"/>
        <v>14.98995</v>
      </c>
      <c r="R86">
        <f t="shared" si="1"/>
        <v>17.662950000000002</v>
      </c>
      <c r="S86">
        <f t="shared" si="2"/>
        <v>18.331200000000003</v>
      </c>
    </row>
    <row r="87" spans="9:19" x14ac:dyDescent="0.25">
      <c r="I87" t="s">
        <v>56</v>
      </c>
      <c r="J87">
        <f t="shared" si="1"/>
        <v>23.2317</v>
      </c>
      <c r="K87">
        <f t="shared" si="1"/>
        <v>21.895199999999999</v>
      </c>
      <c r="L87">
        <f t="shared" si="1"/>
        <v>24.345450000000003</v>
      </c>
      <c r="M87">
        <f t="shared" si="1"/>
        <v>20.558699999999998</v>
      </c>
      <c r="N87">
        <f t="shared" si="1"/>
        <v>21.895199999999999</v>
      </c>
      <c r="O87">
        <f t="shared" si="1"/>
        <v>21.226949999999999</v>
      </c>
      <c r="P87">
        <f t="shared" si="1"/>
        <v>21.672450000000001</v>
      </c>
      <c r="Q87">
        <f t="shared" si="1"/>
        <v>16.549199999999999</v>
      </c>
      <c r="R87">
        <f t="shared" si="1"/>
        <v>14.544450000000001</v>
      </c>
      <c r="S87">
        <f t="shared" si="2"/>
        <v>16.616025000000004</v>
      </c>
    </row>
    <row r="88" spans="9:19" x14ac:dyDescent="0.25">
      <c r="I88" t="s">
        <v>57</v>
      </c>
      <c r="J88">
        <f t="shared" si="1"/>
        <v>17.8857</v>
      </c>
      <c r="K88">
        <f t="shared" si="1"/>
        <v>18.776700000000002</v>
      </c>
      <c r="L88">
        <f t="shared" si="1"/>
        <v>25.904699999999995</v>
      </c>
      <c r="M88">
        <f t="shared" si="1"/>
        <v>24.568199999999997</v>
      </c>
      <c r="N88">
        <f t="shared" si="1"/>
        <v>26.572949999999995</v>
      </c>
      <c r="O88">
        <f t="shared" si="1"/>
        <v>24.568199999999997</v>
      </c>
      <c r="P88">
        <f t="shared" si="1"/>
        <v>24.122700000000002</v>
      </c>
      <c r="Q88">
        <f t="shared" si="1"/>
        <v>16.77195</v>
      </c>
      <c r="R88">
        <f t="shared" si="1"/>
        <v>12.985199999999999</v>
      </c>
      <c r="S88">
        <f t="shared" si="2"/>
        <v>15.390900000000002</v>
      </c>
    </row>
    <row r="89" spans="9:19" x14ac:dyDescent="0.25">
      <c r="I89" t="s">
        <v>58</v>
      </c>
      <c r="J89">
        <f t="shared" si="1"/>
        <v>27.686699999999998</v>
      </c>
      <c r="K89">
        <f t="shared" si="1"/>
        <v>26.350199999999997</v>
      </c>
      <c r="L89">
        <f t="shared" si="1"/>
        <v>26.572949999999995</v>
      </c>
      <c r="M89">
        <f t="shared" si="1"/>
        <v>26.572949999999995</v>
      </c>
      <c r="N89">
        <f t="shared" si="1"/>
        <v>23.677200000000003</v>
      </c>
      <c r="O89">
        <f t="shared" si="1"/>
        <v>22.786200000000001</v>
      </c>
      <c r="P89">
        <f t="shared" si="1"/>
        <v>19.222199999999997</v>
      </c>
      <c r="Q89">
        <f t="shared" si="1"/>
        <v>18.108450000000001</v>
      </c>
      <c r="R89">
        <f t="shared" si="1"/>
        <v>19.222199999999997</v>
      </c>
      <c r="S89">
        <f t="shared" si="2"/>
        <v>21.271500000000003</v>
      </c>
    </row>
    <row r="90" spans="9:19" x14ac:dyDescent="0.25">
      <c r="I90" t="s">
        <v>59</v>
      </c>
      <c r="J90">
        <f t="shared" ref="J90:R96" si="3">22.275*J62-6.1713</f>
        <v>25.459199999999999</v>
      </c>
      <c r="K90">
        <f t="shared" si="3"/>
        <v>24.345450000000003</v>
      </c>
      <c r="L90">
        <f t="shared" si="3"/>
        <v>27.463950000000001</v>
      </c>
      <c r="M90">
        <f t="shared" si="3"/>
        <v>28.132200000000001</v>
      </c>
      <c r="N90">
        <f t="shared" si="3"/>
        <v>28.354949999999999</v>
      </c>
      <c r="O90">
        <f t="shared" si="3"/>
        <v>25.904699999999995</v>
      </c>
      <c r="P90">
        <f t="shared" si="3"/>
        <v>24.122700000000002</v>
      </c>
      <c r="Q90">
        <f t="shared" si="3"/>
        <v>17.440200000000001</v>
      </c>
      <c r="R90">
        <f t="shared" si="3"/>
        <v>16.77195</v>
      </c>
      <c r="S90">
        <f t="shared" si="2"/>
        <v>18.576225000000004</v>
      </c>
    </row>
    <row r="91" spans="9:19" x14ac:dyDescent="0.25">
      <c r="I91" t="s">
        <v>60</v>
      </c>
      <c r="J91">
        <f t="shared" si="3"/>
        <v>25.013699999999996</v>
      </c>
      <c r="K91">
        <f t="shared" si="3"/>
        <v>23.677200000000003</v>
      </c>
      <c r="L91">
        <f t="shared" si="3"/>
        <v>26.572949999999995</v>
      </c>
      <c r="M91">
        <f t="shared" si="3"/>
        <v>28.132200000000001</v>
      </c>
      <c r="N91">
        <f t="shared" si="3"/>
        <v>27.241199999999996</v>
      </c>
      <c r="O91">
        <f t="shared" si="3"/>
        <v>26.12745</v>
      </c>
      <c r="P91">
        <f t="shared" si="3"/>
        <v>23.2317</v>
      </c>
      <c r="Q91">
        <f t="shared" si="3"/>
        <v>14.098950000000002</v>
      </c>
      <c r="R91">
        <f t="shared" si="3"/>
        <v>13.653449999999999</v>
      </c>
      <c r="S91">
        <f t="shared" si="2"/>
        <v>14.410800000000002</v>
      </c>
    </row>
    <row r="92" spans="9:19" x14ac:dyDescent="0.25">
      <c r="I92" t="s">
        <v>61</v>
      </c>
      <c r="J92">
        <f t="shared" si="3"/>
        <v>24.568199999999997</v>
      </c>
      <c r="K92">
        <f t="shared" si="3"/>
        <v>23.89995</v>
      </c>
      <c r="L92">
        <f t="shared" si="3"/>
        <v>23.2317</v>
      </c>
      <c r="M92">
        <f t="shared" si="3"/>
        <v>26.350199999999997</v>
      </c>
      <c r="N92">
        <f t="shared" si="3"/>
        <v>27.463950000000001</v>
      </c>
      <c r="O92">
        <f t="shared" si="3"/>
        <v>26.7957</v>
      </c>
      <c r="P92">
        <f t="shared" si="3"/>
        <v>23.008950000000002</v>
      </c>
      <c r="Q92">
        <f t="shared" si="3"/>
        <v>16.994700000000002</v>
      </c>
      <c r="R92">
        <f t="shared" si="3"/>
        <v>13.20795</v>
      </c>
      <c r="S92">
        <f>22.275*(S64*1.1)-6.1713</f>
        <v>18.331200000000003</v>
      </c>
    </row>
    <row r="93" spans="9:19" x14ac:dyDescent="0.25">
      <c r="I93" t="s">
        <v>62</v>
      </c>
      <c r="J93">
        <f t="shared" si="3"/>
        <v>21.004199999999997</v>
      </c>
      <c r="K93">
        <f t="shared" si="3"/>
        <v>16.994700000000002</v>
      </c>
      <c r="L93">
        <f t="shared" si="3"/>
        <v>18.108450000000001</v>
      </c>
      <c r="M93">
        <f t="shared" si="3"/>
        <v>21.226949999999999</v>
      </c>
      <c r="N93">
        <f t="shared" si="3"/>
        <v>22.340700000000002</v>
      </c>
      <c r="O93">
        <f t="shared" si="3"/>
        <v>19.222199999999997</v>
      </c>
      <c r="P93">
        <f t="shared" si="3"/>
        <v>18.331200000000003</v>
      </c>
      <c r="Q93">
        <f t="shared" si="3"/>
        <v>17.217449999999999</v>
      </c>
      <c r="R93">
        <f t="shared" si="3"/>
        <v>16.994700000000002</v>
      </c>
      <c r="S93">
        <f t="shared" ref="S93:S95" si="4">22.275*(S65*1.1)-6.1713</f>
        <v>17.106074999999997</v>
      </c>
    </row>
    <row r="94" spans="9:19" x14ac:dyDescent="0.25">
      <c r="I94" t="s">
        <v>63</v>
      </c>
      <c r="J94">
        <f t="shared" si="3"/>
        <v>23.2317</v>
      </c>
      <c r="K94">
        <f t="shared" si="3"/>
        <v>24.568199999999997</v>
      </c>
      <c r="L94">
        <f t="shared" si="3"/>
        <v>25.681949999999997</v>
      </c>
      <c r="M94">
        <f t="shared" si="3"/>
        <v>20.558699999999998</v>
      </c>
      <c r="N94">
        <f t="shared" si="3"/>
        <v>21.004199999999997</v>
      </c>
      <c r="O94">
        <f t="shared" si="3"/>
        <v>23.008950000000002</v>
      </c>
      <c r="P94">
        <f t="shared" si="3"/>
        <v>15.212699999999998</v>
      </c>
      <c r="Q94">
        <f t="shared" si="3"/>
        <v>14.767199999999999</v>
      </c>
      <c r="R94">
        <f t="shared" si="3"/>
        <v>17.662950000000002</v>
      </c>
      <c r="S94">
        <f t="shared" si="4"/>
        <v>19.556325000000005</v>
      </c>
    </row>
    <row r="95" spans="9:19" x14ac:dyDescent="0.25">
      <c r="I95" t="s">
        <v>64</v>
      </c>
      <c r="J95">
        <f t="shared" si="3"/>
        <v>26.7957</v>
      </c>
      <c r="K95">
        <f t="shared" si="3"/>
        <v>23.677200000000003</v>
      </c>
      <c r="L95">
        <f t="shared" si="3"/>
        <v>22.786200000000001</v>
      </c>
      <c r="M95">
        <f t="shared" si="3"/>
        <v>21.4497</v>
      </c>
      <c r="N95">
        <f t="shared" si="3"/>
        <v>22.340700000000002</v>
      </c>
      <c r="O95">
        <f t="shared" si="3"/>
        <v>22.56345</v>
      </c>
      <c r="P95">
        <f t="shared" si="3"/>
        <v>17.440200000000001</v>
      </c>
      <c r="Q95">
        <f t="shared" si="3"/>
        <v>14.3217</v>
      </c>
      <c r="R95">
        <f t="shared" si="3"/>
        <v>14.3217</v>
      </c>
      <c r="S95">
        <f t="shared" si="4"/>
        <v>16.861049999999999</v>
      </c>
    </row>
    <row r="96" spans="9:19" x14ac:dyDescent="0.25">
      <c r="I96" t="s">
        <v>65</v>
      </c>
      <c r="J96">
        <f>22.275*J68-6.1713</f>
        <v>26.7957</v>
      </c>
      <c r="K96">
        <f t="shared" si="3"/>
        <v>25.681949999999997</v>
      </c>
      <c r="L96">
        <f t="shared" si="3"/>
        <v>21.895199999999999</v>
      </c>
      <c r="M96">
        <f t="shared" si="3"/>
        <v>23.454450000000001</v>
      </c>
      <c r="N96">
        <f t="shared" si="3"/>
        <v>25.681949999999997</v>
      </c>
      <c r="O96">
        <f t="shared" si="3"/>
        <v>23.89995</v>
      </c>
      <c r="P96">
        <f t="shared" si="3"/>
        <v>19.444949999999999</v>
      </c>
      <c r="Q96">
        <f t="shared" si="3"/>
        <v>12.5397</v>
      </c>
      <c r="R96">
        <f t="shared" si="3"/>
        <v>12.316949999999999</v>
      </c>
      <c r="S96">
        <f>22.275*(S68*1.1)-6.1713</f>
        <v>17.351100000000002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0.174402</v>
      </c>
      <c r="K101" s="4">
        <f t="shared" si="5"/>
        <v>0.19222199999999998</v>
      </c>
      <c r="L101" s="4">
        <f t="shared" si="5"/>
        <v>0.22340700000000002</v>
      </c>
      <c r="M101" s="4">
        <f t="shared" si="5"/>
        <v>0.25681949999999998</v>
      </c>
      <c r="N101" s="4">
        <f t="shared" si="5"/>
        <v>0.232317</v>
      </c>
      <c r="O101" s="4">
        <f t="shared" si="5"/>
        <v>0.23677200000000004</v>
      </c>
      <c r="P101" s="4">
        <f t="shared" si="5"/>
        <v>0.22786200000000001</v>
      </c>
      <c r="Q101" s="4">
        <f t="shared" si="5"/>
        <v>0.21895199999999998</v>
      </c>
      <c r="R101" s="4">
        <f t="shared" si="5"/>
        <v>0.21449699999999999</v>
      </c>
      <c r="S101" s="4">
        <f t="shared" si="5"/>
        <v>0.20781450000000004</v>
      </c>
    </row>
    <row r="102" spans="9:19" x14ac:dyDescent="0.25">
      <c r="I102">
        <v>12</v>
      </c>
      <c r="J102" s="4">
        <f t="shared" ref="J102:S115" si="6">IF(J74&lt;0,"",J74/100)</f>
        <v>0.23454450000000002</v>
      </c>
      <c r="K102" s="4">
        <f t="shared" si="6"/>
        <v>0.23677200000000004</v>
      </c>
      <c r="L102" s="4">
        <f t="shared" si="6"/>
        <v>0.20335949999999997</v>
      </c>
      <c r="M102" s="4">
        <f t="shared" si="6"/>
        <v>0.19222199999999998</v>
      </c>
      <c r="N102" s="4">
        <f t="shared" si="6"/>
        <v>0.18776700000000002</v>
      </c>
      <c r="O102" s="4">
        <f t="shared" si="6"/>
        <v>0.18776700000000002</v>
      </c>
      <c r="P102" s="4">
        <f t="shared" si="6"/>
        <v>0.174402</v>
      </c>
      <c r="Q102" s="4">
        <f t="shared" si="6"/>
        <v>0.19667699999999996</v>
      </c>
      <c r="R102" s="4">
        <f t="shared" si="6"/>
        <v>0.16103699999999999</v>
      </c>
      <c r="S102" s="4">
        <f t="shared" si="6"/>
        <v>0.15145875</v>
      </c>
    </row>
    <row r="103" spans="9:19" x14ac:dyDescent="0.25">
      <c r="I103">
        <v>13</v>
      </c>
      <c r="J103" s="4">
        <f t="shared" si="6"/>
        <v>0.21895199999999998</v>
      </c>
      <c r="K103" s="4">
        <f t="shared" si="6"/>
        <v>0.19890449999999998</v>
      </c>
      <c r="L103" s="4">
        <f t="shared" si="6"/>
        <v>0.21672450000000001</v>
      </c>
      <c r="M103" s="4">
        <f t="shared" si="6"/>
        <v>0.24122700000000002</v>
      </c>
      <c r="N103" s="4">
        <f t="shared" si="6"/>
        <v>0.25236449999999999</v>
      </c>
      <c r="O103" s="4">
        <f t="shared" si="6"/>
        <v>0.23454450000000002</v>
      </c>
      <c r="P103" s="4">
        <f t="shared" si="6"/>
        <v>0.18776700000000002</v>
      </c>
      <c r="Q103" s="4">
        <f t="shared" si="6"/>
        <v>0.16103699999999999</v>
      </c>
      <c r="R103" s="4">
        <f t="shared" si="6"/>
        <v>0.17662950000000002</v>
      </c>
      <c r="S103" s="4">
        <f t="shared" si="6"/>
        <v>0.18331200000000003</v>
      </c>
    </row>
    <row r="104" spans="9:19" x14ac:dyDescent="0.25">
      <c r="I104">
        <v>14</v>
      </c>
      <c r="J104" s="4">
        <f t="shared" si="6"/>
        <v>0.25681949999999998</v>
      </c>
      <c r="K104" s="4">
        <f t="shared" si="6"/>
        <v>0.25236449999999999</v>
      </c>
      <c r="L104" s="4">
        <f t="shared" si="6"/>
        <v>0.25681949999999998</v>
      </c>
      <c r="M104" s="4">
        <f t="shared" si="6"/>
        <v>0.24790949999999998</v>
      </c>
      <c r="N104" s="4">
        <f t="shared" si="6"/>
        <v>0.21895199999999998</v>
      </c>
      <c r="O104" s="4">
        <f t="shared" si="6"/>
        <v>0.2122695</v>
      </c>
      <c r="P104" s="4">
        <f t="shared" si="6"/>
        <v>0.22563449999999999</v>
      </c>
      <c r="Q104" s="4">
        <f t="shared" si="6"/>
        <v>0.18331200000000003</v>
      </c>
      <c r="R104" s="4">
        <f t="shared" si="6"/>
        <v>0.165492</v>
      </c>
      <c r="S104" s="4">
        <f t="shared" si="6"/>
        <v>0.1686105</v>
      </c>
    </row>
    <row r="105" spans="9:19" x14ac:dyDescent="0.25">
      <c r="I105">
        <v>21</v>
      </c>
      <c r="J105" s="4">
        <f t="shared" si="6"/>
        <v>0.267957</v>
      </c>
      <c r="K105" s="4">
        <f t="shared" si="6"/>
        <v>0.23677200000000004</v>
      </c>
      <c r="L105" s="4">
        <f t="shared" si="6"/>
        <v>0.25013699999999994</v>
      </c>
      <c r="M105" s="4">
        <f t="shared" si="6"/>
        <v>0.24568199999999998</v>
      </c>
      <c r="N105" s="4">
        <f t="shared" si="6"/>
        <v>0.24345450000000002</v>
      </c>
      <c r="O105" s="4">
        <f t="shared" si="6"/>
        <v>0.24790949999999998</v>
      </c>
      <c r="P105" s="4">
        <f t="shared" si="6"/>
        <v>0.19890449999999998</v>
      </c>
      <c r="Q105" s="4">
        <f t="shared" si="6"/>
        <v>0.21004199999999998</v>
      </c>
      <c r="R105" s="4">
        <f t="shared" si="6"/>
        <v>0.1855395</v>
      </c>
      <c r="S105" s="4">
        <f t="shared" si="6"/>
        <v>0.20781450000000004</v>
      </c>
    </row>
    <row r="106" spans="9:19" x14ac:dyDescent="0.25">
      <c r="I106">
        <v>22</v>
      </c>
      <c r="J106" s="4">
        <f t="shared" si="6"/>
        <v>0.25904699999999997</v>
      </c>
      <c r="K106" s="4">
        <f t="shared" si="6"/>
        <v>0.24345450000000002</v>
      </c>
      <c r="L106" s="4">
        <f t="shared" si="6"/>
        <v>0.2389995</v>
      </c>
      <c r="M106" s="4">
        <f t="shared" si="6"/>
        <v>0.24790949999999998</v>
      </c>
      <c r="N106" s="4">
        <f t="shared" si="6"/>
        <v>0.232317</v>
      </c>
      <c r="O106" s="4">
        <f t="shared" si="6"/>
        <v>0.17662950000000002</v>
      </c>
      <c r="P106" s="4">
        <f t="shared" si="6"/>
        <v>0.13207950000000002</v>
      </c>
      <c r="Q106" s="4">
        <f t="shared" si="6"/>
        <v>0.17885699999999999</v>
      </c>
      <c r="R106" s="4">
        <f t="shared" si="6"/>
        <v>0.18331200000000003</v>
      </c>
      <c r="S106" s="4">
        <f t="shared" si="6"/>
        <v>0.19311300000000003</v>
      </c>
    </row>
    <row r="107" spans="9:19" x14ac:dyDescent="0.25">
      <c r="I107">
        <v>23</v>
      </c>
      <c r="J107" s="4">
        <f t="shared" si="6"/>
        <v>0.24122700000000002</v>
      </c>
      <c r="K107" s="4">
        <f t="shared" si="6"/>
        <v>0.23008950000000003</v>
      </c>
      <c r="L107" s="4">
        <f t="shared" si="6"/>
        <v>0.26350199999999996</v>
      </c>
      <c r="M107" s="4">
        <f t="shared" si="6"/>
        <v>0.27463949999999998</v>
      </c>
      <c r="N107" s="4">
        <f t="shared" si="6"/>
        <v>0.24568199999999998</v>
      </c>
      <c r="O107" s="4">
        <f t="shared" si="6"/>
        <v>0.17217450000000001</v>
      </c>
      <c r="P107" s="4">
        <f t="shared" si="6"/>
        <v>0.16326450000000001</v>
      </c>
      <c r="Q107" s="4">
        <f t="shared" si="6"/>
        <v>0.15880949999999999</v>
      </c>
      <c r="R107" s="4">
        <f t="shared" si="6"/>
        <v>0.16994700000000001</v>
      </c>
      <c r="S107" s="4">
        <f t="shared" si="6"/>
        <v>0.17106074999999998</v>
      </c>
    </row>
    <row r="108" spans="9:19" x14ac:dyDescent="0.25">
      <c r="I108">
        <v>24</v>
      </c>
      <c r="J108" s="4">
        <f t="shared" si="6"/>
        <v>0.16994700000000001</v>
      </c>
      <c r="K108" s="4">
        <f t="shared" si="6"/>
        <v>0.1365345</v>
      </c>
      <c r="L108" s="4">
        <f t="shared" si="6"/>
        <v>0.12316949999999999</v>
      </c>
      <c r="M108" s="4">
        <f t="shared" si="6"/>
        <v>0.11871450000000003</v>
      </c>
      <c r="N108" s="4">
        <f t="shared" si="6"/>
        <v>0.10312200000000001</v>
      </c>
      <c r="O108" s="4">
        <f t="shared" si="6"/>
        <v>8.3074499999999996E-2</v>
      </c>
      <c r="P108" s="4">
        <f t="shared" si="6"/>
        <v>8.0847000000000016E-2</v>
      </c>
      <c r="Q108" s="4">
        <f t="shared" si="6"/>
        <v>0.10312200000000001</v>
      </c>
      <c r="R108" s="4">
        <f t="shared" si="6"/>
        <v>0.14098950000000002</v>
      </c>
      <c r="S108" s="4">
        <f t="shared" si="6"/>
        <v>0.18086175000000002</v>
      </c>
    </row>
    <row r="109" spans="9:19" x14ac:dyDescent="0.25">
      <c r="I109">
        <v>31</v>
      </c>
      <c r="J109" s="4">
        <f t="shared" si="6"/>
        <v>0.27463949999999998</v>
      </c>
      <c r="K109" s="4">
        <f t="shared" si="6"/>
        <v>0.25904699999999997</v>
      </c>
      <c r="L109" s="4">
        <f t="shared" si="6"/>
        <v>0.25681949999999998</v>
      </c>
      <c r="M109" s="4">
        <f t="shared" si="6"/>
        <v>0.26572949999999995</v>
      </c>
      <c r="N109" s="4">
        <f t="shared" si="6"/>
        <v>0.26350199999999996</v>
      </c>
      <c r="O109" s="4">
        <f t="shared" si="6"/>
        <v>0.22340700000000002</v>
      </c>
      <c r="P109" s="4">
        <f t="shared" si="6"/>
        <v>0.16326450000000001</v>
      </c>
      <c r="Q109" s="4">
        <f t="shared" si="6"/>
        <v>0.147672</v>
      </c>
      <c r="R109" s="4">
        <f t="shared" si="6"/>
        <v>0.15212699999999998</v>
      </c>
      <c r="S109" s="4">
        <f t="shared" si="6"/>
        <v>0.16616025000000004</v>
      </c>
    </row>
    <row r="110" spans="9:19" x14ac:dyDescent="0.25">
      <c r="I110">
        <v>32</v>
      </c>
      <c r="J110" s="4">
        <f t="shared" si="6"/>
        <v>0.1944495</v>
      </c>
      <c r="K110" s="4">
        <f t="shared" si="6"/>
        <v>0.18108450000000001</v>
      </c>
      <c r="L110" s="4">
        <f t="shared" si="6"/>
        <v>0.16103699999999999</v>
      </c>
      <c r="M110" s="4">
        <f t="shared" si="6"/>
        <v>0.1454445</v>
      </c>
      <c r="N110" s="4">
        <f t="shared" si="6"/>
        <v>0.1365345</v>
      </c>
      <c r="O110" s="4">
        <f t="shared" si="6"/>
        <v>0.12539700000000001</v>
      </c>
      <c r="P110" s="4">
        <f t="shared" si="6"/>
        <v>0.13430700000000001</v>
      </c>
      <c r="Q110" s="4">
        <f t="shared" si="6"/>
        <v>0.16994700000000001</v>
      </c>
      <c r="R110" s="4">
        <f t="shared" si="6"/>
        <v>0.174402</v>
      </c>
      <c r="S110" s="4">
        <f t="shared" si="6"/>
        <v>0.18331200000000003</v>
      </c>
    </row>
    <row r="111" spans="9:19" x14ac:dyDescent="0.25">
      <c r="I111">
        <v>33</v>
      </c>
      <c r="J111" s="4">
        <f t="shared" si="6"/>
        <v>0.18999449999999996</v>
      </c>
      <c r="K111" s="4">
        <f t="shared" si="6"/>
        <v>0.18776700000000002</v>
      </c>
      <c r="L111" s="4">
        <f t="shared" si="6"/>
        <v>0.232317</v>
      </c>
      <c r="M111" s="4">
        <f t="shared" si="6"/>
        <v>0.25459199999999998</v>
      </c>
      <c r="N111" s="4">
        <f t="shared" si="6"/>
        <v>0.23454450000000002</v>
      </c>
      <c r="O111" s="4">
        <f t="shared" si="6"/>
        <v>0.21672450000000001</v>
      </c>
      <c r="P111" s="4">
        <f t="shared" si="6"/>
        <v>0.22340700000000002</v>
      </c>
      <c r="Q111" s="4">
        <f t="shared" si="6"/>
        <v>0.1944495</v>
      </c>
      <c r="R111" s="4">
        <f t="shared" si="6"/>
        <v>0.18108450000000001</v>
      </c>
      <c r="S111" s="4">
        <f t="shared" si="6"/>
        <v>0.18576225000000005</v>
      </c>
    </row>
    <row r="112" spans="9:19" x14ac:dyDescent="0.25">
      <c r="I112">
        <v>34</v>
      </c>
      <c r="J112" s="4">
        <f t="shared" si="6"/>
        <v>0.156582</v>
      </c>
      <c r="K112" s="4">
        <f t="shared" si="6"/>
        <v>0.16994700000000001</v>
      </c>
      <c r="L112" s="4">
        <f t="shared" si="6"/>
        <v>0.22340700000000002</v>
      </c>
      <c r="M112" s="4">
        <f t="shared" si="6"/>
        <v>0.24345450000000002</v>
      </c>
      <c r="N112" s="4">
        <f t="shared" si="6"/>
        <v>0.25236449999999999</v>
      </c>
      <c r="O112" s="4">
        <f t="shared" si="6"/>
        <v>0.24568199999999998</v>
      </c>
      <c r="P112" s="4">
        <f t="shared" si="6"/>
        <v>0.24122700000000002</v>
      </c>
      <c r="Q112" s="4">
        <f t="shared" si="6"/>
        <v>0.19222199999999998</v>
      </c>
      <c r="R112" s="4">
        <f t="shared" si="6"/>
        <v>0.147672</v>
      </c>
      <c r="S112" s="4">
        <f t="shared" si="6"/>
        <v>0.16125975000000004</v>
      </c>
    </row>
    <row r="113" spans="9:19" x14ac:dyDescent="0.25">
      <c r="I113">
        <v>41</v>
      </c>
      <c r="J113" s="4">
        <f t="shared" si="6"/>
        <v>0.21449699999999999</v>
      </c>
      <c r="K113" s="4">
        <f t="shared" si="6"/>
        <v>0.23008950000000003</v>
      </c>
      <c r="L113" s="4">
        <f t="shared" si="6"/>
        <v>0.28354950000000001</v>
      </c>
      <c r="M113" s="4">
        <f t="shared" si="6"/>
        <v>0.26572949999999995</v>
      </c>
      <c r="N113" s="4">
        <f t="shared" si="6"/>
        <v>0.27686699999999997</v>
      </c>
      <c r="O113" s="4">
        <f t="shared" si="6"/>
        <v>0.27241199999999993</v>
      </c>
      <c r="P113" s="4">
        <f t="shared" si="6"/>
        <v>0.1944495</v>
      </c>
      <c r="Q113" s="4">
        <f t="shared" si="6"/>
        <v>0.165492</v>
      </c>
      <c r="R113" s="4">
        <f t="shared" si="6"/>
        <v>0.17217450000000001</v>
      </c>
      <c r="S113" s="4">
        <f t="shared" si="6"/>
        <v>0.18576225000000005</v>
      </c>
    </row>
    <row r="114" spans="9:19" x14ac:dyDescent="0.25">
      <c r="I114">
        <v>42</v>
      </c>
      <c r="J114" s="4">
        <f t="shared" si="6"/>
        <v>0.22340700000000002</v>
      </c>
      <c r="K114" s="4">
        <f t="shared" si="6"/>
        <v>0.21895199999999998</v>
      </c>
      <c r="L114" s="4">
        <f t="shared" si="6"/>
        <v>0.24568199999999998</v>
      </c>
      <c r="M114" s="4">
        <f t="shared" si="6"/>
        <v>0.2389995</v>
      </c>
      <c r="N114" s="4">
        <f t="shared" si="6"/>
        <v>0.26350199999999996</v>
      </c>
      <c r="O114" s="4">
        <f t="shared" si="6"/>
        <v>0.20558699999999999</v>
      </c>
      <c r="P114" s="4">
        <f t="shared" si="6"/>
        <v>0.156582</v>
      </c>
      <c r="Q114" s="4">
        <f t="shared" si="6"/>
        <v>0.14989949999999999</v>
      </c>
      <c r="R114" s="4">
        <f t="shared" si="6"/>
        <v>0.17662950000000002</v>
      </c>
      <c r="S114" s="4">
        <f t="shared" si="6"/>
        <v>0.18331200000000003</v>
      </c>
    </row>
    <row r="115" spans="9:19" x14ac:dyDescent="0.25">
      <c r="I115">
        <v>43</v>
      </c>
      <c r="J115" s="4">
        <f t="shared" si="6"/>
        <v>0.232317</v>
      </c>
      <c r="K115" s="4">
        <f t="shared" si="6"/>
        <v>0.21895199999999998</v>
      </c>
      <c r="L115" s="4">
        <f t="shared" si="6"/>
        <v>0.24345450000000002</v>
      </c>
      <c r="M115" s="4">
        <f t="shared" si="6"/>
        <v>0.20558699999999999</v>
      </c>
      <c r="N115" s="4">
        <f t="shared" si="6"/>
        <v>0.21895199999999998</v>
      </c>
      <c r="O115" s="4">
        <f t="shared" si="6"/>
        <v>0.2122695</v>
      </c>
      <c r="P115" s="4">
        <f t="shared" si="6"/>
        <v>0.21672450000000001</v>
      </c>
      <c r="Q115" s="4">
        <f t="shared" si="6"/>
        <v>0.165492</v>
      </c>
      <c r="R115" s="4">
        <f t="shared" si="6"/>
        <v>0.1454445</v>
      </c>
      <c r="S115" s="4">
        <f t="shared" si="6"/>
        <v>0.16616025000000004</v>
      </c>
    </row>
    <row r="116" spans="9:19" x14ac:dyDescent="0.25">
      <c r="I116">
        <v>44</v>
      </c>
      <c r="J116" s="4">
        <f t="shared" ref="J116:S116" si="7">IF(J88&lt;0,"",J88/100)</f>
        <v>0.17885699999999999</v>
      </c>
      <c r="K116" s="4">
        <f t="shared" si="7"/>
        <v>0.18776700000000002</v>
      </c>
      <c r="L116" s="4">
        <f t="shared" si="7"/>
        <v>0.25904699999999997</v>
      </c>
      <c r="M116" s="4">
        <f t="shared" si="7"/>
        <v>0.24568199999999998</v>
      </c>
      <c r="N116" s="4">
        <f t="shared" si="7"/>
        <v>0.26572949999999995</v>
      </c>
      <c r="O116" s="4">
        <f t="shared" si="7"/>
        <v>0.24568199999999998</v>
      </c>
      <c r="P116" s="4">
        <f t="shared" si="7"/>
        <v>0.24122700000000002</v>
      </c>
      <c r="Q116" s="4">
        <f t="shared" si="7"/>
        <v>0.16771949999999999</v>
      </c>
      <c r="R116" s="4">
        <f t="shared" si="7"/>
        <v>0.129852</v>
      </c>
      <c r="S116" s="4">
        <f t="shared" si="7"/>
        <v>0.15390900000000002</v>
      </c>
    </row>
    <row r="117" spans="9:19" x14ac:dyDescent="0.25">
      <c r="I117">
        <v>51</v>
      </c>
      <c r="J117" s="4">
        <f t="shared" ref="J117:S123" si="8">IF(J89&lt;0,"",J89/100)</f>
        <v>0.27686699999999997</v>
      </c>
      <c r="K117" s="4">
        <f t="shared" si="8"/>
        <v>0.26350199999999996</v>
      </c>
      <c r="L117" s="4">
        <f t="shared" si="8"/>
        <v>0.26572949999999995</v>
      </c>
      <c r="M117" s="4">
        <f t="shared" si="8"/>
        <v>0.26572949999999995</v>
      </c>
      <c r="N117" s="4">
        <f t="shared" si="8"/>
        <v>0.23677200000000004</v>
      </c>
      <c r="O117" s="4">
        <f t="shared" si="8"/>
        <v>0.22786200000000001</v>
      </c>
      <c r="P117" s="4">
        <f t="shared" si="8"/>
        <v>0.19222199999999998</v>
      </c>
      <c r="Q117" s="4">
        <f t="shared" si="8"/>
        <v>0.18108450000000001</v>
      </c>
      <c r="R117" s="4">
        <f t="shared" si="8"/>
        <v>0.19222199999999998</v>
      </c>
      <c r="S117" s="4">
        <f t="shared" si="8"/>
        <v>0.21271500000000004</v>
      </c>
    </row>
    <row r="118" spans="9:19" x14ac:dyDescent="0.25">
      <c r="I118">
        <v>52</v>
      </c>
      <c r="J118" s="4">
        <f t="shared" si="8"/>
        <v>0.25459199999999998</v>
      </c>
      <c r="K118" s="4">
        <f t="shared" si="8"/>
        <v>0.24345450000000002</v>
      </c>
      <c r="L118" s="4">
        <f t="shared" si="8"/>
        <v>0.27463949999999998</v>
      </c>
      <c r="M118" s="4">
        <f t="shared" si="8"/>
        <v>0.28132200000000002</v>
      </c>
      <c r="N118" s="4">
        <f t="shared" si="8"/>
        <v>0.28354950000000001</v>
      </c>
      <c r="O118" s="4">
        <f t="shared" si="8"/>
        <v>0.25904699999999997</v>
      </c>
      <c r="P118" s="4">
        <f t="shared" si="8"/>
        <v>0.24122700000000002</v>
      </c>
      <c r="Q118" s="4">
        <f t="shared" si="8"/>
        <v>0.174402</v>
      </c>
      <c r="R118" s="4">
        <f t="shared" si="8"/>
        <v>0.16771949999999999</v>
      </c>
      <c r="S118" s="4">
        <f t="shared" si="8"/>
        <v>0.18576225000000005</v>
      </c>
    </row>
    <row r="119" spans="9:19" x14ac:dyDescent="0.25">
      <c r="I119">
        <v>53</v>
      </c>
      <c r="J119" s="4">
        <f t="shared" si="8"/>
        <v>0.25013699999999994</v>
      </c>
      <c r="K119" s="4">
        <f t="shared" si="8"/>
        <v>0.23677200000000004</v>
      </c>
      <c r="L119" s="4">
        <f t="shared" si="8"/>
        <v>0.26572949999999995</v>
      </c>
      <c r="M119" s="4">
        <f t="shared" si="8"/>
        <v>0.28132200000000002</v>
      </c>
      <c r="N119" s="4">
        <f t="shared" si="8"/>
        <v>0.27241199999999993</v>
      </c>
      <c r="O119" s="4">
        <f t="shared" si="8"/>
        <v>0.26127450000000002</v>
      </c>
      <c r="P119" s="4">
        <f t="shared" si="8"/>
        <v>0.232317</v>
      </c>
      <c r="Q119" s="4">
        <f t="shared" si="8"/>
        <v>0.14098950000000002</v>
      </c>
      <c r="R119" s="4">
        <f t="shared" si="8"/>
        <v>0.1365345</v>
      </c>
      <c r="S119" s="4">
        <f t="shared" si="8"/>
        <v>0.14410800000000001</v>
      </c>
    </row>
    <row r="120" spans="9:19" x14ac:dyDescent="0.25">
      <c r="I120">
        <v>54</v>
      </c>
      <c r="J120" s="4">
        <f t="shared" si="8"/>
        <v>0.24568199999999998</v>
      </c>
      <c r="K120" s="4">
        <f t="shared" si="8"/>
        <v>0.2389995</v>
      </c>
      <c r="L120" s="4">
        <f t="shared" si="8"/>
        <v>0.232317</v>
      </c>
      <c r="M120" s="4">
        <f t="shared" si="8"/>
        <v>0.26350199999999996</v>
      </c>
      <c r="N120" s="4">
        <f t="shared" si="8"/>
        <v>0.27463949999999998</v>
      </c>
      <c r="O120" s="4">
        <f t="shared" si="8"/>
        <v>0.267957</v>
      </c>
      <c r="P120" s="4">
        <f t="shared" si="8"/>
        <v>0.23008950000000003</v>
      </c>
      <c r="Q120" s="4">
        <f t="shared" si="8"/>
        <v>0.16994700000000001</v>
      </c>
      <c r="R120" s="4">
        <f t="shared" si="8"/>
        <v>0.13207950000000002</v>
      </c>
      <c r="S120" s="4">
        <f t="shared" si="8"/>
        <v>0.18331200000000003</v>
      </c>
    </row>
    <row r="121" spans="9:19" x14ac:dyDescent="0.25">
      <c r="I121">
        <v>61</v>
      </c>
      <c r="J121" s="4">
        <f t="shared" si="8"/>
        <v>0.21004199999999998</v>
      </c>
      <c r="K121" s="4">
        <f t="shared" si="8"/>
        <v>0.16994700000000001</v>
      </c>
      <c r="L121" s="4">
        <f t="shared" si="8"/>
        <v>0.18108450000000001</v>
      </c>
      <c r="M121" s="4">
        <f t="shared" si="8"/>
        <v>0.2122695</v>
      </c>
      <c r="N121" s="4">
        <f t="shared" si="8"/>
        <v>0.22340700000000002</v>
      </c>
      <c r="O121" s="4">
        <f t="shared" si="8"/>
        <v>0.19222199999999998</v>
      </c>
      <c r="P121" s="4">
        <f t="shared" si="8"/>
        <v>0.18331200000000003</v>
      </c>
      <c r="Q121" s="4">
        <f t="shared" si="8"/>
        <v>0.17217450000000001</v>
      </c>
      <c r="R121" s="4">
        <f t="shared" si="8"/>
        <v>0.16994700000000001</v>
      </c>
      <c r="S121" s="4">
        <f t="shared" si="8"/>
        <v>0.17106074999999998</v>
      </c>
    </row>
    <row r="122" spans="9:19" x14ac:dyDescent="0.25">
      <c r="I122">
        <v>62</v>
      </c>
      <c r="J122" s="4">
        <f t="shared" si="8"/>
        <v>0.232317</v>
      </c>
      <c r="K122" s="4">
        <f t="shared" si="8"/>
        <v>0.24568199999999998</v>
      </c>
      <c r="L122" s="4">
        <f t="shared" si="8"/>
        <v>0.25681949999999998</v>
      </c>
      <c r="M122" s="4">
        <f t="shared" si="8"/>
        <v>0.20558699999999999</v>
      </c>
      <c r="N122" s="4">
        <f t="shared" si="8"/>
        <v>0.21004199999999998</v>
      </c>
      <c r="O122" s="4">
        <f t="shared" si="8"/>
        <v>0.23008950000000003</v>
      </c>
      <c r="P122" s="4">
        <f t="shared" si="8"/>
        <v>0.15212699999999998</v>
      </c>
      <c r="Q122" s="4">
        <f t="shared" si="8"/>
        <v>0.147672</v>
      </c>
      <c r="R122" s="4">
        <f t="shared" si="8"/>
        <v>0.17662950000000002</v>
      </c>
      <c r="S122" s="4">
        <f t="shared" si="8"/>
        <v>0.19556325000000005</v>
      </c>
    </row>
    <row r="123" spans="9:19" x14ac:dyDescent="0.25">
      <c r="I123">
        <v>63</v>
      </c>
      <c r="J123" s="4">
        <f t="shared" si="8"/>
        <v>0.267957</v>
      </c>
      <c r="K123" s="4">
        <f t="shared" si="8"/>
        <v>0.23677200000000004</v>
      </c>
      <c r="L123" s="4">
        <f t="shared" si="8"/>
        <v>0.22786200000000001</v>
      </c>
      <c r="M123" s="4">
        <f t="shared" si="8"/>
        <v>0.21449699999999999</v>
      </c>
      <c r="N123" s="4">
        <f t="shared" si="8"/>
        <v>0.22340700000000002</v>
      </c>
      <c r="O123" s="4">
        <f t="shared" si="8"/>
        <v>0.22563449999999999</v>
      </c>
      <c r="P123" s="4">
        <f t="shared" si="8"/>
        <v>0.174402</v>
      </c>
      <c r="Q123" s="4">
        <f t="shared" si="8"/>
        <v>0.14321700000000001</v>
      </c>
      <c r="R123" s="4">
        <f t="shared" si="8"/>
        <v>0.14321700000000001</v>
      </c>
      <c r="S123" s="4">
        <f t="shared" si="8"/>
        <v>0.1686105</v>
      </c>
    </row>
    <row r="124" spans="9:19" x14ac:dyDescent="0.25">
      <c r="I124">
        <v>64</v>
      </c>
      <c r="J124" s="4">
        <f t="shared" ref="J124:S124" si="9">IF(J96&lt;0,"",J96/100)</f>
        <v>0.267957</v>
      </c>
      <c r="K124" s="4">
        <f t="shared" si="9"/>
        <v>0.25681949999999998</v>
      </c>
      <c r="L124" s="4">
        <f t="shared" si="9"/>
        <v>0.21895199999999998</v>
      </c>
      <c r="M124" s="4">
        <f t="shared" si="9"/>
        <v>0.23454450000000002</v>
      </c>
      <c r="N124" s="4">
        <f t="shared" si="9"/>
        <v>0.25681949999999998</v>
      </c>
      <c r="O124" s="4">
        <f t="shared" si="9"/>
        <v>0.2389995</v>
      </c>
      <c r="P124" s="4">
        <f t="shared" si="9"/>
        <v>0.1944495</v>
      </c>
      <c r="Q124" s="4">
        <f t="shared" si="9"/>
        <v>0.12539700000000001</v>
      </c>
      <c r="R124" s="4">
        <f t="shared" si="9"/>
        <v>0.12316949999999999</v>
      </c>
      <c r="S124" s="4">
        <f t="shared" si="9"/>
        <v>0.17351100000000003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8F64-2A56-4D0F-B908-A8F2EA3C2715}">
  <dimension ref="A1:T124"/>
  <sheetViews>
    <sheetView topLeftCell="F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10363</v>
      </c>
      <c r="F1">
        <v>0</v>
      </c>
      <c r="G1">
        <v>10</v>
      </c>
      <c r="H1">
        <v>1827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7</v>
      </c>
      <c r="G18">
        <v>20</v>
      </c>
      <c r="H18">
        <v>6</v>
      </c>
      <c r="I18">
        <v>13</v>
      </c>
      <c r="J18">
        <v>1.07</v>
      </c>
      <c r="K18">
        <v>1.1299999999999999</v>
      </c>
      <c r="L18">
        <v>1.24</v>
      </c>
      <c r="M18">
        <v>1.43</v>
      </c>
      <c r="N18">
        <v>1.26</v>
      </c>
      <c r="O18">
        <v>1.28</v>
      </c>
      <c r="P18">
        <v>1.24</v>
      </c>
      <c r="Q18">
        <v>1.29</v>
      </c>
      <c r="R18">
        <v>1.33</v>
      </c>
      <c r="S18">
        <v>1.23</v>
      </c>
      <c r="T18">
        <v>3724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7</v>
      </c>
      <c r="G19">
        <v>20</v>
      </c>
      <c r="H19">
        <v>6</v>
      </c>
      <c r="I19">
        <v>17</v>
      </c>
      <c r="J19">
        <v>1.32</v>
      </c>
      <c r="K19">
        <v>1.35</v>
      </c>
      <c r="L19">
        <v>1.17</v>
      </c>
      <c r="M19">
        <v>1.1499999999999999</v>
      </c>
      <c r="N19">
        <v>1.06</v>
      </c>
      <c r="O19">
        <v>1.07</v>
      </c>
      <c r="P19">
        <v>0.99</v>
      </c>
      <c r="Q19">
        <v>1.17</v>
      </c>
      <c r="R19">
        <v>1.04</v>
      </c>
      <c r="S19">
        <v>0.82</v>
      </c>
      <c r="T19">
        <v>3735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7</v>
      </c>
      <c r="G20">
        <v>20</v>
      </c>
      <c r="H20">
        <v>6</v>
      </c>
      <c r="I20">
        <v>22</v>
      </c>
      <c r="J20">
        <v>1.22</v>
      </c>
      <c r="K20">
        <v>1.18</v>
      </c>
      <c r="L20">
        <v>1.23</v>
      </c>
      <c r="M20">
        <v>1.35</v>
      </c>
      <c r="N20">
        <v>1.39</v>
      </c>
      <c r="O20">
        <v>1.3</v>
      </c>
      <c r="P20">
        <v>1.0900000000000001</v>
      </c>
      <c r="Q20">
        <v>1.08</v>
      </c>
      <c r="R20">
        <v>1.23</v>
      </c>
      <c r="S20">
        <v>1.18</v>
      </c>
      <c r="T20">
        <v>3724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7</v>
      </c>
      <c r="G21">
        <v>20</v>
      </c>
      <c r="H21">
        <v>6</v>
      </c>
      <c r="I21">
        <v>26</v>
      </c>
      <c r="J21">
        <v>1.41</v>
      </c>
      <c r="K21">
        <v>1.39</v>
      </c>
      <c r="L21">
        <v>1.43</v>
      </c>
      <c r="M21">
        <v>1.41</v>
      </c>
      <c r="N21">
        <v>1.26</v>
      </c>
      <c r="O21">
        <v>1.21</v>
      </c>
      <c r="P21">
        <v>1.2</v>
      </c>
      <c r="Q21">
        <v>1.1200000000000001</v>
      </c>
      <c r="R21">
        <v>1.1599999999999999</v>
      </c>
      <c r="S21">
        <v>1.1200000000000001</v>
      </c>
      <c r="T21">
        <v>3710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7</v>
      </c>
      <c r="G22">
        <v>20</v>
      </c>
      <c r="H22">
        <v>6</v>
      </c>
      <c r="I22">
        <v>30</v>
      </c>
      <c r="J22">
        <v>0.98</v>
      </c>
      <c r="K22">
        <v>0.86</v>
      </c>
      <c r="L22">
        <v>0.82</v>
      </c>
      <c r="M22">
        <v>0.76</v>
      </c>
      <c r="N22">
        <v>0.68</v>
      </c>
      <c r="O22">
        <v>0.62</v>
      </c>
      <c r="P22">
        <v>0.64</v>
      </c>
      <c r="Q22">
        <v>0.72</v>
      </c>
      <c r="R22">
        <v>0.88</v>
      </c>
      <c r="S22">
        <v>1.08</v>
      </c>
      <c r="T22">
        <v>3759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7</v>
      </c>
      <c r="G23">
        <v>20</v>
      </c>
      <c r="H23">
        <v>6</v>
      </c>
      <c r="I23">
        <v>34</v>
      </c>
      <c r="J23">
        <v>1.35</v>
      </c>
      <c r="K23">
        <v>1.32</v>
      </c>
      <c r="L23">
        <v>1.45</v>
      </c>
      <c r="M23">
        <v>1.5</v>
      </c>
      <c r="N23">
        <v>1.32</v>
      </c>
      <c r="O23">
        <v>1.04</v>
      </c>
      <c r="P23">
        <v>0.97</v>
      </c>
      <c r="Q23">
        <v>0.98</v>
      </c>
      <c r="R23">
        <v>1.05</v>
      </c>
      <c r="S23">
        <v>0.97</v>
      </c>
      <c r="T23">
        <v>3746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7</v>
      </c>
      <c r="G24">
        <v>20</v>
      </c>
      <c r="H24">
        <v>6</v>
      </c>
      <c r="I24">
        <v>30</v>
      </c>
      <c r="J24">
        <v>1.4</v>
      </c>
      <c r="K24">
        <v>1.35</v>
      </c>
      <c r="L24">
        <v>1.34</v>
      </c>
      <c r="M24">
        <v>1.36</v>
      </c>
      <c r="N24">
        <v>1.29</v>
      </c>
      <c r="O24">
        <v>1.04</v>
      </c>
      <c r="P24">
        <v>0.83</v>
      </c>
      <c r="Q24">
        <v>1.05</v>
      </c>
      <c r="R24">
        <v>1.08</v>
      </c>
      <c r="S24">
        <v>1.07</v>
      </c>
      <c r="T24">
        <v>3734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7</v>
      </c>
      <c r="G25">
        <v>20</v>
      </c>
      <c r="H25">
        <v>6</v>
      </c>
      <c r="I25">
        <v>42</v>
      </c>
      <c r="J25">
        <v>1.46</v>
      </c>
      <c r="K25">
        <v>1.33</v>
      </c>
      <c r="L25">
        <v>1.39</v>
      </c>
      <c r="M25">
        <v>1.35</v>
      </c>
      <c r="N25">
        <v>1.36</v>
      </c>
      <c r="O25">
        <v>1.36</v>
      </c>
      <c r="P25">
        <v>1.1399999999999999</v>
      </c>
      <c r="Q25">
        <v>1.22</v>
      </c>
      <c r="R25">
        <v>1.18</v>
      </c>
      <c r="S25">
        <v>1.18</v>
      </c>
      <c r="T25">
        <v>3742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7</v>
      </c>
      <c r="G26">
        <v>20</v>
      </c>
      <c r="H26">
        <v>6</v>
      </c>
      <c r="I26">
        <v>47</v>
      </c>
      <c r="J26">
        <v>1.51</v>
      </c>
      <c r="K26">
        <v>1.41</v>
      </c>
      <c r="L26">
        <v>1.42</v>
      </c>
      <c r="M26">
        <v>1.44</v>
      </c>
      <c r="N26">
        <v>1.42</v>
      </c>
      <c r="O26">
        <v>1.29</v>
      </c>
      <c r="P26">
        <v>1.02</v>
      </c>
      <c r="Q26">
        <v>1.08</v>
      </c>
      <c r="R26">
        <v>1.19</v>
      </c>
      <c r="S26">
        <v>1.17</v>
      </c>
      <c r="T26">
        <v>3735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7</v>
      </c>
      <c r="G27">
        <v>20</v>
      </c>
      <c r="H27">
        <v>6</v>
      </c>
      <c r="I27">
        <v>51</v>
      </c>
      <c r="J27">
        <v>1.1200000000000001</v>
      </c>
      <c r="K27">
        <v>1.06</v>
      </c>
      <c r="L27">
        <v>0.97</v>
      </c>
      <c r="M27">
        <v>0.92</v>
      </c>
      <c r="N27">
        <v>0.87</v>
      </c>
      <c r="O27">
        <v>0.8</v>
      </c>
      <c r="P27">
        <v>0.83</v>
      </c>
      <c r="Q27">
        <v>1.03</v>
      </c>
      <c r="R27">
        <v>1.03</v>
      </c>
      <c r="S27">
        <v>1.1100000000000001</v>
      </c>
      <c r="T27">
        <v>3732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7</v>
      </c>
      <c r="G28">
        <v>20</v>
      </c>
      <c r="H28">
        <v>6</v>
      </c>
      <c r="I28">
        <v>55</v>
      </c>
      <c r="J28">
        <v>1.08</v>
      </c>
      <c r="K28">
        <v>1.0900000000000001</v>
      </c>
      <c r="L28">
        <v>1.34</v>
      </c>
      <c r="M28">
        <v>1.41</v>
      </c>
      <c r="N28">
        <v>1.34</v>
      </c>
      <c r="O28">
        <v>1.22</v>
      </c>
      <c r="P28">
        <v>1.28</v>
      </c>
      <c r="Q28">
        <v>1.21</v>
      </c>
      <c r="R28">
        <v>1.29</v>
      </c>
      <c r="S28">
        <v>1.23</v>
      </c>
      <c r="T28">
        <v>3731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7</v>
      </c>
      <c r="G29">
        <v>20</v>
      </c>
      <c r="H29">
        <v>6</v>
      </c>
      <c r="I29">
        <v>51</v>
      </c>
      <c r="J29">
        <v>0.97</v>
      </c>
      <c r="K29">
        <v>1.02</v>
      </c>
      <c r="L29">
        <v>1.25</v>
      </c>
      <c r="M29">
        <v>1.34</v>
      </c>
      <c r="N29">
        <v>1.37</v>
      </c>
      <c r="O29">
        <v>1.39</v>
      </c>
      <c r="P29">
        <v>1.27</v>
      </c>
      <c r="Q29">
        <v>1.1299999999999999</v>
      </c>
      <c r="R29">
        <v>0.99</v>
      </c>
      <c r="S29">
        <v>0.96</v>
      </c>
      <c r="T29">
        <v>3754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7</v>
      </c>
      <c r="G30">
        <v>20</v>
      </c>
      <c r="H30">
        <v>7</v>
      </c>
      <c r="I30">
        <v>3</v>
      </c>
      <c r="J30">
        <v>1.08</v>
      </c>
      <c r="K30">
        <v>1.1200000000000001</v>
      </c>
      <c r="L30">
        <v>1.43</v>
      </c>
      <c r="M30">
        <v>1.39</v>
      </c>
      <c r="N30">
        <v>1.43</v>
      </c>
      <c r="O30">
        <v>1.37</v>
      </c>
      <c r="P30">
        <v>1.34</v>
      </c>
      <c r="Q30">
        <v>1.01</v>
      </c>
      <c r="R30">
        <v>0.86</v>
      </c>
      <c r="S30">
        <v>0.89</v>
      </c>
      <c r="T30">
        <v>3738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7</v>
      </c>
      <c r="G31">
        <v>20</v>
      </c>
      <c r="H31">
        <v>7</v>
      </c>
      <c r="I31">
        <v>0</v>
      </c>
      <c r="J31">
        <v>1.29</v>
      </c>
      <c r="K31">
        <v>1.26</v>
      </c>
      <c r="L31">
        <v>1.38</v>
      </c>
      <c r="M31">
        <v>1.18</v>
      </c>
      <c r="N31">
        <v>1.23</v>
      </c>
      <c r="O31">
        <v>1.22</v>
      </c>
      <c r="P31">
        <v>1.25</v>
      </c>
      <c r="Q31">
        <v>0.96</v>
      </c>
      <c r="R31">
        <v>0.92</v>
      </c>
      <c r="S31">
        <v>0.92</v>
      </c>
      <c r="T31">
        <v>3737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7</v>
      </c>
      <c r="G32">
        <v>20</v>
      </c>
      <c r="H32">
        <v>7</v>
      </c>
      <c r="I32">
        <v>12</v>
      </c>
      <c r="J32">
        <v>1.24</v>
      </c>
      <c r="K32">
        <v>1.25</v>
      </c>
      <c r="L32">
        <v>1.34</v>
      </c>
      <c r="M32">
        <v>1.3</v>
      </c>
      <c r="N32">
        <v>1.44</v>
      </c>
      <c r="O32">
        <v>1.1599999999999999</v>
      </c>
      <c r="P32">
        <v>0.92</v>
      </c>
      <c r="Q32">
        <v>0.93</v>
      </c>
      <c r="R32">
        <v>1.02</v>
      </c>
      <c r="S32">
        <v>1.02</v>
      </c>
      <c r="T32">
        <v>3711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7</v>
      </c>
      <c r="G33">
        <v>20</v>
      </c>
      <c r="H33">
        <v>7</v>
      </c>
      <c r="I33">
        <v>17</v>
      </c>
      <c r="J33">
        <v>1.23</v>
      </c>
      <c r="K33">
        <v>1.31</v>
      </c>
      <c r="L33">
        <v>1.55</v>
      </c>
      <c r="M33">
        <v>1.47</v>
      </c>
      <c r="N33">
        <v>1.49</v>
      </c>
      <c r="O33">
        <v>1.49</v>
      </c>
      <c r="P33">
        <v>1.1100000000000001</v>
      </c>
      <c r="Q33">
        <v>1</v>
      </c>
      <c r="R33">
        <v>1.02</v>
      </c>
      <c r="S33">
        <v>1.02</v>
      </c>
      <c r="T33">
        <v>3673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7</v>
      </c>
      <c r="G34">
        <v>20</v>
      </c>
      <c r="H34">
        <v>7</v>
      </c>
      <c r="I34">
        <v>23</v>
      </c>
      <c r="J34">
        <v>1.48</v>
      </c>
      <c r="K34">
        <v>1.45</v>
      </c>
      <c r="L34">
        <v>1.43</v>
      </c>
      <c r="M34">
        <v>1.47</v>
      </c>
      <c r="N34">
        <v>1.35</v>
      </c>
      <c r="O34">
        <v>1.26</v>
      </c>
      <c r="P34">
        <v>1.18</v>
      </c>
      <c r="Q34">
        <v>1.24</v>
      </c>
      <c r="R34">
        <v>1.3</v>
      </c>
      <c r="S34">
        <v>1.26</v>
      </c>
      <c r="T34">
        <v>3697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7</v>
      </c>
      <c r="G35">
        <v>20</v>
      </c>
      <c r="H35">
        <v>7</v>
      </c>
      <c r="I35">
        <v>27</v>
      </c>
      <c r="J35">
        <v>1.42</v>
      </c>
      <c r="K35">
        <v>1.38</v>
      </c>
      <c r="L35">
        <v>1.49</v>
      </c>
      <c r="M35">
        <v>1.57</v>
      </c>
      <c r="N35">
        <v>1.59</v>
      </c>
      <c r="O35">
        <v>1.38</v>
      </c>
      <c r="P35">
        <v>1.34</v>
      </c>
      <c r="Q35">
        <v>1.2</v>
      </c>
      <c r="R35">
        <v>1.1499999999999999</v>
      </c>
      <c r="S35">
        <v>1.17</v>
      </c>
      <c r="T35">
        <v>3709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7</v>
      </c>
      <c r="G36">
        <v>20</v>
      </c>
      <c r="H36">
        <v>7</v>
      </c>
      <c r="I36">
        <v>32</v>
      </c>
      <c r="J36">
        <v>1.39</v>
      </c>
      <c r="K36">
        <v>1.38</v>
      </c>
      <c r="L36">
        <v>1.41</v>
      </c>
      <c r="M36">
        <v>1.53</v>
      </c>
      <c r="N36">
        <v>1.47</v>
      </c>
      <c r="O36">
        <v>1.41</v>
      </c>
      <c r="P36">
        <v>1.26</v>
      </c>
      <c r="Q36">
        <v>0.88</v>
      </c>
      <c r="R36">
        <v>0.85</v>
      </c>
      <c r="S36">
        <v>0.84</v>
      </c>
      <c r="T36">
        <v>3712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7</v>
      </c>
      <c r="G37">
        <v>20</v>
      </c>
      <c r="H37">
        <v>7</v>
      </c>
      <c r="I37">
        <v>36</v>
      </c>
      <c r="J37">
        <v>1.34</v>
      </c>
      <c r="K37">
        <v>1.35</v>
      </c>
      <c r="L37">
        <v>1.31</v>
      </c>
      <c r="M37">
        <v>1.47</v>
      </c>
      <c r="N37">
        <v>1.47</v>
      </c>
      <c r="O37">
        <v>1.42</v>
      </c>
      <c r="P37">
        <v>1.23</v>
      </c>
      <c r="Q37">
        <v>0.98</v>
      </c>
      <c r="R37">
        <v>0.88</v>
      </c>
      <c r="S37">
        <v>1.1000000000000001</v>
      </c>
      <c r="T37">
        <v>3701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7</v>
      </c>
      <c r="G38">
        <v>20</v>
      </c>
      <c r="H38">
        <v>7</v>
      </c>
      <c r="I38">
        <v>40</v>
      </c>
      <c r="J38">
        <v>1.49</v>
      </c>
      <c r="K38">
        <v>1.41</v>
      </c>
      <c r="L38">
        <v>1.24</v>
      </c>
      <c r="M38">
        <v>1.34</v>
      </c>
      <c r="N38">
        <v>1.41</v>
      </c>
      <c r="O38">
        <v>1.32</v>
      </c>
      <c r="P38">
        <v>1.1200000000000001</v>
      </c>
      <c r="Q38">
        <v>0.81</v>
      </c>
      <c r="R38">
        <v>0.83</v>
      </c>
      <c r="S38">
        <v>1.02</v>
      </c>
      <c r="T38">
        <v>3675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7</v>
      </c>
      <c r="G39">
        <v>20</v>
      </c>
      <c r="H39">
        <v>7</v>
      </c>
      <c r="I39">
        <v>44</v>
      </c>
      <c r="J39">
        <v>1.47</v>
      </c>
      <c r="K39">
        <v>1.33</v>
      </c>
      <c r="L39">
        <v>1.28</v>
      </c>
      <c r="M39">
        <v>1.21</v>
      </c>
      <c r="N39">
        <v>1.28</v>
      </c>
      <c r="O39">
        <v>1.28</v>
      </c>
      <c r="P39">
        <v>1.06</v>
      </c>
      <c r="Q39">
        <v>0.93</v>
      </c>
      <c r="R39">
        <v>0.91</v>
      </c>
      <c r="S39">
        <v>0.99</v>
      </c>
      <c r="T39">
        <v>3704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7</v>
      </c>
      <c r="G40">
        <v>20</v>
      </c>
      <c r="H40">
        <v>7</v>
      </c>
      <c r="I40">
        <v>40</v>
      </c>
      <c r="J40">
        <v>1.35</v>
      </c>
      <c r="K40">
        <v>1.36</v>
      </c>
      <c r="L40">
        <v>1.43</v>
      </c>
      <c r="M40">
        <v>1.18</v>
      </c>
      <c r="N40">
        <v>1.2</v>
      </c>
      <c r="O40">
        <v>1.2</v>
      </c>
      <c r="P40">
        <v>0.88</v>
      </c>
      <c r="Q40">
        <v>0.91</v>
      </c>
      <c r="R40">
        <v>1.0900000000000001</v>
      </c>
      <c r="S40">
        <v>1.1399999999999999</v>
      </c>
      <c r="T40">
        <v>3680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7</v>
      </c>
      <c r="G41">
        <v>20</v>
      </c>
      <c r="H41">
        <v>7</v>
      </c>
      <c r="I41">
        <v>52</v>
      </c>
      <c r="J41">
        <v>1.24</v>
      </c>
      <c r="K41">
        <v>1.03</v>
      </c>
      <c r="L41">
        <v>1.08</v>
      </c>
      <c r="M41">
        <v>1.23</v>
      </c>
      <c r="N41">
        <v>1.3</v>
      </c>
      <c r="O41">
        <v>1.1200000000000001</v>
      </c>
      <c r="P41">
        <v>1.07</v>
      </c>
      <c r="Q41">
        <v>1.04</v>
      </c>
      <c r="R41">
        <v>1.04</v>
      </c>
      <c r="S41">
        <v>0.96</v>
      </c>
      <c r="T41">
        <v>3662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7</v>
      </c>
      <c r="G45">
        <v>20</v>
      </c>
      <c r="H45">
        <v>6</v>
      </c>
      <c r="I45">
        <v>13</v>
      </c>
      <c r="J45">
        <v>1.07</v>
      </c>
      <c r="K45">
        <v>1.1299999999999999</v>
      </c>
      <c r="L45">
        <v>1.24</v>
      </c>
      <c r="M45">
        <v>1.43</v>
      </c>
      <c r="N45">
        <v>1.26</v>
      </c>
      <c r="O45">
        <v>1.28</v>
      </c>
      <c r="P45">
        <v>1.24</v>
      </c>
      <c r="Q45">
        <v>1.29</v>
      </c>
      <c r="R45">
        <v>1.33</v>
      </c>
      <c r="S45">
        <v>1.23</v>
      </c>
      <c r="T45">
        <v>3724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7</v>
      </c>
      <c r="G46">
        <v>20</v>
      </c>
      <c r="H46">
        <v>6</v>
      </c>
      <c r="I46">
        <v>17</v>
      </c>
      <c r="J46">
        <v>1.32</v>
      </c>
      <c r="K46">
        <v>1.35</v>
      </c>
      <c r="L46">
        <v>1.17</v>
      </c>
      <c r="M46">
        <v>1.1499999999999999</v>
      </c>
      <c r="N46">
        <v>1.06</v>
      </c>
      <c r="O46">
        <v>1.07</v>
      </c>
      <c r="P46">
        <v>0.99</v>
      </c>
      <c r="Q46">
        <v>1.17</v>
      </c>
      <c r="R46">
        <v>1.04</v>
      </c>
      <c r="S46">
        <v>0.82</v>
      </c>
      <c r="T46">
        <v>3735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7</v>
      </c>
      <c r="G47">
        <v>20</v>
      </c>
      <c r="H47">
        <v>6</v>
      </c>
      <c r="I47">
        <v>22</v>
      </c>
      <c r="J47">
        <v>1.22</v>
      </c>
      <c r="K47">
        <v>1.18</v>
      </c>
      <c r="L47">
        <v>1.23</v>
      </c>
      <c r="M47">
        <v>1.35</v>
      </c>
      <c r="N47">
        <v>1.39</v>
      </c>
      <c r="O47">
        <v>1.3</v>
      </c>
      <c r="P47">
        <v>1.0900000000000001</v>
      </c>
      <c r="Q47">
        <v>1.08</v>
      </c>
      <c r="R47">
        <v>1.23</v>
      </c>
      <c r="S47">
        <v>1.18</v>
      </c>
      <c r="T47">
        <v>3724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7</v>
      </c>
      <c r="G48">
        <v>20</v>
      </c>
      <c r="H48">
        <v>6</v>
      </c>
      <c r="I48">
        <v>26</v>
      </c>
      <c r="J48">
        <v>1.41</v>
      </c>
      <c r="K48">
        <v>1.39</v>
      </c>
      <c r="L48">
        <v>1.43</v>
      </c>
      <c r="M48">
        <v>1.41</v>
      </c>
      <c r="N48">
        <v>1.26</v>
      </c>
      <c r="O48">
        <v>1.21</v>
      </c>
      <c r="P48">
        <v>1.2</v>
      </c>
      <c r="Q48">
        <v>1.1200000000000001</v>
      </c>
      <c r="R48">
        <v>1.1599999999999999</v>
      </c>
      <c r="S48">
        <v>1.1200000000000001</v>
      </c>
      <c r="T48">
        <v>3710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7</v>
      </c>
      <c r="G49">
        <v>20</v>
      </c>
      <c r="H49">
        <v>6</v>
      </c>
      <c r="I49">
        <v>42</v>
      </c>
      <c r="J49">
        <v>1.46</v>
      </c>
      <c r="K49">
        <v>1.33</v>
      </c>
      <c r="L49">
        <v>1.39</v>
      </c>
      <c r="M49">
        <v>1.35</v>
      </c>
      <c r="N49">
        <v>1.36</v>
      </c>
      <c r="O49">
        <v>1.36</v>
      </c>
      <c r="P49">
        <v>1.1399999999999999</v>
      </c>
      <c r="Q49">
        <v>1.22</v>
      </c>
      <c r="R49">
        <v>1.18</v>
      </c>
      <c r="S49">
        <v>1.18</v>
      </c>
      <c r="T49">
        <v>3742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7</v>
      </c>
      <c r="G50">
        <v>20</v>
      </c>
      <c r="H50">
        <v>6</v>
      </c>
      <c r="I50">
        <v>30</v>
      </c>
      <c r="J50">
        <v>1.4</v>
      </c>
      <c r="K50">
        <v>1.35</v>
      </c>
      <c r="L50">
        <v>1.34</v>
      </c>
      <c r="M50">
        <v>1.36</v>
      </c>
      <c r="N50">
        <v>1.29</v>
      </c>
      <c r="O50">
        <v>1.04</v>
      </c>
      <c r="P50">
        <v>0.83</v>
      </c>
      <c r="Q50">
        <v>1.05</v>
      </c>
      <c r="R50">
        <v>1.08</v>
      </c>
      <c r="S50">
        <v>1.07</v>
      </c>
      <c r="T50">
        <v>3734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7</v>
      </c>
      <c r="G51">
        <v>20</v>
      </c>
      <c r="H51">
        <v>6</v>
      </c>
      <c r="I51">
        <v>34</v>
      </c>
      <c r="J51">
        <v>1.35</v>
      </c>
      <c r="K51">
        <v>1.32</v>
      </c>
      <c r="L51">
        <v>1.45</v>
      </c>
      <c r="M51">
        <v>1.5</v>
      </c>
      <c r="N51">
        <v>1.32</v>
      </c>
      <c r="O51">
        <v>1.04</v>
      </c>
      <c r="P51">
        <v>0.97</v>
      </c>
      <c r="Q51">
        <v>0.98</v>
      </c>
      <c r="R51">
        <v>1.05</v>
      </c>
      <c r="S51">
        <v>0.97</v>
      </c>
      <c r="T51">
        <v>3746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7</v>
      </c>
      <c r="G52">
        <v>20</v>
      </c>
      <c r="H52">
        <v>6</v>
      </c>
      <c r="I52">
        <v>30</v>
      </c>
      <c r="J52">
        <v>0.98</v>
      </c>
      <c r="K52">
        <v>0.86</v>
      </c>
      <c r="L52">
        <v>0.82</v>
      </c>
      <c r="M52">
        <v>0.76</v>
      </c>
      <c r="N52">
        <v>0.68</v>
      </c>
      <c r="O52">
        <v>0.62</v>
      </c>
      <c r="P52">
        <v>0.64</v>
      </c>
      <c r="Q52">
        <v>0.72</v>
      </c>
      <c r="R52">
        <v>0.88</v>
      </c>
      <c r="S52">
        <v>1.08</v>
      </c>
      <c r="T52">
        <v>3759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7</v>
      </c>
      <c r="G53">
        <v>20</v>
      </c>
      <c r="H53">
        <v>6</v>
      </c>
      <c r="I53">
        <v>47</v>
      </c>
      <c r="J53">
        <v>1.51</v>
      </c>
      <c r="K53">
        <v>1.41</v>
      </c>
      <c r="L53">
        <v>1.42</v>
      </c>
      <c r="M53">
        <v>1.44</v>
      </c>
      <c r="N53">
        <v>1.42</v>
      </c>
      <c r="O53">
        <v>1.29</v>
      </c>
      <c r="P53">
        <v>1.02</v>
      </c>
      <c r="Q53">
        <v>1.08</v>
      </c>
      <c r="R53">
        <v>1.19</v>
      </c>
      <c r="S53">
        <v>1.17</v>
      </c>
      <c r="T53">
        <v>3735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7</v>
      </c>
      <c r="G54">
        <v>20</v>
      </c>
      <c r="H54">
        <v>6</v>
      </c>
      <c r="I54">
        <v>51</v>
      </c>
      <c r="J54">
        <v>1.1200000000000001</v>
      </c>
      <c r="K54">
        <v>1.06</v>
      </c>
      <c r="L54">
        <v>0.97</v>
      </c>
      <c r="M54">
        <v>0.92</v>
      </c>
      <c r="N54">
        <v>0.87</v>
      </c>
      <c r="O54">
        <v>0.8</v>
      </c>
      <c r="P54">
        <v>0.83</v>
      </c>
      <c r="Q54">
        <v>1.03</v>
      </c>
      <c r="R54">
        <v>1.03</v>
      </c>
      <c r="S54">
        <v>1.1100000000000001</v>
      </c>
      <c r="T54">
        <v>3732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7</v>
      </c>
      <c r="G55">
        <v>20</v>
      </c>
      <c r="H55">
        <v>6</v>
      </c>
      <c r="I55">
        <v>55</v>
      </c>
      <c r="J55">
        <v>1.08</v>
      </c>
      <c r="K55">
        <v>1.0900000000000001</v>
      </c>
      <c r="L55">
        <v>1.34</v>
      </c>
      <c r="M55">
        <v>1.41</v>
      </c>
      <c r="N55">
        <v>1.34</v>
      </c>
      <c r="O55">
        <v>1.22</v>
      </c>
      <c r="P55">
        <v>1.28</v>
      </c>
      <c r="Q55">
        <v>1.21</v>
      </c>
      <c r="R55">
        <v>1.29</v>
      </c>
      <c r="S55">
        <v>1.23</v>
      </c>
      <c r="T55">
        <v>3731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7</v>
      </c>
      <c r="G56">
        <v>20</v>
      </c>
      <c r="H56">
        <v>6</v>
      </c>
      <c r="I56">
        <v>51</v>
      </c>
      <c r="J56">
        <v>0.97</v>
      </c>
      <c r="K56">
        <v>1.02</v>
      </c>
      <c r="L56">
        <v>1.25</v>
      </c>
      <c r="M56">
        <v>1.34</v>
      </c>
      <c r="N56">
        <v>1.37</v>
      </c>
      <c r="O56">
        <v>1.39</v>
      </c>
      <c r="P56">
        <v>1.27</v>
      </c>
      <c r="Q56">
        <v>1.1299999999999999</v>
      </c>
      <c r="R56">
        <v>0.99</v>
      </c>
      <c r="S56">
        <v>0.96</v>
      </c>
      <c r="T56">
        <v>3754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7</v>
      </c>
      <c r="G57">
        <v>20</v>
      </c>
      <c r="H57">
        <v>7</v>
      </c>
      <c r="I57">
        <v>17</v>
      </c>
      <c r="J57">
        <v>1.23</v>
      </c>
      <c r="K57">
        <v>1.31</v>
      </c>
      <c r="L57">
        <v>1.55</v>
      </c>
      <c r="M57">
        <v>1.47</v>
      </c>
      <c r="N57">
        <v>1.49</v>
      </c>
      <c r="O57">
        <v>1.49</v>
      </c>
      <c r="P57">
        <v>1.1100000000000001</v>
      </c>
      <c r="Q57">
        <v>1</v>
      </c>
      <c r="R57">
        <v>1.02</v>
      </c>
      <c r="S57">
        <v>1.02</v>
      </c>
      <c r="T57">
        <v>3673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7</v>
      </c>
      <c r="G58">
        <v>20</v>
      </c>
      <c r="H58">
        <v>7</v>
      </c>
      <c r="I58">
        <v>12</v>
      </c>
      <c r="J58">
        <v>1.24</v>
      </c>
      <c r="K58">
        <v>1.25</v>
      </c>
      <c r="L58">
        <v>1.34</v>
      </c>
      <c r="M58">
        <v>1.3</v>
      </c>
      <c r="N58">
        <v>1.44</v>
      </c>
      <c r="O58">
        <v>1.1599999999999999</v>
      </c>
      <c r="P58">
        <v>0.92</v>
      </c>
      <c r="Q58">
        <v>0.93</v>
      </c>
      <c r="R58">
        <v>1.02</v>
      </c>
      <c r="S58">
        <v>1.02</v>
      </c>
      <c r="T58">
        <v>3711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7</v>
      </c>
      <c r="G59">
        <v>20</v>
      </c>
      <c r="H59">
        <v>7</v>
      </c>
      <c r="I59">
        <v>0</v>
      </c>
      <c r="J59">
        <v>1.29</v>
      </c>
      <c r="K59">
        <v>1.26</v>
      </c>
      <c r="L59">
        <v>1.38</v>
      </c>
      <c r="M59">
        <v>1.18</v>
      </c>
      <c r="N59">
        <v>1.23</v>
      </c>
      <c r="O59">
        <v>1.22</v>
      </c>
      <c r="P59">
        <v>1.25</v>
      </c>
      <c r="Q59">
        <v>0.96</v>
      </c>
      <c r="R59">
        <v>0.92</v>
      </c>
      <c r="S59">
        <v>0.92</v>
      </c>
      <c r="T59">
        <v>3737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7</v>
      </c>
      <c r="G60">
        <v>20</v>
      </c>
      <c r="H60">
        <v>7</v>
      </c>
      <c r="I60">
        <v>3</v>
      </c>
      <c r="J60">
        <v>1.08</v>
      </c>
      <c r="K60">
        <v>1.1200000000000001</v>
      </c>
      <c r="L60">
        <v>1.43</v>
      </c>
      <c r="M60">
        <v>1.39</v>
      </c>
      <c r="N60">
        <v>1.43</v>
      </c>
      <c r="O60">
        <v>1.37</v>
      </c>
      <c r="P60">
        <v>1.34</v>
      </c>
      <c r="Q60">
        <v>1.01</v>
      </c>
      <c r="R60">
        <v>0.86</v>
      </c>
      <c r="S60">
        <v>0.89</v>
      </c>
      <c r="T60">
        <v>3738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7</v>
      </c>
      <c r="G61">
        <v>20</v>
      </c>
      <c r="H61">
        <v>7</v>
      </c>
      <c r="I61">
        <v>23</v>
      </c>
      <c r="J61">
        <v>1.48</v>
      </c>
      <c r="K61">
        <v>1.45</v>
      </c>
      <c r="L61">
        <v>1.43</v>
      </c>
      <c r="M61">
        <v>1.47</v>
      </c>
      <c r="N61">
        <v>1.35</v>
      </c>
      <c r="O61">
        <v>1.26</v>
      </c>
      <c r="P61">
        <v>1.18</v>
      </c>
      <c r="Q61">
        <v>1.24</v>
      </c>
      <c r="R61">
        <v>1.3</v>
      </c>
      <c r="S61">
        <v>1.26</v>
      </c>
      <c r="T61">
        <v>3697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7</v>
      </c>
      <c r="G62">
        <v>20</v>
      </c>
      <c r="H62">
        <v>7</v>
      </c>
      <c r="I62">
        <v>27</v>
      </c>
      <c r="J62">
        <v>1.42</v>
      </c>
      <c r="K62">
        <v>1.38</v>
      </c>
      <c r="L62">
        <v>1.49</v>
      </c>
      <c r="M62">
        <v>1.57</v>
      </c>
      <c r="N62">
        <v>1.59</v>
      </c>
      <c r="O62">
        <v>1.38</v>
      </c>
      <c r="P62">
        <v>1.34</v>
      </c>
      <c r="Q62">
        <v>1.2</v>
      </c>
      <c r="R62">
        <v>1.1499999999999999</v>
      </c>
      <c r="S62">
        <v>1.17</v>
      </c>
      <c r="T62">
        <v>3709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7</v>
      </c>
      <c r="G63">
        <v>20</v>
      </c>
      <c r="H63">
        <v>7</v>
      </c>
      <c r="I63">
        <v>32</v>
      </c>
      <c r="J63">
        <v>1.39</v>
      </c>
      <c r="K63">
        <v>1.38</v>
      </c>
      <c r="L63">
        <v>1.41</v>
      </c>
      <c r="M63">
        <v>1.53</v>
      </c>
      <c r="N63">
        <v>1.47</v>
      </c>
      <c r="O63">
        <v>1.41</v>
      </c>
      <c r="P63">
        <v>1.26</v>
      </c>
      <c r="Q63">
        <v>0.88</v>
      </c>
      <c r="R63">
        <v>0.85</v>
      </c>
      <c r="S63">
        <v>0.84</v>
      </c>
      <c r="T63">
        <v>3712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7</v>
      </c>
      <c r="G64">
        <v>20</v>
      </c>
      <c r="H64">
        <v>7</v>
      </c>
      <c r="I64">
        <v>36</v>
      </c>
      <c r="J64">
        <v>1.34</v>
      </c>
      <c r="K64">
        <v>1.35</v>
      </c>
      <c r="L64">
        <v>1.31</v>
      </c>
      <c r="M64">
        <v>1.47</v>
      </c>
      <c r="N64">
        <v>1.47</v>
      </c>
      <c r="O64">
        <v>1.42</v>
      </c>
      <c r="P64">
        <v>1.23</v>
      </c>
      <c r="Q64">
        <v>0.98</v>
      </c>
      <c r="R64">
        <v>0.88</v>
      </c>
      <c r="S64">
        <v>1.1000000000000001</v>
      </c>
      <c r="T64">
        <v>3701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7</v>
      </c>
      <c r="G65">
        <v>20</v>
      </c>
      <c r="H65">
        <v>7</v>
      </c>
      <c r="I65">
        <v>52</v>
      </c>
      <c r="J65">
        <v>1.24</v>
      </c>
      <c r="K65">
        <v>1.03</v>
      </c>
      <c r="L65">
        <v>1.08</v>
      </c>
      <c r="M65">
        <v>1.23</v>
      </c>
      <c r="N65">
        <v>1.3</v>
      </c>
      <c r="O65">
        <v>1.1200000000000001</v>
      </c>
      <c r="P65">
        <v>1.07</v>
      </c>
      <c r="Q65">
        <v>1.04</v>
      </c>
      <c r="R65">
        <v>1.04</v>
      </c>
      <c r="S65">
        <v>0.96</v>
      </c>
      <c r="T65">
        <v>3662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7</v>
      </c>
      <c r="G66">
        <v>20</v>
      </c>
      <c r="H66">
        <v>7</v>
      </c>
      <c r="I66">
        <v>40</v>
      </c>
      <c r="J66">
        <v>1.35</v>
      </c>
      <c r="K66">
        <v>1.36</v>
      </c>
      <c r="L66">
        <v>1.43</v>
      </c>
      <c r="M66">
        <v>1.18</v>
      </c>
      <c r="N66">
        <v>1.2</v>
      </c>
      <c r="O66">
        <v>1.2</v>
      </c>
      <c r="P66">
        <v>0.88</v>
      </c>
      <c r="Q66">
        <v>0.91</v>
      </c>
      <c r="R66">
        <v>1.0900000000000001</v>
      </c>
      <c r="S66">
        <v>1.1399999999999999</v>
      </c>
      <c r="T66">
        <v>3680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7</v>
      </c>
      <c r="G67">
        <v>20</v>
      </c>
      <c r="H67">
        <v>7</v>
      </c>
      <c r="I67">
        <v>44</v>
      </c>
      <c r="J67">
        <v>1.47</v>
      </c>
      <c r="K67">
        <v>1.33</v>
      </c>
      <c r="L67">
        <v>1.28</v>
      </c>
      <c r="M67">
        <v>1.21</v>
      </c>
      <c r="N67">
        <v>1.28</v>
      </c>
      <c r="O67">
        <v>1.28</v>
      </c>
      <c r="P67">
        <v>1.06</v>
      </c>
      <c r="Q67">
        <v>0.93</v>
      </c>
      <c r="R67">
        <v>0.91</v>
      </c>
      <c r="S67">
        <v>0.99</v>
      </c>
      <c r="T67">
        <v>3704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7</v>
      </c>
      <c r="G68">
        <v>20</v>
      </c>
      <c r="H68">
        <v>7</v>
      </c>
      <c r="I68">
        <v>40</v>
      </c>
      <c r="J68">
        <v>1.49</v>
      </c>
      <c r="K68">
        <v>1.41</v>
      </c>
      <c r="L68">
        <v>1.24</v>
      </c>
      <c r="M68">
        <v>1.34</v>
      </c>
      <c r="N68">
        <v>1.41</v>
      </c>
      <c r="O68">
        <v>1.32</v>
      </c>
      <c r="P68">
        <v>1.1200000000000001</v>
      </c>
      <c r="Q68">
        <v>0.81</v>
      </c>
      <c r="R68">
        <v>0.83</v>
      </c>
      <c r="S68">
        <v>1.02</v>
      </c>
      <c r="T68">
        <v>3675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17.662950000000002</v>
      </c>
      <c r="K73">
        <f t="shared" ref="K73:R73" si="0">22.275*K45-6.1713</f>
        <v>18.999449999999996</v>
      </c>
      <c r="L73">
        <f t="shared" si="0"/>
        <v>21.4497</v>
      </c>
      <c r="M73">
        <f t="shared" si="0"/>
        <v>25.681949999999997</v>
      </c>
      <c r="N73">
        <f t="shared" si="0"/>
        <v>21.895199999999999</v>
      </c>
      <c r="O73">
        <f t="shared" si="0"/>
        <v>22.340700000000002</v>
      </c>
      <c r="P73">
        <f t="shared" si="0"/>
        <v>21.4497</v>
      </c>
      <c r="Q73">
        <f t="shared" si="0"/>
        <v>22.56345</v>
      </c>
      <c r="R73">
        <f t="shared" si="0"/>
        <v>23.454450000000001</v>
      </c>
      <c r="S73">
        <f>22.275*(S45*1.1)-6.1713</f>
        <v>23.966774999999998</v>
      </c>
    </row>
    <row r="74" spans="1:20" x14ac:dyDescent="0.25">
      <c r="I74" t="s">
        <v>43</v>
      </c>
      <c r="J74">
        <f t="shared" ref="J74:R89" si="1">22.275*J46-6.1713</f>
        <v>23.2317</v>
      </c>
      <c r="K74">
        <f t="shared" si="1"/>
        <v>23.89995</v>
      </c>
      <c r="L74">
        <f t="shared" si="1"/>
        <v>19.890449999999998</v>
      </c>
      <c r="M74">
        <f t="shared" si="1"/>
        <v>19.444949999999999</v>
      </c>
      <c r="N74">
        <f t="shared" si="1"/>
        <v>17.440200000000001</v>
      </c>
      <c r="O74">
        <f t="shared" si="1"/>
        <v>17.662950000000002</v>
      </c>
      <c r="P74">
        <f t="shared" si="1"/>
        <v>15.880949999999999</v>
      </c>
      <c r="Q74">
        <f t="shared" si="1"/>
        <v>19.890449999999998</v>
      </c>
      <c r="R74">
        <f t="shared" si="1"/>
        <v>16.994700000000002</v>
      </c>
      <c r="S74">
        <f t="shared" ref="S74:S91" si="2">22.275*(S46*1.1)-6.1713</f>
        <v>13.920750000000002</v>
      </c>
    </row>
    <row r="75" spans="1:20" x14ac:dyDescent="0.25">
      <c r="I75" t="s">
        <v>44</v>
      </c>
      <c r="J75">
        <f t="shared" si="1"/>
        <v>21.004199999999997</v>
      </c>
      <c r="K75">
        <f t="shared" si="1"/>
        <v>20.113199999999999</v>
      </c>
      <c r="L75">
        <f t="shared" si="1"/>
        <v>21.226949999999999</v>
      </c>
      <c r="M75">
        <f t="shared" si="1"/>
        <v>23.89995</v>
      </c>
      <c r="N75">
        <f t="shared" si="1"/>
        <v>24.790949999999999</v>
      </c>
      <c r="O75">
        <f t="shared" si="1"/>
        <v>22.786200000000001</v>
      </c>
      <c r="P75">
        <f t="shared" si="1"/>
        <v>18.108450000000001</v>
      </c>
      <c r="Q75">
        <f t="shared" si="1"/>
        <v>17.8857</v>
      </c>
      <c r="R75">
        <f t="shared" si="1"/>
        <v>21.226949999999999</v>
      </c>
      <c r="S75">
        <f t="shared" si="2"/>
        <v>22.74165</v>
      </c>
    </row>
    <row r="76" spans="1:20" x14ac:dyDescent="0.25">
      <c r="I76" t="s">
        <v>45</v>
      </c>
      <c r="J76">
        <f t="shared" si="1"/>
        <v>25.236449999999998</v>
      </c>
      <c r="K76">
        <f t="shared" si="1"/>
        <v>24.790949999999999</v>
      </c>
      <c r="L76">
        <f t="shared" si="1"/>
        <v>25.681949999999997</v>
      </c>
      <c r="M76">
        <f t="shared" si="1"/>
        <v>25.236449999999998</v>
      </c>
      <c r="N76">
        <f t="shared" si="1"/>
        <v>21.895199999999999</v>
      </c>
      <c r="O76">
        <f t="shared" si="1"/>
        <v>20.78145</v>
      </c>
      <c r="P76">
        <f t="shared" si="1"/>
        <v>20.558699999999998</v>
      </c>
      <c r="Q76">
        <f t="shared" si="1"/>
        <v>18.776700000000002</v>
      </c>
      <c r="R76">
        <f t="shared" si="1"/>
        <v>19.667699999999996</v>
      </c>
      <c r="S76">
        <f t="shared" si="2"/>
        <v>21.271500000000003</v>
      </c>
    </row>
    <row r="77" spans="1:20" x14ac:dyDescent="0.25">
      <c r="I77" t="s">
        <v>46</v>
      </c>
      <c r="J77">
        <f t="shared" si="1"/>
        <v>26.350199999999997</v>
      </c>
      <c r="K77">
        <f t="shared" si="1"/>
        <v>23.454450000000001</v>
      </c>
      <c r="L77">
        <f t="shared" si="1"/>
        <v>24.790949999999999</v>
      </c>
      <c r="M77">
        <f t="shared" si="1"/>
        <v>23.89995</v>
      </c>
      <c r="N77">
        <f t="shared" si="1"/>
        <v>24.122700000000002</v>
      </c>
      <c r="O77">
        <f t="shared" si="1"/>
        <v>24.122700000000002</v>
      </c>
      <c r="P77">
        <f t="shared" si="1"/>
        <v>19.222199999999997</v>
      </c>
      <c r="Q77">
        <f t="shared" si="1"/>
        <v>21.004199999999997</v>
      </c>
      <c r="R77">
        <f t="shared" si="1"/>
        <v>20.113199999999999</v>
      </c>
      <c r="S77">
        <f t="shared" si="2"/>
        <v>22.74165</v>
      </c>
    </row>
    <row r="78" spans="1:20" x14ac:dyDescent="0.25">
      <c r="I78" t="s">
        <v>47</v>
      </c>
      <c r="J78">
        <f t="shared" si="1"/>
        <v>25.013699999999996</v>
      </c>
      <c r="K78">
        <f t="shared" si="1"/>
        <v>23.89995</v>
      </c>
      <c r="L78">
        <f t="shared" si="1"/>
        <v>23.677200000000003</v>
      </c>
      <c r="M78">
        <f t="shared" si="1"/>
        <v>24.122700000000002</v>
      </c>
      <c r="N78">
        <f t="shared" si="1"/>
        <v>22.56345</v>
      </c>
      <c r="O78">
        <f t="shared" si="1"/>
        <v>16.994700000000002</v>
      </c>
      <c r="P78">
        <f t="shared" si="1"/>
        <v>12.316949999999999</v>
      </c>
      <c r="Q78">
        <f t="shared" si="1"/>
        <v>17.217449999999999</v>
      </c>
      <c r="R78">
        <f t="shared" si="1"/>
        <v>17.8857</v>
      </c>
      <c r="S78">
        <f t="shared" si="2"/>
        <v>20.046375000000005</v>
      </c>
    </row>
    <row r="79" spans="1:20" x14ac:dyDescent="0.25">
      <c r="I79" t="s">
        <v>48</v>
      </c>
      <c r="J79">
        <f t="shared" si="1"/>
        <v>23.89995</v>
      </c>
      <c r="K79">
        <f t="shared" si="1"/>
        <v>23.2317</v>
      </c>
      <c r="L79">
        <f t="shared" si="1"/>
        <v>26.12745</v>
      </c>
      <c r="M79">
        <f t="shared" si="1"/>
        <v>27.241199999999996</v>
      </c>
      <c r="N79">
        <f t="shared" si="1"/>
        <v>23.2317</v>
      </c>
      <c r="O79">
        <f t="shared" si="1"/>
        <v>16.994700000000002</v>
      </c>
      <c r="P79">
        <f t="shared" si="1"/>
        <v>15.435449999999999</v>
      </c>
      <c r="Q79">
        <f t="shared" si="1"/>
        <v>15.658200000000001</v>
      </c>
      <c r="R79">
        <f t="shared" si="1"/>
        <v>17.217449999999999</v>
      </c>
      <c r="S79">
        <f t="shared" si="2"/>
        <v>17.596124999999997</v>
      </c>
    </row>
    <row r="80" spans="1:20" x14ac:dyDescent="0.25">
      <c r="I80" t="s">
        <v>49</v>
      </c>
      <c r="J80">
        <f t="shared" si="1"/>
        <v>15.658200000000001</v>
      </c>
      <c r="K80">
        <f t="shared" si="1"/>
        <v>12.985199999999999</v>
      </c>
      <c r="L80">
        <f t="shared" si="1"/>
        <v>12.094200000000001</v>
      </c>
      <c r="M80">
        <f t="shared" si="1"/>
        <v>10.7577</v>
      </c>
      <c r="N80">
        <f t="shared" si="1"/>
        <v>8.9756999999999998</v>
      </c>
      <c r="O80">
        <f t="shared" si="1"/>
        <v>7.6391999999999998</v>
      </c>
      <c r="P80">
        <f t="shared" si="1"/>
        <v>8.0847000000000016</v>
      </c>
      <c r="Q80">
        <f t="shared" si="1"/>
        <v>9.866699999999998</v>
      </c>
      <c r="R80">
        <f t="shared" si="1"/>
        <v>13.430700000000002</v>
      </c>
      <c r="S80">
        <f t="shared" si="2"/>
        <v>20.291400000000003</v>
      </c>
    </row>
    <row r="81" spans="9:19" x14ac:dyDescent="0.25">
      <c r="I81" t="s">
        <v>50</v>
      </c>
      <c r="J81">
        <f t="shared" si="1"/>
        <v>27.463950000000001</v>
      </c>
      <c r="K81">
        <f t="shared" si="1"/>
        <v>25.236449999999998</v>
      </c>
      <c r="L81">
        <f t="shared" si="1"/>
        <v>25.459199999999999</v>
      </c>
      <c r="M81">
        <f t="shared" si="1"/>
        <v>25.904699999999995</v>
      </c>
      <c r="N81">
        <f t="shared" si="1"/>
        <v>25.459199999999999</v>
      </c>
      <c r="O81">
        <f t="shared" si="1"/>
        <v>22.56345</v>
      </c>
      <c r="P81">
        <f t="shared" si="1"/>
        <v>16.549199999999999</v>
      </c>
      <c r="Q81">
        <f t="shared" si="1"/>
        <v>17.8857</v>
      </c>
      <c r="R81">
        <f t="shared" si="1"/>
        <v>20.335949999999997</v>
      </c>
      <c r="S81">
        <f t="shared" si="2"/>
        <v>22.496624999999998</v>
      </c>
    </row>
    <row r="82" spans="9:19" x14ac:dyDescent="0.25">
      <c r="I82" t="s">
        <v>51</v>
      </c>
      <c r="J82">
        <f t="shared" si="1"/>
        <v>18.776700000000002</v>
      </c>
      <c r="K82">
        <f t="shared" si="1"/>
        <v>17.440200000000001</v>
      </c>
      <c r="L82">
        <f t="shared" si="1"/>
        <v>15.435449999999999</v>
      </c>
      <c r="M82">
        <f t="shared" si="1"/>
        <v>14.3217</v>
      </c>
      <c r="N82">
        <f t="shared" si="1"/>
        <v>13.20795</v>
      </c>
      <c r="O82">
        <f t="shared" si="1"/>
        <v>11.648700000000002</v>
      </c>
      <c r="P82">
        <f t="shared" si="1"/>
        <v>12.316949999999999</v>
      </c>
      <c r="Q82">
        <f t="shared" si="1"/>
        <v>16.77195</v>
      </c>
      <c r="R82">
        <f t="shared" si="1"/>
        <v>16.77195</v>
      </c>
      <c r="S82">
        <f t="shared" si="2"/>
        <v>21.026475000000005</v>
      </c>
    </row>
    <row r="83" spans="9:19" x14ac:dyDescent="0.25">
      <c r="I83" t="s">
        <v>52</v>
      </c>
      <c r="J83">
        <f t="shared" si="1"/>
        <v>17.8857</v>
      </c>
      <c r="K83">
        <f t="shared" si="1"/>
        <v>18.108450000000001</v>
      </c>
      <c r="L83">
        <f t="shared" si="1"/>
        <v>23.677200000000003</v>
      </c>
      <c r="M83">
        <f t="shared" si="1"/>
        <v>25.236449999999998</v>
      </c>
      <c r="N83">
        <f t="shared" si="1"/>
        <v>23.677200000000003</v>
      </c>
      <c r="O83">
        <f t="shared" si="1"/>
        <v>21.004199999999997</v>
      </c>
      <c r="P83">
        <f t="shared" si="1"/>
        <v>22.340700000000002</v>
      </c>
      <c r="Q83">
        <f t="shared" si="1"/>
        <v>20.78145</v>
      </c>
      <c r="R83">
        <f t="shared" si="1"/>
        <v>22.56345</v>
      </c>
      <c r="S83">
        <f t="shared" si="2"/>
        <v>23.966774999999998</v>
      </c>
    </row>
    <row r="84" spans="9:19" x14ac:dyDescent="0.25">
      <c r="I84" t="s">
        <v>53</v>
      </c>
      <c r="J84">
        <f t="shared" si="1"/>
        <v>15.435449999999999</v>
      </c>
      <c r="K84">
        <f t="shared" si="1"/>
        <v>16.549199999999999</v>
      </c>
      <c r="L84">
        <f t="shared" si="1"/>
        <v>21.672450000000001</v>
      </c>
      <c r="M84">
        <f t="shared" si="1"/>
        <v>23.677200000000003</v>
      </c>
      <c r="N84">
        <f t="shared" si="1"/>
        <v>24.345450000000003</v>
      </c>
      <c r="O84">
        <f t="shared" si="1"/>
        <v>24.790949999999999</v>
      </c>
      <c r="P84">
        <f t="shared" si="1"/>
        <v>22.11795</v>
      </c>
      <c r="Q84">
        <f t="shared" si="1"/>
        <v>18.999449999999996</v>
      </c>
      <c r="R84">
        <f t="shared" si="1"/>
        <v>15.880949999999999</v>
      </c>
      <c r="S84">
        <f t="shared" si="2"/>
        <v>17.351100000000002</v>
      </c>
    </row>
    <row r="85" spans="9:19" x14ac:dyDescent="0.25">
      <c r="I85" t="s">
        <v>54</v>
      </c>
      <c r="J85">
        <f t="shared" si="1"/>
        <v>21.226949999999999</v>
      </c>
      <c r="K85">
        <f t="shared" si="1"/>
        <v>23.008950000000002</v>
      </c>
      <c r="L85">
        <f t="shared" si="1"/>
        <v>28.354949999999999</v>
      </c>
      <c r="M85">
        <f t="shared" si="1"/>
        <v>26.572949999999995</v>
      </c>
      <c r="N85">
        <f t="shared" si="1"/>
        <v>27.018449999999998</v>
      </c>
      <c r="O85">
        <f t="shared" si="1"/>
        <v>27.018449999999998</v>
      </c>
      <c r="P85">
        <f t="shared" si="1"/>
        <v>18.55395</v>
      </c>
      <c r="Q85">
        <f t="shared" si="1"/>
        <v>16.1037</v>
      </c>
      <c r="R85">
        <f t="shared" si="1"/>
        <v>16.549199999999999</v>
      </c>
      <c r="S85">
        <f t="shared" si="2"/>
        <v>18.821250000000003</v>
      </c>
    </row>
    <row r="86" spans="9:19" x14ac:dyDescent="0.25">
      <c r="I86" t="s">
        <v>55</v>
      </c>
      <c r="J86">
        <f t="shared" si="1"/>
        <v>21.4497</v>
      </c>
      <c r="K86">
        <f t="shared" si="1"/>
        <v>21.672450000000001</v>
      </c>
      <c r="L86">
        <f t="shared" si="1"/>
        <v>23.677200000000003</v>
      </c>
      <c r="M86">
        <f t="shared" si="1"/>
        <v>22.786200000000001</v>
      </c>
      <c r="N86">
        <f t="shared" si="1"/>
        <v>25.904699999999995</v>
      </c>
      <c r="O86">
        <f t="shared" si="1"/>
        <v>19.667699999999996</v>
      </c>
      <c r="P86">
        <f t="shared" si="1"/>
        <v>14.3217</v>
      </c>
      <c r="Q86">
        <f t="shared" si="1"/>
        <v>14.544450000000001</v>
      </c>
      <c r="R86">
        <f t="shared" si="1"/>
        <v>16.549199999999999</v>
      </c>
      <c r="S86">
        <f t="shared" si="2"/>
        <v>18.821250000000003</v>
      </c>
    </row>
    <row r="87" spans="9:19" x14ac:dyDescent="0.25">
      <c r="I87" t="s">
        <v>56</v>
      </c>
      <c r="J87">
        <f t="shared" si="1"/>
        <v>22.56345</v>
      </c>
      <c r="K87">
        <f t="shared" si="1"/>
        <v>21.895199999999999</v>
      </c>
      <c r="L87">
        <f t="shared" si="1"/>
        <v>24.568199999999997</v>
      </c>
      <c r="M87">
        <f t="shared" si="1"/>
        <v>20.113199999999999</v>
      </c>
      <c r="N87">
        <f t="shared" si="1"/>
        <v>21.226949999999999</v>
      </c>
      <c r="O87">
        <f t="shared" si="1"/>
        <v>21.004199999999997</v>
      </c>
      <c r="P87">
        <f t="shared" si="1"/>
        <v>21.672450000000001</v>
      </c>
      <c r="Q87">
        <f t="shared" si="1"/>
        <v>15.212699999999998</v>
      </c>
      <c r="R87">
        <f t="shared" si="1"/>
        <v>14.3217</v>
      </c>
      <c r="S87">
        <f t="shared" si="2"/>
        <v>16.371000000000006</v>
      </c>
    </row>
    <row r="88" spans="9:19" x14ac:dyDescent="0.25">
      <c r="I88" t="s">
        <v>57</v>
      </c>
      <c r="J88">
        <f t="shared" si="1"/>
        <v>17.8857</v>
      </c>
      <c r="K88">
        <f t="shared" si="1"/>
        <v>18.776700000000002</v>
      </c>
      <c r="L88">
        <f t="shared" si="1"/>
        <v>25.681949999999997</v>
      </c>
      <c r="M88">
        <f t="shared" si="1"/>
        <v>24.790949999999999</v>
      </c>
      <c r="N88">
        <f t="shared" si="1"/>
        <v>25.681949999999997</v>
      </c>
      <c r="O88">
        <f t="shared" si="1"/>
        <v>24.345450000000003</v>
      </c>
      <c r="P88">
        <f t="shared" si="1"/>
        <v>23.677200000000003</v>
      </c>
      <c r="Q88">
        <f t="shared" si="1"/>
        <v>16.326450000000001</v>
      </c>
      <c r="R88">
        <f t="shared" si="1"/>
        <v>12.985199999999999</v>
      </c>
      <c r="S88">
        <f t="shared" si="2"/>
        <v>15.635925</v>
      </c>
    </row>
    <row r="89" spans="9:19" x14ac:dyDescent="0.25">
      <c r="I89" t="s">
        <v>58</v>
      </c>
      <c r="J89">
        <f t="shared" si="1"/>
        <v>26.7957</v>
      </c>
      <c r="K89">
        <f t="shared" si="1"/>
        <v>26.12745</v>
      </c>
      <c r="L89">
        <f t="shared" si="1"/>
        <v>25.681949999999997</v>
      </c>
      <c r="M89">
        <f t="shared" si="1"/>
        <v>26.572949999999995</v>
      </c>
      <c r="N89">
        <f t="shared" si="1"/>
        <v>23.89995</v>
      </c>
      <c r="O89">
        <f t="shared" si="1"/>
        <v>21.895199999999999</v>
      </c>
      <c r="P89">
        <f t="shared" si="1"/>
        <v>20.113199999999999</v>
      </c>
      <c r="Q89">
        <f t="shared" si="1"/>
        <v>21.4497</v>
      </c>
      <c r="R89">
        <f t="shared" si="1"/>
        <v>22.786200000000001</v>
      </c>
      <c r="S89">
        <f t="shared" si="2"/>
        <v>24.70185</v>
      </c>
    </row>
    <row r="90" spans="9:19" x14ac:dyDescent="0.25">
      <c r="I90" t="s">
        <v>59</v>
      </c>
      <c r="J90">
        <f t="shared" ref="J90:R96" si="3">22.275*J62-6.1713</f>
        <v>25.459199999999999</v>
      </c>
      <c r="K90">
        <f t="shared" si="3"/>
        <v>24.568199999999997</v>
      </c>
      <c r="L90">
        <f t="shared" si="3"/>
        <v>27.018449999999998</v>
      </c>
      <c r="M90">
        <f t="shared" si="3"/>
        <v>28.800450000000001</v>
      </c>
      <c r="N90">
        <f t="shared" si="3"/>
        <v>29.245950000000004</v>
      </c>
      <c r="O90">
        <f t="shared" si="3"/>
        <v>24.568199999999997</v>
      </c>
      <c r="P90">
        <f t="shared" si="3"/>
        <v>23.677200000000003</v>
      </c>
      <c r="Q90">
        <f t="shared" si="3"/>
        <v>20.558699999999998</v>
      </c>
      <c r="R90">
        <f t="shared" si="3"/>
        <v>19.444949999999999</v>
      </c>
      <c r="S90">
        <f t="shared" si="2"/>
        <v>22.496624999999998</v>
      </c>
    </row>
    <row r="91" spans="9:19" x14ac:dyDescent="0.25">
      <c r="I91" t="s">
        <v>60</v>
      </c>
      <c r="J91">
        <f t="shared" si="3"/>
        <v>24.790949999999999</v>
      </c>
      <c r="K91">
        <f t="shared" si="3"/>
        <v>24.568199999999997</v>
      </c>
      <c r="L91">
        <f t="shared" si="3"/>
        <v>25.236449999999998</v>
      </c>
      <c r="M91">
        <f t="shared" si="3"/>
        <v>27.909450000000003</v>
      </c>
      <c r="N91">
        <f t="shared" si="3"/>
        <v>26.572949999999995</v>
      </c>
      <c r="O91">
        <f t="shared" si="3"/>
        <v>25.236449999999998</v>
      </c>
      <c r="P91">
        <f t="shared" si="3"/>
        <v>21.895199999999999</v>
      </c>
      <c r="Q91">
        <f t="shared" si="3"/>
        <v>13.430700000000002</v>
      </c>
      <c r="R91">
        <f t="shared" si="3"/>
        <v>12.762450000000001</v>
      </c>
      <c r="S91">
        <f t="shared" si="2"/>
        <v>14.410800000000002</v>
      </c>
    </row>
    <row r="92" spans="9:19" x14ac:dyDescent="0.25">
      <c r="I92" t="s">
        <v>61</v>
      </c>
      <c r="J92">
        <f t="shared" si="3"/>
        <v>23.677200000000003</v>
      </c>
      <c r="K92">
        <f t="shared" si="3"/>
        <v>23.89995</v>
      </c>
      <c r="L92">
        <f t="shared" si="3"/>
        <v>23.008950000000002</v>
      </c>
      <c r="M92">
        <f t="shared" si="3"/>
        <v>26.572949999999995</v>
      </c>
      <c r="N92">
        <f t="shared" si="3"/>
        <v>26.572949999999995</v>
      </c>
      <c r="O92">
        <f t="shared" si="3"/>
        <v>25.459199999999999</v>
      </c>
      <c r="P92">
        <f t="shared" si="3"/>
        <v>21.226949999999999</v>
      </c>
      <c r="Q92">
        <f t="shared" si="3"/>
        <v>15.658200000000001</v>
      </c>
      <c r="R92">
        <f t="shared" si="3"/>
        <v>13.430700000000002</v>
      </c>
      <c r="S92">
        <f>22.275*(S64*1.1)-6.1713</f>
        <v>20.781450000000003</v>
      </c>
    </row>
    <row r="93" spans="9:19" x14ac:dyDescent="0.25">
      <c r="I93" t="s">
        <v>62</v>
      </c>
      <c r="J93">
        <f t="shared" si="3"/>
        <v>21.4497</v>
      </c>
      <c r="K93">
        <f t="shared" si="3"/>
        <v>16.77195</v>
      </c>
      <c r="L93">
        <f t="shared" si="3"/>
        <v>17.8857</v>
      </c>
      <c r="M93">
        <f t="shared" si="3"/>
        <v>21.226949999999999</v>
      </c>
      <c r="N93">
        <f t="shared" si="3"/>
        <v>22.786200000000001</v>
      </c>
      <c r="O93">
        <f t="shared" si="3"/>
        <v>18.776700000000002</v>
      </c>
      <c r="P93">
        <f t="shared" si="3"/>
        <v>17.662950000000002</v>
      </c>
      <c r="Q93">
        <f t="shared" si="3"/>
        <v>16.994700000000002</v>
      </c>
      <c r="R93">
        <f t="shared" si="3"/>
        <v>16.994700000000002</v>
      </c>
      <c r="S93">
        <f t="shared" ref="S93:S95" si="4">22.275*(S65*1.1)-6.1713</f>
        <v>17.351100000000002</v>
      </c>
    </row>
    <row r="94" spans="9:19" x14ac:dyDescent="0.25">
      <c r="I94" t="s">
        <v>63</v>
      </c>
      <c r="J94">
        <f t="shared" si="3"/>
        <v>23.89995</v>
      </c>
      <c r="K94">
        <f t="shared" si="3"/>
        <v>24.122700000000002</v>
      </c>
      <c r="L94">
        <f t="shared" si="3"/>
        <v>25.681949999999997</v>
      </c>
      <c r="M94">
        <f t="shared" si="3"/>
        <v>20.113199999999999</v>
      </c>
      <c r="N94">
        <f t="shared" si="3"/>
        <v>20.558699999999998</v>
      </c>
      <c r="O94">
        <f t="shared" si="3"/>
        <v>20.558699999999998</v>
      </c>
      <c r="P94">
        <f t="shared" si="3"/>
        <v>13.430700000000002</v>
      </c>
      <c r="Q94">
        <f t="shared" si="3"/>
        <v>14.098950000000002</v>
      </c>
      <c r="R94">
        <f t="shared" si="3"/>
        <v>18.108450000000001</v>
      </c>
      <c r="S94">
        <f t="shared" si="4"/>
        <v>21.76155</v>
      </c>
    </row>
    <row r="95" spans="9:19" x14ac:dyDescent="0.25">
      <c r="I95" t="s">
        <v>64</v>
      </c>
      <c r="J95">
        <f t="shared" si="3"/>
        <v>26.572949999999995</v>
      </c>
      <c r="K95">
        <f t="shared" si="3"/>
        <v>23.454450000000001</v>
      </c>
      <c r="L95">
        <f t="shared" si="3"/>
        <v>22.340700000000002</v>
      </c>
      <c r="M95">
        <f t="shared" si="3"/>
        <v>20.78145</v>
      </c>
      <c r="N95">
        <f t="shared" si="3"/>
        <v>22.340700000000002</v>
      </c>
      <c r="O95">
        <f t="shared" si="3"/>
        <v>22.340700000000002</v>
      </c>
      <c r="P95">
        <f t="shared" si="3"/>
        <v>17.440200000000001</v>
      </c>
      <c r="Q95">
        <f t="shared" si="3"/>
        <v>14.544450000000001</v>
      </c>
      <c r="R95">
        <f t="shared" si="3"/>
        <v>14.098950000000002</v>
      </c>
      <c r="S95">
        <f t="shared" si="4"/>
        <v>18.086175000000001</v>
      </c>
    </row>
    <row r="96" spans="9:19" x14ac:dyDescent="0.25">
      <c r="I96" t="s">
        <v>65</v>
      </c>
      <c r="J96">
        <f>22.275*J68-6.1713</f>
        <v>27.018449999999998</v>
      </c>
      <c r="K96">
        <f t="shared" si="3"/>
        <v>25.236449999999998</v>
      </c>
      <c r="L96">
        <f t="shared" si="3"/>
        <v>21.4497</v>
      </c>
      <c r="M96">
        <f t="shared" si="3"/>
        <v>23.677200000000003</v>
      </c>
      <c r="N96">
        <f t="shared" si="3"/>
        <v>25.236449999999998</v>
      </c>
      <c r="O96">
        <f t="shared" si="3"/>
        <v>23.2317</v>
      </c>
      <c r="P96">
        <f t="shared" si="3"/>
        <v>18.776700000000002</v>
      </c>
      <c r="Q96">
        <f t="shared" si="3"/>
        <v>11.871450000000003</v>
      </c>
      <c r="R96">
        <f t="shared" si="3"/>
        <v>12.316949999999999</v>
      </c>
      <c r="S96">
        <f>22.275*(S68*1.1)-6.1713</f>
        <v>18.821250000000003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0.17662950000000002</v>
      </c>
      <c r="K101" s="4">
        <f t="shared" si="5"/>
        <v>0.18999449999999996</v>
      </c>
      <c r="L101" s="4">
        <f t="shared" si="5"/>
        <v>0.21449699999999999</v>
      </c>
      <c r="M101" s="4">
        <f t="shared" si="5"/>
        <v>0.25681949999999998</v>
      </c>
      <c r="N101" s="4">
        <f t="shared" si="5"/>
        <v>0.21895199999999998</v>
      </c>
      <c r="O101" s="4">
        <f t="shared" si="5"/>
        <v>0.22340700000000002</v>
      </c>
      <c r="P101" s="4">
        <f t="shared" si="5"/>
        <v>0.21449699999999999</v>
      </c>
      <c r="Q101" s="4">
        <f t="shared" si="5"/>
        <v>0.22563449999999999</v>
      </c>
      <c r="R101" s="4">
        <f t="shared" si="5"/>
        <v>0.23454450000000002</v>
      </c>
      <c r="S101" s="4">
        <f t="shared" si="5"/>
        <v>0.23966774999999998</v>
      </c>
    </row>
    <row r="102" spans="9:19" x14ac:dyDescent="0.25">
      <c r="I102">
        <v>12</v>
      </c>
      <c r="J102" s="4">
        <f t="shared" ref="J102:S115" si="6">IF(J74&lt;0,"",J74/100)</f>
        <v>0.232317</v>
      </c>
      <c r="K102" s="4">
        <f t="shared" si="6"/>
        <v>0.2389995</v>
      </c>
      <c r="L102" s="4">
        <f t="shared" si="6"/>
        <v>0.19890449999999998</v>
      </c>
      <c r="M102" s="4">
        <f t="shared" si="6"/>
        <v>0.1944495</v>
      </c>
      <c r="N102" s="4">
        <f t="shared" si="6"/>
        <v>0.174402</v>
      </c>
      <c r="O102" s="4">
        <f t="shared" si="6"/>
        <v>0.17662950000000002</v>
      </c>
      <c r="P102" s="4">
        <f t="shared" si="6"/>
        <v>0.15880949999999999</v>
      </c>
      <c r="Q102" s="4">
        <f t="shared" si="6"/>
        <v>0.19890449999999998</v>
      </c>
      <c r="R102" s="4">
        <f t="shared" si="6"/>
        <v>0.16994700000000001</v>
      </c>
      <c r="S102" s="4">
        <f t="shared" si="6"/>
        <v>0.13920750000000001</v>
      </c>
    </row>
    <row r="103" spans="9:19" x14ac:dyDescent="0.25">
      <c r="I103">
        <v>13</v>
      </c>
      <c r="J103" s="4">
        <f t="shared" si="6"/>
        <v>0.21004199999999998</v>
      </c>
      <c r="K103" s="4">
        <f t="shared" si="6"/>
        <v>0.20113199999999998</v>
      </c>
      <c r="L103" s="4">
        <f t="shared" si="6"/>
        <v>0.2122695</v>
      </c>
      <c r="M103" s="4">
        <f t="shared" si="6"/>
        <v>0.2389995</v>
      </c>
      <c r="N103" s="4">
        <f t="shared" si="6"/>
        <v>0.24790949999999998</v>
      </c>
      <c r="O103" s="4">
        <f t="shared" si="6"/>
        <v>0.22786200000000001</v>
      </c>
      <c r="P103" s="4">
        <f t="shared" si="6"/>
        <v>0.18108450000000001</v>
      </c>
      <c r="Q103" s="4">
        <f t="shared" si="6"/>
        <v>0.17885699999999999</v>
      </c>
      <c r="R103" s="4">
        <f t="shared" si="6"/>
        <v>0.2122695</v>
      </c>
      <c r="S103" s="4">
        <f t="shared" si="6"/>
        <v>0.22741649999999999</v>
      </c>
    </row>
    <row r="104" spans="9:19" x14ac:dyDescent="0.25">
      <c r="I104">
        <v>14</v>
      </c>
      <c r="J104" s="4">
        <f t="shared" si="6"/>
        <v>0.25236449999999999</v>
      </c>
      <c r="K104" s="4">
        <f t="shared" si="6"/>
        <v>0.24790949999999998</v>
      </c>
      <c r="L104" s="4">
        <f t="shared" si="6"/>
        <v>0.25681949999999998</v>
      </c>
      <c r="M104" s="4">
        <f t="shared" si="6"/>
        <v>0.25236449999999999</v>
      </c>
      <c r="N104" s="4">
        <f t="shared" si="6"/>
        <v>0.21895199999999998</v>
      </c>
      <c r="O104" s="4">
        <f t="shared" si="6"/>
        <v>0.20781449999999999</v>
      </c>
      <c r="P104" s="4">
        <f t="shared" si="6"/>
        <v>0.20558699999999999</v>
      </c>
      <c r="Q104" s="4">
        <f t="shared" si="6"/>
        <v>0.18776700000000002</v>
      </c>
      <c r="R104" s="4">
        <f t="shared" si="6"/>
        <v>0.19667699999999996</v>
      </c>
      <c r="S104" s="4">
        <f t="shared" si="6"/>
        <v>0.21271500000000004</v>
      </c>
    </row>
    <row r="105" spans="9:19" x14ac:dyDescent="0.25">
      <c r="I105">
        <v>21</v>
      </c>
      <c r="J105" s="4">
        <f t="shared" si="6"/>
        <v>0.26350199999999996</v>
      </c>
      <c r="K105" s="4">
        <f t="shared" si="6"/>
        <v>0.23454450000000002</v>
      </c>
      <c r="L105" s="4">
        <f t="shared" si="6"/>
        <v>0.24790949999999998</v>
      </c>
      <c r="M105" s="4">
        <f t="shared" si="6"/>
        <v>0.2389995</v>
      </c>
      <c r="N105" s="4">
        <f t="shared" si="6"/>
        <v>0.24122700000000002</v>
      </c>
      <c r="O105" s="4">
        <f t="shared" si="6"/>
        <v>0.24122700000000002</v>
      </c>
      <c r="P105" s="4">
        <f t="shared" si="6"/>
        <v>0.19222199999999998</v>
      </c>
      <c r="Q105" s="4">
        <f t="shared" si="6"/>
        <v>0.21004199999999998</v>
      </c>
      <c r="R105" s="4">
        <f t="shared" si="6"/>
        <v>0.20113199999999998</v>
      </c>
      <c r="S105" s="4">
        <f t="shared" si="6"/>
        <v>0.22741649999999999</v>
      </c>
    </row>
    <row r="106" spans="9:19" x14ac:dyDescent="0.25">
      <c r="I106">
        <v>22</v>
      </c>
      <c r="J106" s="4">
        <f t="shared" si="6"/>
        <v>0.25013699999999994</v>
      </c>
      <c r="K106" s="4">
        <f t="shared" si="6"/>
        <v>0.2389995</v>
      </c>
      <c r="L106" s="4">
        <f t="shared" si="6"/>
        <v>0.23677200000000004</v>
      </c>
      <c r="M106" s="4">
        <f t="shared" si="6"/>
        <v>0.24122700000000002</v>
      </c>
      <c r="N106" s="4">
        <f t="shared" si="6"/>
        <v>0.22563449999999999</v>
      </c>
      <c r="O106" s="4">
        <f t="shared" si="6"/>
        <v>0.16994700000000001</v>
      </c>
      <c r="P106" s="4">
        <f t="shared" si="6"/>
        <v>0.12316949999999999</v>
      </c>
      <c r="Q106" s="4">
        <f t="shared" si="6"/>
        <v>0.17217450000000001</v>
      </c>
      <c r="R106" s="4">
        <f t="shared" si="6"/>
        <v>0.17885699999999999</v>
      </c>
      <c r="S106" s="4">
        <f t="shared" si="6"/>
        <v>0.20046375000000005</v>
      </c>
    </row>
    <row r="107" spans="9:19" x14ac:dyDescent="0.25">
      <c r="I107">
        <v>23</v>
      </c>
      <c r="J107" s="4">
        <f t="shared" si="6"/>
        <v>0.2389995</v>
      </c>
      <c r="K107" s="4">
        <f t="shared" si="6"/>
        <v>0.232317</v>
      </c>
      <c r="L107" s="4">
        <f t="shared" si="6"/>
        <v>0.26127450000000002</v>
      </c>
      <c r="M107" s="4">
        <f t="shared" si="6"/>
        <v>0.27241199999999993</v>
      </c>
      <c r="N107" s="4">
        <f t="shared" si="6"/>
        <v>0.232317</v>
      </c>
      <c r="O107" s="4">
        <f t="shared" si="6"/>
        <v>0.16994700000000001</v>
      </c>
      <c r="P107" s="4">
        <f t="shared" si="6"/>
        <v>0.15435450000000001</v>
      </c>
      <c r="Q107" s="4">
        <f t="shared" si="6"/>
        <v>0.156582</v>
      </c>
      <c r="R107" s="4">
        <f t="shared" si="6"/>
        <v>0.17217450000000001</v>
      </c>
      <c r="S107" s="4">
        <f t="shared" si="6"/>
        <v>0.17596124999999996</v>
      </c>
    </row>
    <row r="108" spans="9:19" x14ac:dyDescent="0.25">
      <c r="I108">
        <v>24</v>
      </c>
      <c r="J108" s="4">
        <f t="shared" si="6"/>
        <v>0.156582</v>
      </c>
      <c r="K108" s="4">
        <f t="shared" si="6"/>
        <v>0.129852</v>
      </c>
      <c r="L108" s="4">
        <f t="shared" si="6"/>
        <v>0.12094200000000001</v>
      </c>
      <c r="M108" s="4">
        <f t="shared" si="6"/>
        <v>0.10757699999999999</v>
      </c>
      <c r="N108" s="4">
        <f t="shared" si="6"/>
        <v>8.9757000000000003E-2</v>
      </c>
      <c r="O108" s="4">
        <f t="shared" si="6"/>
        <v>7.6392000000000002E-2</v>
      </c>
      <c r="P108" s="4">
        <f t="shared" si="6"/>
        <v>8.0847000000000016E-2</v>
      </c>
      <c r="Q108" s="4">
        <f t="shared" si="6"/>
        <v>9.8666999999999977E-2</v>
      </c>
      <c r="R108" s="4">
        <f t="shared" si="6"/>
        <v>0.13430700000000001</v>
      </c>
      <c r="S108" s="4">
        <f t="shared" si="6"/>
        <v>0.20291400000000004</v>
      </c>
    </row>
    <row r="109" spans="9:19" x14ac:dyDescent="0.25">
      <c r="I109">
        <v>31</v>
      </c>
      <c r="J109" s="4">
        <f t="shared" si="6"/>
        <v>0.27463949999999998</v>
      </c>
      <c r="K109" s="4">
        <f t="shared" si="6"/>
        <v>0.25236449999999999</v>
      </c>
      <c r="L109" s="4">
        <f t="shared" si="6"/>
        <v>0.25459199999999998</v>
      </c>
      <c r="M109" s="4">
        <f t="shared" si="6"/>
        <v>0.25904699999999997</v>
      </c>
      <c r="N109" s="4">
        <f t="shared" si="6"/>
        <v>0.25459199999999998</v>
      </c>
      <c r="O109" s="4">
        <f t="shared" si="6"/>
        <v>0.22563449999999999</v>
      </c>
      <c r="P109" s="4">
        <f t="shared" si="6"/>
        <v>0.165492</v>
      </c>
      <c r="Q109" s="4">
        <f t="shared" si="6"/>
        <v>0.17885699999999999</v>
      </c>
      <c r="R109" s="4">
        <f t="shared" si="6"/>
        <v>0.20335949999999997</v>
      </c>
      <c r="S109" s="4">
        <f t="shared" si="6"/>
        <v>0.22496624999999998</v>
      </c>
    </row>
    <row r="110" spans="9:19" x14ac:dyDescent="0.25">
      <c r="I110">
        <v>32</v>
      </c>
      <c r="J110" s="4">
        <f t="shared" si="6"/>
        <v>0.18776700000000002</v>
      </c>
      <c r="K110" s="4">
        <f t="shared" si="6"/>
        <v>0.174402</v>
      </c>
      <c r="L110" s="4">
        <f t="shared" si="6"/>
        <v>0.15435450000000001</v>
      </c>
      <c r="M110" s="4">
        <f t="shared" si="6"/>
        <v>0.14321700000000001</v>
      </c>
      <c r="N110" s="4">
        <f t="shared" si="6"/>
        <v>0.13207950000000002</v>
      </c>
      <c r="O110" s="4">
        <f t="shared" si="6"/>
        <v>0.11648700000000002</v>
      </c>
      <c r="P110" s="4">
        <f t="shared" si="6"/>
        <v>0.12316949999999999</v>
      </c>
      <c r="Q110" s="4">
        <f t="shared" si="6"/>
        <v>0.16771949999999999</v>
      </c>
      <c r="R110" s="4">
        <f t="shared" si="6"/>
        <v>0.16771949999999999</v>
      </c>
      <c r="S110" s="4">
        <f t="shared" si="6"/>
        <v>0.21026475000000006</v>
      </c>
    </row>
    <row r="111" spans="9:19" x14ac:dyDescent="0.25">
      <c r="I111">
        <v>33</v>
      </c>
      <c r="J111" s="4">
        <f t="shared" si="6"/>
        <v>0.17885699999999999</v>
      </c>
      <c r="K111" s="4">
        <f t="shared" si="6"/>
        <v>0.18108450000000001</v>
      </c>
      <c r="L111" s="4">
        <f t="shared" si="6"/>
        <v>0.23677200000000004</v>
      </c>
      <c r="M111" s="4">
        <f t="shared" si="6"/>
        <v>0.25236449999999999</v>
      </c>
      <c r="N111" s="4">
        <f t="shared" si="6"/>
        <v>0.23677200000000004</v>
      </c>
      <c r="O111" s="4">
        <f t="shared" si="6"/>
        <v>0.21004199999999998</v>
      </c>
      <c r="P111" s="4">
        <f t="shared" si="6"/>
        <v>0.22340700000000002</v>
      </c>
      <c r="Q111" s="4">
        <f t="shared" si="6"/>
        <v>0.20781449999999999</v>
      </c>
      <c r="R111" s="4">
        <f t="shared" si="6"/>
        <v>0.22563449999999999</v>
      </c>
      <c r="S111" s="4">
        <f t="shared" si="6"/>
        <v>0.23966774999999998</v>
      </c>
    </row>
    <row r="112" spans="9:19" x14ac:dyDescent="0.25">
      <c r="I112">
        <v>34</v>
      </c>
      <c r="J112" s="4">
        <f t="shared" si="6"/>
        <v>0.15435450000000001</v>
      </c>
      <c r="K112" s="4">
        <f t="shared" si="6"/>
        <v>0.165492</v>
      </c>
      <c r="L112" s="4">
        <f t="shared" si="6"/>
        <v>0.21672450000000001</v>
      </c>
      <c r="M112" s="4">
        <f t="shared" si="6"/>
        <v>0.23677200000000004</v>
      </c>
      <c r="N112" s="4">
        <f t="shared" si="6"/>
        <v>0.24345450000000002</v>
      </c>
      <c r="O112" s="4">
        <f t="shared" si="6"/>
        <v>0.24790949999999998</v>
      </c>
      <c r="P112" s="4">
        <f t="shared" si="6"/>
        <v>0.2211795</v>
      </c>
      <c r="Q112" s="4">
        <f t="shared" si="6"/>
        <v>0.18999449999999996</v>
      </c>
      <c r="R112" s="4">
        <f t="shared" si="6"/>
        <v>0.15880949999999999</v>
      </c>
      <c r="S112" s="4">
        <f t="shared" si="6"/>
        <v>0.17351100000000003</v>
      </c>
    </row>
    <row r="113" spans="9:19" x14ac:dyDescent="0.25">
      <c r="I113">
        <v>41</v>
      </c>
      <c r="J113" s="4">
        <f t="shared" si="6"/>
        <v>0.2122695</v>
      </c>
      <c r="K113" s="4">
        <f t="shared" si="6"/>
        <v>0.23008950000000003</v>
      </c>
      <c r="L113" s="4">
        <f t="shared" si="6"/>
        <v>0.28354950000000001</v>
      </c>
      <c r="M113" s="4">
        <f t="shared" si="6"/>
        <v>0.26572949999999995</v>
      </c>
      <c r="N113" s="4">
        <f t="shared" si="6"/>
        <v>0.27018449999999999</v>
      </c>
      <c r="O113" s="4">
        <f t="shared" si="6"/>
        <v>0.27018449999999999</v>
      </c>
      <c r="P113" s="4">
        <f t="shared" si="6"/>
        <v>0.1855395</v>
      </c>
      <c r="Q113" s="4">
        <f t="shared" si="6"/>
        <v>0.16103699999999999</v>
      </c>
      <c r="R113" s="4">
        <f t="shared" si="6"/>
        <v>0.165492</v>
      </c>
      <c r="S113" s="4">
        <f t="shared" si="6"/>
        <v>0.18821250000000003</v>
      </c>
    </row>
    <row r="114" spans="9:19" x14ac:dyDescent="0.25">
      <c r="I114">
        <v>42</v>
      </c>
      <c r="J114" s="4">
        <f t="shared" si="6"/>
        <v>0.21449699999999999</v>
      </c>
      <c r="K114" s="4">
        <f t="shared" si="6"/>
        <v>0.21672450000000001</v>
      </c>
      <c r="L114" s="4">
        <f t="shared" si="6"/>
        <v>0.23677200000000004</v>
      </c>
      <c r="M114" s="4">
        <f t="shared" si="6"/>
        <v>0.22786200000000001</v>
      </c>
      <c r="N114" s="4">
        <f t="shared" si="6"/>
        <v>0.25904699999999997</v>
      </c>
      <c r="O114" s="4">
        <f t="shared" si="6"/>
        <v>0.19667699999999996</v>
      </c>
      <c r="P114" s="4">
        <f t="shared" si="6"/>
        <v>0.14321700000000001</v>
      </c>
      <c r="Q114" s="4">
        <f t="shared" si="6"/>
        <v>0.1454445</v>
      </c>
      <c r="R114" s="4">
        <f t="shared" si="6"/>
        <v>0.165492</v>
      </c>
      <c r="S114" s="4">
        <f t="shared" si="6"/>
        <v>0.18821250000000003</v>
      </c>
    </row>
    <row r="115" spans="9:19" x14ac:dyDescent="0.25">
      <c r="I115">
        <v>43</v>
      </c>
      <c r="J115" s="4">
        <f t="shared" si="6"/>
        <v>0.22563449999999999</v>
      </c>
      <c r="K115" s="4">
        <f t="shared" si="6"/>
        <v>0.21895199999999998</v>
      </c>
      <c r="L115" s="4">
        <f t="shared" si="6"/>
        <v>0.24568199999999998</v>
      </c>
      <c r="M115" s="4">
        <f t="shared" si="6"/>
        <v>0.20113199999999998</v>
      </c>
      <c r="N115" s="4">
        <f t="shared" si="6"/>
        <v>0.2122695</v>
      </c>
      <c r="O115" s="4">
        <f t="shared" si="6"/>
        <v>0.21004199999999998</v>
      </c>
      <c r="P115" s="4">
        <f t="shared" si="6"/>
        <v>0.21672450000000001</v>
      </c>
      <c r="Q115" s="4">
        <f t="shared" si="6"/>
        <v>0.15212699999999998</v>
      </c>
      <c r="R115" s="4">
        <f t="shared" si="6"/>
        <v>0.14321700000000001</v>
      </c>
      <c r="S115" s="4">
        <f t="shared" si="6"/>
        <v>0.16371000000000005</v>
      </c>
    </row>
    <row r="116" spans="9:19" x14ac:dyDescent="0.25">
      <c r="I116">
        <v>44</v>
      </c>
      <c r="J116" s="4">
        <f t="shared" ref="J116:S116" si="7">IF(J88&lt;0,"",J88/100)</f>
        <v>0.17885699999999999</v>
      </c>
      <c r="K116" s="4">
        <f t="shared" si="7"/>
        <v>0.18776700000000002</v>
      </c>
      <c r="L116" s="4">
        <f t="shared" si="7"/>
        <v>0.25681949999999998</v>
      </c>
      <c r="M116" s="4">
        <f t="shared" si="7"/>
        <v>0.24790949999999998</v>
      </c>
      <c r="N116" s="4">
        <f t="shared" si="7"/>
        <v>0.25681949999999998</v>
      </c>
      <c r="O116" s="4">
        <f t="shared" si="7"/>
        <v>0.24345450000000002</v>
      </c>
      <c r="P116" s="4">
        <f t="shared" si="7"/>
        <v>0.23677200000000004</v>
      </c>
      <c r="Q116" s="4">
        <f t="shared" si="7"/>
        <v>0.16326450000000001</v>
      </c>
      <c r="R116" s="4">
        <f t="shared" si="7"/>
        <v>0.129852</v>
      </c>
      <c r="S116" s="4">
        <f t="shared" si="7"/>
        <v>0.15635925000000001</v>
      </c>
    </row>
    <row r="117" spans="9:19" x14ac:dyDescent="0.25">
      <c r="I117">
        <v>51</v>
      </c>
      <c r="J117" s="4">
        <f t="shared" ref="J117:S123" si="8">IF(J89&lt;0,"",J89/100)</f>
        <v>0.267957</v>
      </c>
      <c r="K117" s="4">
        <f t="shared" si="8"/>
        <v>0.26127450000000002</v>
      </c>
      <c r="L117" s="4">
        <f t="shared" si="8"/>
        <v>0.25681949999999998</v>
      </c>
      <c r="M117" s="4">
        <f t="shared" si="8"/>
        <v>0.26572949999999995</v>
      </c>
      <c r="N117" s="4">
        <f t="shared" si="8"/>
        <v>0.2389995</v>
      </c>
      <c r="O117" s="4">
        <f t="shared" si="8"/>
        <v>0.21895199999999998</v>
      </c>
      <c r="P117" s="4">
        <f t="shared" si="8"/>
        <v>0.20113199999999998</v>
      </c>
      <c r="Q117" s="4">
        <f t="shared" si="8"/>
        <v>0.21449699999999999</v>
      </c>
      <c r="R117" s="4">
        <f t="shared" si="8"/>
        <v>0.22786200000000001</v>
      </c>
      <c r="S117" s="4">
        <f t="shared" si="8"/>
        <v>0.2470185</v>
      </c>
    </row>
    <row r="118" spans="9:19" x14ac:dyDescent="0.25">
      <c r="I118">
        <v>52</v>
      </c>
      <c r="J118" s="4">
        <f t="shared" si="8"/>
        <v>0.25459199999999998</v>
      </c>
      <c r="K118" s="4">
        <f t="shared" si="8"/>
        <v>0.24568199999999998</v>
      </c>
      <c r="L118" s="4">
        <f t="shared" si="8"/>
        <v>0.27018449999999999</v>
      </c>
      <c r="M118" s="4">
        <f t="shared" si="8"/>
        <v>0.2880045</v>
      </c>
      <c r="N118" s="4">
        <f t="shared" si="8"/>
        <v>0.29245950000000004</v>
      </c>
      <c r="O118" s="4">
        <f t="shared" si="8"/>
        <v>0.24568199999999998</v>
      </c>
      <c r="P118" s="4">
        <f t="shared" si="8"/>
        <v>0.23677200000000004</v>
      </c>
      <c r="Q118" s="4">
        <f t="shared" si="8"/>
        <v>0.20558699999999999</v>
      </c>
      <c r="R118" s="4">
        <f t="shared" si="8"/>
        <v>0.1944495</v>
      </c>
      <c r="S118" s="4">
        <f t="shared" si="8"/>
        <v>0.22496624999999998</v>
      </c>
    </row>
    <row r="119" spans="9:19" x14ac:dyDescent="0.25">
      <c r="I119">
        <v>53</v>
      </c>
      <c r="J119" s="4">
        <f t="shared" si="8"/>
        <v>0.24790949999999998</v>
      </c>
      <c r="K119" s="4">
        <f t="shared" si="8"/>
        <v>0.24568199999999998</v>
      </c>
      <c r="L119" s="4">
        <f t="shared" si="8"/>
        <v>0.25236449999999999</v>
      </c>
      <c r="M119" s="4">
        <f t="shared" si="8"/>
        <v>0.27909450000000002</v>
      </c>
      <c r="N119" s="4">
        <f t="shared" si="8"/>
        <v>0.26572949999999995</v>
      </c>
      <c r="O119" s="4">
        <f t="shared" si="8"/>
        <v>0.25236449999999999</v>
      </c>
      <c r="P119" s="4">
        <f t="shared" si="8"/>
        <v>0.21895199999999998</v>
      </c>
      <c r="Q119" s="4">
        <f t="shared" si="8"/>
        <v>0.13430700000000001</v>
      </c>
      <c r="R119" s="4">
        <f t="shared" si="8"/>
        <v>0.1276245</v>
      </c>
      <c r="S119" s="4">
        <f t="shared" si="8"/>
        <v>0.14410800000000001</v>
      </c>
    </row>
    <row r="120" spans="9:19" x14ac:dyDescent="0.25">
      <c r="I120">
        <v>54</v>
      </c>
      <c r="J120" s="4">
        <f t="shared" si="8"/>
        <v>0.23677200000000004</v>
      </c>
      <c r="K120" s="4">
        <f t="shared" si="8"/>
        <v>0.2389995</v>
      </c>
      <c r="L120" s="4">
        <f t="shared" si="8"/>
        <v>0.23008950000000003</v>
      </c>
      <c r="M120" s="4">
        <f t="shared" si="8"/>
        <v>0.26572949999999995</v>
      </c>
      <c r="N120" s="4">
        <f t="shared" si="8"/>
        <v>0.26572949999999995</v>
      </c>
      <c r="O120" s="4">
        <f t="shared" si="8"/>
        <v>0.25459199999999998</v>
      </c>
      <c r="P120" s="4">
        <f t="shared" si="8"/>
        <v>0.2122695</v>
      </c>
      <c r="Q120" s="4">
        <f t="shared" si="8"/>
        <v>0.156582</v>
      </c>
      <c r="R120" s="4">
        <f t="shared" si="8"/>
        <v>0.13430700000000001</v>
      </c>
      <c r="S120" s="4">
        <f t="shared" si="8"/>
        <v>0.20781450000000004</v>
      </c>
    </row>
    <row r="121" spans="9:19" x14ac:dyDescent="0.25">
      <c r="I121">
        <v>61</v>
      </c>
      <c r="J121" s="4">
        <f t="shared" si="8"/>
        <v>0.21449699999999999</v>
      </c>
      <c r="K121" s="4">
        <f t="shared" si="8"/>
        <v>0.16771949999999999</v>
      </c>
      <c r="L121" s="4">
        <f t="shared" si="8"/>
        <v>0.17885699999999999</v>
      </c>
      <c r="M121" s="4">
        <f t="shared" si="8"/>
        <v>0.2122695</v>
      </c>
      <c r="N121" s="4">
        <f t="shared" si="8"/>
        <v>0.22786200000000001</v>
      </c>
      <c r="O121" s="4">
        <f t="shared" si="8"/>
        <v>0.18776700000000002</v>
      </c>
      <c r="P121" s="4">
        <f t="shared" si="8"/>
        <v>0.17662950000000002</v>
      </c>
      <c r="Q121" s="4">
        <f t="shared" si="8"/>
        <v>0.16994700000000001</v>
      </c>
      <c r="R121" s="4">
        <f t="shared" si="8"/>
        <v>0.16994700000000001</v>
      </c>
      <c r="S121" s="4">
        <f t="shared" si="8"/>
        <v>0.17351100000000003</v>
      </c>
    </row>
    <row r="122" spans="9:19" x14ac:dyDescent="0.25">
      <c r="I122">
        <v>62</v>
      </c>
      <c r="J122" s="4">
        <f t="shared" si="8"/>
        <v>0.2389995</v>
      </c>
      <c r="K122" s="4">
        <f t="shared" si="8"/>
        <v>0.24122700000000002</v>
      </c>
      <c r="L122" s="4">
        <f t="shared" si="8"/>
        <v>0.25681949999999998</v>
      </c>
      <c r="M122" s="4">
        <f t="shared" si="8"/>
        <v>0.20113199999999998</v>
      </c>
      <c r="N122" s="4">
        <f t="shared" si="8"/>
        <v>0.20558699999999999</v>
      </c>
      <c r="O122" s="4">
        <f t="shared" si="8"/>
        <v>0.20558699999999999</v>
      </c>
      <c r="P122" s="4">
        <f t="shared" si="8"/>
        <v>0.13430700000000001</v>
      </c>
      <c r="Q122" s="4">
        <f t="shared" si="8"/>
        <v>0.14098950000000002</v>
      </c>
      <c r="R122" s="4">
        <f t="shared" si="8"/>
        <v>0.18108450000000001</v>
      </c>
      <c r="S122" s="4">
        <f t="shared" si="8"/>
        <v>0.21761549999999999</v>
      </c>
    </row>
    <row r="123" spans="9:19" x14ac:dyDescent="0.25">
      <c r="I123">
        <v>63</v>
      </c>
      <c r="J123" s="4">
        <f t="shared" si="8"/>
        <v>0.26572949999999995</v>
      </c>
      <c r="K123" s="4">
        <f t="shared" si="8"/>
        <v>0.23454450000000002</v>
      </c>
      <c r="L123" s="4">
        <f t="shared" si="8"/>
        <v>0.22340700000000002</v>
      </c>
      <c r="M123" s="4">
        <f t="shared" si="8"/>
        <v>0.20781449999999999</v>
      </c>
      <c r="N123" s="4">
        <f t="shared" si="8"/>
        <v>0.22340700000000002</v>
      </c>
      <c r="O123" s="4">
        <f t="shared" si="8"/>
        <v>0.22340700000000002</v>
      </c>
      <c r="P123" s="4">
        <f t="shared" si="8"/>
        <v>0.174402</v>
      </c>
      <c r="Q123" s="4">
        <f t="shared" si="8"/>
        <v>0.1454445</v>
      </c>
      <c r="R123" s="4">
        <f t="shared" si="8"/>
        <v>0.14098950000000002</v>
      </c>
      <c r="S123" s="4">
        <f t="shared" si="8"/>
        <v>0.18086175000000002</v>
      </c>
    </row>
    <row r="124" spans="9:19" x14ac:dyDescent="0.25">
      <c r="I124">
        <v>64</v>
      </c>
      <c r="J124" s="4">
        <f t="shared" ref="J124:S124" si="9">IF(J96&lt;0,"",J96/100)</f>
        <v>0.27018449999999999</v>
      </c>
      <c r="K124" s="4">
        <f t="shared" si="9"/>
        <v>0.25236449999999999</v>
      </c>
      <c r="L124" s="4">
        <f t="shared" si="9"/>
        <v>0.21449699999999999</v>
      </c>
      <c r="M124" s="4">
        <f t="shared" si="9"/>
        <v>0.23677200000000004</v>
      </c>
      <c r="N124" s="4">
        <f t="shared" si="9"/>
        <v>0.25236449999999999</v>
      </c>
      <c r="O124" s="4">
        <f t="shared" si="9"/>
        <v>0.232317</v>
      </c>
      <c r="P124" s="4">
        <f t="shared" si="9"/>
        <v>0.18776700000000002</v>
      </c>
      <c r="Q124" s="4">
        <f t="shared" si="9"/>
        <v>0.11871450000000003</v>
      </c>
      <c r="R124" s="4">
        <f t="shared" si="9"/>
        <v>0.12316949999999999</v>
      </c>
      <c r="S124" s="4">
        <f t="shared" si="9"/>
        <v>0.18821250000000003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D3AF-35F1-46DE-A08B-DBB74C8EB9E0}">
  <dimension ref="A1:T124"/>
  <sheetViews>
    <sheetView topLeftCell="E53" workbookViewId="0">
      <selection activeCell="M122" sqref="M12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2</v>
      </c>
      <c r="E1">
        <v>10379</v>
      </c>
      <c r="F1">
        <v>0</v>
      </c>
      <c r="G1">
        <v>10</v>
      </c>
      <c r="H1">
        <v>1832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7</v>
      </c>
      <c r="G18">
        <v>27</v>
      </c>
      <c r="H18">
        <v>6</v>
      </c>
      <c r="I18">
        <v>31</v>
      </c>
      <c r="J18">
        <v>10831</v>
      </c>
      <c r="K18">
        <v>11478</v>
      </c>
      <c r="L18">
        <v>13246</v>
      </c>
      <c r="M18">
        <v>14729</v>
      </c>
      <c r="N18">
        <v>13234</v>
      </c>
      <c r="O18">
        <v>14343</v>
      </c>
      <c r="P18">
        <v>15095</v>
      </c>
      <c r="Q18">
        <v>14517</v>
      </c>
      <c r="R18">
        <v>13967</v>
      </c>
      <c r="S18">
        <v>13422</v>
      </c>
      <c r="T18">
        <v>4328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7</v>
      </c>
      <c r="G19">
        <v>27</v>
      </c>
      <c r="H19">
        <v>6</v>
      </c>
      <c r="I19">
        <v>35</v>
      </c>
      <c r="J19">
        <v>13805</v>
      </c>
      <c r="K19">
        <v>14113</v>
      </c>
      <c r="L19">
        <v>12218</v>
      </c>
      <c r="M19">
        <v>11703</v>
      </c>
      <c r="N19">
        <v>10594</v>
      </c>
      <c r="O19">
        <v>10932</v>
      </c>
      <c r="P19">
        <v>9645</v>
      </c>
      <c r="Q19">
        <v>11609</v>
      </c>
      <c r="R19">
        <v>10941</v>
      </c>
      <c r="S19">
        <v>9027</v>
      </c>
      <c r="T19">
        <v>4219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7</v>
      </c>
      <c r="G20">
        <v>27</v>
      </c>
      <c r="H20">
        <v>6</v>
      </c>
      <c r="I20">
        <v>31</v>
      </c>
      <c r="J20">
        <v>12839</v>
      </c>
      <c r="K20">
        <v>12050</v>
      </c>
      <c r="L20">
        <v>12745</v>
      </c>
      <c r="M20">
        <v>13780</v>
      </c>
      <c r="N20">
        <v>14173</v>
      </c>
      <c r="O20">
        <v>13006</v>
      </c>
      <c r="P20">
        <v>10554</v>
      </c>
      <c r="Q20">
        <v>10250</v>
      </c>
      <c r="R20">
        <v>11543</v>
      </c>
      <c r="S20">
        <v>11500</v>
      </c>
      <c r="T20">
        <v>4288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7</v>
      </c>
      <c r="G21">
        <v>27</v>
      </c>
      <c r="H21">
        <v>6</v>
      </c>
      <c r="I21">
        <v>43</v>
      </c>
      <c r="J21">
        <v>14674</v>
      </c>
      <c r="K21">
        <v>14352</v>
      </c>
      <c r="L21">
        <v>14925</v>
      </c>
      <c r="M21">
        <v>14440</v>
      </c>
      <c r="N21">
        <v>12784</v>
      </c>
      <c r="O21">
        <v>11957</v>
      </c>
      <c r="P21">
        <v>12915</v>
      </c>
      <c r="Q21">
        <v>14012</v>
      </c>
      <c r="R21">
        <v>13030</v>
      </c>
      <c r="S21">
        <v>12551</v>
      </c>
      <c r="T21">
        <v>4314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7</v>
      </c>
      <c r="G22">
        <v>27</v>
      </c>
      <c r="H22">
        <v>6</v>
      </c>
      <c r="I22">
        <v>41</v>
      </c>
      <c r="J22">
        <v>10300</v>
      </c>
      <c r="K22">
        <v>9061</v>
      </c>
      <c r="L22">
        <v>8246</v>
      </c>
      <c r="M22">
        <v>7500</v>
      </c>
      <c r="N22">
        <v>6534</v>
      </c>
      <c r="O22">
        <v>6377</v>
      </c>
      <c r="P22">
        <v>6885</v>
      </c>
      <c r="Q22">
        <v>7454</v>
      </c>
      <c r="R22">
        <v>9228</v>
      </c>
      <c r="S22">
        <v>12215</v>
      </c>
      <c r="T22">
        <v>3936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7</v>
      </c>
      <c r="G23">
        <v>27</v>
      </c>
      <c r="H23">
        <v>6</v>
      </c>
      <c r="I23">
        <v>53</v>
      </c>
      <c r="J23">
        <v>13750</v>
      </c>
      <c r="K23">
        <v>13530</v>
      </c>
      <c r="L23">
        <v>14664</v>
      </c>
      <c r="M23">
        <v>15342</v>
      </c>
      <c r="N23">
        <v>13962</v>
      </c>
      <c r="O23">
        <v>10706</v>
      </c>
      <c r="P23">
        <v>9661</v>
      </c>
      <c r="Q23">
        <v>10123</v>
      </c>
      <c r="R23">
        <v>11132</v>
      </c>
      <c r="S23">
        <v>9755</v>
      </c>
      <c r="T23">
        <v>4223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7</v>
      </c>
      <c r="G24">
        <v>27</v>
      </c>
      <c r="H24">
        <v>6</v>
      </c>
      <c r="I24">
        <v>57</v>
      </c>
      <c r="J24">
        <v>14480</v>
      </c>
      <c r="K24">
        <v>13888</v>
      </c>
      <c r="L24">
        <v>13576</v>
      </c>
      <c r="M24">
        <v>13842</v>
      </c>
      <c r="N24">
        <v>13047</v>
      </c>
      <c r="O24">
        <v>10388</v>
      </c>
      <c r="P24">
        <v>8264</v>
      </c>
      <c r="Q24">
        <v>10994</v>
      </c>
      <c r="R24">
        <v>11462</v>
      </c>
      <c r="S24">
        <v>11831</v>
      </c>
      <c r="T24">
        <v>4310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7</v>
      </c>
      <c r="G25">
        <v>27</v>
      </c>
      <c r="H25">
        <v>7</v>
      </c>
      <c r="I25">
        <v>1</v>
      </c>
      <c r="J25">
        <v>15270</v>
      </c>
      <c r="K25">
        <v>14059</v>
      </c>
      <c r="L25">
        <v>14208</v>
      </c>
      <c r="M25">
        <v>14084</v>
      </c>
      <c r="N25">
        <v>13861</v>
      </c>
      <c r="O25">
        <v>13401</v>
      </c>
      <c r="P25">
        <v>11269</v>
      </c>
      <c r="Q25">
        <v>12725</v>
      </c>
      <c r="R25">
        <v>12019</v>
      </c>
      <c r="S25">
        <v>12735</v>
      </c>
      <c r="T25">
        <v>4315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7</v>
      </c>
      <c r="G26">
        <v>27</v>
      </c>
      <c r="H26">
        <v>7</v>
      </c>
      <c r="I26">
        <v>5</v>
      </c>
      <c r="J26">
        <v>15401</v>
      </c>
      <c r="K26">
        <v>14490</v>
      </c>
      <c r="L26">
        <v>14971</v>
      </c>
      <c r="M26">
        <v>15073</v>
      </c>
      <c r="N26">
        <v>14847</v>
      </c>
      <c r="O26">
        <v>13063</v>
      </c>
      <c r="P26">
        <v>10179</v>
      </c>
      <c r="Q26">
        <v>10110</v>
      </c>
      <c r="R26">
        <v>10362</v>
      </c>
      <c r="S26">
        <v>10751</v>
      </c>
      <c r="T26">
        <v>4308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7</v>
      </c>
      <c r="G27">
        <v>27</v>
      </c>
      <c r="H27">
        <v>7</v>
      </c>
      <c r="I27">
        <v>27</v>
      </c>
      <c r="J27">
        <v>11466</v>
      </c>
      <c r="K27">
        <v>10781</v>
      </c>
      <c r="L27">
        <v>9829</v>
      </c>
      <c r="M27">
        <v>9330</v>
      </c>
      <c r="N27">
        <v>8689</v>
      </c>
      <c r="O27">
        <v>8296</v>
      </c>
      <c r="P27">
        <v>8345</v>
      </c>
      <c r="Q27">
        <v>10276</v>
      </c>
      <c r="R27">
        <v>11079</v>
      </c>
      <c r="S27">
        <v>12345</v>
      </c>
      <c r="T27">
        <v>4123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7</v>
      </c>
      <c r="G28">
        <v>27</v>
      </c>
      <c r="H28">
        <v>7</v>
      </c>
      <c r="I28">
        <v>31</v>
      </c>
      <c r="J28">
        <v>11340</v>
      </c>
      <c r="K28">
        <v>11320</v>
      </c>
      <c r="L28">
        <v>13672</v>
      </c>
      <c r="M28">
        <v>14473</v>
      </c>
      <c r="N28">
        <v>13285</v>
      </c>
      <c r="O28">
        <v>12856</v>
      </c>
      <c r="P28">
        <v>13558</v>
      </c>
      <c r="Q28">
        <v>12754</v>
      </c>
      <c r="R28">
        <v>13413</v>
      </c>
      <c r="S28">
        <v>13305</v>
      </c>
      <c r="T28">
        <v>4314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7</v>
      </c>
      <c r="G29">
        <v>27</v>
      </c>
      <c r="H29">
        <v>7</v>
      </c>
      <c r="I29">
        <v>36</v>
      </c>
      <c r="J29">
        <v>10185</v>
      </c>
      <c r="K29">
        <v>10538</v>
      </c>
      <c r="L29">
        <v>13200</v>
      </c>
      <c r="M29">
        <v>13900</v>
      </c>
      <c r="N29">
        <v>14726</v>
      </c>
      <c r="O29">
        <v>14297</v>
      </c>
      <c r="P29">
        <v>12909</v>
      </c>
      <c r="Q29">
        <v>11432</v>
      </c>
      <c r="R29">
        <v>10220</v>
      </c>
      <c r="S29">
        <v>10729</v>
      </c>
      <c r="T29">
        <v>4308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7</v>
      </c>
      <c r="G30">
        <v>27</v>
      </c>
      <c r="H30">
        <v>7</v>
      </c>
      <c r="I30">
        <v>40</v>
      </c>
      <c r="J30">
        <v>10816</v>
      </c>
      <c r="K30">
        <v>11811</v>
      </c>
      <c r="L30">
        <v>14643</v>
      </c>
      <c r="M30">
        <v>14091</v>
      </c>
      <c r="N30">
        <v>14926</v>
      </c>
      <c r="O30">
        <v>13700</v>
      </c>
      <c r="P30">
        <v>13381</v>
      </c>
      <c r="Q30">
        <v>10425</v>
      </c>
      <c r="R30">
        <v>8732</v>
      </c>
      <c r="S30">
        <v>9225</v>
      </c>
      <c r="T30">
        <v>4216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7</v>
      </c>
      <c r="G31">
        <v>27</v>
      </c>
      <c r="H31">
        <v>7</v>
      </c>
      <c r="I31">
        <v>44</v>
      </c>
      <c r="J31">
        <v>13289</v>
      </c>
      <c r="K31">
        <v>13154</v>
      </c>
      <c r="L31">
        <v>14085</v>
      </c>
      <c r="M31">
        <v>12320</v>
      </c>
      <c r="N31">
        <v>12710</v>
      </c>
      <c r="O31">
        <v>12457</v>
      </c>
      <c r="P31">
        <v>12290</v>
      </c>
      <c r="Q31">
        <v>10041</v>
      </c>
      <c r="R31">
        <v>9590</v>
      </c>
      <c r="S31">
        <v>9806</v>
      </c>
      <c r="T31">
        <v>4216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7</v>
      </c>
      <c r="G32">
        <v>27</v>
      </c>
      <c r="H32">
        <v>7</v>
      </c>
      <c r="I32">
        <v>40</v>
      </c>
      <c r="J32">
        <v>12896</v>
      </c>
      <c r="K32">
        <v>12768</v>
      </c>
      <c r="L32">
        <v>13865</v>
      </c>
      <c r="M32">
        <v>13574</v>
      </c>
      <c r="N32">
        <v>14304</v>
      </c>
      <c r="O32">
        <v>11767</v>
      </c>
      <c r="P32">
        <v>9216</v>
      </c>
      <c r="Q32">
        <v>9664</v>
      </c>
      <c r="R32">
        <v>10922</v>
      </c>
      <c r="S32">
        <v>11105</v>
      </c>
      <c r="T32">
        <v>4242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7</v>
      </c>
      <c r="G33">
        <v>27</v>
      </c>
      <c r="H33">
        <v>7</v>
      </c>
      <c r="I33">
        <v>52</v>
      </c>
      <c r="J33">
        <v>12859</v>
      </c>
      <c r="K33">
        <v>13665</v>
      </c>
      <c r="L33">
        <v>15947</v>
      </c>
      <c r="M33">
        <v>14805</v>
      </c>
      <c r="N33">
        <v>15211</v>
      </c>
      <c r="O33">
        <v>15018</v>
      </c>
      <c r="P33">
        <v>11393</v>
      </c>
      <c r="Q33">
        <v>10032</v>
      </c>
      <c r="R33">
        <v>10375</v>
      </c>
      <c r="S33">
        <v>10878</v>
      </c>
      <c r="T33">
        <v>4285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7</v>
      </c>
      <c r="G34">
        <v>27</v>
      </c>
      <c r="H34">
        <v>7</v>
      </c>
      <c r="I34">
        <v>56</v>
      </c>
      <c r="J34">
        <v>15341</v>
      </c>
      <c r="K34">
        <v>14988</v>
      </c>
      <c r="L34">
        <v>15092</v>
      </c>
      <c r="M34">
        <v>15188</v>
      </c>
      <c r="N34">
        <v>13953</v>
      </c>
      <c r="O34">
        <v>12731</v>
      </c>
      <c r="P34">
        <v>12823</v>
      </c>
      <c r="Q34">
        <v>12808</v>
      </c>
      <c r="R34">
        <v>13756</v>
      </c>
      <c r="S34">
        <v>13512</v>
      </c>
      <c r="T34">
        <v>4307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7</v>
      </c>
      <c r="G35">
        <v>27</v>
      </c>
      <c r="H35">
        <v>8</v>
      </c>
      <c r="I35">
        <v>0</v>
      </c>
      <c r="J35">
        <v>14592</v>
      </c>
      <c r="K35">
        <v>14049</v>
      </c>
      <c r="L35">
        <v>15413</v>
      </c>
      <c r="M35">
        <v>16059</v>
      </c>
      <c r="N35">
        <v>15917</v>
      </c>
      <c r="O35">
        <v>14923</v>
      </c>
      <c r="P35">
        <v>14620</v>
      </c>
      <c r="Q35">
        <v>12716</v>
      </c>
      <c r="R35">
        <v>12847</v>
      </c>
      <c r="S35">
        <v>12895</v>
      </c>
      <c r="T35">
        <v>4301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7</v>
      </c>
      <c r="G36">
        <v>27</v>
      </c>
      <c r="H36">
        <v>8</v>
      </c>
      <c r="I36">
        <v>4</v>
      </c>
      <c r="J36">
        <v>14311</v>
      </c>
      <c r="K36">
        <v>14093</v>
      </c>
      <c r="L36">
        <v>14810</v>
      </c>
      <c r="M36">
        <v>15619</v>
      </c>
      <c r="N36">
        <v>15280</v>
      </c>
      <c r="O36">
        <v>14474</v>
      </c>
      <c r="P36">
        <v>12397</v>
      </c>
      <c r="Q36">
        <v>8829</v>
      </c>
      <c r="R36">
        <v>8803</v>
      </c>
      <c r="S36">
        <v>8914</v>
      </c>
      <c r="T36">
        <v>4156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7</v>
      </c>
      <c r="G37">
        <v>27</v>
      </c>
      <c r="H37">
        <v>8</v>
      </c>
      <c r="I37">
        <v>0</v>
      </c>
      <c r="J37">
        <v>13806</v>
      </c>
      <c r="K37">
        <v>13702</v>
      </c>
      <c r="L37">
        <v>13533</v>
      </c>
      <c r="M37">
        <v>15177</v>
      </c>
      <c r="N37">
        <v>15352</v>
      </c>
      <c r="O37">
        <v>14465</v>
      </c>
      <c r="P37">
        <v>11855</v>
      </c>
      <c r="Q37">
        <v>10417</v>
      </c>
      <c r="R37">
        <v>9727</v>
      </c>
      <c r="S37">
        <v>10680</v>
      </c>
      <c r="T37">
        <v>4234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7</v>
      </c>
      <c r="G38">
        <v>27</v>
      </c>
      <c r="H38">
        <v>8</v>
      </c>
      <c r="I38">
        <v>12</v>
      </c>
      <c r="J38">
        <v>15309</v>
      </c>
      <c r="K38">
        <v>15010</v>
      </c>
      <c r="L38">
        <v>12754</v>
      </c>
      <c r="M38">
        <v>13623</v>
      </c>
      <c r="N38">
        <v>14565</v>
      </c>
      <c r="O38">
        <v>13795</v>
      </c>
      <c r="P38">
        <v>11449</v>
      </c>
      <c r="Q38">
        <v>8552</v>
      </c>
      <c r="R38">
        <v>8646</v>
      </c>
      <c r="S38">
        <v>10377</v>
      </c>
      <c r="T38">
        <v>4198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7</v>
      </c>
      <c r="G39">
        <v>27</v>
      </c>
      <c r="H39">
        <v>8</v>
      </c>
      <c r="I39">
        <v>16</v>
      </c>
      <c r="J39">
        <v>15066</v>
      </c>
      <c r="K39">
        <v>14093</v>
      </c>
      <c r="L39">
        <v>13086</v>
      </c>
      <c r="M39">
        <v>12464</v>
      </c>
      <c r="N39">
        <v>13093</v>
      </c>
      <c r="O39">
        <v>13461</v>
      </c>
      <c r="P39">
        <v>11037</v>
      </c>
      <c r="Q39">
        <v>9199</v>
      </c>
      <c r="R39">
        <v>9433</v>
      </c>
      <c r="S39">
        <v>11017</v>
      </c>
      <c r="T39">
        <v>4183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7</v>
      </c>
      <c r="G40">
        <v>27</v>
      </c>
      <c r="H40">
        <v>8</v>
      </c>
      <c r="I40">
        <v>20</v>
      </c>
      <c r="J40">
        <v>13459</v>
      </c>
      <c r="K40">
        <v>14170</v>
      </c>
      <c r="L40">
        <v>14795</v>
      </c>
      <c r="M40">
        <v>12355</v>
      </c>
      <c r="N40">
        <v>11626</v>
      </c>
      <c r="O40">
        <v>11407</v>
      </c>
      <c r="P40">
        <v>9004</v>
      </c>
      <c r="Q40">
        <v>9238</v>
      </c>
      <c r="R40">
        <v>10637</v>
      </c>
      <c r="S40">
        <v>11870</v>
      </c>
      <c r="T40">
        <v>4180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7</v>
      </c>
      <c r="G41">
        <v>27</v>
      </c>
      <c r="H41">
        <v>8</v>
      </c>
      <c r="I41">
        <v>24</v>
      </c>
      <c r="J41">
        <v>12595</v>
      </c>
      <c r="K41">
        <v>10729</v>
      </c>
      <c r="L41">
        <v>11098</v>
      </c>
      <c r="M41">
        <v>12859</v>
      </c>
      <c r="N41">
        <v>13685</v>
      </c>
      <c r="O41">
        <v>11216</v>
      </c>
      <c r="P41">
        <v>10964</v>
      </c>
      <c r="Q41">
        <v>10500</v>
      </c>
      <c r="R41">
        <v>10699</v>
      </c>
      <c r="S41">
        <v>10781</v>
      </c>
      <c r="T41">
        <v>4289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7</v>
      </c>
      <c r="G45">
        <v>27</v>
      </c>
      <c r="H45">
        <v>6</v>
      </c>
      <c r="I45">
        <v>31</v>
      </c>
      <c r="J45">
        <v>10831</v>
      </c>
      <c r="K45">
        <v>11478</v>
      </c>
      <c r="L45">
        <v>13246</v>
      </c>
      <c r="M45">
        <v>14729</v>
      </c>
      <c r="N45">
        <v>13234</v>
      </c>
      <c r="O45">
        <v>14343</v>
      </c>
      <c r="P45">
        <v>15095</v>
      </c>
      <c r="Q45">
        <v>14517</v>
      </c>
      <c r="R45">
        <v>13967</v>
      </c>
      <c r="S45">
        <v>13422</v>
      </c>
      <c r="T45">
        <v>4328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7</v>
      </c>
      <c r="G46">
        <v>27</v>
      </c>
      <c r="H46">
        <v>6</v>
      </c>
      <c r="I46">
        <v>35</v>
      </c>
      <c r="J46">
        <v>13805</v>
      </c>
      <c r="K46">
        <v>14113</v>
      </c>
      <c r="L46">
        <v>12218</v>
      </c>
      <c r="M46">
        <v>11703</v>
      </c>
      <c r="N46">
        <v>10594</v>
      </c>
      <c r="O46">
        <v>10932</v>
      </c>
      <c r="P46">
        <v>9645</v>
      </c>
      <c r="Q46">
        <v>11609</v>
      </c>
      <c r="R46">
        <v>10941</v>
      </c>
      <c r="S46">
        <v>9027</v>
      </c>
      <c r="T46">
        <v>4219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7</v>
      </c>
      <c r="G47">
        <v>27</v>
      </c>
      <c r="H47">
        <v>6</v>
      </c>
      <c r="I47">
        <v>31</v>
      </c>
      <c r="J47">
        <v>12839</v>
      </c>
      <c r="K47">
        <v>12050</v>
      </c>
      <c r="L47">
        <v>12745</v>
      </c>
      <c r="M47">
        <v>13780</v>
      </c>
      <c r="N47">
        <v>14173</v>
      </c>
      <c r="O47">
        <v>13006</v>
      </c>
      <c r="P47">
        <v>10554</v>
      </c>
      <c r="Q47">
        <v>10250</v>
      </c>
      <c r="R47">
        <v>11543</v>
      </c>
      <c r="S47">
        <v>11500</v>
      </c>
      <c r="T47">
        <v>4288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7</v>
      </c>
      <c r="G48">
        <v>27</v>
      </c>
      <c r="H48">
        <v>6</v>
      </c>
      <c r="I48">
        <v>43</v>
      </c>
      <c r="J48">
        <v>14674</v>
      </c>
      <c r="K48">
        <v>14352</v>
      </c>
      <c r="L48">
        <v>14925</v>
      </c>
      <c r="M48">
        <v>14440</v>
      </c>
      <c r="N48">
        <v>12784</v>
      </c>
      <c r="O48">
        <v>11957</v>
      </c>
      <c r="P48">
        <v>12915</v>
      </c>
      <c r="Q48">
        <v>14012</v>
      </c>
      <c r="R48">
        <v>13030</v>
      </c>
      <c r="S48">
        <v>12551</v>
      </c>
      <c r="T48">
        <v>4314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7</v>
      </c>
      <c r="G49">
        <v>27</v>
      </c>
      <c r="H49">
        <v>7</v>
      </c>
      <c r="I49">
        <v>1</v>
      </c>
      <c r="J49">
        <v>15270</v>
      </c>
      <c r="K49">
        <v>14059</v>
      </c>
      <c r="L49">
        <v>14208</v>
      </c>
      <c r="M49">
        <v>14084</v>
      </c>
      <c r="N49">
        <v>13861</v>
      </c>
      <c r="O49">
        <v>13401</v>
      </c>
      <c r="P49">
        <v>11269</v>
      </c>
      <c r="Q49">
        <v>12725</v>
      </c>
      <c r="R49">
        <v>12019</v>
      </c>
      <c r="S49">
        <v>12735</v>
      </c>
      <c r="T49">
        <v>4315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7</v>
      </c>
      <c r="G50">
        <v>27</v>
      </c>
      <c r="H50">
        <v>6</v>
      </c>
      <c r="I50">
        <v>57</v>
      </c>
      <c r="J50">
        <v>14480</v>
      </c>
      <c r="K50">
        <v>13888</v>
      </c>
      <c r="L50">
        <v>13576</v>
      </c>
      <c r="M50">
        <v>13842</v>
      </c>
      <c r="N50">
        <v>13047</v>
      </c>
      <c r="O50">
        <v>10388</v>
      </c>
      <c r="P50">
        <v>8264</v>
      </c>
      <c r="Q50">
        <v>10994</v>
      </c>
      <c r="R50">
        <v>11462</v>
      </c>
      <c r="S50">
        <v>11831</v>
      </c>
      <c r="T50">
        <v>4310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7</v>
      </c>
      <c r="G51">
        <v>27</v>
      </c>
      <c r="H51">
        <v>6</v>
      </c>
      <c r="I51">
        <v>53</v>
      </c>
      <c r="J51">
        <v>13750</v>
      </c>
      <c r="K51">
        <v>13530</v>
      </c>
      <c r="L51">
        <v>14664</v>
      </c>
      <c r="M51">
        <v>15342</v>
      </c>
      <c r="N51">
        <v>13962</v>
      </c>
      <c r="O51">
        <v>10706</v>
      </c>
      <c r="P51">
        <v>9661</v>
      </c>
      <c r="Q51">
        <v>10123</v>
      </c>
      <c r="R51">
        <v>11132</v>
      </c>
      <c r="S51">
        <v>9755</v>
      </c>
      <c r="T51">
        <v>4223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7</v>
      </c>
      <c r="G52">
        <v>27</v>
      </c>
      <c r="H52">
        <v>6</v>
      </c>
      <c r="I52">
        <v>41</v>
      </c>
      <c r="J52">
        <v>10300</v>
      </c>
      <c r="K52">
        <v>9061</v>
      </c>
      <c r="L52">
        <v>8246</v>
      </c>
      <c r="M52">
        <v>7500</v>
      </c>
      <c r="N52">
        <v>6534</v>
      </c>
      <c r="O52">
        <v>6377</v>
      </c>
      <c r="P52">
        <v>6885</v>
      </c>
      <c r="Q52">
        <v>7454</v>
      </c>
      <c r="R52">
        <v>9228</v>
      </c>
      <c r="S52">
        <v>12215</v>
      </c>
      <c r="T52">
        <v>3936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7</v>
      </c>
      <c r="G53">
        <v>27</v>
      </c>
      <c r="H53">
        <v>7</v>
      </c>
      <c r="I53">
        <v>5</v>
      </c>
      <c r="J53">
        <v>15401</v>
      </c>
      <c r="K53">
        <v>14490</v>
      </c>
      <c r="L53">
        <v>14971</v>
      </c>
      <c r="M53">
        <v>15073</v>
      </c>
      <c r="N53">
        <v>14847</v>
      </c>
      <c r="O53">
        <v>13063</v>
      </c>
      <c r="P53">
        <v>10179</v>
      </c>
      <c r="Q53">
        <v>10110</v>
      </c>
      <c r="R53">
        <v>10362</v>
      </c>
      <c r="S53">
        <v>10751</v>
      </c>
      <c r="T53">
        <v>4308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7</v>
      </c>
      <c r="G54">
        <v>27</v>
      </c>
      <c r="H54">
        <v>7</v>
      </c>
      <c r="I54">
        <v>27</v>
      </c>
      <c r="J54">
        <v>11466</v>
      </c>
      <c r="K54">
        <v>10781</v>
      </c>
      <c r="L54">
        <v>9829</v>
      </c>
      <c r="M54">
        <v>9330</v>
      </c>
      <c r="N54">
        <v>8689</v>
      </c>
      <c r="O54">
        <v>8296</v>
      </c>
      <c r="P54">
        <v>8345</v>
      </c>
      <c r="Q54">
        <v>10276</v>
      </c>
      <c r="R54">
        <v>11079</v>
      </c>
      <c r="S54">
        <v>12345</v>
      </c>
      <c r="T54">
        <v>4123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7</v>
      </c>
      <c r="G55">
        <v>27</v>
      </c>
      <c r="H55">
        <v>7</v>
      </c>
      <c r="I55">
        <v>31</v>
      </c>
      <c r="J55">
        <v>11340</v>
      </c>
      <c r="K55">
        <v>11320</v>
      </c>
      <c r="L55">
        <v>13672</v>
      </c>
      <c r="M55">
        <v>14473</v>
      </c>
      <c r="N55">
        <v>13285</v>
      </c>
      <c r="O55">
        <v>12856</v>
      </c>
      <c r="P55">
        <v>13558</v>
      </c>
      <c r="Q55">
        <v>12754</v>
      </c>
      <c r="R55">
        <v>13413</v>
      </c>
      <c r="S55">
        <v>13305</v>
      </c>
      <c r="T55">
        <v>4314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7</v>
      </c>
      <c r="G56">
        <v>27</v>
      </c>
      <c r="H56">
        <v>7</v>
      </c>
      <c r="I56">
        <v>36</v>
      </c>
      <c r="J56">
        <v>10185</v>
      </c>
      <c r="K56">
        <v>10538</v>
      </c>
      <c r="L56">
        <v>13200</v>
      </c>
      <c r="M56">
        <v>13900</v>
      </c>
      <c r="N56">
        <v>14726</v>
      </c>
      <c r="O56">
        <v>14297</v>
      </c>
      <c r="P56">
        <v>12909</v>
      </c>
      <c r="Q56">
        <v>11432</v>
      </c>
      <c r="R56">
        <v>10220</v>
      </c>
      <c r="S56">
        <v>10729</v>
      </c>
      <c r="T56">
        <v>4308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7</v>
      </c>
      <c r="G57">
        <v>27</v>
      </c>
      <c r="H57">
        <v>7</v>
      </c>
      <c r="I57">
        <v>52</v>
      </c>
      <c r="J57">
        <v>12859</v>
      </c>
      <c r="K57">
        <v>13665</v>
      </c>
      <c r="L57">
        <v>15947</v>
      </c>
      <c r="M57">
        <v>14805</v>
      </c>
      <c r="N57">
        <v>15211</v>
      </c>
      <c r="O57">
        <v>15018</v>
      </c>
      <c r="P57">
        <v>11393</v>
      </c>
      <c r="Q57">
        <v>10032</v>
      </c>
      <c r="R57">
        <v>10375</v>
      </c>
      <c r="S57">
        <v>10878</v>
      </c>
      <c r="T57">
        <v>4285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7</v>
      </c>
      <c r="G58">
        <v>27</v>
      </c>
      <c r="H58">
        <v>7</v>
      </c>
      <c r="I58">
        <v>40</v>
      </c>
      <c r="J58">
        <v>12896</v>
      </c>
      <c r="K58">
        <v>12768</v>
      </c>
      <c r="L58">
        <v>13865</v>
      </c>
      <c r="M58">
        <v>13574</v>
      </c>
      <c r="N58">
        <v>14304</v>
      </c>
      <c r="O58">
        <v>11767</v>
      </c>
      <c r="P58">
        <v>9216</v>
      </c>
      <c r="Q58">
        <v>9664</v>
      </c>
      <c r="R58">
        <v>10922</v>
      </c>
      <c r="S58">
        <v>11105</v>
      </c>
      <c r="T58">
        <v>4242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7</v>
      </c>
      <c r="G59">
        <v>27</v>
      </c>
      <c r="H59">
        <v>7</v>
      </c>
      <c r="I59">
        <v>44</v>
      </c>
      <c r="J59">
        <v>13289</v>
      </c>
      <c r="K59">
        <v>13154</v>
      </c>
      <c r="L59">
        <v>14085</v>
      </c>
      <c r="M59">
        <v>12320</v>
      </c>
      <c r="N59">
        <v>12710</v>
      </c>
      <c r="O59">
        <v>12457</v>
      </c>
      <c r="P59">
        <v>12290</v>
      </c>
      <c r="Q59">
        <v>10041</v>
      </c>
      <c r="R59">
        <v>9590</v>
      </c>
      <c r="S59">
        <v>9806</v>
      </c>
      <c r="T59">
        <v>4216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7</v>
      </c>
      <c r="G60">
        <v>27</v>
      </c>
      <c r="H60">
        <v>7</v>
      </c>
      <c r="I60">
        <v>40</v>
      </c>
      <c r="J60">
        <v>10816</v>
      </c>
      <c r="K60">
        <v>11811</v>
      </c>
      <c r="L60">
        <v>14643</v>
      </c>
      <c r="M60">
        <v>14091</v>
      </c>
      <c r="N60">
        <v>14926</v>
      </c>
      <c r="O60">
        <v>13700</v>
      </c>
      <c r="P60">
        <v>13381</v>
      </c>
      <c r="Q60">
        <v>10425</v>
      </c>
      <c r="R60">
        <v>8732</v>
      </c>
      <c r="S60">
        <v>9225</v>
      </c>
      <c r="T60">
        <v>4216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7</v>
      </c>
      <c r="G61">
        <v>27</v>
      </c>
      <c r="H61">
        <v>7</v>
      </c>
      <c r="I61">
        <v>56</v>
      </c>
      <c r="J61">
        <v>15341</v>
      </c>
      <c r="K61">
        <v>14988</v>
      </c>
      <c r="L61">
        <v>15092</v>
      </c>
      <c r="M61">
        <v>15188</v>
      </c>
      <c r="N61">
        <v>13953</v>
      </c>
      <c r="O61">
        <v>12731</v>
      </c>
      <c r="P61">
        <v>12823</v>
      </c>
      <c r="Q61">
        <v>12808</v>
      </c>
      <c r="R61">
        <v>13756</v>
      </c>
      <c r="S61">
        <v>13512</v>
      </c>
      <c r="T61">
        <v>4307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7</v>
      </c>
      <c r="G62">
        <v>27</v>
      </c>
      <c r="H62">
        <v>8</v>
      </c>
      <c r="I62">
        <v>0</v>
      </c>
      <c r="J62">
        <v>14592</v>
      </c>
      <c r="K62">
        <v>14049</v>
      </c>
      <c r="L62">
        <v>15413</v>
      </c>
      <c r="M62">
        <v>16059</v>
      </c>
      <c r="N62">
        <v>15917</v>
      </c>
      <c r="O62">
        <v>14923</v>
      </c>
      <c r="P62">
        <v>14620</v>
      </c>
      <c r="Q62">
        <v>12716</v>
      </c>
      <c r="R62">
        <v>12847</v>
      </c>
      <c r="S62">
        <v>12895</v>
      </c>
      <c r="T62">
        <v>4301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7</v>
      </c>
      <c r="G63">
        <v>27</v>
      </c>
      <c r="H63">
        <v>8</v>
      </c>
      <c r="I63">
        <v>4</v>
      </c>
      <c r="J63">
        <v>14311</v>
      </c>
      <c r="K63">
        <v>14093</v>
      </c>
      <c r="L63">
        <v>14810</v>
      </c>
      <c r="M63">
        <v>15619</v>
      </c>
      <c r="N63">
        <v>15280</v>
      </c>
      <c r="O63">
        <v>14474</v>
      </c>
      <c r="P63">
        <v>12397</v>
      </c>
      <c r="Q63">
        <v>8829</v>
      </c>
      <c r="R63">
        <v>8803</v>
      </c>
      <c r="S63">
        <v>8914</v>
      </c>
      <c r="T63">
        <v>4156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7</v>
      </c>
      <c r="G64">
        <v>27</v>
      </c>
      <c r="H64">
        <v>8</v>
      </c>
      <c r="I64">
        <v>0</v>
      </c>
      <c r="J64">
        <v>13806</v>
      </c>
      <c r="K64">
        <v>13702</v>
      </c>
      <c r="L64">
        <v>13533</v>
      </c>
      <c r="M64">
        <v>15177</v>
      </c>
      <c r="N64">
        <v>15352</v>
      </c>
      <c r="O64">
        <v>14465</v>
      </c>
      <c r="P64">
        <v>11855</v>
      </c>
      <c r="Q64">
        <v>10417</v>
      </c>
      <c r="R64">
        <v>9727</v>
      </c>
      <c r="S64">
        <v>10680</v>
      </c>
      <c r="T64">
        <v>4234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7</v>
      </c>
      <c r="G65">
        <v>27</v>
      </c>
      <c r="H65">
        <v>8</v>
      </c>
      <c r="I65">
        <v>24</v>
      </c>
      <c r="J65">
        <v>12595</v>
      </c>
      <c r="K65">
        <v>10729</v>
      </c>
      <c r="L65">
        <v>11098</v>
      </c>
      <c r="M65">
        <v>12859</v>
      </c>
      <c r="N65">
        <v>13685</v>
      </c>
      <c r="O65">
        <v>11216</v>
      </c>
      <c r="P65">
        <v>10964</v>
      </c>
      <c r="Q65">
        <v>10500</v>
      </c>
      <c r="R65">
        <v>10699</v>
      </c>
      <c r="S65">
        <v>10781</v>
      </c>
      <c r="T65">
        <v>4289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7</v>
      </c>
      <c r="G66">
        <v>27</v>
      </c>
      <c r="H66">
        <v>8</v>
      </c>
      <c r="I66">
        <v>20</v>
      </c>
      <c r="J66">
        <v>13459</v>
      </c>
      <c r="K66">
        <v>14170</v>
      </c>
      <c r="L66">
        <v>14795</v>
      </c>
      <c r="M66">
        <v>12355</v>
      </c>
      <c r="N66">
        <v>11626</v>
      </c>
      <c r="O66">
        <v>11407</v>
      </c>
      <c r="P66">
        <v>9004</v>
      </c>
      <c r="Q66">
        <v>9238</v>
      </c>
      <c r="R66">
        <v>10637</v>
      </c>
      <c r="S66">
        <v>11870</v>
      </c>
      <c r="T66">
        <v>4180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7</v>
      </c>
      <c r="G67">
        <v>27</v>
      </c>
      <c r="H67">
        <v>8</v>
      </c>
      <c r="I67">
        <v>16</v>
      </c>
      <c r="J67">
        <v>15066</v>
      </c>
      <c r="K67">
        <v>14093</v>
      </c>
      <c r="L67">
        <v>13086</v>
      </c>
      <c r="M67">
        <v>12464</v>
      </c>
      <c r="N67">
        <v>13093</v>
      </c>
      <c r="O67">
        <v>13461</v>
      </c>
      <c r="P67">
        <v>11037</v>
      </c>
      <c r="Q67">
        <v>9199</v>
      </c>
      <c r="R67">
        <v>9433</v>
      </c>
      <c r="S67">
        <v>11017</v>
      </c>
      <c r="T67">
        <v>4183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7</v>
      </c>
      <c r="G68">
        <v>27</v>
      </c>
      <c r="H68">
        <v>8</v>
      </c>
      <c r="I68">
        <v>12</v>
      </c>
      <c r="J68">
        <v>15309</v>
      </c>
      <c r="K68">
        <v>15010</v>
      </c>
      <c r="L68">
        <v>12754</v>
      </c>
      <c r="M68">
        <v>13623</v>
      </c>
      <c r="N68">
        <v>14565</v>
      </c>
      <c r="O68">
        <v>13795</v>
      </c>
      <c r="P68">
        <v>11449</v>
      </c>
      <c r="Q68">
        <v>8552</v>
      </c>
      <c r="R68">
        <v>8646</v>
      </c>
      <c r="S68">
        <v>10377</v>
      </c>
      <c r="T68">
        <v>4198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22.275*(J45/$E$1)-6.1713</f>
        <v>17.073764553425185</v>
      </c>
      <c r="K73">
        <f t="shared" ref="K73:R73" si="0">22.275*(K45/$E$1)-6.1713</f>
        <v>18.462330407553715</v>
      </c>
      <c r="L73">
        <f t="shared" si="0"/>
        <v>22.256742200597358</v>
      </c>
      <c r="M73">
        <f t="shared" si="0"/>
        <v>25.439498246459195</v>
      </c>
      <c r="N73">
        <f t="shared" si="0"/>
        <v>22.230988274400229</v>
      </c>
      <c r="O73">
        <f t="shared" si="0"/>
        <v>24.611080287118217</v>
      </c>
      <c r="P73">
        <f t="shared" si="0"/>
        <v>26.224992995471627</v>
      </c>
      <c r="Q73">
        <f t="shared" si="0"/>
        <v>24.984512216976587</v>
      </c>
      <c r="R73">
        <f t="shared" si="0"/>
        <v>23.804123932941515</v>
      </c>
      <c r="S73">
        <f>22.275*(S45/$E$1*1.1)-6.1713</f>
        <v>25.515043096637442</v>
      </c>
    </row>
    <row r="74" spans="1:20" x14ac:dyDescent="0.25">
      <c r="I74" t="s">
        <v>43</v>
      </c>
      <c r="J74">
        <f t="shared" ref="J74:R96" si="1">22.275*(J46/$E$1)-6.1713</f>
        <v>23.456445929280274</v>
      </c>
      <c r="K74">
        <f t="shared" si="1"/>
        <v>24.117463368339916</v>
      </c>
      <c r="L74">
        <f t="shared" si="1"/>
        <v>20.050489189709989</v>
      </c>
      <c r="M74">
        <f t="shared" si="1"/>
        <v>18.945216523749881</v>
      </c>
      <c r="N74">
        <f t="shared" si="1"/>
        <v>16.56512451103189</v>
      </c>
      <c r="O74">
        <f t="shared" si="1"/>
        <v>17.290526765584353</v>
      </c>
      <c r="P74">
        <f t="shared" si="1"/>
        <v>14.528418180942289</v>
      </c>
      <c r="Q74">
        <f t="shared" si="1"/>
        <v>18.743477435205701</v>
      </c>
      <c r="R74">
        <f t="shared" si="1"/>
        <v>17.309842210232201</v>
      </c>
      <c r="S74">
        <f t="shared" ref="S74:S96" si="2">22.275*(S46/$E$1*1.1)-6.1713</f>
        <v>15.13943007996917</v>
      </c>
    </row>
    <row r="75" spans="1:20" x14ac:dyDescent="0.25">
      <c r="I75" t="s">
        <v>44</v>
      </c>
      <c r="J75">
        <f t="shared" si="1"/>
        <v>21.38325487041141</v>
      </c>
      <c r="K75">
        <f t="shared" si="1"/>
        <v>19.689934222950189</v>
      </c>
      <c r="L75">
        <f t="shared" si="1"/>
        <v>21.18151578186723</v>
      </c>
      <c r="M75">
        <f t="shared" si="1"/>
        <v>23.402791916369594</v>
      </c>
      <c r="N75">
        <f t="shared" si="1"/>
        <v>24.24623299932556</v>
      </c>
      <c r="O75">
        <f t="shared" si="1"/>
        <v>21.741663676654785</v>
      </c>
      <c r="P75">
        <f t="shared" si="1"/>
        <v>16.479278090374798</v>
      </c>
      <c r="Q75">
        <f t="shared" si="1"/>
        <v>15.826845293380867</v>
      </c>
      <c r="R75">
        <f t="shared" si="1"/>
        <v>18.601830841121494</v>
      </c>
      <c r="S75">
        <f t="shared" si="2"/>
        <v>20.977630532806629</v>
      </c>
    </row>
    <row r="76" spans="1:20" x14ac:dyDescent="0.25">
      <c r="I76" t="s">
        <v>45</v>
      </c>
      <c r="J76">
        <f t="shared" si="1"/>
        <v>25.321459418055692</v>
      </c>
      <c r="K76">
        <f t="shared" si="1"/>
        <v>24.630395731766065</v>
      </c>
      <c r="L76">
        <f t="shared" si="1"/>
        <v>25.860145707678964</v>
      </c>
      <c r="M76">
        <f t="shared" si="1"/>
        <v>24.819257857211678</v>
      </c>
      <c r="N76">
        <f t="shared" si="1"/>
        <v>21.2652160420079</v>
      </c>
      <c r="O76">
        <f t="shared" si="1"/>
        <v>19.490341294922441</v>
      </c>
      <c r="P76">
        <f t="shared" si="1"/>
        <v>21.54636306965989</v>
      </c>
      <c r="Q76">
        <f t="shared" si="1"/>
        <v>23.900701156180748</v>
      </c>
      <c r="R76">
        <f t="shared" si="1"/>
        <v>21.793171529049044</v>
      </c>
      <c r="S76">
        <f t="shared" si="2"/>
        <v>23.458806705848346</v>
      </c>
    </row>
    <row r="77" spans="1:20" x14ac:dyDescent="0.25">
      <c r="I77" t="s">
        <v>46</v>
      </c>
      <c r="J77">
        <f t="shared" si="1"/>
        <v>26.600571085846422</v>
      </c>
      <c r="K77">
        <f t="shared" si="1"/>
        <v>24.001570700452834</v>
      </c>
      <c r="L77">
        <f t="shared" si="1"/>
        <v>24.321348617400517</v>
      </c>
      <c r="M77">
        <f t="shared" si="1"/>
        <v>24.055224713363522</v>
      </c>
      <c r="N77">
        <f t="shared" si="1"/>
        <v>23.576630918200209</v>
      </c>
      <c r="O77">
        <f t="shared" si="1"/>
        <v>22.589397080643604</v>
      </c>
      <c r="P77">
        <f t="shared" si="1"/>
        <v>18.013782859620388</v>
      </c>
      <c r="Q77">
        <f t="shared" si="1"/>
        <v>21.138592571538684</v>
      </c>
      <c r="R77">
        <f t="shared" si="1"/>
        <v>19.623403246940939</v>
      </c>
      <c r="S77">
        <f t="shared" si="2"/>
        <v>23.893189594373254</v>
      </c>
    </row>
    <row r="78" spans="1:20" x14ac:dyDescent="0.25">
      <c r="I78" t="s">
        <v>47</v>
      </c>
      <c r="J78">
        <f t="shared" si="1"/>
        <v>24.905104277868773</v>
      </c>
      <c r="K78">
        <f t="shared" si="1"/>
        <v>23.63457725214375</v>
      </c>
      <c r="L78">
        <f t="shared" si="1"/>
        <v>22.964975171018402</v>
      </c>
      <c r="M78">
        <f t="shared" si="1"/>
        <v>23.535853868388092</v>
      </c>
      <c r="N78">
        <f t="shared" si="1"/>
        <v>21.829656257828308</v>
      </c>
      <c r="O78">
        <f t="shared" si="1"/>
        <v>16.123015444647848</v>
      </c>
      <c r="P78">
        <f t="shared" si="1"/>
        <v>11.564570507756045</v>
      </c>
      <c r="Q78">
        <f t="shared" si="1"/>
        <v>17.423588717602851</v>
      </c>
      <c r="R78">
        <f t="shared" si="1"/>
        <v>18.427991839290879</v>
      </c>
      <c r="S78">
        <f t="shared" si="2"/>
        <v>21.759047576837848</v>
      </c>
    </row>
    <row r="79" spans="1:20" x14ac:dyDescent="0.25">
      <c r="I79" t="s">
        <v>48</v>
      </c>
      <c r="J79">
        <f t="shared" si="1"/>
        <v>23.338407100876772</v>
      </c>
      <c r="K79">
        <f t="shared" si="1"/>
        <v>22.86625178726274</v>
      </c>
      <c r="L79">
        <f t="shared" si="1"/>
        <v>25.299997812891416</v>
      </c>
      <c r="M79">
        <f t="shared" si="1"/>
        <v>26.755094643029192</v>
      </c>
      <c r="N79">
        <f t="shared" si="1"/>
        <v>23.79339313035938</v>
      </c>
      <c r="O79">
        <f t="shared" si="1"/>
        <v>16.805494488871762</v>
      </c>
      <c r="P79">
        <f t="shared" si="1"/>
        <v>14.562756749205125</v>
      </c>
      <c r="Q79">
        <f t="shared" si="1"/>
        <v>15.554282907794587</v>
      </c>
      <c r="R79">
        <f t="shared" si="1"/>
        <v>17.719758868869832</v>
      </c>
      <c r="S79">
        <f t="shared" si="2"/>
        <v>16.85807542152423</v>
      </c>
    </row>
    <row r="80" spans="1:20" x14ac:dyDescent="0.25">
      <c r="I80" t="s">
        <v>49</v>
      </c>
      <c r="J80">
        <f t="shared" si="1"/>
        <v>15.934153319202235</v>
      </c>
      <c r="K80">
        <f t="shared" si="1"/>
        <v>13.275060439348685</v>
      </c>
      <c r="L80">
        <f t="shared" si="1"/>
        <v>11.525939618460352</v>
      </c>
      <c r="M80">
        <f t="shared" si="1"/>
        <v>9.9249038732055119</v>
      </c>
      <c r="N80">
        <f t="shared" si="1"/>
        <v>7.8517128143366408</v>
      </c>
      <c r="O80">
        <f t="shared" si="1"/>
        <v>7.5147656132575387</v>
      </c>
      <c r="P80">
        <f t="shared" si="1"/>
        <v>8.6050151556026577</v>
      </c>
      <c r="Q80">
        <f t="shared" si="1"/>
        <v>9.8261804894498503</v>
      </c>
      <c r="R80">
        <f t="shared" si="1"/>
        <v>13.63346924559206</v>
      </c>
      <c r="S80">
        <f t="shared" si="2"/>
        <v>22.665585778976784</v>
      </c>
    </row>
    <row r="81" spans="9:19" x14ac:dyDescent="0.25">
      <c r="I81" t="s">
        <v>50</v>
      </c>
      <c r="J81">
        <f t="shared" si="1"/>
        <v>26.881718113498405</v>
      </c>
      <c r="K81">
        <f t="shared" si="1"/>
        <v>24.926565883033046</v>
      </c>
      <c r="L81">
        <f t="shared" si="1"/>
        <v>25.958869091434625</v>
      </c>
      <c r="M81">
        <f t="shared" si="1"/>
        <v>26.177777464110218</v>
      </c>
      <c r="N81">
        <f t="shared" si="1"/>
        <v>25.692745187397627</v>
      </c>
      <c r="O81">
        <f t="shared" si="1"/>
        <v>21.863994826091147</v>
      </c>
      <c r="P81">
        <f t="shared" si="1"/>
        <v>15.674467896714518</v>
      </c>
      <c r="Q81">
        <f t="shared" si="1"/>
        <v>15.526382821081029</v>
      </c>
      <c r="R81">
        <f t="shared" si="1"/>
        <v>16.067215271220736</v>
      </c>
      <c r="S81">
        <f t="shared" si="2"/>
        <v>19.209408883322094</v>
      </c>
    </row>
    <row r="82" spans="9:19" x14ac:dyDescent="0.25">
      <c r="I82" t="s">
        <v>51</v>
      </c>
      <c r="J82">
        <f t="shared" si="1"/>
        <v>18.436576481356585</v>
      </c>
      <c r="K82">
        <f t="shared" si="1"/>
        <v>16.966456527603814</v>
      </c>
      <c r="L82">
        <f t="shared" si="1"/>
        <v>14.923311715964928</v>
      </c>
      <c r="M82">
        <f t="shared" si="1"/>
        <v>13.852377618267656</v>
      </c>
      <c r="N82">
        <f t="shared" si="1"/>
        <v>12.476688727237693</v>
      </c>
      <c r="O82">
        <f t="shared" si="1"/>
        <v>11.633247644281724</v>
      </c>
      <c r="P82">
        <f t="shared" si="1"/>
        <v>11.738409509586667</v>
      </c>
      <c r="Q82">
        <f t="shared" si="1"/>
        <v>15.882645466807976</v>
      </c>
      <c r="R82">
        <f t="shared" si="1"/>
        <v>17.606012361499182</v>
      </c>
      <c r="S82">
        <f t="shared" si="2"/>
        <v>22.972486732825903</v>
      </c>
    </row>
    <row r="83" spans="9:19" x14ac:dyDescent="0.25">
      <c r="I83" t="s">
        <v>52</v>
      </c>
      <c r="J83">
        <f t="shared" si="1"/>
        <v>18.16616025628673</v>
      </c>
      <c r="K83">
        <f t="shared" si="1"/>
        <v>18.123237045958184</v>
      </c>
      <c r="L83">
        <f t="shared" si="1"/>
        <v>23.171006580595435</v>
      </c>
      <c r="M83">
        <f t="shared" si="1"/>
        <v>24.890081154253782</v>
      </c>
      <c r="N83">
        <f t="shared" si="1"/>
        <v>22.340442460738029</v>
      </c>
      <c r="O83">
        <f t="shared" si="1"/>
        <v>21.419739599190674</v>
      </c>
      <c r="P83">
        <f t="shared" si="1"/>
        <v>22.926344281722709</v>
      </c>
      <c r="Q83">
        <f t="shared" si="1"/>
        <v>21.200831226515078</v>
      </c>
      <c r="R83">
        <f t="shared" si="1"/>
        <v>22.615151006840733</v>
      </c>
      <c r="S83">
        <f t="shared" si="2"/>
        <v>25.238832238173234</v>
      </c>
    </row>
    <row r="84" spans="9:19" x14ac:dyDescent="0.25">
      <c r="I84" t="s">
        <v>53</v>
      </c>
      <c r="J84">
        <f t="shared" si="1"/>
        <v>15.687344859813084</v>
      </c>
      <c r="K84">
        <f t="shared" si="1"/>
        <v>16.444939522111959</v>
      </c>
      <c r="L84">
        <f t="shared" si="1"/>
        <v>22.1580188168417</v>
      </c>
      <c r="M84">
        <f t="shared" si="1"/>
        <v>23.660331178340883</v>
      </c>
      <c r="N84">
        <f t="shared" si="1"/>
        <v>25.433059764909913</v>
      </c>
      <c r="O84">
        <f t="shared" si="1"/>
        <v>24.512356903362555</v>
      </c>
      <c r="P84">
        <f t="shared" si="1"/>
        <v>21.533486106561323</v>
      </c>
      <c r="Q84">
        <f t="shared" si="1"/>
        <v>18.363607023798057</v>
      </c>
      <c r="R84">
        <f t="shared" si="1"/>
        <v>15.762460477888045</v>
      </c>
      <c r="S84">
        <f t="shared" si="2"/>
        <v>19.157471798824549</v>
      </c>
    </row>
    <row r="85" spans="9:19" x14ac:dyDescent="0.25">
      <c r="I85" t="s">
        <v>54</v>
      </c>
      <c r="J85">
        <f t="shared" si="1"/>
        <v>21.426178080739955</v>
      </c>
      <c r="K85">
        <f t="shared" si="1"/>
        <v>23.15598345698044</v>
      </c>
      <c r="L85">
        <f t="shared" si="1"/>
        <v>28.053521755467774</v>
      </c>
      <c r="M85">
        <f t="shared" si="1"/>
        <v>25.602606445707675</v>
      </c>
      <c r="N85">
        <f t="shared" si="1"/>
        <v>26.473947615377202</v>
      </c>
      <c r="O85">
        <f t="shared" si="1"/>
        <v>26.059738635706719</v>
      </c>
      <c r="P85">
        <f t="shared" si="1"/>
        <v>18.279906763657387</v>
      </c>
      <c r="Q85">
        <f t="shared" si="1"/>
        <v>15.358982300799692</v>
      </c>
      <c r="R85">
        <f t="shared" si="1"/>
        <v>16.09511535793429</v>
      </c>
      <c r="S85">
        <f t="shared" si="2"/>
        <v>19.509227507466999</v>
      </c>
    </row>
    <row r="86" spans="9:19" x14ac:dyDescent="0.25">
      <c r="I86" t="s">
        <v>55</v>
      </c>
      <c r="J86">
        <f t="shared" si="1"/>
        <v>21.505586019847772</v>
      </c>
      <c r="K86">
        <f t="shared" si="1"/>
        <v>21.230877473745061</v>
      </c>
      <c r="L86">
        <f t="shared" si="1"/>
        <v>23.585215560265919</v>
      </c>
      <c r="M86">
        <f t="shared" si="1"/>
        <v>22.960682849985549</v>
      </c>
      <c r="N86">
        <f t="shared" si="1"/>
        <v>24.52738002697755</v>
      </c>
      <c r="O86">
        <f t="shared" si="1"/>
        <v>19.082570796801232</v>
      </c>
      <c r="P86">
        <f t="shared" si="1"/>
        <v>13.607715319394931</v>
      </c>
      <c r="Q86">
        <f t="shared" si="1"/>
        <v>14.569195230754406</v>
      </c>
      <c r="R86">
        <f t="shared" si="1"/>
        <v>17.269065160420077</v>
      </c>
      <c r="S86">
        <f t="shared" si="2"/>
        <v>20.045123788418927</v>
      </c>
    </row>
    <row r="87" spans="9:19" x14ac:dyDescent="0.25">
      <c r="I87" t="s">
        <v>56</v>
      </c>
      <c r="J87">
        <f t="shared" si="1"/>
        <v>22.349027102803738</v>
      </c>
      <c r="K87">
        <f t="shared" si="1"/>
        <v>22.059295433086039</v>
      </c>
      <c r="L87">
        <f t="shared" si="1"/>
        <v>24.057370873879947</v>
      </c>
      <c r="M87">
        <f t="shared" si="1"/>
        <v>20.269397562385585</v>
      </c>
      <c r="N87">
        <f t="shared" si="1"/>
        <v>21.106400163792273</v>
      </c>
      <c r="O87">
        <f t="shared" si="1"/>
        <v>20.563421553136138</v>
      </c>
      <c r="P87">
        <f t="shared" si="1"/>
        <v>20.205012746892763</v>
      </c>
      <c r="Q87">
        <f t="shared" si="1"/>
        <v>15.37829774544754</v>
      </c>
      <c r="R87">
        <f t="shared" si="1"/>
        <v>14.410379352538779</v>
      </c>
      <c r="S87">
        <f t="shared" si="2"/>
        <v>16.978475026495811</v>
      </c>
    </row>
    <row r="88" spans="9:19" x14ac:dyDescent="0.25">
      <c r="I88" t="s">
        <v>57</v>
      </c>
      <c r="J88">
        <f t="shared" si="1"/>
        <v>17.041572145678774</v>
      </c>
      <c r="K88">
        <f t="shared" si="1"/>
        <v>19.17700185952404</v>
      </c>
      <c r="L88">
        <f t="shared" si="1"/>
        <v>25.254928442046442</v>
      </c>
      <c r="M88">
        <f t="shared" si="1"/>
        <v>24.070247836978517</v>
      </c>
      <c r="N88">
        <f t="shared" si="1"/>
        <v>25.862291868195388</v>
      </c>
      <c r="O88">
        <f t="shared" si="1"/>
        <v>23.231099075055397</v>
      </c>
      <c r="P88">
        <f t="shared" si="1"/>
        <v>22.546473870315058</v>
      </c>
      <c r="Q88">
        <f t="shared" si="1"/>
        <v>16.202423383755661</v>
      </c>
      <c r="R88">
        <f t="shared" si="1"/>
        <v>12.56897362944407</v>
      </c>
      <c r="S88">
        <f t="shared" si="2"/>
        <v>15.606863840447055</v>
      </c>
    </row>
    <row r="89" spans="9:19" x14ac:dyDescent="0.25">
      <c r="I89" t="s">
        <v>58</v>
      </c>
      <c r="J89">
        <f t="shared" si="1"/>
        <v>26.752948482512767</v>
      </c>
      <c r="K89">
        <f t="shared" si="1"/>
        <v>25.995353820213897</v>
      </c>
      <c r="L89">
        <f t="shared" si="1"/>
        <v>26.218554513922346</v>
      </c>
      <c r="M89">
        <f t="shared" si="1"/>
        <v>26.424585923499375</v>
      </c>
      <c r="N89">
        <f t="shared" si="1"/>
        <v>23.774077685711532</v>
      </c>
      <c r="O89">
        <f t="shared" si="1"/>
        <v>21.151469534637247</v>
      </c>
      <c r="P89">
        <f t="shared" si="1"/>
        <v>21.34891630214857</v>
      </c>
      <c r="Q89">
        <f t="shared" si="1"/>
        <v>21.316723894402159</v>
      </c>
      <c r="R89">
        <f t="shared" si="1"/>
        <v>23.351284063975335</v>
      </c>
      <c r="S89">
        <f t="shared" si="2"/>
        <v>25.727512987763756</v>
      </c>
    </row>
    <row r="90" spans="9:19" x14ac:dyDescent="0.25">
      <c r="I90" t="s">
        <v>59</v>
      </c>
      <c r="J90">
        <f t="shared" si="1"/>
        <v>25.145474255708642</v>
      </c>
      <c r="K90">
        <f t="shared" si="1"/>
        <v>23.980109095288565</v>
      </c>
      <c r="L90">
        <f t="shared" si="1"/>
        <v>26.907472039695538</v>
      </c>
      <c r="M90">
        <f t="shared" si="1"/>
        <v>28.293891733307635</v>
      </c>
      <c r="N90">
        <f t="shared" si="1"/>
        <v>27.989136939974951</v>
      </c>
      <c r="O90">
        <f t="shared" si="1"/>
        <v>25.855853386646107</v>
      </c>
      <c r="P90">
        <f t="shared" si="1"/>
        <v>25.205566750168607</v>
      </c>
      <c r="Q90">
        <f t="shared" si="1"/>
        <v>21.119277126890836</v>
      </c>
      <c r="R90">
        <f t="shared" si="1"/>
        <v>21.400424154542826</v>
      </c>
      <c r="S90">
        <f t="shared" si="2"/>
        <v>24.270913845264474</v>
      </c>
    </row>
    <row r="91" spans="9:19" x14ac:dyDescent="0.25">
      <c r="I91" t="s">
        <v>60</v>
      </c>
      <c r="J91">
        <f t="shared" si="1"/>
        <v>24.542403150592541</v>
      </c>
      <c r="K91">
        <f t="shared" si="1"/>
        <v>24.07454015801137</v>
      </c>
      <c r="L91">
        <f t="shared" si="1"/>
        <v>25.613337248289817</v>
      </c>
      <c r="M91">
        <f t="shared" si="1"/>
        <v>27.349581106079587</v>
      </c>
      <c r="N91">
        <f t="shared" si="1"/>
        <v>26.622032691010691</v>
      </c>
      <c r="O91">
        <f t="shared" si="1"/>
        <v>24.892227314770206</v>
      </c>
      <c r="P91">
        <f t="shared" si="1"/>
        <v>20.434651922150493</v>
      </c>
      <c r="Q91">
        <f t="shared" si="1"/>
        <v>12.777151199537528</v>
      </c>
      <c r="R91">
        <f t="shared" si="1"/>
        <v>12.721351026110415</v>
      </c>
      <c r="S91">
        <f t="shared" si="2"/>
        <v>14.872662327777245</v>
      </c>
    </row>
    <row r="92" spans="9:19" x14ac:dyDescent="0.25">
      <c r="I92" t="s">
        <v>61</v>
      </c>
      <c r="J92">
        <f t="shared" si="1"/>
        <v>23.458592089796703</v>
      </c>
      <c r="K92">
        <f t="shared" si="1"/>
        <v>23.235391396088257</v>
      </c>
      <c r="L92">
        <f t="shared" si="1"/>
        <v>22.872690268812022</v>
      </c>
      <c r="M92">
        <f t="shared" si="1"/>
        <v>26.400978157818667</v>
      </c>
      <c r="N92">
        <f t="shared" si="1"/>
        <v>26.776556248193469</v>
      </c>
      <c r="O92">
        <f t="shared" si="1"/>
        <v>24.872911870122365</v>
      </c>
      <c r="P92">
        <f t="shared" si="1"/>
        <v>19.271432922246845</v>
      </c>
      <c r="Q92">
        <f t="shared" si="1"/>
        <v>16.185254099624242</v>
      </c>
      <c r="R92">
        <f t="shared" si="1"/>
        <v>14.704403343289336</v>
      </c>
      <c r="S92">
        <f t="shared" si="2"/>
        <v>19.041793746989114</v>
      </c>
    </row>
    <row r="93" spans="9:19" x14ac:dyDescent="0.25">
      <c r="I93" t="s">
        <v>62</v>
      </c>
      <c r="J93">
        <f t="shared" si="1"/>
        <v>20.859591704403119</v>
      </c>
      <c r="K93">
        <f t="shared" si="1"/>
        <v>16.854856180749589</v>
      </c>
      <c r="L93">
        <f t="shared" si="1"/>
        <v>17.6467894113113</v>
      </c>
      <c r="M93">
        <f t="shared" si="1"/>
        <v>21.426178080739955</v>
      </c>
      <c r="N93">
        <f t="shared" si="1"/>
        <v>23.198906667308986</v>
      </c>
      <c r="O93">
        <f t="shared" si="1"/>
        <v>17.900036352249735</v>
      </c>
      <c r="P93">
        <f t="shared" si="1"/>
        <v>17.359203902110028</v>
      </c>
      <c r="Q93">
        <f t="shared" si="1"/>
        <v>16.363385422487713</v>
      </c>
      <c r="R93">
        <f t="shared" si="1"/>
        <v>16.790471365256767</v>
      </c>
      <c r="S93">
        <f t="shared" si="2"/>
        <v>19.280232180364202</v>
      </c>
    </row>
    <row r="94" spans="9:19" x14ac:dyDescent="0.25">
      <c r="I94" t="s">
        <v>63</v>
      </c>
      <c r="J94">
        <f t="shared" si="1"/>
        <v>22.713874390596395</v>
      </c>
      <c r="K94">
        <f t="shared" si="1"/>
        <v>24.239794517776279</v>
      </c>
      <c r="L94">
        <f t="shared" si="1"/>
        <v>25.581144840543406</v>
      </c>
      <c r="M94">
        <f t="shared" si="1"/>
        <v>20.344513180460542</v>
      </c>
      <c r="N94">
        <f t="shared" si="1"/>
        <v>18.779962163984973</v>
      </c>
      <c r="O94">
        <f t="shared" si="1"/>
        <v>18.309953010887369</v>
      </c>
      <c r="P94">
        <f t="shared" si="1"/>
        <v>13.152729289912322</v>
      </c>
      <c r="Q94">
        <f t="shared" si="1"/>
        <v>13.654930850756333</v>
      </c>
      <c r="R94">
        <f t="shared" si="1"/>
        <v>16.65740941323827</v>
      </c>
      <c r="S94">
        <f t="shared" si="2"/>
        <v>21.851117862992584</v>
      </c>
    </row>
    <row r="95" spans="9:19" x14ac:dyDescent="0.25">
      <c r="I95" t="s">
        <v>64</v>
      </c>
      <c r="J95">
        <f t="shared" si="1"/>
        <v>26.16275434049523</v>
      </c>
      <c r="K95">
        <f t="shared" si="1"/>
        <v>24.07454015801137</v>
      </c>
      <c r="L95">
        <f t="shared" si="1"/>
        <v>21.913356517968975</v>
      </c>
      <c r="M95">
        <f t="shared" si="1"/>
        <v>20.578444676751133</v>
      </c>
      <c r="N95">
        <f t="shared" si="1"/>
        <v>21.92837964158397</v>
      </c>
      <c r="O95">
        <f t="shared" si="1"/>
        <v>22.718166711629248</v>
      </c>
      <c r="P95">
        <f t="shared" si="1"/>
        <v>17.515873619809231</v>
      </c>
      <c r="Q95">
        <f t="shared" si="1"/>
        <v>13.571230590615667</v>
      </c>
      <c r="R95">
        <f t="shared" si="1"/>
        <v>14.073432151459677</v>
      </c>
      <c r="S95">
        <f t="shared" si="2"/>
        <v>19.837375450428755</v>
      </c>
    </row>
    <row r="96" spans="9:19" x14ac:dyDescent="0.25">
      <c r="I96" t="s">
        <v>65</v>
      </c>
      <c r="J96">
        <f t="shared" si="1"/>
        <v>26.684271345987089</v>
      </c>
      <c r="K96">
        <f t="shared" si="1"/>
        <v>26.042569351575292</v>
      </c>
      <c r="L96">
        <f t="shared" si="1"/>
        <v>21.200831226515078</v>
      </c>
      <c r="M96">
        <f t="shared" si="1"/>
        <v>23.065844715290488</v>
      </c>
      <c r="N96">
        <f t="shared" si="1"/>
        <v>25.087527921765101</v>
      </c>
      <c r="O96">
        <f t="shared" si="1"/>
        <v>23.434984324116005</v>
      </c>
      <c r="P96">
        <f t="shared" si="1"/>
        <v>18.400091752577321</v>
      </c>
      <c r="Q96">
        <f t="shared" si="1"/>
        <v>12.182664736487137</v>
      </c>
      <c r="R96">
        <f>22.275*(R68/$E$1)-6.1713</f>
        <v>12.384403825031313</v>
      </c>
      <c r="S96">
        <f t="shared" si="2"/>
        <v>18.32647844686386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3">IF(J73&lt;0,"",J73/100)</f>
        <v>0.17073764553425186</v>
      </c>
      <c r="K101" s="4">
        <f t="shared" si="3"/>
        <v>0.18462330407553715</v>
      </c>
      <c r="L101" s="4">
        <f t="shared" si="3"/>
        <v>0.22256742200597357</v>
      </c>
      <c r="M101" s="4">
        <f t="shared" si="3"/>
        <v>0.25439498246459197</v>
      </c>
      <c r="N101" s="4">
        <f t="shared" si="3"/>
        <v>0.22230988274400229</v>
      </c>
      <c r="O101" s="4">
        <f t="shared" si="3"/>
        <v>0.24611080287118217</v>
      </c>
      <c r="P101" s="4">
        <f t="shared" si="3"/>
        <v>0.2622499299547163</v>
      </c>
      <c r="Q101" s="4">
        <f t="shared" si="3"/>
        <v>0.24984512216976587</v>
      </c>
      <c r="R101" s="4">
        <f t="shared" si="3"/>
        <v>0.23804123932941515</v>
      </c>
      <c r="S101" s="4">
        <f t="shared" si="3"/>
        <v>0.25515043096637441</v>
      </c>
    </row>
    <row r="102" spans="9:19" x14ac:dyDescent="0.25">
      <c r="I102">
        <v>12</v>
      </c>
      <c r="J102" s="4">
        <f t="shared" ref="J102:S115" si="4">IF(J74&lt;0,"",J74/100)</f>
        <v>0.23456445929280276</v>
      </c>
      <c r="K102" s="4">
        <f t="shared" si="4"/>
        <v>0.24117463368339917</v>
      </c>
      <c r="L102" s="4">
        <f t="shared" si="4"/>
        <v>0.20050489189709989</v>
      </c>
      <c r="M102" s="4">
        <f t="shared" si="4"/>
        <v>0.1894521652374988</v>
      </c>
      <c r="N102" s="4">
        <f t="shared" si="4"/>
        <v>0.1656512451103189</v>
      </c>
      <c r="O102" s="4">
        <f t="shared" si="4"/>
        <v>0.17290526765584352</v>
      </c>
      <c r="P102" s="4">
        <f t="shared" si="4"/>
        <v>0.1452841818094229</v>
      </c>
      <c r="Q102" s="4">
        <f t="shared" si="4"/>
        <v>0.18743477435205702</v>
      </c>
      <c r="R102" s="4">
        <f t="shared" si="4"/>
        <v>0.17309842210232201</v>
      </c>
      <c r="S102" s="4">
        <f t="shared" si="4"/>
        <v>0.15139430079969171</v>
      </c>
    </row>
    <row r="103" spans="9:19" x14ac:dyDescent="0.25">
      <c r="I103">
        <v>13</v>
      </c>
      <c r="J103" s="4">
        <f t="shared" si="4"/>
        <v>0.21383254870411408</v>
      </c>
      <c r="K103" s="4">
        <f t="shared" si="4"/>
        <v>0.19689934222950189</v>
      </c>
      <c r="L103" s="4">
        <f t="shared" si="4"/>
        <v>0.2118151578186723</v>
      </c>
      <c r="M103" s="4">
        <f t="shared" si="4"/>
        <v>0.23402791916369595</v>
      </c>
      <c r="N103" s="4">
        <f t="shared" si="4"/>
        <v>0.24246232999325559</v>
      </c>
      <c r="O103" s="4">
        <f t="shared" si="4"/>
        <v>0.21741663676654785</v>
      </c>
      <c r="P103" s="4">
        <f t="shared" si="4"/>
        <v>0.16479278090374799</v>
      </c>
      <c r="Q103" s="4">
        <f t="shared" si="4"/>
        <v>0.15826845293380867</v>
      </c>
      <c r="R103" s="4">
        <f t="shared" si="4"/>
        <v>0.18601830841121494</v>
      </c>
      <c r="S103" s="4">
        <f t="shared" si="4"/>
        <v>0.20977630532806629</v>
      </c>
    </row>
    <row r="104" spans="9:19" x14ac:dyDescent="0.25">
      <c r="I104">
        <v>14</v>
      </c>
      <c r="J104" s="4">
        <f t="shared" si="4"/>
        <v>0.25321459418055692</v>
      </c>
      <c r="K104" s="4">
        <f t="shared" si="4"/>
        <v>0.24630395731766064</v>
      </c>
      <c r="L104" s="4">
        <f t="shared" si="4"/>
        <v>0.25860145707678961</v>
      </c>
      <c r="M104" s="4">
        <f t="shared" si="4"/>
        <v>0.24819257857211677</v>
      </c>
      <c r="N104" s="4">
        <f t="shared" si="4"/>
        <v>0.21265216042007901</v>
      </c>
      <c r="O104" s="4">
        <f t="shared" si="4"/>
        <v>0.19490341294922442</v>
      </c>
      <c r="P104" s="4">
        <f t="shared" si="4"/>
        <v>0.21546363069659891</v>
      </c>
      <c r="Q104" s="4">
        <f t="shared" si="4"/>
        <v>0.23900701156180748</v>
      </c>
      <c r="R104" s="4">
        <f t="shared" si="4"/>
        <v>0.21793171529049044</v>
      </c>
      <c r="S104" s="4">
        <f t="shared" si="4"/>
        <v>0.23458806705848345</v>
      </c>
    </row>
    <row r="105" spans="9:19" x14ac:dyDescent="0.25">
      <c r="I105">
        <v>21</v>
      </c>
      <c r="J105" s="4">
        <f t="shared" si="4"/>
        <v>0.26600571085846419</v>
      </c>
      <c r="K105" s="4">
        <f t="shared" si="4"/>
        <v>0.24001570700452834</v>
      </c>
      <c r="L105" s="4">
        <f t="shared" si="4"/>
        <v>0.24321348617400518</v>
      </c>
      <c r="M105" s="4">
        <f t="shared" si="4"/>
        <v>0.24055224713363521</v>
      </c>
      <c r="N105" s="4">
        <f t="shared" si="4"/>
        <v>0.23576630918200209</v>
      </c>
      <c r="O105" s="4">
        <f t="shared" si="4"/>
        <v>0.22589397080643603</v>
      </c>
      <c r="P105" s="4">
        <f t="shared" si="4"/>
        <v>0.18013782859620389</v>
      </c>
      <c r="Q105" s="4">
        <f t="shared" si="4"/>
        <v>0.21138592571538684</v>
      </c>
      <c r="R105" s="4">
        <f t="shared" si="4"/>
        <v>0.19623403246940938</v>
      </c>
      <c r="S105" s="4">
        <f t="shared" si="4"/>
        <v>0.23893189594373254</v>
      </c>
    </row>
    <row r="106" spans="9:19" x14ac:dyDescent="0.25">
      <c r="I106">
        <v>22</v>
      </c>
      <c r="J106" s="4">
        <f t="shared" si="4"/>
        <v>0.24905104277868773</v>
      </c>
      <c r="K106" s="4">
        <f t="shared" si="4"/>
        <v>0.23634577252143749</v>
      </c>
      <c r="L106" s="4">
        <f t="shared" si="4"/>
        <v>0.22964975171018401</v>
      </c>
      <c r="M106" s="4">
        <f t="shared" si="4"/>
        <v>0.2353585386838809</v>
      </c>
      <c r="N106" s="4">
        <f t="shared" si="4"/>
        <v>0.21829656257828309</v>
      </c>
      <c r="O106" s="4">
        <f t="shared" si="4"/>
        <v>0.16123015444647848</v>
      </c>
      <c r="P106" s="4">
        <f t="shared" si="4"/>
        <v>0.11564570507756045</v>
      </c>
      <c r="Q106" s="4">
        <f t="shared" si="4"/>
        <v>0.1742358871760285</v>
      </c>
      <c r="R106" s="4">
        <f t="shared" si="4"/>
        <v>0.1842799183929088</v>
      </c>
      <c r="S106" s="4">
        <f t="shared" si="4"/>
        <v>0.21759047576837848</v>
      </c>
    </row>
    <row r="107" spans="9:19" x14ac:dyDescent="0.25">
      <c r="I107">
        <v>23</v>
      </c>
      <c r="J107" s="4">
        <f t="shared" si="4"/>
        <v>0.23338407100876771</v>
      </c>
      <c r="K107" s="4">
        <f t="shared" si="4"/>
        <v>0.2286625178726274</v>
      </c>
      <c r="L107" s="4">
        <f t="shared" si="4"/>
        <v>0.25299997812891417</v>
      </c>
      <c r="M107" s="4">
        <f t="shared" si="4"/>
        <v>0.26755094643029192</v>
      </c>
      <c r="N107" s="4">
        <f t="shared" si="4"/>
        <v>0.2379339313035938</v>
      </c>
      <c r="O107" s="4">
        <f t="shared" si="4"/>
        <v>0.16805494488871761</v>
      </c>
      <c r="P107" s="4">
        <f t="shared" si="4"/>
        <v>0.14562756749205125</v>
      </c>
      <c r="Q107" s="4">
        <f t="shared" si="4"/>
        <v>0.15554282907794587</v>
      </c>
      <c r="R107" s="4">
        <f t="shared" si="4"/>
        <v>0.17719758868869831</v>
      </c>
      <c r="S107" s="4">
        <f t="shared" si="4"/>
        <v>0.1685807542152423</v>
      </c>
    </row>
    <row r="108" spans="9:19" x14ac:dyDescent="0.25">
      <c r="I108">
        <v>24</v>
      </c>
      <c r="J108" s="4">
        <f t="shared" si="4"/>
        <v>0.15934153319202235</v>
      </c>
      <c r="K108" s="4">
        <f t="shared" si="4"/>
        <v>0.13275060439348685</v>
      </c>
      <c r="L108" s="4">
        <f t="shared" si="4"/>
        <v>0.11525939618460353</v>
      </c>
      <c r="M108" s="4">
        <f t="shared" si="4"/>
        <v>9.9249038732055123E-2</v>
      </c>
      <c r="N108" s="4">
        <f t="shared" si="4"/>
        <v>7.8517128143366408E-2</v>
      </c>
      <c r="O108" s="4">
        <f t="shared" si="4"/>
        <v>7.5147656132575388E-2</v>
      </c>
      <c r="P108" s="4">
        <f t="shared" si="4"/>
        <v>8.6050151556026577E-2</v>
      </c>
      <c r="Q108" s="4">
        <f t="shared" si="4"/>
        <v>9.8261804894498497E-2</v>
      </c>
      <c r="R108" s="4">
        <f t="shared" si="4"/>
        <v>0.13633469245592061</v>
      </c>
      <c r="S108" s="4">
        <f t="shared" si="4"/>
        <v>0.22665585778976782</v>
      </c>
    </row>
    <row r="109" spans="9:19" x14ac:dyDescent="0.25">
      <c r="I109">
        <v>31</v>
      </c>
      <c r="J109" s="4">
        <f t="shared" si="4"/>
        <v>0.26881718113498404</v>
      </c>
      <c r="K109" s="4">
        <f t="shared" si="4"/>
        <v>0.24926565883033047</v>
      </c>
      <c r="L109" s="4">
        <f t="shared" si="4"/>
        <v>0.25958869091434628</v>
      </c>
      <c r="M109" s="4">
        <f t="shared" si="4"/>
        <v>0.26177777464110219</v>
      </c>
      <c r="N109" s="4">
        <f t="shared" si="4"/>
        <v>0.25692745187397625</v>
      </c>
      <c r="O109" s="4">
        <f t="shared" si="4"/>
        <v>0.21863994826091149</v>
      </c>
      <c r="P109" s="4">
        <f t="shared" si="4"/>
        <v>0.15674467896714517</v>
      </c>
      <c r="Q109" s="4">
        <f t="shared" si="4"/>
        <v>0.15526382821081028</v>
      </c>
      <c r="R109" s="4">
        <f t="shared" si="4"/>
        <v>0.16067215271220736</v>
      </c>
      <c r="S109" s="4">
        <f t="shared" si="4"/>
        <v>0.19209408883322093</v>
      </c>
    </row>
    <row r="110" spans="9:19" x14ac:dyDescent="0.25">
      <c r="I110">
        <v>32</v>
      </c>
      <c r="J110" s="4">
        <f t="shared" si="4"/>
        <v>0.18436576481356584</v>
      </c>
      <c r="K110" s="4">
        <f t="shared" si="4"/>
        <v>0.16966456527603813</v>
      </c>
      <c r="L110" s="4">
        <f t="shared" si="4"/>
        <v>0.14923311715964929</v>
      </c>
      <c r="M110" s="4">
        <f t="shared" si="4"/>
        <v>0.13852377618267656</v>
      </c>
      <c r="N110" s="4">
        <f t="shared" si="4"/>
        <v>0.12476688727237693</v>
      </c>
      <c r="O110" s="4">
        <f t="shared" si="4"/>
        <v>0.11633247644281725</v>
      </c>
      <c r="P110" s="4">
        <f t="shared" si="4"/>
        <v>0.11738409509586667</v>
      </c>
      <c r="Q110" s="4">
        <f t="shared" si="4"/>
        <v>0.15882645466807976</v>
      </c>
      <c r="R110" s="4">
        <f t="shared" si="4"/>
        <v>0.17606012361499182</v>
      </c>
      <c r="S110" s="4">
        <f t="shared" si="4"/>
        <v>0.22972486732825903</v>
      </c>
    </row>
    <row r="111" spans="9:19" x14ac:dyDescent="0.25">
      <c r="I111">
        <v>33</v>
      </c>
      <c r="J111" s="4">
        <f t="shared" si="4"/>
        <v>0.18166160256286731</v>
      </c>
      <c r="K111" s="4">
        <f t="shared" si="4"/>
        <v>0.18123237045958185</v>
      </c>
      <c r="L111" s="4">
        <f t="shared" si="4"/>
        <v>0.23171006580595435</v>
      </c>
      <c r="M111" s="4">
        <f t="shared" si="4"/>
        <v>0.24890081154253782</v>
      </c>
      <c r="N111" s="4">
        <f t="shared" si="4"/>
        <v>0.22340442460738028</v>
      </c>
      <c r="O111" s="4">
        <f t="shared" si="4"/>
        <v>0.21419739599190674</v>
      </c>
      <c r="P111" s="4">
        <f t="shared" si="4"/>
        <v>0.2292634428172271</v>
      </c>
      <c r="Q111" s="4">
        <f t="shared" si="4"/>
        <v>0.21200831226515077</v>
      </c>
      <c r="R111" s="4">
        <f t="shared" si="4"/>
        <v>0.22615151006840734</v>
      </c>
      <c r="S111" s="4">
        <f t="shared" si="4"/>
        <v>0.25238832238173237</v>
      </c>
    </row>
    <row r="112" spans="9:19" x14ac:dyDescent="0.25">
      <c r="I112">
        <v>34</v>
      </c>
      <c r="J112" s="4">
        <f t="shared" si="4"/>
        <v>0.15687344859813085</v>
      </c>
      <c r="K112" s="4">
        <f t="shared" si="4"/>
        <v>0.16444939522111959</v>
      </c>
      <c r="L112" s="4">
        <f t="shared" si="4"/>
        <v>0.22158018816841701</v>
      </c>
      <c r="M112" s="4">
        <f t="shared" si="4"/>
        <v>0.23660331178340882</v>
      </c>
      <c r="N112" s="4">
        <f t="shared" si="4"/>
        <v>0.25433059764909915</v>
      </c>
      <c r="O112" s="4">
        <f t="shared" si="4"/>
        <v>0.24512356903362556</v>
      </c>
      <c r="P112" s="4">
        <f t="shared" si="4"/>
        <v>0.21533486106561323</v>
      </c>
      <c r="Q112" s="4">
        <f t="shared" si="4"/>
        <v>0.18363607023798056</v>
      </c>
      <c r="R112" s="4">
        <f t="shared" si="4"/>
        <v>0.15762460477888043</v>
      </c>
      <c r="S112" s="4">
        <f t="shared" si="4"/>
        <v>0.19157471798824549</v>
      </c>
    </row>
    <row r="113" spans="9:19" x14ac:dyDescent="0.25">
      <c r="I113">
        <v>41</v>
      </c>
      <c r="J113" s="4">
        <f t="shared" si="4"/>
        <v>0.21426178080739955</v>
      </c>
      <c r="K113" s="4">
        <f t="shared" si="4"/>
        <v>0.23155983456980439</v>
      </c>
      <c r="L113" s="4">
        <f t="shared" si="4"/>
        <v>0.28053521755467775</v>
      </c>
      <c r="M113" s="4">
        <f t="shared" si="4"/>
        <v>0.25602606445707676</v>
      </c>
      <c r="N113" s="4">
        <f t="shared" si="4"/>
        <v>0.26473947615377202</v>
      </c>
      <c r="O113" s="4">
        <f t="shared" si="4"/>
        <v>0.2605973863570672</v>
      </c>
      <c r="P113" s="4">
        <f t="shared" si="4"/>
        <v>0.18279906763657386</v>
      </c>
      <c r="Q113" s="4">
        <f t="shared" si="4"/>
        <v>0.15358982300799692</v>
      </c>
      <c r="R113" s="4">
        <f t="shared" si="4"/>
        <v>0.16095115357934289</v>
      </c>
      <c r="S113" s="4">
        <f t="shared" si="4"/>
        <v>0.19509227507467</v>
      </c>
    </row>
    <row r="114" spans="9:19" x14ac:dyDescent="0.25">
      <c r="I114">
        <v>42</v>
      </c>
      <c r="J114" s="4">
        <f t="shared" si="4"/>
        <v>0.21505586019847772</v>
      </c>
      <c r="K114" s="4">
        <f t="shared" si="4"/>
        <v>0.21230877473745061</v>
      </c>
      <c r="L114" s="4">
        <f t="shared" si="4"/>
        <v>0.23585215560265918</v>
      </c>
      <c r="M114" s="4">
        <f t="shared" si="4"/>
        <v>0.22960682849985548</v>
      </c>
      <c r="N114" s="4">
        <f t="shared" si="4"/>
        <v>0.24527380026977549</v>
      </c>
      <c r="O114" s="4">
        <f t="shared" si="4"/>
        <v>0.19082570796801232</v>
      </c>
      <c r="P114" s="4">
        <f t="shared" si="4"/>
        <v>0.13607715319394931</v>
      </c>
      <c r="Q114" s="4">
        <f t="shared" si="4"/>
        <v>0.14569195230754406</v>
      </c>
      <c r="R114" s="4">
        <f t="shared" si="4"/>
        <v>0.17269065160420077</v>
      </c>
      <c r="S114" s="4">
        <f t="shared" si="4"/>
        <v>0.20045123788418928</v>
      </c>
    </row>
    <row r="115" spans="9:19" x14ac:dyDescent="0.25">
      <c r="I115">
        <v>43</v>
      </c>
      <c r="J115" s="4">
        <f t="shared" si="4"/>
        <v>0.2234902710280374</v>
      </c>
      <c r="K115" s="4">
        <f t="shared" si="4"/>
        <v>0.22059295433086037</v>
      </c>
      <c r="L115" s="4">
        <f t="shared" si="4"/>
        <v>0.24057370873879946</v>
      </c>
      <c r="M115" s="4">
        <f t="shared" si="4"/>
        <v>0.20269397562385585</v>
      </c>
      <c r="N115" s="4">
        <f t="shared" si="4"/>
        <v>0.21106400163792272</v>
      </c>
      <c r="O115" s="4">
        <f t="shared" si="4"/>
        <v>0.20563421553136138</v>
      </c>
      <c r="P115" s="4">
        <f t="shared" si="4"/>
        <v>0.20205012746892761</v>
      </c>
      <c r="Q115" s="4">
        <f t="shared" si="4"/>
        <v>0.15378297745447539</v>
      </c>
      <c r="R115" s="4">
        <f t="shared" si="4"/>
        <v>0.1441037935253878</v>
      </c>
      <c r="S115" s="4">
        <f t="shared" si="4"/>
        <v>0.16978475026495812</v>
      </c>
    </row>
    <row r="116" spans="9:19" x14ac:dyDescent="0.25">
      <c r="I116">
        <v>44</v>
      </c>
      <c r="J116" s="4">
        <f t="shared" ref="J116:S116" si="5">IF(J88&lt;0,"",J88/100)</f>
        <v>0.17041572145678774</v>
      </c>
      <c r="K116" s="4">
        <f t="shared" si="5"/>
        <v>0.1917700185952404</v>
      </c>
      <c r="L116" s="4">
        <f t="shared" si="5"/>
        <v>0.25254928442046443</v>
      </c>
      <c r="M116" s="4">
        <f t="shared" si="5"/>
        <v>0.24070247836978517</v>
      </c>
      <c r="N116" s="4">
        <f t="shared" si="5"/>
        <v>0.25862291868195386</v>
      </c>
      <c r="O116" s="4">
        <f t="shared" si="5"/>
        <v>0.23231099075055398</v>
      </c>
      <c r="P116" s="4">
        <f t="shared" si="5"/>
        <v>0.22546473870315059</v>
      </c>
      <c r="Q116" s="4">
        <f t="shared" si="5"/>
        <v>0.16202423383755662</v>
      </c>
      <c r="R116" s="4">
        <f t="shared" si="5"/>
        <v>0.12568973629444069</v>
      </c>
      <c r="S116" s="4">
        <f t="shared" si="5"/>
        <v>0.15606863840447055</v>
      </c>
    </row>
    <row r="117" spans="9:19" x14ac:dyDescent="0.25">
      <c r="I117">
        <v>51</v>
      </c>
      <c r="J117" s="4">
        <f t="shared" ref="J117:S123" si="6">IF(J89&lt;0,"",J89/100)</f>
        <v>0.26752948482512767</v>
      </c>
      <c r="K117" s="4">
        <f t="shared" si="6"/>
        <v>0.25995353820213896</v>
      </c>
      <c r="L117" s="4">
        <f t="shared" si="6"/>
        <v>0.26218554513922343</v>
      </c>
      <c r="M117" s="4">
        <f t="shared" si="6"/>
        <v>0.26424585923499377</v>
      </c>
      <c r="N117" s="4">
        <f t="shared" si="6"/>
        <v>0.23774077685711531</v>
      </c>
      <c r="O117" s="4">
        <f t="shared" si="6"/>
        <v>0.21151469534637246</v>
      </c>
      <c r="P117" s="4">
        <f t="shared" si="6"/>
        <v>0.21348916302148571</v>
      </c>
      <c r="Q117" s="4">
        <f t="shared" si="6"/>
        <v>0.21316723894402159</v>
      </c>
      <c r="R117" s="4">
        <f t="shared" si="6"/>
        <v>0.23351284063975336</v>
      </c>
      <c r="S117" s="4">
        <f t="shared" si="6"/>
        <v>0.25727512987763757</v>
      </c>
    </row>
    <row r="118" spans="9:19" x14ac:dyDescent="0.25">
      <c r="I118">
        <v>52</v>
      </c>
      <c r="J118" s="4">
        <f t="shared" si="6"/>
        <v>0.25145474255708644</v>
      </c>
      <c r="K118" s="4">
        <f t="shared" si="6"/>
        <v>0.23980109095288565</v>
      </c>
      <c r="L118" s="4">
        <f t="shared" si="6"/>
        <v>0.2690747203969554</v>
      </c>
      <c r="M118" s="4">
        <f t="shared" si="6"/>
        <v>0.28293891733307636</v>
      </c>
      <c r="N118" s="4">
        <f t="shared" si="6"/>
        <v>0.27989136939974951</v>
      </c>
      <c r="O118" s="4">
        <f t="shared" si="6"/>
        <v>0.25855853386646105</v>
      </c>
      <c r="P118" s="4">
        <f t="shared" si="6"/>
        <v>0.25205566750168606</v>
      </c>
      <c r="Q118" s="4">
        <f t="shared" si="6"/>
        <v>0.21119277126890837</v>
      </c>
      <c r="R118" s="4">
        <f t="shared" si="6"/>
        <v>0.21400424154542827</v>
      </c>
      <c r="S118" s="4">
        <f t="shared" si="6"/>
        <v>0.24270913845264475</v>
      </c>
    </row>
    <row r="119" spans="9:19" x14ac:dyDescent="0.25">
      <c r="I119">
        <v>53</v>
      </c>
      <c r="J119" s="4">
        <f t="shared" si="6"/>
        <v>0.2454240315059254</v>
      </c>
      <c r="K119" s="4">
        <f t="shared" si="6"/>
        <v>0.2407454015801137</v>
      </c>
      <c r="L119" s="4">
        <f t="shared" si="6"/>
        <v>0.25613337248289819</v>
      </c>
      <c r="M119" s="4">
        <f t="shared" si="6"/>
        <v>0.27349581106079585</v>
      </c>
      <c r="N119" s="4">
        <f t="shared" si="6"/>
        <v>0.26622032691010689</v>
      </c>
      <c r="O119" s="4">
        <f t="shared" si="6"/>
        <v>0.24892227314770207</v>
      </c>
      <c r="P119" s="4">
        <f t="shared" si="6"/>
        <v>0.20434651922150493</v>
      </c>
      <c r="Q119" s="4">
        <f t="shared" si="6"/>
        <v>0.12777151199537529</v>
      </c>
      <c r="R119" s="4">
        <f t="shared" si="6"/>
        <v>0.12721351026110417</v>
      </c>
      <c r="S119" s="4">
        <f t="shared" si="6"/>
        <v>0.14872662327777245</v>
      </c>
    </row>
    <row r="120" spans="9:19" x14ac:dyDescent="0.25">
      <c r="I120">
        <v>54</v>
      </c>
      <c r="J120" s="4">
        <f t="shared" si="6"/>
        <v>0.23458592089796704</v>
      </c>
      <c r="K120" s="4">
        <f t="shared" si="6"/>
        <v>0.23235391396088256</v>
      </c>
      <c r="L120" s="4">
        <f t="shared" si="6"/>
        <v>0.22872690268812021</v>
      </c>
      <c r="M120" s="4">
        <f t="shared" si="6"/>
        <v>0.26400978157818666</v>
      </c>
      <c r="N120" s="4">
        <f t="shared" si="6"/>
        <v>0.26776556248193467</v>
      </c>
      <c r="O120" s="4">
        <f t="shared" si="6"/>
        <v>0.24872911870122366</v>
      </c>
      <c r="P120" s="4">
        <f t="shared" si="6"/>
        <v>0.19271432922246845</v>
      </c>
      <c r="Q120" s="4">
        <f t="shared" si="6"/>
        <v>0.16185254099624241</v>
      </c>
      <c r="R120" s="4">
        <f t="shared" si="6"/>
        <v>0.14704403343289335</v>
      </c>
      <c r="S120" s="4">
        <f t="shared" si="6"/>
        <v>0.19041793746989114</v>
      </c>
    </row>
    <row r="121" spans="9:19" x14ac:dyDescent="0.25">
      <c r="I121">
        <v>61</v>
      </c>
      <c r="J121" s="4">
        <f t="shared" si="6"/>
        <v>0.20859591704403119</v>
      </c>
      <c r="K121" s="4">
        <f t="shared" si="6"/>
        <v>0.16854856180749589</v>
      </c>
      <c r="L121" s="4">
        <f t="shared" si="6"/>
        <v>0.17646789411311301</v>
      </c>
      <c r="M121" s="4">
        <f t="shared" si="6"/>
        <v>0.21426178080739955</v>
      </c>
      <c r="N121" s="4">
        <f t="shared" si="6"/>
        <v>0.23198906667308986</v>
      </c>
      <c r="O121" s="4">
        <f t="shared" si="6"/>
        <v>0.17900036352249735</v>
      </c>
      <c r="P121" s="4">
        <f t="shared" si="6"/>
        <v>0.17359203902110029</v>
      </c>
      <c r="Q121" s="4">
        <f t="shared" si="6"/>
        <v>0.16363385422487714</v>
      </c>
      <c r="R121" s="4">
        <f t="shared" si="6"/>
        <v>0.16790471365256768</v>
      </c>
      <c r="S121" s="4">
        <f t="shared" si="6"/>
        <v>0.19280232180364201</v>
      </c>
    </row>
    <row r="122" spans="9:19" x14ac:dyDescent="0.25">
      <c r="I122">
        <v>62</v>
      </c>
      <c r="J122" s="4">
        <f t="shared" si="6"/>
        <v>0.22713874390596395</v>
      </c>
      <c r="K122" s="4">
        <f t="shared" si="6"/>
        <v>0.24239794517776278</v>
      </c>
      <c r="L122" s="4">
        <f t="shared" si="6"/>
        <v>0.25581144840543407</v>
      </c>
      <c r="M122" s="4">
        <f t="shared" si="6"/>
        <v>0.20344513180460541</v>
      </c>
      <c r="N122" s="4">
        <f t="shared" si="6"/>
        <v>0.18779962163984973</v>
      </c>
      <c r="O122" s="4">
        <f t="shared" si="6"/>
        <v>0.1830995301088737</v>
      </c>
      <c r="P122" s="4">
        <f t="shared" si="6"/>
        <v>0.13152729289912324</v>
      </c>
      <c r="Q122" s="4">
        <f t="shared" si="6"/>
        <v>0.13654930850756333</v>
      </c>
      <c r="R122" s="4">
        <f t="shared" si="6"/>
        <v>0.16657409413238269</v>
      </c>
      <c r="S122" s="4">
        <f t="shared" si="6"/>
        <v>0.21851117862992583</v>
      </c>
    </row>
    <row r="123" spans="9:19" x14ac:dyDescent="0.25">
      <c r="I123">
        <v>63</v>
      </c>
      <c r="J123" s="4">
        <f t="shared" si="6"/>
        <v>0.26162754340495231</v>
      </c>
      <c r="K123" s="4">
        <f t="shared" si="6"/>
        <v>0.2407454015801137</v>
      </c>
      <c r="L123" s="4">
        <f t="shared" si="6"/>
        <v>0.21913356517968974</v>
      </c>
      <c r="M123" s="4">
        <f t="shared" si="6"/>
        <v>0.20578444676751131</v>
      </c>
      <c r="N123" s="4">
        <f t="shared" si="6"/>
        <v>0.2192837964158397</v>
      </c>
      <c r="O123" s="4">
        <f t="shared" si="6"/>
        <v>0.22718166711629248</v>
      </c>
      <c r="P123" s="4">
        <f t="shared" si="6"/>
        <v>0.1751587361980923</v>
      </c>
      <c r="Q123" s="4">
        <f t="shared" si="6"/>
        <v>0.13571230590615666</v>
      </c>
      <c r="R123" s="4">
        <f t="shared" si="6"/>
        <v>0.14073432151459678</v>
      </c>
      <c r="S123" s="4">
        <f t="shared" si="6"/>
        <v>0.19837375450428754</v>
      </c>
    </row>
    <row r="124" spans="9:19" x14ac:dyDescent="0.25">
      <c r="I124">
        <v>64</v>
      </c>
      <c r="J124" s="4">
        <f t="shared" ref="J124:S124" si="7">IF(J96&lt;0,"",J96/100)</f>
        <v>0.26684271345987087</v>
      </c>
      <c r="K124" s="4">
        <f t="shared" si="7"/>
        <v>0.2604256935157529</v>
      </c>
      <c r="L124" s="4">
        <f t="shared" si="7"/>
        <v>0.21200831226515077</v>
      </c>
      <c r="M124" s="4">
        <f t="shared" si="7"/>
        <v>0.23065844715290487</v>
      </c>
      <c r="N124" s="4">
        <f t="shared" si="7"/>
        <v>0.25087527921765101</v>
      </c>
      <c r="O124" s="4">
        <f t="shared" si="7"/>
        <v>0.23434984324116004</v>
      </c>
      <c r="P124" s="4">
        <f t="shared" si="7"/>
        <v>0.18400091752577322</v>
      </c>
      <c r="Q124" s="4">
        <f t="shared" si="7"/>
        <v>0.12182664736487137</v>
      </c>
      <c r="R124" s="4">
        <f t="shared" si="7"/>
        <v>0.12384403825031313</v>
      </c>
      <c r="S124" s="4">
        <f t="shared" si="7"/>
        <v>0.18326478446863859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91687-5272-4A60-9112-28D647F33182}">
  <dimension ref="A1:T124"/>
  <sheetViews>
    <sheetView topLeftCell="D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10379</v>
      </c>
      <c r="F1">
        <v>0</v>
      </c>
      <c r="G1">
        <v>10</v>
      </c>
      <c r="H1">
        <v>1834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8</v>
      </c>
      <c r="G18">
        <v>3</v>
      </c>
      <c r="H18">
        <v>5</v>
      </c>
      <c r="I18">
        <v>51</v>
      </c>
      <c r="J18">
        <v>1.06</v>
      </c>
      <c r="K18">
        <v>1.1000000000000001</v>
      </c>
      <c r="L18">
        <v>1.25</v>
      </c>
      <c r="M18">
        <v>1.45</v>
      </c>
      <c r="N18">
        <v>1.34</v>
      </c>
      <c r="O18">
        <v>1.43</v>
      </c>
      <c r="P18">
        <v>1.48</v>
      </c>
      <c r="Q18">
        <v>1.4</v>
      </c>
      <c r="R18">
        <v>1.35</v>
      </c>
      <c r="S18">
        <v>1.35</v>
      </c>
      <c r="T18">
        <v>3726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8</v>
      </c>
      <c r="G19">
        <v>3</v>
      </c>
      <c r="H19">
        <v>6</v>
      </c>
      <c r="I19">
        <v>3</v>
      </c>
      <c r="J19">
        <v>1.31</v>
      </c>
      <c r="K19">
        <v>1.34</v>
      </c>
      <c r="L19">
        <v>1.17</v>
      </c>
      <c r="M19">
        <v>1.1100000000000001</v>
      </c>
      <c r="N19">
        <v>1.01</v>
      </c>
      <c r="O19">
        <v>0.99</v>
      </c>
      <c r="P19">
        <v>0.9</v>
      </c>
      <c r="Q19">
        <v>1.1200000000000001</v>
      </c>
      <c r="R19">
        <v>1.07</v>
      </c>
      <c r="S19">
        <v>0.92</v>
      </c>
      <c r="T19">
        <v>3721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8</v>
      </c>
      <c r="G20">
        <v>3</v>
      </c>
      <c r="H20">
        <v>6</v>
      </c>
      <c r="I20">
        <v>7</v>
      </c>
      <c r="J20">
        <v>1.22</v>
      </c>
      <c r="K20">
        <v>1.1299999999999999</v>
      </c>
      <c r="L20">
        <v>1.22</v>
      </c>
      <c r="M20">
        <v>1.33</v>
      </c>
      <c r="N20">
        <v>1.37</v>
      </c>
      <c r="O20">
        <v>1.1599999999999999</v>
      </c>
      <c r="P20">
        <v>0.98</v>
      </c>
      <c r="Q20">
        <v>0.97</v>
      </c>
      <c r="R20">
        <v>1.05</v>
      </c>
      <c r="S20">
        <v>1.07</v>
      </c>
      <c r="T20">
        <v>3735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8</v>
      </c>
      <c r="G21">
        <v>3</v>
      </c>
      <c r="H21">
        <v>6</v>
      </c>
      <c r="I21">
        <v>12</v>
      </c>
      <c r="J21">
        <v>1.4</v>
      </c>
      <c r="K21">
        <v>1.39</v>
      </c>
      <c r="L21">
        <v>1.43</v>
      </c>
      <c r="M21">
        <v>1.39</v>
      </c>
      <c r="N21">
        <v>1.22</v>
      </c>
      <c r="O21">
        <v>1.1200000000000001</v>
      </c>
      <c r="P21">
        <v>1.36</v>
      </c>
      <c r="Q21">
        <v>1.4</v>
      </c>
      <c r="R21">
        <v>1.29</v>
      </c>
      <c r="S21">
        <v>1.26</v>
      </c>
      <c r="T21">
        <v>3726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8</v>
      </c>
      <c r="G22">
        <v>3</v>
      </c>
      <c r="H22">
        <v>6</v>
      </c>
      <c r="I22">
        <v>16</v>
      </c>
      <c r="J22">
        <v>0.98</v>
      </c>
      <c r="K22">
        <v>0.82</v>
      </c>
      <c r="L22">
        <v>0.75</v>
      </c>
      <c r="M22">
        <v>0.7</v>
      </c>
      <c r="N22">
        <v>0.63</v>
      </c>
      <c r="O22">
        <v>0.57999999999999996</v>
      </c>
      <c r="P22">
        <v>0.63</v>
      </c>
      <c r="Q22">
        <v>0.71</v>
      </c>
      <c r="R22">
        <v>0.89</v>
      </c>
      <c r="S22">
        <v>1.19</v>
      </c>
      <c r="T22">
        <v>3758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8</v>
      </c>
      <c r="G23">
        <v>3</v>
      </c>
      <c r="H23">
        <v>6</v>
      </c>
      <c r="I23">
        <v>21</v>
      </c>
      <c r="J23">
        <v>1.28</v>
      </c>
      <c r="K23">
        <v>1.3</v>
      </c>
      <c r="L23">
        <v>1.44</v>
      </c>
      <c r="M23">
        <v>1.45</v>
      </c>
      <c r="N23">
        <v>1.33</v>
      </c>
      <c r="O23">
        <v>0.99</v>
      </c>
      <c r="P23">
        <v>0.91</v>
      </c>
      <c r="Q23">
        <v>0.96</v>
      </c>
      <c r="R23">
        <v>1.04</v>
      </c>
      <c r="S23">
        <v>1</v>
      </c>
      <c r="T23">
        <v>3737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8</v>
      </c>
      <c r="G24">
        <v>3</v>
      </c>
      <c r="H24">
        <v>6</v>
      </c>
      <c r="I24">
        <v>24</v>
      </c>
      <c r="J24">
        <v>1.42</v>
      </c>
      <c r="K24">
        <v>1.32</v>
      </c>
      <c r="L24">
        <v>1.33</v>
      </c>
      <c r="M24">
        <v>1.33</v>
      </c>
      <c r="N24">
        <v>1.22</v>
      </c>
      <c r="O24">
        <v>1.01</v>
      </c>
      <c r="P24">
        <v>0.81</v>
      </c>
      <c r="Q24">
        <v>1.04</v>
      </c>
      <c r="R24">
        <v>1.0900000000000001</v>
      </c>
      <c r="S24">
        <v>1.2</v>
      </c>
      <c r="T24">
        <v>3717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8</v>
      </c>
      <c r="G25">
        <v>3</v>
      </c>
      <c r="H25">
        <v>6</v>
      </c>
      <c r="I25">
        <v>20</v>
      </c>
      <c r="J25">
        <v>1.46</v>
      </c>
      <c r="K25">
        <v>1.33</v>
      </c>
      <c r="L25">
        <v>1.39</v>
      </c>
      <c r="M25">
        <v>1.32</v>
      </c>
      <c r="N25">
        <v>1.29</v>
      </c>
      <c r="O25">
        <v>1.29</v>
      </c>
      <c r="P25">
        <v>1.06</v>
      </c>
      <c r="Q25">
        <v>1.18</v>
      </c>
      <c r="R25">
        <v>1.18</v>
      </c>
      <c r="S25">
        <v>1.24</v>
      </c>
      <c r="T25">
        <v>3744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8</v>
      </c>
      <c r="G26">
        <v>3</v>
      </c>
      <c r="H26">
        <v>6</v>
      </c>
      <c r="I26">
        <v>34</v>
      </c>
      <c r="J26">
        <v>1.49</v>
      </c>
      <c r="K26">
        <v>1.42</v>
      </c>
      <c r="L26">
        <v>1.41</v>
      </c>
      <c r="M26">
        <v>1.43</v>
      </c>
      <c r="N26">
        <v>1.43</v>
      </c>
      <c r="O26">
        <v>1.24</v>
      </c>
      <c r="P26">
        <v>0.97</v>
      </c>
      <c r="Q26">
        <v>0.93</v>
      </c>
      <c r="R26">
        <v>0.94</v>
      </c>
      <c r="S26">
        <v>1.01</v>
      </c>
      <c r="T26">
        <v>3746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8</v>
      </c>
      <c r="G27">
        <v>3</v>
      </c>
      <c r="H27">
        <v>6</v>
      </c>
      <c r="I27">
        <v>30</v>
      </c>
      <c r="J27">
        <v>1.1200000000000001</v>
      </c>
      <c r="K27">
        <v>1.03</v>
      </c>
      <c r="L27">
        <v>0.93</v>
      </c>
      <c r="M27">
        <v>0.88</v>
      </c>
      <c r="N27">
        <v>0.83</v>
      </c>
      <c r="O27">
        <v>0.8</v>
      </c>
      <c r="P27">
        <v>0.85</v>
      </c>
      <c r="Q27">
        <v>1.05</v>
      </c>
      <c r="R27">
        <v>1.18</v>
      </c>
      <c r="S27">
        <v>1.29</v>
      </c>
      <c r="T27">
        <v>3744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8</v>
      </c>
      <c r="G28">
        <v>3</v>
      </c>
      <c r="H28">
        <v>6</v>
      </c>
      <c r="I28">
        <v>42</v>
      </c>
      <c r="J28">
        <v>1.08</v>
      </c>
      <c r="K28">
        <v>1.1200000000000001</v>
      </c>
      <c r="L28">
        <v>1.28</v>
      </c>
      <c r="M28">
        <v>1.45</v>
      </c>
      <c r="N28">
        <v>1.37</v>
      </c>
      <c r="O28">
        <v>1.31</v>
      </c>
      <c r="P28">
        <v>1.35</v>
      </c>
      <c r="Q28">
        <v>1.25</v>
      </c>
      <c r="R28">
        <v>1.31</v>
      </c>
      <c r="S28">
        <v>1.32</v>
      </c>
      <c r="T28">
        <v>3728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8</v>
      </c>
      <c r="G29">
        <v>3</v>
      </c>
      <c r="H29">
        <v>6</v>
      </c>
      <c r="I29">
        <v>46</v>
      </c>
      <c r="J29">
        <v>0.95</v>
      </c>
      <c r="K29">
        <v>1</v>
      </c>
      <c r="L29">
        <v>1.23</v>
      </c>
      <c r="M29">
        <v>1.38</v>
      </c>
      <c r="N29">
        <v>1.4</v>
      </c>
      <c r="O29">
        <v>1.36</v>
      </c>
      <c r="P29">
        <v>1.23</v>
      </c>
      <c r="Q29">
        <v>1.1100000000000001</v>
      </c>
      <c r="R29">
        <v>1.03</v>
      </c>
      <c r="S29">
        <v>1.1599999999999999</v>
      </c>
      <c r="T29">
        <v>3722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8</v>
      </c>
      <c r="G30">
        <v>3</v>
      </c>
      <c r="H30">
        <v>6</v>
      </c>
      <c r="I30">
        <v>50</v>
      </c>
      <c r="J30">
        <v>1.04</v>
      </c>
      <c r="K30">
        <v>1.1200000000000001</v>
      </c>
      <c r="L30">
        <v>1.41</v>
      </c>
      <c r="M30">
        <v>1.38</v>
      </c>
      <c r="N30">
        <v>1.43</v>
      </c>
      <c r="O30">
        <v>1.34</v>
      </c>
      <c r="P30">
        <v>1.29</v>
      </c>
      <c r="Q30">
        <v>0.99</v>
      </c>
      <c r="R30">
        <v>0.84</v>
      </c>
      <c r="S30">
        <v>0.9</v>
      </c>
      <c r="T30">
        <v>3741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8</v>
      </c>
      <c r="G31">
        <v>3</v>
      </c>
      <c r="H31">
        <v>6</v>
      </c>
      <c r="I31">
        <v>54</v>
      </c>
      <c r="J31">
        <v>1.3</v>
      </c>
      <c r="K31">
        <v>1.28</v>
      </c>
      <c r="L31">
        <v>1.39</v>
      </c>
      <c r="M31">
        <v>1.18</v>
      </c>
      <c r="N31">
        <v>1.24</v>
      </c>
      <c r="O31">
        <v>1.1599999999999999</v>
      </c>
      <c r="P31">
        <v>1.1399999999999999</v>
      </c>
      <c r="Q31">
        <v>0.94</v>
      </c>
      <c r="R31">
        <v>0.91</v>
      </c>
      <c r="S31">
        <v>1.05</v>
      </c>
      <c r="T31">
        <v>3736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8</v>
      </c>
      <c r="G32">
        <v>3</v>
      </c>
      <c r="H32">
        <v>6</v>
      </c>
      <c r="I32">
        <v>50</v>
      </c>
      <c r="J32">
        <v>1.21</v>
      </c>
      <c r="K32">
        <v>1.22</v>
      </c>
      <c r="L32">
        <v>1.33</v>
      </c>
      <c r="M32">
        <v>1.31</v>
      </c>
      <c r="N32">
        <v>1.38</v>
      </c>
      <c r="O32">
        <v>1.0900000000000001</v>
      </c>
      <c r="P32">
        <v>0.89</v>
      </c>
      <c r="Q32">
        <v>0.93</v>
      </c>
      <c r="R32">
        <v>1.1100000000000001</v>
      </c>
      <c r="S32">
        <v>1.2</v>
      </c>
      <c r="T32">
        <v>3719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8</v>
      </c>
      <c r="G33">
        <v>3</v>
      </c>
      <c r="H33">
        <v>7</v>
      </c>
      <c r="I33">
        <v>2</v>
      </c>
      <c r="J33">
        <v>1.21</v>
      </c>
      <c r="K33">
        <v>1.32</v>
      </c>
      <c r="L33">
        <v>1.53</v>
      </c>
      <c r="M33">
        <v>1.44</v>
      </c>
      <c r="N33">
        <v>1.46</v>
      </c>
      <c r="O33">
        <v>1.42</v>
      </c>
      <c r="P33">
        <v>1.07</v>
      </c>
      <c r="Q33">
        <v>1</v>
      </c>
      <c r="R33">
        <v>1.03</v>
      </c>
      <c r="S33">
        <v>1.1200000000000001</v>
      </c>
      <c r="T33">
        <v>3660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8</v>
      </c>
      <c r="G34">
        <v>3</v>
      </c>
      <c r="H34">
        <v>7</v>
      </c>
      <c r="I34">
        <v>7</v>
      </c>
      <c r="J34">
        <v>1.48</v>
      </c>
      <c r="K34">
        <v>1.46</v>
      </c>
      <c r="L34">
        <v>1.42</v>
      </c>
      <c r="M34">
        <v>1.49</v>
      </c>
      <c r="N34">
        <v>1.38</v>
      </c>
      <c r="O34">
        <v>1.32</v>
      </c>
      <c r="P34">
        <v>1.26</v>
      </c>
      <c r="Q34">
        <v>1.26</v>
      </c>
      <c r="R34">
        <v>1.35</v>
      </c>
      <c r="S34">
        <v>1.29</v>
      </c>
      <c r="T34">
        <v>3712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8</v>
      </c>
      <c r="G35">
        <v>3</v>
      </c>
      <c r="H35">
        <v>7</v>
      </c>
      <c r="I35">
        <v>11</v>
      </c>
      <c r="J35">
        <v>1.41</v>
      </c>
      <c r="K35">
        <v>1.33</v>
      </c>
      <c r="L35">
        <v>1.5</v>
      </c>
      <c r="M35">
        <v>1.51</v>
      </c>
      <c r="N35">
        <v>1.57</v>
      </c>
      <c r="O35">
        <v>1.51</v>
      </c>
      <c r="P35">
        <v>1.47</v>
      </c>
      <c r="Q35">
        <v>1.25</v>
      </c>
      <c r="R35">
        <v>1.27</v>
      </c>
      <c r="S35">
        <v>1.29</v>
      </c>
      <c r="T35">
        <v>3692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8</v>
      </c>
      <c r="G36">
        <v>3</v>
      </c>
      <c r="H36">
        <v>7</v>
      </c>
      <c r="I36">
        <v>15</v>
      </c>
      <c r="J36">
        <v>1.35</v>
      </c>
      <c r="K36">
        <v>1.34</v>
      </c>
      <c r="L36">
        <v>1.42</v>
      </c>
      <c r="M36">
        <v>1.52</v>
      </c>
      <c r="N36">
        <v>1.47</v>
      </c>
      <c r="O36">
        <v>1.38</v>
      </c>
      <c r="P36">
        <v>1.1599999999999999</v>
      </c>
      <c r="Q36">
        <v>0.86</v>
      </c>
      <c r="R36">
        <v>0.86</v>
      </c>
      <c r="S36">
        <v>0.99</v>
      </c>
      <c r="T36">
        <v>3717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8</v>
      </c>
      <c r="G37">
        <v>3</v>
      </c>
      <c r="H37">
        <v>7</v>
      </c>
      <c r="I37">
        <v>11</v>
      </c>
      <c r="J37">
        <v>1.31</v>
      </c>
      <c r="K37">
        <v>1.33</v>
      </c>
      <c r="L37">
        <v>1.28</v>
      </c>
      <c r="M37">
        <v>1.44</v>
      </c>
      <c r="N37">
        <v>1.43</v>
      </c>
      <c r="O37">
        <v>1.33</v>
      </c>
      <c r="P37">
        <v>1.1000000000000001</v>
      </c>
      <c r="Q37">
        <v>1.1200000000000001</v>
      </c>
      <c r="R37">
        <v>1.1000000000000001</v>
      </c>
      <c r="S37">
        <v>1.17</v>
      </c>
      <c r="T37">
        <v>3666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8</v>
      </c>
      <c r="G38">
        <v>3</v>
      </c>
      <c r="H38">
        <v>7</v>
      </c>
      <c r="I38">
        <v>24</v>
      </c>
      <c r="J38">
        <v>1.45</v>
      </c>
      <c r="K38">
        <v>1.41</v>
      </c>
      <c r="L38">
        <v>1.24</v>
      </c>
      <c r="M38">
        <v>1.31</v>
      </c>
      <c r="N38">
        <v>1.38</v>
      </c>
      <c r="O38">
        <v>1.29</v>
      </c>
      <c r="P38">
        <v>1.1200000000000001</v>
      </c>
      <c r="Q38">
        <v>0.83</v>
      </c>
      <c r="R38">
        <v>0.81</v>
      </c>
      <c r="S38">
        <v>1.07</v>
      </c>
      <c r="T38">
        <v>3689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8</v>
      </c>
      <c r="G39">
        <v>3</v>
      </c>
      <c r="H39">
        <v>7</v>
      </c>
      <c r="I39">
        <v>20</v>
      </c>
      <c r="J39">
        <v>1.45</v>
      </c>
      <c r="K39">
        <v>1.34</v>
      </c>
      <c r="L39">
        <v>1.27</v>
      </c>
      <c r="M39">
        <v>1.19</v>
      </c>
      <c r="N39">
        <v>1.22</v>
      </c>
      <c r="O39">
        <v>1.3</v>
      </c>
      <c r="P39">
        <v>1.06</v>
      </c>
      <c r="Q39">
        <v>0.92</v>
      </c>
      <c r="R39">
        <v>1.03</v>
      </c>
      <c r="S39">
        <v>1.23</v>
      </c>
      <c r="T39">
        <v>3674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8</v>
      </c>
      <c r="G40">
        <v>3</v>
      </c>
      <c r="H40">
        <v>7</v>
      </c>
      <c r="I40">
        <v>32</v>
      </c>
      <c r="J40">
        <v>1.28</v>
      </c>
      <c r="K40">
        <v>1.33</v>
      </c>
      <c r="L40">
        <v>1.4</v>
      </c>
      <c r="M40">
        <v>1.1299999999999999</v>
      </c>
      <c r="N40">
        <v>1.06</v>
      </c>
      <c r="O40">
        <v>1.07</v>
      </c>
      <c r="P40">
        <v>0.86</v>
      </c>
      <c r="Q40">
        <v>0.95</v>
      </c>
      <c r="R40">
        <v>1.2</v>
      </c>
      <c r="S40">
        <v>1.23</v>
      </c>
      <c r="T40">
        <v>3678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8</v>
      </c>
      <c r="G41">
        <v>3</v>
      </c>
      <c r="H41">
        <v>7</v>
      </c>
      <c r="I41">
        <v>36</v>
      </c>
      <c r="J41">
        <v>1.22</v>
      </c>
      <c r="K41">
        <v>1.02</v>
      </c>
      <c r="L41">
        <v>1.06</v>
      </c>
      <c r="M41">
        <v>1.23</v>
      </c>
      <c r="N41">
        <v>1.31</v>
      </c>
      <c r="O41">
        <v>1.08</v>
      </c>
      <c r="P41">
        <v>1.05</v>
      </c>
      <c r="Q41">
        <v>1</v>
      </c>
      <c r="R41">
        <v>1.06</v>
      </c>
      <c r="S41">
        <v>1.1000000000000001</v>
      </c>
      <c r="T41">
        <v>3650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8</v>
      </c>
      <c r="G45">
        <v>3</v>
      </c>
      <c r="H45">
        <v>5</v>
      </c>
      <c r="I45">
        <v>51</v>
      </c>
      <c r="J45">
        <v>1.06</v>
      </c>
      <c r="K45">
        <v>1.1000000000000001</v>
      </c>
      <c r="L45">
        <v>1.25</v>
      </c>
      <c r="M45">
        <v>1.45</v>
      </c>
      <c r="N45">
        <v>1.34</v>
      </c>
      <c r="O45">
        <v>1.43</v>
      </c>
      <c r="P45">
        <v>1.48</v>
      </c>
      <c r="Q45">
        <v>1.4</v>
      </c>
      <c r="R45">
        <v>1.35</v>
      </c>
      <c r="S45">
        <v>1.35</v>
      </c>
      <c r="T45">
        <v>3726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8</v>
      </c>
      <c r="G46">
        <v>3</v>
      </c>
      <c r="H46">
        <v>6</v>
      </c>
      <c r="I46">
        <v>3</v>
      </c>
      <c r="J46">
        <v>1.31</v>
      </c>
      <c r="K46">
        <v>1.34</v>
      </c>
      <c r="L46">
        <v>1.17</v>
      </c>
      <c r="M46">
        <v>1.1100000000000001</v>
      </c>
      <c r="N46">
        <v>1.01</v>
      </c>
      <c r="O46">
        <v>0.99</v>
      </c>
      <c r="P46">
        <v>0.9</v>
      </c>
      <c r="Q46">
        <v>1.1200000000000001</v>
      </c>
      <c r="R46">
        <v>1.07</v>
      </c>
      <c r="S46">
        <v>0.92</v>
      </c>
      <c r="T46">
        <v>3721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8</v>
      </c>
      <c r="G47">
        <v>3</v>
      </c>
      <c r="H47">
        <v>6</v>
      </c>
      <c r="I47">
        <v>7</v>
      </c>
      <c r="J47">
        <v>1.22</v>
      </c>
      <c r="K47">
        <v>1.1299999999999999</v>
      </c>
      <c r="L47">
        <v>1.22</v>
      </c>
      <c r="M47">
        <v>1.33</v>
      </c>
      <c r="N47">
        <v>1.37</v>
      </c>
      <c r="O47">
        <v>1.1599999999999999</v>
      </c>
      <c r="P47">
        <v>0.98</v>
      </c>
      <c r="Q47">
        <v>0.97</v>
      </c>
      <c r="R47">
        <v>1.05</v>
      </c>
      <c r="S47">
        <v>1.07</v>
      </c>
      <c r="T47">
        <v>3735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8</v>
      </c>
      <c r="G48">
        <v>3</v>
      </c>
      <c r="H48">
        <v>6</v>
      </c>
      <c r="I48">
        <v>12</v>
      </c>
      <c r="J48">
        <v>1.4</v>
      </c>
      <c r="K48">
        <v>1.39</v>
      </c>
      <c r="L48">
        <v>1.43</v>
      </c>
      <c r="M48">
        <v>1.39</v>
      </c>
      <c r="N48">
        <v>1.22</v>
      </c>
      <c r="O48">
        <v>1.1200000000000001</v>
      </c>
      <c r="P48">
        <v>1.36</v>
      </c>
      <c r="Q48">
        <v>1.4</v>
      </c>
      <c r="R48">
        <v>1.29</v>
      </c>
      <c r="S48">
        <v>1.26</v>
      </c>
      <c r="T48">
        <v>3726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8</v>
      </c>
      <c r="G49">
        <v>3</v>
      </c>
      <c r="H49">
        <v>6</v>
      </c>
      <c r="I49">
        <v>20</v>
      </c>
      <c r="J49">
        <v>1.46</v>
      </c>
      <c r="K49">
        <v>1.33</v>
      </c>
      <c r="L49">
        <v>1.39</v>
      </c>
      <c r="M49">
        <v>1.32</v>
      </c>
      <c r="N49">
        <v>1.29</v>
      </c>
      <c r="O49">
        <v>1.29</v>
      </c>
      <c r="P49">
        <v>1.06</v>
      </c>
      <c r="Q49">
        <v>1.18</v>
      </c>
      <c r="R49">
        <v>1.18</v>
      </c>
      <c r="S49">
        <v>1.24</v>
      </c>
      <c r="T49">
        <v>3744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8</v>
      </c>
      <c r="G50">
        <v>3</v>
      </c>
      <c r="H50">
        <v>6</v>
      </c>
      <c r="I50">
        <v>24</v>
      </c>
      <c r="J50">
        <v>1.42</v>
      </c>
      <c r="K50">
        <v>1.32</v>
      </c>
      <c r="L50">
        <v>1.33</v>
      </c>
      <c r="M50">
        <v>1.33</v>
      </c>
      <c r="N50">
        <v>1.22</v>
      </c>
      <c r="O50">
        <v>1.01</v>
      </c>
      <c r="P50">
        <v>0.81</v>
      </c>
      <c r="Q50">
        <v>1.04</v>
      </c>
      <c r="R50">
        <v>1.0900000000000001</v>
      </c>
      <c r="S50">
        <v>1.2</v>
      </c>
      <c r="T50">
        <v>3717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8</v>
      </c>
      <c r="G51">
        <v>3</v>
      </c>
      <c r="H51">
        <v>6</v>
      </c>
      <c r="I51">
        <v>21</v>
      </c>
      <c r="J51">
        <v>1.28</v>
      </c>
      <c r="K51">
        <v>1.3</v>
      </c>
      <c r="L51">
        <v>1.44</v>
      </c>
      <c r="M51">
        <v>1.45</v>
      </c>
      <c r="N51">
        <v>1.33</v>
      </c>
      <c r="O51">
        <v>0.99</v>
      </c>
      <c r="P51">
        <v>0.91</v>
      </c>
      <c r="Q51">
        <v>0.96</v>
      </c>
      <c r="R51">
        <v>1.04</v>
      </c>
      <c r="S51">
        <v>1</v>
      </c>
      <c r="T51">
        <v>3737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8</v>
      </c>
      <c r="G52">
        <v>3</v>
      </c>
      <c r="H52">
        <v>6</v>
      </c>
      <c r="I52">
        <v>16</v>
      </c>
      <c r="J52">
        <v>0.98</v>
      </c>
      <c r="K52">
        <v>0.82</v>
      </c>
      <c r="L52">
        <v>0.75</v>
      </c>
      <c r="M52">
        <v>0.7</v>
      </c>
      <c r="N52">
        <v>0.63</v>
      </c>
      <c r="O52">
        <v>0.57999999999999996</v>
      </c>
      <c r="P52">
        <v>0.63</v>
      </c>
      <c r="Q52">
        <v>0.71</v>
      </c>
      <c r="R52">
        <v>0.89</v>
      </c>
      <c r="S52">
        <v>1.19</v>
      </c>
      <c r="T52">
        <v>3758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8</v>
      </c>
      <c r="G53">
        <v>3</v>
      </c>
      <c r="H53">
        <v>6</v>
      </c>
      <c r="I53">
        <v>34</v>
      </c>
      <c r="J53">
        <v>1.49</v>
      </c>
      <c r="K53">
        <v>1.42</v>
      </c>
      <c r="L53">
        <v>1.41</v>
      </c>
      <c r="M53">
        <v>1.43</v>
      </c>
      <c r="N53">
        <v>1.43</v>
      </c>
      <c r="O53">
        <v>1.24</v>
      </c>
      <c r="P53">
        <v>0.97</v>
      </c>
      <c r="Q53">
        <v>0.93</v>
      </c>
      <c r="R53">
        <v>0.94</v>
      </c>
      <c r="S53">
        <v>1.01</v>
      </c>
      <c r="T53">
        <v>3746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8</v>
      </c>
      <c r="G54">
        <v>3</v>
      </c>
      <c r="H54">
        <v>6</v>
      </c>
      <c r="I54">
        <v>30</v>
      </c>
      <c r="J54">
        <v>1.1200000000000001</v>
      </c>
      <c r="K54">
        <v>1.03</v>
      </c>
      <c r="L54">
        <v>0.93</v>
      </c>
      <c r="M54">
        <v>0.88</v>
      </c>
      <c r="N54">
        <v>0.83</v>
      </c>
      <c r="O54">
        <v>0.8</v>
      </c>
      <c r="P54">
        <v>0.85</v>
      </c>
      <c r="Q54">
        <v>1.05</v>
      </c>
      <c r="R54">
        <v>1.18</v>
      </c>
      <c r="S54">
        <v>1.29</v>
      </c>
      <c r="T54">
        <v>3744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8</v>
      </c>
      <c r="G55">
        <v>3</v>
      </c>
      <c r="H55">
        <v>6</v>
      </c>
      <c r="I55">
        <v>42</v>
      </c>
      <c r="J55">
        <v>1.08</v>
      </c>
      <c r="K55">
        <v>1.1200000000000001</v>
      </c>
      <c r="L55">
        <v>1.28</v>
      </c>
      <c r="M55">
        <v>1.45</v>
      </c>
      <c r="N55">
        <v>1.37</v>
      </c>
      <c r="O55">
        <v>1.31</v>
      </c>
      <c r="P55">
        <v>1.35</v>
      </c>
      <c r="Q55">
        <v>1.25</v>
      </c>
      <c r="R55">
        <v>1.31</v>
      </c>
      <c r="S55">
        <v>1.32</v>
      </c>
      <c r="T55">
        <v>3728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8</v>
      </c>
      <c r="G56">
        <v>3</v>
      </c>
      <c r="H56">
        <v>6</v>
      </c>
      <c r="I56">
        <v>46</v>
      </c>
      <c r="J56">
        <v>0.95</v>
      </c>
      <c r="K56">
        <v>1</v>
      </c>
      <c r="L56">
        <v>1.23</v>
      </c>
      <c r="M56">
        <v>1.38</v>
      </c>
      <c r="N56">
        <v>1.4</v>
      </c>
      <c r="O56">
        <v>1.36</v>
      </c>
      <c r="P56">
        <v>1.23</v>
      </c>
      <c r="Q56">
        <v>1.1100000000000001</v>
      </c>
      <c r="R56">
        <v>1.03</v>
      </c>
      <c r="S56">
        <v>1.1599999999999999</v>
      </c>
      <c r="T56">
        <v>3722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8</v>
      </c>
      <c r="G57">
        <v>3</v>
      </c>
      <c r="H57">
        <v>7</v>
      </c>
      <c r="I57">
        <v>2</v>
      </c>
      <c r="J57">
        <v>1.21</v>
      </c>
      <c r="K57">
        <v>1.32</v>
      </c>
      <c r="L57">
        <v>1.53</v>
      </c>
      <c r="M57">
        <v>1.44</v>
      </c>
      <c r="N57">
        <v>1.46</v>
      </c>
      <c r="O57">
        <v>1.42</v>
      </c>
      <c r="P57">
        <v>1.07</v>
      </c>
      <c r="Q57">
        <v>1</v>
      </c>
      <c r="R57">
        <v>1.03</v>
      </c>
      <c r="S57">
        <v>1.1200000000000001</v>
      </c>
      <c r="T57">
        <v>3660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8</v>
      </c>
      <c r="G58">
        <v>3</v>
      </c>
      <c r="H58">
        <v>6</v>
      </c>
      <c r="I58">
        <v>50</v>
      </c>
      <c r="J58">
        <v>1.21</v>
      </c>
      <c r="K58">
        <v>1.22</v>
      </c>
      <c r="L58">
        <v>1.33</v>
      </c>
      <c r="M58">
        <v>1.31</v>
      </c>
      <c r="N58">
        <v>1.38</v>
      </c>
      <c r="O58">
        <v>1.0900000000000001</v>
      </c>
      <c r="P58">
        <v>0.89</v>
      </c>
      <c r="Q58">
        <v>0.93</v>
      </c>
      <c r="R58">
        <v>1.1100000000000001</v>
      </c>
      <c r="S58">
        <v>1.2</v>
      </c>
      <c r="T58">
        <v>3719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8</v>
      </c>
      <c r="G59">
        <v>3</v>
      </c>
      <c r="H59">
        <v>6</v>
      </c>
      <c r="I59">
        <v>54</v>
      </c>
      <c r="J59">
        <v>1.3</v>
      </c>
      <c r="K59">
        <v>1.28</v>
      </c>
      <c r="L59">
        <v>1.39</v>
      </c>
      <c r="M59">
        <v>1.18</v>
      </c>
      <c r="N59">
        <v>1.24</v>
      </c>
      <c r="O59">
        <v>1.1599999999999999</v>
      </c>
      <c r="P59">
        <v>1.1399999999999999</v>
      </c>
      <c r="Q59">
        <v>0.94</v>
      </c>
      <c r="R59">
        <v>0.91</v>
      </c>
      <c r="S59">
        <v>1.05</v>
      </c>
      <c r="T59">
        <v>3736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8</v>
      </c>
      <c r="G60">
        <v>3</v>
      </c>
      <c r="H60">
        <v>6</v>
      </c>
      <c r="I60">
        <v>50</v>
      </c>
      <c r="J60">
        <v>1.04</v>
      </c>
      <c r="K60">
        <v>1.1200000000000001</v>
      </c>
      <c r="L60">
        <v>1.41</v>
      </c>
      <c r="M60">
        <v>1.38</v>
      </c>
      <c r="N60">
        <v>1.43</v>
      </c>
      <c r="O60">
        <v>1.34</v>
      </c>
      <c r="P60">
        <v>1.29</v>
      </c>
      <c r="Q60">
        <v>0.99</v>
      </c>
      <c r="R60">
        <v>0.84</v>
      </c>
      <c r="S60">
        <v>0.9</v>
      </c>
      <c r="T60">
        <v>3741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8</v>
      </c>
      <c r="G61">
        <v>3</v>
      </c>
      <c r="H61">
        <v>7</v>
      </c>
      <c r="I61">
        <v>7</v>
      </c>
      <c r="J61">
        <v>1.48</v>
      </c>
      <c r="K61">
        <v>1.46</v>
      </c>
      <c r="L61">
        <v>1.42</v>
      </c>
      <c r="M61">
        <v>1.49</v>
      </c>
      <c r="N61">
        <v>1.38</v>
      </c>
      <c r="O61">
        <v>1.32</v>
      </c>
      <c r="P61">
        <v>1.26</v>
      </c>
      <c r="Q61">
        <v>1.26</v>
      </c>
      <c r="R61">
        <v>1.35</v>
      </c>
      <c r="S61">
        <v>1.29</v>
      </c>
      <c r="T61">
        <v>3712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8</v>
      </c>
      <c r="G62">
        <v>3</v>
      </c>
      <c r="H62">
        <v>7</v>
      </c>
      <c r="I62">
        <v>11</v>
      </c>
      <c r="J62">
        <v>1.41</v>
      </c>
      <c r="K62">
        <v>1.33</v>
      </c>
      <c r="L62">
        <v>1.5</v>
      </c>
      <c r="M62">
        <v>1.51</v>
      </c>
      <c r="N62">
        <v>1.57</v>
      </c>
      <c r="O62">
        <v>1.51</v>
      </c>
      <c r="P62">
        <v>1.47</v>
      </c>
      <c r="Q62">
        <v>1.25</v>
      </c>
      <c r="R62">
        <v>1.27</v>
      </c>
      <c r="S62">
        <v>1.29</v>
      </c>
      <c r="T62">
        <v>3692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8</v>
      </c>
      <c r="G63">
        <v>3</v>
      </c>
      <c r="H63">
        <v>7</v>
      </c>
      <c r="I63">
        <v>15</v>
      </c>
      <c r="J63">
        <v>1.35</v>
      </c>
      <c r="K63">
        <v>1.34</v>
      </c>
      <c r="L63">
        <v>1.42</v>
      </c>
      <c r="M63">
        <v>1.52</v>
      </c>
      <c r="N63">
        <v>1.47</v>
      </c>
      <c r="O63">
        <v>1.38</v>
      </c>
      <c r="P63">
        <v>1.1599999999999999</v>
      </c>
      <c r="Q63">
        <v>0.86</v>
      </c>
      <c r="R63">
        <v>0.86</v>
      </c>
      <c r="S63">
        <v>0.99</v>
      </c>
      <c r="T63">
        <v>3717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8</v>
      </c>
      <c r="G64">
        <v>3</v>
      </c>
      <c r="H64">
        <v>7</v>
      </c>
      <c r="I64">
        <v>11</v>
      </c>
      <c r="J64">
        <v>1.31</v>
      </c>
      <c r="K64">
        <v>1.33</v>
      </c>
      <c r="L64">
        <v>1.28</v>
      </c>
      <c r="M64">
        <v>1.44</v>
      </c>
      <c r="N64">
        <v>1.43</v>
      </c>
      <c r="O64">
        <v>1.33</v>
      </c>
      <c r="P64">
        <v>1.1000000000000001</v>
      </c>
      <c r="Q64">
        <v>1.1200000000000001</v>
      </c>
      <c r="R64">
        <v>1.1000000000000001</v>
      </c>
      <c r="S64">
        <v>1.17</v>
      </c>
      <c r="T64">
        <v>3666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8</v>
      </c>
      <c r="G65">
        <v>3</v>
      </c>
      <c r="H65">
        <v>7</v>
      </c>
      <c r="I65">
        <v>36</v>
      </c>
      <c r="J65">
        <v>1.22</v>
      </c>
      <c r="K65">
        <v>1.02</v>
      </c>
      <c r="L65">
        <v>1.06</v>
      </c>
      <c r="M65">
        <v>1.23</v>
      </c>
      <c r="N65">
        <v>1.31</v>
      </c>
      <c r="O65">
        <v>1.08</v>
      </c>
      <c r="P65">
        <v>1.05</v>
      </c>
      <c r="Q65">
        <v>1</v>
      </c>
      <c r="R65">
        <v>1.06</v>
      </c>
      <c r="S65">
        <v>1.1000000000000001</v>
      </c>
      <c r="T65">
        <v>3650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8</v>
      </c>
      <c r="G66">
        <v>3</v>
      </c>
      <c r="H66">
        <v>7</v>
      </c>
      <c r="I66">
        <v>32</v>
      </c>
      <c r="J66">
        <v>1.28</v>
      </c>
      <c r="K66">
        <v>1.33</v>
      </c>
      <c r="L66">
        <v>1.4</v>
      </c>
      <c r="M66">
        <v>1.1299999999999999</v>
      </c>
      <c r="N66">
        <v>1.06</v>
      </c>
      <c r="O66">
        <v>1.07</v>
      </c>
      <c r="P66">
        <v>0.86</v>
      </c>
      <c r="Q66">
        <v>0.95</v>
      </c>
      <c r="R66">
        <v>1.2</v>
      </c>
      <c r="S66">
        <v>1.23</v>
      </c>
      <c r="T66">
        <v>3678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8</v>
      </c>
      <c r="G67">
        <v>3</v>
      </c>
      <c r="H67">
        <v>7</v>
      </c>
      <c r="I67">
        <v>20</v>
      </c>
      <c r="J67">
        <v>1.45</v>
      </c>
      <c r="K67">
        <v>1.34</v>
      </c>
      <c r="L67">
        <v>1.27</v>
      </c>
      <c r="M67">
        <v>1.19</v>
      </c>
      <c r="N67">
        <v>1.22</v>
      </c>
      <c r="O67">
        <v>1.3</v>
      </c>
      <c r="P67">
        <v>1.06</v>
      </c>
      <c r="Q67">
        <v>0.92</v>
      </c>
      <c r="R67">
        <v>1.03</v>
      </c>
      <c r="S67">
        <v>1.23</v>
      </c>
      <c r="T67">
        <v>3674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8</v>
      </c>
      <c r="G68">
        <v>3</v>
      </c>
      <c r="H68">
        <v>7</v>
      </c>
      <c r="I68">
        <v>24</v>
      </c>
      <c r="J68">
        <v>1.45</v>
      </c>
      <c r="K68">
        <v>1.41</v>
      </c>
      <c r="L68">
        <v>1.24</v>
      </c>
      <c r="M68">
        <v>1.31</v>
      </c>
      <c r="N68">
        <v>1.38</v>
      </c>
      <c r="O68">
        <v>1.29</v>
      </c>
      <c r="P68">
        <v>1.1200000000000001</v>
      </c>
      <c r="Q68">
        <v>0.83</v>
      </c>
      <c r="R68">
        <v>0.81</v>
      </c>
      <c r="S68">
        <v>1.07</v>
      </c>
      <c r="T68">
        <v>3689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17.440200000000001</v>
      </c>
      <c r="K73">
        <f t="shared" ref="K73:R73" si="0">22.275*K45-6.1713</f>
        <v>18.331200000000003</v>
      </c>
      <c r="L73">
        <f t="shared" si="0"/>
        <v>21.672450000000001</v>
      </c>
      <c r="M73">
        <f t="shared" si="0"/>
        <v>26.12745</v>
      </c>
      <c r="N73">
        <f t="shared" si="0"/>
        <v>23.677200000000003</v>
      </c>
      <c r="O73">
        <f t="shared" si="0"/>
        <v>25.681949999999997</v>
      </c>
      <c r="P73">
        <f t="shared" si="0"/>
        <v>26.7957</v>
      </c>
      <c r="Q73">
        <f t="shared" si="0"/>
        <v>25.013699999999996</v>
      </c>
      <c r="R73">
        <f t="shared" si="0"/>
        <v>23.89995</v>
      </c>
      <c r="S73">
        <f>22.275*(S45*1.1)-6.1713</f>
        <v>26.90707500000001</v>
      </c>
    </row>
    <row r="74" spans="1:20" x14ac:dyDescent="0.25">
      <c r="I74" t="s">
        <v>43</v>
      </c>
      <c r="J74">
        <f t="shared" ref="J74:R89" si="1">22.275*J46-6.1713</f>
        <v>23.008950000000002</v>
      </c>
      <c r="K74">
        <f t="shared" si="1"/>
        <v>23.677200000000003</v>
      </c>
      <c r="L74">
        <f t="shared" si="1"/>
        <v>19.890449999999998</v>
      </c>
      <c r="M74">
        <f t="shared" si="1"/>
        <v>18.55395</v>
      </c>
      <c r="N74">
        <f t="shared" si="1"/>
        <v>16.326450000000001</v>
      </c>
      <c r="O74">
        <f t="shared" si="1"/>
        <v>15.880949999999999</v>
      </c>
      <c r="P74">
        <f t="shared" si="1"/>
        <v>13.876200000000001</v>
      </c>
      <c r="Q74">
        <f t="shared" si="1"/>
        <v>18.776700000000002</v>
      </c>
      <c r="R74">
        <f t="shared" si="1"/>
        <v>17.662950000000002</v>
      </c>
      <c r="S74">
        <f t="shared" ref="S74:S91" si="2">22.275*(S46*1.1)-6.1713</f>
        <v>16.371000000000006</v>
      </c>
    </row>
    <row r="75" spans="1:20" x14ac:dyDescent="0.25">
      <c r="I75" t="s">
        <v>44</v>
      </c>
      <c r="J75">
        <f t="shared" si="1"/>
        <v>21.004199999999997</v>
      </c>
      <c r="K75">
        <f t="shared" si="1"/>
        <v>18.999449999999996</v>
      </c>
      <c r="L75">
        <f t="shared" si="1"/>
        <v>21.004199999999997</v>
      </c>
      <c r="M75">
        <f t="shared" si="1"/>
        <v>23.454450000000001</v>
      </c>
      <c r="N75">
        <f t="shared" si="1"/>
        <v>24.345450000000003</v>
      </c>
      <c r="O75">
        <f t="shared" si="1"/>
        <v>19.667699999999996</v>
      </c>
      <c r="P75">
        <f t="shared" si="1"/>
        <v>15.658200000000001</v>
      </c>
      <c r="Q75">
        <f t="shared" si="1"/>
        <v>15.435449999999999</v>
      </c>
      <c r="R75">
        <f t="shared" si="1"/>
        <v>17.217449999999999</v>
      </c>
      <c r="S75">
        <f t="shared" si="2"/>
        <v>20.046375000000005</v>
      </c>
    </row>
    <row r="76" spans="1:20" x14ac:dyDescent="0.25">
      <c r="I76" t="s">
        <v>45</v>
      </c>
      <c r="J76">
        <f t="shared" si="1"/>
        <v>25.013699999999996</v>
      </c>
      <c r="K76">
        <f t="shared" si="1"/>
        <v>24.790949999999999</v>
      </c>
      <c r="L76">
        <f t="shared" si="1"/>
        <v>25.681949999999997</v>
      </c>
      <c r="M76">
        <f t="shared" si="1"/>
        <v>24.790949999999999</v>
      </c>
      <c r="N76">
        <f t="shared" si="1"/>
        <v>21.004199999999997</v>
      </c>
      <c r="O76">
        <f t="shared" si="1"/>
        <v>18.776700000000002</v>
      </c>
      <c r="P76">
        <f t="shared" si="1"/>
        <v>24.122700000000002</v>
      </c>
      <c r="Q76">
        <f t="shared" si="1"/>
        <v>25.013699999999996</v>
      </c>
      <c r="R76">
        <f t="shared" si="1"/>
        <v>22.56345</v>
      </c>
      <c r="S76">
        <f t="shared" si="2"/>
        <v>24.70185</v>
      </c>
    </row>
    <row r="77" spans="1:20" x14ac:dyDescent="0.25">
      <c r="I77" t="s">
        <v>46</v>
      </c>
      <c r="J77">
        <f t="shared" si="1"/>
        <v>26.350199999999997</v>
      </c>
      <c r="K77">
        <f t="shared" si="1"/>
        <v>23.454450000000001</v>
      </c>
      <c r="L77">
        <f t="shared" si="1"/>
        <v>24.790949999999999</v>
      </c>
      <c r="M77">
        <f t="shared" si="1"/>
        <v>23.2317</v>
      </c>
      <c r="N77">
        <f t="shared" si="1"/>
        <v>22.56345</v>
      </c>
      <c r="O77">
        <f t="shared" si="1"/>
        <v>22.56345</v>
      </c>
      <c r="P77">
        <f t="shared" si="1"/>
        <v>17.440200000000001</v>
      </c>
      <c r="Q77">
        <f t="shared" si="1"/>
        <v>20.113199999999999</v>
      </c>
      <c r="R77">
        <f t="shared" si="1"/>
        <v>20.113199999999999</v>
      </c>
      <c r="S77">
        <f t="shared" si="2"/>
        <v>24.2118</v>
      </c>
    </row>
    <row r="78" spans="1:20" x14ac:dyDescent="0.25">
      <c r="I78" t="s">
        <v>47</v>
      </c>
      <c r="J78">
        <f t="shared" si="1"/>
        <v>25.459199999999999</v>
      </c>
      <c r="K78">
        <f t="shared" si="1"/>
        <v>23.2317</v>
      </c>
      <c r="L78">
        <f t="shared" si="1"/>
        <v>23.454450000000001</v>
      </c>
      <c r="M78">
        <f t="shared" si="1"/>
        <v>23.454450000000001</v>
      </c>
      <c r="N78">
        <f t="shared" si="1"/>
        <v>21.004199999999997</v>
      </c>
      <c r="O78">
        <f t="shared" si="1"/>
        <v>16.326450000000001</v>
      </c>
      <c r="P78">
        <f t="shared" si="1"/>
        <v>11.871450000000003</v>
      </c>
      <c r="Q78">
        <f t="shared" si="1"/>
        <v>16.994700000000002</v>
      </c>
      <c r="R78">
        <f t="shared" si="1"/>
        <v>18.108450000000001</v>
      </c>
      <c r="S78">
        <f t="shared" si="2"/>
        <v>23.2317</v>
      </c>
    </row>
    <row r="79" spans="1:20" x14ac:dyDescent="0.25">
      <c r="I79" t="s">
        <v>48</v>
      </c>
      <c r="J79">
        <f t="shared" si="1"/>
        <v>22.340700000000002</v>
      </c>
      <c r="K79">
        <f t="shared" si="1"/>
        <v>22.786200000000001</v>
      </c>
      <c r="L79">
        <f t="shared" si="1"/>
        <v>25.904699999999995</v>
      </c>
      <c r="M79">
        <f t="shared" si="1"/>
        <v>26.12745</v>
      </c>
      <c r="N79">
        <f t="shared" si="1"/>
        <v>23.454450000000001</v>
      </c>
      <c r="O79">
        <f t="shared" si="1"/>
        <v>15.880949999999999</v>
      </c>
      <c r="P79">
        <f t="shared" si="1"/>
        <v>14.098950000000002</v>
      </c>
      <c r="Q79">
        <f t="shared" si="1"/>
        <v>15.212699999999998</v>
      </c>
      <c r="R79">
        <f t="shared" si="1"/>
        <v>16.994700000000002</v>
      </c>
      <c r="S79">
        <f t="shared" si="2"/>
        <v>18.331200000000003</v>
      </c>
    </row>
    <row r="80" spans="1:20" x14ac:dyDescent="0.25">
      <c r="I80" t="s">
        <v>49</v>
      </c>
      <c r="J80">
        <f t="shared" si="1"/>
        <v>15.658200000000001</v>
      </c>
      <c r="K80">
        <f t="shared" si="1"/>
        <v>12.094200000000001</v>
      </c>
      <c r="L80">
        <f t="shared" si="1"/>
        <v>10.534949999999998</v>
      </c>
      <c r="M80">
        <f t="shared" si="1"/>
        <v>9.4211999999999989</v>
      </c>
      <c r="N80">
        <f t="shared" si="1"/>
        <v>7.8619499999999993</v>
      </c>
      <c r="O80">
        <f t="shared" si="1"/>
        <v>6.748199999999998</v>
      </c>
      <c r="P80">
        <f t="shared" si="1"/>
        <v>7.8619499999999993</v>
      </c>
      <c r="Q80">
        <f t="shared" si="1"/>
        <v>9.6439500000000002</v>
      </c>
      <c r="R80">
        <f t="shared" si="1"/>
        <v>13.653449999999999</v>
      </c>
      <c r="S80">
        <f t="shared" si="2"/>
        <v>22.986674999999998</v>
      </c>
    </row>
    <row r="81" spans="9:19" x14ac:dyDescent="0.25">
      <c r="I81" t="s">
        <v>50</v>
      </c>
      <c r="J81">
        <f t="shared" si="1"/>
        <v>27.018449999999998</v>
      </c>
      <c r="K81">
        <f t="shared" si="1"/>
        <v>25.459199999999999</v>
      </c>
      <c r="L81">
        <f t="shared" si="1"/>
        <v>25.236449999999998</v>
      </c>
      <c r="M81">
        <f t="shared" si="1"/>
        <v>25.681949999999997</v>
      </c>
      <c r="N81">
        <f t="shared" si="1"/>
        <v>25.681949999999997</v>
      </c>
      <c r="O81">
        <f t="shared" si="1"/>
        <v>21.4497</v>
      </c>
      <c r="P81">
        <f t="shared" si="1"/>
        <v>15.435449999999999</v>
      </c>
      <c r="Q81">
        <f t="shared" si="1"/>
        <v>14.544450000000001</v>
      </c>
      <c r="R81">
        <f t="shared" si="1"/>
        <v>14.767199999999999</v>
      </c>
      <c r="S81">
        <f t="shared" si="2"/>
        <v>18.576225000000004</v>
      </c>
    </row>
    <row r="82" spans="9:19" x14ac:dyDescent="0.25">
      <c r="I82" t="s">
        <v>51</v>
      </c>
      <c r="J82">
        <f t="shared" si="1"/>
        <v>18.776700000000002</v>
      </c>
      <c r="K82">
        <f t="shared" si="1"/>
        <v>16.77195</v>
      </c>
      <c r="L82">
        <f t="shared" si="1"/>
        <v>14.544450000000001</v>
      </c>
      <c r="M82">
        <f t="shared" si="1"/>
        <v>13.430700000000002</v>
      </c>
      <c r="N82">
        <f t="shared" si="1"/>
        <v>12.316949999999999</v>
      </c>
      <c r="O82">
        <f t="shared" si="1"/>
        <v>11.648700000000002</v>
      </c>
      <c r="P82">
        <f t="shared" si="1"/>
        <v>12.762450000000001</v>
      </c>
      <c r="Q82">
        <f t="shared" si="1"/>
        <v>17.217449999999999</v>
      </c>
      <c r="R82">
        <f t="shared" si="1"/>
        <v>20.113199999999999</v>
      </c>
      <c r="S82">
        <f t="shared" si="2"/>
        <v>25.436925000000006</v>
      </c>
    </row>
    <row r="83" spans="9:19" x14ac:dyDescent="0.25">
      <c r="I83" t="s">
        <v>52</v>
      </c>
      <c r="J83">
        <f t="shared" si="1"/>
        <v>17.8857</v>
      </c>
      <c r="K83">
        <f t="shared" si="1"/>
        <v>18.776700000000002</v>
      </c>
      <c r="L83">
        <f t="shared" si="1"/>
        <v>22.340700000000002</v>
      </c>
      <c r="M83">
        <f t="shared" si="1"/>
        <v>26.12745</v>
      </c>
      <c r="N83">
        <f t="shared" si="1"/>
        <v>24.345450000000003</v>
      </c>
      <c r="O83">
        <f t="shared" si="1"/>
        <v>23.008950000000002</v>
      </c>
      <c r="P83">
        <f t="shared" si="1"/>
        <v>23.89995</v>
      </c>
      <c r="Q83">
        <f t="shared" si="1"/>
        <v>21.672450000000001</v>
      </c>
      <c r="R83">
        <f t="shared" si="1"/>
        <v>23.008950000000002</v>
      </c>
      <c r="S83">
        <f t="shared" si="2"/>
        <v>26.172000000000001</v>
      </c>
    </row>
    <row r="84" spans="9:19" x14ac:dyDescent="0.25">
      <c r="I84" t="s">
        <v>53</v>
      </c>
      <c r="J84">
        <f t="shared" si="1"/>
        <v>14.98995</v>
      </c>
      <c r="K84">
        <f t="shared" si="1"/>
        <v>16.1037</v>
      </c>
      <c r="L84">
        <f t="shared" si="1"/>
        <v>21.226949999999999</v>
      </c>
      <c r="M84">
        <f t="shared" si="1"/>
        <v>24.568199999999997</v>
      </c>
      <c r="N84">
        <f t="shared" si="1"/>
        <v>25.013699999999996</v>
      </c>
      <c r="O84">
        <f t="shared" si="1"/>
        <v>24.122700000000002</v>
      </c>
      <c r="P84">
        <f t="shared" si="1"/>
        <v>21.226949999999999</v>
      </c>
      <c r="Q84">
        <f t="shared" si="1"/>
        <v>18.55395</v>
      </c>
      <c r="R84">
        <f t="shared" si="1"/>
        <v>16.77195</v>
      </c>
      <c r="S84">
        <f t="shared" si="2"/>
        <v>22.2516</v>
      </c>
    </row>
    <row r="85" spans="9:19" x14ac:dyDescent="0.25">
      <c r="I85" t="s">
        <v>54</v>
      </c>
      <c r="J85">
        <f t="shared" si="1"/>
        <v>20.78145</v>
      </c>
      <c r="K85">
        <f t="shared" si="1"/>
        <v>23.2317</v>
      </c>
      <c r="L85">
        <f t="shared" si="1"/>
        <v>27.909450000000003</v>
      </c>
      <c r="M85">
        <f t="shared" si="1"/>
        <v>25.904699999999995</v>
      </c>
      <c r="N85">
        <f t="shared" si="1"/>
        <v>26.350199999999997</v>
      </c>
      <c r="O85">
        <f t="shared" si="1"/>
        <v>25.459199999999999</v>
      </c>
      <c r="P85">
        <f t="shared" si="1"/>
        <v>17.662950000000002</v>
      </c>
      <c r="Q85">
        <f t="shared" si="1"/>
        <v>16.1037</v>
      </c>
      <c r="R85">
        <f t="shared" si="1"/>
        <v>16.77195</v>
      </c>
      <c r="S85">
        <f t="shared" si="2"/>
        <v>21.271500000000003</v>
      </c>
    </row>
    <row r="86" spans="9:19" x14ac:dyDescent="0.25">
      <c r="I86" t="s">
        <v>55</v>
      </c>
      <c r="J86">
        <f t="shared" si="1"/>
        <v>20.78145</v>
      </c>
      <c r="K86">
        <f t="shared" si="1"/>
        <v>21.004199999999997</v>
      </c>
      <c r="L86">
        <f t="shared" si="1"/>
        <v>23.454450000000001</v>
      </c>
      <c r="M86">
        <f t="shared" si="1"/>
        <v>23.008950000000002</v>
      </c>
      <c r="N86">
        <f t="shared" si="1"/>
        <v>24.568199999999997</v>
      </c>
      <c r="O86">
        <f t="shared" si="1"/>
        <v>18.108450000000001</v>
      </c>
      <c r="P86">
        <f t="shared" si="1"/>
        <v>13.653449999999999</v>
      </c>
      <c r="Q86">
        <f t="shared" si="1"/>
        <v>14.544450000000001</v>
      </c>
      <c r="R86">
        <f t="shared" si="1"/>
        <v>18.55395</v>
      </c>
      <c r="S86">
        <f t="shared" si="2"/>
        <v>23.2317</v>
      </c>
    </row>
    <row r="87" spans="9:19" x14ac:dyDescent="0.25">
      <c r="I87" t="s">
        <v>56</v>
      </c>
      <c r="J87">
        <f t="shared" si="1"/>
        <v>22.786200000000001</v>
      </c>
      <c r="K87">
        <f t="shared" si="1"/>
        <v>22.340700000000002</v>
      </c>
      <c r="L87">
        <f t="shared" si="1"/>
        <v>24.790949999999999</v>
      </c>
      <c r="M87">
        <f t="shared" si="1"/>
        <v>20.113199999999999</v>
      </c>
      <c r="N87">
        <f t="shared" si="1"/>
        <v>21.4497</v>
      </c>
      <c r="O87">
        <f t="shared" si="1"/>
        <v>19.667699999999996</v>
      </c>
      <c r="P87">
        <f t="shared" si="1"/>
        <v>19.222199999999997</v>
      </c>
      <c r="Q87">
        <f t="shared" si="1"/>
        <v>14.767199999999999</v>
      </c>
      <c r="R87">
        <f t="shared" si="1"/>
        <v>14.098950000000002</v>
      </c>
      <c r="S87">
        <f t="shared" si="2"/>
        <v>19.556325000000005</v>
      </c>
    </row>
    <row r="88" spans="9:19" x14ac:dyDescent="0.25">
      <c r="I88" t="s">
        <v>57</v>
      </c>
      <c r="J88">
        <f t="shared" si="1"/>
        <v>16.994700000000002</v>
      </c>
      <c r="K88">
        <f t="shared" si="1"/>
        <v>18.776700000000002</v>
      </c>
      <c r="L88">
        <f t="shared" si="1"/>
        <v>25.236449999999998</v>
      </c>
      <c r="M88">
        <f t="shared" si="1"/>
        <v>24.568199999999997</v>
      </c>
      <c r="N88">
        <f t="shared" si="1"/>
        <v>25.681949999999997</v>
      </c>
      <c r="O88">
        <f t="shared" si="1"/>
        <v>23.677200000000003</v>
      </c>
      <c r="P88">
        <f t="shared" si="1"/>
        <v>22.56345</v>
      </c>
      <c r="Q88">
        <f t="shared" si="1"/>
        <v>15.880949999999999</v>
      </c>
      <c r="R88">
        <f t="shared" si="1"/>
        <v>12.5397</v>
      </c>
      <c r="S88">
        <f t="shared" si="2"/>
        <v>15.880950000000002</v>
      </c>
    </row>
    <row r="89" spans="9:19" x14ac:dyDescent="0.25">
      <c r="I89" t="s">
        <v>58</v>
      </c>
      <c r="J89">
        <f t="shared" si="1"/>
        <v>26.7957</v>
      </c>
      <c r="K89">
        <f t="shared" si="1"/>
        <v>26.350199999999997</v>
      </c>
      <c r="L89">
        <f t="shared" si="1"/>
        <v>25.459199999999999</v>
      </c>
      <c r="M89">
        <f t="shared" si="1"/>
        <v>27.018449999999998</v>
      </c>
      <c r="N89">
        <f t="shared" si="1"/>
        <v>24.568199999999997</v>
      </c>
      <c r="O89">
        <f t="shared" si="1"/>
        <v>23.2317</v>
      </c>
      <c r="P89">
        <f t="shared" si="1"/>
        <v>21.895199999999999</v>
      </c>
      <c r="Q89">
        <f t="shared" si="1"/>
        <v>21.895199999999999</v>
      </c>
      <c r="R89">
        <f t="shared" si="1"/>
        <v>23.89995</v>
      </c>
      <c r="S89">
        <f t="shared" si="2"/>
        <v>25.436925000000006</v>
      </c>
    </row>
    <row r="90" spans="9:19" x14ac:dyDescent="0.25">
      <c r="I90" t="s">
        <v>59</v>
      </c>
      <c r="J90">
        <f t="shared" ref="J90:R96" si="3">22.275*J62-6.1713</f>
        <v>25.236449999999998</v>
      </c>
      <c r="K90">
        <f t="shared" si="3"/>
        <v>23.454450000000001</v>
      </c>
      <c r="L90">
        <f t="shared" si="3"/>
        <v>27.241199999999996</v>
      </c>
      <c r="M90">
        <f t="shared" si="3"/>
        <v>27.463950000000001</v>
      </c>
      <c r="N90">
        <f t="shared" si="3"/>
        <v>28.800450000000001</v>
      </c>
      <c r="O90">
        <f t="shared" si="3"/>
        <v>27.463950000000001</v>
      </c>
      <c r="P90">
        <f t="shared" si="3"/>
        <v>26.572949999999995</v>
      </c>
      <c r="Q90">
        <f t="shared" si="3"/>
        <v>21.672450000000001</v>
      </c>
      <c r="R90">
        <f t="shared" si="3"/>
        <v>22.11795</v>
      </c>
      <c r="S90">
        <f t="shared" si="2"/>
        <v>25.436925000000006</v>
      </c>
    </row>
    <row r="91" spans="9:19" x14ac:dyDescent="0.25">
      <c r="I91" t="s">
        <v>60</v>
      </c>
      <c r="J91">
        <f t="shared" si="3"/>
        <v>23.89995</v>
      </c>
      <c r="K91">
        <f t="shared" si="3"/>
        <v>23.677200000000003</v>
      </c>
      <c r="L91">
        <f t="shared" si="3"/>
        <v>25.459199999999999</v>
      </c>
      <c r="M91">
        <f t="shared" si="3"/>
        <v>27.686699999999998</v>
      </c>
      <c r="N91">
        <f t="shared" si="3"/>
        <v>26.572949999999995</v>
      </c>
      <c r="O91">
        <f t="shared" si="3"/>
        <v>24.568199999999997</v>
      </c>
      <c r="P91">
        <f t="shared" si="3"/>
        <v>19.667699999999996</v>
      </c>
      <c r="Q91">
        <f t="shared" si="3"/>
        <v>12.985199999999999</v>
      </c>
      <c r="R91">
        <f t="shared" si="3"/>
        <v>12.985199999999999</v>
      </c>
      <c r="S91">
        <f t="shared" si="2"/>
        <v>18.086175000000001</v>
      </c>
    </row>
    <row r="92" spans="9:19" x14ac:dyDescent="0.25">
      <c r="I92" t="s">
        <v>61</v>
      </c>
      <c r="J92">
        <f t="shared" si="3"/>
        <v>23.008950000000002</v>
      </c>
      <c r="K92">
        <f t="shared" si="3"/>
        <v>23.454450000000001</v>
      </c>
      <c r="L92">
        <f t="shared" si="3"/>
        <v>22.340700000000002</v>
      </c>
      <c r="M92">
        <f t="shared" si="3"/>
        <v>25.904699999999995</v>
      </c>
      <c r="N92">
        <f t="shared" si="3"/>
        <v>25.681949999999997</v>
      </c>
      <c r="O92">
        <f t="shared" si="3"/>
        <v>23.454450000000001</v>
      </c>
      <c r="P92">
        <f t="shared" si="3"/>
        <v>18.331200000000003</v>
      </c>
      <c r="Q92">
        <f t="shared" si="3"/>
        <v>18.776700000000002</v>
      </c>
      <c r="R92">
        <f t="shared" si="3"/>
        <v>18.331200000000003</v>
      </c>
      <c r="S92">
        <f>22.275*(S64*1.1)-6.1713</f>
        <v>22.496624999999998</v>
      </c>
    </row>
    <row r="93" spans="9:19" x14ac:dyDescent="0.25">
      <c r="I93" t="s">
        <v>62</v>
      </c>
      <c r="J93">
        <f t="shared" si="3"/>
        <v>21.004199999999997</v>
      </c>
      <c r="K93">
        <f t="shared" si="3"/>
        <v>16.549199999999999</v>
      </c>
      <c r="L93">
        <f t="shared" si="3"/>
        <v>17.440200000000001</v>
      </c>
      <c r="M93">
        <f t="shared" si="3"/>
        <v>21.226949999999999</v>
      </c>
      <c r="N93">
        <f t="shared" si="3"/>
        <v>23.008950000000002</v>
      </c>
      <c r="O93">
        <f t="shared" si="3"/>
        <v>17.8857</v>
      </c>
      <c r="P93">
        <f t="shared" si="3"/>
        <v>17.217449999999999</v>
      </c>
      <c r="Q93">
        <f t="shared" si="3"/>
        <v>16.1037</v>
      </c>
      <c r="R93">
        <f t="shared" si="3"/>
        <v>17.440200000000001</v>
      </c>
      <c r="S93">
        <f t="shared" ref="S93:S95" si="4">22.275*(S65*1.1)-6.1713</f>
        <v>20.781450000000003</v>
      </c>
    </row>
    <row r="94" spans="9:19" x14ac:dyDescent="0.25">
      <c r="I94" t="s">
        <v>63</v>
      </c>
      <c r="J94">
        <f t="shared" si="3"/>
        <v>22.340700000000002</v>
      </c>
      <c r="K94">
        <f t="shared" si="3"/>
        <v>23.454450000000001</v>
      </c>
      <c r="L94">
        <f t="shared" si="3"/>
        <v>25.013699999999996</v>
      </c>
      <c r="M94">
        <f t="shared" si="3"/>
        <v>18.999449999999996</v>
      </c>
      <c r="N94">
        <f t="shared" si="3"/>
        <v>17.440200000000001</v>
      </c>
      <c r="O94">
        <f t="shared" si="3"/>
        <v>17.662950000000002</v>
      </c>
      <c r="P94">
        <f t="shared" si="3"/>
        <v>12.985199999999999</v>
      </c>
      <c r="Q94">
        <f t="shared" si="3"/>
        <v>14.98995</v>
      </c>
      <c r="R94">
        <f t="shared" si="3"/>
        <v>20.558699999999998</v>
      </c>
      <c r="S94">
        <f t="shared" si="4"/>
        <v>23.966774999999998</v>
      </c>
    </row>
    <row r="95" spans="9:19" x14ac:dyDescent="0.25">
      <c r="I95" t="s">
        <v>64</v>
      </c>
      <c r="J95">
        <f t="shared" si="3"/>
        <v>26.12745</v>
      </c>
      <c r="K95">
        <f t="shared" si="3"/>
        <v>23.677200000000003</v>
      </c>
      <c r="L95">
        <f t="shared" si="3"/>
        <v>22.11795</v>
      </c>
      <c r="M95">
        <f t="shared" si="3"/>
        <v>20.335949999999997</v>
      </c>
      <c r="N95">
        <f t="shared" si="3"/>
        <v>21.004199999999997</v>
      </c>
      <c r="O95">
        <f t="shared" si="3"/>
        <v>22.786200000000001</v>
      </c>
      <c r="P95">
        <f t="shared" si="3"/>
        <v>17.440200000000001</v>
      </c>
      <c r="Q95">
        <f t="shared" si="3"/>
        <v>14.3217</v>
      </c>
      <c r="R95">
        <f t="shared" si="3"/>
        <v>16.77195</v>
      </c>
      <c r="S95">
        <f t="shared" si="4"/>
        <v>23.966774999999998</v>
      </c>
    </row>
    <row r="96" spans="9:19" x14ac:dyDescent="0.25">
      <c r="I96" t="s">
        <v>65</v>
      </c>
      <c r="J96">
        <f>22.275*J68-6.1713</f>
        <v>26.12745</v>
      </c>
      <c r="K96">
        <f t="shared" si="3"/>
        <v>25.236449999999998</v>
      </c>
      <c r="L96">
        <f t="shared" si="3"/>
        <v>21.4497</v>
      </c>
      <c r="M96">
        <f t="shared" si="3"/>
        <v>23.008950000000002</v>
      </c>
      <c r="N96">
        <f t="shared" si="3"/>
        <v>24.568199999999997</v>
      </c>
      <c r="O96">
        <f t="shared" si="3"/>
        <v>22.56345</v>
      </c>
      <c r="P96">
        <f t="shared" si="3"/>
        <v>18.776700000000002</v>
      </c>
      <c r="Q96">
        <f t="shared" si="3"/>
        <v>12.316949999999999</v>
      </c>
      <c r="R96">
        <f t="shared" si="3"/>
        <v>11.871450000000003</v>
      </c>
      <c r="S96">
        <f>22.275*(S68*1.1)-6.1713</f>
        <v>20.046375000000005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0.174402</v>
      </c>
      <c r="K101" s="4">
        <f t="shared" si="5"/>
        <v>0.18331200000000003</v>
      </c>
      <c r="L101" s="4">
        <f t="shared" si="5"/>
        <v>0.21672450000000001</v>
      </c>
      <c r="M101" s="4">
        <f t="shared" si="5"/>
        <v>0.26127450000000002</v>
      </c>
      <c r="N101" s="4">
        <f t="shared" si="5"/>
        <v>0.23677200000000004</v>
      </c>
      <c r="O101" s="4">
        <f t="shared" si="5"/>
        <v>0.25681949999999998</v>
      </c>
      <c r="P101" s="4">
        <f t="shared" si="5"/>
        <v>0.267957</v>
      </c>
      <c r="Q101" s="4">
        <f t="shared" si="5"/>
        <v>0.25013699999999994</v>
      </c>
      <c r="R101" s="4">
        <f t="shared" si="5"/>
        <v>0.2389995</v>
      </c>
      <c r="S101" s="4">
        <f t="shared" si="5"/>
        <v>0.26907075000000008</v>
      </c>
    </row>
    <row r="102" spans="9:19" x14ac:dyDescent="0.25">
      <c r="I102">
        <v>12</v>
      </c>
      <c r="J102" s="4">
        <f t="shared" ref="J102:S115" si="6">IF(J74&lt;0,"",J74/100)</f>
        <v>0.23008950000000003</v>
      </c>
      <c r="K102" s="4">
        <f t="shared" si="6"/>
        <v>0.23677200000000004</v>
      </c>
      <c r="L102" s="4">
        <f t="shared" si="6"/>
        <v>0.19890449999999998</v>
      </c>
      <c r="M102" s="4">
        <f t="shared" si="6"/>
        <v>0.1855395</v>
      </c>
      <c r="N102" s="4">
        <f t="shared" si="6"/>
        <v>0.16326450000000001</v>
      </c>
      <c r="O102" s="4">
        <f t="shared" si="6"/>
        <v>0.15880949999999999</v>
      </c>
      <c r="P102" s="4">
        <f t="shared" si="6"/>
        <v>0.138762</v>
      </c>
      <c r="Q102" s="4">
        <f t="shared" si="6"/>
        <v>0.18776700000000002</v>
      </c>
      <c r="R102" s="4">
        <f t="shared" si="6"/>
        <v>0.17662950000000002</v>
      </c>
      <c r="S102" s="4">
        <f t="shared" si="6"/>
        <v>0.16371000000000005</v>
      </c>
    </row>
    <row r="103" spans="9:19" x14ac:dyDescent="0.25">
      <c r="I103">
        <v>13</v>
      </c>
      <c r="J103" s="4">
        <f t="shared" si="6"/>
        <v>0.21004199999999998</v>
      </c>
      <c r="K103" s="4">
        <f t="shared" si="6"/>
        <v>0.18999449999999996</v>
      </c>
      <c r="L103" s="4">
        <f t="shared" si="6"/>
        <v>0.21004199999999998</v>
      </c>
      <c r="M103" s="4">
        <f t="shared" si="6"/>
        <v>0.23454450000000002</v>
      </c>
      <c r="N103" s="4">
        <f t="shared" si="6"/>
        <v>0.24345450000000002</v>
      </c>
      <c r="O103" s="4">
        <f t="shared" si="6"/>
        <v>0.19667699999999996</v>
      </c>
      <c r="P103" s="4">
        <f t="shared" si="6"/>
        <v>0.156582</v>
      </c>
      <c r="Q103" s="4">
        <f t="shared" si="6"/>
        <v>0.15435450000000001</v>
      </c>
      <c r="R103" s="4">
        <f t="shared" si="6"/>
        <v>0.17217450000000001</v>
      </c>
      <c r="S103" s="4">
        <f t="shared" si="6"/>
        <v>0.20046375000000005</v>
      </c>
    </row>
    <row r="104" spans="9:19" x14ac:dyDescent="0.25">
      <c r="I104">
        <v>14</v>
      </c>
      <c r="J104" s="4">
        <f t="shared" si="6"/>
        <v>0.25013699999999994</v>
      </c>
      <c r="K104" s="4">
        <f t="shared" si="6"/>
        <v>0.24790949999999998</v>
      </c>
      <c r="L104" s="4">
        <f t="shared" si="6"/>
        <v>0.25681949999999998</v>
      </c>
      <c r="M104" s="4">
        <f t="shared" si="6"/>
        <v>0.24790949999999998</v>
      </c>
      <c r="N104" s="4">
        <f t="shared" si="6"/>
        <v>0.21004199999999998</v>
      </c>
      <c r="O104" s="4">
        <f t="shared" si="6"/>
        <v>0.18776700000000002</v>
      </c>
      <c r="P104" s="4">
        <f t="shared" si="6"/>
        <v>0.24122700000000002</v>
      </c>
      <c r="Q104" s="4">
        <f t="shared" si="6"/>
        <v>0.25013699999999994</v>
      </c>
      <c r="R104" s="4">
        <f t="shared" si="6"/>
        <v>0.22563449999999999</v>
      </c>
      <c r="S104" s="4">
        <f t="shared" si="6"/>
        <v>0.2470185</v>
      </c>
    </row>
    <row r="105" spans="9:19" x14ac:dyDescent="0.25">
      <c r="I105">
        <v>21</v>
      </c>
      <c r="J105" s="4">
        <f t="shared" si="6"/>
        <v>0.26350199999999996</v>
      </c>
      <c r="K105" s="4">
        <f t="shared" si="6"/>
        <v>0.23454450000000002</v>
      </c>
      <c r="L105" s="4">
        <f t="shared" si="6"/>
        <v>0.24790949999999998</v>
      </c>
      <c r="M105" s="4">
        <f t="shared" si="6"/>
        <v>0.232317</v>
      </c>
      <c r="N105" s="4">
        <f t="shared" si="6"/>
        <v>0.22563449999999999</v>
      </c>
      <c r="O105" s="4">
        <f t="shared" si="6"/>
        <v>0.22563449999999999</v>
      </c>
      <c r="P105" s="4">
        <f t="shared" si="6"/>
        <v>0.174402</v>
      </c>
      <c r="Q105" s="4">
        <f t="shared" si="6"/>
        <v>0.20113199999999998</v>
      </c>
      <c r="R105" s="4">
        <f t="shared" si="6"/>
        <v>0.20113199999999998</v>
      </c>
      <c r="S105" s="4">
        <f t="shared" si="6"/>
        <v>0.242118</v>
      </c>
    </row>
    <row r="106" spans="9:19" x14ac:dyDescent="0.25">
      <c r="I106">
        <v>22</v>
      </c>
      <c r="J106" s="4">
        <f t="shared" si="6"/>
        <v>0.25459199999999998</v>
      </c>
      <c r="K106" s="4">
        <f t="shared" si="6"/>
        <v>0.232317</v>
      </c>
      <c r="L106" s="4">
        <f t="shared" si="6"/>
        <v>0.23454450000000002</v>
      </c>
      <c r="M106" s="4">
        <f t="shared" si="6"/>
        <v>0.23454450000000002</v>
      </c>
      <c r="N106" s="4">
        <f t="shared" si="6"/>
        <v>0.21004199999999998</v>
      </c>
      <c r="O106" s="4">
        <f t="shared" si="6"/>
        <v>0.16326450000000001</v>
      </c>
      <c r="P106" s="4">
        <f t="shared" si="6"/>
        <v>0.11871450000000003</v>
      </c>
      <c r="Q106" s="4">
        <f t="shared" si="6"/>
        <v>0.16994700000000001</v>
      </c>
      <c r="R106" s="4">
        <f t="shared" si="6"/>
        <v>0.18108450000000001</v>
      </c>
      <c r="S106" s="4">
        <f t="shared" si="6"/>
        <v>0.232317</v>
      </c>
    </row>
    <row r="107" spans="9:19" x14ac:dyDescent="0.25">
      <c r="I107">
        <v>23</v>
      </c>
      <c r="J107" s="4">
        <f t="shared" si="6"/>
        <v>0.22340700000000002</v>
      </c>
      <c r="K107" s="4">
        <f t="shared" si="6"/>
        <v>0.22786200000000001</v>
      </c>
      <c r="L107" s="4">
        <f t="shared" si="6"/>
        <v>0.25904699999999997</v>
      </c>
      <c r="M107" s="4">
        <f t="shared" si="6"/>
        <v>0.26127450000000002</v>
      </c>
      <c r="N107" s="4">
        <f t="shared" si="6"/>
        <v>0.23454450000000002</v>
      </c>
      <c r="O107" s="4">
        <f t="shared" si="6"/>
        <v>0.15880949999999999</v>
      </c>
      <c r="P107" s="4">
        <f t="shared" si="6"/>
        <v>0.14098950000000002</v>
      </c>
      <c r="Q107" s="4">
        <f t="shared" si="6"/>
        <v>0.15212699999999998</v>
      </c>
      <c r="R107" s="4">
        <f t="shared" si="6"/>
        <v>0.16994700000000001</v>
      </c>
      <c r="S107" s="4">
        <f t="shared" si="6"/>
        <v>0.18331200000000003</v>
      </c>
    </row>
    <row r="108" spans="9:19" x14ac:dyDescent="0.25">
      <c r="I108">
        <v>24</v>
      </c>
      <c r="J108" s="4">
        <f t="shared" si="6"/>
        <v>0.156582</v>
      </c>
      <c r="K108" s="4">
        <f t="shared" si="6"/>
        <v>0.12094200000000001</v>
      </c>
      <c r="L108" s="4">
        <f t="shared" si="6"/>
        <v>0.10534949999999998</v>
      </c>
      <c r="M108" s="4">
        <f t="shared" si="6"/>
        <v>9.421199999999999E-2</v>
      </c>
      <c r="N108" s="4">
        <f t="shared" si="6"/>
        <v>7.8619499999999995E-2</v>
      </c>
      <c r="O108" s="4">
        <f t="shared" si="6"/>
        <v>6.7481999999999986E-2</v>
      </c>
      <c r="P108" s="4">
        <f t="shared" si="6"/>
        <v>7.8619499999999995E-2</v>
      </c>
      <c r="Q108" s="4">
        <f t="shared" si="6"/>
        <v>9.6439499999999997E-2</v>
      </c>
      <c r="R108" s="4">
        <f t="shared" si="6"/>
        <v>0.1365345</v>
      </c>
      <c r="S108" s="4">
        <f t="shared" si="6"/>
        <v>0.22986674999999998</v>
      </c>
    </row>
    <row r="109" spans="9:19" x14ac:dyDescent="0.25">
      <c r="I109">
        <v>31</v>
      </c>
      <c r="J109" s="4">
        <f t="shared" si="6"/>
        <v>0.27018449999999999</v>
      </c>
      <c r="K109" s="4">
        <f t="shared" si="6"/>
        <v>0.25459199999999998</v>
      </c>
      <c r="L109" s="4">
        <f t="shared" si="6"/>
        <v>0.25236449999999999</v>
      </c>
      <c r="M109" s="4">
        <f t="shared" si="6"/>
        <v>0.25681949999999998</v>
      </c>
      <c r="N109" s="4">
        <f t="shared" si="6"/>
        <v>0.25681949999999998</v>
      </c>
      <c r="O109" s="4">
        <f t="shared" si="6"/>
        <v>0.21449699999999999</v>
      </c>
      <c r="P109" s="4">
        <f t="shared" si="6"/>
        <v>0.15435450000000001</v>
      </c>
      <c r="Q109" s="4">
        <f t="shared" si="6"/>
        <v>0.1454445</v>
      </c>
      <c r="R109" s="4">
        <f t="shared" si="6"/>
        <v>0.147672</v>
      </c>
      <c r="S109" s="4">
        <f t="shared" si="6"/>
        <v>0.18576225000000005</v>
      </c>
    </row>
    <row r="110" spans="9:19" x14ac:dyDescent="0.25">
      <c r="I110">
        <v>32</v>
      </c>
      <c r="J110" s="4">
        <f t="shared" si="6"/>
        <v>0.18776700000000002</v>
      </c>
      <c r="K110" s="4">
        <f t="shared" si="6"/>
        <v>0.16771949999999999</v>
      </c>
      <c r="L110" s="4">
        <f t="shared" si="6"/>
        <v>0.1454445</v>
      </c>
      <c r="M110" s="4">
        <f t="shared" si="6"/>
        <v>0.13430700000000001</v>
      </c>
      <c r="N110" s="4">
        <f t="shared" si="6"/>
        <v>0.12316949999999999</v>
      </c>
      <c r="O110" s="4">
        <f t="shared" si="6"/>
        <v>0.11648700000000002</v>
      </c>
      <c r="P110" s="4">
        <f t="shared" si="6"/>
        <v>0.1276245</v>
      </c>
      <c r="Q110" s="4">
        <f t="shared" si="6"/>
        <v>0.17217450000000001</v>
      </c>
      <c r="R110" s="4">
        <f t="shared" si="6"/>
        <v>0.20113199999999998</v>
      </c>
      <c r="S110" s="4">
        <f t="shared" si="6"/>
        <v>0.25436925000000005</v>
      </c>
    </row>
    <row r="111" spans="9:19" x14ac:dyDescent="0.25">
      <c r="I111">
        <v>33</v>
      </c>
      <c r="J111" s="4">
        <f t="shared" si="6"/>
        <v>0.17885699999999999</v>
      </c>
      <c r="K111" s="4">
        <f t="shared" si="6"/>
        <v>0.18776700000000002</v>
      </c>
      <c r="L111" s="4">
        <f t="shared" si="6"/>
        <v>0.22340700000000002</v>
      </c>
      <c r="M111" s="4">
        <f t="shared" si="6"/>
        <v>0.26127450000000002</v>
      </c>
      <c r="N111" s="4">
        <f t="shared" si="6"/>
        <v>0.24345450000000002</v>
      </c>
      <c r="O111" s="4">
        <f t="shared" si="6"/>
        <v>0.23008950000000003</v>
      </c>
      <c r="P111" s="4">
        <f t="shared" si="6"/>
        <v>0.2389995</v>
      </c>
      <c r="Q111" s="4">
        <f t="shared" si="6"/>
        <v>0.21672450000000001</v>
      </c>
      <c r="R111" s="4">
        <f t="shared" si="6"/>
        <v>0.23008950000000003</v>
      </c>
      <c r="S111" s="4">
        <f t="shared" si="6"/>
        <v>0.26172000000000001</v>
      </c>
    </row>
    <row r="112" spans="9:19" x14ac:dyDescent="0.25">
      <c r="I112">
        <v>34</v>
      </c>
      <c r="J112" s="4">
        <f t="shared" si="6"/>
        <v>0.14989949999999999</v>
      </c>
      <c r="K112" s="4">
        <f t="shared" si="6"/>
        <v>0.16103699999999999</v>
      </c>
      <c r="L112" s="4">
        <f t="shared" si="6"/>
        <v>0.2122695</v>
      </c>
      <c r="M112" s="4">
        <f t="shared" si="6"/>
        <v>0.24568199999999998</v>
      </c>
      <c r="N112" s="4">
        <f t="shared" si="6"/>
        <v>0.25013699999999994</v>
      </c>
      <c r="O112" s="4">
        <f t="shared" si="6"/>
        <v>0.24122700000000002</v>
      </c>
      <c r="P112" s="4">
        <f t="shared" si="6"/>
        <v>0.2122695</v>
      </c>
      <c r="Q112" s="4">
        <f t="shared" si="6"/>
        <v>0.1855395</v>
      </c>
      <c r="R112" s="4">
        <f t="shared" si="6"/>
        <v>0.16771949999999999</v>
      </c>
      <c r="S112" s="4">
        <f t="shared" si="6"/>
        <v>0.22251599999999999</v>
      </c>
    </row>
    <row r="113" spans="9:19" x14ac:dyDescent="0.25">
      <c r="I113">
        <v>41</v>
      </c>
      <c r="J113" s="4">
        <f t="shared" si="6"/>
        <v>0.20781449999999999</v>
      </c>
      <c r="K113" s="4">
        <f t="shared" si="6"/>
        <v>0.232317</v>
      </c>
      <c r="L113" s="4">
        <f t="shared" si="6"/>
        <v>0.27909450000000002</v>
      </c>
      <c r="M113" s="4">
        <f t="shared" si="6"/>
        <v>0.25904699999999997</v>
      </c>
      <c r="N113" s="4">
        <f t="shared" si="6"/>
        <v>0.26350199999999996</v>
      </c>
      <c r="O113" s="4">
        <f t="shared" si="6"/>
        <v>0.25459199999999998</v>
      </c>
      <c r="P113" s="4">
        <f t="shared" si="6"/>
        <v>0.17662950000000002</v>
      </c>
      <c r="Q113" s="4">
        <f t="shared" si="6"/>
        <v>0.16103699999999999</v>
      </c>
      <c r="R113" s="4">
        <f t="shared" si="6"/>
        <v>0.16771949999999999</v>
      </c>
      <c r="S113" s="4">
        <f t="shared" si="6"/>
        <v>0.21271500000000004</v>
      </c>
    </row>
    <row r="114" spans="9:19" x14ac:dyDescent="0.25">
      <c r="I114">
        <v>42</v>
      </c>
      <c r="J114" s="4">
        <f t="shared" si="6"/>
        <v>0.20781449999999999</v>
      </c>
      <c r="K114" s="4">
        <f t="shared" si="6"/>
        <v>0.21004199999999998</v>
      </c>
      <c r="L114" s="4">
        <f t="shared" si="6"/>
        <v>0.23454450000000002</v>
      </c>
      <c r="M114" s="4">
        <f t="shared" si="6"/>
        <v>0.23008950000000003</v>
      </c>
      <c r="N114" s="4">
        <f t="shared" si="6"/>
        <v>0.24568199999999998</v>
      </c>
      <c r="O114" s="4">
        <f t="shared" si="6"/>
        <v>0.18108450000000001</v>
      </c>
      <c r="P114" s="4">
        <f t="shared" si="6"/>
        <v>0.1365345</v>
      </c>
      <c r="Q114" s="4">
        <f t="shared" si="6"/>
        <v>0.1454445</v>
      </c>
      <c r="R114" s="4">
        <f t="shared" si="6"/>
        <v>0.1855395</v>
      </c>
      <c r="S114" s="4">
        <f t="shared" si="6"/>
        <v>0.232317</v>
      </c>
    </row>
    <row r="115" spans="9:19" x14ac:dyDescent="0.25">
      <c r="I115">
        <v>43</v>
      </c>
      <c r="J115" s="4">
        <f t="shared" si="6"/>
        <v>0.22786200000000001</v>
      </c>
      <c r="K115" s="4">
        <f t="shared" si="6"/>
        <v>0.22340700000000002</v>
      </c>
      <c r="L115" s="4">
        <f t="shared" si="6"/>
        <v>0.24790949999999998</v>
      </c>
      <c r="M115" s="4">
        <f t="shared" si="6"/>
        <v>0.20113199999999998</v>
      </c>
      <c r="N115" s="4">
        <f t="shared" si="6"/>
        <v>0.21449699999999999</v>
      </c>
      <c r="O115" s="4">
        <f t="shared" si="6"/>
        <v>0.19667699999999996</v>
      </c>
      <c r="P115" s="4">
        <f t="shared" si="6"/>
        <v>0.19222199999999998</v>
      </c>
      <c r="Q115" s="4">
        <f t="shared" si="6"/>
        <v>0.147672</v>
      </c>
      <c r="R115" s="4">
        <f t="shared" si="6"/>
        <v>0.14098950000000002</v>
      </c>
      <c r="S115" s="4">
        <f t="shared" si="6"/>
        <v>0.19556325000000005</v>
      </c>
    </row>
    <row r="116" spans="9:19" x14ac:dyDescent="0.25">
      <c r="I116">
        <v>44</v>
      </c>
      <c r="J116" s="4">
        <f t="shared" ref="J116:S116" si="7">IF(J88&lt;0,"",J88/100)</f>
        <v>0.16994700000000001</v>
      </c>
      <c r="K116" s="4">
        <f t="shared" si="7"/>
        <v>0.18776700000000002</v>
      </c>
      <c r="L116" s="4">
        <f t="shared" si="7"/>
        <v>0.25236449999999999</v>
      </c>
      <c r="M116" s="4">
        <f t="shared" si="7"/>
        <v>0.24568199999999998</v>
      </c>
      <c r="N116" s="4">
        <f t="shared" si="7"/>
        <v>0.25681949999999998</v>
      </c>
      <c r="O116" s="4">
        <f t="shared" si="7"/>
        <v>0.23677200000000004</v>
      </c>
      <c r="P116" s="4">
        <f t="shared" si="7"/>
        <v>0.22563449999999999</v>
      </c>
      <c r="Q116" s="4">
        <f t="shared" si="7"/>
        <v>0.15880949999999999</v>
      </c>
      <c r="R116" s="4">
        <f t="shared" si="7"/>
        <v>0.12539700000000001</v>
      </c>
      <c r="S116" s="4">
        <f t="shared" si="7"/>
        <v>0.15880950000000002</v>
      </c>
    </row>
    <row r="117" spans="9:19" x14ac:dyDescent="0.25">
      <c r="I117">
        <v>51</v>
      </c>
      <c r="J117" s="4">
        <f t="shared" ref="J117:S123" si="8">IF(J89&lt;0,"",J89/100)</f>
        <v>0.267957</v>
      </c>
      <c r="K117" s="4">
        <f t="shared" si="8"/>
        <v>0.26350199999999996</v>
      </c>
      <c r="L117" s="4">
        <f t="shared" si="8"/>
        <v>0.25459199999999998</v>
      </c>
      <c r="M117" s="4">
        <f t="shared" si="8"/>
        <v>0.27018449999999999</v>
      </c>
      <c r="N117" s="4">
        <f t="shared" si="8"/>
        <v>0.24568199999999998</v>
      </c>
      <c r="O117" s="4">
        <f t="shared" si="8"/>
        <v>0.232317</v>
      </c>
      <c r="P117" s="4">
        <f t="shared" si="8"/>
        <v>0.21895199999999998</v>
      </c>
      <c r="Q117" s="4">
        <f t="shared" si="8"/>
        <v>0.21895199999999998</v>
      </c>
      <c r="R117" s="4">
        <f t="shared" si="8"/>
        <v>0.2389995</v>
      </c>
      <c r="S117" s="4">
        <f t="shared" si="8"/>
        <v>0.25436925000000005</v>
      </c>
    </row>
    <row r="118" spans="9:19" x14ac:dyDescent="0.25">
      <c r="I118">
        <v>52</v>
      </c>
      <c r="J118" s="4">
        <f t="shared" si="8"/>
        <v>0.25236449999999999</v>
      </c>
      <c r="K118" s="4">
        <f t="shared" si="8"/>
        <v>0.23454450000000002</v>
      </c>
      <c r="L118" s="4">
        <f t="shared" si="8"/>
        <v>0.27241199999999993</v>
      </c>
      <c r="M118" s="4">
        <f t="shared" si="8"/>
        <v>0.27463949999999998</v>
      </c>
      <c r="N118" s="4">
        <f t="shared" si="8"/>
        <v>0.2880045</v>
      </c>
      <c r="O118" s="4">
        <f t="shared" si="8"/>
        <v>0.27463949999999998</v>
      </c>
      <c r="P118" s="4">
        <f t="shared" si="8"/>
        <v>0.26572949999999995</v>
      </c>
      <c r="Q118" s="4">
        <f t="shared" si="8"/>
        <v>0.21672450000000001</v>
      </c>
      <c r="R118" s="4">
        <f t="shared" si="8"/>
        <v>0.2211795</v>
      </c>
      <c r="S118" s="4">
        <f t="shared" si="8"/>
        <v>0.25436925000000005</v>
      </c>
    </row>
    <row r="119" spans="9:19" x14ac:dyDescent="0.25">
      <c r="I119">
        <v>53</v>
      </c>
      <c r="J119" s="4">
        <f t="shared" si="8"/>
        <v>0.2389995</v>
      </c>
      <c r="K119" s="4">
        <f t="shared" si="8"/>
        <v>0.23677200000000004</v>
      </c>
      <c r="L119" s="4">
        <f t="shared" si="8"/>
        <v>0.25459199999999998</v>
      </c>
      <c r="M119" s="4">
        <f t="shared" si="8"/>
        <v>0.27686699999999997</v>
      </c>
      <c r="N119" s="4">
        <f t="shared" si="8"/>
        <v>0.26572949999999995</v>
      </c>
      <c r="O119" s="4">
        <f t="shared" si="8"/>
        <v>0.24568199999999998</v>
      </c>
      <c r="P119" s="4">
        <f t="shared" si="8"/>
        <v>0.19667699999999996</v>
      </c>
      <c r="Q119" s="4">
        <f t="shared" si="8"/>
        <v>0.129852</v>
      </c>
      <c r="R119" s="4">
        <f t="shared" si="8"/>
        <v>0.129852</v>
      </c>
      <c r="S119" s="4">
        <f t="shared" si="8"/>
        <v>0.18086175000000002</v>
      </c>
    </row>
    <row r="120" spans="9:19" x14ac:dyDescent="0.25">
      <c r="I120">
        <v>54</v>
      </c>
      <c r="J120" s="4">
        <f t="shared" si="8"/>
        <v>0.23008950000000003</v>
      </c>
      <c r="K120" s="4">
        <f t="shared" si="8"/>
        <v>0.23454450000000002</v>
      </c>
      <c r="L120" s="4">
        <f t="shared" si="8"/>
        <v>0.22340700000000002</v>
      </c>
      <c r="M120" s="4">
        <f t="shared" si="8"/>
        <v>0.25904699999999997</v>
      </c>
      <c r="N120" s="4">
        <f t="shared" si="8"/>
        <v>0.25681949999999998</v>
      </c>
      <c r="O120" s="4">
        <f t="shared" si="8"/>
        <v>0.23454450000000002</v>
      </c>
      <c r="P120" s="4">
        <f t="shared" si="8"/>
        <v>0.18331200000000003</v>
      </c>
      <c r="Q120" s="4">
        <f t="shared" si="8"/>
        <v>0.18776700000000002</v>
      </c>
      <c r="R120" s="4">
        <f t="shared" si="8"/>
        <v>0.18331200000000003</v>
      </c>
      <c r="S120" s="4">
        <f t="shared" si="8"/>
        <v>0.22496624999999998</v>
      </c>
    </row>
    <row r="121" spans="9:19" x14ac:dyDescent="0.25">
      <c r="I121">
        <v>61</v>
      </c>
      <c r="J121" s="4">
        <f t="shared" si="8"/>
        <v>0.21004199999999998</v>
      </c>
      <c r="K121" s="4">
        <f t="shared" si="8"/>
        <v>0.165492</v>
      </c>
      <c r="L121" s="4">
        <f t="shared" si="8"/>
        <v>0.174402</v>
      </c>
      <c r="M121" s="4">
        <f t="shared" si="8"/>
        <v>0.2122695</v>
      </c>
      <c r="N121" s="4">
        <f t="shared" si="8"/>
        <v>0.23008950000000003</v>
      </c>
      <c r="O121" s="4">
        <f t="shared" si="8"/>
        <v>0.17885699999999999</v>
      </c>
      <c r="P121" s="4">
        <f t="shared" si="8"/>
        <v>0.17217450000000001</v>
      </c>
      <c r="Q121" s="4">
        <f t="shared" si="8"/>
        <v>0.16103699999999999</v>
      </c>
      <c r="R121" s="4">
        <f t="shared" si="8"/>
        <v>0.174402</v>
      </c>
      <c r="S121" s="4">
        <f t="shared" si="8"/>
        <v>0.20781450000000004</v>
      </c>
    </row>
    <row r="122" spans="9:19" x14ac:dyDescent="0.25">
      <c r="I122">
        <v>62</v>
      </c>
      <c r="J122" s="4">
        <f t="shared" si="8"/>
        <v>0.22340700000000002</v>
      </c>
      <c r="K122" s="4">
        <f t="shared" si="8"/>
        <v>0.23454450000000002</v>
      </c>
      <c r="L122" s="4">
        <f t="shared" si="8"/>
        <v>0.25013699999999994</v>
      </c>
      <c r="M122" s="4">
        <f t="shared" si="8"/>
        <v>0.18999449999999996</v>
      </c>
      <c r="N122" s="4">
        <f t="shared" si="8"/>
        <v>0.174402</v>
      </c>
      <c r="O122" s="4">
        <f t="shared" si="8"/>
        <v>0.17662950000000002</v>
      </c>
      <c r="P122" s="4">
        <f t="shared" si="8"/>
        <v>0.129852</v>
      </c>
      <c r="Q122" s="4">
        <f t="shared" si="8"/>
        <v>0.14989949999999999</v>
      </c>
      <c r="R122" s="4">
        <f t="shared" si="8"/>
        <v>0.20558699999999999</v>
      </c>
      <c r="S122" s="4">
        <f t="shared" si="8"/>
        <v>0.23966774999999998</v>
      </c>
    </row>
    <row r="123" spans="9:19" x14ac:dyDescent="0.25">
      <c r="I123">
        <v>63</v>
      </c>
      <c r="J123" s="4">
        <f t="shared" si="8"/>
        <v>0.26127450000000002</v>
      </c>
      <c r="K123" s="4">
        <f t="shared" si="8"/>
        <v>0.23677200000000004</v>
      </c>
      <c r="L123" s="4">
        <f t="shared" si="8"/>
        <v>0.2211795</v>
      </c>
      <c r="M123" s="4">
        <f t="shared" si="8"/>
        <v>0.20335949999999997</v>
      </c>
      <c r="N123" s="4">
        <f t="shared" si="8"/>
        <v>0.21004199999999998</v>
      </c>
      <c r="O123" s="4">
        <f t="shared" si="8"/>
        <v>0.22786200000000001</v>
      </c>
      <c r="P123" s="4">
        <f t="shared" si="8"/>
        <v>0.174402</v>
      </c>
      <c r="Q123" s="4">
        <f t="shared" si="8"/>
        <v>0.14321700000000001</v>
      </c>
      <c r="R123" s="4">
        <f t="shared" si="8"/>
        <v>0.16771949999999999</v>
      </c>
      <c r="S123" s="4">
        <f t="shared" si="8"/>
        <v>0.23966774999999998</v>
      </c>
    </row>
    <row r="124" spans="9:19" x14ac:dyDescent="0.25">
      <c r="I124">
        <v>64</v>
      </c>
      <c r="J124" s="4">
        <f t="shared" ref="J124:S124" si="9">IF(J96&lt;0,"",J96/100)</f>
        <v>0.26127450000000002</v>
      </c>
      <c r="K124" s="4">
        <f t="shared" si="9"/>
        <v>0.25236449999999999</v>
      </c>
      <c r="L124" s="4">
        <f t="shared" si="9"/>
        <v>0.21449699999999999</v>
      </c>
      <c r="M124" s="4">
        <f t="shared" si="9"/>
        <v>0.23008950000000003</v>
      </c>
      <c r="N124" s="4">
        <f t="shared" si="9"/>
        <v>0.24568199999999998</v>
      </c>
      <c r="O124" s="4">
        <f t="shared" si="9"/>
        <v>0.22563449999999999</v>
      </c>
      <c r="P124" s="4">
        <f t="shared" si="9"/>
        <v>0.18776700000000002</v>
      </c>
      <c r="Q124" s="4">
        <f t="shared" si="9"/>
        <v>0.12316949999999999</v>
      </c>
      <c r="R124" s="4">
        <f t="shared" si="9"/>
        <v>0.11871450000000003</v>
      </c>
      <c r="S124" s="4">
        <f t="shared" si="9"/>
        <v>0.20046375000000005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1932-5AFB-4A8C-B8A1-2D1670AF1EFE}">
  <dimension ref="A1:T124"/>
  <sheetViews>
    <sheetView topLeftCell="F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10263</v>
      </c>
      <c r="F1">
        <v>0</v>
      </c>
      <c r="G1">
        <v>10</v>
      </c>
      <c r="H1">
        <v>1826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8</v>
      </c>
      <c r="G18">
        <v>10</v>
      </c>
      <c r="H18">
        <v>7</v>
      </c>
      <c r="I18">
        <v>3</v>
      </c>
      <c r="J18">
        <v>1.05</v>
      </c>
      <c r="K18">
        <v>1.1000000000000001</v>
      </c>
      <c r="L18">
        <v>1.28</v>
      </c>
      <c r="M18">
        <v>1.44</v>
      </c>
      <c r="N18">
        <v>1.33</v>
      </c>
      <c r="O18">
        <v>1.42</v>
      </c>
      <c r="P18">
        <v>1.48</v>
      </c>
      <c r="Q18">
        <v>1.36</v>
      </c>
      <c r="R18">
        <v>1.4</v>
      </c>
      <c r="S18">
        <v>1.33</v>
      </c>
      <c r="T18">
        <v>3721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8</v>
      </c>
      <c r="G19">
        <v>10</v>
      </c>
      <c r="H19">
        <v>7</v>
      </c>
      <c r="I19">
        <v>7</v>
      </c>
      <c r="J19">
        <v>1.35</v>
      </c>
      <c r="K19">
        <v>1.3</v>
      </c>
      <c r="L19">
        <v>1.18</v>
      </c>
      <c r="M19">
        <v>1.1000000000000001</v>
      </c>
      <c r="N19">
        <v>0.97</v>
      </c>
      <c r="O19">
        <v>0.98</v>
      </c>
      <c r="P19">
        <v>0.9</v>
      </c>
      <c r="Q19">
        <v>1.1200000000000001</v>
      </c>
      <c r="R19">
        <v>1.05</v>
      </c>
      <c r="S19">
        <v>0.96</v>
      </c>
      <c r="T19">
        <v>3739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8</v>
      </c>
      <c r="G20">
        <v>10</v>
      </c>
      <c r="H20">
        <v>7</v>
      </c>
      <c r="I20">
        <v>11</v>
      </c>
      <c r="J20">
        <v>1.23</v>
      </c>
      <c r="K20">
        <v>1.17</v>
      </c>
      <c r="L20">
        <v>1.24</v>
      </c>
      <c r="M20">
        <v>1.34</v>
      </c>
      <c r="N20">
        <v>1.36</v>
      </c>
      <c r="O20">
        <v>1.1499999999999999</v>
      </c>
      <c r="P20">
        <v>0.97</v>
      </c>
      <c r="Q20">
        <v>1.01</v>
      </c>
      <c r="R20">
        <v>1.06</v>
      </c>
      <c r="S20">
        <v>1.02</v>
      </c>
      <c r="T20">
        <v>3716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8</v>
      </c>
      <c r="G21">
        <v>10</v>
      </c>
      <c r="H21">
        <v>7</v>
      </c>
      <c r="I21">
        <v>16</v>
      </c>
      <c r="J21">
        <v>1.39</v>
      </c>
      <c r="K21">
        <v>1.38</v>
      </c>
      <c r="L21">
        <v>1.46</v>
      </c>
      <c r="M21">
        <v>1.36</v>
      </c>
      <c r="N21">
        <v>1.25</v>
      </c>
      <c r="O21">
        <v>1.1100000000000001</v>
      </c>
      <c r="P21">
        <v>1.27</v>
      </c>
      <c r="Q21">
        <v>1.36</v>
      </c>
      <c r="R21">
        <v>1.27</v>
      </c>
      <c r="S21">
        <v>1.25</v>
      </c>
      <c r="T21">
        <v>3740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8</v>
      </c>
      <c r="G22">
        <v>10</v>
      </c>
      <c r="H22">
        <v>7</v>
      </c>
      <c r="I22">
        <v>21</v>
      </c>
      <c r="J22">
        <v>0.96</v>
      </c>
      <c r="K22">
        <v>0.8</v>
      </c>
      <c r="L22">
        <v>0.73</v>
      </c>
      <c r="M22">
        <v>0.68</v>
      </c>
      <c r="N22">
        <v>0.6</v>
      </c>
      <c r="O22">
        <v>0.61</v>
      </c>
      <c r="P22">
        <v>0.63</v>
      </c>
      <c r="Q22">
        <v>0.74</v>
      </c>
      <c r="R22">
        <v>0.88</v>
      </c>
      <c r="S22">
        <v>1.1299999999999999</v>
      </c>
      <c r="T22">
        <v>3741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8</v>
      </c>
      <c r="G23">
        <v>10</v>
      </c>
      <c r="H23">
        <v>7</v>
      </c>
      <c r="I23">
        <v>24</v>
      </c>
      <c r="J23">
        <v>1.31</v>
      </c>
      <c r="K23">
        <v>1.31</v>
      </c>
      <c r="L23">
        <v>1.42</v>
      </c>
      <c r="M23">
        <v>1.5</v>
      </c>
      <c r="N23">
        <v>1.33</v>
      </c>
      <c r="O23">
        <v>0.99</v>
      </c>
      <c r="P23">
        <v>0.91</v>
      </c>
      <c r="Q23">
        <v>0.97</v>
      </c>
      <c r="R23">
        <v>1.08</v>
      </c>
      <c r="S23">
        <v>1.01</v>
      </c>
      <c r="T23">
        <v>3734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8</v>
      </c>
      <c r="G24">
        <v>10</v>
      </c>
      <c r="H24">
        <v>7</v>
      </c>
      <c r="I24">
        <v>20</v>
      </c>
      <c r="J24">
        <v>1.37</v>
      </c>
      <c r="K24">
        <v>1.32</v>
      </c>
      <c r="L24">
        <v>1.31</v>
      </c>
      <c r="M24">
        <v>1.35</v>
      </c>
      <c r="N24">
        <v>1.23</v>
      </c>
      <c r="O24">
        <v>1.03</v>
      </c>
      <c r="P24">
        <v>0.88</v>
      </c>
      <c r="Q24">
        <v>1.0900000000000001</v>
      </c>
      <c r="R24">
        <v>1.1499999999999999</v>
      </c>
      <c r="S24">
        <v>1.27</v>
      </c>
      <c r="T24">
        <v>3735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8</v>
      </c>
      <c r="G25">
        <v>10</v>
      </c>
      <c r="H25">
        <v>7</v>
      </c>
      <c r="I25">
        <v>32</v>
      </c>
      <c r="J25">
        <v>1.46</v>
      </c>
      <c r="K25">
        <v>1.36</v>
      </c>
      <c r="L25">
        <v>1.36</v>
      </c>
      <c r="M25">
        <v>1.36</v>
      </c>
      <c r="N25">
        <v>1.29</v>
      </c>
      <c r="O25">
        <v>1.25</v>
      </c>
      <c r="P25">
        <v>1.08</v>
      </c>
      <c r="Q25">
        <v>1.19</v>
      </c>
      <c r="R25">
        <v>1.18</v>
      </c>
      <c r="S25">
        <v>1.26</v>
      </c>
      <c r="T25">
        <v>3751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8</v>
      </c>
      <c r="G26">
        <v>10</v>
      </c>
      <c r="H26">
        <v>7</v>
      </c>
      <c r="I26">
        <v>36</v>
      </c>
      <c r="J26">
        <v>1.54</v>
      </c>
      <c r="K26">
        <v>1.41</v>
      </c>
      <c r="L26">
        <v>1.39</v>
      </c>
      <c r="M26">
        <v>1.44</v>
      </c>
      <c r="N26">
        <v>1.43</v>
      </c>
      <c r="O26">
        <v>1.24</v>
      </c>
      <c r="P26">
        <v>0.99</v>
      </c>
      <c r="Q26">
        <v>0.95</v>
      </c>
      <c r="R26">
        <v>0.95</v>
      </c>
      <c r="S26">
        <v>1.03</v>
      </c>
      <c r="T26">
        <v>3757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8</v>
      </c>
      <c r="G27">
        <v>10</v>
      </c>
      <c r="H27">
        <v>7</v>
      </c>
      <c r="I27">
        <v>40</v>
      </c>
      <c r="J27">
        <v>1.1200000000000001</v>
      </c>
      <c r="K27">
        <v>1.07</v>
      </c>
      <c r="L27">
        <v>0.95</v>
      </c>
      <c r="M27">
        <v>0.88</v>
      </c>
      <c r="N27">
        <v>0.88</v>
      </c>
      <c r="O27">
        <v>0.82</v>
      </c>
      <c r="P27">
        <v>0.89</v>
      </c>
      <c r="Q27">
        <v>1.0900000000000001</v>
      </c>
      <c r="R27">
        <v>1.24</v>
      </c>
      <c r="S27">
        <v>1.29</v>
      </c>
      <c r="T27">
        <v>3762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8</v>
      </c>
      <c r="G28">
        <v>10</v>
      </c>
      <c r="H28">
        <v>7</v>
      </c>
      <c r="I28">
        <v>44</v>
      </c>
      <c r="J28">
        <v>1.0900000000000001</v>
      </c>
      <c r="K28">
        <v>1.1200000000000001</v>
      </c>
      <c r="L28">
        <v>1.33</v>
      </c>
      <c r="M28">
        <v>1.42</v>
      </c>
      <c r="N28">
        <v>1.33</v>
      </c>
      <c r="O28">
        <v>1.3</v>
      </c>
      <c r="P28">
        <v>1.31</v>
      </c>
      <c r="Q28">
        <v>1.26</v>
      </c>
      <c r="R28">
        <v>1.35</v>
      </c>
      <c r="S28">
        <v>1.33</v>
      </c>
      <c r="T28">
        <v>3720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8</v>
      </c>
      <c r="G29">
        <v>10</v>
      </c>
      <c r="H29">
        <v>7</v>
      </c>
      <c r="I29">
        <v>40</v>
      </c>
      <c r="J29">
        <v>0.96</v>
      </c>
      <c r="K29">
        <v>1.01</v>
      </c>
      <c r="L29">
        <v>1.27</v>
      </c>
      <c r="M29">
        <v>1.37</v>
      </c>
      <c r="N29">
        <v>1.39</v>
      </c>
      <c r="O29">
        <v>1.39</v>
      </c>
      <c r="P29">
        <v>1.23</v>
      </c>
      <c r="Q29">
        <v>1.1499999999999999</v>
      </c>
      <c r="R29">
        <v>1.1200000000000001</v>
      </c>
      <c r="S29">
        <v>1.1499999999999999</v>
      </c>
      <c r="T29">
        <v>3734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8</v>
      </c>
      <c r="G30">
        <v>10</v>
      </c>
      <c r="H30">
        <v>7</v>
      </c>
      <c r="I30">
        <v>52</v>
      </c>
      <c r="J30">
        <v>1.02</v>
      </c>
      <c r="K30">
        <v>1.1000000000000001</v>
      </c>
      <c r="L30">
        <v>1.45</v>
      </c>
      <c r="M30">
        <v>1.4</v>
      </c>
      <c r="N30">
        <v>1.44</v>
      </c>
      <c r="O30">
        <v>1.35</v>
      </c>
      <c r="P30">
        <v>1.31</v>
      </c>
      <c r="Q30">
        <v>1.02</v>
      </c>
      <c r="R30">
        <v>0.85</v>
      </c>
      <c r="S30">
        <v>0.89</v>
      </c>
      <c r="T30">
        <v>3724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8</v>
      </c>
      <c r="G31">
        <v>10</v>
      </c>
      <c r="H31">
        <v>7</v>
      </c>
      <c r="I31">
        <v>55</v>
      </c>
      <c r="J31">
        <v>1.31</v>
      </c>
      <c r="K31">
        <v>1.29</v>
      </c>
      <c r="L31">
        <v>1.37</v>
      </c>
      <c r="M31">
        <v>1.19</v>
      </c>
      <c r="N31">
        <v>1.2</v>
      </c>
      <c r="O31">
        <v>1.1599999999999999</v>
      </c>
      <c r="P31">
        <v>1.1100000000000001</v>
      </c>
      <c r="Q31">
        <v>0.93</v>
      </c>
      <c r="R31">
        <v>0.93</v>
      </c>
      <c r="S31">
        <v>1.1000000000000001</v>
      </c>
      <c r="T31">
        <v>3727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8</v>
      </c>
      <c r="G32">
        <v>10</v>
      </c>
      <c r="H32">
        <v>7</v>
      </c>
      <c r="I32">
        <v>51</v>
      </c>
      <c r="J32">
        <v>1.24</v>
      </c>
      <c r="K32">
        <v>1.25</v>
      </c>
      <c r="L32">
        <v>1.32</v>
      </c>
      <c r="M32">
        <v>1.31</v>
      </c>
      <c r="N32">
        <v>1.38</v>
      </c>
      <c r="O32">
        <v>1.0900000000000001</v>
      </c>
      <c r="P32">
        <v>0.89</v>
      </c>
      <c r="Q32">
        <v>0.96</v>
      </c>
      <c r="R32">
        <v>1.1200000000000001</v>
      </c>
      <c r="S32">
        <v>1.19</v>
      </c>
      <c r="T32">
        <v>3736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8</v>
      </c>
      <c r="G33">
        <v>10</v>
      </c>
      <c r="H33">
        <v>8</v>
      </c>
      <c r="I33">
        <v>3</v>
      </c>
      <c r="J33">
        <v>1.24</v>
      </c>
      <c r="K33">
        <v>1.31</v>
      </c>
      <c r="L33">
        <v>1.56</v>
      </c>
      <c r="M33">
        <v>1.43</v>
      </c>
      <c r="N33">
        <v>1.48</v>
      </c>
      <c r="O33">
        <v>1.42</v>
      </c>
      <c r="P33">
        <v>1.1200000000000001</v>
      </c>
      <c r="Q33">
        <v>1</v>
      </c>
      <c r="R33">
        <v>1.06</v>
      </c>
      <c r="S33">
        <v>1.1399999999999999</v>
      </c>
      <c r="T33">
        <v>3667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8</v>
      </c>
      <c r="G34">
        <v>10</v>
      </c>
      <c r="H34">
        <v>8</v>
      </c>
      <c r="I34">
        <v>7</v>
      </c>
      <c r="J34">
        <v>1.49</v>
      </c>
      <c r="K34">
        <v>1.48</v>
      </c>
      <c r="L34">
        <v>1.5</v>
      </c>
      <c r="M34">
        <v>1.49</v>
      </c>
      <c r="N34">
        <v>1.4</v>
      </c>
      <c r="O34">
        <v>1.34</v>
      </c>
      <c r="P34">
        <v>1.3</v>
      </c>
      <c r="Q34">
        <v>1.29</v>
      </c>
      <c r="R34">
        <v>1.35</v>
      </c>
      <c r="S34">
        <v>1.32</v>
      </c>
      <c r="T34">
        <v>3700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8</v>
      </c>
      <c r="G35">
        <v>10</v>
      </c>
      <c r="H35">
        <v>8</v>
      </c>
      <c r="I35">
        <v>11</v>
      </c>
      <c r="J35">
        <v>1.43</v>
      </c>
      <c r="K35">
        <v>1.33</v>
      </c>
      <c r="L35">
        <v>1.48</v>
      </c>
      <c r="M35">
        <v>1.58</v>
      </c>
      <c r="N35">
        <v>1.62</v>
      </c>
      <c r="O35">
        <v>1.54</v>
      </c>
      <c r="P35">
        <v>1.52</v>
      </c>
      <c r="Q35">
        <v>1.27</v>
      </c>
      <c r="R35">
        <v>1.29</v>
      </c>
      <c r="S35">
        <v>1.33</v>
      </c>
      <c r="T35">
        <v>3701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8</v>
      </c>
      <c r="G36">
        <v>10</v>
      </c>
      <c r="H36">
        <v>8</v>
      </c>
      <c r="I36">
        <v>14</v>
      </c>
      <c r="J36">
        <v>1.39</v>
      </c>
      <c r="K36">
        <v>1.34</v>
      </c>
      <c r="L36">
        <v>1.45</v>
      </c>
      <c r="M36">
        <v>1.51</v>
      </c>
      <c r="N36">
        <v>1.45</v>
      </c>
      <c r="O36">
        <v>1.37</v>
      </c>
      <c r="P36">
        <v>1.22</v>
      </c>
      <c r="Q36">
        <v>0.88</v>
      </c>
      <c r="R36">
        <v>0.87</v>
      </c>
      <c r="S36">
        <v>1.01</v>
      </c>
      <c r="T36">
        <v>3702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8</v>
      </c>
      <c r="G37">
        <v>10</v>
      </c>
      <c r="H37">
        <v>8</v>
      </c>
      <c r="I37">
        <v>17</v>
      </c>
      <c r="J37">
        <v>1.36</v>
      </c>
      <c r="K37">
        <v>1.33</v>
      </c>
      <c r="L37">
        <v>1.3</v>
      </c>
      <c r="M37">
        <v>1.46</v>
      </c>
      <c r="N37">
        <v>1.46</v>
      </c>
      <c r="O37">
        <v>1.33</v>
      </c>
      <c r="P37">
        <v>1.1399999999999999</v>
      </c>
      <c r="Q37">
        <v>1.1000000000000001</v>
      </c>
      <c r="R37">
        <v>1.01</v>
      </c>
      <c r="S37">
        <v>1.1299999999999999</v>
      </c>
      <c r="T37">
        <v>3672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8</v>
      </c>
      <c r="G38">
        <v>10</v>
      </c>
      <c r="H38">
        <v>8</v>
      </c>
      <c r="I38">
        <v>22</v>
      </c>
      <c r="J38">
        <v>1.49</v>
      </c>
      <c r="K38">
        <v>1.39</v>
      </c>
      <c r="L38">
        <v>1.22</v>
      </c>
      <c r="M38">
        <v>1.3</v>
      </c>
      <c r="N38">
        <v>1.4</v>
      </c>
      <c r="O38">
        <v>1.3</v>
      </c>
      <c r="P38">
        <v>1.1200000000000001</v>
      </c>
      <c r="Q38">
        <v>0.83</v>
      </c>
      <c r="R38">
        <v>0.84</v>
      </c>
      <c r="S38">
        <v>1.08</v>
      </c>
      <c r="T38">
        <v>3683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8</v>
      </c>
      <c r="G39">
        <v>10</v>
      </c>
      <c r="H39">
        <v>8</v>
      </c>
      <c r="I39">
        <v>25</v>
      </c>
      <c r="J39">
        <v>1.47</v>
      </c>
      <c r="K39">
        <v>1.34</v>
      </c>
      <c r="L39">
        <v>1.3</v>
      </c>
      <c r="M39">
        <v>1.23</v>
      </c>
      <c r="N39">
        <v>1.23</v>
      </c>
      <c r="O39">
        <v>1.28</v>
      </c>
      <c r="P39">
        <v>1.1000000000000001</v>
      </c>
      <c r="Q39">
        <v>0.9</v>
      </c>
      <c r="R39">
        <v>1.02</v>
      </c>
      <c r="S39">
        <v>1.21</v>
      </c>
      <c r="T39">
        <v>3667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8</v>
      </c>
      <c r="G40">
        <v>10</v>
      </c>
      <c r="H40">
        <v>8</v>
      </c>
      <c r="I40">
        <v>20</v>
      </c>
      <c r="J40">
        <v>1.27</v>
      </c>
      <c r="K40">
        <v>1.36</v>
      </c>
      <c r="L40">
        <v>1.41</v>
      </c>
      <c r="M40">
        <v>1.1399999999999999</v>
      </c>
      <c r="N40">
        <v>1.06</v>
      </c>
      <c r="O40">
        <v>1.03</v>
      </c>
      <c r="P40">
        <v>0.9</v>
      </c>
      <c r="Q40">
        <v>0.99</v>
      </c>
      <c r="R40">
        <v>1.25</v>
      </c>
      <c r="S40">
        <v>1.23</v>
      </c>
      <c r="T40">
        <v>3678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8</v>
      </c>
      <c r="G41">
        <v>10</v>
      </c>
      <c r="H41">
        <v>8</v>
      </c>
      <c r="I41">
        <v>31</v>
      </c>
      <c r="J41">
        <v>1.2</v>
      </c>
      <c r="K41">
        <v>1.03</v>
      </c>
      <c r="L41">
        <v>1.08</v>
      </c>
      <c r="M41">
        <v>1.24</v>
      </c>
      <c r="N41">
        <v>1.32</v>
      </c>
      <c r="O41">
        <v>1.1200000000000001</v>
      </c>
      <c r="P41">
        <v>1.06</v>
      </c>
      <c r="Q41">
        <v>1.02</v>
      </c>
      <c r="R41">
        <v>1.07</v>
      </c>
      <c r="S41">
        <v>1.1299999999999999</v>
      </c>
      <c r="T41">
        <v>3649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8</v>
      </c>
      <c r="G45">
        <v>10</v>
      </c>
      <c r="H45">
        <v>7</v>
      </c>
      <c r="I45">
        <v>3</v>
      </c>
      <c r="J45">
        <v>1.05</v>
      </c>
      <c r="K45">
        <v>1.1000000000000001</v>
      </c>
      <c r="L45">
        <v>1.28</v>
      </c>
      <c r="M45">
        <v>1.44</v>
      </c>
      <c r="N45">
        <v>1.33</v>
      </c>
      <c r="O45">
        <v>1.42</v>
      </c>
      <c r="P45">
        <v>1.48</v>
      </c>
      <c r="Q45">
        <v>1.36</v>
      </c>
      <c r="R45">
        <v>1.4</v>
      </c>
      <c r="S45">
        <v>1.33</v>
      </c>
      <c r="T45">
        <v>3721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8</v>
      </c>
      <c r="G46">
        <v>10</v>
      </c>
      <c r="H46">
        <v>7</v>
      </c>
      <c r="I46">
        <v>7</v>
      </c>
      <c r="J46">
        <v>1.35</v>
      </c>
      <c r="K46">
        <v>1.3</v>
      </c>
      <c r="L46">
        <v>1.18</v>
      </c>
      <c r="M46">
        <v>1.1000000000000001</v>
      </c>
      <c r="N46">
        <v>0.97</v>
      </c>
      <c r="O46">
        <v>0.98</v>
      </c>
      <c r="P46">
        <v>0.9</v>
      </c>
      <c r="Q46">
        <v>1.1200000000000001</v>
      </c>
      <c r="R46">
        <v>1.05</v>
      </c>
      <c r="S46">
        <v>0.96</v>
      </c>
      <c r="T46">
        <v>3739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8</v>
      </c>
      <c r="G47">
        <v>10</v>
      </c>
      <c r="H47">
        <v>7</v>
      </c>
      <c r="I47">
        <v>11</v>
      </c>
      <c r="J47">
        <v>1.23</v>
      </c>
      <c r="K47">
        <v>1.17</v>
      </c>
      <c r="L47">
        <v>1.24</v>
      </c>
      <c r="M47">
        <v>1.34</v>
      </c>
      <c r="N47">
        <v>1.36</v>
      </c>
      <c r="O47">
        <v>1.1499999999999999</v>
      </c>
      <c r="P47">
        <v>0.97</v>
      </c>
      <c r="Q47">
        <v>1.01</v>
      </c>
      <c r="R47">
        <v>1.06</v>
      </c>
      <c r="S47">
        <v>1.02</v>
      </c>
      <c r="T47">
        <v>3716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8</v>
      </c>
      <c r="G48">
        <v>10</v>
      </c>
      <c r="H48">
        <v>7</v>
      </c>
      <c r="I48">
        <v>16</v>
      </c>
      <c r="J48">
        <v>1.39</v>
      </c>
      <c r="K48">
        <v>1.38</v>
      </c>
      <c r="L48">
        <v>1.46</v>
      </c>
      <c r="M48">
        <v>1.36</v>
      </c>
      <c r="N48">
        <v>1.25</v>
      </c>
      <c r="O48">
        <v>1.1100000000000001</v>
      </c>
      <c r="P48">
        <v>1.27</v>
      </c>
      <c r="Q48">
        <v>1.36</v>
      </c>
      <c r="R48">
        <v>1.27</v>
      </c>
      <c r="S48">
        <v>1.25</v>
      </c>
      <c r="T48">
        <v>3740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8</v>
      </c>
      <c r="G49">
        <v>10</v>
      </c>
      <c r="H49">
        <v>7</v>
      </c>
      <c r="I49">
        <v>32</v>
      </c>
      <c r="J49">
        <v>1.46</v>
      </c>
      <c r="K49">
        <v>1.36</v>
      </c>
      <c r="L49">
        <v>1.36</v>
      </c>
      <c r="M49">
        <v>1.36</v>
      </c>
      <c r="N49">
        <v>1.29</v>
      </c>
      <c r="O49">
        <v>1.25</v>
      </c>
      <c r="P49">
        <v>1.08</v>
      </c>
      <c r="Q49">
        <v>1.19</v>
      </c>
      <c r="R49">
        <v>1.18</v>
      </c>
      <c r="S49">
        <v>1.26</v>
      </c>
      <c r="T49">
        <v>3751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8</v>
      </c>
      <c r="G50">
        <v>10</v>
      </c>
      <c r="H50">
        <v>7</v>
      </c>
      <c r="I50">
        <v>20</v>
      </c>
      <c r="J50">
        <v>1.37</v>
      </c>
      <c r="K50">
        <v>1.32</v>
      </c>
      <c r="L50">
        <v>1.31</v>
      </c>
      <c r="M50">
        <v>1.35</v>
      </c>
      <c r="N50">
        <v>1.23</v>
      </c>
      <c r="O50">
        <v>1.03</v>
      </c>
      <c r="P50">
        <v>0.88</v>
      </c>
      <c r="Q50">
        <v>1.0900000000000001</v>
      </c>
      <c r="R50">
        <v>1.1499999999999999</v>
      </c>
      <c r="S50">
        <v>1.27</v>
      </c>
      <c r="T50">
        <v>3735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8</v>
      </c>
      <c r="G51">
        <v>10</v>
      </c>
      <c r="H51">
        <v>7</v>
      </c>
      <c r="I51">
        <v>24</v>
      </c>
      <c r="J51">
        <v>1.31</v>
      </c>
      <c r="K51">
        <v>1.31</v>
      </c>
      <c r="L51">
        <v>1.42</v>
      </c>
      <c r="M51">
        <v>1.5</v>
      </c>
      <c r="N51">
        <v>1.33</v>
      </c>
      <c r="O51">
        <v>0.99</v>
      </c>
      <c r="P51">
        <v>0.91</v>
      </c>
      <c r="Q51">
        <v>0.97</v>
      </c>
      <c r="R51">
        <v>1.08</v>
      </c>
      <c r="S51">
        <v>1.01</v>
      </c>
      <c r="T51">
        <v>3734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8</v>
      </c>
      <c r="G52">
        <v>10</v>
      </c>
      <c r="H52">
        <v>7</v>
      </c>
      <c r="I52">
        <v>21</v>
      </c>
      <c r="J52">
        <v>0.96</v>
      </c>
      <c r="K52">
        <v>0.8</v>
      </c>
      <c r="L52">
        <v>0.73</v>
      </c>
      <c r="M52">
        <v>0.68</v>
      </c>
      <c r="N52">
        <v>0.6</v>
      </c>
      <c r="O52">
        <v>0.61</v>
      </c>
      <c r="P52">
        <v>0.63</v>
      </c>
      <c r="Q52">
        <v>0.74</v>
      </c>
      <c r="R52">
        <v>0.88</v>
      </c>
      <c r="S52">
        <v>1.1299999999999999</v>
      </c>
      <c r="T52">
        <v>3741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8</v>
      </c>
      <c r="G53">
        <v>10</v>
      </c>
      <c r="H53">
        <v>7</v>
      </c>
      <c r="I53">
        <v>36</v>
      </c>
      <c r="J53">
        <v>1.54</v>
      </c>
      <c r="K53">
        <v>1.41</v>
      </c>
      <c r="L53">
        <v>1.39</v>
      </c>
      <c r="M53">
        <v>1.44</v>
      </c>
      <c r="N53">
        <v>1.43</v>
      </c>
      <c r="O53">
        <v>1.24</v>
      </c>
      <c r="P53">
        <v>0.99</v>
      </c>
      <c r="Q53">
        <v>0.95</v>
      </c>
      <c r="R53">
        <v>0.95</v>
      </c>
      <c r="S53">
        <v>1.03</v>
      </c>
      <c r="T53">
        <v>3757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8</v>
      </c>
      <c r="G54">
        <v>10</v>
      </c>
      <c r="H54">
        <v>7</v>
      </c>
      <c r="I54">
        <v>40</v>
      </c>
      <c r="J54">
        <v>1.1200000000000001</v>
      </c>
      <c r="K54">
        <v>1.07</v>
      </c>
      <c r="L54">
        <v>0.95</v>
      </c>
      <c r="M54">
        <v>0.88</v>
      </c>
      <c r="N54">
        <v>0.88</v>
      </c>
      <c r="O54">
        <v>0.82</v>
      </c>
      <c r="P54">
        <v>0.89</v>
      </c>
      <c r="Q54">
        <v>1.0900000000000001</v>
      </c>
      <c r="R54">
        <v>1.24</v>
      </c>
      <c r="S54">
        <v>1.29</v>
      </c>
      <c r="T54">
        <v>3762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8</v>
      </c>
      <c r="G55">
        <v>10</v>
      </c>
      <c r="H55">
        <v>7</v>
      </c>
      <c r="I55">
        <v>44</v>
      </c>
      <c r="J55">
        <v>1.0900000000000001</v>
      </c>
      <c r="K55">
        <v>1.1200000000000001</v>
      </c>
      <c r="L55">
        <v>1.33</v>
      </c>
      <c r="M55">
        <v>1.42</v>
      </c>
      <c r="N55">
        <v>1.33</v>
      </c>
      <c r="O55">
        <v>1.3</v>
      </c>
      <c r="P55">
        <v>1.31</v>
      </c>
      <c r="Q55">
        <v>1.26</v>
      </c>
      <c r="R55">
        <v>1.35</v>
      </c>
      <c r="S55">
        <v>1.33</v>
      </c>
      <c r="T55">
        <v>3720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8</v>
      </c>
      <c r="G56">
        <v>10</v>
      </c>
      <c r="H56">
        <v>7</v>
      </c>
      <c r="I56">
        <v>40</v>
      </c>
      <c r="J56">
        <v>0.96</v>
      </c>
      <c r="K56">
        <v>1.01</v>
      </c>
      <c r="L56">
        <v>1.27</v>
      </c>
      <c r="M56">
        <v>1.37</v>
      </c>
      <c r="N56">
        <v>1.39</v>
      </c>
      <c r="O56">
        <v>1.39</v>
      </c>
      <c r="P56">
        <v>1.23</v>
      </c>
      <c r="Q56">
        <v>1.1499999999999999</v>
      </c>
      <c r="R56">
        <v>1.1200000000000001</v>
      </c>
      <c r="S56">
        <v>1.1499999999999999</v>
      </c>
      <c r="T56">
        <v>3734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8</v>
      </c>
      <c r="G57">
        <v>10</v>
      </c>
      <c r="H57">
        <v>8</v>
      </c>
      <c r="I57">
        <v>3</v>
      </c>
      <c r="J57">
        <v>1.24</v>
      </c>
      <c r="K57">
        <v>1.31</v>
      </c>
      <c r="L57">
        <v>1.56</v>
      </c>
      <c r="M57">
        <v>1.43</v>
      </c>
      <c r="N57">
        <v>1.48</v>
      </c>
      <c r="O57">
        <v>1.42</v>
      </c>
      <c r="P57">
        <v>1.1200000000000001</v>
      </c>
      <c r="Q57">
        <v>1</v>
      </c>
      <c r="R57">
        <v>1.06</v>
      </c>
      <c r="S57">
        <v>1.1399999999999999</v>
      </c>
      <c r="T57">
        <v>3667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8</v>
      </c>
      <c r="G58">
        <v>10</v>
      </c>
      <c r="H58">
        <v>7</v>
      </c>
      <c r="I58">
        <v>51</v>
      </c>
      <c r="J58">
        <v>1.24</v>
      </c>
      <c r="K58">
        <v>1.25</v>
      </c>
      <c r="L58">
        <v>1.32</v>
      </c>
      <c r="M58">
        <v>1.31</v>
      </c>
      <c r="N58">
        <v>1.38</v>
      </c>
      <c r="O58">
        <v>1.0900000000000001</v>
      </c>
      <c r="P58">
        <v>0.89</v>
      </c>
      <c r="Q58">
        <v>0.96</v>
      </c>
      <c r="R58">
        <v>1.1200000000000001</v>
      </c>
      <c r="S58">
        <v>1.19</v>
      </c>
      <c r="T58">
        <v>3736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8</v>
      </c>
      <c r="G59">
        <v>10</v>
      </c>
      <c r="H59">
        <v>7</v>
      </c>
      <c r="I59">
        <v>55</v>
      </c>
      <c r="J59">
        <v>1.31</v>
      </c>
      <c r="K59">
        <v>1.29</v>
      </c>
      <c r="L59">
        <v>1.37</v>
      </c>
      <c r="M59">
        <v>1.19</v>
      </c>
      <c r="N59">
        <v>1.2</v>
      </c>
      <c r="O59">
        <v>1.1599999999999999</v>
      </c>
      <c r="P59">
        <v>1.1100000000000001</v>
      </c>
      <c r="Q59">
        <v>0.93</v>
      </c>
      <c r="R59">
        <v>0.93</v>
      </c>
      <c r="S59">
        <v>1.1000000000000001</v>
      </c>
      <c r="T59">
        <v>3727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8</v>
      </c>
      <c r="G60">
        <v>10</v>
      </c>
      <c r="H60">
        <v>7</v>
      </c>
      <c r="I60">
        <v>52</v>
      </c>
      <c r="J60">
        <v>1.02</v>
      </c>
      <c r="K60">
        <v>1.1000000000000001</v>
      </c>
      <c r="L60">
        <v>1.45</v>
      </c>
      <c r="M60">
        <v>1.4</v>
      </c>
      <c r="N60">
        <v>1.44</v>
      </c>
      <c r="O60">
        <v>1.35</v>
      </c>
      <c r="P60">
        <v>1.31</v>
      </c>
      <c r="Q60">
        <v>1.02</v>
      </c>
      <c r="R60">
        <v>0.85</v>
      </c>
      <c r="S60">
        <v>0.89</v>
      </c>
      <c r="T60">
        <v>3724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8</v>
      </c>
      <c r="G61">
        <v>10</v>
      </c>
      <c r="H61">
        <v>8</v>
      </c>
      <c r="I61">
        <v>7</v>
      </c>
      <c r="J61">
        <v>1.49</v>
      </c>
      <c r="K61">
        <v>1.48</v>
      </c>
      <c r="L61">
        <v>1.5</v>
      </c>
      <c r="M61">
        <v>1.49</v>
      </c>
      <c r="N61">
        <v>1.4</v>
      </c>
      <c r="O61">
        <v>1.34</v>
      </c>
      <c r="P61">
        <v>1.3</v>
      </c>
      <c r="Q61">
        <v>1.29</v>
      </c>
      <c r="R61">
        <v>1.35</v>
      </c>
      <c r="S61">
        <v>1.32</v>
      </c>
      <c r="T61">
        <v>3700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8</v>
      </c>
      <c r="G62">
        <v>10</v>
      </c>
      <c r="H62">
        <v>8</v>
      </c>
      <c r="I62">
        <v>11</v>
      </c>
      <c r="J62">
        <v>1.43</v>
      </c>
      <c r="K62">
        <v>1.33</v>
      </c>
      <c r="L62">
        <v>1.48</v>
      </c>
      <c r="M62">
        <v>1.58</v>
      </c>
      <c r="N62">
        <v>1.62</v>
      </c>
      <c r="O62">
        <v>1.54</v>
      </c>
      <c r="P62">
        <v>1.52</v>
      </c>
      <c r="Q62">
        <v>1.27</v>
      </c>
      <c r="R62">
        <v>1.29</v>
      </c>
      <c r="S62">
        <v>1.33</v>
      </c>
      <c r="T62">
        <v>3701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8</v>
      </c>
      <c r="G63">
        <v>10</v>
      </c>
      <c r="H63">
        <v>8</v>
      </c>
      <c r="I63">
        <v>14</v>
      </c>
      <c r="J63">
        <v>1.39</v>
      </c>
      <c r="K63">
        <v>1.34</v>
      </c>
      <c r="L63">
        <v>1.45</v>
      </c>
      <c r="M63">
        <v>1.51</v>
      </c>
      <c r="N63">
        <v>1.45</v>
      </c>
      <c r="O63">
        <v>1.37</v>
      </c>
      <c r="P63">
        <v>1.22</v>
      </c>
      <c r="Q63">
        <v>0.88</v>
      </c>
      <c r="R63">
        <v>0.87</v>
      </c>
      <c r="S63">
        <v>1.01</v>
      </c>
      <c r="T63">
        <v>3702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8</v>
      </c>
      <c r="G64">
        <v>10</v>
      </c>
      <c r="H64">
        <v>8</v>
      </c>
      <c r="I64">
        <v>17</v>
      </c>
      <c r="J64">
        <v>1.36</v>
      </c>
      <c r="K64">
        <v>1.33</v>
      </c>
      <c r="L64">
        <v>1.3</v>
      </c>
      <c r="M64">
        <v>1.46</v>
      </c>
      <c r="N64">
        <v>1.46</v>
      </c>
      <c r="O64">
        <v>1.33</v>
      </c>
      <c r="P64">
        <v>1.1399999999999999</v>
      </c>
      <c r="Q64">
        <v>1.1000000000000001</v>
      </c>
      <c r="R64">
        <v>1.01</v>
      </c>
      <c r="S64">
        <v>1.1299999999999999</v>
      </c>
      <c r="T64">
        <v>3672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8</v>
      </c>
      <c r="G65">
        <v>10</v>
      </c>
      <c r="H65">
        <v>8</v>
      </c>
      <c r="I65">
        <v>31</v>
      </c>
      <c r="J65">
        <v>1.2</v>
      </c>
      <c r="K65">
        <v>1.03</v>
      </c>
      <c r="L65">
        <v>1.08</v>
      </c>
      <c r="M65">
        <v>1.24</v>
      </c>
      <c r="N65">
        <v>1.32</v>
      </c>
      <c r="O65">
        <v>1.1200000000000001</v>
      </c>
      <c r="P65">
        <v>1.06</v>
      </c>
      <c r="Q65">
        <v>1.02</v>
      </c>
      <c r="R65">
        <v>1.07</v>
      </c>
      <c r="S65">
        <v>1.1299999999999999</v>
      </c>
      <c r="T65">
        <v>3649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8</v>
      </c>
      <c r="G66">
        <v>10</v>
      </c>
      <c r="H66">
        <v>8</v>
      </c>
      <c r="I66">
        <v>20</v>
      </c>
      <c r="J66">
        <v>1.27</v>
      </c>
      <c r="K66">
        <v>1.36</v>
      </c>
      <c r="L66">
        <v>1.41</v>
      </c>
      <c r="M66">
        <v>1.1399999999999999</v>
      </c>
      <c r="N66">
        <v>1.06</v>
      </c>
      <c r="O66">
        <v>1.03</v>
      </c>
      <c r="P66">
        <v>0.9</v>
      </c>
      <c r="Q66">
        <v>0.99</v>
      </c>
      <c r="R66">
        <v>1.25</v>
      </c>
      <c r="S66">
        <v>1.23</v>
      </c>
      <c r="T66">
        <v>3678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8</v>
      </c>
      <c r="G67">
        <v>10</v>
      </c>
      <c r="H67">
        <v>8</v>
      </c>
      <c r="I67">
        <v>25</v>
      </c>
      <c r="J67">
        <v>1.47</v>
      </c>
      <c r="K67">
        <v>1.34</v>
      </c>
      <c r="L67">
        <v>1.3</v>
      </c>
      <c r="M67">
        <v>1.23</v>
      </c>
      <c r="N67">
        <v>1.23</v>
      </c>
      <c r="O67">
        <v>1.28</v>
      </c>
      <c r="P67">
        <v>1.1000000000000001</v>
      </c>
      <c r="Q67">
        <v>0.9</v>
      </c>
      <c r="R67">
        <v>1.02</v>
      </c>
      <c r="S67">
        <v>1.21</v>
      </c>
      <c r="T67">
        <v>3667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8</v>
      </c>
      <c r="G68">
        <v>10</v>
      </c>
      <c r="H68">
        <v>8</v>
      </c>
      <c r="I68">
        <v>22</v>
      </c>
      <c r="J68">
        <v>1.49</v>
      </c>
      <c r="K68">
        <v>1.39</v>
      </c>
      <c r="L68">
        <v>1.22</v>
      </c>
      <c r="M68">
        <v>1.3</v>
      </c>
      <c r="N68">
        <v>1.4</v>
      </c>
      <c r="O68">
        <v>1.3</v>
      </c>
      <c r="P68">
        <v>1.1200000000000001</v>
      </c>
      <c r="Q68">
        <v>0.83</v>
      </c>
      <c r="R68">
        <v>0.84</v>
      </c>
      <c r="S68">
        <v>1.08</v>
      </c>
      <c r="T68">
        <v>3683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17.217449999999999</v>
      </c>
      <c r="K73">
        <f t="shared" ref="K73:R73" si="0">22.275*K45-6.1713</f>
        <v>18.331200000000003</v>
      </c>
      <c r="L73">
        <f t="shared" si="0"/>
        <v>22.340700000000002</v>
      </c>
      <c r="M73">
        <f t="shared" si="0"/>
        <v>25.904699999999995</v>
      </c>
      <c r="N73">
        <f t="shared" si="0"/>
        <v>23.454450000000001</v>
      </c>
      <c r="O73">
        <f t="shared" si="0"/>
        <v>25.459199999999999</v>
      </c>
      <c r="P73">
        <f t="shared" si="0"/>
        <v>26.7957</v>
      </c>
      <c r="Q73">
        <f t="shared" si="0"/>
        <v>24.122700000000002</v>
      </c>
      <c r="R73">
        <f t="shared" si="0"/>
        <v>25.013699999999996</v>
      </c>
      <c r="S73">
        <f>22.275*(S45*1.1)-6.1713</f>
        <v>26.417025000000006</v>
      </c>
    </row>
    <row r="74" spans="1:20" x14ac:dyDescent="0.25">
      <c r="I74" t="s">
        <v>43</v>
      </c>
      <c r="J74">
        <f t="shared" ref="J74:R89" si="1">22.275*J46-6.1713</f>
        <v>23.89995</v>
      </c>
      <c r="K74">
        <f t="shared" si="1"/>
        <v>22.786200000000001</v>
      </c>
      <c r="L74">
        <f t="shared" si="1"/>
        <v>20.113199999999999</v>
      </c>
      <c r="M74">
        <f t="shared" si="1"/>
        <v>18.331200000000003</v>
      </c>
      <c r="N74">
        <f t="shared" si="1"/>
        <v>15.435449999999999</v>
      </c>
      <c r="O74">
        <f t="shared" si="1"/>
        <v>15.658200000000001</v>
      </c>
      <c r="P74">
        <f t="shared" si="1"/>
        <v>13.876200000000001</v>
      </c>
      <c r="Q74">
        <f t="shared" si="1"/>
        <v>18.776700000000002</v>
      </c>
      <c r="R74">
        <f t="shared" si="1"/>
        <v>17.217449999999999</v>
      </c>
      <c r="S74">
        <f t="shared" ref="S74:S91" si="2">22.275*(S46*1.1)-6.1713</f>
        <v>17.351100000000002</v>
      </c>
    </row>
    <row r="75" spans="1:20" x14ac:dyDescent="0.25">
      <c r="I75" t="s">
        <v>44</v>
      </c>
      <c r="J75">
        <f t="shared" si="1"/>
        <v>21.226949999999999</v>
      </c>
      <c r="K75">
        <f t="shared" si="1"/>
        <v>19.890449999999998</v>
      </c>
      <c r="L75">
        <f t="shared" si="1"/>
        <v>21.4497</v>
      </c>
      <c r="M75">
        <f t="shared" si="1"/>
        <v>23.677200000000003</v>
      </c>
      <c r="N75">
        <f t="shared" si="1"/>
        <v>24.122700000000002</v>
      </c>
      <c r="O75">
        <f t="shared" si="1"/>
        <v>19.444949999999999</v>
      </c>
      <c r="P75">
        <f t="shared" si="1"/>
        <v>15.435449999999999</v>
      </c>
      <c r="Q75">
        <f t="shared" si="1"/>
        <v>16.326450000000001</v>
      </c>
      <c r="R75">
        <f t="shared" si="1"/>
        <v>17.440200000000001</v>
      </c>
      <c r="S75">
        <f t="shared" si="2"/>
        <v>18.821250000000003</v>
      </c>
    </row>
    <row r="76" spans="1:20" x14ac:dyDescent="0.25">
      <c r="I76" t="s">
        <v>45</v>
      </c>
      <c r="J76">
        <f t="shared" si="1"/>
        <v>24.790949999999999</v>
      </c>
      <c r="K76">
        <f t="shared" si="1"/>
        <v>24.568199999999997</v>
      </c>
      <c r="L76">
        <f t="shared" si="1"/>
        <v>26.350199999999997</v>
      </c>
      <c r="M76">
        <f t="shared" si="1"/>
        <v>24.122700000000002</v>
      </c>
      <c r="N76">
        <f t="shared" si="1"/>
        <v>21.672450000000001</v>
      </c>
      <c r="O76">
        <f t="shared" si="1"/>
        <v>18.55395</v>
      </c>
      <c r="P76">
        <f t="shared" si="1"/>
        <v>22.11795</v>
      </c>
      <c r="Q76">
        <f t="shared" si="1"/>
        <v>24.122700000000002</v>
      </c>
      <c r="R76">
        <f t="shared" si="1"/>
        <v>22.11795</v>
      </c>
      <c r="S76">
        <f t="shared" si="2"/>
        <v>24.456824999999998</v>
      </c>
    </row>
    <row r="77" spans="1:20" x14ac:dyDescent="0.25">
      <c r="I77" t="s">
        <v>46</v>
      </c>
      <c r="J77">
        <f t="shared" si="1"/>
        <v>26.350199999999997</v>
      </c>
      <c r="K77">
        <f t="shared" si="1"/>
        <v>24.122700000000002</v>
      </c>
      <c r="L77">
        <f t="shared" si="1"/>
        <v>24.122700000000002</v>
      </c>
      <c r="M77">
        <f t="shared" si="1"/>
        <v>24.122700000000002</v>
      </c>
      <c r="N77">
        <f t="shared" si="1"/>
        <v>22.56345</v>
      </c>
      <c r="O77">
        <f t="shared" si="1"/>
        <v>21.672450000000001</v>
      </c>
      <c r="P77">
        <f t="shared" si="1"/>
        <v>17.8857</v>
      </c>
      <c r="Q77">
        <f t="shared" si="1"/>
        <v>20.335949999999997</v>
      </c>
      <c r="R77">
        <f t="shared" si="1"/>
        <v>20.113199999999999</v>
      </c>
      <c r="S77">
        <f t="shared" si="2"/>
        <v>24.70185</v>
      </c>
    </row>
    <row r="78" spans="1:20" x14ac:dyDescent="0.25">
      <c r="I78" t="s">
        <v>47</v>
      </c>
      <c r="J78">
        <f t="shared" si="1"/>
        <v>24.345450000000003</v>
      </c>
      <c r="K78">
        <f t="shared" si="1"/>
        <v>23.2317</v>
      </c>
      <c r="L78">
        <f t="shared" si="1"/>
        <v>23.008950000000002</v>
      </c>
      <c r="M78">
        <f t="shared" si="1"/>
        <v>23.89995</v>
      </c>
      <c r="N78">
        <f t="shared" si="1"/>
        <v>21.226949999999999</v>
      </c>
      <c r="O78">
        <f t="shared" si="1"/>
        <v>16.77195</v>
      </c>
      <c r="P78">
        <f t="shared" si="1"/>
        <v>13.430700000000002</v>
      </c>
      <c r="Q78">
        <f t="shared" si="1"/>
        <v>18.108450000000001</v>
      </c>
      <c r="R78">
        <f t="shared" si="1"/>
        <v>19.444949999999999</v>
      </c>
      <c r="S78">
        <f t="shared" si="2"/>
        <v>24.946875000000006</v>
      </c>
    </row>
    <row r="79" spans="1:20" x14ac:dyDescent="0.25">
      <c r="I79" t="s">
        <v>48</v>
      </c>
      <c r="J79">
        <f t="shared" si="1"/>
        <v>23.008950000000002</v>
      </c>
      <c r="K79">
        <f t="shared" si="1"/>
        <v>23.008950000000002</v>
      </c>
      <c r="L79">
        <f t="shared" si="1"/>
        <v>25.459199999999999</v>
      </c>
      <c r="M79">
        <f t="shared" si="1"/>
        <v>27.241199999999996</v>
      </c>
      <c r="N79">
        <f t="shared" si="1"/>
        <v>23.454450000000001</v>
      </c>
      <c r="O79">
        <f t="shared" si="1"/>
        <v>15.880949999999999</v>
      </c>
      <c r="P79">
        <f t="shared" si="1"/>
        <v>14.098950000000002</v>
      </c>
      <c r="Q79">
        <f t="shared" si="1"/>
        <v>15.435449999999999</v>
      </c>
      <c r="R79">
        <f t="shared" si="1"/>
        <v>17.8857</v>
      </c>
      <c r="S79">
        <f t="shared" si="2"/>
        <v>18.576225000000004</v>
      </c>
    </row>
    <row r="80" spans="1:20" x14ac:dyDescent="0.25">
      <c r="I80" t="s">
        <v>49</v>
      </c>
      <c r="J80">
        <f t="shared" si="1"/>
        <v>15.212699999999998</v>
      </c>
      <c r="K80">
        <f t="shared" si="1"/>
        <v>11.648700000000002</v>
      </c>
      <c r="L80">
        <f t="shared" si="1"/>
        <v>10.089449999999999</v>
      </c>
      <c r="M80">
        <f t="shared" si="1"/>
        <v>8.9756999999999998</v>
      </c>
      <c r="N80">
        <f t="shared" si="1"/>
        <v>7.1936999999999989</v>
      </c>
      <c r="O80">
        <f t="shared" si="1"/>
        <v>7.4164499999999984</v>
      </c>
      <c r="P80">
        <f t="shared" si="1"/>
        <v>7.8619499999999993</v>
      </c>
      <c r="Q80">
        <f t="shared" si="1"/>
        <v>10.312200000000001</v>
      </c>
      <c r="R80">
        <f t="shared" si="1"/>
        <v>13.430700000000002</v>
      </c>
      <c r="S80">
        <f t="shared" si="2"/>
        <v>21.516524999999998</v>
      </c>
    </row>
    <row r="81" spans="9:19" x14ac:dyDescent="0.25">
      <c r="I81" t="s">
        <v>50</v>
      </c>
      <c r="J81">
        <f t="shared" si="1"/>
        <v>28.132200000000001</v>
      </c>
      <c r="K81">
        <f t="shared" si="1"/>
        <v>25.236449999999998</v>
      </c>
      <c r="L81">
        <f t="shared" si="1"/>
        <v>24.790949999999999</v>
      </c>
      <c r="M81">
        <f t="shared" si="1"/>
        <v>25.904699999999995</v>
      </c>
      <c r="N81">
        <f t="shared" si="1"/>
        <v>25.681949999999997</v>
      </c>
      <c r="O81">
        <f t="shared" si="1"/>
        <v>21.4497</v>
      </c>
      <c r="P81">
        <f t="shared" si="1"/>
        <v>15.880949999999999</v>
      </c>
      <c r="Q81">
        <f t="shared" si="1"/>
        <v>14.98995</v>
      </c>
      <c r="R81">
        <f t="shared" si="1"/>
        <v>14.98995</v>
      </c>
      <c r="S81">
        <f t="shared" si="2"/>
        <v>19.066275000000005</v>
      </c>
    </row>
    <row r="82" spans="9:19" x14ac:dyDescent="0.25">
      <c r="I82" t="s">
        <v>51</v>
      </c>
      <c r="J82">
        <f t="shared" si="1"/>
        <v>18.776700000000002</v>
      </c>
      <c r="K82">
        <f t="shared" si="1"/>
        <v>17.662950000000002</v>
      </c>
      <c r="L82">
        <f t="shared" si="1"/>
        <v>14.98995</v>
      </c>
      <c r="M82">
        <f t="shared" si="1"/>
        <v>13.430700000000002</v>
      </c>
      <c r="N82">
        <f t="shared" si="1"/>
        <v>13.430700000000002</v>
      </c>
      <c r="O82">
        <f t="shared" si="1"/>
        <v>12.094200000000001</v>
      </c>
      <c r="P82">
        <f t="shared" si="1"/>
        <v>13.653449999999999</v>
      </c>
      <c r="Q82">
        <f t="shared" si="1"/>
        <v>18.108450000000001</v>
      </c>
      <c r="R82">
        <f t="shared" si="1"/>
        <v>21.4497</v>
      </c>
      <c r="S82">
        <f t="shared" si="2"/>
        <v>25.436925000000006</v>
      </c>
    </row>
    <row r="83" spans="9:19" x14ac:dyDescent="0.25">
      <c r="I83" t="s">
        <v>52</v>
      </c>
      <c r="J83">
        <f t="shared" si="1"/>
        <v>18.108450000000001</v>
      </c>
      <c r="K83">
        <f t="shared" si="1"/>
        <v>18.776700000000002</v>
      </c>
      <c r="L83">
        <f t="shared" si="1"/>
        <v>23.454450000000001</v>
      </c>
      <c r="M83">
        <f t="shared" si="1"/>
        <v>25.459199999999999</v>
      </c>
      <c r="N83">
        <f t="shared" si="1"/>
        <v>23.454450000000001</v>
      </c>
      <c r="O83">
        <f t="shared" si="1"/>
        <v>22.786200000000001</v>
      </c>
      <c r="P83">
        <f t="shared" si="1"/>
        <v>23.008950000000002</v>
      </c>
      <c r="Q83">
        <f t="shared" si="1"/>
        <v>21.895199999999999</v>
      </c>
      <c r="R83">
        <f t="shared" si="1"/>
        <v>23.89995</v>
      </c>
      <c r="S83">
        <f t="shared" si="2"/>
        <v>26.417025000000006</v>
      </c>
    </row>
    <row r="84" spans="9:19" x14ac:dyDescent="0.25">
      <c r="I84" t="s">
        <v>53</v>
      </c>
      <c r="J84">
        <f t="shared" si="1"/>
        <v>15.212699999999998</v>
      </c>
      <c r="K84">
        <f t="shared" si="1"/>
        <v>16.326450000000001</v>
      </c>
      <c r="L84">
        <f t="shared" si="1"/>
        <v>22.11795</v>
      </c>
      <c r="M84">
        <f t="shared" si="1"/>
        <v>24.345450000000003</v>
      </c>
      <c r="N84">
        <f t="shared" si="1"/>
        <v>24.790949999999999</v>
      </c>
      <c r="O84">
        <f t="shared" si="1"/>
        <v>24.790949999999999</v>
      </c>
      <c r="P84">
        <f t="shared" si="1"/>
        <v>21.226949999999999</v>
      </c>
      <c r="Q84">
        <f t="shared" si="1"/>
        <v>19.444949999999999</v>
      </c>
      <c r="R84">
        <f t="shared" si="1"/>
        <v>18.776700000000002</v>
      </c>
      <c r="S84">
        <f t="shared" si="2"/>
        <v>22.006574999999998</v>
      </c>
    </row>
    <row r="85" spans="9:19" x14ac:dyDescent="0.25">
      <c r="I85" t="s">
        <v>54</v>
      </c>
      <c r="J85">
        <f t="shared" si="1"/>
        <v>21.4497</v>
      </c>
      <c r="K85">
        <f t="shared" si="1"/>
        <v>23.008950000000002</v>
      </c>
      <c r="L85">
        <f t="shared" si="1"/>
        <v>28.577700000000004</v>
      </c>
      <c r="M85">
        <f t="shared" si="1"/>
        <v>25.681949999999997</v>
      </c>
      <c r="N85">
        <f t="shared" si="1"/>
        <v>26.7957</v>
      </c>
      <c r="O85">
        <f t="shared" si="1"/>
        <v>25.459199999999999</v>
      </c>
      <c r="P85">
        <f t="shared" si="1"/>
        <v>18.776700000000002</v>
      </c>
      <c r="Q85">
        <f t="shared" si="1"/>
        <v>16.1037</v>
      </c>
      <c r="R85">
        <f t="shared" si="1"/>
        <v>17.440200000000001</v>
      </c>
      <c r="S85">
        <f t="shared" si="2"/>
        <v>21.76155</v>
      </c>
    </row>
    <row r="86" spans="9:19" x14ac:dyDescent="0.25">
      <c r="I86" t="s">
        <v>55</v>
      </c>
      <c r="J86">
        <f t="shared" si="1"/>
        <v>21.4497</v>
      </c>
      <c r="K86">
        <f t="shared" si="1"/>
        <v>21.672450000000001</v>
      </c>
      <c r="L86">
        <f t="shared" si="1"/>
        <v>23.2317</v>
      </c>
      <c r="M86">
        <f t="shared" si="1"/>
        <v>23.008950000000002</v>
      </c>
      <c r="N86">
        <f t="shared" si="1"/>
        <v>24.568199999999997</v>
      </c>
      <c r="O86">
        <f t="shared" si="1"/>
        <v>18.108450000000001</v>
      </c>
      <c r="P86">
        <f t="shared" si="1"/>
        <v>13.653449999999999</v>
      </c>
      <c r="Q86">
        <f t="shared" si="1"/>
        <v>15.212699999999998</v>
      </c>
      <c r="R86">
        <f t="shared" si="1"/>
        <v>18.776700000000002</v>
      </c>
      <c r="S86">
        <f t="shared" si="2"/>
        <v>22.986674999999998</v>
      </c>
    </row>
    <row r="87" spans="9:19" x14ac:dyDescent="0.25">
      <c r="I87" t="s">
        <v>56</v>
      </c>
      <c r="J87">
        <f t="shared" si="1"/>
        <v>23.008950000000002</v>
      </c>
      <c r="K87">
        <f t="shared" si="1"/>
        <v>22.56345</v>
      </c>
      <c r="L87">
        <f t="shared" si="1"/>
        <v>24.345450000000003</v>
      </c>
      <c r="M87">
        <f t="shared" si="1"/>
        <v>20.335949999999997</v>
      </c>
      <c r="N87">
        <f t="shared" si="1"/>
        <v>20.558699999999998</v>
      </c>
      <c r="O87">
        <f t="shared" si="1"/>
        <v>19.667699999999996</v>
      </c>
      <c r="P87">
        <f t="shared" si="1"/>
        <v>18.55395</v>
      </c>
      <c r="Q87">
        <f t="shared" si="1"/>
        <v>14.544450000000001</v>
      </c>
      <c r="R87">
        <f t="shared" si="1"/>
        <v>14.544450000000001</v>
      </c>
      <c r="S87">
        <f t="shared" si="2"/>
        <v>20.781450000000003</v>
      </c>
    </row>
    <row r="88" spans="9:19" x14ac:dyDescent="0.25">
      <c r="I88" t="s">
        <v>57</v>
      </c>
      <c r="J88">
        <f t="shared" si="1"/>
        <v>16.549199999999999</v>
      </c>
      <c r="K88">
        <f t="shared" si="1"/>
        <v>18.331200000000003</v>
      </c>
      <c r="L88">
        <f t="shared" si="1"/>
        <v>26.12745</v>
      </c>
      <c r="M88">
        <f t="shared" si="1"/>
        <v>25.013699999999996</v>
      </c>
      <c r="N88">
        <f t="shared" si="1"/>
        <v>25.904699999999995</v>
      </c>
      <c r="O88">
        <f t="shared" si="1"/>
        <v>23.89995</v>
      </c>
      <c r="P88">
        <f t="shared" si="1"/>
        <v>23.008950000000002</v>
      </c>
      <c r="Q88">
        <f t="shared" si="1"/>
        <v>16.549199999999999</v>
      </c>
      <c r="R88">
        <f t="shared" si="1"/>
        <v>12.762450000000001</v>
      </c>
      <c r="S88">
        <f t="shared" si="2"/>
        <v>15.635925</v>
      </c>
    </row>
    <row r="89" spans="9:19" x14ac:dyDescent="0.25">
      <c r="I89" t="s">
        <v>58</v>
      </c>
      <c r="J89">
        <f t="shared" si="1"/>
        <v>27.018449999999998</v>
      </c>
      <c r="K89">
        <f t="shared" si="1"/>
        <v>26.7957</v>
      </c>
      <c r="L89">
        <f t="shared" si="1"/>
        <v>27.241199999999996</v>
      </c>
      <c r="M89">
        <f t="shared" si="1"/>
        <v>27.018449999999998</v>
      </c>
      <c r="N89">
        <f t="shared" si="1"/>
        <v>25.013699999999996</v>
      </c>
      <c r="O89">
        <f t="shared" si="1"/>
        <v>23.677200000000003</v>
      </c>
      <c r="P89">
        <f t="shared" si="1"/>
        <v>22.786200000000001</v>
      </c>
      <c r="Q89">
        <f t="shared" si="1"/>
        <v>22.56345</v>
      </c>
      <c r="R89">
        <f t="shared" si="1"/>
        <v>23.89995</v>
      </c>
      <c r="S89">
        <f t="shared" si="2"/>
        <v>26.172000000000001</v>
      </c>
    </row>
    <row r="90" spans="9:19" x14ac:dyDescent="0.25">
      <c r="I90" t="s">
        <v>59</v>
      </c>
      <c r="J90">
        <f t="shared" ref="J90:R96" si="3">22.275*J62-6.1713</f>
        <v>25.681949999999997</v>
      </c>
      <c r="K90">
        <f t="shared" si="3"/>
        <v>23.454450000000001</v>
      </c>
      <c r="L90">
        <f t="shared" si="3"/>
        <v>26.7957</v>
      </c>
      <c r="M90">
        <f t="shared" si="3"/>
        <v>29.023199999999999</v>
      </c>
      <c r="N90">
        <f t="shared" si="3"/>
        <v>29.914200000000005</v>
      </c>
      <c r="O90">
        <f t="shared" si="3"/>
        <v>28.132200000000001</v>
      </c>
      <c r="P90">
        <f t="shared" si="3"/>
        <v>27.686699999999998</v>
      </c>
      <c r="Q90">
        <f t="shared" si="3"/>
        <v>22.11795</v>
      </c>
      <c r="R90">
        <f t="shared" si="3"/>
        <v>22.56345</v>
      </c>
      <c r="S90">
        <f t="shared" si="2"/>
        <v>26.417025000000006</v>
      </c>
    </row>
    <row r="91" spans="9:19" x14ac:dyDescent="0.25">
      <c r="I91" t="s">
        <v>60</v>
      </c>
      <c r="J91">
        <f t="shared" si="3"/>
        <v>24.790949999999999</v>
      </c>
      <c r="K91">
        <f t="shared" si="3"/>
        <v>23.677200000000003</v>
      </c>
      <c r="L91">
        <f t="shared" si="3"/>
        <v>26.12745</v>
      </c>
      <c r="M91">
        <f t="shared" si="3"/>
        <v>27.463950000000001</v>
      </c>
      <c r="N91">
        <f t="shared" si="3"/>
        <v>26.12745</v>
      </c>
      <c r="O91">
        <f t="shared" si="3"/>
        <v>24.345450000000003</v>
      </c>
      <c r="P91">
        <f t="shared" si="3"/>
        <v>21.004199999999997</v>
      </c>
      <c r="Q91">
        <f t="shared" si="3"/>
        <v>13.430700000000002</v>
      </c>
      <c r="R91">
        <f t="shared" si="3"/>
        <v>13.20795</v>
      </c>
      <c r="S91">
        <f t="shared" si="2"/>
        <v>18.576225000000004</v>
      </c>
    </row>
    <row r="92" spans="9:19" x14ac:dyDescent="0.25">
      <c r="I92" t="s">
        <v>61</v>
      </c>
      <c r="J92">
        <f t="shared" si="3"/>
        <v>24.122700000000002</v>
      </c>
      <c r="K92">
        <f t="shared" si="3"/>
        <v>23.454450000000001</v>
      </c>
      <c r="L92">
        <f t="shared" si="3"/>
        <v>22.786200000000001</v>
      </c>
      <c r="M92">
        <f t="shared" si="3"/>
        <v>26.350199999999997</v>
      </c>
      <c r="N92">
        <f t="shared" si="3"/>
        <v>26.350199999999997</v>
      </c>
      <c r="O92">
        <f t="shared" si="3"/>
        <v>23.454450000000001</v>
      </c>
      <c r="P92">
        <f t="shared" si="3"/>
        <v>19.222199999999997</v>
      </c>
      <c r="Q92">
        <f t="shared" si="3"/>
        <v>18.331200000000003</v>
      </c>
      <c r="R92">
        <f t="shared" si="3"/>
        <v>16.326450000000001</v>
      </c>
      <c r="S92">
        <f>22.275*(S64*1.1)-6.1713</f>
        <v>21.516524999999998</v>
      </c>
    </row>
    <row r="93" spans="9:19" x14ac:dyDescent="0.25">
      <c r="I93" t="s">
        <v>62</v>
      </c>
      <c r="J93">
        <f t="shared" si="3"/>
        <v>20.558699999999998</v>
      </c>
      <c r="K93">
        <f t="shared" si="3"/>
        <v>16.77195</v>
      </c>
      <c r="L93">
        <f t="shared" si="3"/>
        <v>17.8857</v>
      </c>
      <c r="M93">
        <f t="shared" si="3"/>
        <v>21.4497</v>
      </c>
      <c r="N93">
        <f t="shared" si="3"/>
        <v>23.2317</v>
      </c>
      <c r="O93">
        <f t="shared" si="3"/>
        <v>18.776700000000002</v>
      </c>
      <c r="P93">
        <f t="shared" si="3"/>
        <v>17.440200000000001</v>
      </c>
      <c r="Q93">
        <f t="shared" si="3"/>
        <v>16.549199999999999</v>
      </c>
      <c r="R93">
        <f t="shared" si="3"/>
        <v>17.662950000000002</v>
      </c>
      <c r="S93">
        <f t="shared" ref="S93:S95" si="4">22.275*(S65*1.1)-6.1713</f>
        <v>21.516524999999998</v>
      </c>
    </row>
    <row r="94" spans="9:19" x14ac:dyDescent="0.25">
      <c r="I94" t="s">
        <v>63</v>
      </c>
      <c r="J94">
        <f t="shared" si="3"/>
        <v>22.11795</v>
      </c>
      <c r="K94">
        <f t="shared" si="3"/>
        <v>24.122700000000002</v>
      </c>
      <c r="L94">
        <f t="shared" si="3"/>
        <v>25.236449999999998</v>
      </c>
      <c r="M94">
        <f t="shared" si="3"/>
        <v>19.222199999999997</v>
      </c>
      <c r="N94">
        <f t="shared" si="3"/>
        <v>17.440200000000001</v>
      </c>
      <c r="O94">
        <f t="shared" si="3"/>
        <v>16.77195</v>
      </c>
      <c r="P94">
        <f t="shared" si="3"/>
        <v>13.876200000000001</v>
      </c>
      <c r="Q94">
        <f t="shared" si="3"/>
        <v>15.880949999999999</v>
      </c>
      <c r="R94">
        <f t="shared" si="3"/>
        <v>21.672450000000001</v>
      </c>
      <c r="S94">
        <f t="shared" si="4"/>
        <v>23.966774999999998</v>
      </c>
    </row>
    <row r="95" spans="9:19" x14ac:dyDescent="0.25">
      <c r="I95" t="s">
        <v>64</v>
      </c>
      <c r="J95">
        <f t="shared" si="3"/>
        <v>26.572949999999995</v>
      </c>
      <c r="K95">
        <f t="shared" si="3"/>
        <v>23.677200000000003</v>
      </c>
      <c r="L95">
        <f t="shared" si="3"/>
        <v>22.786200000000001</v>
      </c>
      <c r="M95">
        <f t="shared" si="3"/>
        <v>21.226949999999999</v>
      </c>
      <c r="N95">
        <f t="shared" si="3"/>
        <v>21.226949999999999</v>
      </c>
      <c r="O95">
        <f t="shared" si="3"/>
        <v>22.340700000000002</v>
      </c>
      <c r="P95">
        <f t="shared" si="3"/>
        <v>18.331200000000003</v>
      </c>
      <c r="Q95">
        <f t="shared" si="3"/>
        <v>13.876200000000001</v>
      </c>
      <c r="R95">
        <f t="shared" si="3"/>
        <v>16.549199999999999</v>
      </c>
      <c r="S95">
        <f t="shared" si="4"/>
        <v>23.476724999999998</v>
      </c>
    </row>
    <row r="96" spans="9:19" x14ac:dyDescent="0.25">
      <c r="I96" t="s">
        <v>65</v>
      </c>
      <c r="J96">
        <f>22.275*J68-6.1713</f>
        <v>27.018449999999998</v>
      </c>
      <c r="K96">
        <f t="shared" si="3"/>
        <v>24.790949999999999</v>
      </c>
      <c r="L96">
        <f t="shared" si="3"/>
        <v>21.004199999999997</v>
      </c>
      <c r="M96">
        <f t="shared" si="3"/>
        <v>22.786200000000001</v>
      </c>
      <c r="N96">
        <f t="shared" si="3"/>
        <v>25.013699999999996</v>
      </c>
      <c r="O96">
        <f t="shared" si="3"/>
        <v>22.786200000000001</v>
      </c>
      <c r="P96">
        <f t="shared" si="3"/>
        <v>18.776700000000002</v>
      </c>
      <c r="Q96">
        <f t="shared" si="3"/>
        <v>12.316949999999999</v>
      </c>
      <c r="R96">
        <f t="shared" si="3"/>
        <v>12.5397</v>
      </c>
      <c r="S96">
        <f>22.275*(S68*1.1)-6.1713</f>
        <v>20.291400000000003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0.17217450000000001</v>
      </c>
      <c r="K101" s="4">
        <f t="shared" si="5"/>
        <v>0.18331200000000003</v>
      </c>
      <c r="L101" s="4">
        <f t="shared" si="5"/>
        <v>0.22340700000000002</v>
      </c>
      <c r="M101" s="4">
        <f t="shared" si="5"/>
        <v>0.25904699999999997</v>
      </c>
      <c r="N101" s="4">
        <f t="shared" si="5"/>
        <v>0.23454450000000002</v>
      </c>
      <c r="O101" s="4">
        <f t="shared" si="5"/>
        <v>0.25459199999999998</v>
      </c>
      <c r="P101" s="4">
        <f t="shared" si="5"/>
        <v>0.267957</v>
      </c>
      <c r="Q101" s="4">
        <f t="shared" si="5"/>
        <v>0.24122700000000002</v>
      </c>
      <c r="R101" s="4">
        <f t="shared" si="5"/>
        <v>0.25013699999999994</v>
      </c>
      <c r="S101" s="4">
        <f t="shared" si="5"/>
        <v>0.26417025000000005</v>
      </c>
    </row>
    <row r="102" spans="9:19" x14ac:dyDescent="0.25">
      <c r="I102">
        <v>12</v>
      </c>
      <c r="J102" s="4">
        <f t="shared" ref="J102:S115" si="6">IF(J74&lt;0,"",J74/100)</f>
        <v>0.2389995</v>
      </c>
      <c r="K102" s="4">
        <f t="shared" si="6"/>
        <v>0.22786200000000001</v>
      </c>
      <c r="L102" s="4">
        <f t="shared" si="6"/>
        <v>0.20113199999999998</v>
      </c>
      <c r="M102" s="4">
        <f t="shared" si="6"/>
        <v>0.18331200000000003</v>
      </c>
      <c r="N102" s="4">
        <f t="shared" si="6"/>
        <v>0.15435450000000001</v>
      </c>
      <c r="O102" s="4">
        <f t="shared" si="6"/>
        <v>0.156582</v>
      </c>
      <c r="P102" s="4">
        <f t="shared" si="6"/>
        <v>0.138762</v>
      </c>
      <c r="Q102" s="4">
        <f t="shared" si="6"/>
        <v>0.18776700000000002</v>
      </c>
      <c r="R102" s="4">
        <f t="shared" si="6"/>
        <v>0.17217450000000001</v>
      </c>
      <c r="S102" s="4">
        <f t="shared" si="6"/>
        <v>0.17351100000000003</v>
      </c>
    </row>
    <row r="103" spans="9:19" x14ac:dyDescent="0.25">
      <c r="I103">
        <v>13</v>
      </c>
      <c r="J103" s="4">
        <f t="shared" si="6"/>
        <v>0.2122695</v>
      </c>
      <c r="K103" s="4">
        <f t="shared" si="6"/>
        <v>0.19890449999999998</v>
      </c>
      <c r="L103" s="4">
        <f t="shared" si="6"/>
        <v>0.21449699999999999</v>
      </c>
      <c r="M103" s="4">
        <f t="shared" si="6"/>
        <v>0.23677200000000004</v>
      </c>
      <c r="N103" s="4">
        <f t="shared" si="6"/>
        <v>0.24122700000000002</v>
      </c>
      <c r="O103" s="4">
        <f t="shared" si="6"/>
        <v>0.1944495</v>
      </c>
      <c r="P103" s="4">
        <f t="shared" si="6"/>
        <v>0.15435450000000001</v>
      </c>
      <c r="Q103" s="4">
        <f t="shared" si="6"/>
        <v>0.16326450000000001</v>
      </c>
      <c r="R103" s="4">
        <f t="shared" si="6"/>
        <v>0.174402</v>
      </c>
      <c r="S103" s="4">
        <f t="shared" si="6"/>
        <v>0.18821250000000003</v>
      </c>
    </row>
    <row r="104" spans="9:19" x14ac:dyDescent="0.25">
      <c r="I104">
        <v>14</v>
      </c>
      <c r="J104" s="4">
        <f t="shared" si="6"/>
        <v>0.24790949999999998</v>
      </c>
      <c r="K104" s="4">
        <f t="shared" si="6"/>
        <v>0.24568199999999998</v>
      </c>
      <c r="L104" s="4">
        <f t="shared" si="6"/>
        <v>0.26350199999999996</v>
      </c>
      <c r="M104" s="4">
        <f t="shared" si="6"/>
        <v>0.24122700000000002</v>
      </c>
      <c r="N104" s="4">
        <f t="shared" si="6"/>
        <v>0.21672450000000001</v>
      </c>
      <c r="O104" s="4">
        <f t="shared" si="6"/>
        <v>0.1855395</v>
      </c>
      <c r="P104" s="4">
        <f t="shared" si="6"/>
        <v>0.2211795</v>
      </c>
      <c r="Q104" s="4">
        <f t="shared" si="6"/>
        <v>0.24122700000000002</v>
      </c>
      <c r="R104" s="4">
        <f t="shared" si="6"/>
        <v>0.2211795</v>
      </c>
      <c r="S104" s="4">
        <f t="shared" si="6"/>
        <v>0.24456824999999999</v>
      </c>
    </row>
    <row r="105" spans="9:19" x14ac:dyDescent="0.25">
      <c r="I105">
        <v>21</v>
      </c>
      <c r="J105" s="4">
        <f t="shared" si="6"/>
        <v>0.26350199999999996</v>
      </c>
      <c r="K105" s="4">
        <f t="shared" si="6"/>
        <v>0.24122700000000002</v>
      </c>
      <c r="L105" s="4">
        <f t="shared" si="6"/>
        <v>0.24122700000000002</v>
      </c>
      <c r="M105" s="4">
        <f t="shared" si="6"/>
        <v>0.24122700000000002</v>
      </c>
      <c r="N105" s="4">
        <f t="shared" si="6"/>
        <v>0.22563449999999999</v>
      </c>
      <c r="O105" s="4">
        <f t="shared" si="6"/>
        <v>0.21672450000000001</v>
      </c>
      <c r="P105" s="4">
        <f t="shared" si="6"/>
        <v>0.17885699999999999</v>
      </c>
      <c r="Q105" s="4">
        <f t="shared" si="6"/>
        <v>0.20335949999999997</v>
      </c>
      <c r="R105" s="4">
        <f t="shared" si="6"/>
        <v>0.20113199999999998</v>
      </c>
      <c r="S105" s="4">
        <f t="shared" si="6"/>
        <v>0.2470185</v>
      </c>
    </row>
    <row r="106" spans="9:19" x14ac:dyDescent="0.25">
      <c r="I106">
        <v>22</v>
      </c>
      <c r="J106" s="4">
        <f t="shared" si="6"/>
        <v>0.24345450000000002</v>
      </c>
      <c r="K106" s="4">
        <f t="shared" si="6"/>
        <v>0.232317</v>
      </c>
      <c r="L106" s="4">
        <f t="shared" si="6"/>
        <v>0.23008950000000003</v>
      </c>
      <c r="M106" s="4">
        <f t="shared" si="6"/>
        <v>0.2389995</v>
      </c>
      <c r="N106" s="4">
        <f t="shared" si="6"/>
        <v>0.2122695</v>
      </c>
      <c r="O106" s="4">
        <f t="shared" si="6"/>
        <v>0.16771949999999999</v>
      </c>
      <c r="P106" s="4">
        <f t="shared" si="6"/>
        <v>0.13430700000000001</v>
      </c>
      <c r="Q106" s="4">
        <f t="shared" si="6"/>
        <v>0.18108450000000001</v>
      </c>
      <c r="R106" s="4">
        <f t="shared" si="6"/>
        <v>0.1944495</v>
      </c>
      <c r="S106" s="4">
        <f t="shared" si="6"/>
        <v>0.24946875000000004</v>
      </c>
    </row>
    <row r="107" spans="9:19" x14ac:dyDescent="0.25">
      <c r="I107">
        <v>23</v>
      </c>
      <c r="J107" s="4">
        <f t="shared" si="6"/>
        <v>0.23008950000000003</v>
      </c>
      <c r="K107" s="4">
        <f t="shared" si="6"/>
        <v>0.23008950000000003</v>
      </c>
      <c r="L107" s="4">
        <f t="shared" si="6"/>
        <v>0.25459199999999998</v>
      </c>
      <c r="M107" s="4">
        <f t="shared" si="6"/>
        <v>0.27241199999999993</v>
      </c>
      <c r="N107" s="4">
        <f t="shared" si="6"/>
        <v>0.23454450000000002</v>
      </c>
      <c r="O107" s="4">
        <f t="shared" si="6"/>
        <v>0.15880949999999999</v>
      </c>
      <c r="P107" s="4">
        <f t="shared" si="6"/>
        <v>0.14098950000000002</v>
      </c>
      <c r="Q107" s="4">
        <f t="shared" si="6"/>
        <v>0.15435450000000001</v>
      </c>
      <c r="R107" s="4">
        <f t="shared" si="6"/>
        <v>0.17885699999999999</v>
      </c>
      <c r="S107" s="4">
        <f t="shared" si="6"/>
        <v>0.18576225000000005</v>
      </c>
    </row>
    <row r="108" spans="9:19" x14ac:dyDescent="0.25">
      <c r="I108">
        <v>24</v>
      </c>
      <c r="J108" s="4">
        <f t="shared" si="6"/>
        <v>0.15212699999999998</v>
      </c>
      <c r="K108" s="4">
        <f t="shared" si="6"/>
        <v>0.11648700000000002</v>
      </c>
      <c r="L108" s="4">
        <f t="shared" si="6"/>
        <v>0.1008945</v>
      </c>
      <c r="M108" s="4">
        <f t="shared" si="6"/>
        <v>8.9757000000000003E-2</v>
      </c>
      <c r="N108" s="4">
        <f t="shared" si="6"/>
        <v>7.1936999999999987E-2</v>
      </c>
      <c r="O108" s="4">
        <f t="shared" si="6"/>
        <v>7.416449999999998E-2</v>
      </c>
      <c r="P108" s="4">
        <f t="shared" si="6"/>
        <v>7.8619499999999995E-2</v>
      </c>
      <c r="Q108" s="4">
        <f t="shared" si="6"/>
        <v>0.10312200000000001</v>
      </c>
      <c r="R108" s="4">
        <f t="shared" si="6"/>
        <v>0.13430700000000001</v>
      </c>
      <c r="S108" s="4">
        <f t="shared" si="6"/>
        <v>0.21516524999999997</v>
      </c>
    </row>
    <row r="109" spans="9:19" x14ac:dyDescent="0.25">
      <c r="I109">
        <v>31</v>
      </c>
      <c r="J109" s="4">
        <f t="shared" si="6"/>
        <v>0.28132200000000002</v>
      </c>
      <c r="K109" s="4">
        <f t="shared" si="6"/>
        <v>0.25236449999999999</v>
      </c>
      <c r="L109" s="4">
        <f t="shared" si="6"/>
        <v>0.24790949999999998</v>
      </c>
      <c r="M109" s="4">
        <f t="shared" si="6"/>
        <v>0.25904699999999997</v>
      </c>
      <c r="N109" s="4">
        <f t="shared" si="6"/>
        <v>0.25681949999999998</v>
      </c>
      <c r="O109" s="4">
        <f t="shared" si="6"/>
        <v>0.21449699999999999</v>
      </c>
      <c r="P109" s="4">
        <f t="shared" si="6"/>
        <v>0.15880949999999999</v>
      </c>
      <c r="Q109" s="4">
        <f t="shared" si="6"/>
        <v>0.14989949999999999</v>
      </c>
      <c r="R109" s="4">
        <f t="shared" si="6"/>
        <v>0.14989949999999999</v>
      </c>
      <c r="S109" s="4">
        <f t="shared" si="6"/>
        <v>0.19066275000000005</v>
      </c>
    </row>
    <row r="110" spans="9:19" x14ac:dyDescent="0.25">
      <c r="I110">
        <v>32</v>
      </c>
      <c r="J110" s="4">
        <f t="shared" si="6"/>
        <v>0.18776700000000002</v>
      </c>
      <c r="K110" s="4">
        <f t="shared" si="6"/>
        <v>0.17662950000000002</v>
      </c>
      <c r="L110" s="4">
        <f t="shared" si="6"/>
        <v>0.14989949999999999</v>
      </c>
      <c r="M110" s="4">
        <f t="shared" si="6"/>
        <v>0.13430700000000001</v>
      </c>
      <c r="N110" s="4">
        <f t="shared" si="6"/>
        <v>0.13430700000000001</v>
      </c>
      <c r="O110" s="4">
        <f t="shared" si="6"/>
        <v>0.12094200000000001</v>
      </c>
      <c r="P110" s="4">
        <f t="shared" si="6"/>
        <v>0.1365345</v>
      </c>
      <c r="Q110" s="4">
        <f t="shared" si="6"/>
        <v>0.18108450000000001</v>
      </c>
      <c r="R110" s="4">
        <f t="shared" si="6"/>
        <v>0.21449699999999999</v>
      </c>
      <c r="S110" s="4">
        <f t="shared" si="6"/>
        <v>0.25436925000000005</v>
      </c>
    </row>
    <row r="111" spans="9:19" x14ac:dyDescent="0.25">
      <c r="I111">
        <v>33</v>
      </c>
      <c r="J111" s="4">
        <f t="shared" si="6"/>
        <v>0.18108450000000001</v>
      </c>
      <c r="K111" s="4">
        <f t="shared" si="6"/>
        <v>0.18776700000000002</v>
      </c>
      <c r="L111" s="4">
        <f t="shared" si="6"/>
        <v>0.23454450000000002</v>
      </c>
      <c r="M111" s="4">
        <f t="shared" si="6"/>
        <v>0.25459199999999998</v>
      </c>
      <c r="N111" s="4">
        <f t="shared" si="6"/>
        <v>0.23454450000000002</v>
      </c>
      <c r="O111" s="4">
        <f t="shared" si="6"/>
        <v>0.22786200000000001</v>
      </c>
      <c r="P111" s="4">
        <f t="shared" si="6"/>
        <v>0.23008950000000003</v>
      </c>
      <c r="Q111" s="4">
        <f t="shared" si="6"/>
        <v>0.21895199999999998</v>
      </c>
      <c r="R111" s="4">
        <f t="shared" si="6"/>
        <v>0.2389995</v>
      </c>
      <c r="S111" s="4">
        <f t="shared" si="6"/>
        <v>0.26417025000000005</v>
      </c>
    </row>
    <row r="112" spans="9:19" x14ac:dyDescent="0.25">
      <c r="I112">
        <v>34</v>
      </c>
      <c r="J112" s="4">
        <f t="shared" si="6"/>
        <v>0.15212699999999998</v>
      </c>
      <c r="K112" s="4">
        <f t="shared" si="6"/>
        <v>0.16326450000000001</v>
      </c>
      <c r="L112" s="4">
        <f t="shared" si="6"/>
        <v>0.2211795</v>
      </c>
      <c r="M112" s="4">
        <f t="shared" si="6"/>
        <v>0.24345450000000002</v>
      </c>
      <c r="N112" s="4">
        <f t="shared" si="6"/>
        <v>0.24790949999999998</v>
      </c>
      <c r="O112" s="4">
        <f t="shared" si="6"/>
        <v>0.24790949999999998</v>
      </c>
      <c r="P112" s="4">
        <f t="shared" si="6"/>
        <v>0.2122695</v>
      </c>
      <c r="Q112" s="4">
        <f t="shared" si="6"/>
        <v>0.1944495</v>
      </c>
      <c r="R112" s="4">
        <f t="shared" si="6"/>
        <v>0.18776700000000002</v>
      </c>
      <c r="S112" s="4">
        <f t="shared" si="6"/>
        <v>0.22006574999999998</v>
      </c>
    </row>
    <row r="113" spans="9:19" x14ac:dyDescent="0.25">
      <c r="I113">
        <v>41</v>
      </c>
      <c r="J113" s="4">
        <f t="shared" si="6"/>
        <v>0.21449699999999999</v>
      </c>
      <c r="K113" s="4">
        <f t="shared" si="6"/>
        <v>0.23008950000000003</v>
      </c>
      <c r="L113" s="4">
        <f t="shared" si="6"/>
        <v>0.28577700000000006</v>
      </c>
      <c r="M113" s="4">
        <f t="shared" si="6"/>
        <v>0.25681949999999998</v>
      </c>
      <c r="N113" s="4">
        <f t="shared" si="6"/>
        <v>0.267957</v>
      </c>
      <c r="O113" s="4">
        <f t="shared" si="6"/>
        <v>0.25459199999999998</v>
      </c>
      <c r="P113" s="4">
        <f t="shared" si="6"/>
        <v>0.18776700000000002</v>
      </c>
      <c r="Q113" s="4">
        <f t="shared" si="6"/>
        <v>0.16103699999999999</v>
      </c>
      <c r="R113" s="4">
        <f t="shared" si="6"/>
        <v>0.174402</v>
      </c>
      <c r="S113" s="4">
        <f t="shared" si="6"/>
        <v>0.21761549999999999</v>
      </c>
    </row>
    <row r="114" spans="9:19" x14ac:dyDescent="0.25">
      <c r="I114">
        <v>42</v>
      </c>
      <c r="J114" s="4">
        <f t="shared" si="6"/>
        <v>0.21449699999999999</v>
      </c>
      <c r="K114" s="4">
        <f t="shared" si="6"/>
        <v>0.21672450000000001</v>
      </c>
      <c r="L114" s="4">
        <f t="shared" si="6"/>
        <v>0.232317</v>
      </c>
      <c r="M114" s="4">
        <f t="shared" si="6"/>
        <v>0.23008950000000003</v>
      </c>
      <c r="N114" s="4">
        <f t="shared" si="6"/>
        <v>0.24568199999999998</v>
      </c>
      <c r="O114" s="4">
        <f t="shared" si="6"/>
        <v>0.18108450000000001</v>
      </c>
      <c r="P114" s="4">
        <f t="shared" si="6"/>
        <v>0.1365345</v>
      </c>
      <c r="Q114" s="4">
        <f t="shared" si="6"/>
        <v>0.15212699999999998</v>
      </c>
      <c r="R114" s="4">
        <f t="shared" si="6"/>
        <v>0.18776700000000002</v>
      </c>
      <c r="S114" s="4">
        <f t="shared" si="6"/>
        <v>0.22986674999999998</v>
      </c>
    </row>
    <row r="115" spans="9:19" x14ac:dyDescent="0.25">
      <c r="I115">
        <v>43</v>
      </c>
      <c r="J115" s="4">
        <f t="shared" si="6"/>
        <v>0.23008950000000003</v>
      </c>
      <c r="K115" s="4">
        <f t="shared" si="6"/>
        <v>0.22563449999999999</v>
      </c>
      <c r="L115" s="4">
        <f t="shared" si="6"/>
        <v>0.24345450000000002</v>
      </c>
      <c r="M115" s="4">
        <f t="shared" si="6"/>
        <v>0.20335949999999997</v>
      </c>
      <c r="N115" s="4">
        <f t="shared" si="6"/>
        <v>0.20558699999999999</v>
      </c>
      <c r="O115" s="4">
        <f t="shared" si="6"/>
        <v>0.19667699999999996</v>
      </c>
      <c r="P115" s="4">
        <f t="shared" si="6"/>
        <v>0.1855395</v>
      </c>
      <c r="Q115" s="4">
        <f t="shared" si="6"/>
        <v>0.1454445</v>
      </c>
      <c r="R115" s="4">
        <f t="shared" si="6"/>
        <v>0.1454445</v>
      </c>
      <c r="S115" s="4">
        <f t="shared" si="6"/>
        <v>0.20781450000000004</v>
      </c>
    </row>
    <row r="116" spans="9:19" x14ac:dyDescent="0.25">
      <c r="I116">
        <v>44</v>
      </c>
      <c r="J116" s="4">
        <f t="shared" ref="J116:S116" si="7">IF(J88&lt;0,"",J88/100)</f>
        <v>0.165492</v>
      </c>
      <c r="K116" s="4">
        <f t="shared" si="7"/>
        <v>0.18331200000000003</v>
      </c>
      <c r="L116" s="4">
        <f t="shared" si="7"/>
        <v>0.26127450000000002</v>
      </c>
      <c r="M116" s="4">
        <f t="shared" si="7"/>
        <v>0.25013699999999994</v>
      </c>
      <c r="N116" s="4">
        <f t="shared" si="7"/>
        <v>0.25904699999999997</v>
      </c>
      <c r="O116" s="4">
        <f t="shared" si="7"/>
        <v>0.2389995</v>
      </c>
      <c r="P116" s="4">
        <f t="shared" si="7"/>
        <v>0.23008950000000003</v>
      </c>
      <c r="Q116" s="4">
        <f t="shared" si="7"/>
        <v>0.165492</v>
      </c>
      <c r="R116" s="4">
        <f t="shared" si="7"/>
        <v>0.1276245</v>
      </c>
      <c r="S116" s="4">
        <f t="shared" si="7"/>
        <v>0.15635925000000001</v>
      </c>
    </row>
    <row r="117" spans="9:19" x14ac:dyDescent="0.25">
      <c r="I117">
        <v>51</v>
      </c>
      <c r="J117" s="4">
        <f t="shared" ref="J117:S123" si="8">IF(J89&lt;0,"",J89/100)</f>
        <v>0.27018449999999999</v>
      </c>
      <c r="K117" s="4">
        <f t="shared" si="8"/>
        <v>0.267957</v>
      </c>
      <c r="L117" s="4">
        <f t="shared" si="8"/>
        <v>0.27241199999999993</v>
      </c>
      <c r="M117" s="4">
        <f t="shared" si="8"/>
        <v>0.27018449999999999</v>
      </c>
      <c r="N117" s="4">
        <f t="shared" si="8"/>
        <v>0.25013699999999994</v>
      </c>
      <c r="O117" s="4">
        <f t="shared" si="8"/>
        <v>0.23677200000000004</v>
      </c>
      <c r="P117" s="4">
        <f t="shared" si="8"/>
        <v>0.22786200000000001</v>
      </c>
      <c r="Q117" s="4">
        <f t="shared" si="8"/>
        <v>0.22563449999999999</v>
      </c>
      <c r="R117" s="4">
        <f t="shared" si="8"/>
        <v>0.2389995</v>
      </c>
      <c r="S117" s="4">
        <f t="shared" si="8"/>
        <v>0.26172000000000001</v>
      </c>
    </row>
    <row r="118" spans="9:19" x14ac:dyDescent="0.25">
      <c r="I118">
        <v>52</v>
      </c>
      <c r="J118" s="4">
        <f t="shared" si="8"/>
        <v>0.25681949999999998</v>
      </c>
      <c r="K118" s="4">
        <f t="shared" si="8"/>
        <v>0.23454450000000002</v>
      </c>
      <c r="L118" s="4">
        <f t="shared" si="8"/>
        <v>0.267957</v>
      </c>
      <c r="M118" s="4">
        <f t="shared" si="8"/>
        <v>0.29023199999999999</v>
      </c>
      <c r="N118" s="4">
        <f t="shared" si="8"/>
        <v>0.29914200000000002</v>
      </c>
      <c r="O118" s="4">
        <f t="shared" si="8"/>
        <v>0.28132200000000002</v>
      </c>
      <c r="P118" s="4">
        <f t="shared" si="8"/>
        <v>0.27686699999999997</v>
      </c>
      <c r="Q118" s="4">
        <f t="shared" si="8"/>
        <v>0.2211795</v>
      </c>
      <c r="R118" s="4">
        <f t="shared" si="8"/>
        <v>0.22563449999999999</v>
      </c>
      <c r="S118" s="4">
        <f t="shared" si="8"/>
        <v>0.26417025000000005</v>
      </c>
    </row>
    <row r="119" spans="9:19" x14ac:dyDescent="0.25">
      <c r="I119">
        <v>53</v>
      </c>
      <c r="J119" s="4">
        <f t="shared" si="8"/>
        <v>0.24790949999999998</v>
      </c>
      <c r="K119" s="4">
        <f t="shared" si="8"/>
        <v>0.23677200000000004</v>
      </c>
      <c r="L119" s="4">
        <f t="shared" si="8"/>
        <v>0.26127450000000002</v>
      </c>
      <c r="M119" s="4">
        <f t="shared" si="8"/>
        <v>0.27463949999999998</v>
      </c>
      <c r="N119" s="4">
        <f t="shared" si="8"/>
        <v>0.26127450000000002</v>
      </c>
      <c r="O119" s="4">
        <f t="shared" si="8"/>
        <v>0.24345450000000002</v>
      </c>
      <c r="P119" s="4">
        <f t="shared" si="8"/>
        <v>0.21004199999999998</v>
      </c>
      <c r="Q119" s="4">
        <f t="shared" si="8"/>
        <v>0.13430700000000001</v>
      </c>
      <c r="R119" s="4">
        <f t="shared" si="8"/>
        <v>0.13207950000000002</v>
      </c>
      <c r="S119" s="4">
        <f t="shared" si="8"/>
        <v>0.18576225000000005</v>
      </c>
    </row>
    <row r="120" spans="9:19" x14ac:dyDescent="0.25">
      <c r="I120">
        <v>54</v>
      </c>
      <c r="J120" s="4">
        <f t="shared" si="8"/>
        <v>0.24122700000000002</v>
      </c>
      <c r="K120" s="4">
        <f t="shared" si="8"/>
        <v>0.23454450000000002</v>
      </c>
      <c r="L120" s="4">
        <f t="shared" si="8"/>
        <v>0.22786200000000001</v>
      </c>
      <c r="M120" s="4">
        <f t="shared" si="8"/>
        <v>0.26350199999999996</v>
      </c>
      <c r="N120" s="4">
        <f t="shared" si="8"/>
        <v>0.26350199999999996</v>
      </c>
      <c r="O120" s="4">
        <f t="shared" si="8"/>
        <v>0.23454450000000002</v>
      </c>
      <c r="P120" s="4">
        <f t="shared" si="8"/>
        <v>0.19222199999999998</v>
      </c>
      <c r="Q120" s="4">
        <f t="shared" si="8"/>
        <v>0.18331200000000003</v>
      </c>
      <c r="R120" s="4">
        <f t="shared" si="8"/>
        <v>0.16326450000000001</v>
      </c>
      <c r="S120" s="4">
        <f t="shared" si="8"/>
        <v>0.21516524999999997</v>
      </c>
    </row>
    <row r="121" spans="9:19" x14ac:dyDescent="0.25">
      <c r="I121">
        <v>61</v>
      </c>
      <c r="J121" s="4">
        <f t="shared" si="8"/>
        <v>0.20558699999999999</v>
      </c>
      <c r="K121" s="4">
        <f t="shared" si="8"/>
        <v>0.16771949999999999</v>
      </c>
      <c r="L121" s="4">
        <f t="shared" si="8"/>
        <v>0.17885699999999999</v>
      </c>
      <c r="M121" s="4">
        <f t="shared" si="8"/>
        <v>0.21449699999999999</v>
      </c>
      <c r="N121" s="4">
        <f t="shared" si="8"/>
        <v>0.232317</v>
      </c>
      <c r="O121" s="4">
        <f t="shared" si="8"/>
        <v>0.18776700000000002</v>
      </c>
      <c r="P121" s="4">
        <f t="shared" si="8"/>
        <v>0.174402</v>
      </c>
      <c r="Q121" s="4">
        <f t="shared" si="8"/>
        <v>0.165492</v>
      </c>
      <c r="R121" s="4">
        <f t="shared" si="8"/>
        <v>0.17662950000000002</v>
      </c>
      <c r="S121" s="4">
        <f t="shared" si="8"/>
        <v>0.21516524999999997</v>
      </c>
    </row>
    <row r="122" spans="9:19" x14ac:dyDescent="0.25">
      <c r="I122">
        <v>62</v>
      </c>
      <c r="J122" s="4">
        <f t="shared" si="8"/>
        <v>0.2211795</v>
      </c>
      <c r="K122" s="4">
        <f t="shared" si="8"/>
        <v>0.24122700000000002</v>
      </c>
      <c r="L122" s="4">
        <f t="shared" si="8"/>
        <v>0.25236449999999999</v>
      </c>
      <c r="M122" s="4">
        <f t="shared" si="8"/>
        <v>0.19222199999999998</v>
      </c>
      <c r="N122" s="4">
        <f t="shared" si="8"/>
        <v>0.174402</v>
      </c>
      <c r="O122" s="4">
        <f t="shared" si="8"/>
        <v>0.16771949999999999</v>
      </c>
      <c r="P122" s="4">
        <f t="shared" si="8"/>
        <v>0.138762</v>
      </c>
      <c r="Q122" s="4">
        <f t="shared" si="8"/>
        <v>0.15880949999999999</v>
      </c>
      <c r="R122" s="4">
        <f t="shared" si="8"/>
        <v>0.21672450000000001</v>
      </c>
      <c r="S122" s="4">
        <f t="shared" si="8"/>
        <v>0.23966774999999998</v>
      </c>
    </row>
    <row r="123" spans="9:19" x14ac:dyDescent="0.25">
      <c r="I123">
        <v>63</v>
      </c>
      <c r="J123" s="4">
        <f t="shared" si="8"/>
        <v>0.26572949999999995</v>
      </c>
      <c r="K123" s="4">
        <f t="shared" si="8"/>
        <v>0.23677200000000004</v>
      </c>
      <c r="L123" s="4">
        <f t="shared" si="8"/>
        <v>0.22786200000000001</v>
      </c>
      <c r="M123" s="4">
        <f t="shared" si="8"/>
        <v>0.2122695</v>
      </c>
      <c r="N123" s="4">
        <f t="shared" si="8"/>
        <v>0.2122695</v>
      </c>
      <c r="O123" s="4">
        <f t="shared" si="8"/>
        <v>0.22340700000000002</v>
      </c>
      <c r="P123" s="4">
        <f t="shared" si="8"/>
        <v>0.18331200000000003</v>
      </c>
      <c r="Q123" s="4">
        <f t="shared" si="8"/>
        <v>0.138762</v>
      </c>
      <c r="R123" s="4">
        <f t="shared" si="8"/>
        <v>0.165492</v>
      </c>
      <c r="S123" s="4">
        <f t="shared" si="8"/>
        <v>0.23476724999999998</v>
      </c>
    </row>
    <row r="124" spans="9:19" x14ac:dyDescent="0.25">
      <c r="I124">
        <v>64</v>
      </c>
      <c r="J124" s="4">
        <f t="shared" ref="J124:S124" si="9">IF(J96&lt;0,"",J96/100)</f>
        <v>0.27018449999999999</v>
      </c>
      <c r="K124" s="4">
        <f t="shared" si="9"/>
        <v>0.24790949999999998</v>
      </c>
      <c r="L124" s="4">
        <f t="shared" si="9"/>
        <v>0.21004199999999998</v>
      </c>
      <c r="M124" s="4">
        <f t="shared" si="9"/>
        <v>0.22786200000000001</v>
      </c>
      <c r="N124" s="4">
        <f t="shared" si="9"/>
        <v>0.25013699999999994</v>
      </c>
      <c r="O124" s="4">
        <f t="shared" si="9"/>
        <v>0.22786200000000001</v>
      </c>
      <c r="P124" s="4">
        <f t="shared" si="9"/>
        <v>0.18776700000000002</v>
      </c>
      <c r="Q124" s="4">
        <f t="shared" si="9"/>
        <v>0.12316949999999999</v>
      </c>
      <c r="R124" s="4">
        <f t="shared" si="9"/>
        <v>0.12539700000000001</v>
      </c>
      <c r="S124" s="4">
        <f t="shared" si="9"/>
        <v>0.20291400000000004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C875-6442-437A-AEFE-9851BDBA4758}">
  <dimension ref="A1:T124"/>
  <sheetViews>
    <sheetView topLeftCell="D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10208</v>
      </c>
      <c r="F1">
        <v>0</v>
      </c>
      <c r="G1">
        <v>10</v>
      </c>
      <c r="H1">
        <v>1825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8</v>
      </c>
      <c r="G18">
        <v>17</v>
      </c>
      <c r="H18">
        <v>6</v>
      </c>
      <c r="I18">
        <v>52</v>
      </c>
      <c r="J18">
        <v>1.04</v>
      </c>
      <c r="K18">
        <v>1.1000000000000001</v>
      </c>
      <c r="L18">
        <v>1.24</v>
      </c>
      <c r="M18">
        <v>1.44</v>
      </c>
      <c r="N18">
        <v>1.34</v>
      </c>
      <c r="O18">
        <v>1.42</v>
      </c>
      <c r="P18">
        <v>1.48</v>
      </c>
      <c r="Q18">
        <v>1.42</v>
      </c>
      <c r="R18">
        <v>1.39</v>
      </c>
      <c r="S18">
        <v>1.37</v>
      </c>
      <c r="T18">
        <v>3736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8</v>
      </c>
      <c r="G19">
        <v>17</v>
      </c>
      <c r="H19">
        <v>6</v>
      </c>
      <c r="I19">
        <v>56</v>
      </c>
      <c r="J19">
        <v>1.3</v>
      </c>
      <c r="K19">
        <v>1.31</v>
      </c>
      <c r="L19">
        <v>1.17</v>
      </c>
      <c r="M19">
        <v>1.07</v>
      </c>
      <c r="N19">
        <v>0.95</v>
      </c>
      <c r="O19">
        <v>0.94</v>
      </c>
      <c r="P19">
        <v>0.9</v>
      </c>
      <c r="Q19">
        <v>1.1200000000000001</v>
      </c>
      <c r="R19">
        <v>1.07</v>
      </c>
      <c r="S19">
        <v>1.06</v>
      </c>
      <c r="T19">
        <v>3738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8</v>
      </c>
      <c r="G20">
        <v>17</v>
      </c>
      <c r="H20">
        <v>7</v>
      </c>
      <c r="I20">
        <v>0</v>
      </c>
      <c r="J20">
        <v>1.23</v>
      </c>
      <c r="K20">
        <v>1.1599999999999999</v>
      </c>
      <c r="L20">
        <v>1.24</v>
      </c>
      <c r="M20">
        <v>1.32</v>
      </c>
      <c r="N20">
        <v>1.34</v>
      </c>
      <c r="O20">
        <v>1.1100000000000001</v>
      </c>
      <c r="P20">
        <v>0.99</v>
      </c>
      <c r="Q20">
        <v>1.01</v>
      </c>
      <c r="R20">
        <v>1.06</v>
      </c>
      <c r="S20">
        <v>1.07</v>
      </c>
      <c r="T20">
        <v>3719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8</v>
      </c>
      <c r="G21">
        <v>17</v>
      </c>
      <c r="H21">
        <v>7</v>
      </c>
      <c r="I21">
        <v>5</v>
      </c>
      <c r="J21">
        <v>1.43</v>
      </c>
      <c r="K21">
        <v>1.4</v>
      </c>
      <c r="L21">
        <v>1.43</v>
      </c>
      <c r="M21">
        <v>1.39</v>
      </c>
      <c r="N21">
        <v>1.21</v>
      </c>
      <c r="O21">
        <v>1.1100000000000001</v>
      </c>
      <c r="P21">
        <v>1.25</v>
      </c>
      <c r="Q21">
        <v>1.37</v>
      </c>
      <c r="R21">
        <v>1.28</v>
      </c>
      <c r="S21">
        <v>1.29</v>
      </c>
      <c r="T21">
        <v>3733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8</v>
      </c>
      <c r="G22">
        <v>17</v>
      </c>
      <c r="H22">
        <v>7</v>
      </c>
      <c r="I22">
        <v>10</v>
      </c>
      <c r="J22">
        <v>0.94</v>
      </c>
      <c r="K22">
        <v>0.79</v>
      </c>
      <c r="L22">
        <v>0.73</v>
      </c>
      <c r="M22">
        <v>0.67</v>
      </c>
      <c r="N22">
        <v>0.6</v>
      </c>
      <c r="O22">
        <v>0.61</v>
      </c>
      <c r="P22">
        <v>0.63</v>
      </c>
      <c r="Q22">
        <v>0.74</v>
      </c>
      <c r="R22">
        <v>0.89</v>
      </c>
      <c r="S22">
        <v>1.1000000000000001</v>
      </c>
      <c r="T22">
        <v>3749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8</v>
      </c>
      <c r="G23">
        <v>17</v>
      </c>
      <c r="H23">
        <v>7</v>
      </c>
      <c r="I23">
        <v>14</v>
      </c>
      <c r="J23">
        <v>1.3</v>
      </c>
      <c r="K23">
        <v>1.29</v>
      </c>
      <c r="L23">
        <v>1.45</v>
      </c>
      <c r="M23">
        <v>1.48</v>
      </c>
      <c r="N23">
        <v>1.3</v>
      </c>
      <c r="O23">
        <v>0.96</v>
      </c>
      <c r="P23">
        <v>0.91</v>
      </c>
      <c r="Q23">
        <v>0.98</v>
      </c>
      <c r="R23">
        <v>1.07</v>
      </c>
      <c r="S23">
        <v>1.01</v>
      </c>
      <c r="T23">
        <v>3750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8</v>
      </c>
      <c r="G24">
        <v>17</v>
      </c>
      <c r="H24">
        <v>7</v>
      </c>
      <c r="I24">
        <v>11</v>
      </c>
      <c r="J24">
        <v>1.4</v>
      </c>
      <c r="K24">
        <v>1.33</v>
      </c>
      <c r="L24">
        <v>1.33</v>
      </c>
      <c r="M24">
        <v>1.34</v>
      </c>
      <c r="N24">
        <v>1.27</v>
      </c>
      <c r="O24">
        <v>1.08</v>
      </c>
      <c r="P24">
        <v>0.95</v>
      </c>
      <c r="Q24">
        <v>1.0900000000000001</v>
      </c>
      <c r="R24">
        <v>1.17</v>
      </c>
      <c r="S24">
        <v>1.25</v>
      </c>
      <c r="T24">
        <v>3745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8</v>
      </c>
      <c r="G25">
        <v>17</v>
      </c>
      <c r="H25">
        <v>7</v>
      </c>
      <c r="I25">
        <v>22</v>
      </c>
      <c r="J25">
        <v>1.48</v>
      </c>
      <c r="K25">
        <v>1.32</v>
      </c>
      <c r="L25">
        <v>1.35</v>
      </c>
      <c r="M25">
        <v>1.33</v>
      </c>
      <c r="N25">
        <v>1.3</v>
      </c>
      <c r="O25">
        <v>1.23</v>
      </c>
      <c r="P25">
        <v>1.08</v>
      </c>
      <c r="Q25">
        <v>1.25</v>
      </c>
      <c r="R25">
        <v>1.25</v>
      </c>
      <c r="S25">
        <v>1.23</v>
      </c>
      <c r="T25">
        <v>3733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8</v>
      </c>
      <c r="G26">
        <v>17</v>
      </c>
      <c r="H26">
        <v>7</v>
      </c>
      <c r="I26">
        <v>27</v>
      </c>
      <c r="J26">
        <v>1.61</v>
      </c>
      <c r="K26">
        <v>1.41</v>
      </c>
      <c r="L26">
        <v>1.41</v>
      </c>
      <c r="M26">
        <v>1.47</v>
      </c>
      <c r="N26">
        <v>1.45</v>
      </c>
      <c r="O26">
        <v>1.25</v>
      </c>
      <c r="P26">
        <v>1</v>
      </c>
      <c r="Q26">
        <v>0.95</v>
      </c>
      <c r="R26">
        <v>0.96</v>
      </c>
      <c r="S26">
        <v>0.99</v>
      </c>
      <c r="T26">
        <v>3759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8</v>
      </c>
      <c r="G27">
        <v>17</v>
      </c>
      <c r="H27">
        <v>7</v>
      </c>
      <c r="I27">
        <v>32</v>
      </c>
      <c r="J27">
        <v>1.1299999999999999</v>
      </c>
      <c r="K27">
        <v>1.07</v>
      </c>
      <c r="L27">
        <v>0.95</v>
      </c>
      <c r="M27">
        <v>0.93</v>
      </c>
      <c r="N27">
        <v>0.87</v>
      </c>
      <c r="O27">
        <v>0.88</v>
      </c>
      <c r="P27">
        <v>0.89</v>
      </c>
      <c r="Q27">
        <v>1.1100000000000001</v>
      </c>
      <c r="R27">
        <v>1.25</v>
      </c>
      <c r="S27">
        <v>1.28</v>
      </c>
      <c r="T27">
        <v>3765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8</v>
      </c>
      <c r="G28">
        <v>17</v>
      </c>
      <c r="H28">
        <v>7</v>
      </c>
      <c r="I28">
        <v>36</v>
      </c>
      <c r="J28">
        <v>1.1599999999999999</v>
      </c>
      <c r="K28">
        <v>1.1499999999999999</v>
      </c>
      <c r="L28">
        <v>1.35</v>
      </c>
      <c r="M28">
        <v>1.46</v>
      </c>
      <c r="N28">
        <v>1.37</v>
      </c>
      <c r="O28">
        <v>1.33</v>
      </c>
      <c r="P28">
        <v>1.38</v>
      </c>
      <c r="Q28">
        <v>1.29</v>
      </c>
      <c r="R28">
        <v>1.33</v>
      </c>
      <c r="S28">
        <v>1.32</v>
      </c>
      <c r="T28">
        <v>3749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8</v>
      </c>
      <c r="G29">
        <v>17</v>
      </c>
      <c r="H29">
        <v>7</v>
      </c>
      <c r="I29">
        <v>40</v>
      </c>
      <c r="J29">
        <v>0.93</v>
      </c>
      <c r="K29">
        <v>0.98</v>
      </c>
      <c r="L29">
        <v>1.23</v>
      </c>
      <c r="M29">
        <v>1.37</v>
      </c>
      <c r="N29">
        <v>1.4</v>
      </c>
      <c r="O29">
        <v>1.38</v>
      </c>
      <c r="P29">
        <v>1.24</v>
      </c>
      <c r="Q29">
        <v>1.1499999999999999</v>
      </c>
      <c r="R29">
        <v>1.08</v>
      </c>
      <c r="S29">
        <v>1.1000000000000001</v>
      </c>
      <c r="T29">
        <v>3741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8</v>
      </c>
      <c r="G30">
        <v>17</v>
      </c>
      <c r="H30">
        <v>7</v>
      </c>
      <c r="I30">
        <v>44</v>
      </c>
      <c r="J30">
        <v>1.02</v>
      </c>
      <c r="K30">
        <v>1.1200000000000001</v>
      </c>
      <c r="L30">
        <v>1.45</v>
      </c>
      <c r="M30">
        <v>1.4</v>
      </c>
      <c r="N30">
        <v>1.45</v>
      </c>
      <c r="O30">
        <v>1.36</v>
      </c>
      <c r="P30">
        <v>1.29</v>
      </c>
      <c r="Q30">
        <v>1.02</v>
      </c>
      <c r="R30">
        <v>0.86</v>
      </c>
      <c r="S30">
        <v>0.88</v>
      </c>
      <c r="T30">
        <v>3743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8</v>
      </c>
      <c r="G31">
        <v>17</v>
      </c>
      <c r="H31">
        <v>7</v>
      </c>
      <c r="I31">
        <v>40</v>
      </c>
      <c r="J31">
        <v>1.29</v>
      </c>
      <c r="K31">
        <v>1.3</v>
      </c>
      <c r="L31">
        <v>1.39</v>
      </c>
      <c r="M31">
        <v>1.17</v>
      </c>
      <c r="N31">
        <v>1.21</v>
      </c>
      <c r="O31">
        <v>1.1499999999999999</v>
      </c>
      <c r="P31">
        <v>1.1399999999999999</v>
      </c>
      <c r="Q31">
        <v>0.96</v>
      </c>
      <c r="R31">
        <v>0.96</v>
      </c>
      <c r="S31">
        <v>1.1000000000000001</v>
      </c>
      <c r="T31">
        <v>3736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8</v>
      </c>
      <c r="G32">
        <v>17</v>
      </c>
      <c r="H32">
        <v>7</v>
      </c>
      <c r="I32">
        <v>52</v>
      </c>
      <c r="J32">
        <v>1.22</v>
      </c>
      <c r="K32">
        <v>1.22</v>
      </c>
      <c r="L32">
        <v>1.33</v>
      </c>
      <c r="M32">
        <v>1.33</v>
      </c>
      <c r="N32">
        <v>1.35</v>
      </c>
      <c r="O32">
        <v>1.1100000000000001</v>
      </c>
      <c r="P32">
        <v>0.93</v>
      </c>
      <c r="Q32">
        <v>0.98</v>
      </c>
      <c r="R32">
        <v>1.1200000000000001</v>
      </c>
      <c r="S32">
        <v>1.19</v>
      </c>
      <c r="T32">
        <v>3729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8</v>
      </c>
      <c r="G33">
        <v>17</v>
      </c>
      <c r="H33">
        <v>7</v>
      </c>
      <c r="I33">
        <v>56</v>
      </c>
      <c r="J33">
        <v>1.22</v>
      </c>
      <c r="K33">
        <v>1.33</v>
      </c>
      <c r="L33">
        <v>1.57</v>
      </c>
      <c r="M33">
        <v>1.45</v>
      </c>
      <c r="N33">
        <v>1.46</v>
      </c>
      <c r="O33">
        <v>1.42</v>
      </c>
      <c r="P33">
        <v>1.0900000000000001</v>
      </c>
      <c r="Q33">
        <v>1</v>
      </c>
      <c r="R33">
        <v>1.07</v>
      </c>
      <c r="S33">
        <v>1.1499999999999999</v>
      </c>
      <c r="T33">
        <v>3690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8</v>
      </c>
      <c r="G34">
        <v>17</v>
      </c>
      <c r="H34">
        <v>8</v>
      </c>
      <c r="I34">
        <v>0</v>
      </c>
      <c r="J34">
        <v>1.52</v>
      </c>
      <c r="K34">
        <v>1.52</v>
      </c>
      <c r="L34">
        <v>1.47</v>
      </c>
      <c r="M34">
        <v>1.51</v>
      </c>
      <c r="N34">
        <v>1.45</v>
      </c>
      <c r="O34">
        <v>1.39</v>
      </c>
      <c r="P34">
        <v>1.3</v>
      </c>
      <c r="Q34">
        <v>1.3</v>
      </c>
      <c r="R34">
        <v>1.35</v>
      </c>
      <c r="S34">
        <v>1.32</v>
      </c>
      <c r="T34">
        <v>3690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8</v>
      </c>
      <c r="G35">
        <v>17</v>
      </c>
      <c r="H35">
        <v>8</v>
      </c>
      <c r="I35">
        <v>0</v>
      </c>
      <c r="J35">
        <v>1.38</v>
      </c>
      <c r="K35">
        <v>1.35</v>
      </c>
      <c r="L35">
        <v>1.54</v>
      </c>
      <c r="M35">
        <v>1.58</v>
      </c>
      <c r="N35">
        <v>1.63</v>
      </c>
      <c r="O35">
        <v>1.56</v>
      </c>
      <c r="P35">
        <v>1.5</v>
      </c>
      <c r="Q35">
        <v>1.28</v>
      </c>
      <c r="R35">
        <v>1.29</v>
      </c>
      <c r="S35">
        <v>1.3</v>
      </c>
      <c r="T35">
        <v>3708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8</v>
      </c>
      <c r="G36">
        <v>17</v>
      </c>
      <c r="H36">
        <v>8</v>
      </c>
      <c r="I36">
        <v>12</v>
      </c>
      <c r="J36">
        <v>1.4</v>
      </c>
      <c r="K36">
        <v>1.34</v>
      </c>
      <c r="L36">
        <v>1.46</v>
      </c>
      <c r="M36">
        <v>1.52</v>
      </c>
      <c r="N36">
        <v>1.48</v>
      </c>
      <c r="O36">
        <v>1.39</v>
      </c>
      <c r="P36">
        <v>1.17</v>
      </c>
      <c r="Q36">
        <v>0.9</v>
      </c>
      <c r="R36">
        <v>0.88</v>
      </c>
      <c r="S36">
        <v>0.98</v>
      </c>
      <c r="T36">
        <v>3719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8</v>
      </c>
      <c r="G37">
        <v>17</v>
      </c>
      <c r="H37">
        <v>8</v>
      </c>
      <c r="I37">
        <v>15</v>
      </c>
      <c r="J37">
        <v>1.33</v>
      </c>
      <c r="K37">
        <v>1.3</v>
      </c>
      <c r="L37">
        <v>1.3</v>
      </c>
      <c r="M37">
        <v>1.42</v>
      </c>
      <c r="N37">
        <v>1.43</v>
      </c>
      <c r="O37">
        <v>1.32</v>
      </c>
      <c r="P37">
        <v>1.1200000000000001</v>
      </c>
      <c r="Q37">
        <v>1.03</v>
      </c>
      <c r="R37">
        <v>0.91</v>
      </c>
      <c r="S37">
        <v>1.08</v>
      </c>
      <c r="T37">
        <v>3675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8</v>
      </c>
      <c r="G38">
        <v>17</v>
      </c>
      <c r="H38">
        <v>8</v>
      </c>
      <c r="I38">
        <v>20</v>
      </c>
      <c r="J38">
        <v>1.49</v>
      </c>
      <c r="K38">
        <v>1.4</v>
      </c>
      <c r="L38">
        <v>1.23</v>
      </c>
      <c r="M38">
        <v>1.33</v>
      </c>
      <c r="N38">
        <v>1.39</v>
      </c>
      <c r="O38">
        <v>1.3</v>
      </c>
      <c r="P38">
        <v>1.1200000000000001</v>
      </c>
      <c r="Q38">
        <v>0.83</v>
      </c>
      <c r="R38">
        <v>0.84</v>
      </c>
      <c r="S38">
        <v>1.07</v>
      </c>
      <c r="T38">
        <v>3691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8</v>
      </c>
      <c r="G39">
        <v>17</v>
      </c>
      <c r="H39">
        <v>8</v>
      </c>
      <c r="I39">
        <v>23</v>
      </c>
      <c r="J39">
        <v>1.45</v>
      </c>
      <c r="K39">
        <v>1.36</v>
      </c>
      <c r="L39">
        <v>1.27</v>
      </c>
      <c r="M39">
        <v>1.19</v>
      </c>
      <c r="N39">
        <v>1.26</v>
      </c>
      <c r="O39">
        <v>1.29</v>
      </c>
      <c r="P39">
        <v>1.04</v>
      </c>
      <c r="Q39">
        <v>0.91</v>
      </c>
      <c r="R39">
        <v>1.03</v>
      </c>
      <c r="S39">
        <v>1.17</v>
      </c>
      <c r="T39">
        <v>3697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8</v>
      </c>
      <c r="G40">
        <v>17</v>
      </c>
      <c r="H40">
        <v>8</v>
      </c>
      <c r="I40">
        <v>27</v>
      </c>
      <c r="J40">
        <v>1.29</v>
      </c>
      <c r="K40">
        <v>1.32</v>
      </c>
      <c r="L40">
        <v>1.41</v>
      </c>
      <c r="M40">
        <v>1.1499999999999999</v>
      </c>
      <c r="N40">
        <v>1.02</v>
      </c>
      <c r="O40">
        <v>1.02</v>
      </c>
      <c r="P40">
        <v>0.9</v>
      </c>
      <c r="Q40">
        <v>0.98</v>
      </c>
      <c r="R40">
        <v>1.18</v>
      </c>
      <c r="S40">
        <v>1.2</v>
      </c>
      <c r="T40">
        <v>3684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8</v>
      </c>
      <c r="G41">
        <v>17</v>
      </c>
      <c r="H41">
        <v>8</v>
      </c>
      <c r="I41">
        <v>31</v>
      </c>
      <c r="J41">
        <v>1.21</v>
      </c>
      <c r="K41">
        <v>1.04</v>
      </c>
      <c r="L41">
        <v>1.06</v>
      </c>
      <c r="M41">
        <v>1.24</v>
      </c>
      <c r="N41">
        <v>1.3</v>
      </c>
      <c r="O41">
        <v>1.06</v>
      </c>
      <c r="P41">
        <v>1.04</v>
      </c>
      <c r="Q41">
        <v>1</v>
      </c>
      <c r="R41">
        <v>1.07</v>
      </c>
      <c r="S41">
        <v>1.07</v>
      </c>
      <c r="T41">
        <v>3656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8</v>
      </c>
      <c r="G45">
        <v>17</v>
      </c>
      <c r="H45">
        <v>6</v>
      </c>
      <c r="I45">
        <v>52</v>
      </c>
      <c r="J45">
        <v>1.04</v>
      </c>
      <c r="K45">
        <v>1.1000000000000001</v>
      </c>
      <c r="L45">
        <v>1.24</v>
      </c>
      <c r="M45">
        <v>1.44</v>
      </c>
      <c r="N45">
        <v>1.34</v>
      </c>
      <c r="O45">
        <v>1.42</v>
      </c>
      <c r="P45">
        <v>1.48</v>
      </c>
      <c r="Q45">
        <v>1.42</v>
      </c>
      <c r="R45">
        <v>1.39</v>
      </c>
      <c r="S45">
        <v>1.37</v>
      </c>
      <c r="T45">
        <v>3736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8</v>
      </c>
      <c r="G46">
        <v>17</v>
      </c>
      <c r="H46">
        <v>6</v>
      </c>
      <c r="I46">
        <v>56</v>
      </c>
      <c r="J46">
        <v>1.3</v>
      </c>
      <c r="K46">
        <v>1.31</v>
      </c>
      <c r="L46">
        <v>1.17</v>
      </c>
      <c r="M46">
        <v>1.07</v>
      </c>
      <c r="N46">
        <v>0.95</v>
      </c>
      <c r="O46">
        <v>0.94</v>
      </c>
      <c r="P46">
        <v>0.9</v>
      </c>
      <c r="Q46">
        <v>1.1200000000000001</v>
      </c>
      <c r="R46">
        <v>1.07</v>
      </c>
      <c r="S46">
        <v>1.06</v>
      </c>
      <c r="T46">
        <v>3738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8</v>
      </c>
      <c r="G47">
        <v>17</v>
      </c>
      <c r="H47">
        <v>7</v>
      </c>
      <c r="I47">
        <v>0</v>
      </c>
      <c r="J47">
        <v>1.23</v>
      </c>
      <c r="K47">
        <v>1.1599999999999999</v>
      </c>
      <c r="L47">
        <v>1.24</v>
      </c>
      <c r="M47">
        <v>1.32</v>
      </c>
      <c r="N47">
        <v>1.34</v>
      </c>
      <c r="O47">
        <v>1.1100000000000001</v>
      </c>
      <c r="P47">
        <v>0.99</v>
      </c>
      <c r="Q47">
        <v>1.01</v>
      </c>
      <c r="R47">
        <v>1.06</v>
      </c>
      <c r="S47">
        <v>1.07</v>
      </c>
      <c r="T47">
        <v>3719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8</v>
      </c>
      <c r="G48">
        <v>17</v>
      </c>
      <c r="H48">
        <v>7</v>
      </c>
      <c r="I48">
        <v>5</v>
      </c>
      <c r="J48">
        <v>1.43</v>
      </c>
      <c r="K48">
        <v>1.4</v>
      </c>
      <c r="L48">
        <v>1.43</v>
      </c>
      <c r="M48">
        <v>1.39</v>
      </c>
      <c r="N48">
        <v>1.21</v>
      </c>
      <c r="O48">
        <v>1.1100000000000001</v>
      </c>
      <c r="P48">
        <v>1.25</v>
      </c>
      <c r="Q48">
        <v>1.37</v>
      </c>
      <c r="R48">
        <v>1.28</v>
      </c>
      <c r="S48">
        <v>1.29</v>
      </c>
      <c r="T48">
        <v>3733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8</v>
      </c>
      <c r="G49">
        <v>17</v>
      </c>
      <c r="H49">
        <v>7</v>
      </c>
      <c r="I49">
        <v>22</v>
      </c>
      <c r="J49">
        <v>1.48</v>
      </c>
      <c r="K49">
        <v>1.32</v>
      </c>
      <c r="L49">
        <v>1.35</v>
      </c>
      <c r="M49">
        <v>1.33</v>
      </c>
      <c r="N49">
        <v>1.3</v>
      </c>
      <c r="O49">
        <v>1.23</v>
      </c>
      <c r="P49">
        <v>1.08</v>
      </c>
      <c r="Q49">
        <v>1.25</v>
      </c>
      <c r="R49">
        <v>1.25</v>
      </c>
      <c r="S49">
        <v>1.23</v>
      </c>
      <c r="T49">
        <v>3733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8</v>
      </c>
      <c r="G50">
        <v>17</v>
      </c>
      <c r="H50">
        <v>7</v>
      </c>
      <c r="I50">
        <v>11</v>
      </c>
      <c r="J50">
        <v>1.4</v>
      </c>
      <c r="K50">
        <v>1.33</v>
      </c>
      <c r="L50">
        <v>1.33</v>
      </c>
      <c r="M50">
        <v>1.34</v>
      </c>
      <c r="N50">
        <v>1.27</v>
      </c>
      <c r="O50">
        <v>1.08</v>
      </c>
      <c r="P50">
        <v>0.95</v>
      </c>
      <c r="Q50">
        <v>1.0900000000000001</v>
      </c>
      <c r="R50">
        <v>1.17</v>
      </c>
      <c r="S50">
        <v>1.25</v>
      </c>
      <c r="T50">
        <v>3745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8</v>
      </c>
      <c r="G51">
        <v>17</v>
      </c>
      <c r="H51">
        <v>7</v>
      </c>
      <c r="I51">
        <v>14</v>
      </c>
      <c r="J51">
        <v>1.3</v>
      </c>
      <c r="K51">
        <v>1.29</v>
      </c>
      <c r="L51">
        <v>1.45</v>
      </c>
      <c r="M51">
        <v>1.48</v>
      </c>
      <c r="N51">
        <v>1.3</v>
      </c>
      <c r="O51">
        <v>0.96</v>
      </c>
      <c r="P51">
        <v>0.91</v>
      </c>
      <c r="Q51">
        <v>0.98</v>
      </c>
      <c r="R51">
        <v>1.07</v>
      </c>
      <c r="S51">
        <v>1.01</v>
      </c>
      <c r="T51">
        <v>3750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8</v>
      </c>
      <c r="G52">
        <v>17</v>
      </c>
      <c r="H52">
        <v>7</v>
      </c>
      <c r="I52">
        <v>10</v>
      </c>
      <c r="J52">
        <v>0.94</v>
      </c>
      <c r="K52">
        <v>0.79</v>
      </c>
      <c r="L52">
        <v>0.73</v>
      </c>
      <c r="M52">
        <v>0.67</v>
      </c>
      <c r="N52">
        <v>0.6</v>
      </c>
      <c r="O52">
        <v>0.61</v>
      </c>
      <c r="P52">
        <v>0.63</v>
      </c>
      <c r="Q52">
        <v>0.74</v>
      </c>
      <c r="R52">
        <v>0.89</v>
      </c>
      <c r="S52">
        <v>1.1000000000000001</v>
      </c>
      <c r="T52">
        <v>3749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8</v>
      </c>
      <c r="G53">
        <v>17</v>
      </c>
      <c r="H53">
        <v>7</v>
      </c>
      <c r="I53">
        <v>27</v>
      </c>
      <c r="J53">
        <v>1.61</v>
      </c>
      <c r="K53">
        <v>1.41</v>
      </c>
      <c r="L53">
        <v>1.41</v>
      </c>
      <c r="M53">
        <v>1.47</v>
      </c>
      <c r="N53">
        <v>1.45</v>
      </c>
      <c r="O53">
        <v>1.25</v>
      </c>
      <c r="P53">
        <v>1</v>
      </c>
      <c r="Q53">
        <v>0.95</v>
      </c>
      <c r="R53">
        <v>0.96</v>
      </c>
      <c r="S53">
        <v>0.99</v>
      </c>
      <c r="T53">
        <v>3759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8</v>
      </c>
      <c r="G54">
        <v>17</v>
      </c>
      <c r="H54">
        <v>7</v>
      </c>
      <c r="I54">
        <v>32</v>
      </c>
      <c r="J54">
        <v>1.1299999999999999</v>
      </c>
      <c r="K54">
        <v>1.07</v>
      </c>
      <c r="L54">
        <v>0.95</v>
      </c>
      <c r="M54">
        <v>0.93</v>
      </c>
      <c r="N54">
        <v>0.87</v>
      </c>
      <c r="O54">
        <v>0.88</v>
      </c>
      <c r="P54">
        <v>0.89</v>
      </c>
      <c r="Q54">
        <v>1.1100000000000001</v>
      </c>
      <c r="R54">
        <v>1.25</v>
      </c>
      <c r="S54">
        <v>1.28</v>
      </c>
      <c r="T54">
        <v>3765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8</v>
      </c>
      <c r="G55">
        <v>17</v>
      </c>
      <c r="H55">
        <v>7</v>
      </c>
      <c r="I55">
        <v>36</v>
      </c>
      <c r="J55">
        <v>1.1599999999999999</v>
      </c>
      <c r="K55">
        <v>1.1499999999999999</v>
      </c>
      <c r="L55">
        <v>1.35</v>
      </c>
      <c r="M55">
        <v>1.46</v>
      </c>
      <c r="N55">
        <v>1.37</v>
      </c>
      <c r="O55">
        <v>1.33</v>
      </c>
      <c r="P55">
        <v>1.38</v>
      </c>
      <c r="Q55">
        <v>1.29</v>
      </c>
      <c r="R55">
        <v>1.33</v>
      </c>
      <c r="S55">
        <v>1.32</v>
      </c>
      <c r="T55">
        <v>3749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8</v>
      </c>
      <c r="G56">
        <v>17</v>
      </c>
      <c r="H56">
        <v>7</v>
      </c>
      <c r="I56">
        <v>40</v>
      </c>
      <c r="J56">
        <v>0.93</v>
      </c>
      <c r="K56">
        <v>0.98</v>
      </c>
      <c r="L56">
        <v>1.23</v>
      </c>
      <c r="M56">
        <v>1.37</v>
      </c>
      <c r="N56">
        <v>1.4</v>
      </c>
      <c r="O56">
        <v>1.38</v>
      </c>
      <c r="P56">
        <v>1.24</v>
      </c>
      <c r="Q56">
        <v>1.1499999999999999</v>
      </c>
      <c r="R56">
        <v>1.08</v>
      </c>
      <c r="S56">
        <v>1.1000000000000001</v>
      </c>
      <c r="T56">
        <v>3741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8</v>
      </c>
      <c r="G57">
        <v>17</v>
      </c>
      <c r="H57">
        <v>7</v>
      </c>
      <c r="I57">
        <v>56</v>
      </c>
      <c r="J57">
        <v>1.22</v>
      </c>
      <c r="K57">
        <v>1.33</v>
      </c>
      <c r="L57">
        <v>1.57</v>
      </c>
      <c r="M57">
        <v>1.45</v>
      </c>
      <c r="N57">
        <v>1.46</v>
      </c>
      <c r="O57">
        <v>1.42</v>
      </c>
      <c r="P57">
        <v>1.0900000000000001</v>
      </c>
      <c r="Q57">
        <v>1</v>
      </c>
      <c r="R57">
        <v>1.07</v>
      </c>
      <c r="S57">
        <v>1.1499999999999999</v>
      </c>
      <c r="T57">
        <v>3690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8</v>
      </c>
      <c r="G58">
        <v>17</v>
      </c>
      <c r="H58">
        <v>7</v>
      </c>
      <c r="I58">
        <v>52</v>
      </c>
      <c r="J58">
        <v>1.22</v>
      </c>
      <c r="K58">
        <v>1.22</v>
      </c>
      <c r="L58">
        <v>1.33</v>
      </c>
      <c r="M58">
        <v>1.33</v>
      </c>
      <c r="N58">
        <v>1.35</v>
      </c>
      <c r="O58">
        <v>1.1100000000000001</v>
      </c>
      <c r="P58">
        <v>0.93</v>
      </c>
      <c r="Q58">
        <v>0.98</v>
      </c>
      <c r="R58">
        <v>1.1200000000000001</v>
      </c>
      <c r="S58">
        <v>1.19</v>
      </c>
      <c r="T58">
        <v>3729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8</v>
      </c>
      <c r="G59">
        <v>17</v>
      </c>
      <c r="H59">
        <v>7</v>
      </c>
      <c r="I59">
        <v>40</v>
      </c>
      <c r="J59">
        <v>1.29</v>
      </c>
      <c r="K59">
        <v>1.3</v>
      </c>
      <c r="L59">
        <v>1.39</v>
      </c>
      <c r="M59">
        <v>1.17</v>
      </c>
      <c r="N59">
        <v>1.21</v>
      </c>
      <c r="O59">
        <v>1.1499999999999999</v>
      </c>
      <c r="P59">
        <v>1.1399999999999999</v>
      </c>
      <c r="Q59">
        <v>0.96</v>
      </c>
      <c r="R59">
        <v>0.96</v>
      </c>
      <c r="S59">
        <v>1.1000000000000001</v>
      </c>
      <c r="T59">
        <v>3736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8</v>
      </c>
      <c r="G60">
        <v>17</v>
      </c>
      <c r="H60">
        <v>7</v>
      </c>
      <c r="I60">
        <v>44</v>
      </c>
      <c r="J60">
        <v>1.02</v>
      </c>
      <c r="K60">
        <v>1.1200000000000001</v>
      </c>
      <c r="L60">
        <v>1.45</v>
      </c>
      <c r="M60">
        <v>1.4</v>
      </c>
      <c r="N60">
        <v>1.45</v>
      </c>
      <c r="O60">
        <v>1.36</v>
      </c>
      <c r="P60">
        <v>1.29</v>
      </c>
      <c r="Q60">
        <v>1.02</v>
      </c>
      <c r="R60">
        <v>0.86</v>
      </c>
      <c r="S60">
        <v>0.88</v>
      </c>
      <c r="T60">
        <v>3743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8</v>
      </c>
      <c r="G61">
        <v>17</v>
      </c>
      <c r="H61">
        <v>8</v>
      </c>
      <c r="I61">
        <v>0</v>
      </c>
      <c r="J61">
        <v>1.52</v>
      </c>
      <c r="K61">
        <v>1.52</v>
      </c>
      <c r="L61">
        <v>1.47</v>
      </c>
      <c r="M61">
        <v>1.51</v>
      </c>
      <c r="N61">
        <v>1.45</v>
      </c>
      <c r="O61">
        <v>1.39</v>
      </c>
      <c r="P61">
        <v>1.3</v>
      </c>
      <c r="Q61">
        <v>1.3</v>
      </c>
      <c r="R61">
        <v>1.35</v>
      </c>
      <c r="S61">
        <v>1.32</v>
      </c>
      <c r="T61">
        <v>3690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8</v>
      </c>
      <c r="G62">
        <v>17</v>
      </c>
      <c r="H62">
        <v>8</v>
      </c>
      <c r="I62">
        <v>0</v>
      </c>
      <c r="J62">
        <v>1.38</v>
      </c>
      <c r="K62">
        <v>1.35</v>
      </c>
      <c r="L62">
        <v>1.54</v>
      </c>
      <c r="M62">
        <v>1.58</v>
      </c>
      <c r="N62">
        <v>1.63</v>
      </c>
      <c r="O62">
        <v>1.56</v>
      </c>
      <c r="P62">
        <v>1.5</v>
      </c>
      <c r="Q62">
        <v>1.28</v>
      </c>
      <c r="R62">
        <v>1.29</v>
      </c>
      <c r="S62">
        <v>1.3</v>
      </c>
      <c r="T62">
        <v>3708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8</v>
      </c>
      <c r="G63">
        <v>17</v>
      </c>
      <c r="H63">
        <v>8</v>
      </c>
      <c r="I63">
        <v>12</v>
      </c>
      <c r="J63">
        <v>1.4</v>
      </c>
      <c r="K63">
        <v>1.34</v>
      </c>
      <c r="L63">
        <v>1.46</v>
      </c>
      <c r="M63">
        <v>1.52</v>
      </c>
      <c r="N63">
        <v>1.48</v>
      </c>
      <c r="O63">
        <v>1.39</v>
      </c>
      <c r="P63">
        <v>1.17</v>
      </c>
      <c r="Q63">
        <v>0.9</v>
      </c>
      <c r="R63">
        <v>0.88</v>
      </c>
      <c r="S63">
        <v>0.98</v>
      </c>
      <c r="T63">
        <v>3719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8</v>
      </c>
      <c r="G64">
        <v>17</v>
      </c>
      <c r="H64">
        <v>8</v>
      </c>
      <c r="I64">
        <v>15</v>
      </c>
      <c r="J64">
        <v>1.33</v>
      </c>
      <c r="K64">
        <v>1.3</v>
      </c>
      <c r="L64">
        <v>1.3</v>
      </c>
      <c r="M64">
        <v>1.42</v>
      </c>
      <c r="N64">
        <v>1.43</v>
      </c>
      <c r="O64">
        <v>1.32</v>
      </c>
      <c r="P64">
        <v>1.1200000000000001</v>
      </c>
      <c r="Q64">
        <v>1.03</v>
      </c>
      <c r="R64">
        <v>0.91</v>
      </c>
      <c r="S64">
        <v>1.08</v>
      </c>
      <c r="T64">
        <v>3675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8</v>
      </c>
      <c r="G65">
        <v>17</v>
      </c>
      <c r="H65">
        <v>8</v>
      </c>
      <c r="I65">
        <v>31</v>
      </c>
      <c r="J65">
        <v>1.21</v>
      </c>
      <c r="K65">
        <v>1.04</v>
      </c>
      <c r="L65">
        <v>1.06</v>
      </c>
      <c r="M65">
        <v>1.24</v>
      </c>
      <c r="N65">
        <v>1.3</v>
      </c>
      <c r="O65">
        <v>1.06</v>
      </c>
      <c r="P65">
        <v>1.04</v>
      </c>
      <c r="Q65">
        <v>1</v>
      </c>
      <c r="R65">
        <v>1.07</v>
      </c>
      <c r="S65">
        <v>1.07</v>
      </c>
      <c r="T65">
        <v>3656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8</v>
      </c>
      <c r="G66">
        <v>17</v>
      </c>
      <c r="H66">
        <v>8</v>
      </c>
      <c r="I66">
        <v>27</v>
      </c>
      <c r="J66">
        <v>1.29</v>
      </c>
      <c r="K66">
        <v>1.32</v>
      </c>
      <c r="L66">
        <v>1.41</v>
      </c>
      <c r="M66">
        <v>1.1499999999999999</v>
      </c>
      <c r="N66">
        <v>1.02</v>
      </c>
      <c r="O66">
        <v>1.02</v>
      </c>
      <c r="P66">
        <v>0.9</v>
      </c>
      <c r="Q66">
        <v>0.98</v>
      </c>
      <c r="R66">
        <v>1.18</v>
      </c>
      <c r="S66">
        <v>1.2</v>
      </c>
      <c r="T66">
        <v>3684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8</v>
      </c>
      <c r="G67">
        <v>17</v>
      </c>
      <c r="H67">
        <v>8</v>
      </c>
      <c r="I67">
        <v>23</v>
      </c>
      <c r="J67">
        <v>1.45</v>
      </c>
      <c r="K67">
        <v>1.36</v>
      </c>
      <c r="L67">
        <v>1.27</v>
      </c>
      <c r="M67">
        <v>1.19</v>
      </c>
      <c r="N67">
        <v>1.26</v>
      </c>
      <c r="O67">
        <v>1.29</v>
      </c>
      <c r="P67">
        <v>1.04</v>
      </c>
      <c r="Q67">
        <v>0.91</v>
      </c>
      <c r="R67">
        <v>1.03</v>
      </c>
      <c r="S67">
        <v>1.17</v>
      </c>
      <c r="T67">
        <v>3697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8</v>
      </c>
      <c r="G68">
        <v>17</v>
      </c>
      <c r="H68">
        <v>8</v>
      </c>
      <c r="I68">
        <v>20</v>
      </c>
      <c r="J68">
        <v>1.49</v>
      </c>
      <c r="K68">
        <v>1.4</v>
      </c>
      <c r="L68">
        <v>1.23</v>
      </c>
      <c r="M68">
        <v>1.33</v>
      </c>
      <c r="N68">
        <v>1.39</v>
      </c>
      <c r="O68">
        <v>1.3</v>
      </c>
      <c r="P68">
        <v>1.1200000000000001</v>
      </c>
      <c r="Q68">
        <v>0.83</v>
      </c>
      <c r="R68">
        <v>0.84</v>
      </c>
      <c r="S68">
        <v>1.07</v>
      </c>
      <c r="T68">
        <v>3691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16.994700000000002</v>
      </c>
      <c r="K73">
        <f t="shared" ref="K73:R73" si="0">22.275*K45-6.1713</f>
        <v>18.331200000000003</v>
      </c>
      <c r="L73">
        <f t="shared" si="0"/>
        <v>21.4497</v>
      </c>
      <c r="M73">
        <f t="shared" si="0"/>
        <v>25.904699999999995</v>
      </c>
      <c r="N73">
        <f t="shared" si="0"/>
        <v>23.677200000000003</v>
      </c>
      <c r="O73">
        <f t="shared" si="0"/>
        <v>25.459199999999999</v>
      </c>
      <c r="P73">
        <f t="shared" si="0"/>
        <v>26.7957</v>
      </c>
      <c r="Q73">
        <f t="shared" si="0"/>
        <v>25.459199999999999</v>
      </c>
      <c r="R73">
        <f t="shared" si="0"/>
        <v>24.790949999999999</v>
      </c>
      <c r="S73">
        <f>22.275*(S45*1.1)-6.1713</f>
        <v>27.397125000000006</v>
      </c>
    </row>
    <row r="74" spans="1:20" x14ac:dyDescent="0.25">
      <c r="I74" t="s">
        <v>43</v>
      </c>
      <c r="J74">
        <f t="shared" ref="J74:R89" si="1">22.275*J46-6.1713</f>
        <v>22.786200000000001</v>
      </c>
      <c r="K74">
        <f t="shared" si="1"/>
        <v>23.008950000000002</v>
      </c>
      <c r="L74">
        <f t="shared" si="1"/>
        <v>19.890449999999998</v>
      </c>
      <c r="M74">
        <f t="shared" si="1"/>
        <v>17.662950000000002</v>
      </c>
      <c r="N74">
        <f t="shared" si="1"/>
        <v>14.98995</v>
      </c>
      <c r="O74">
        <f t="shared" si="1"/>
        <v>14.767199999999999</v>
      </c>
      <c r="P74">
        <f t="shared" si="1"/>
        <v>13.876200000000001</v>
      </c>
      <c r="Q74">
        <f t="shared" si="1"/>
        <v>18.776700000000002</v>
      </c>
      <c r="R74">
        <f t="shared" si="1"/>
        <v>17.662950000000002</v>
      </c>
      <c r="S74">
        <f t="shared" ref="S74:S91" si="2">22.275*(S46*1.1)-6.1713</f>
        <v>19.801350000000003</v>
      </c>
    </row>
    <row r="75" spans="1:20" x14ac:dyDescent="0.25">
      <c r="I75" t="s">
        <v>44</v>
      </c>
      <c r="J75">
        <f t="shared" si="1"/>
        <v>21.226949999999999</v>
      </c>
      <c r="K75">
        <f t="shared" si="1"/>
        <v>19.667699999999996</v>
      </c>
      <c r="L75">
        <f t="shared" si="1"/>
        <v>21.4497</v>
      </c>
      <c r="M75">
        <f t="shared" si="1"/>
        <v>23.2317</v>
      </c>
      <c r="N75">
        <f t="shared" si="1"/>
        <v>23.677200000000003</v>
      </c>
      <c r="O75">
        <f t="shared" si="1"/>
        <v>18.55395</v>
      </c>
      <c r="P75">
        <f t="shared" si="1"/>
        <v>15.880949999999999</v>
      </c>
      <c r="Q75">
        <f t="shared" si="1"/>
        <v>16.326450000000001</v>
      </c>
      <c r="R75">
        <f t="shared" si="1"/>
        <v>17.440200000000001</v>
      </c>
      <c r="S75">
        <f t="shared" si="2"/>
        <v>20.046375000000005</v>
      </c>
    </row>
    <row r="76" spans="1:20" x14ac:dyDescent="0.25">
      <c r="I76" t="s">
        <v>45</v>
      </c>
      <c r="J76">
        <f t="shared" si="1"/>
        <v>25.681949999999997</v>
      </c>
      <c r="K76">
        <f t="shared" si="1"/>
        <v>25.013699999999996</v>
      </c>
      <c r="L76">
        <f t="shared" si="1"/>
        <v>25.681949999999997</v>
      </c>
      <c r="M76">
        <f t="shared" si="1"/>
        <v>24.790949999999999</v>
      </c>
      <c r="N76">
        <f t="shared" si="1"/>
        <v>20.78145</v>
      </c>
      <c r="O76">
        <f t="shared" si="1"/>
        <v>18.55395</v>
      </c>
      <c r="P76">
        <f t="shared" si="1"/>
        <v>21.672450000000001</v>
      </c>
      <c r="Q76">
        <f t="shared" si="1"/>
        <v>24.345450000000003</v>
      </c>
      <c r="R76">
        <f t="shared" si="1"/>
        <v>22.340700000000002</v>
      </c>
      <c r="S76">
        <f t="shared" si="2"/>
        <v>25.436925000000006</v>
      </c>
    </row>
    <row r="77" spans="1:20" x14ac:dyDescent="0.25">
      <c r="I77" t="s">
        <v>46</v>
      </c>
      <c r="J77">
        <f t="shared" si="1"/>
        <v>26.7957</v>
      </c>
      <c r="K77">
        <f t="shared" si="1"/>
        <v>23.2317</v>
      </c>
      <c r="L77">
        <f t="shared" si="1"/>
        <v>23.89995</v>
      </c>
      <c r="M77">
        <f t="shared" si="1"/>
        <v>23.454450000000001</v>
      </c>
      <c r="N77">
        <f t="shared" si="1"/>
        <v>22.786200000000001</v>
      </c>
      <c r="O77">
        <f t="shared" si="1"/>
        <v>21.226949999999999</v>
      </c>
      <c r="P77">
        <f t="shared" si="1"/>
        <v>17.8857</v>
      </c>
      <c r="Q77">
        <f t="shared" si="1"/>
        <v>21.672450000000001</v>
      </c>
      <c r="R77">
        <f t="shared" si="1"/>
        <v>21.672450000000001</v>
      </c>
      <c r="S77">
        <f t="shared" si="2"/>
        <v>23.966774999999998</v>
      </c>
    </row>
    <row r="78" spans="1:20" x14ac:dyDescent="0.25">
      <c r="I78" t="s">
        <v>47</v>
      </c>
      <c r="J78">
        <f t="shared" si="1"/>
        <v>25.013699999999996</v>
      </c>
      <c r="K78">
        <f t="shared" si="1"/>
        <v>23.454450000000001</v>
      </c>
      <c r="L78">
        <f t="shared" si="1"/>
        <v>23.454450000000001</v>
      </c>
      <c r="M78">
        <f t="shared" si="1"/>
        <v>23.677200000000003</v>
      </c>
      <c r="N78">
        <f t="shared" si="1"/>
        <v>22.11795</v>
      </c>
      <c r="O78">
        <f t="shared" si="1"/>
        <v>17.8857</v>
      </c>
      <c r="P78">
        <f t="shared" si="1"/>
        <v>14.98995</v>
      </c>
      <c r="Q78">
        <f t="shared" si="1"/>
        <v>18.108450000000001</v>
      </c>
      <c r="R78">
        <f t="shared" si="1"/>
        <v>19.890449999999998</v>
      </c>
      <c r="S78">
        <f t="shared" si="2"/>
        <v>24.456824999999998</v>
      </c>
    </row>
    <row r="79" spans="1:20" x14ac:dyDescent="0.25">
      <c r="I79" t="s">
        <v>48</v>
      </c>
      <c r="J79">
        <f t="shared" si="1"/>
        <v>22.786200000000001</v>
      </c>
      <c r="K79">
        <f t="shared" si="1"/>
        <v>22.56345</v>
      </c>
      <c r="L79">
        <f t="shared" si="1"/>
        <v>26.12745</v>
      </c>
      <c r="M79">
        <f t="shared" si="1"/>
        <v>26.7957</v>
      </c>
      <c r="N79">
        <f t="shared" si="1"/>
        <v>22.786200000000001</v>
      </c>
      <c r="O79">
        <f t="shared" si="1"/>
        <v>15.212699999999998</v>
      </c>
      <c r="P79">
        <f t="shared" si="1"/>
        <v>14.098950000000002</v>
      </c>
      <c r="Q79">
        <f t="shared" si="1"/>
        <v>15.658200000000001</v>
      </c>
      <c r="R79">
        <f t="shared" si="1"/>
        <v>17.662950000000002</v>
      </c>
      <c r="S79">
        <f t="shared" si="2"/>
        <v>18.576225000000004</v>
      </c>
    </row>
    <row r="80" spans="1:20" x14ac:dyDescent="0.25">
      <c r="I80" t="s">
        <v>49</v>
      </c>
      <c r="J80">
        <f t="shared" si="1"/>
        <v>14.767199999999999</v>
      </c>
      <c r="K80">
        <f t="shared" si="1"/>
        <v>11.42595</v>
      </c>
      <c r="L80">
        <f t="shared" si="1"/>
        <v>10.089449999999999</v>
      </c>
      <c r="M80">
        <f t="shared" si="1"/>
        <v>8.752950000000002</v>
      </c>
      <c r="N80">
        <f t="shared" si="1"/>
        <v>7.1936999999999989</v>
      </c>
      <c r="O80">
        <f t="shared" si="1"/>
        <v>7.4164499999999984</v>
      </c>
      <c r="P80">
        <f t="shared" si="1"/>
        <v>7.8619499999999993</v>
      </c>
      <c r="Q80">
        <f t="shared" si="1"/>
        <v>10.312200000000001</v>
      </c>
      <c r="R80">
        <f t="shared" si="1"/>
        <v>13.653449999999999</v>
      </c>
      <c r="S80">
        <f t="shared" si="2"/>
        <v>20.781450000000003</v>
      </c>
    </row>
    <row r="81" spans="9:19" x14ac:dyDescent="0.25">
      <c r="I81" t="s">
        <v>50</v>
      </c>
      <c r="J81">
        <f t="shared" si="1"/>
        <v>29.69145</v>
      </c>
      <c r="K81">
        <f t="shared" si="1"/>
        <v>25.236449999999998</v>
      </c>
      <c r="L81">
        <f t="shared" si="1"/>
        <v>25.236449999999998</v>
      </c>
      <c r="M81">
        <f t="shared" si="1"/>
        <v>26.572949999999995</v>
      </c>
      <c r="N81">
        <f t="shared" si="1"/>
        <v>26.12745</v>
      </c>
      <c r="O81">
        <f t="shared" si="1"/>
        <v>21.672450000000001</v>
      </c>
      <c r="P81">
        <f t="shared" si="1"/>
        <v>16.1037</v>
      </c>
      <c r="Q81">
        <f t="shared" si="1"/>
        <v>14.98995</v>
      </c>
      <c r="R81">
        <f t="shared" si="1"/>
        <v>15.212699999999998</v>
      </c>
      <c r="S81">
        <f t="shared" si="2"/>
        <v>18.086175000000001</v>
      </c>
    </row>
    <row r="82" spans="9:19" x14ac:dyDescent="0.25">
      <c r="I82" t="s">
        <v>51</v>
      </c>
      <c r="J82">
        <f t="shared" si="1"/>
        <v>18.999449999999996</v>
      </c>
      <c r="K82">
        <f t="shared" si="1"/>
        <v>17.662950000000002</v>
      </c>
      <c r="L82">
        <f t="shared" si="1"/>
        <v>14.98995</v>
      </c>
      <c r="M82">
        <f t="shared" si="1"/>
        <v>14.544450000000001</v>
      </c>
      <c r="N82">
        <f t="shared" si="1"/>
        <v>13.20795</v>
      </c>
      <c r="O82">
        <f t="shared" si="1"/>
        <v>13.430700000000002</v>
      </c>
      <c r="P82">
        <f t="shared" si="1"/>
        <v>13.653449999999999</v>
      </c>
      <c r="Q82">
        <f t="shared" si="1"/>
        <v>18.55395</v>
      </c>
      <c r="R82">
        <f t="shared" si="1"/>
        <v>21.672450000000001</v>
      </c>
      <c r="S82">
        <f t="shared" si="2"/>
        <v>25.191900000000004</v>
      </c>
    </row>
    <row r="83" spans="9:19" x14ac:dyDescent="0.25">
      <c r="I83" t="s">
        <v>52</v>
      </c>
      <c r="J83">
        <f t="shared" si="1"/>
        <v>19.667699999999996</v>
      </c>
      <c r="K83">
        <f t="shared" si="1"/>
        <v>19.444949999999999</v>
      </c>
      <c r="L83">
        <f t="shared" si="1"/>
        <v>23.89995</v>
      </c>
      <c r="M83">
        <f t="shared" si="1"/>
        <v>26.350199999999997</v>
      </c>
      <c r="N83">
        <f t="shared" si="1"/>
        <v>24.345450000000003</v>
      </c>
      <c r="O83">
        <f t="shared" si="1"/>
        <v>23.454450000000001</v>
      </c>
      <c r="P83">
        <f t="shared" si="1"/>
        <v>24.568199999999997</v>
      </c>
      <c r="Q83">
        <f t="shared" si="1"/>
        <v>22.56345</v>
      </c>
      <c r="R83">
        <f t="shared" si="1"/>
        <v>23.454450000000001</v>
      </c>
      <c r="S83">
        <f t="shared" si="2"/>
        <v>26.172000000000001</v>
      </c>
    </row>
    <row r="84" spans="9:19" x14ac:dyDescent="0.25">
      <c r="I84" t="s">
        <v>53</v>
      </c>
      <c r="J84">
        <f t="shared" si="1"/>
        <v>14.544450000000001</v>
      </c>
      <c r="K84">
        <f t="shared" si="1"/>
        <v>15.658200000000001</v>
      </c>
      <c r="L84">
        <f t="shared" si="1"/>
        <v>21.226949999999999</v>
      </c>
      <c r="M84">
        <f t="shared" si="1"/>
        <v>24.345450000000003</v>
      </c>
      <c r="N84">
        <f t="shared" si="1"/>
        <v>25.013699999999996</v>
      </c>
      <c r="O84">
        <f t="shared" si="1"/>
        <v>24.568199999999997</v>
      </c>
      <c r="P84">
        <f t="shared" si="1"/>
        <v>21.4497</v>
      </c>
      <c r="Q84">
        <f t="shared" si="1"/>
        <v>19.444949999999999</v>
      </c>
      <c r="R84">
        <f t="shared" si="1"/>
        <v>17.8857</v>
      </c>
      <c r="S84">
        <f t="shared" si="2"/>
        <v>20.781450000000003</v>
      </c>
    </row>
    <row r="85" spans="9:19" x14ac:dyDescent="0.25">
      <c r="I85" t="s">
        <v>54</v>
      </c>
      <c r="J85">
        <f t="shared" si="1"/>
        <v>21.004199999999997</v>
      </c>
      <c r="K85">
        <f t="shared" si="1"/>
        <v>23.454450000000001</v>
      </c>
      <c r="L85">
        <f t="shared" si="1"/>
        <v>28.800450000000001</v>
      </c>
      <c r="M85">
        <f t="shared" si="1"/>
        <v>26.12745</v>
      </c>
      <c r="N85">
        <f t="shared" si="1"/>
        <v>26.350199999999997</v>
      </c>
      <c r="O85">
        <f t="shared" si="1"/>
        <v>25.459199999999999</v>
      </c>
      <c r="P85">
        <f t="shared" si="1"/>
        <v>18.108450000000001</v>
      </c>
      <c r="Q85">
        <f t="shared" si="1"/>
        <v>16.1037</v>
      </c>
      <c r="R85">
        <f t="shared" si="1"/>
        <v>17.662950000000002</v>
      </c>
      <c r="S85">
        <f t="shared" si="2"/>
        <v>22.006574999999998</v>
      </c>
    </row>
    <row r="86" spans="9:19" x14ac:dyDescent="0.25">
      <c r="I86" t="s">
        <v>55</v>
      </c>
      <c r="J86">
        <f t="shared" si="1"/>
        <v>21.004199999999997</v>
      </c>
      <c r="K86">
        <f t="shared" si="1"/>
        <v>21.004199999999997</v>
      </c>
      <c r="L86">
        <f t="shared" si="1"/>
        <v>23.454450000000001</v>
      </c>
      <c r="M86">
        <f t="shared" si="1"/>
        <v>23.454450000000001</v>
      </c>
      <c r="N86">
        <f t="shared" si="1"/>
        <v>23.89995</v>
      </c>
      <c r="O86">
        <f t="shared" si="1"/>
        <v>18.55395</v>
      </c>
      <c r="P86">
        <f t="shared" si="1"/>
        <v>14.544450000000001</v>
      </c>
      <c r="Q86">
        <f t="shared" si="1"/>
        <v>15.658200000000001</v>
      </c>
      <c r="R86">
        <f t="shared" si="1"/>
        <v>18.776700000000002</v>
      </c>
      <c r="S86">
        <f t="shared" si="2"/>
        <v>22.986674999999998</v>
      </c>
    </row>
    <row r="87" spans="9:19" x14ac:dyDescent="0.25">
      <c r="I87" t="s">
        <v>56</v>
      </c>
      <c r="J87">
        <f t="shared" si="1"/>
        <v>22.56345</v>
      </c>
      <c r="K87">
        <f t="shared" si="1"/>
        <v>22.786200000000001</v>
      </c>
      <c r="L87">
        <f t="shared" si="1"/>
        <v>24.790949999999999</v>
      </c>
      <c r="M87">
        <f t="shared" si="1"/>
        <v>19.890449999999998</v>
      </c>
      <c r="N87">
        <f t="shared" si="1"/>
        <v>20.78145</v>
      </c>
      <c r="O87">
        <f t="shared" si="1"/>
        <v>19.444949999999999</v>
      </c>
      <c r="P87">
        <f t="shared" si="1"/>
        <v>19.222199999999997</v>
      </c>
      <c r="Q87">
        <f t="shared" si="1"/>
        <v>15.212699999999998</v>
      </c>
      <c r="R87">
        <f t="shared" si="1"/>
        <v>15.212699999999998</v>
      </c>
      <c r="S87">
        <f t="shared" si="2"/>
        <v>20.781450000000003</v>
      </c>
    </row>
    <row r="88" spans="9:19" x14ac:dyDescent="0.25">
      <c r="I88" t="s">
        <v>57</v>
      </c>
      <c r="J88">
        <f t="shared" si="1"/>
        <v>16.549199999999999</v>
      </c>
      <c r="K88">
        <f t="shared" si="1"/>
        <v>18.776700000000002</v>
      </c>
      <c r="L88">
        <f t="shared" si="1"/>
        <v>26.12745</v>
      </c>
      <c r="M88">
        <f t="shared" si="1"/>
        <v>25.013699999999996</v>
      </c>
      <c r="N88">
        <f t="shared" si="1"/>
        <v>26.12745</v>
      </c>
      <c r="O88">
        <f t="shared" si="1"/>
        <v>24.122700000000002</v>
      </c>
      <c r="P88">
        <f t="shared" si="1"/>
        <v>22.56345</v>
      </c>
      <c r="Q88">
        <f t="shared" si="1"/>
        <v>16.549199999999999</v>
      </c>
      <c r="R88">
        <f t="shared" si="1"/>
        <v>12.985199999999999</v>
      </c>
      <c r="S88">
        <f t="shared" si="2"/>
        <v>15.390900000000002</v>
      </c>
    </row>
    <row r="89" spans="9:19" x14ac:dyDescent="0.25">
      <c r="I89" t="s">
        <v>58</v>
      </c>
      <c r="J89">
        <f t="shared" si="1"/>
        <v>27.686699999999998</v>
      </c>
      <c r="K89">
        <f t="shared" si="1"/>
        <v>27.686699999999998</v>
      </c>
      <c r="L89">
        <f t="shared" si="1"/>
        <v>26.572949999999995</v>
      </c>
      <c r="M89">
        <f t="shared" si="1"/>
        <v>27.463950000000001</v>
      </c>
      <c r="N89">
        <f t="shared" si="1"/>
        <v>26.12745</v>
      </c>
      <c r="O89">
        <f t="shared" si="1"/>
        <v>24.790949999999999</v>
      </c>
      <c r="P89">
        <f t="shared" si="1"/>
        <v>22.786200000000001</v>
      </c>
      <c r="Q89">
        <f t="shared" si="1"/>
        <v>22.786200000000001</v>
      </c>
      <c r="R89">
        <f t="shared" si="1"/>
        <v>23.89995</v>
      </c>
      <c r="S89">
        <f t="shared" si="2"/>
        <v>26.172000000000001</v>
      </c>
    </row>
    <row r="90" spans="9:19" x14ac:dyDescent="0.25">
      <c r="I90" t="s">
        <v>59</v>
      </c>
      <c r="J90">
        <f t="shared" ref="J90:R96" si="3">22.275*J62-6.1713</f>
        <v>24.568199999999997</v>
      </c>
      <c r="K90">
        <f t="shared" si="3"/>
        <v>23.89995</v>
      </c>
      <c r="L90">
        <f t="shared" si="3"/>
        <v>28.132200000000001</v>
      </c>
      <c r="M90">
        <f t="shared" si="3"/>
        <v>29.023199999999999</v>
      </c>
      <c r="N90">
        <f t="shared" si="3"/>
        <v>30.136949999999995</v>
      </c>
      <c r="O90">
        <f t="shared" si="3"/>
        <v>28.577700000000004</v>
      </c>
      <c r="P90">
        <f t="shared" si="3"/>
        <v>27.241199999999996</v>
      </c>
      <c r="Q90">
        <f t="shared" si="3"/>
        <v>22.340700000000002</v>
      </c>
      <c r="R90">
        <f t="shared" si="3"/>
        <v>22.56345</v>
      </c>
      <c r="S90">
        <f t="shared" si="2"/>
        <v>25.681950000000004</v>
      </c>
    </row>
    <row r="91" spans="9:19" x14ac:dyDescent="0.25">
      <c r="I91" t="s">
        <v>60</v>
      </c>
      <c r="J91">
        <f t="shared" si="3"/>
        <v>25.013699999999996</v>
      </c>
      <c r="K91">
        <f t="shared" si="3"/>
        <v>23.677200000000003</v>
      </c>
      <c r="L91">
        <f t="shared" si="3"/>
        <v>26.350199999999997</v>
      </c>
      <c r="M91">
        <f t="shared" si="3"/>
        <v>27.686699999999998</v>
      </c>
      <c r="N91">
        <f t="shared" si="3"/>
        <v>26.7957</v>
      </c>
      <c r="O91">
        <f t="shared" si="3"/>
        <v>24.790949999999999</v>
      </c>
      <c r="P91">
        <f t="shared" si="3"/>
        <v>19.890449999999998</v>
      </c>
      <c r="Q91">
        <f t="shared" si="3"/>
        <v>13.876200000000001</v>
      </c>
      <c r="R91">
        <f t="shared" si="3"/>
        <v>13.430700000000002</v>
      </c>
      <c r="S91">
        <f t="shared" si="2"/>
        <v>17.841150000000003</v>
      </c>
    </row>
    <row r="92" spans="9:19" x14ac:dyDescent="0.25">
      <c r="I92" t="s">
        <v>61</v>
      </c>
      <c r="J92">
        <f t="shared" si="3"/>
        <v>23.454450000000001</v>
      </c>
      <c r="K92">
        <f t="shared" si="3"/>
        <v>22.786200000000001</v>
      </c>
      <c r="L92">
        <f t="shared" si="3"/>
        <v>22.786200000000001</v>
      </c>
      <c r="M92">
        <f t="shared" si="3"/>
        <v>25.459199999999999</v>
      </c>
      <c r="N92">
        <f t="shared" si="3"/>
        <v>25.681949999999997</v>
      </c>
      <c r="O92">
        <f t="shared" si="3"/>
        <v>23.2317</v>
      </c>
      <c r="P92">
        <f t="shared" si="3"/>
        <v>18.776700000000002</v>
      </c>
      <c r="Q92">
        <f t="shared" si="3"/>
        <v>16.77195</v>
      </c>
      <c r="R92">
        <f t="shared" si="3"/>
        <v>14.098950000000002</v>
      </c>
      <c r="S92">
        <f>22.275*(S64*1.1)-6.1713</f>
        <v>20.291400000000003</v>
      </c>
    </row>
    <row r="93" spans="9:19" x14ac:dyDescent="0.25">
      <c r="I93" t="s">
        <v>62</v>
      </c>
      <c r="J93">
        <f t="shared" si="3"/>
        <v>20.78145</v>
      </c>
      <c r="K93">
        <f t="shared" si="3"/>
        <v>16.994700000000002</v>
      </c>
      <c r="L93">
        <f t="shared" si="3"/>
        <v>17.440200000000001</v>
      </c>
      <c r="M93">
        <f t="shared" si="3"/>
        <v>21.4497</v>
      </c>
      <c r="N93">
        <f t="shared" si="3"/>
        <v>22.786200000000001</v>
      </c>
      <c r="O93">
        <f t="shared" si="3"/>
        <v>17.440200000000001</v>
      </c>
      <c r="P93">
        <f t="shared" si="3"/>
        <v>16.994700000000002</v>
      </c>
      <c r="Q93">
        <f t="shared" si="3"/>
        <v>16.1037</v>
      </c>
      <c r="R93">
        <f t="shared" si="3"/>
        <v>17.662950000000002</v>
      </c>
      <c r="S93">
        <f t="shared" ref="S93:S95" si="4">22.275*(S65*1.1)-6.1713</f>
        <v>20.046375000000005</v>
      </c>
    </row>
    <row r="94" spans="9:19" x14ac:dyDescent="0.25">
      <c r="I94" t="s">
        <v>63</v>
      </c>
      <c r="J94">
        <f t="shared" si="3"/>
        <v>22.56345</v>
      </c>
      <c r="K94">
        <f t="shared" si="3"/>
        <v>23.2317</v>
      </c>
      <c r="L94">
        <f t="shared" si="3"/>
        <v>25.236449999999998</v>
      </c>
      <c r="M94">
        <f t="shared" si="3"/>
        <v>19.444949999999999</v>
      </c>
      <c r="N94">
        <f t="shared" si="3"/>
        <v>16.549199999999999</v>
      </c>
      <c r="O94">
        <f t="shared" si="3"/>
        <v>16.549199999999999</v>
      </c>
      <c r="P94">
        <f t="shared" si="3"/>
        <v>13.876200000000001</v>
      </c>
      <c r="Q94">
        <f t="shared" si="3"/>
        <v>15.658200000000001</v>
      </c>
      <c r="R94">
        <f t="shared" si="3"/>
        <v>20.113199999999999</v>
      </c>
      <c r="S94">
        <f t="shared" si="4"/>
        <v>23.2317</v>
      </c>
    </row>
    <row r="95" spans="9:19" x14ac:dyDescent="0.25">
      <c r="I95" t="s">
        <v>64</v>
      </c>
      <c r="J95">
        <f t="shared" si="3"/>
        <v>26.12745</v>
      </c>
      <c r="K95">
        <f t="shared" si="3"/>
        <v>24.122700000000002</v>
      </c>
      <c r="L95">
        <f t="shared" si="3"/>
        <v>22.11795</v>
      </c>
      <c r="M95">
        <f t="shared" si="3"/>
        <v>20.335949999999997</v>
      </c>
      <c r="N95">
        <f t="shared" si="3"/>
        <v>21.895199999999999</v>
      </c>
      <c r="O95">
        <f t="shared" si="3"/>
        <v>22.56345</v>
      </c>
      <c r="P95">
        <f t="shared" si="3"/>
        <v>16.994700000000002</v>
      </c>
      <c r="Q95">
        <f t="shared" si="3"/>
        <v>14.098950000000002</v>
      </c>
      <c r="R95">
        <f t="shared" si="3"/>
        <v>16.77195</v>
      </c>
      <c r="S95">
        <f t="shared" si="4"/>
        <v>22.496624999999998</v>
      </c>
    </row>
    <row r="96" spans="9:19" x14ac:dyDescent="0.25">
      <c r="I96" t="s">
        <v>65</v>
      </c>
      <c r="J96">
        <f>22.275*J68-6.1713</f>
        <v>27.018449999999998</v>
      </c>
      <c r="K96">
        <f t="shared" si="3"/>
        <v>25.013699999999996</v>
      </c>
      <c r="L96">
        <f t="shared" si="3"/>
        <v>21.226949999999999</v>
      </c>
      <c r="M96">
        <f t="shared" si="3"/>
        <v>23.454450000000001</v>
      </c>
      <c r="N96">
        <f t="shared" si="3"/>
        <v>24.790949999999999</v>
      </c>
      <c r="O96">
        <f t="shared" si="3"/>
        <v>22.786200000000001</v>
      </c>
      <c r="P96">
        <f t="shared" si="3"/>
        <v>18.776700000000002</v>
      </c>
      <c r="Q96">
        <f t="shared" si="3"/>
        <v>12.316949999999999</v>
      </c>
      <c r="R96">
        <f t="shared" si="3"/>
        <v>12.5397</v>
      </c>
      <c r="S96">
        <f>22.275*(S68*1.1)-6.1713</f>
        <v>20.046375000000005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0.16994700000000001</v>
      </c>
      <c r="K101" s="4">
        <f t="shared" si="5"/>
        <v>0.18331200000000003</v>
      </c>
      <c r="L101" s="4">
        <f t="shared" si="5"/>
        <v>0.21449699999999999</v>
      </c>
      <c r="M101" s="4">
        <f t="shared" si="5"/>
        <v>0.25904699999999997</v>
      </c>
      <c r="N101" s="4">
        <f t="shared" si="5"/>
        <v>0.23677200000000004</v>
      </c>
      <c r="O101" s="4">
        <f t="shared" si="5"/>
        <v>0.25459199999999998</v>
      </c>
      <c r="P101" s="4">
        <f t="shared" si="5"/>
        <v>0.267957</v>
      </c>
      <c r="Q101" s="4">
        <f t="shared" si="5"/>
        <v>0.25459199999999998</v>
      </c>
      <c r="R101" s="4">
        <f t="shared" si="5"/>
        <v>0.24790949999999998</v>
      </c>
      <c r="S101" s="4">
        <f t="shared" si="5"/>
        <v>0.27397125000000006</v>
      </c>
    </row>
    <row r="102" spans="9:19" x14ac:dyDescent="0.25">
      <c r="I102">
        <v>12</v>
      </c>
      <c r="J102" s="4">
        <f t="shared" ref="J102:S115" si="6">IF(J74&lt;0,"",J74/100)</f>
        <v>0.22786200000000001</v>
      </c>
      <c r="K102" s="4">
        <f t="shared" si="6"/>
        <v>0.23008950000000003</v>
      </c>
      <c r="L102" s="4">
        <f t="shared" si="6"/>
        <v>0.19890449999999998</v>
      </c>
      <c r="M102" s="4">
        <f t="shared" si="6"/>
        <v>0.17662950000000002</v>
      </c>
      <c r="N102" s="4">
        <f t="shared" si="6"/>
        <v>0.14989949999999999</v>
      </c>
      <c r="O102" s="4">
        <f t="shared" si="6"/>
        <v>0.147672</v>
      </c>
      <c r="P102" s="4">
        <f t="shared" si="6"/>
        <v>0.138762</v>
      </c>
      <c r="Q102" s="4">
        <f t="shared" si="6"/>
        <v>0.18776700000000002</v>
      </c>
      <c r="R102" s="4">
        <f t="shared" si="6"/>
        <v>0.17662950000000002</v>
      </c>
      <c r="S102" s="4">
        <f t="shared" si="6"/>
        <v>0.19801350000000004</v>
      </c>
    </row>
    <row r="103" spans="9:19" x14ac:dyDescent="0.25">
      <c r="I103">
        <v>13</v>
      </c>
      <c r="J103" s="4">
        <f t="shared" si="6"/>
        <v>0.2122695</v>
      </c>
      <c r="K103" s="4">
        <f t="shared" si="6"/>
        <v>0.19667699999999996</v>
      </c>
      <c r="L103" s="4">
        <f t="shared" si="6"/>
        <v>0.21449699999999999</v>
      </c>
      <c r="M103" s="4">
        <f t="shared" si="6"/>
        <v>0.232317</v>
      </c>
      <c r="N103" s="4">
        <f t="shared" si="6"/>
        <v>0.23677200000000004</v>
      </c>
      <c r="O103" s="4">
        <f t="shared" si="6"/>
        <v>0.1855395</v>
      </c>
      <c r="P103" s="4">
        <f t="shared" si="6"/>
        <v>0.15880949999999999</v>
      </c>
      <c r="Q103" s="4">
        <f t="shared" si="6"/>
        <v>0.16326450000000001</v>
      </c>
      <c r="R103" s="4">
        <f t="shared" si="6"/>
        <v>0.174402</v>
      </c>
      <c r="S103" s="4">
        <f t="shared" si="6"/>
        <v>0.20046375000000005</v>
      </c>
    </row>
    <row r="104" spans="9:19" x14ac:dyDescent="0.25">
      <c r="I104">
        <v>14</v>
      </c>
      <c r="J104" s="4">
        <f t="shared" si="6"/>
        <v>0.25681949999999998</v>
      </c>
      <c r="K104" s="4">
        <f t="shared" si="6"/>
        <v>0.25013699999999994</v>
      </c>
      <c r="L104" s="4">
        <f t="shared" si="6"/>
        <v>0.25681949999999998</v>
      </c>
      <c r="M104" s="4">
        <f t="shared" si="6"/>
        <v>0.24790949999999998</v>
      </c>
      <c r="N104" s="4">
        <f t="shared" si="6"/>
        <v>0.20781449999999999</v>
      </c>
      <c r="O104" s="4">
        <f t="shared" si="6"/>
        <v>0.1855395</v>
      </c>
      <c r="P104" s="4">
        <f t="shared" si="6"/>
        <v>0.21672450000000001</v>
      </c>
      <c r="Q104" s="4">
        <f t="shared" si="6"/>
        <v>0.24345450000000002</v>
      </c>
      <c r="R104" s="4">
        <f t="shared" si="6"/>
        <v>0.22340700000000002</v>
      </c>
      <c r="S104" s="4">
        <f t="shared" si="6"/>
        <v>0.25436925000000005</v>
      </c>
    </row>
    <row r="105" spans="9:19" x14ac:dyDescent="0.25">
      <c r="I105">
        <v>21</v>
      </c>
      <c r="J105" s="4">
        <f t="shared" si="6"/>
        <v>0.267957</v>
      </c>
      <c r="K105" s="4">
        <f t="shared" si="6"/>
        <v>0.232317</v>
      </c>
      <c r="L105" s="4">
        <f t="shared" si="6"/>
        <v>0.2389995</v>
      </c>
      <c r="M105" s="4">
        <f t="shared" si="6"/>
        <v>0.23454450000000002</v>
      </c>
      <c r="N105" s="4">
        <f t="shared" si="6"/>
        <v>0.22786200000000001</v>
      </c>
      <c r="O105" s="4">
        <f t="shared" si="6"/>
        <v>0.2122695</v>
      </c>
      <c r="P105" s="4">
        <f t="shared" si="6"/>
        <v>0.17885699999999999</v>
      </c>
      <c r="Q105" s="4">
        <f t="shared" si="6"/>
        <v>0.21672450000000001</v>
      </c>
      <c r="R105" s="4">
        <f t="shared" si="6"/>
        <v>0.21672450000000001</v>
      </c>
      <c r="S105" s="4">
        <f t="shared" si="6"/>
        <v>0.23966774999999998</v>
      </c>
    </row>
    <row r="106" spans="9:19" x14ac:dyDescent="0.25">
      <c r="I106">
        <v>22</v>
      </c>
      <c r="J106" s="4">
        <f t="shared" si="6"/>
        <v>0.25013699999999994</v>
      </c>
      <c r="K106" s="4">
        <f t="shared" si="6"/>
        <v>0.23454450000000002</v>
      </c>
      <c r="L106" s="4">
        <f t="shared" si="6"/>
        <v>0.23454450000000002</v>
      </c>
      <c r="M106" s="4">
        <f t="shared" si="6"/>
        <v>0.23677200000000004</v>
      </c>
      <c r="N106" s="4">
        <f t="shared" si="6"/>
        <v>0.2211795</v>
      </c>
      <c r="O106" s="4">
        <f t="shared" si="6"/>
        <v>0.17885699999999999</v>
      </c>
      <c r="P106" s="4">
        <f t="shared" si="6"/>
        <v>0.14989949999999999</v>
      </c>
      <c r="Q106" s="4">
        <f t="shared" si="6"/>
        <v>0.18108450000000001</v>
      </c>
      <c r="R106" s="4">
        <f t="shared" si="6"/>
        <v>0.19890449999999998</v>
      </c>
      <c r="S106" s="4">
        <f t="shared" si="6"/>
        <v>0.24456824999999999</v>
      </c>
    </row>
    <row r="107" spans="9:19" x14ac:dyDescent="0.25">
      <c r="I107">
        <v>23</v>
      </c>
      <c r="J107" s="4">
        <f t="shared" si="6"/>
        <v>0.22786200000000001</v>
      </c>
      <c r="K107" s="4">
        <f t="shared" si="6"/>
        <v>0.22563449999999999</v>
      </c>
      <c r="L107" s="4">
        <f t="shared" si="6"/>
        <v>0.26127450000000002</v>
      </c>
      <c r="M107" s="4">
        <f t="shared" si="6"/>
        <v>0.267957</v>
      </c>
      <c r="N107" s="4">
        <f t="shared" si="6"/>
        <v>0.22786200000000001</v>
      </c>
      <c r="O107" s="4">
        <f t="shared" si="6"/>
        <v>0.15212699999999998</v>
      </c>
      <c r="P107" s="4">
        <f t="shared" si="6"/>
        <v>0.14098950000000002</v>
      </c>
      <c r="Q107" s="4">
        <f t="shared" si="6"/>
        <v>0.156582</v>
      </c>
      <c r="R107" s="4">
        <f t="shared" si="6"/>
        <v>0.17662950000000002</v>
      </c>
      <c r="S107" s="4">
        <f t="shared" si="6"/>
        <v>0.18576225000000005</v>
      </c>
    </row>
    <row r="108" spans="9:19" x14ac:dyDescent="0.25">
      <c r="I108">
        <v>24</v>
      </c>
      <c r="J108" s="4">
        <f t="shared" si="6"/>
        <v>0.147672</v>
      </c>
      <c r="K108" s="4">
        <f t="shared" si="6"/>
        <v>0.1142595</v>
      </c>
      <c r="L108" s="4">
        <f t="shared" si="6"/>
        <v>0.1008945</v>
      </c>
      <c r="M108" s="4">
        <f t="shared" si="6"/>
        <v>8.7529500000000024E-2</v>
      </c>
      <c r="N108" s="4">
        <f t="shared" si="6"/>
        <v>7.1936999999999987E-2</v>
      </c>
      <c r="O108" s="4">
        <f t="shared" si="6"/>
        <v>7.416449999999998E-2</v>
      </c>
      <c r="P108" s="4">
        <f t="shared" si="6"/>
        <v>7.8619499999999995E-2</v>
      </c>
      <c r="Q108" s="4">
        <f t="shared" si="6"/>
        <v>0.10312200000000001</v>
      </c>
      <c r="R108" s="4">
        <f t="shared" si="6"/>
        <v>0.1365345</v>
      </c>
      <c r="S108" s="4">
        <f t="shared" si="6"/>
        <v>0.20781450000000004</v>
      </c>
    </row>
    <row r="109" spans="9:19" x14ac:dyDescent="0.25">
      <c r="I109">
        <v>31</v>
      </c>
      <c r="J109" s="4">
        <f t="shared" si="6"/>
        <v>0.29691449999999997</v>
      </c>
      <c r="K109" s="4">
        <f t="shared" si="6"/>
        <v>0.25236449999999999</v>
      </c>
      <c r="L109" s="4">
        <f t="shared" si="6"/>
        <v>0.25236449999999999</v>
      </c>
      <c r="M109" s="4">
        <f t="shared" si="6"/>
        <v>0.26572949999999995</v>
      </c>
      <c r="N109" s="4">
        <f t="shared" si="6"/>
        <v>0.26127450000000002</v>
      </c>
      <c r="O109" s="4">
        <f t="shared" si="6"/>
        <v>0.21672450000000001</v>
      </c>
      <c r="P109" s="4">
        <f t="shared" si="6"/>
        <v>0.16103699999999999</v>
      </c>
      <c r="Q109" s="4">
        <f t="shared" si="6"/>
        <v>0.14989949999999999</v>
      </c>
      <c r="R109" s="4">
        <f t="shared" si="6"/>
        <v>0.15212699999999998</v>
      </c>
      <c r="S109" s="4">
        <f t="shared" si="6"/>
        <v>0.18086175000000002</v>
      </c>
    </row>
    <row r="110" spans="9:19" x14ac:dyDescent="0.25">
      <c r="I110">
        <v>32</v>
      </c>
      <c r="J110" s="4">
        <f t="shared" si="6"/>
        <v>0.18999449999999996</v>
      </c>
      <c r="K110" s="4">
        <f t="shared" si="6"/>
        <v>0.17662950000000002</v>
      </c>
      <c r="L110" s="4">
        <f t="shared" si="6"/>
        <v>0.14989949999999999</v>
      </c>
      <c r="M110" s="4">
        <f t="shared" si="6"/>
        <v>0.1454445</v>
      </c>
      <c r="N110" s="4">
        <f t="shared" si="6"/>
        <v>0.13207950000000002</v>
      </c>
      <c r="O110" s="4">
        <f t="shared" si="6"/>
        <v>0.13430700000000001</v>
      </c>
      <c r="P110" s="4">
        <f t="shared" si="6"/>
        <v>0.1365345</v>
      </c>
      <c r="Q110" s="4">
        <f t="shared" si="6"/>
        <v>0.1855395</v>
      </c>
      <c r="R110" s="4">
        <f t="shared" si="6"/>
        <v>0.21672450000000001</v>
      </c>
      <c r="S110" s="4">
        <f t="shared" si="6"/>
        <v>0.25191900000000006</v>
      </c>
    </row>
    <row r="111" spans="9:19" x14ac:dyDescent="0.25">
      <c r="I111">
        <v>33</v>
      </c>
      <c r="J111" s="4">
        <f t="shared" si="6"/>
        <v>0.19667699999999996</v>
      </c>
      <c r="K111" s="4">
        <f t="shared" si="6"/>
        <v>0.1944495</v>
      </c>
      <c r="L111" s="4">
        <f t="shared" si="6"/>
        <v>0.2389995</v>
      </c>
      <c r="M111" s="4">
        <f t="shared" si="6"/>
        <v>0.26350199999999996</v>
      </c>
      <c r="N111" s="4">
        <f t="shared" si="6"/>
        <v>0.24345450000000002</v>
      </c>
      <c r="O111" s="4">
        <f t="shared" si="6"/>
        <v>0.23454450000000002</v>
      </c>
      <c r="P111" s="4">
        <f t="shared" si="6"/>
        <v>0.24568199999999998</v>
      </c>
      <c r="Q111" s="4">
        <f t="shared" si="6"/>
        <v>0.22563449999999999</v>
      </c>
      <c r="R111" s="4">
        <f t="shared" si="6"/>
        <v>0.23454450000000002</v>
      </c>
      <c r="S111" s="4">
        <f t="shared" si="6"/>
        <v>0.26172000000000001</v>
      </c>
    </row>
    <row r="112" spans="9:19" x14ac:dyDescent="0.25">
      <c r="I112">
        <v>34</v>
      </c>
      <c r="J112" s="4">
        <f t="shared" si="6"/>
        <v>0.1454445</v>
      </c>
      <c r="K112" s="4">
        <f t="shared" si="6"/>
        <v>0.156582</v>
      </c>
      <c r="L112" s="4">
        <f t="shared" si="6"/>
        <v>0.2122695</v>
      </c>
      <c r="M112" s="4">
        <f t="shared" si="6"/>
        <v>0.24345450000000002</v>
      </c>
      <c r="N112" s="4">
        <f t="shared" si="6"/>
        <v>0.25013699999999994</v>
      </c>
      <c r="O112" s="4">
        <f t="shared" si="6"/>
        <v>0.24568199999999998</v>
      </c>
      <c r="P112" s="4">
        <f t="shared" si="6"/>
        <v>0.21449699999999999</v>
      </c>
      <c r="Q112" s="4">
        <f t="shared" si="6"/>
        <v>0.1944495</v>
      </c>
      <c r="R112" s="4">
        <f t="shared" si="6"/>
        <v>0.17885699999999999</v>
      </c>
      <c r="S112" s="4">
        <f t="shared" si="6"/>
        <v>0.20781450000000004</v>
      </c>
    </row>
    <row r="113" spans="9:19" x14ac:dyDescent="0.25">
      <c r="I113">
        <v>41</v>
      </c>
      <c r="J113" s="4">
        <f t="shared" si="6"/>
        <v>0.21004199999999998</v>
      </c>
      <c r="K113" s="4">
        <f t="shared" si="6"/>
        <v>0.23454450000000002</v>
      </c>
      <c r="L113" s="4">
        <f t="shared" si="6"/>
        <v>0.2880045</v>
      </c>
      <c r="M113" s="4">
        <f t="shared" si="6"/>
        <v>0.26127450000000002</v>
      </c>
      <c r="N113" s="4">
        <f t="shared" si="6"/>
        <v>0.26350199999999996</v>
      </c>
      <c r="O113" s="4">
        <f t="shared" si="6"/>
        <v>0.25459199999999998</v>
      </c>
      <c r="P113" s="4">
        <f t="shared" si="6"/>
        <v>0.18108450000000001</v>
      </c>
      <c r="Q113" s="4">
        <f t="shared" si="6"/>
        <v>0.16103699999999999</v>
      </c>
      <c r="R113" s="4">
        <f t="shared" si="6"/>
        <v>0.17662950000000002</v>
      </c>
      <c r="S113" s="4">
        <f t="shared" si="6"/>
        <v>0.22006574999999998</v>
      </c>
    </row>
    <row r="114" spans="9:19" x14ac:dyDescent="0.25">
      <c r="I114">
        <v>42</v>
      </c>
      <c r="J114" s="4">
        <f t="shared" si="6"/>
        <v>0.21004199999999998</v>
      </c>
      <c r="K114" s="4">
        <f t="shared" si="6"/>
        <v>0.21004199999999998</v>
      </c>
      <c r="L114" s="4">
        <f t="shared" si="6"/>
        <v>0.23454450000000002</v>
      </c>
      <c r="M114" s="4">
        <f t="shared" si="6"/>
        <v>0.23454450000000002</v>
      </c>
      <c r="N114" s="4">
        <f t="shared" si="6"/>
        <v>0.2389995</v>
      </c>
      <c r="O114" s="4">
        <f t="shared" si="6"/>
        <v>0.1855395</v>
      </c>
      <c r="P114" s="4">
        <f t="shared" si="6"/>
        <v>0.1454445</v>
      </c>
      <c r="Q114" s="4">
        <f t="shared" si="6"/>
        <v>0.156582</v>
      </c>
      <c r="R114" s="4">
        <f t="shared" si="6"/>
        <v>0.18776700000000002</v>
      </c>
      <c r="S114" s="4">
        <f t="shared" si="6"/>
        <v>0.22986674999999998</v>
      </c>
    </row>
    <row r="115" spans="9:19" x14ac:dyDescent="0.25">
      <c r="I115">
        <v>43</v>
      </c>
      <c r="J115" s="4">
        <f t="shared" si="6"/>
        <v>0.22563449999999999</v>
      </c>
      <c r="K115" s="4">
        <f t="shared" si="6"/>
        <v>0.22786200000000001</v>
      </c>
      <c r="L115" s="4">
        <f t="shared" si="6"/>
        <v>0.24790949999999998</v>
      </c>
      <c r="M115" s="4">
        <f t="shared" si="6"/>
        <v>0.19890449999999998</v>
      </c>
      <c r="N115" s="4">
        <f t="shared" si="6"/>
        <v>0.20781449999999999</v>
      </c>
      <c r="O115" s="4">
        <f t="shared" si="6"/>
        <v>0.1944495</v>
      </c>
      <c r="P115" s="4">
        <f t="shared" si="6"/>
        <v>0.19222199999999998</v>
      </c>
      <c r="Q115" s="4">
        <f t="shared" si="6"/>
        <v>0.15212699999999998</v>
      </c>
      <c r="R115" s="4">
        <f t="shared" si="6"/>
        <v>0.15212699999999998</v>
      </c>
      <c r="S115" s="4">
        <f t="shared" si="6"/>
        <v>0.20781450000000004</v>
      </c>
    </row>
    <row r="116" spans="9:19" x14ac:dyDescent="0.25">
      <c r="I116">
        <v>44</v>
      </c>
      <c r="J116" s="4">
        <f t="shared" ref="J116:S116" si="7">IF(J88&lt;0,"",J88/100)</f>
        <v>0.165492</v>
      </c>
      <c r="K116" s="4">
        <f t="shared" si="7"/>
        <v>0.18776700000000002</v>
      </c>
      <c r="L116" s="4">
        <f t="shared" si="7"/>
        <v>0.26127450000000002</v>
      </c>
      <c r="M116" s="4">
        <f t="shared" si="7"/>
        <v>0.25013699999999994</v>
      </c>
      <c r="N116" s="4">
        <f t="shared" si="7"/>
        <v>0.26127450000000002</v>
      </c>
      <c r="O116" s="4">
        <f t="shared" si="7"/>
        <v>0.24122700000000002</v>
      </c>
      <c r="P116" s="4">
        <f t="shared" si="7"/>
        <v>0.22563449999999999</v>
      </c>
      <c r="Q116" s="4">
        <f t="shared" si="7"/>
        <v>0.165492</v>
      </c>
      <c r="R116" s="4">
        <f t="shared" si="7"/>
        <v>0.129852</v>
      </c>
      <c r="S116" s="4">
        <f t="shared" si="7"/>
        <v>0.15390900000000002</v>
      </c>
    </row>
    <row r="117" spans="9:19" x14ac:dyDescent="0.25">
      <c r="I117">
        <v>51</v>
      </c>
      <c r="J117" s="4">
        <f t="shared" ref="J117:S123" si="8">IF(J89&lt;0,"",J89/100)</f>
        <v>0.27686699999999997</v>
      </c>
      <c r="K117" s="4">
        <f t="shared" si="8"/>
        <v>0.27686699999999997</v>
      </c>
      <c r="L117" s="4">
        <f t="shared" si="8"/>
        <v>0.26572949999999995</v>
      </c>
      <c r="M117" s="4">
        <f t="shared" si="8"/>
        <v>0.27463949999999998</v>
      </c>
      <c r="N117" s="4">
        <f t="shared" si="8"/>
        <v>0.26127450000000002</v>
      </c>
      <c r="O117" s="4">
        <f t="shared" si="8"/>
        <v>0.24790949999999998</v>
      </c>
      <c r="P117" s="4">
        <f t="shared" si="8"/>
        <v>0.22786200000000001</v>
      </c>
      <c r="Q117" s="4">
        <f t="shared" si="8"/>
        <v>0.22786200000000001</v>
      </c>
      <c r="R117" s="4">
        <f t="shared" si="8"/>
        <v>0.2389995</v>
      </c>
      <c r="S117" s="4">
        <f t="shared" si="8"/>
        <v>0.26172000000000001</v>
      </c>
    </row>
    <row r="118" spans="9:19" x14ac:dyDescent="0.25">
      <c r="I118">
        <v>52</v>
      </c>
      <c r="J118" s="4">
        <f t="shared" si="8"/>
        <v>0.24568199999999998</v>
      </c>
      <c r="K118" s="4">
        <f t="shared" si="8"/>
        <v>0.2389995</v>
      </c>
      <c r="L118" s="4">
        <f t="shared" si="8"/>
        <v>0.28132200000000002</v>
      </c>
      <c r="M118" s="4">
        <f t="shared" si="8"/>
        <v>0.29023199999999999</v>
      </c>
      <c r="N118" s="4">
        <f t="shared" si="8"/>
        <v>0.30136949999999996</v>
      </c>
      <c r="O118" s="4">
        <f t="shared" si="8"/>
        <v>0.28577700000000006</v>
      </c>
      <c r="P118" s="4">
        <f t="shared" si="8"/>
        <v>0.27241199999999993</v>
      </c>
      <c r="Q118" s="4">
        <f t="shared" si="8"/>
        <v>0.22340700000000002</v>
      </c>
      <c r="R118" s="4">
        <f t="shared" si="8"/>
        <v>0.22563449999999999</v>
      </c>
      <c r="S118" s="4">
        <f t="shared" si="8"/>
        <v>0.25681950000000003</v>
      </c>
    </row>
    <row r="119" spans="9:19" x14ac:dyDescent="0.25">
      <c r="I119">
        <v>53</v>
      </c>
      <c r="J119" s="4">
        <f t="shared" si="8"/>
        <v>0.25013699999999994</v>
      </c>
      <c r="K119" s="4">
        <f t="shared" si="8"/>
        <v>0.23677200000000004</v>
      </c>
      <c r="L119" s="4">
        <f t="shared" si="8"/>
        <v>0.26350199999999996</v>
      </c>
      <c r="M119" s="4">
        <f t="shared" si="8"/>
        <v>0.27686699999999997</v>
      </c>
      <c r="N119" s="4">
        <f t="shared" si="8"/>
        <v>0.267957</v>
      </c>
      <c r="O119" s="4">
        <f t="shared" si="8"/>
        <v>0.24790949999999998</v>
      </c>
      <c r="P119" s="4">
        <f t="shared" si="8"/>
        <v>0.19890449999999998</v>
      </c>
      <c r="Q119" s="4">
        <f t="shared" si="8"/>
        <v>0.138762</v>
      </c>
      <c r="R119" s="4">
        <f t="shared" si="8"/>
        <v>0.13430700000000001</v>
      </c>
      <c r="S119" s="4">
        <f t="shared" si="8"/>
        <v>0.17841150000000003</v>
      </c>
    </row>
    <row r="120" spans="9:19" x14ac:dyDescent="0.25">
      <c r="I120">
        <v>54</v>
      </c>
      <c r="J120" s="4">
        <f t="shared" si="8"/>
        <v>0.23454450000000002</v>
      </c>
      <c r="K120" s="4">
        <f t="shared" si="8"/>
        <v>0.22786200000000001</v>
      </c>
      <c r="L120" s="4">
        <f t="shared" si="8"/>
        <v>0.22786200000000001</v>
      </c>
      <c r="M120" s="4">
        <f t="shared" si="8"/>
        <v>0.25459199999999998</v>
      </c>
      <c r="N120" s="4">
        <f t="shared" si="8"/>
        <v>0.25681949999999998</v>
      </c>
      <c r="O120" s="4">
        <f t="shared" si="8"/>
        <v>0.232317</v>
      </c>
      <c r="P120" s="4">
        <f t="shared" si="8"/>
        <v>0.18776700000000002</v>
      </c>
      <c r="Q120" s="4">
        <f t="shared" si="8"/>
        <v>0.16771949999999999</v>
      </c>
      <c r="R120" s="4">
        <f t="shared" si="8"/>
        <v>0.14098950000000002</v>
      </c>
      <c r="S120" s="4">
        <f t="shared" si="8"/>
        <v>0.20291400000000004</v>
      </c>
    </row>
    <row r="121" spans="9:19" x14ac:dyDescent="0.25">
      <c r="I121">
        <v>61</v>
      </c>
      <c r="J121" s="4">
        <f t="shared" si="8"/>
        <v>0.20781449999999999</v>
      </c>
      <c r="K121" s="4">
        <f t="shared" si="8"/>
        <v>0.16994700000000001</v>
      </c>
      <c r="L121" s="4">
        <f t="shared" si="8"/>
        <v>0.174402</v>
      </c>
      <c r="M121" s="4">
        <f t="shared" si="8"/>
        <v>0.21449699999999999</v>
      </c>
      <c r="N121" s="4">
        <f t="shared" si="8"/>
        <v>0.22786200000000001</v>
      </c>
      <c r="O121" s="4">
        <f t="shared" si="8"/>
        <v>0.174402</v>
      </c>
      <c r="P121" s="4">
        <f t="shared" si="8"/>
        <v>0.16994700000000001</v>
      </c>
      <c r="Q121" s="4">
        <f t="shared" si="8"/>
        <v>0.16103699999999999</v>
      </c>
      <c r="R121" s="4">
        <f t="shared" si="8"/>
        <v>0.17662950000000002</v>
      </c>
      <c r="S121" s="4">
        <f t="shared" si="8"/>
        <v>0.20046375000000005</v>
      </c>
    </row>
    <row r="122" spans="9:19" x14ac:dyDescent="0.25">
      <c r="I122">
        <v>62</v>
      </c>
      <c r="J122" s="4">
        <f t="shared" si="8"/>
        <v>0.22563449999999999</v>
      </c>
      <c r="K122" s="4">
        <f t="shared" si="8"/>
        <v>0.232317</v>
      </c>
      <c r="L122" s="4">
        <f t="shared" si="8"/>
        <v>0.25236449999999999</v>
      </c>
      <c r="M122" s="4">
        <f t="shared" si="8"/>
        <v>0.1944495</v>
      </c>
      <c r="N122" s="4">
        <f t="shared" si="8"/>
        <v>0.165492</v>
      </c>
      <c r="O122" s="4">
        <f t="shared" si="8"/>
        <v>0.165492</v>
      </c>
      <c r="P122" s="4">
        <f t="shared" si="8"/>
        <v>0.138762</v>
      </c>
      <c r="Q122" s="4">
        <f t="shared" si="8"/>
        <v>0.156582</v>
      </c>
      <c r="R122" s="4">
        <f t="shared" si="8"/>
        <v>0.20113199999999998</v>
      </c>
      <c r="S122" s="4">
        <f t="shared" si="8"/>
        <v>0.232317</v>
      </c>
    </row>
    <row r="123" spans="9:19" x14ac:dyDescent="0.25">
      <c r="I123">
        <v>63</v>
      </c>
      <c r="J123" s="4">
        <f t="shared" si="8"/>
        <v>0.26127450000000002</v>
      </c>
      <c r="K123" s="4">
        <f t="shared" si="8"/>
        <v>0.24122700000000002</v>
      </c>
      <c r="L123" s="4">
        <f t="shared" si="8"/>
        <v>0.2211795</v>
      </c>
      <c r="M123" s="4">
        <f t="shared" si="8"/>
        <v>0.20335949999999997</v>
      </c>
      <c r="N123" s="4">
        <f t="shared" si="8"/>
        <v>0.21895199999999998</v>
      </c>
      <c r="O123" s="4">
        <f t="shared" si="8"/>
        <v>0.22563449999999999</v>
      </c>
      <c r="P123" s="4">
        <f t="shared" si="8"/>
        <v>0.16994700000000001</v>
      </c>
      <c r="Q123" s="4">
        <f t="shared" si="8"/>
        <v>0.14098950000000002</v>
      </c>
      <c r="R123" s="4">
        <f t="shared" si="8"/>
        <v>0.16771949999999999</v>
      </c>
      <c r="S123" s="4">
        <f t="shared" si="8"/>
        <v>0.22496624999999998</v>
      </c>
    </row>
    <row r="124" spans="9:19" x14ac:dyDescent="0.25">
      <c r="I124">
        <v>64</v>
      </c>
      <c r="J124" s="4">
        <f t="shared" ref="J124:S124" si="9">IF(J96&lt;0,"",J96/100)</f>
        <v>0.27018449999999999</v>
      </c>
      <c r="K124" s="4">
        <f t="shared" si="9"/>
        <v>0.25013699999999994</v>
      </c>
      <c r="L124" s="4">
        <f t="shared" si="9"/>
        <v>0.2122695</v>
      </c>
      <c r="M124" s="4">
        <f t="shared" si="9"/>
        <v>0.23454450000000002</v>
      </c>
      <c r="N124" s="4">
        <f t="shared" si="9"/>
        <v>0.24790949999999998</v>
      </c>
      <c r="O124" s="4">
        <f t="shared" si="9"/>
        <v>0.22786200000000001</v>
      </c>
      <c r="P124" s="4">
        <f t="shared" si="9"/>
        <v>0.18776700000000002</v>
      </c>
      <c r="Q124" s="4">
        <f t="shared" si="9"/>
        <v>0.12316949999999999</v>
      </c>
      <c r="R124" s="4">
        <f t="shared" si="9"/>
        <v>0.12539700000000001</v>
      </c>
      <c r="S124" s="4">
        <f t="shared" si="9"/>
        <v>0.20046375000000005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BDD4-C844-4E5D-BAD9-B487BBB00E71}">
  <dimension ref="A1:T124"/>
  <sheetViews>
    <sheetView topLeftCell="E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10289</v>
      </c>
      <c r="F1">
        <v>0</v>
      </c>
      <c r="G1">
        <v>10</v>
      </c>
      <c r="H1">
        <v>1834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8</v>
      </c>
      <c r="G18">
        <v>24</v>
      </c>
      <c r="H18">
        <v>6</v>
      </c>
      <c r="I18">
        <v>1</v>
      </c>
      <c r="J18">
        <v>1.05</v>
      </c>
      <c r="K18">
        <v>1.1100000000000001</v>
      </c>
      <c r="L18">
        <v>1.25</v>
      </c>
      <c r="M18">
        <v>1.43</v>
      </c>
      <c r="N18">
        <v>1.33</v>
      </c>
      <c r="O18">
        <v>1.44</v>
      </c>
      <c r="P18">
        <v>1.49</v>
      </c>
      <c r="Q18">
        <v>1.42</v>
      </c>
      <c r="R18">
        <v>1.4</v>
      </c>
      <c r="S18">
        <v>1.37</v>
      </c>
      <c r="T18">
        <v>3723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8</v>
      </c>
      <c r="G19">
        <v>24</v>
      </c>
      <c r="H19">
        <v>6</v>
      </c>
      <c r="I19">
        <v>5</v>
      </c>
      <c r="J19">
        <v>1.3</v>
      </c>
      <c r="K19">
        <v>1.3</v>
      </c>
      <c r="L19">
        <v>1.1200000000000001</v>
      </c>
      <c r="M19">
        <v>1.02</v>
      </c>
      <c r="N19">
        <v>0.91</v>
      </c>
      <c r="O19">
        <v>0.94</v>
      </c>
      <c r="P19">
        <v>0.86</v>
      </c>
      <c r="Q19">
        <v>1.1200000000000001</v>
      </c>
      <c r="R19">
        <v>1.07</v>
      </c>
      <c r="S19">
        <v>1</v>
      </c>
      <c r="T19">
        <v>3714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8</v>
      </c>
      <c r="G20">
        <v>24</v>
      </c>
      <c r="H20">
        <v>6</v>
      </c>
      <c r="I20">
        <v>0</v>
      </c>
      <c r="J20">
        <v>1.21</v>
      </c>
      <c r="K20">
        <v>1.1299999999999999</v>
      </c>
      <c r="L20">
        <v>1.22</v>
      </c>
      <c r="M20">
        <v>1.33</v>
      </c>
      <c r="N20">
        <v>1.32</v>
      </c>
      <c r="O20">
        <v>1.0900000000000001</v>
      </c>
      <c r="P20">
        <v>0.93</v>
      </c>
      <c r="Q20">
        <v>0.99</v>
      </c>
      <c r="R20">
        <v>1.1299999999999999</v>
      </c>
      <c r="S20">
        <v>1.1299999999999999</v>
      </c>
      <c r="T20">
        <v>3720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8</v>
      </c>
      <c r="G21">
        <v>24</v>
      </c>
      <c r="H21">
        <v>6</v>
      </c>
      <c r="I21">
        <v>12</v>
      </c>
      <c r="J21">
        <v>1.39</v>
      </c>
      <c r="K21">
        <v>1.38</v>
      </c>
      <c r="L21">
        <v>1.43</v>
      </c>
      <c r="M21">
        <v>1.35</v>
      </c>
      <c r="N21">
        <v>1.2</v>
      </c>
      <c r="O21">
        <v>1.1000000000000001</v>
      </c>
      <c r="P21">
        <v>1.38</v>
      </c>
      <c r="Q21">
        <v>1.42</v>
      </c>
      <c r="R21">
        <v>1.32</v>
      </c>
      <c r="S21">
        <v>1.31</v>
      </c>
      <c r="T21">
        <v>3722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8</v>
      </c>
      <c r="G22">
        <v>24</v>
      </c>
      <c r="H22">
        <v>6</v>
      </c>
      <c r="I22">
        <v>17</v>
      </c>
      <c r="J22">
        <v>0.93</v>
      </c>
      <c r="K22">
        <v>0.74</v>
      </c>
      <c r="L22">
        <v>0.69</v>
      </c>
      <c r="M22">
        <v>0.63</v>
      </c>
      <c r="N22">
        <v>0.61</v>
      </c>
      <c r="O22">
        <v>0.6</v>
      </c>
      <c r="P22">
        <v>0.63</v>
      </c>
      <c r="Q22">
        <v>0.72</v>
      </c>
      <c r="R22">
        <v>0.89</v>
      </c>
      <c r="S22">
        <v>1.1499999999999999</v>
      </c>
      <c r="T22">
        <v>3751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8</v>
      </c>
      <c r="G23">
        <v>24</v>
      </c>
      <c r="H23">
        <v>6</v>
      </c>
      <c r="I23">
        <v>22</v>
      </c>
      <c r="J23">
        <v>1.25</v>
      </c>
      <c r="K23">
        <v>1.27</v>
      </c>
      <c r="L23">
        <v>1.41</v>
      </c>
      <c r="M23">
        <v>1.48</v>
      </c>
      <c r="N23">
        <v>1.28</v>
      </c>
      <c r="O23">
        <v>0.95</v>
      </c>
      <c r="P23">
        <v>0.87</v>
      </c>
      <c r="Q23">
        <v>0.95</v>
      </c>
      <c r="R23">
        <v>1.07</v>
      </c>
      <c r="S23">
        <v>1.01</v>
      </c>
      <c r="T23">
        <v>3752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8</v>
      </c>
      <c r="G24">
        <v>24</v>
      </c>
      <c r="H24">
        <v>6</v>
      </c>
      <c r="I24">
        <v>27</v>
      </c>
      <c r="J24">
        <v>1.35</v>
      </c>
      <c r="K24">
        <v>1.32</v>
      </c>
      <c r="L24">
        <v>1.3</v>
      </c>
      <c r="M24">
        <v>1.38</v>
      </c>
      <c r="N24">
        <v>1.3</v>
      </c>
      <c r="O24">
        <v>1.1499999999999999</v>
      </c>
      <c r="P24">
        <v>0.97</v>
      </c>
      <c r="Q24">
        <v>1.1200000000000001</v>
      </c>
      <c r="R24">
        <v>1.1299999999999999</v>
      </c>
      <c r="S24">
        <v>1.22</v>
      </c>
      <c r="T24">
        <v>3734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8</v>
      </c>
      <c r="G25">
        <v>24</v>
      </c>
      <c r="H25">
        <v>6</v>
      </c>
      <c r="I25">
        <v>31</v>
      </c>
      <c r="J25">
        <v>1.47</v>
      </c>
      <c r="K25">
        <v>1.34</v>
      </c>
      <c r="L25">
        <v>1.33</v>
      </c>
      <c r="M25">
        <v>1.3</v>
      </c>
      <c r="N25">
        <v>1.24</v>
      </c>
      <c r="O25">
        <v>1.18</v>
      </c>
      <c r="P25">
        <v>1.02</v>
      </c>
      <c r="Q25">
        <v>1.25</v>
      </c>
      <c r="R25">
        <v>1.26</v>
      </c>
      <c r="S25">
        <v>1.29</v>
      </c>
      <c r="T25">
        <v>3734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8</v>
      </c>
      <c r="G26">
        <v>24</v>
      </c>
      <c r="H26">
        <v>6</v>
      </c>
      <c r="I26">
        <v>35</v>
      </c>
      <c r="J26">
        <v>1.66</v>
      </c>
      <c r="K26">
        <v>1.42</v>
      </c>
      <c r="L26">
        <v>1.41</v>
      </c>
      <c r="M26">
        <v>1.4</v>
      </c>
      <c r="N26">
        <v>1.37</v>
      </c>
      <c r="O26">
        <v>1.19</v>
      </c>
      <c r="P26">
        <v>0.96</v>
      </c>
      <c r="Q26">
        <v>0.96</v>
      </c>
      <c r="R26">
        <v>0.94</v>
      </c>
      <c r="S26">
        <v>0.97</v>
      </c>
      <c r="T26">
        <v>3769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8</v>
      </c>
      <c r="G27">
        <v>24</v>
      </c>
      <c r="H27">
        <v>6</v>
      </c>
      <c r="I27">
        <v>31</v>
      </c>
      <c r="J27">
        <v>1.1200000000000001</v>
      </c>
      <c r="K27">
        <v>1.08</v>
      </c>
      <c r="L27">
        <v>0.94</v>
      </c>
      <c r="M27">
        <v>0.9</v>
      </c>
      <c r="N27">
        <v>0.88</v>
      </c>
      <c r="O27">
        <v>0.85</v>
      </c>
      <c r="P27">
        <v>0.93</v>
      </c>
      <c r="Q27">
        <v>1.1299999999999999</v>
      </c>
      <c r="R27">
        <v>1.25</v>
      </c>
      <c r="S27">
        <v>1.21</v>
      </c>
      <c r="T27">
        <v>3745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8</v>
      </c>
      <c r="G28">
        <v>24</v>
      </c>
      <c r="H28">
        <v>6</v>
      </c>
      <c r="I28">
        <v>44</v>
      </c>
      <c r="J28">
        <v>1.1499999999999999</v>
      </c>
      <c r="K28">
        <v>1.1599999999999999</v>
      </c>
      <c r="L28">
        <v>1.32</v>
      </c>
      <c r="M28">
        <v>1.46</v>
      </c>
      <c r="N28">
        <v>1.39</v>
      </c>
      <c r="O28">
        <v>1.32</v>
      </c>
      <c r="P28">
        <v>1.39</v>
      </c>
      <c r="Q28">
        <v>1.25</v>
      </c>
      <c r="R28">
        <v>1.36</v>
      </c>
      <c r="S28">
        <v>1.32</v>
      </c>
      <c r="T28">
        <v>3743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8</v>
      </c>
      <c r="G29">
        <v>24</v>
      </c>
      <c r="H29">
        <v>6</v>
      </c>
      <c r="I29">
        <v>40</v>
      </c>
      <c r="J29">
        <v>0.93</v>
      </c>
      <c r="K29">
        <v>0.98</v>
      </c>
      <c r="L29">
        <v>1.23</v>
      </c>
      <c r="M29">
        <v>1.34</v>
      </c>
      <c r="N29">
        <v>1.35</v>
      </c>
      <c r="O29">
        <v>1.37</v>
      </c>
      <c r="P29">
        <v>1.22</v>
      </c>
      <c r="Q29">
        <v>1.1100000000000001</v>
      </c>
      <c r="R29">
        <v>1.03</v>
      </c>
      <c r="S29">
        <v>1.04</v>
      </c>
      <c r="T29">
        <v>3730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8</v>
      </c>
      <c r="G30">
        <v>24</v>
      </c>
      <c r="H30">
        <v>6</v>
      </c>
      <c r="I30">
        <v>52</v>
      </c>
      <c r="J30">
        <v>1.02</v>
      </c>
      <c r="K30">
        <v>1.0900000000000001</v>
      </c>
      <c r="L30">
        <v>1.43</v>
      </c>
      <c r="M30">
        <v>1.38</v>
      </c>
      <c r="N30">
        <v>1.44</v>
      </c>
      <c r="O30">
        <v>1.32</v>
      </c>
      <c r="P30">
        <v>1.28</v>
      </c>
      <c r="Q30">
        <v>1.01</v>
      </c>
      <c r="R30">
        <v>0.86</v>
      </c>
      <c r="S30">
        <v>0.86</v>
      </c>
      <c r="T30">
        <v>3741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8</v>
      </c>
      <c r="G31">
        <v>24</v>
      </c>
      <c r="H31">
        <v>6</v>
      </c>
      <c r="I31">
        <v>57</v>
      </c>
      <c r="J31">
        <v>1.29</v>
      </c>
      <c r="K31">
        <v>1.26</v>
      </c>
      <c r="L31">
        <v>1.37</v>
      </c>
      <c r="M31">
        <v>1.17</v>
      </c>
      <c r="N31">
        <v>1.21</v>
      </c>
      <c r="O31">
        <v>1.1399999999999999</v>
      </c>
      <c r="P31">
        <v>1.1100000000000001</v>
      </c>
      <c r="Q31">
        <v>0.95</v>
      </c>
      <c r="R31">
        <v>0.95</v>
      </c>
      <c r="S31">
        <v>1.1000000000000001</v>
      </c>
      <c r="T31">
        <v>3738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8</v>
      </c>
      <c r="G32">
        <v>24</v>
      </c>
      <c r="H32">
        <v>7</v>
      </c>
      <c r="I32">
        <v>2</v>
      </c>
      <c r="J32">
        <v>1.22</v>
      </c>
      <c r="K32">
        <v>1.18</v>
      </c>
      <c r="L32">
        <v>1.31</v>
      </c>
      <c r="M32">
        <v>1.29</v>
      </c>
      <c r="N32">
        <v>1.36</v>
      </c>
      <c r="O32">
        <v>1.0900000000000001</v>
      </c>
      <c r="P32">
        <v>0.89</v>
      </c>
      <c r="Q32">
        <v>0.96</v>
      </c>
      <c r="R32">
        <v>1.05</v>
      </c>
      <c r="S32">
        <v>1.1599999999999999</v>
      </c>
      <c r="T32">
        <v>3740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8</v>
      </c>
      <c r="G33">
        <v>24</v>
      </c>
      <c r="H33">
        <v>7</v>
      </c>
      <c r="I33">
        <v>6</v>
      </c>
      <c r="J33">
        <v>1.22</v>
      </c>
      <c r="K33">
        <v>1.3</v>
      </c>
      <c r="L33">
        <v>1.55</v>
      </c>
      <c r="M33">
        <v>1.46</v>
      </c>
      <c r="N33">
        <v>1.44</v>
      </c>
      <c r="O33">
        <v>1.4</v>
      </c>
      <c r="P33">
        <v>1.0900000000000001</v>
      </c>
      <c r="Q33">
        <v>1</v>
      </c>
      <c r="R33">
        <v>1.1399999999999999</v>
      </c>
      <c r="S33">
        <v>1.24</v>
      </c>
      <c r="T33">
        <v>3673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8</v>
      </c>
      <c r="G34">
        <v>24</v>
      </c>
      <c r="H34">
        <v>7</v>
      </c>
      <c r="I34">
        <v>11</v>
      </c>
      <c r="J34">
        <v>1.52</v>
      </c>
      <c r="K34">
        <v>1.49</v>
      </c>
      <c r="L34">
        <v>1.46</v>
      </c>
      <c r="M34">
        <v>1.45</v>
      </c>
      <c r="N34">
        <v>1.39</v>
      </c>
      <c r="O34">
        <v>1.35</v>
      </c>
      <c r="P34">
        <v>1.31</v>
      </c>
      <c r="Q34">
        <v>1.31</v>
      </c>
      <c r="R34">
        <v>1.35</v>
      </c>
      <c r="S34">
        <v>1.37</v>
      </c>
      <c r="T34">
        <v>3703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8</v>
      </c>
      <c r="G35">
        <v>24</v>
      </c>
      <c r="H35">
        <v>7</v>
      </c>
      <c r="I35">
        <v>15</v>
      </c>
      <c r="J35">
        <v>1.38</v>
      </c>
      <c r="K35">
        <v>1.35</v>
      </c>
      <c r="L35">
        <v>1.51</v>
      </c>
      <c r="M35">
        <v>1.53</v>
      </c>
      <c r="N35">
        <v>1.63</v>
      </c>
      <c r="O35">
        <v>1.56</v>
      </c>
      <c r="P35">
        <v>1.53</v>
      </c>
      <c r="Q35">
        <v>1.3</v>
      </c>
      <c r="R35">
        <v>1.3</v>
      </c>
      <c r="S35">
        <v>1.38</v>
      </c>
      <c r="T35">
        <v>3699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8</v>
      </c>
      <c r="G36">
        <v>24</v>
      </c>
      <c r="H36">
        <v>7</v>
      </c>
      <c r="I36">
        <v>11</v>
      </c>
      <c r="J36">
        <v>1.37</v>
      </c>
      <c r="K36">
        <v>1.34</v>
      </c>
      <c r="L36">
        <v>1.41</v>
      </c>
      <c r="M36">
        <v>1.52</v>
      </c>
      <c r="N36">
        <v>1.45</v>
      </c>
      <c r="O36">
        <v>1.37</v>
      </c>
      <c r="P36">
        <v>1.18</v>
      </c>
      <c r="Q36">
        <v>0.89</v>
      </c>
      <c r="R36">
        <v>0.87</v>
      </c>
      <c r="S36">
        <v>0.97</v>
      </c>
      <c r="T36">
        <v>3718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8</v>
      </c>
      <c r="G37">
        <v>24</v>
      </c>
      <c r="H37">
        <v>7</v>
      </c>
      <c r="I37">
        <v>23</v>
      </c>
      <c r="J37">
        <v>1.31</v>
      </c>
      <c r="K37">
        <v>1.3</v>
      </c>
      <c r="L37">
        <v>1.28</v>
      </c>
      <c r="M37">
        <v>1.42</v>
      </c>
      <c r="N37">
        <v>1.43</v>
      </c>
      <c r="O37">
        <v>1.28</v>
      </c>
      <c r="P37">
        <v>1.1000000000000001</v>
      </c>
      <c r="Q37">
        <v>0.98</v>
      </c>
      <c r="R37">
        <v>0.92</v>
      </c>
      <c r="S37">
        <v>1.0900000000000001</v>
      </c>
      <c r="T37">
        <v>3694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8</v>
      </c>
      <c r="G38">
        <v>24</v>
      </c>
      <c r="H38">
        <v>7</v>
      </c>
      <c r="I38">
        <v>27</v>
      </c>
      <c r="J38">
        <v>1.49</v>
      </c>
      <c r="K38">
        <v>1.43</v>
      </c>
      <c r="L38">
        <v>1.21</v>
      </c>
      <c r="M38">
        <v>1.29</v>
      </c>
      <c r="N38">
        <v>1.39</v>
      </c>
      <c r="O38">
        <v>1.31</v>
      </c>
      <c r="P38">
        <v>1.1000000000000001</v>
      </c>
      <c r="Q38">
        <v>0.84</v>
      </c>
      <c r="R38">
        <v>0.82</v>
      </c>
      <c r="S38">
        <v>1</v>
      </c>
      <c r="T38">
        <v>3692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8</v>
      </c>
      <c r="G39">
        <v>24</v>
      </c>
      <c r="H39">
        <v>7</v>
      </c>
      <c r="I39">
        <v>31</v>
      </c>
      <c r="J39">
        <v>1.47</v>
      </c>
      <c r="K39">
        <v>1.34</v>
      </c>
      <c r="L39">
        <v>1.26</v>
      </c>
      <c r="M39">
        <v>1.17</v>
      </c>
      <c r="N39">
        <v>1.24</v>
      </c>
      <c r="O39">
        <v>1.29</v>
      </c>
      <c r="P39">
        <v>1.06</v>
      </c>
      <c r="Q39">
        <v>0.93</v>
      </c>
      <c r="R39">
        <v>0.98</v>
      </c>
      <c r="S39">
        <v>1.1599999999999999</v>
      </c>
      <c r="T39">
        <v>3704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8</v>
      </c>
      <c r="G40">
        <v>24</v>
      </c>
      <c r="H40">
        <v>7</v>
      </c>
      <c r="I40">
        <v>35</v>
      </c>
      <c r="J40">
        <v>1.27</v>
      </c>
      <c r="K40">
        <v>1.29</v>
      </c>
      <c r="L40">
        <v>1.4</v>
      </c>
      <c r="M40">
        <v>1.1399999999999999</v>
      </c>
      <c r="N40">
        <v>0.98</v>
      </c>
      <c r="O40">
        <v>1.02</v>
      </c>
      <c r="P40">
        <v>0.9</v>
      </c>
      <c r="Q40">
        <v>0.93</v>
      </c>
      <c r="R40">
        <v>1.1200000000000001</v>
      </c>
      <c r="S40">
        <v>1.2</v>
      </c>
      <c r="T40">
        <v>3685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8</v>
      </c>
      <c r="G41">
        <v>24</v>
      </c>
      <c r="H41">
        <v>7</v>
      </c>
      <c r="I41">
        <v>31</v>
      </c>
      <c r="J41">
        <v>1.2</v>
      </c>
      <c r="K41">
        <v>1.01</v>
      </c>
      <c r="L41">
        <v>1.06</v>
      </c>
      <c r="M41">
        <v>1.21</v>
      </c>
      <c r="N41">
        <v>1.3</v>
      </c>
      <c r="O41">
        <v>1.0900000000000001</v>
      </c>
      <c r="P41">
        <v>1.02</v>
      </c>
      <c r="Q41">
        <v>1.02</v>
      </c>
      <c r="R41">
        <v>1.06</v>
      </c>
      <c r="S41">
        <v>1.0900000000000001</v>
      </c>
      <c r="T41">
        <v>3650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8</v>
      </c>
      <c r="G45">
        <v>24</v>
      </c>
      <c r="H45">
        <v>6</v>
      </c>
      <c r="I45">
        <v>1</v>
      </c>
      <c r="J45">
        <v>1.05</v>
      </c>
      <c r="K45">
        <v>1.1100000000000001</v>
      </c>
      <c r="L45">
        <v>1.25</v>
      </c>
      <c r="M45">
        <v>1.43</v>
      </c>
      <c r="N45">
        <v>1.33</v>
      </c>
      <c r="O45">
        <v>1.44</v>
      </c>
      <c r="P45">
        <v>1.49</v>
      </c>
      <c r="Q45">
        <v>1.42</v>
      </c>
      <c r="R45">
        <v>1.4</v>
      </c>
      <c r="S45">
        <v>1.37</v>
      </c>
      <c r="T45">
        <v>3723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8</v>
      </c>
      <c r="G46">
        <v>24</v>
      </c>
      <c r="H46">
        <v>6</v>
      </c>
      <c r="I46">
        <v>5</v>
      </c>
      <c r="J46">
        <v>1.3</v>
      </c>
      <c r="K46">
        <v>1.3</v>
      </c>
      <c r="L46">
        <v>1.1200000000000001</v>
      </c>
      <c r="M46">
        <v>1.02</v>
      </c>
      <c r="N46">
        <v>0.91</v>
      </c>
      <c r="O46">
        <v>0.94</v>
      </c>
      <c r="P46">
        <v>0.86</v>
      </c>
      <c r="Q46">
        <v>1.1200000000000001</v>
      </c>
      <c r="R46">
        <v>1.07</v>
      </c>
      <c r="S46">
        <v>1</v>
      </c>
      <c r="T46">
        <v>3714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8</v>
      </c>
      <c r="G47">
        <v>24</v>
      </c>
      <c r="H47">
        <v>6</v>
      </c>
      <c r="I47">
        <v>0</v>
      </c>
      <c r="J47">
        <v>1.21</v>
      </c>
      <c r="K47">
        <v>1.1299999999999999</v>
      </c>
      <c r="L47">
        <v>1.22</v>
      </c>
      <c r="M47">
        <v>1.33</v>
      </c>
      <c r="N47">
        <v>1.32</v>
      </c>
      <c r="O47">
        <v>1.0900000000000001</v>
      </c>
      <c r="P47">
        <v>0.93</v>
      </c>
      <c r="Q47">
        <v>0.99</v>
      </c>
      <c r="R47">
        <v>1.1299999999999999</v>
      </c>
      <c r="S47">
        <v>1.1299999999999999</v>
      </c>
      <c r="T47">
        <v>3720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8</v>
      </c>
      <c r="G48">
        <v>24</v>
      </c>
      <c r="H48">
        <v>6</v>
      </c>
      <c r="I48">
        <v>12</v>
      </c>
      <c r="J48">
        <v>1.39</v>
      </c>
      <c r="K48">
        <v>1.38</v>
      </c>
      <c r="L48">
        <v>1.43</v>
      </c>
      <c r="M48">
        <v>1.35</v>
      </c>
      <c r="N48">
        <v>1.2</v>
      </c>
      <c r="O48">
        <v>1.1000000000000001</v>
      </c>
      <c r="P48">
        <v>1.38</v>
      </c>
      <c r="Q48">
        <v>1.42</v>
      </c>
      <c r="R48">
        <v>1.32</v>
      </c>
      <c r="S48">
        <v>1.31</v>
      </c>
      <c r="T48">
        <v>3722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8</v>
      </c>
      <c r="G49">
        <v>24</v>
      </c>
      <c r="H49">
        <v>6</v>
      </c>
      <c r="I49">
        <v>31</v>
      </c>
      <c r="J49">
        <v>1.47</v>
      </c>
      <c r="K49">
        <v>1.34</v>
      </c>
      <c r="L49">
        <v>1.33</v>
      </c>
      <c r="M49">
        <v>1.3</v>
      </c>
      <c r="N49">
        <v>1.24</v>
      </c>
      <c r="O49">
        <v>1.18</v>
      </c>
      <c r="P49">
        <v>1.02</v>
      </c>
      <c r="Q49">
        <v>1.25</v>
      </c>
      <c r="R49">
        <v>1.26</v>
      </c>
      <c r="S49">
        <v>1.29</v>
      </c>
      <c r="T49">
        <v>3734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8</v>
      </c>
      <c r="G50">
        <v>24</v>
      </c>
      <c r="H50">
        <v>6</v>
      </c>
      <c r="I50">
        <v>27</v>
      </c>
      <c r="J50">
        <v>1.35</v>
      </c>
      <c r="K50">
        <v>1.32</v>
      </c>
      <c r="L50">
        <v>1.3</v>
      </c>
      <c r="M50">
        <v>1.38</v>
      </c>
      <c r="N50">
        <v>1.3</v>
      </c>
      <c r="O50">
        <v>1.1499999999999999</v>
      </c>
      <c r="P50">
        <v>0.97</v>
      </c>
      <c r="Q50">
        <v>1.1200000000000001</v>
      </c>
      <c r="R50">
        <v>1.1299999999999999</v>
      </c>
      <c r="S50">
        <v>1.22</v>
      </c>
      <c r="T50">
        <v>3734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8</v>
      </c>
      <c r="G51">
        <v>24</v>
      </c>
      <c r="H51">
        <v>6</v>
      </c>
      <c r="I51">
        <v>22</v>
      </c>
      <c r="J51">
        <v>1.25</v>
      </c>
      <c r="K51">
        <v>1.27</v>
      </c>
      <c r="L51">
        <v>1.41</v>
      </c>
      <c r="M51">
        <v>1.48</v>
      </c>
      <c r="N51">
        <v>1.28</v>
      </c>
      <c r="O51">
        <v>0.95</v>
      </c>
      <c r="P51">
        <v>0.87</v>
      </c>
      <c r="Q51">
        <v>0.95</v>
      </c>
      <c r="R51">
        <v>1.07</v>
      </c>
      <c r="S51">
        <v>1.01</v>
      </c>
      <c r="T51">
        <v>3752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8</v>
      </c>
      <c r="G52">
        <v>24</v>
      </c>
      <c r="H52">
        <v>6</v>
      </c>
      <c r="I52">
        <v>17</v>
      </c>
      <c r="J52">
        <v>0.93</v>
      </c>
      <c r="K52">
        <v>0.74</v>
      </c>
      <c r="L52">
        <v>0.69</v>
      </c>
      <c r="M52">
        <v>0.63</v>
      </c>
      <c r="N52">
        <v>0.61</v>
      </c>
      <c r="O52">
        <v>0.6</v>
      </c>
      <c r="P52">
        <v>0.63</v>
      </c>
      <c r="Q52">
        <v>0.72</v>
      </c>
      <c r="R52">
        <v>0.89</v>
      </c>
      <c r="S52">
        <v>1.1499999999999999</v>
      </c>
      <c r="T52">
        <v>3751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8</v>
      </c>
      <c r="G53">
        <v>24</v>
      </c>
      <c r="H53">
        <v>6</v>
      </c>
      <c r="I53">
        <v>35</v>
      </c>
      <c r="J53">
        <v>1.66</v>
      </c>
      <c r="K53">
        <v>1.42</v>
      </c>
      <c r="L53">
        <v>1.41</v>
      </c>
      <c r="M53">
        <v>1.4</v>
      </c>
      <c r="N53">
        <v>1.37</v>
      </c>
      <c r="O53">
        <v>1.19</v>
      </c>
      <c r="P53">
        <v>0.96</v>
      </c>
      <c r="Q53">
        <v>0.96</v>
      </c>
      <c r="R53">
        <v>0.94</v>
      </c>
      <c r="S53">
        <v>0.97</v>
      </c>
      <c r="T53">
        <v>3769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8</v>
      </c>
      <c r="G54">
        <v>24</v>
      </c>
      <c r="H54">
        <v>6</v>
      </c>
      <c r="I54">
        <v>31</v>
      </c>
      <c r="J54">
        <v>1.1200000000000001</v>
      </c>
      <c r="K54">
        <v>1.08</v>
      </c>
      <c r="L54">
        <v>0.94</v>
      </c>
      <c r="M54">
        <v>0.9</v>
      </c>
      <c r="N54">
        <v>0.88</v>
      </c>
      <c r="O54">
        <v>0.85</v>
      </c>
      <c r="P54">
        <v>0.93</v>
      </c>
      <c r="Q54">
        <v>1.1299999999999999</v>
      </c>
      <c r="R54">
        <v>1.25</v>
      </c>
      <c r="S54">
        <v>1.21</v>
      </c>
      <c r="T54">
        <v>3745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8</v>
      </c>
      <c r="G55">
        <v>24</v>
      </c>
      <c r="H55">
        <v>6</v>
      </c>
      <c r="I55">
        <v>44</v>
      </c>
      <c r="J55">
        <v>1.1499999999999999</v>
      </c>
      <c r="K55">
        <v>1.1599999999999999</v>
      </c>
      <c r="L55">
        <v>1.32</v>
      </c>
      <c r="M55">
        <v>1.46</v>
      </c>
      <c r="N55">
        <v>1.39</v>
      </c>
      <c r="O55">
        <v>1.32</v>
      </c>
      <c r="P55">
        <v>1.39</v>
      </c>
      <c r="Q55">
        <v>1.25</v>
      </c>
      <c r="R55">
        <v>1.36</v>
      </c>
      <c r="S55">
        <v>1.32</v>
      </c>
      <c r="T55">
        <v>3743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8</v>
      </c>
      <c r="G56">
        <v>24</v>
      </c>
      <c r="H56">
        <v>6</v>
      </c>
      <c r="I56">
        <v>40</v>
      </c>
      <c r="J56">
        <v>0.93</v>
      </c>
      <c r="K56">
        <v>0.98</v>
      </c>
      <c r="L56">
        <v>1.23</v>
      </c>
      <c r="M56">
        <v>1.34</v>
      </c>
      <c r="N56">
        <v>1.35</v>
      </c>
      <c r="O56">
        <v>1.37</v>
      </c>
      <c r="P56">
        <v>1.22</v>
      </c>
      <c r="Q56">
        <v>1.1100000000000001</v>
      </c>
      <c r="R56">
        <v>1.03</v>
      </c>
      <c r="S56">
        <v>1.04</v>
      </c>
      <c r="T56">
        <v>3730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8</v>
      </c>
      <c r="G57">
        <v>24</v>
      </c>
      <c r="H57">
        <v>7</v>
      </c>
      <c r="I57">
        <v>6</v>
      </c>
      <c r="J57">
        <v>1.22</v>
      </c>
      <c r="K57">
        <v>1.3</v>
      </c>
      <c r="L57">
        <v>1.55</v>
      </c>
      <c r="M57">
        <v>1.46</v>
      </c>
      <c r="N57">
        <v>1.44</v>
      </c>
      <c r="O57">
        <v>1.4</v>
      </c>
      <c r="P57">
        <v>1.0900000000000001</v>
      </c>
      <c r="Q57">
        <v>1</v>
      </c>
      <c r="R57">
        <v>1.1399999999999999</v>
      </c>
      <c r="S57">
        <v>1.24</v>
      </c>
      <c r="T57">
        <v>3673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8</v>
      </c>
      <c r="G58">
        <v>24</v>
      </c>
      <c r="H58">
        <v>7</v>
      </c>
      <c r="I58">
        <v>2</v>
      </c>
      <c r="J58">
        <v>1.22</v>
      </c>
      <c r="K58">
        <v>1.18</v>
      </c>
      <c r="L58">
        <v>1.31</v>
      </c>
      <c r="M58">
        <v>1.29</v>
      </c>
      <c r="N58">
        <v>1.36</v>
      </c>
      <c r="O58">
        <v>1.0900000000000001</v>
      </c>
      <c r="P58">
        <v>0.89</v>
      </c>
      <c r="Q58">
        <v>0.96</v>
      </c>
      <c r="R58">
        <v>1.05</v>
      </c>
      <c r="S58">
        <v>1.1599999999999999</v>
      </c>
      <c r="T58">
        <v>3740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8</v>
      </c>
      <c r="G59">
        <v>24</v>
      </c>
      <c r="H59">
        <v>6</v>
      </c>
      <c r="I59">
        <v>57</v>
      </c>
      <c r="J59">
        <v>1.29</v>
      </c>
      <c r="K59">
        <v>1.26</v>
      </c>
      <c r="L59">
        <v>1.37</v>
      </c>
      <c r="M59">
        <v>1.17</v>
      </c>
      <c r="N59">
        <v>1.21</v>
      </c>
      <c r="O59">
        <v>1.1399999999999999</v>
      </c>
      <c r="P59">
        <v>1.1100000000000001</v>
      </c>
      <c r="Q59">
        <v>0.95</v>
      </c>
      <c r="R59">
        <v>0.95</v>
      </c>
      <c r="S59">
        <v>1.1000000000000001</v>
      </c>
      <c r="T59">
        <v>3738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8</v>
      </c>
      <c r="G60">
        <v>24</v>
      </c>
      <c r="H60">
        <v>6</v>
      </c>
      <c r="I60">
        <v>52</v>
      </c>
      <c r="J60">
        <v>1.02</v>
      </c>
      <c r="K60">
        <v>1.0900000000000001</v>
      </c>
      <c r="L60">
        <v>1.43</v>
      </c>
      <c r="M60">
        <v>1.38</v>
      </c>
      <c r="N60">
        <v>1.44</v>
      </c>
      <c r="O60">
        <v>1.32</v>
      </c>
      <c r="P60">
        <v>1.28</v>
      </c>
      <c r="Q60">
        <v>1.01</v>
      </c>
      <c r="R60">
        <v>0.86</v>
      </c>
      <c r="S60">
        <v>0.86</v>
      </c>
      <c r="T60">
        <v>3741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8</v>
      </c>
      <c r="G61">
        <v>24</v>
      </c>
      <c r="H61">
        <v>7</v>
      </c>
      <c r="I61">
        <v>11</v>
      </c>
      <c r="J61">
        <v>1.52</v>
      </c>
      <c r="K61">
        <v>1.49</v>
      </c>
      <c r="L61">
        <v>1.46</v>
      </c>
      <c r="M61">
        <v>1.45</v>
      </c>
      <c r="N61">
        <v>1.39</v>
      </c>
      <c r="O61">
        <v>1.35</v>
      </c>
      <c r="P61">
        <v>1.31</v>
      </c>
      <c r="Q61">
        <v>1.31</v>
      </c>
      <c r="R61">
        <v>1.35</v>
      </c>
      <c r="S61">
        <v>1.37</v>
      </c>
      <c r="T61">
        <v>3703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8</v>
      </c>
      <c r="G62">
        <v>24</v>
      </c>
      <c r="H62">
        <v>7</v>
      </c>
      <c r="I62">
        <v>15</v>
      </c>
      <c r="J62">
        <v>1.38</v>
      </c>
      <c r="K62">
        <v>1.35</v>
      </c>
      <c r="L62">
        <v>1.51</v>
      </c>
      <c r="M62">
        <v>1.53</v>
      </c>
      <c r="N62">
        <v>1.63</v>
      </c>
      <c r="O62">
        <v>1.56</v>
      </c>
      <c r="P62">
        <v>1.53</v>
      </c>
      <c r="Q62">
        <v>1.3</v>
      </c>
      <c r="R62">
        <v>1.3</v>
      </c>
      <c r="S62">
        <v>1.38</v>
      </c>
      <c r="T62">
        <v>3699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8</v>
      </c>
      <c r="G63">
        <v>24</v>
      </c>
      <c r="H63">
        <v>7</v>
      </c>
      <c r="I63">
        <v>11</v>
      </c>
      <c r="J63">
        <v>1.37</v>
      </c>
      <c r="K63">
        <v>1.34</v>
      </c>
      <c r="L63">
        <v>1.41</v>
      </c>
      <c r="M63">
        <v>1.52</v>
      </c>
      <c r="N63">
        <v>1.45</v>
      </c>
      <c r="O63">
        <v>1.37</v>
      </c>
      <c r="P63">
        <v>1.18</v>
      </c>
      <c r="Q63">
        <v>0.89</v>
      </c>
      <c r="R63">
        <v>0.87</v>
      </c>
      <c r="S63">
        <v>0.97</v>
      </c>
      <c r="T63">
        <v>3718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8</v>
      </c>
      <c r="G64">
        <v>24</v>
      </c>
      <c r="H64">
        <v>7</v>
      </c>
      <c r="I64">
        <v>23</v>
      </c>
      <c r="J64">
        <v>1.31</v>
      </c>
      <c r="K64">
        <v>1.3</v>
      </c>
      <c r="L64">
        <v>1.28</v>
      </c>
      <c r="M64">
        <v>1.42</v>
      </c>
      <c r="N64">
        <v>1.43</v>
      </c>
      <c r="O64">
        <v>1.28</v>
      </c>
      <c r="P64">
        <v>1.1000000000000001</v>
      </c>
      <c r="Q64">
        <v>0.98</v>
      </c>
      <c r="R64">
        <v>0.92</v>
      </c>
      <c r="S64">
        <v>1.0900000000000001</v>
      </c>
      <c r="T64">
        <v>3694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8</v>
      </c>
      <c r="G65">
        <v>24</v>
      </c>
      <c r="H65">
        <v>7</v>
      </c>
      <c r="I65">
        <v>31</v>
      </c>
      <c r="J65">
        <v>1.2</v>
      </c>
      <c r="K65">
        <v>1.01</v>
      </c>
      <c r="L65">
        <v>1.06</v>
      </c>
      <c r="M65">
        <v>1.21</v>
      </c>
      <c r="N65">
        <v>1.3</v>
      </c>
      <c r="O65">
        <v>1.0900000000000001</v>
      </c>
      <c r="P65">
        <v>1.02</v>
      </c>
      <c r="Q65">
        <v>1.02</v>
      </c>
      <c r="R65">
        <v>1.06</v>
      </c>
      <c r="S65">
        <v>1.0900000000000001</v>
      </c>
      <c r="T65">
        <v>3650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8</v>
      </c>
      <c r="G66">
        <v>24</v>
      </c>
      <c r="H66">
        <v>7</v>
      </c>
      <c r="I66">
        <v>35</v>
      </c>
      <c r="J66">
        <v>1.27</v>
      </c>
      <c r="K66">
        <v>1.29</v>
      </c>
      <c r="L66">
        <v>1.4</v>
      </c>
      <c r="M66">
        <v>1.1399999999999999</v>
      </c>
      <c r="N66">
        <v>0.98</v>
      </c>
      <c r="O66">
        <v>1.02</v>
      </c>
      <c r="P66">
        <v>0.9</v>
      </c>
      <c r="Q66">
        <v>0.93</v>
      </c>
      <c r="R66">
        <v>1.1200000000000001</v>
      </c>
      <c r="S66">
        <v>1.2</v>
      </c>
      <c r="T66">
        <v>3685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8</v>
      </c>
      <c r="G67">
        <v>24</v>
      </c>
      <c r="H67">
        <v>7</v>
      </c>
      <c r="I67">
        <v>31</v>
      </c>
      <c r="J67">
        <v>1.47</v>
      </c>
      <c r="K67">
        <v>1.34</v>
      </c>
      <c r="L67">
        <v>1.26</v>
      </c>
      <c r="M67">
        <v>1.17</v>
      </c>
      <c r="N67">
        <v>1.24</v>
      </c>
      <c r="O67">
        <v>1.29</v>
      </c>
      <c r="P67">
        <v>1.06</v>
      </c>
      <c r="Q67">
        <v>0.93</v>
      </c>
      <c r="R67">
        <v>0.98</v>
      </c>
      <c r="S67">
        <v>1.1599999999999999</v>
      </c>
      <c r="T67">
        <v>3704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8</v>
      </c>
      <c r="G68">
        <v>24</v>
      </c>
      <c r="H68">
        <v>7</v>
      </c>
      <c r="I68">
        <v>27</v>
      </c>
      <c r="J68">
        <v>1.49</v>
      </c>
      <c r="K68">
        <v>1.43</v>
      </c>
      <c r="L68">
        <v>1.21</v>
      </c>
      <c r="M68">
        <v>1.29</v>
      </c>
      <c r="N68">
        <v>1.39</v>
      </c>
      <c r="O68">
        <v>1.31</v>
      </c>
      <c r="P68">
        <v>1.1000000000000001</v>
      </c>
      <c r="Q68">
        <v>0.84</v>
      </c>
      <c r="R68">
        <v>0.82</v>
      </c>
      <c r="S68">
        <v>1</v>
      </c>
      <c r="T68">
        <v>3692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17.217449999999999</v>
      </c>
      <c r="K73">
        <f t="shared" ref="K73:R73" si="0">22.275*K45-6.1713</f>
        <v>18.55395</v>
      </c>
      <c r="L73">
        <f t="shared" si="0"/>
        <v>21.672450000000001</v>
      </c>
      <c r="M73">
        <f t="shared" si="0"/>
        <v>25.681949999999997</v>
      </c>
      <c r="N73">
        <f t="shared" si="0"/>
        <v>23.454450000000001</v>
      </c>
      <c r="O73">
        <f t="shared" si="0"/>
        <v>25.904699999999995</v>
      </c>
      <c r="P73">
        <f t="shared" si="0"/>
        <v>27.018449999999998</v>
      </c>
      <c r="Q73">
        <f t="shared" si="0"/>
        <v>25.459199999999999</v>
      </c>
      <c r="R73">
        <f t="shared" si="0"/>
        <v>25.013699999999996</v>
      </c>
      <c r="S73">
        <f>22.275*(S45*1.1)-6.1713</f>
        <v>27.397125000000006</v>
      </c>
    </row>
    <row r="74" spans="1:20" x14ac:dyDescent="0.25">
      <c r="I74" t="s">
        <v>43</v>
      </c>
      <c r="J74">
        <f t="shared" ref="J74:R89" si="1">22.275*J46-6.1713</f>
        <v>22.786200000000001</v>
      </c>
      <c r="K74">
        <f t="shared" si="1"/>
        <v>22.786200000000001</v>
      </c>
      <c r="L74">
        <f t="shared" si="1"/>
        <v>18.776700000000002</v>
      </c>
      <c r="M74">
        <f t="shared" si="1"/>
        <v>16.549199999999999</v>
      </c>
      <c r="N74">
        <f t="shared" si="1"/>
        <v>14.098950000000002</v>
      </c>
      <c r="O74">
        <f t="shared" si="1"/>
        <v>14.767199999999999</v>
      </c>
      <c r="P74">
        <f t="shared" si="1"/>
        <v>12.985199999999999</v>
      </c>
      <c r="Q74">
        <f t="shared" si="1"/>
        <v>18.776700000000002</v>
      </c>
      <c r="R74">
        <f t="shared" si="1"/>
        <v>17.662950000000002</v>
      </c>
      <c r="S74">
        <f t="shared" ref="S74:S91" si="2">22.275*(S46*1.1)-6.1713</f>
        <v>18.331200000000003</v>
      </c>
    </row>
    <row r="75" spans="1:20" x14ac:dyDescent="0.25">
      <c r="I75" t="s">
        <v>44</v>
      </c>
      <c r="J75">
        <f t="shared" si="1"/>
        <v>20.78145</v>
      </c>
      <c r="K75">
        <f t="shared" si="1"/>
        <v>18.999449999999996</v>
      </c>
      <c r="L75">
        <f t="shared" si="1"/>
        <v>21.004199999999997</v>
      </c>
      <c r="M75">
        <f t="shared" si="1"/>
        <v>23.454450000000001</v>
      </c>
      <c r="N75">
        <f t="shared" si="1"/>
        <v>23.2317</v>
      </c>
      <c r="O75">
        <f t="shared" si="1"/>
        <v>18.108450000000001</v>
      </c>
      <c r="P75">
        <f t="shared" si="1"/>
        <v>14.544450000000001</v>
      </c>
      <c r="Q75">
        <f t="shared" si="1"/>
        <v>15.880949999999999</v>
      </c>
      <c r="R75">
        <f t="shared" si="1"/>
        <v>18.999449999999996</v>
      </c>
      <c r="S75">
        <f t="shared" si="2"/>
        <v>21.516524999999998</v>
      </c>
    </row>
    <row r="76" spans="1:20" x14ac:dyDescent="0.25">
      <c r="I76" t="s">
        <v>45</v>
      </c>
      <c r="J76">
        <f t="shared" si="1"/>
        <v>24.790949999999999</v>
      </c>
      <c r="K76">
        <f t="shared" si="1"/>
        <v>24.568199999999997</v>
      </c>
      <c r="L76">
        <f t="shared" si="1"/>
        <v>25.681949999999997</v>
      </c>
      <c r="M76">
        <f t="shared" si="1"/>
        <v>23.89995</v>
      </c>
      <c r="N76">
        <f t="shared" si="1"/>
        <v>20.558699999999998</v>
      </c>
      <c r="O76">
        <f t="shared" si="1"/>
        <v>18.331200000000003</v>
      </c>
      <c r="P76">
        <f t="shared" si="1"/>
        <v>24.568199999999997</v>
      </c>
      <c r="Q76">
        <f t="shared" si="1"/>
        <v>25.459199999999999</v>
      </c>
      <c r="R76">
        <f t="shared" si="1"/>
        <v>23.2317</v>
      </c>
      <c r="S76">
        <f t="shared" si="2"/>
        <v>25.926975000000002</v>
      </c>
    </row>
    <row r="77" spans="1:20" x14ac:dyDescent="0.25">
      <c r="I77" t="s">
        <v>46</v>
      </c>
      <c r="J77">
        <f t="shared" si="1"/>
        <v>26.572949999999995</v>
      </c>
      <c r="K77">
        <f t="shared" si="1"/>
        <v>23.677200000000003</v>
      </c>
      <c r="L77">
        <f t="shared" si="1"/>
        <v>23.454450000000001</v>
      </c>
      <c r="M77">
        <f t="shared" si="1"/>
        <v>22.786200000000001</v>
      </c>
      <c r="N77">
        <f t="shared" si="1"/>
        <v>21.4497</v>
      </c>
      <c r="O77">
        <f t="shared" si="1"/>
        <v>20.113199999999999</v>
      </c>
      <c r="P77">
        <f t="shared" si="1"/>
        <v>16.549199999999999</v>
      </c>
      <c r="Q77">
        <f t="shared" si="1"/>
        <v>21.672450000000001</v>
      </c>
      <c r="R77">
        <f t="shared" si="1"/>
        <v>21.895199999999999</v>
      </c>
      <c r="S77">
        <f t="shared" si="2"/>
        <v>25.436925000000006</v>
      </c>
    </row>
    <row r="78" spans="1:20" x14ac:dyDescent="0.25">
      <c r="I78" t="s">
        <v>47</v>
      </c>
      <c r="J78">
        <f t="shared" si="1"/>
        <v>23.89995</v>
      </c>
      <c r="K78">
        <f t="shared" si="1"/>
        <v>23.2317</v>
      </c>
      <c r="L78">
        <f t="shared" si="1"/>
        <v>22.786200000000001</v>
      </c>
      <c r="M78">
        <f t="shared" si="1"/>
        <v>24.568199999999997</v>
      </c>
      <c r="N78">
        <f t="shared" si="1"/>
        <v>22.786200000000001</v>
      </c>
      <c r="O78">
        <f t="shared" si="1"/>
        <v>19.444949999999999</v>
      </c>
      <c r="P78">
        <f t="shared" si="1"/>
        <v>15.435449999999999</v>
      </c>
      <c r="Q78">
        <f t="shared" si="1"/>
        <v>18.776700000000002</v>
      </c>
      <c r="R78">
        <f t="shared" si="1"/>
        <v>18.999449999999996</v>
      </c>
      <c r="S78">
        <f t="shared" si="2"/>
        <v>23.72175</v>
      </c>
    </row>
    <row r="79" spans="1:20" x14ac:dyDescent="0.25">
      <c r="I79" t="s">
        <v>48</v>
      </c>
      <c r="J79">
        <f t="shared" si="1"/>
        <v>21.672450000000001</v>
      </c>
      <c r="K79">
        <f t="shared" si="1"/>
        <v>22.11795</v>
      </c>
      <c r="L79">
        <f t="shared" si="1"/>
        <v>25.236449999999998</v>
      </c>
      <c r="M79">
        <f t="shared" si="1"/>
        <v>26.7957</v>
      </c>
      <c r="N79">
        <f t="shared" si="1"/>
        <v>22.340700000000002</v>
      </c>
      <c r="O79">
        <f t="shared" si="1"/>
        <v>14.98995</v>
      </c>
      <c r="P79">
        <f t="shared" si="1"/>
        <v>13.20795</v>
      </c>
      <c r="Q79">
        <f t="shared" si="1"/>
        <v>14.98995</v>
      </c>
      <c r="R79">
        <f t="shared" si="1"/>
        <v>17.662950000000002</v>
      </c>
      <c r="S79">
        <f t="shared" si="2"/>
        <v>18.576225000000004</v>
      </c>
    </row>
    <row r="80" spans="1:20" x14ac:dyDescent="0.25">
      <c r="I80" t="s">
        <v>49</v>
      </c>
      <c r="J80">
        <f t="shared" si="1"/>
        <v>14.544450000000001</v>
      </c>
      <c r="K80">
        <f t="shared" si="1"/>
        <v>10.312200000000001</v>
      </c>
      <c r="L80">
        <f t="shared" si="1"/>
        <v>9.1984499999999976</v>
      </c>
      <c r="M80">
        <f t="shared" si="1"/>
        <v>7.8619499999999993</v>
      </c>
      <c r="N80">
        <f t="shared" si="1"/>
        <v>7.4164499999999984</v>
      </c>
      <c r="O80">
        <f t="shared" si="1"/>
        <v>7.1936999999999989</v>
      </c>
      <c r="P80">
        <f t="shared" si="1"/>
        <v>7.8619499999999993</v>
      </c>
      <c r="Q80">
        <f t="shared" si="1"/>
        <v>9.866699999999998</v>
      </c>
      <c r="R80">
        <f t="shared" si="1"/>
        <v>13.653449999999999</v>
      </c>
      <c r="S80">
        <f t="shared" si="2"/>
        <v>22.006574999999998</v>
      </c>
    </row>
    <row r="81" spans="9:19" x14ac:dyDescent="0.25">
      <c r="I81" t="s">
        <v>50</v>
      </c>
      <c r="J81">
        <f t="shared" si="1"/>
        <v>30.805199999999996</v>
      </c>
      <c r="K81">
        <f t="shared" si="1"/>
        <v>25.459199999999999</v>
      </c>
      <c r="L81">
        <f t="shared" si="1"/>
        <v>25.236449999999998</v>
      </c>
      <c r="M81">
        <f t="shared" si="1"/>
        <v>25.013699999999996</v>
      </c>
      <c r="N81">
        <f t="shared" si="1"/>
        <v>24.345450000000003</v>
      </c>
      <c r="O81">
        <f t="shared" si="1"/>
        <v>20.335949999999997</v>
      </c>
      <c r="P81">
        <f t="shared" si="1"/>
        <v>15.212699999999998</v>
      </c>
      <c r="Q81">
        <f t="shared" si="1"/>
        <v>15.212699999999998</v>
      </c>
      <c r="R81">
        <f t="shared" si="1"/>
        <v>14.767199999999999</v>
      </c>
      <c r="S81">
        <f t="shared" si="2"/>
        <v>17.596124999999997</v>
      </c>
    </row>
    <row r="82" spans="9:19" x14ac:dyDescent="0.25">
      <c r="I82" t="s">
        <v>51</v>
      </c>
      <c r="J82">
        <f t="shared" si="1"/>
        <v>18.776700000000002</v>
      </c>
      <c r="K82">
        <f t="shared" si="1"/>
        <v>17.8857</v>
      </c>
      <c r="L82">
        <f t="shared" si="1"/>
        <v>14.767199999999999</v>
      </c>
      <c r="M82">
        <f t="shared" si="1"/>
        <v>13.876200000000001</v>
      </c>
      <c r="N82">
        <f t="shared" si="1"/>
        <v>13.430700000000002</v>
      </c>
      <c r="O82">
        <f t="shared" si="1"/>
        <v>12.762450000000001</v>
      </c>
      <c r="P82">
        <f t="shared" si="1"/>
        <v>14.544450000000001</v>
      </c>
      <c r="Q82">
        <f t="shared" si="1"/>
        <v>18.999449999999996</v>
      </c>
      <c r="R82">
        <f t="shared" si="1"/>
        <v>21.672450000000001</v>
      </c>
      <c r="S82">
        <f t="shared" si="2"/>
        <v>23.476724999999998</v>
      </c>
    </row>
    <row r="83" spans="9:19" x14ac:dyDescent="0.25">
      <c r="I83" t="s">
        <v>52</v>
      </c>
      <c r="J83">
        <f t="shared" si="1"/>
        <v>19.444949999999999</v>
      </c>
      <c r="K83">
        <f t="shared" si="1"/>
        <v>19.667699999999996</v>
      </c>
      <c r="L83">
        <f t="shared" si="1"/>
        <v>23.2317</v>
      </c>
      <c r="M83">
        <f t="shared" si="1"/>
        <v>26.350199999999997</v>
      </c>
      <c r="N83">
        <f t="shared" si="1"/>
        <v>24.790949999999999</v>
      </c>
      <c r="O83">
        <f t="shared" si="1"/>
        <v>23.2317</v>
      </c>
      <c r="P83">
        <f t="shared" si="1"/>
        <v>24.790949999999999</v>
      </c>
      <c r="Q83">
        <f t="shared" si="1"/>
        <v>21.672450000000001</v>
      </c>
      <c r="R83">
        <f t="shared" si="1"/>
        <v>24.122700000000002</v>
      </c>
      <c r="S83">
        <f t="shared" si="2"/>
        <v>26.172000000000001</v>
      </c>
    </row>
    <row r="84" spans="9:19" x14ac:dyDescent="0.25">
      <c r="I84" t="s">
        <v>53</v>
      </c>
      <c r="J84">
        <f t="shared" si="1"/>
        <v>14.544450000000001</v>
      </c>
      <c r="K84">
        <f t="shared" si="1"/>
        <v>15.658200000000001</v>
      </c>
      <c r="L84">
        <f t="shared" si="1"/>
        <v>21.226949999999999</v>
      </c>
      <c r="M84">
        <f t="shared" si="1"/>
        <v>23.677200000000003</v>
      </c>
      <c r="N84">
        <f t="shared" si="1"/>
        <v>23.89995</v>
      </c>
      <c r="O84">
        <f t="shared" si="1"/>
        <v>24.345450000000003</v>
      </c>
      <c r="P84">
        <f t="shared" si="1"/>
        <v>21.004199999999997</v>
      </c>
      <c r="Q84">
        <f t="shared" si="1"/>
        <v>18.55395</v>
      </c>
      <c r="R84">
        <f t="shared" si="1"/>
        <v>16.77195</v>
      </c>
      <c r="S84">
        <f t="shared" si="2"/>
        <v>19.311300000000003</v>
      </c>
    </row>
    <row r="85" spans="9:19" x14ac:dyDescent="0.25">
      <c r="I85" t="s">
        <v>54</v>
      </c>
      <c r="J85">
        <f t="shared" si="1"/>
        <v>21.004199999999997</v>
      </c>
      <c r="K85">
        <f t="shared" si="1"/>
        <v>22.786200000000001</v>
      </c>
      <c r="L85">
        <f t="shared" si="1"/>
        <v>28.354949999999999</v>
      </c>
      <c r="M85">
        <f t="shared" si="1"/>
        <v>26.350199999999997</v>
      </c>
      <c r="N85">
        <f t="shared" si="1"/>
        <v>25.904699999999995</v>
      </c>
      <c r="O85">
        <f t="shared" si="1"/>
        <v>25.013699999999996</v>
      </c>
      <c r="P85">
        <f t="shared" si="1"/>
        <v>18.108450000000001</v>
      </c>
      <c r="Q85">
        <f t="shared" si="1"/>
        <v>16.1037</v>
      </c>
      <c r="R85">
        <f t="shared" si="1"/>
        <v>19.222199999999997</v>
      </c>
      <c r="S85">
        <f t="shared" si="2"/>
        <v>24.2118</v>
      </c>
    </row>
    <row r="86" spans="9:19" x14ac:dyDescent="0.25">
      <c r="I86" t="s">
        <v>55</v>
      </c>
      <c r="J86">
        <f t="shared" si="1"/>
        <v>21.004199999999997</v>
      </c>
      <c r="K86">
        <f t="shared" si="1"/>
        <v>20.113199999999999</v>
      </c>
      <c r="L86">
        <f t="shared" si="1"/>
        <v>23.008950000000002</v>
      </c>
      <c r="M86">
        <f t="shared" si="1"/>
        <v>22.56345</v>
      </c>
      <c r="N86">
        <f t="shared" si="1"/>
        <v>24.122700000000002</v>
      </c>
      <c r="O86">
        <f t="shared" si="1"/>
        <v>18.108450000000001</v>
      </c>
      <c r="P86">
        <f t="shared" si="1"/>
        <v>13.653449999999999</v>
      </c>
      <c r="Q86">
        <f t="shared" si="1"/>
        <v>15.212699999999998</v>
      </c>
      <c r="R86">
        <f t="shared" si="1"/>
        <v>17.217449999999999</v>
      </c>
      <c r="S86">
        <f t="shared" si="2"/>
        <v>22.2516</v>
      </c>
    </row>
    <row r="87" spans="9:19" x14ac:dyDescent="0.25">
      <c r="I87" t="s">
        <v>56</v>
      </c>
      <c r="J87">
        <f t="shared" si="1"/>
        <v>22.56345</v>
      </c>
      <c r="K87">
        <f t="shared" si="1"/>
        <v>21.895199999999999</v>
      </c>
      <c r="L87">
        <f t="shared" si="1"/>
        <v>24.345450000000003</v>
      </c>
      <c r="M87">
        <f t="shared" si="1"/>
        <v>19.890449999999998</v>
      </c>
      <c r="N87">
        <f t="shared" si="1"/>
        <v>20.78145</v>
      </c>
      <c r="O87">
        <f t="shared" si="1"/>
        <v>19.222199999999997</v>
      </c>
      <c r="P87">
        <f t="shared" si="1"/>
        <v>18.55395</v>
      </c>
      <c r="Q87">
        <f t="shared" si="1"/>
        <v>14.98995</v>
      </c>
      <c r="R87">
        <f t="shared" si="1"/>
        <v>14.98995</v>
      </c>
      <c r="S87">
        <f t="shared" si="2"/>
        <v>20.781450000000003</v>
      </c>
    </row>
    <row r="88" spans="9:19" x14ac:dyDescent="0.25">
      <c r="I88" t="s">
        <v>57</v>
      </c>
      <c r="J88">
        <f t="shared" si="1"/>
        <v>16.549199999999999</v>
      </c>
      <c r="K88">
        <f t="shared" si="1"/>
        <v>18.108450000000001</v>
      </c>
      <c r="L88">
        <f t="shared" si="1"/>
        <v>25.681949999999997</v>
      </c>
      <c r="M88">
        <f t="shared" si="1"/>
        <v>24.568199999999997</v>
      </c>
      <c r="N88">
        <f t="shared" si="1"/>
        <v>25.904699999999995</v>
      </c>
      <c r="O88">
        <f t="shared" si="1"/>
        <v>23.2317</v>
      </c>
      <c r="P88">
        <f t="shared" si="1"/>
        <v>22.340700000000002</v>
      </c>
      <c r="Q88">
        <f t="shared" si="1"/>
        <v>16.326450000000001</v>
      </c>
      <c r="R88">
        <f t="shared" si="1"/>
        <v>12.985199999999999</v>
      </c>
      <c r="S88">
        <f t="shared" si="2"/>
        <v>14.900850000000002</v>
      </c>
    </row>
    <row r="89" spans="9:19" x14ac:dyDescent="0.25">
      <c r="I89" t="s">
        <v>58</v>
      </c>
      <c r="J89">
        <f t="shared" si="1"/>
        <v>27.686699999999998</v>
      </c>
      <c r="K89">
        <f t="shared" si="1"/>
        <v>27.018449999999998</v>
      </c>
      <c r="L89">
        <f t="shared" si="1"/>
        <v>26.350199999999997</v>
      </c>
      <c r="M89">
        <f t="shared" si="1"/>
        <v>26.12745</v>
      </c>
      <c r="N89">
        <f t="shared" si="1"/>
        <v>24.790949999999999</v>
      </c>
      <c r="O89">
        <f t="shared" si="1"/>
        <v>23.89995</v>
      </c>
      <c r="P89">
        <f t="shared" si="1"/>
        <v>23.008950000000002</v>
      </c>
      <c r="Q89">
        <f t="shared" si="1"/>
        <v>23.008950000000002</v>
      </c>
      <c r="R89">
        <f t="shared" si="1"/>
        <v>23.89995</v>
      </c>
      <c r="S89">
        <f t="shared" si="2"/>
        <v>27.397125000000006</v>
      </c>
    </row>
    <row r="90" spans="9:19" x14ac:dyDescent="0.25">
      <c r="I90" t="s">
        <v>59</v>
      </c>
      <c r="J90">
        <f t="shared" ref="J90:R96" si="3">22.275*J62-6.1713</f>
        <v>24.568199999999997</v>
      </c>
      <c r="K90">
        <f t="shared" si="3"/>
        <v>23.89995</v>
      </c>
      <c r="L90">
        <f t="shared" si="3"/>
        <v>27.463950000000001</v>
      </c>
      <c r="M90">
        <f t="shared" si="3"/>
        <v>27.909450000000003</v>
      </c>
      <c r="N90">
        <f t="shared" si="3"/>
        <v>30.136949999999995</v>
      </c>
      <c r="O90">
        <f t="shared" si="3"/>
        <v>28.577700000000004</v>
      </c>
      <c r="P90">
        <f t="shared" si="3"/>
        <v>27.909450000000003</v>
      </c>
      <c r="Q90">
        <f t="shared" si="3"/>
        <v>22.786200000000001</v>
      </c>
      <c r="R90">
        <f t="shared" si="3"/>
        <v>22.786200000000001</v>
      </c>
      <c r="S90">
        <f t="shared" si="2"/>
        <v>27.642149999999997</v>
      </c>
    </row>
    <row r="91" spans="9:19" x14ac:dyDescent="0.25">
      <c r="I91" t="s">
        <v>60</v>
      </c>
      <c r="J91">
        <f t="shared" si="3"/>
        <v>24.345450000000003</v>
      </c>
      <c r="K91">
        <f t="shared" si="3"/>
        <v>23.677200000000003</v>
      </c>
      <c r="L91">
        <f t="shared" si="3"/>
        <v>25.236449999999998</v>
      </c>
      <c r="M91">
        <f t="shared" si="3"/>
        <v>27.686699999999998</v>
      </c>
      <c r="N91">
        <f t="shared" si="3"/>
        <v>26.12745</v>
      </c>
      <c r="O91">
        <f t="shared" si="3"/>
        <v>24.345450000000003</v>
      </c>
      <c r="P91">
        <f t="shared" si="3"/>
        <v>20.113199999999999</v>
      </c>
      <c r="Q91">
        <f t="shared" si="3"/>
        <v>13.653449999999999</v>
      </c>
      <c r="R91">
        <f t="shared" si="3"/>
        <v>13.20795</v>
      </c>
      <c r="S91">
        <f t="shared" si="2"/>
        <v>17.596124999999997</v>
      </c>
    </row>
    <row r="92" spans="9:19" x14ac:dyDescent="0.25">
      <c r="I92" t="s">
        <v>61</v>
      </c>
      <c r="J92">
        <f t="shared" si="3"/>
        <v>23.008950000000002</v>
      </c>
      <c r="K92">
        <f t="shared" si="3"/>
        <v>22.786200000000001</v>
      </c>
      <c r="L92">
        <f t="shared" si="3"/>
        <v>22.340700000000002</v>
      </c>
      <c r="M92">
        <f t="shared" si="3"/>
        <v>25.459199999999999</v>
      </c>
      <c r="N92">
        <f t="shared" si="3"/>
        <v>25.681949999999997</v>
      </c>
      <c r="O92">
        <f t="shared" si="3"/>
        <v>22.340700000000002</v>
      </c>
      <c r="P92">
        <f t="shared" si="3"/>
        <v>18.331200000000003</v>
      </c>
      <c r="Q92">
        <f t="shared" si="3"/>
        <v>15.658200000000001</v>
      </c>
      <c r="R92">
        <f t="shared" si="3"/>
        <v>14.3217</v>
      </c>
      <c r="S92">
        <f>22.275*(S64*1.1)-6.1713</f>
        <v>20.536425000000005</v>
      </c>
    </row>
    <row r="93" spans="9:19" x14ac:dyDescent="0.25">
      <c r="I93" t="s">
        <v>62</v>
      </c>
      <c r="J93">
        <f t="shared" si="3"/>
        <v>20.558699999999998</v>
      </c>
      <c r="K93">
        <f t="shared" si="3"/>
        <v>16.326450000000001</v>
      </c>
      <c r="L93">
        <f t="shared" si="3"/>
        <v>17.440200000000001</v>
      </c>
      <c r="M93">
        <f t="shared" si="3"/>
        <v>20.78145</v>
      </c>
      <c r="N93">
        <f t="shared" si="3"/>
        <v>22.786200000000001</v>
      </c>
      <c r="O93">
        <f t="shared" si="3"/>
        <v>18.108450000000001</v>
      </c>
      <c r="P93">
        <f t="shared" si="3"/>
        <v>16.549199999999999</v>
      </c>
      <c r="Q93">
        <f t="shared" si="3"/>
        <v>16.549199999999999</v>
      </c>
      <c r="R93">
        <f t="shared" si="3"/>
        <v>17.440200000000001</v>
      </c>
      <c r="S93">
        <f t="shared" ref="S93:S95" si="4">22.275*(S65*1.1)-6.1713</f>
        <v>20.536425000000005</v>
      </c>
    </row>
    <row r="94" spans="9:19" x14ac:dyDescent="0.25">
      <c r="I94" t="s">
        <v>63</v>
      </c>
      <c r="J94">
        <f t="shared" si="3"/>
        <v>22.11795</v>
      </c>
      <c r="K94">
        <f t="shared" si="3"/>
        <v>22.56345</v>
      </c>
      <c r="L94">
        <f t="shared" si="3"/>
        <v>25.013699999999996</v>
      </c>
      <c r="M94">
        <f t="shared" si="3"/>
        <v>19.222199999999997</v>
      </c>
      <c r="N94">
        <f t="shared" si="3"/>
        <v>15.658200000000001</v>
      </c>
      <c r="O94">
        <f t="shared" si="3"/>
        <v>16.549199999999999</v>
      </c>
      <c r="P94">
        <f t="shared" si="3"/>
        <v>13.876200000000001</v>
      </c>
      <c r="Q94">
        <f t="shared" si="3"/>
        <v>14.544450000000001</v>
      </c>
      <c r="R94">
        <f t="shared" si="3"/>
        <v>18.776700000000002</v>
      </c>
      <c r="S94">
        <f t="shared" si="4"/>
        <v>23.2317</v>
      </c>
    </row>
    <row r="95" spans="9:19" x14ac:dyDescent="0.25">
      <c r="I95" t="s">
        <v>64</v>
      </c>
      <c r="J95">
        <f t="shared" si="3"/>
        <v>26.572949999999995</v>
      </c>
      <c r="K95">
        <f t="shared" si="3"/>
        <v>23.677200000000003</v>
      </c>
      <c r="L95">
        <f t="shared" si="3"/>
        <v>21.895199999999999</v>
      </c>
      <c r="M95">
        <f t="shared" si="3"/>
        <v>19.890449999999998</v>
      </c>
      <c r="N95">
        <f t="shared" si="3"/>
        <v>21.4497</v>
      </c>
      <c r="O95">
        <f t="shared" si="3"/>
        <v>22.56345</v>
      </c>
      <c r="P95">
        <f t="shared" si="3"/>
        <v>17.440200000000001</v>
      </c>
      <c r="Q95">
        <f t="shared" si="3"/>
        <v>14.544450000000001</v>
      </c>
      <c r="R95">
        <f t="shared" si="3"/>
        <v>15.658200000000001</v>
      </c>
      <c r="S95">
        <f t="shared" si="4"/>
        <v>22.2516</v>
      </c>
    </row>
    <row r="96" spans="9:19" x14ac:dyDescent="0.25">
      <c r="I96" t="s">
        <v>65</v>
      </c>
      <c r="J96">
        <f>22.275*J68-6.1713</f>
        <v>27.018449999999998</v>
      </c>
      <c r="K96">
        <f t="shared" si="3"/>
        <v>25.681949999999997</v>
      </c>
      <c r="L96">
        <f t="shared" si="3"/>
        <v>20.78145</v>
      </c>
      <c r="M96">
        <f t="shared" si="3"/>
        <v>22.56345</v>
      </c>
      <c r="N96">
        <f t="shared" si="3"/>
        <v>24.790949999999999</v>
      </c>
      <c r="O96">
        <f t="shared" si="3"/>
        <v>23.008950000000002</v>
      </c>
      <c r="P96">
        <f t="shared" si="3"/>
        <v>18.331200000000003</v>
      </c>
      <c r="Q96">
        <f t="shared" si="3"/>
        <v>12.5397</v>
      </c>
      <c r="R96">
        <f t="shared" si="3"/>
        <v>12.094200000000001</v>
      </c>
      <c r="S96">
        <f>22.275*(S68*1.1)-6.1713</f>
        <v>18.331200000000003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0.17217450000000001</v>
      </c>
      <c r="K101" s="4">
        <f t="shared" si="5"/>
        <v>0.1855395</v>
      </c>
      <c r="L101" s="4">
        <f t="shared" si="5"/>
        <v>0.21672450000000001</v>
      </c>
      <c r="M101" s="4">
        <f t="shared" si="5"/>
        <v>0.25681949999999998</v>
      </c>
      <c r="N101" s="4">
        <f t="shared" si="5"/>
        <v>0.23454450000000002</v>
      </c>
      <c r="O101" s="4">
        <f t="shared" si="5"/>
        <v>0.25904699999999997</v>
      </c>
      <c r="P101" s="4">
        <f t="shared" si="5"/>
        <v>0.27018449999999999</v>
      </c>
      <c r="Q101" s="4">
        <f t="shared" si="5"/>
        <v>0.25459199999999998</v>
      </c>
      <c r="R101" s="4">
        <f t="shared" si="5"/>
        <v>0.25013699999999994</v>
      </c>
      <c r="S101" s="4">
        <f t="shared" si="5"/>
        <v>0.27397125000000006</v>
      </c>
    </row>
    <row r="102" spans="9:19" x14ac:dyDescent="0.25">
      <c r="I102">
        <v>12</v>
      </c>
      <c r="J102" s="4">
        <f t="shared" ref="J102:S115" si="6">IF(J74&lt;0,"",J74/100)</f>
        <v>0.22786200000000001</v>
      </c>
      <c r="K102" s="4">
        <f t="shared" si="6"/>
        <v>0.22786200000000001</v>
      </c>
      <c r="L102" s="4">
        <f t="shared" si="6"/>
        <v>0.18776700000000002</v>
      </c>
      <c r="M102" s="4">
        <f t="shared" si="6"/>
        <v>0.165492</v>
      </c>
      <c r="N102" s="4">
        <f t="shared" si="6"/>
        <v>0.14098950000000002</v>
      </c>
      <c r="O102" s="4">
        <f t="shared" si="6"/>
        <v>0.147672</v>
      </c>
      <c r="P102" s="4">
        <f t="shared" si="6"/>
        <v>0.129852</v>
      </c>
      <c r="Q102" s="4">
        <f t="shared" si="6"/>
        <v>0.18776700000000002</v>
      </c>
      <c r="R102" s="4">
        <f t="shared" si="6"/>
        <v>0.17662950000000002</v>
      </c>
      <c r="S102" s="4">
        <f t="shared" si="6"/>
        <v>0.18331200000000003</v>
      </c>
    </row>
    <row r="103" spans="9:19" x14ac:dyDescent="0.25">
      <c r="I103">
        <v>13</v>
      </c>
      <c r="J103" s="4">
        <f t="shared" si="6"/>
        <v>0.20781449999999999</v>
      </c>
      <c r="K103" s="4">
        <f t="shared" si="6"/>
        <v>0.18999449999999996</v>
      </c>
      <c r="L103" s="4">
        <f t="shared" si="6"/>
        <v>0.21004199999999998</v>
      </c>
      <c r="M103" s="4">
        <f t="shared" si="6"/>
        <v>0.23454450000000002</v>
      </c>
      <c r="N103" s="4">
        <f t="shared" si="6"/>
        <v>0.232317</v>
      </c>
      <c r="O103" s="4">
        <f t="shared" si="6"/>
        <v>0.18108450000000001</v>
      </c>
      <c r="P103" s="4">
        <f t="shared" si="6"/>
        <v>0.1454445</v>
      </c>
      <c r="Q103" s="4">
        <f t="shared" si="6"/>
        <v>0.15880949999999999</v>
      </c>
      <c r="R103" s="4">
        <f t="shared" si="6"/>
        <v>0.18999449999999996</v>
      </c>
      <c r="S103" s="4">
        <f t="shared" si="6"/>
        <v>0.21516524999999997</v>
      </c>
    </row>
    <row r="104" spans="9:19" x14ac:dyDescent="0.25">
      <c r="I104">
        <v>14</v>
      </c>
      <c r="J104" s="4">
        <f t="shared" si="6"/>
        <v>0.24790949999999998</v>
      </c>
      <c r="K104" s="4">
        <f t="shared" si="6"/>
        <v>0.24568199999999998</v>
      </c>
      <c r="L104" s="4">
        <f t="shared" si="6"/>
        <v>0.25681949999999998</v>
      </c>
      <c r="M104" s="4">
        <f t="shared" si="6"/>
        <v>0.2389995</v>
      </c>
      <c r="N104" s="4">
        <f t="shared" si="6"/>
        <v>0.20558699999999999</v>
      </c>
      <c r="O104" s="4">
        <f t="shared" si="6"/>
        <v>0.18331200000000003</v>
      </c>
      <c r="P104" s="4">
        <f t="shared" si="6"/>
        <v>0.24568199999999998</v>
      </c>
      <c r="Q104" s="4">
        <f t="shared" si="6"/>
        <v>0.25459199999999998</v>
      </c>
      <c r="R104" s="4">
        <f t="shared" si="6"/>
        <v>0.232317</v>
      </c>
      <c r="S104" s="4">
        <f t="shared" si="6"/>
        <v>0.25926975000000002</v>
      </c>
    </row>
    <row r="105" spans="9:19" x14ac:dyDescent="0.25">
      <c r="I105">
        <v>21</v>
      </c>
      <c r="J105" s="4">
        <f t="shared" si="6"/>
        <v>0.26572949999999995</v>
      </c>
      <c r="K105" s="4">
        <f t="shared" si="6"/>
        <v>0.23677200000000004</v>
      </c>
      <c r="L105" s="4">
        <f t="shared" si="6"/>
        <v>0.23454450000000002</v>
      </c>
      <c r="M105" s="4">
        <f t="shared" si="6"/>
        <v>0.22786200000000001</v>
      </c>
      <c r="N105" s="4">
        <f t="shared" si="6"/>
        <v>0.21449699999999999</v>
      </c>
      <c r="O105" s="4">
        <f t="shared" si="6"/>
        <v>0.20113199999999998</v>
      </c>
      <c r="P105" s="4">
        <f t="shared" si="6"/>
        <v>0.165492</v>
      </c>
      <c r="Q105" s="4">
        <f t="shared" si="6"/>
        <v>0.21672450000000001</v>
      </c>
      <c r="R105" s="4">
        <f t="shared" si="6"/>
        <v>0.21895199999999998</v>
      </c>
      <c r="S105" s="4">
        <f t="shared" si="6"/>
        <v>0.25436925000000005</v>
      </c>
    </row>
    <row r="106" spans="9:19" x14ac:dyDescent="0.25">
      <c r="I106">
        <v>22</v>
      </c>
      <c r="J106" s="4">
        <f t="shared" si="6"/>
        <v>0.2389995</v>
      </c>
      <c r="K106" s="4">
        <f t="shared" si="6"/>
        <v>0.232317</v>
      </c>
      <c r="L106" s="4">
        <f t="shared" si="6"/>
        <v>0.22786200000000001</v>
      </c>
      <c r="M106" s="4">
        <f t="shared" si="6"/>
        <v>0.24568199999999998</v>
      </c>
      <c r="N106" s="4">
        <f t="shared" si="6"/>
        <v>0.22786200000000001</v>
      </c>
      <c r="O106" s="4">
        <f t="shared" si="6"/>
        <v>0.1944495</v>
      </c>
      <c r="P106" s="4">
        <f t="shared" si="6"/>
        <v>0.15435450000000001</v>
      </c>
      <c r="Q106" s="4">
        <f t="shared" si="6"/>
        <v>0.18776700000000002</v>
      </c>
      <c r="R106" s="4">
        <f t="shared" si="6"/>
        <v>0.18999449999999996</v>
      </c>
      <c r="S106" s="4">
        <f t="shared" si="6"/>
        <v>0.2372175</v>
      </c>
    </row>
    <row r="107" spans="9:19" x14ac:dyDescent="0.25">
      <c r="I107">
        <v>23</v>
      </c>
      <c r="J107" s="4">
        <f t="shared" si="6"/>
        <v>0.21672450000000001</v>
      </c>
      <c r="K107" s="4">
        <f t="shared" si="6"/>
        <v>0.2211795</v>
      </c>
      <c r="L107" s="4">
        <f t="shared" si="6"/>
        <v>0.25236449999999999</v>
      </c>
      <c r="M107" s="4">
        <f t="shared" si="6"/>
        <v>0.267957</v>
      </c>
      <c r="N107" s="4">
        <f t="shared" si="6"/>
        <v>0.22340700000000002</v>
      </c>
      <c r="O107" s="4">
        <f t="shared" si="6"/>
        <v>0.14989949999999999</v>
      </c>
      <c r="P107" s="4">
        <f t="shared" si="6"/>
        <v>0.13207950000000002</v>
      </c>
      <c r="Q107" s="4">
        <f t="shared" si="6"/>
        <v>0.14989949999999999</v>
      </c>
      <c r="R107" s="4">
        <f t="shared" si="6"/>
        <v>0.17662950000000002</v>
      </c>
      <c r="S107" s="4">
        <f t="shared" si="6"/>
        <v>0.18576225000000005</v>
      </c>
    </row>
    <row r="108" spans="9:19" x14ac:dyDescent="0.25">
      <c r="I108">
        <v>24</v>
      </c>
      <c r="J108" s="4">
        <f t="shared" si="6"/>
        <v>0.1454445</v>
      </c>
      <c r="K108" s="4">
        <f t="shared" si="6"/>
        <v>0.10312200000000001</v>
      </c>
      <c r="L108" s="4">
        <f t="shared" si="6"/>
        <v>9.1984499999999969E-2</v>
      </c>
      <c r="M108" s="4">
        <f t="shared" si="6"/>
        <v>7.8619499999999995E-2</v>
      </c>
      <c r="N108" s="4">
        <f t="shared" si="6"/>
        <v>7.416449999999998E-2</v>
      </c>
      <c r="O108" s="4">
        <f t="shared" si="6"/>
        <v>7.1936999999999987E-2</v>
      </c>
      <c r="P108" s="4">
        <f t="shared" si="6"/>
        <v>7.8619499999999995E-2</v>
      </c>
      <c r="Q108" s="4">
        <f t="shared" si="6"/>
        <v>9.8666999999999977E-2</v>
      </c>
      <c r="R108" s="4">
        <f t="shared" si="6"/>
        <v>0.1365345</v>
      </c>
      <c r="S108" s="4">
        <f t="shared" si="6"/>
        <v>0.22006574999999998</v>
      </c>
    </row>
    <row r="109" spans="9:19" x14ac:dyDescent="0.25">
      <c r="I109">
        <v>31</v>
      </c>
      <c r="J109" s="4">
        <f t="shared" si="6"/>
        <v>0.30805199999999994</v>
      </c>
      <c r="K109" s="4">
        <f t="shared" si="6"/>
        <v>0.25459199999999998</v>
      </c>
      <c r="L109" s="4">
        <f t="shared" si="6"/>
        <v>0.25236449999999999</v>
      </c>
      <c r="M109" s="4">
        <f t="shared" si="6"/>
        <v>0.25013699999999994</v>
      </c>
      <c r="N109" s="4">
        <f t="shared" si="6"/>
        <v>0.24345450000000002</v>
      </c>
      <c r="O109" s="4">
        <f t="shared" si="6"/>
        <v>0.20335949999999997</v>
      </c>
      <c r="P109" s="4">
        <f t="shared" si="6"/>
        <v>0.15212699999999998</v>
      </c>
      <c r="Q109" s="4">
        <f t="shared" si="6"/>
        <v>0.15212699999999998</v>
      </c>
      <c r="R109" s="4">
        <f t="shared" si="6"/>
        <v>0.147672</v>
      </c>
      <c r="S109" s="4">
        <f t="shared" si="6"/>
        <v>0.17596124999999996</v>
      </c>
    </row>
    <row r="110" spans="9:19" x14ac:dyDescent="0.25">
      <c r="I110">
        <v>32</v>
      </c>
      <c r="J110" s="4">
        <f t="shared" si="6"/>
        <v>0.18776700000000002</v>
      </c>
      <c r="K110" s="4">
        <f t="shared" si="6"/>
        <v>0.17885699999999999</v>
      </c>
      <c r="L110" s="4">
        <f t="shared" si="6"/>
        <v>0.147672</v>
      </c>
      <c r="M110" s="4">
        <f t="shared" si="6"/>
        <v>0.138762</v>
      </c>
      <c r="N110" s="4">
        <f t="shared" si="6"/>
        <v>0.13430700000000001</v>
      </c>
      <c r="O110" s="4">
        <f t="shared" si="6"/>
        <v>0.1276245</v>
      </c>
      <c r="P110" s="4">
        <f t="shared" si="6"/>
        <v>0.1454445</v>
      </c>
      <c r="Q110" s="4">
        <f t="shared" si="6"/>
        <v>0.18999449999999996</v>
      </c>
      <c r="R110" s="4">
        <f t="shared" si="6"/>
        <v>0.21672450000000001</v>
      </c>
      <c r="S110" s="4">
        <f t="shared" si="6"/>
        <v>0.23476724999999998</v>
      </c>
    </row>
    <row r="111" spans="9:19" x14ac:dyDescent="0.25">
      <c r="I111">
        <v>33</v>
      </c>
      <c r="J111" s="4">
        <f t="shared" si="6"/>
        <v>0.1944495</v>
      </c>
      <c r="K111" s="4">
        <f t="shared" si="6"/>
        <v>0.19667699999999996</v>
      </c>
      <c r="L111" s="4">
        <f t="shared" si="6"/>
        <v>0.232317</v>
      </c>
      <c r="M111" s="4">
        <f t="shared" si="6"/>
        <v>0.26350199999999996</v>
      </c>
      <c r="N111" s="4">
        <f t="shared" si="6"/>
        <v>0.24790949999999998</v>
      </c>
      <c r="O111" s="4">
        <f t="shared" si="6"/>
        <v>0.232317</v>
      </c>
      <c r="P111" s="4">
        <f t="shared" si="6"/>
        <v>0.24790949999999998</v>
      </c>
      <c r="Q111" s="4">
        <f t="shared" si="6"/>
        <v>0.21672450000000001</v>
      </c>
      <c r="R111" s="4">
        <f t="shared" si="6"/>
        <v>0.24122700000000002</v>
      </c>
      <c r="S111" s="4">
        <f t="shared" si="6"/>
        <v>0.26172000000000001</v>
      </c>
    </row>
    <row r="112" spans="9:19" x14ac:dyDescent="0.25">
      <c r="I112">
        <v>34</v>
      </c>
      <c r="J112" s="4">
        <f t="shared" si="6"/>
        <v>0.1454445</v>
      </c>
      <c r="K112" s="4">
        <f t="shared" si="6"/>
        <v>0.156582</v>
      </c>
      <c r="L112" s="4">
        <f t="shared" si="6"/>
        <v>0.2122695</v>
      </c>
      <c r="M112" s="4">
        <f t="shared" si="6"/>
        <v>0.23677200000000004</v>
      </c>
      <c r="N112" s="4">
        <f t="shared" si="6"/>
        <v>0.2389995</v>
      </c>
      <c r="O112" s="4">
        <f t="shared" si="6"/>
        <v>0.24345450000000002</v>
      </c>
      <c r="P112" s="4">
        <f t="shared" si="6"/>
        <v>0.21004199999999998</v>
      </c>
      <c r="Q112" s="4">
        <f t="shared" si="6"/>
        <v>0.1855395</v>
      </c>
      <c r="R112" s="4">
        <f t="shared" si="6"/>
        <v>0.16771949999999999</v>
      </c>
      <c r="S112" s="4">
        <f t="shared" si="6"/>
        <v>0.19311300000000003</v>
      </c>
    </row>
    <row r="113" spans="9:19" x14ac:dyDescent="0.25">
      <c r="I113">
        <v>41</v>
      </c>
      <c r="J113" s="4">
        <f t="shared" si="6"/>
        <v>0.21004199999999998</v>
      </c>
      <c r="K113" s="4">
        <f t="shared" si="6"/>
        <v>0.22786200000000001</v>
      </c>
      <c r="L113" s="4">
        <f t="shared" si="6"/>
        <v>0.28354950000000001</v>
      </c>
      <c r="M113" s="4">
        <f t="shared" si="6"/>
        <v>0.26350199999999996</v>
      </c>
      <c r="N113" s="4">
        <f t="shared" si="6"/>
        <v>0.25904699999999997</v>
      </c>
      <c r="O113" s="4">
        <f t="shared" si="6"/>
        <v>0.25013699999999994</v>
      </c>
      <c r="P113" s="4">
        <f t="shared" si="6"/>
        <v>0.18108450000000001</v>
      </c>
      <c r="Q113" s="4">
        <f t="shared" si="6"/>
        <v>0.16103699999999999</v>
      </c>
      <c r="R113" s="4">
        <f t="shared" si="6"/>
        <v>0.19222199999999998</v>
      </c>
      <c r="S113" s="4">
        <f t="shared" si="6"/>
        <v>0.242118</v>
      </c>
    </row>
    <row r="114" spans="9:19" x14ac:dyDescent="0.25">
      <c r="I114">
        <v>42</v>
      </c>
      <c r="J114" s="4">
        <f t="shared" si="6"/>
        <v>0.21004199999999998</v>
      </c>
      <c r="K114" s="4">
        <f t="shared" si="6"/>
        <v>0.20113199999999998</v>
      </c>
      <c r="L114" s="4">
        <f t="shared" si="6"/>
        <v>0.23008950000000003</v>
      </c>
      <c r="M114" s="4">
        <f t="shared" si="6"/>
        <v>0.22563449999999999</v>
      </c>
      <c r="N114" s="4">
        <f t="shared" si="6"/>
        <v>0.24122700000000002</v>
      </c>
      <c r="O114" s="4">
        <f t="shared" si="6"/>
        <v>0.18108450000000001</v>
      </c>
      <c r="P114" s="4">
        <f t="shared" si="6"/>
        <v>0.1365345</v>
      </c>
      <c r="Q114" s="4">
        <f t="shared" si="6"/>
        <v>0.15212699999999998</v>
      </c>
      <c r="R114" s="4">
        <f t="shared" si="6"/>
        <v>0.17217450000000001</v>
      </c>
      <c r="S114" s="4">
        <f t="shared" si="6"/>
        <v>0.22251599999999999</v>
      </c>
    </row>
    <row r="115" spans="9:19" x14ac:dyDescent="0.25">
      <c r="I115">
        <v>43</v>
      </c>
      <c r="J115" s="4">
        <f t="shared" si="6"/>
        <v>0.22563449999999999</v>
      </c>
      <c r="K115" s="4">
        <f t="shared" si="6"/>
        <v>0.21895199999999998</v>
      </c>
      <c r="L115" s="4">
        <f t="shared" si="6"/>
        <v>0.24345450000000002</v>
      </c>
      <c r="M115" s="4">
        <f t="shared" si="6"/>
        <v>0.19890449999999998</v>
      </c>
      <c r="N115" s="4">
        <f t="shared" si="6"/>
        <v>0.20781449999999999</v>
      </c>
      <c r="O115" s="4">
        <f t="shared" si="6"/>
        <v>0.19222199999999998</v>
      </c>
      <c r="P115" s="4">
        <f t="shared" si="6"/>
        <v>0.1855395</v>
      </c>
      <c r="Q115" s="4">
        <f t="shared" si="6"/>
        <v>0.14989949999999999</v>
      </c>
      <c r="R115" s="4">
        <f t="shared" si="6"/>
        <v>0.14989949999999999</v>
      </c>
      <c r="S115" s="4">
        <f t="shared" si="6"/>
        <v>0.20781450000000004</v>
      </c>
    </row>
    <row r="116" spans="9:19" x14ac:dyDescent="0.25">
      <c r="I116">
        <v>44</v>
      </c>
      <c r="J116" s="4">
        <f t="shared" ref="J116:S116" si="7">IF(J88&lt;0,"",J88/100)</f>
        <v>0.165492</v>
      </c>
      <c r="K116" s="4">
        <f t="shared" si="7"/>
        <v>0.18108450000000001</v>
      </c>
      <c r="L116" s="4">
        <f t="shared" si="7"/>
        <v>0.25681949999999998</v>
      </c>
      <c r="M116" s="4">
        <f t="shared" si="7"/>
        <v>0.24568199999999998</v>
      </c>
      <c r="N116" s="4">
        <f t="shared" si="7"/>
        <v>0.25904699999999997</v>
      </c>
      <c r="O116" s="4">
        <f t="shared" si="7"/>
        <v>0.232317</v>
      </c>
      <c r="P116" s="4">
        <f t="shared" si="7"/>
        <v>0.22340700000000002</v>
      </c>
      <c r="Q116" s="4">
        <f t="shared" si="7"/>
        <v>0.16326450000000001</v>
      </c>
      <c r="R116" s="4">
        <f t="shared" si="7"/>
        <v>0.129852</v>
      </c>
      <c r="S116" s="4">
        <f t="shared" si="7"/>
        <v>0.14900850000000002</v>
      </c>
    </row>
    <row r="117" spans="9:19" x14ac:dyDescent="0.25">
      <c r="I117">
        <v>51</v>
      </c>
      <c r="J117" s="4">
        <f t="shared" ref="J117:S123" si="8">IF(J89&lt;0,"",J89/100)</f>
        <v>0.27686699999999997</v>
      </c>
      <c r="K117" s="4">
        <f t="shared" si="8"/>
        <v>0.27018449999999999</v>
      </c>
      <c r="L117" s="4">
        <f t="shared" si="8"/>
        <v>0.26350199999999996</v>
      </c>
      <c r="M117" s="4">
        <f t="shared" si="8"/>
        <v>0.26127450000000002</v>
      </c>
      <c r="N117" s="4">
        <f t="shared" si="8"/>
        <v>0.24790949999999998</v>
      </c>
      <c r="O117" s="4">
        <f t="shared" si="8"/>
        <v>0.2389995</v>
      </c>
      <c r="P117" s="4">
        <f t="shared" si="8"/>
        <v>0.23008950000000003</v>
      </c>
      <c r="Q117" s="4">
        <f t="shared" si="8"/>
        <v>0.23008950000000003</v>
      </c>
      <c r="R117" s="4">
        <f t="shared" si="8"/>
        <v>0.2389995</v>
      </c>
      <c r="S117" s="4">
        <f t="shared" si="8"/>
        <v>0.27397125000000006</v>
      </c>
    </row>
    <row r="118" spans="9:19" x14ac:dyDescent="0.25">
      <c r="I118">
        <v>52</v>
      </c>
      <c r="J118" s="4">
        <f t="shared" si="8"/>
        <v>0.24568199999999998</v>
      </c>
      <c r="K118" s="4">
        <f t="shared" si="8"/>
        <v>0.2389995</v>
      </c>
      <c r="L118" s="4">
        <f t="shared" si="8"/>
        <v>0.27463949999999998</v>
      </c>
      <c r="M118" s="4">
        <f t="shared" si="8"/>
        <v>0.27909450000000002</v>
      </c>
      <c r="N118" s="4">
        <f t="shared" si="8"/>
        <v>0.30136949999999996</v>
      </c>
      <c r="O118" s="4">
        <f t="shared" si="8"/>
        <v>0.28577700000000006</v>
      </c>
      <c r="P118" s="4">
        <f t="shared" si="8"/>
        <v>0.27909450000000002</v>
      </c>
      <c r="Q118" s="4">
        <f t="shared" si="8"/>
        <v>0.22786200000000001</v>
      </c>
      <c r="R118" s="4">
        <f t="shared" si="8"/>
        <v>0.22786200000000001</v>
      </c>
      <c r="S118" s="4">
        <f t="shared" si="8"/>
        <v>0.27642149999999999</v>
      </c>
    </row>
    <row r="119" spans="9:19" x14ac:dyDescent="0.25">
      <c r="I119">
        <v>53</v>
      </c>
      <c r="J119" s="4">
        <f t="shared" si="8"/>
        <v>0.24345450000000002</v>
      </c>
      <c r="K119" s="4">
        <f t="shared" si="8"/>
        <v>0.23677200000000004</v>
      </c>
      <c r="L119" s="4">
        <f t="shared" si="8"/>
        <v>0.25236449999999999</v>
      </c>
      <c r="M119" s="4">
        <f t="shared" si="8"/>
        <v>0.27686699999999997</v>
      </c>
      <c r="N119" s="4">
        <f t="shared" si="8"/>
        <v>0.26127450000000002</v>
      </c>
      <c r="O119" s="4">
        <f t="shared" si="8"/>
        <v>0.24345450000000002</v>
      </c>
      <c r="P119" s="4">
        <f t="shared" si="8"/>
        <v>0.20113199999999998</v>
      </c>
      <c r="Q119" s="4">
        <f t="shared" si="8"/>
        <v>0.1365345</v>
      </c>
      <c r="R119" s="4">
        <f t="shared" si="8"/>
        <v>0.13207950000000002</v>
      </c>
      <c r="S119" s="4">
        <f t="shared" si="8"/>
        <v>0.17596124999999996</v>
      </c>
    </row>
    <row r="120" spans="9:19" x14ac:dyDescent="0.25">
      <c r="I120">
        <v>54</v>
      </c>
      <c r="J120" s="4">
        <f t="shared" si="8"/>
        <v>0.23008950000000003</v>
      </c>
      <c r="K120" s="4">
        <f t="shared" si="8"/>
        <v>0.22786200000000001</v>
      </c>
      <c r="L120" s="4">
        <f t="shared" si="8"/>
        <v>0.22340700000000002</v>
      </c>
      <c r="M120" s="4">
        <f t="shared" si="8"/>
        <v>0.25459199999999998</v>
      </c>
      <c r="N120" s="4">
        <f t="shared" si="8"/>
        <v>0.25681949999999998</v>
      </c>
      <c r="O120" s="4">
        <f t="shared" si="8"/>
        <v>0.22340700000000002</v>
      </c>
      <c r="P120" s="4">
        <f t="shared" si="8"/>
        <v>0.18331200000000003</v>
      </c>
      <c r="Q120" s="4">
        <f t="shared" si="8"/>
        <v>0.156582</v>
      </c>
      <c r="R120" s="4">
        <f t="shared" si="8"/>
        <v>0.14321700000000001</v>
      </c>
      <c r="S120" s="4">
        <f t="shared" si="8"/>
        <v>0.20536425000000005</v>
      </c>
    </row>
    <row r="121" spans="9:19" x14ac:dyDescent="0.25">
      <c r="I121">
        <v>61</v>
      </c>
      <c r="J121" s="4">
        <f t="shared" si="8"/>
        <v>0.20558699999999999</v>
      </c>
      <c r="K121" s="4">
        <f t="shared" si="8"/>
        <v>0.16326450000000001</v>
      </c>
      <c r="L121" s="4">
        <f t="shared" si="8"/>
        <v>0.174402</v>
      </c>
      <c r="M121" s="4">
        <f t="shared" si="8"/>
        <v>0.20781449999999999</v>
      </c>
      <c r="N121" s="4">
        <f t="shared" si="8"/>
        <v>0.22786200000000001</v>
      </c>
      <c r="O121" s="4">
        <f t="shared" si="8"/>
        <v>0.18108450000000001</v>
      </c>
      <c r="P121" s="4">
        <f t="shared" si="8"/>
        <v>0.165492</v>
      </c>
      <c r="Q121" s="4">
        <f t="shared" si="8"/>
        <v>0.165492</v>
      </c>
      <c r="R121" s="4">
        <f t="shared" si="8"/>
        <v>0.174402</v>
      </c>
      <c r="S121" s="4">
        <f t="shared" si="8"/>
        <v>0.20536425000000005</v>
      </c>
    </row>
    <row r="122" spans="9:19" x14ac:dyDescent="0.25">
      <c r="I122">
        <v>62</v>
      </c>
      <c r="J122" s="4">
        <f t="shared" si="8"/>
        <v>0.2211795</v>
      </c>
      <c r="K122" s="4">
        <f t="shared" si="8"/>
        <v>0.22563449999999999</v>
      </c>
      <c r="L122" s="4">
        <f t="shared" si="8"/>
        <v>0.25013699999999994</v>
      </c>
      <c r="M122" s="4">
        <f t="shared" si="8"/>
        <v>0.19222199999999998</v>
      </c>
      <c r="N122" s="4">
        <f t="shared" si="8"/>
        <v>0.156582</v>
      </c>
      <c r="O122" s="4">
        <f t="shared" si="8"/>
        <v>0.165492</v>
      </c>
      <c r="P122" s="4">
        <f t="shared" si="8"/>
        <v>0.138762</v>
      </c>
      <c r="Q122" s="4">
        <f t="shared" si="8"/>
        <v>0.1454445</v>
      </c>
      <c r="R122" s="4">
        <f t="shared" si="8"/>
        <v>0.18776700000000002</v>
      </c>
      <c r="S122" s="4">
        <f t="shared" si="8"/>
        <v>0.232317</v>
      </c>
    </row>
    <row r="123" spans="9:19" x14ac:dyDescent="0.25">
      <c r="I123">
        <v>63</v>
      </c>
      <c r="J123" s="4">
        <f t="shared" si="8"/>
        <v>0.26572949999999995</v>
      </c>
      <c r="K123" s="4">
        <f t="shared" si="8"/>
        <v>0.23677200000000004</v>
      </c>
      <c r="L123" s="4">
        <f t="shared" si="8"/>
        <v>0.21895199999999998</v>
      </c>
      <c r="M123" s="4">
        <f t="shared" si="8"/>
        <v>0.19890449999999998</v>
      </c>
      <c r="N123" s="4">
        <f t="shared" si="8"/>
        <v>0.21449699999999999</v>
      </c>
      <c r="O123" s="4">
        <f t="shared" si="8"/>
        <v>0.22563449999999999</v>
      </c>
      <c r="P123" s="4">
        <f t="shared" si="8"/>
        <v>0.174402</v>
      </c>
      <c r="Q123" s="4">
        <f t="shared" si="8"/>
        <v>0.1454445</v>
      </c>
      <c r="R123" s="4">
        <f t="shared" si="8"/>
        <v>0.156582</v>
      </c>
      <c r="S123" s="4">
        <f t="shared" si="8"/>
        <v>0.22251599999999999</v>
      </c>
    </row>
    <row r="124" spans="9:19" x14ac:dyDescent="0.25">
      <c r="I124">
        <v>64</v>
      </c>
      <c r="J124" s="4">
        <f t="shared" ref="J124:S124" si="9">IF(J96&lt;0,"",J96/100)</f>
        <v>0.27018449999999999</v>
      </c>
      <c r="K124" s="4">
        <f t="shared" si="9"/>
        <v>0.25681949999999998</v>
      </c>
      <c r="L124" s="4">
        <f t="shared" si="9"/>
        <v>0.20781449999999999</v>
      </c>
      <c r="M124" s="4">
        <f t="shared" si="9"/>
        <v>0.22563449999999999</v>
      </c>
      <c r="N124" s="4">
        <f t="shared" si="9"/>
        <v>0.24790949999999998</v>
      </c>
      <c r="O124" s="4">
        <f t="shared" si="9"/>
        <v>0.23008950000000003</v>
      </c>
      <c r="P124" s="4">
        <f t="shared" si="9"/>
        <v>0.18331200000000003</v>
      </c>
      <c r="Q124" s="4">
        <f t="shared" si="9"/>
        <v>0.12539700000000001</v>
      </c>
      <c r="R124" s="4">
        <f t="shared" si="9"/>
        <v>0.12094200000000001</v>
      </c>
      <c r="S124" s="4">
        <f t="shared" si="9"/>
        <v>0.18331200000000003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66DC-8B85-4498-BF1B-08F4D7773FD6}">
  <dimension ref="A1:T124"/>
  <sheetViews>
    <sheetView topLeftCell="F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10414</v>
      </c>
      <c r="F1">
        <v>0</v>
      </c>
      <c r="G1">
        <v>10</v>
      </c>
      <c r="H1">
        <v>1824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9</v>
      </c>
      <c r="G18">
        <v>1</v>
      </c>
      <c r="H18">
        <v>6</v>
      </c>
      <c r="I18">
        <v>34</v>
      </c>
      <c r="J18">
        <v>1.03</v>
      </c>
      <c r="K18">
        <v>1.08</v>
      </c>
      <c r="L18">
        <v>1.24</v>
      </c>
      <c r="M18">
        <v>1.4</v>
      </c>
      <c r="N18">
        <v>1.35</v>
      </c>
      <c r="O18">
        <v>1.41</v>
      </c>
      <c r="P18">
        <v>1.46</v>
      </c>
      <c r="Q18">
        <v>1.41</v>
      </c>
      <c r="R18">
        <v>1.37</v>
      </c>
      <c r="S18">
        <v>1.35</v>
      </c>
      <c r="T18">
        <v>3725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9</v>
      </c>
      <c r="G19">
        <v>1</v>
      </c>
      <c r="H19">
        <v>6</v>
      </c>
      <c r="I19">
        <v>31</v>
      </c>
      <c r="J19">
        <v>1.26</v>
      </c>
      <c r="K19">
        <v>1.3</v>
      </c>
      <c r="L19">
        <v>1.1000000000000001</v>
      </c>
      <c r="M19">
        <v>0.97</v>
      </c>
      <c r="N19">
        <v>0.87</v>
      </c>
      <c r="O19">
        <v>0.9</v>
      </c>
      <c r="P19">
        <v>0.87</v>
      </c>
      <c r="Q19">
        <v>1.1000000000000001</v>
      </c>
      <c r="R19">
        <v>1.0900000000000001</v>
      </c>
      <c r="S19">
        <v>0.98</v>
      </c>
      <c r="T19">
        <v>3743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9</v>
      </c>
      <c r="G20">
        <v>1</v>
      </c>
      <c r="H20">
        <v>6</v>
      </c>
      <c r="I20">
        <v>43</v>
      </c>
      <c r="J20">
        <v>1.19</v>
      </c>
      <c r="K20">
        <v>1.1299999999999999</v>
      </c>
      <c r="L20">
        <v>1.2</v>
      </c>
      <c r="M20">
        <v>1.3</v>
      </c>
      <c r="N20">
        <v>1.27</v>
      </c>
      <c r="O20">
        <v>1.07</v>
      </c>
      <c r="P20">
        <v>0.96</v>
      </c>
      <c r="Q20">
        <v>0.99</v>
      </c>
      <c r="R20">
        <v>1.08</v>
      </c>
      <c r="S20">
        <v>1.06</v>
      </c>
      <c r="T20">
        <v>3736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9</v>
      </c>
      <c r="G21">
        <v>1</v>
      </c>
      <c r="H21">
        <v>6</v>
      </c>
      <c r="I21">
        <v>47</v>
      </c>
      <c r="J21">
        <v>1.34</v>
      </c>
      <c r="K21">
        <v>1.35</v>
      </c>
      <c r="L21">
        <v>1.39</v>
      </c>
      <c r="M21">
        <v>1.32</v>
      </c>
      <c r="N21">
        <v>1.18</v>
      </c>
      <c r="O21">
        <v>1.17</v>
      </c>
      <c r="P21">
        <v>1.35</v>
      </c>
      <c r="Q21">
        <v>1.4</v>
      </c>
      <c r="R21">
        <v>1.29</v>
      </c>
      <c r="S21">
        <v>1.25</v>
      </c>
      <c r="T21">
        <v>3738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9</v>
      </c>
      <c r="G22">
        <v>1</v>
      </c>
      <c r="H22">
        <v>6</v>
      </c>
      <c r="I22">
        <v>52</v>
      </c>
      <c r="J22">
        <v>0.86</v>
      </c>
      <c r="K22">
        <v>0.72</v>
      </c>
      <c r="L22">
        <v>0.67</v>
      </c>
      <c r="M22">
        <v>0.65</v>
      </c>
      <c r="N22">
        <v>0.6</v>
      </c>
      <c r="O22">
        <v>0.59</v>
      </c>
      <c r="P22">
        <v>0.64</v>
      </c>
      <c r="Q22">
        <v>0.72</v>
      </c>
      <c r="R22">
        <v>0.87</v>
      </c>
      <c r="S22">
        <v>1.1000000000000001</v>
      </c>
      <c r="T22">
        <v>3747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9</v>
      </c>
      <c r="G23">
        <v>1</v>
      </c>
      <c r="H23">
        <v>6</v>
      </c>
      <c r="I23">
        <v>56</v>
      </c>
      <c r="J23">
        <v>1.25</v>
      </c>
      <c r="K23">
        <v>1.23</v>
      </c>
      <c r="L23">
        <v>1.4</v>
      </c>
      <c r="M23">
        <v>1.45</v>
      </c>
      <c r="N23">
        <v>1.24</v>
      </c>
      <c r="O23">
        <v>0.87</v>
      </c>
      <c r="P23">
        <v>0.85</v>
      </c>
      <c r="Q23">
        <v>0.95</v>
      </c>
      <c r="R23">
        <v>1.04</v>
      </c>
      <c r="S23">
        <v>1.03</v>
      </c>
      <c r="T23">
        <v>3741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9</v>
      </c>
      <c r="G24">
        <v>1</v>
      </c>
      <c r="H24">
        <v>7</v>
      </c>
      <c r="I24">
        <v>0</v>
      </c>
      <c r="J24">
        <v>1.39</v>
      </c>
      <c r="K24">
        <v>1.31</v>
      </c>
      <c r="L24">
        <v>1.31</v>
      </c>
      <c r="M24">
        <v>1.37</v>
      </c>
      <c r="N24">
        <v>1.34</v>
      </c>
      <c r="O24">
        <v>1.17</v>
      </c>
      <c r="P24">
        <v>1</v>
      </c>
      <c r="Q24">
        <v>1.1299999999999999</v>
      </c>
      <c r="R24">
        <v>1.1399999999999999</v>
      </c>
      <c r="S24">
        <v>1.21</v>
      </c>
      <c r="T24">
        <v>3717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9</v>
      </c>
      <c r="G25">
        <v>1</v>
      </c>
      <c r="H25">
        <v>7</v>
      </c>
      <c r="I25">
        <v>4</v>
      </c>
      <c r="J25">
        <v>1.43</v>
      </c>
      <c r="K25">
        <v>1.3</v>
      </c>
      <c r="L25">
        <v>1.3</v>
      </c>
      <c r="M25">
        <v>1.29</v>
      </c>
      <c r="N25">
        <v>1.22</v>
      </c>
      <c r="O25">
        <v>1.17</v>
      </c>
      <c r="P25">
        <v>1.04</v>
      </c>
      <c r="Q25">
        <v>1.19</v>
      </c>
      <c r="R25">
        <v>1.23</v>
      </c>
      <c r="S25">
        <v>1.24</v>
      </c>
      <c r="T25">
        <v>3722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9</v>
      </c>
      <c r="G26">
        <v>1</v>
      </c>
      <c r="H26">
        <v>7</v>
      </c>
      <c r="I26">
        <v>21</v>
      </c>
      <c r="J26">
        <v>1.61</v>
      </c>
      <c r="K26">
        <v>1.43</v>
      </c>
      <c r="L26">
        <v>1.37</v>
      </c>
      <c r="M26">
        <v>1.41</v>
      </c>
      <c r="N26">
        <v>1.33</v>
      </c>
      <c r="O26">
        <v>1.19</v>
      </c>
      <c r="P26">
        <v>0.94</v>
      </c>
      <c r="Q26">
        <v>0.91</v>
      </c>
      <c r="R26">
        <v>0.95</v>
      </c>
      <c r="S26">
        <v>0.95</v>
      </c>
      <c r="T26">
        <v>3751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9</v>
      </c>
      <c r="G27">
        <v>1</v>
      </c>
      <c r="H27">
        <v>7</v>
      </c>
      <c r="I27">
        <v>33</v>
      </c>
      <c r="J27">
        <v>1.1599999999999999</v>
      </c>
      <c r="K27">
        <v>1.06</v>
      </c>
      <c r="L27">
        <v>1</v>
      </c>
      <c r="M27">
        <v>0.9</v>
      </c>
      <c r="N27">
        <v>0.91</v>
      </c>
      <c r="O27">
        <v>0.87</v>
      </c>
      <c r="P27">
        <v>0.9</v>
      </c>
      <c r="Q27">
        <v>1.07</v>
      </c>
      <c r="R27">
        <v>1.1499999999999999</v>
      </c>
      <c r="S27">
        <v>1.1599999999999999</v>
      </c>
      <c r="T27">
        <v>3733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9</v>
      </c>
      <c r="G28">
        <v>1</v>
      </c>
      <c r="H28">
        <v>7</v>
      </c>
      <c r="I28">
        <v>37</v>
      </c>
      <c r="J28">
        <v>1.1399999999999999</v>
      </c>
      <c r="K28">
        <v>1.1599999999999999</v>
      </c>
      <c r="L28">
        <v>1.35</v>
      </c>
      <c r="M28">
        <v>1.46</v>
      </c>
      <c r="N28">
        <v>1.36</v>
      </c>
      <c r="O28">
        <v>1.3</v>
      </c>
      <c r="P28">
        <v>1.33</v>
      </c>
      <c r="Q28">
        <v>1.24</v>
      </c>
      <c r="R28">
        <v>1.3</v>
      </c>
      <c r="S28">
        <v>1.29</v>
      </c>
      <c r="T28">
        <v>3732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9</v>
      </c>
      <c r="G29">
        <v>1</v>
      </c>
      <c r="H29">
        <v>7</v>
      </c>
      <c r="I29">
        <v>41</v>
      </c>
      <c r="J29">
        <v>0.92</v>
      </c>
      <c r="K29">
        <v>0.96</v>
      </c>
      <c r="L29">
        <v>1.2</v>
      </c>
      <c r="M29">
        <v>1.33</v>
      </c>
      <c r="N29">
        <v>1.35</v>
      </c>
      <c r="O29">
        <v>1.35</v>
      </c>
      <c r="P29">
        <v>1.21</v>
      </c>
      <c r="Q29">
        <v>1.1399999999999999</v>
      </c>
      <c r="R29">
        <v>1.04</v>
      </c>
      <c r="S29">
        <v>1.05</v>
      </c>
      <c r="T29">
        <v>3723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9</v>
      </c>
      <c r="G30">
        <v>1</v>
      </c>
      <c r="H30">
        <v>7</v>
      </c>
      <c r="I30">
        <v>45</v>
      </c>
      <c r="J30">
        <v>1</v>
      </c>
      <c r="K30">
        <v>1.05</v>
      </c>
      <c r="L30">
        <v>1.4</v>
      </c>
      <c r="M30">
        <v>1.38</v>
      </c>
      <c r="N30">
        <v>1.38</v>
      </c>
      <c r="O30">
        <v>1.29</v>
      </c>
      <c r="P30">
        <v>1.25</v>
      </c>
      <c r="Q30">
        <v>1.06</v>
      </c>
      <c r="R30">
        <v>0.86</v>
      </c>
      <c r="S30">
        <v>0.88</v>
      </c>
      <c r="T30">
        <v>3744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9</v>
      </c>
      <c r="G31">
        <v>1</v>
      </c>
      <c r="H31">
        <v>7</v>
      </c>
      <c r="I31">
        <v>50</v>
      </c>
      <c r="J31">
        <v>1.23</v>
      </c>
      <c r="K31">
        <v>1.24</v>
      </c>
      <c r="L31">
        <v>1.32</v>
      </c>
      <c r="M31">
        <v>1.1399999999999999</v>
      </c>
      <c r="N31">
        <v>1.19</v>
      </c>
      <c r="O31">
        <v>1.1299999999999999</v>
      </c>
      <c r="P31">
        <v>1.07</v>
      </c>
      <c r="Q31">
        <v>0.97</v>
      </c>
      <c r="R31">
        <v>1</v>
      </c>
      <c r="S31">
        <v>1.1499999999999999</v>
      </c>
      <c r="T31">
        <v>3717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9</v>
      </c>
      <c r="G32">
        <v>1</v>
      </c>
      <c r="H32">
        <v>7</v>
      </c>
      <c r="I32">
        <v>53</v>
      </c>
      <c r="J32">
        <v>1.17</v>
      </c>
      <c r="K32">
        <v>1.18</v>
      </c>
      <c r="L32">
        <v>1.3</v>
      </c>
      <c r="M32">
        <v>1.27</v>
      </c>
      <c r="N32">
        <v>1.33</v>
      </c>
      <c r="O32">
        <v>1.06</v>
      </c>
      <c r="P32">
        <v>0.9</v>
      </c>
      <c r="Q32">
        <v>0.92</v>
      </c>
      <c r="R32">
        <v>1.06</v>
      </c>
      <c r="S32">
        <v>1.18</v>
      </c>
      <c r="T32">
        <v>3728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9</v>
      </c>
      <c r="G33">
        <v>1</v>
      </c>
      <c r="H33">
        <v>7</v>
      </c>
      <c r="I33">
        <v>57</v>
      </c>
      <c r="J33">
        <v>1.18</v>
      </c>
      <c r="K33">
        <v>1.26</v>
      </c>
      <c r="L33">
        <v>1.49</v>
      </c>
      <c r="M33">
        <v>1.4</v>
      </c>
      <c r="N33">
        <v>1.44</v>
      </c>
      <c r="O33">
        <v>1.37</v>
      </c>
      <c r="P33">
        <v>1.1200000000000001</v>
      </c>
      <c r="Q33">
        <v>0.96</v>
      </c>
      <c r="R33">
        <v>1.1399999999999999</v>
      </c>
      <c r="S33">
        <v>1.23</v>
      </c>
      <c r="T33">
        <v>3695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9</v>
      </c>
      <c r="G34">
        <v>1</v>
      </c>
      <c r="H34">
        <v>8</v>
      </c>
      <c r="I34">
        <v>3</v>
      </c>
      <c r="J34">
        <v>1.5</v>
      </c>
      <c r="K34">
        <v>1.46</v>
      </c>
      <c r="L34">
        <v>1.44</v>
      </c>
      <c r="M34">
        <v>1.46</v>
      </c>
      <c r="N34">
        <v>1.37</v>
      </c>
      <c r="O34">
        <v>1.35</v>
      </c>
      <c r="P34">
        <v>1.3</v>
      </c>
      <c r="Q34">
        <v>1.24</v>
      </c>
      <c r="R34">
        <v>1.33</v>
      </c>
      <c r="S34">
        <v>1.32</v>
      </c>
      <c r="T34">
        <v>3687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9</v>
      </c>
      <c r="G35">
        <v>1</v>
      </c>
      <c r="H35">
        <v>8</v>
      </c>
      <c r="I35">
        <v>7</v>
      </c>
      <c r="J35">
        <v>1.4</v>
      </c>
      <c r="K35">
        <v>1.37</v>
      </c>
      <c r="L35">
        <v>1.51</v>
      </c>
      <c r="M35">
        <v>1.52</v>
      </c>
      <c r="N35">
        <v>1.61</v>
      </c>
      <c r="O35">
        <v>1.53</v>
      </c>
      <c r="P35">
        <v>1.51</v>
      </c>
      <c r="Q35">
        <v>1.29</v>
      </c>
      <c r="R35">
        <v>1.27</v>
      </c>
      <c r="S35">
        <v>1.29</v>
      </c>
      <c r="T35">
        <v>3698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9</v>
      </c>
      <c r="G36">
        <v>1</v>
      </c>
      <c r="H36">
        <v>8</v>
      </c>
      <c r="I36">
        <v>11</v>
      </c>
      <c r="J36">
        <v>1.33</v>
      </c>
      <c r="K36">
        <v>1.31</v>
      </c>
      <c r="L36">
        <v>1.4</v>
      </c>
      <c r="M36">
        <v>1.5</v>
      </c>
      <c r="N36">
        <v>1.45</v>
      </c>
      <c r="O36">
        <v>1.35</v>
      </c>
      <c r="P36">
        <v>1.17</v>
      </c>
      <c r="Q36">
        <v>0.9</v>
      </c>
      <c r="R36">
        <v>0.85</v>
      </c>
      <c r="S36">
        <v>0.99</v>
      </c>
      <c r="T36">
        <v>3694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9</v>
      </c>
      <c r="G37">
        <v>1</v>
      </c>
      <c r="H37">
        <v>8</v>
      </c>
      <c r="I37">
        <v>14</v>
      </c>
      <c r="J37">
        <v>1.27</v>
      </c>
      <c r="K37">
        <v>1.27</v>
      </c>
      <c r="L37">
        <v>1.24</v>
      </c>
      <c r="M37">
        <v>1.38</v>
      </c>
      <c r="N37">
        <v>1.4</v>
      </c>
      <c r="O37">
        <v>1.25</v>
      </c>
      <c r="P37">
        <v>1.0900000000000001</v>
      </c>
      <c r="Q37">
        <v>1.01</v>
      </c>
      <c r="R37">
        <v>0.98</v>
      </c>
      <c r="S37">
        <v>1.1100000000000001</v>
      </c>
      <c r="T37">
        <v>3689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9</v>
      </c>
      <c r="G38">
        <v>1</v>
      </c>
      <c r="H38">
        <v>8</v>
      </c>
      <c r="I38">
        <v>11</v>
      </c>
      <c r="J38">
        <v>1.48</v>
      </c>
      <c r="K38">
        <v>1.4</v>
      </c>
      <c r="L38">
        <v>1.21</v>
      </c>
      <c r="M38">
        <v>1.28</v>
      </c>
      <c r="N38">
        <v>1.36</v>
      </c>
      <c r="O38">
        <v>1.26</v>
      </c>
      <c r="P38">
        <v>1.1100000000000001</v>
      </c>
      <c r="Q38">
        <v>0.86</v>
      </c>
      <c r="R38">
        <v>0.82</v>
      </c>
      <c r="S38">
        <v>1</v>
      </c>
      <c r="T38">
        <v>3681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9</v>
      </c>
      <c r="G39">
        <v>1</v>
      </c>
      <c r="H39">
        <v>8</v>
      </c>
      <c r="I39">
        <v>23</v>
      </c>
      <c r="J39">
        <v>1.43</v>
      </c>
      <c r="K39">
        <v>1.31</v>
      </c>
      <c r="L39">
        <v>1.27</v>
      </c>
      <c r="M39">
        <v>1.1200000000000001</v>
      </c>
      <c r="N39">
        <v>1.19</v>
      </c>
      <c r="O39">
        <v>1.26</v>
      </c>
      <c r="P39">
        <v>1.07</v>
      </c>
      <c r="Q39">
        <v>0.9</v>
      </c>
      <c r="R39">
        <v>0.95</v>
      </c>
      <c r="S39">
        <v>1.1299999999999999</v>
      </c>
      <c r="T39">
        <v>3684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9</v>
      </c>
      <c r="G40">
        <v>1</v>
      </c>
      <c r="H40">
        <v>8</v>
      </c>
      <c r="I40">
        <v>27</v>
      </c>
      <c r="J40">
        <v>1.26</v>
      </c>
      <c r="K40">
        <v>1.26</v>
      </c>
      <c r="L40">
        <v>1.35</v>
      </c>
      <c r="M40">
        <v>1.06</v>
      </c>
      <c r="N40">
        <v>0.99</v>
      </c>
      <c r="O40">
        <v>1</v>
      </c>
      <c r="P40">
        <v>0.91</v>
      </c>
      <c r="Q40">
        <v>0.92</v>
      </c>
      <c r="R40">
        <v>1.1200000000000001</v>
      </c>
      <c r="S40">
        <v>1.18</v>
      </c>
      <c r="T40">
        <v>3690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9</v>
      </c>
      <c r="G41">
        <v>1</v>
      </c>
      <c r="H41">
        <v>8</v>
      </c>
      <c r="I41">
        <v>31</v>
      </c>
      <c r="J41">
        <v>1.17</v>
      </c>
      <c r="K41">
        <v>1</v>
      </c>
      <c r="L41">
        <v>1.02</v>
      </c>
      <c r="M41">
        <v>1.18</v>
      </c>
      <c r="N41">
        <v>1.27</v>
      </c>
      <c r="O41">
        <v>1.04</v>
      </c>
      <c r="P41">
        <v>0.99</v>
      </c>
      <c r="Q41">
        <v>0.98</v>
      </c>
      <c r="R41">
        <v>1.06</v>
      </c>
      <c r="S41">
        <v>1.05</v>
      </c>
      <c r="T41">
        <v>3680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9</v>
      </c>
      <c r="G45">
        <v>1</v>
      </c>
      <c r="H45">
        <v>6</v>
      </c>
      <c r="I45">
        <v>34</v>
      </c>
      <c r="J45">
        <v>1.03</v>
      </c>
      <c r="K45">
        <v>1.08</v>
      </c>
      <c r="L45">
        <v>1.24</v>
      </c>
      <c r="M45">
        <v>1.4</v>
      </c>
      <c r="N45">
        <v>1.35</v>
      </c>
      <c r="O45">
        <v>1.41</v>
      </c>
      <c r="P45">
        <v>1.46</v>
      </c>
      <c r="Q45">
        <v>1.41</v>
      </c>
      <c r="R45">
        <v>1.37</v>
      </c>
      <c r="S45">
        <v>1.35</v>
      </c>
      <c r="T45">
        <v>3725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9</v>
      </c>
      <c r="G46">
        <v>1</v>
      </c>
      <c r="H46">
        <v>6</v>
      </c>
      <c r="I46">
        <v>31</v>
      </c>
      <c r="J46">
        <v>1.26</v>
      </c>
      <c r="K46">
        <v>1.3</v>
      </c>
      <c r="L46">
        <v>1.1000000000000001</v>
      </c>
      <c r="M46">
        <v>0.97</v>
      </c>
      <c r="N46">
        <v>0.87</v>
      </c>
      <c r="O46">
        <v>0.9</v>
      </c>
      <c r="P46">
        <v>0.87</v>
      </c>
      <c r="Q46">
        <v>1.1000000000000001</v>
      </c>
      <c r="R46">
        <v>1.0900000000000001</v>
      </c>
      <c r="S46">
        <v>0.98</v>
      </c>
      <c r="T46">
        <v>3743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9</v>
      </c>
      <c r="G47">
        <v>1</v>
      </c>
      <c r="H47">
        <v>6</v>
      </c>
      <c r="I47">
        <v>43</v>
      </c>
      <c r="J47">
        <v>1.19</v>
      </c>
      <c r="K47">
        <v>1.1299999999999999</v>
      </c>
      <c r="L47">
        <v>1.2</v>
      </c>
      <c r="M47">
        <v>1.3</v>
      </c>
      <c r="N47">
        <v>1.27</v>
      </c>
      <c r="O47">
        <v>1.07</v>
      </c>
      <c r="P47">
        <v>0.96</v>
      </c>
      <c r="Q47">
        <v>0.99</v>
      </c>
      <c r="R47">
        <v>1.08</v>
      </c>
      <c r="S47">
        <v>1.06</v>
      </c>
      <c r="T47">
        <v>3736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9</v>
      </c>
      <c r="G48">
        <v>1</v>
      </c>
      <c r="H48">
        <v>6</v>
      </c>
      <c r="I48">
        <v>47</v>
      </c>
      <c r="J48">
        <v>1.34</v>
      </c>
      <c r="K48">
        <v>1.35</v>
      </c>
      <c r="L48">
        <v>1.39</v>
      </c>
      <c r="M48">
        <v>1.32</v>
      </c>
      <c r="N48">
        <v>1.18</v>
      </c>
      <c r="O48">
        <v>1.17</v>
      </c>
      <c r="P48">
        <v>1.35</v>
      </c>
      <c r="Q48">
        <v>1.4</v>
      </c>
      <c r="R48">
        <v>1.29</v>
      </c>
      <c r="S48">
        <v>1.25</v>
      </c>
      <c r="T48">
        <v>3738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9</v>
      </c>
      <c r="G49">
        <v>1</v>
      </c>
      <c r="H49">
        <v>7</v>
      </c>
      <c r="I49">
        <v>4</v>
      </c>
      <c r="J49">
        <v>1.43</v>
      </c>
      <c r="K49">
        <v>1.3</v>
      </c>
      <c r="L49">
        <v>1.3</v>
      </c>
      <c r="M49">
        <v>1.29</v>
      </c>
      <c r="N49">
        <v>1.22</v>
      </c>
      <c r="O49">
        <v>1.17</v>
      </c>
      <c r="P49">
        <v>1.04</v>
      </c>
      <c r="Q49">
        <v>1.19</v>
      </c>
      <c r="R49">
        <v>1.23</v>
      </c>
      <c r="S49">
        <v>1.24</v>
      </c>
      <c r="T49">
        <v>3722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9</v>
      </c>
      <c r="G50">
        <v>1</v>
      </c>
      <c r="H50">
        <v>7</v>
      </c>
      <c r="I50">
        <v>0</v>
      </c>
      <c r="J50">
        <v>1.39</v>
      </c>
      <c r="K50">
        <v>1.31</v>
      </c>
      <c r="L50">
        <v>1.31</v>
      </c>
      <c r="M50">
        <v>1.37</v>
      </c>
      <c r="N50">
        <v>1.34</v>
      </c>
      <c r="O50">
        <v>1.17</v>
      </c>
      <c r="P50">
        <v>1</v>
      </c>
      <c r="Q50">
        <v>1.1299999999999999</v>
      </c>
      <c r="R50">
        <v>1.1399999999999999</v>
      </c>
      <c r="S50">
        <v>1.21</v>
      </c>
      <c r="T50">
        <v>3717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9</v>
      </c>
      <c r="G51">
        <v>1</v>
      </c>
      <c r="H51">
        <v>6</v>
      </c>
      <c r="I51">
        <v>56</v>
      </c>
      <c r="J51">
        <v>1.25</v>
      </c>
      <c r="K51">
        <v>1.23</v>
      </c>
      <c r="L51">
        <v>1.4</v>
      </c>
      <c r="M51">
        <v>1.45</v>
      </c>
      <c r="N51">
        <v>1.24</v>
      </c>
      <c r="O51">
        <v>0.87</v>
      </c>
      <c r="P51">
        <v>0.85</v>
      </c>
      <c r="Q51">
        <v>0.95</v>
      </c>
      <c r="R51">
        <v>1.04</v>
      </c>
      <c r="S51">
        <v>1.03</v>
      </c>
      <c r="T51">
        <v>3741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9</v>
      </c>
      <c r="G52">
        <v>1</v>
      </c>
      <c r="H52">
        <v>6</v>
      </c>
      <c r="I52">
        <v>52</v>
      </c>
      <c r="J52">
        <v>0.86</v>
      </c>
      <c r="K52">
        <v>0.72</v>
      </c>
      <c r="L52">
        <v>0.67</v>
      </c>
      <c r="M52">
        <v>0.65</v>
      </c>
      <c r="N52">
        <v>0.6</v>
      </c>
      <c r="O52">
        <v>0.59</v>
      </c>
      <c r="P52">
        <v>0.64</v>
      </c>
      <c r="Q52">
        <v>0.72</v>
      </c>
      <c r="R52">
        <v>0.87</v>
      </c>
      <c r="S52">
        <v>1.1000000000000001</v>
      </c>
      <c r="T52">
        <v>3747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9</v>
      </c>
      <c r="G53">
        <v>1</v>
      </c>
      <c r="H53">
        <v>7</v>
      </c>
      <c r="I53">
        <v>21</v>
      </c>
      <c r="J53">
        <v>1.61</v>
      </c>
      <c r="K53">
        <v>1.43</v>
      </c>
      <c r="L53">
        <v>1.37</v>
      </c>
      <c r="M53">
        <v>1.41</v>
      </c>
      <c r="N53">
        <v>1.33</v>
      </c>
      <c r="O53">
        <v>1.19</v>
      </c>
      <c r="P53">
        <v>0.94</v>
      </c>
      <c r="Q53">
        <v>0.91</v>
      </c>
      <c r="R53">
        <v>0.95</v>
      </c>
      <c r="S53">
        <v>0.95</v>
      </c>
      <c r="T53">
        <v>3751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9</v>
      </c>
      <c r="G54">
        <v>1</v>
      </c>
      <c r="H54">
        <v>7</v>
      </c>
      <c r="I54">
        <v>33</v>
      </c>
      <c r="J54">
        <v>1.1599999999999999</v>
      </c>
      <c r="K54">
        <v>1.06</v>
      </c>
      <c r="L54">
        <v>1</v>
      </c>
      <c r="M54">
        <v>0.9</v>
      </c>
      <c r="N54">
        <v>0.91</v>
      </c>
      <c r="O54">
        <v>0.87</v>
      </c>
      <c r="P54">
        <v>0.9</v>
      </c>
      <c r="Q54">
        <v>1.07</v>
      </c>
      <c r="R54">
        <v>1.1499999999999999</v>
      </c>
      <c r="S54">
        <v>1.1599999999999999</v>
      </c>
      <c r="T54">
        <v>3733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9</v>
      </c>
      <c r="G55">
        <v>1</v>
      </c>
      <c r="H55">
        <v>7</v>
      </c>
      <c r="I55">
        <v>37</v>
      </c>
      <c r="J55">
        <v>1.1399999999999999</v>
      </c>
      <c r="K55">
        <v>1.1599999999999999</v>
      </c>
      <c r="L55">
        <v>1.35</v>
      </c>
      <c r="M55">
        <v>1.46</v>
      </c>
      <c r="N55">
        <v>1.36</v>
      </c>
      <c r="O55">
        <v>1.3</v>
      </c>
      <c r="P55">
        <v>1.33</v>
      </c>
      <c r="Q55">
        <v>1.24</v>
      </c>
      <c r="R55">
        <v>1.3</v>
      </c>
      <c r="S55">
        <v>1.29</v>
      </c>
      <c r="T55">
        <v>3732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9</v>
      </c>
      <c r="G56">
        <v>1</v>
      </c>
      <c r="H56">
        <v>7</v>
      </c>
      <c r="I56">
        <v>41</v>
      </c>
      <c r="J56">
        <v>0.92</v>
      </c>
      <c r="K56">
        <v>0.96</v>
      </c>
      <c r="L56">
        <v>1.2</v>
      </c>
      <c r="M56">
        <v>1.33</v>
      </c>
      <c r="N56">
        <v>1.35</v>
      </c>
      <c r="O56">
        <v>1.35</v>
      </c>
      <c r="P56">
        <v>1.21</v>
      </c>
      <c r="Q56">
        <v>1.1399999999999999</v>
      </c>
      <c r="R56">
        <v>1.04</v>
      </c>
      <c r="S56">
        <v>1.05</v>
      </c>
      <c r="T56">
        <v>3723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9</v>
      </c>
      <c r="G57">
        <v>1</v>
      </c>
      <c r="H57">
        <v>7</v>
      </c>
      <c r="I57">
        <v>57</v>
      </c>
      <c r="J57">
        <v>1.18</v>
      </c>
      <c r="K57">
        <v>1.26</v>
      </c>
      <c r="L57">
        <v>1.49</v>
      </c>
      <c r="M57">
        <v>1.4</v>
      </c>
      <c r="N57">
        <v>1.44</v>
      </c>
      <c r="O57">
        <v>1.37</v>
      </c>
      <c r="P57">
        <v>1.1200000000000001</v>
      </c>
      <c r="Q57">
        <v>0.96</v>
      </c>
      <c r="R57">
        <v>1.1399999999999999</v>
      </c>
      <c r="S57">
        <v>1.23</v>
      </c>
      <c r="T57">
        <v>3695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9</v>
      </c>
      <c r="G58">
        <v>1</v>
      </c>
      <c r="H58">
        <v>7</v>
      </c>
      <c r="I58">
        <v>53</v>
      </c>
      <c r="J58">
        <v>1.17</v>
      </c>
      <c r="K58">
        <v>1.18</v>
      </c>
      <c r="L58">
        <v>1.3</v>
      </c>
      <c r="M58">
        <v>1.27</v>
      </c>
      <c r="N58">
        <v>1.33</v>
      </c>
      <c r="O58">
        <v>1.06</v>
      </c>
      <c r="P58">
        <v>0.9</v>
      </c>
      <c r="Q58">
        <v>0.92</v>
      </c>
      <c r="R58">
        <v>1.06</v>
      </c>
      <c r="S58">
        <v>1.18</v>
      </c>
      <c r="T58">
        <v>3728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9</v>
      </c>
      <c r="G59">
        <v>1</v>
      </c>
      <c r="H59">
        <v>7</v>
      </c>
      <c r="I59">
        <v>50</v>
      </c>
      <c r="J59">
        <v>1.23</v>
      </c>
      <c r="K59">
        <v>1.24</v>
      </c>
      <c r="L59">
        <v>1.32</v>
      </c>
      <c r="M59">
        <v>1.1399999999999999</v>
      </c>
      <c r="N59">
        <v>1.19</v>
      </c>
      <c r="O59">
        <v>1.1299999999999999</v>
      </c>
      <c r="P59">
        <v>1.07</v>
      </c>
      <c r="Q59">
        <v>0.97</v>
      </c>
      <c r="R59">
        <v>1</v>
      </c>
      <c r="S59">
        <v>1.1499999999999999</v>
      </c>
      <c r="T59">
        <v>3717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9</v>
      </c>
      <c r="G60">
        <v>1</v>
      </c>
      <c r="H60">
        <v>7</v>
      </c>
      <c r="I60">
        <v>45</v>
      </c>
      <c r="J60">
        <v>1</v>
      </c>
      <c r="K60">
        <v>1.05</v>
      </c>
      <c r="L60">
        <v>1.4</v>
      </c>
      <c r="M60">
        <v>1.38</v>
      </c>
      <c r="N60">
        <v>1.38</v>
      </c>
      <c r="O60">
        <v>1.29</v>
      </c>
      <c r="P60">
        <v>1.25</v>
      </c>
      <c r="Q60">
        <v>1.06</v>
      </c>
      <c r="R60">
        <v>0.86</v>
      </c>
      <c r="S60">
        <v>0.88</v>
      </c>
      <c r="T60">
        <v>3744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9</v>
      </c>
      <c r="G61">
        <v>1</v>
      </c>
      <c r="H61">
        <v>8</v>
      </c>
      <c r="I61">
        <v>3</v>
      </c>
      <c r="J61">
        <v>1.5</v>
      </c>
      <c r="K61">
        <v>1.46</v>
      </c>
      <c r="L61">
        <v>1.44</v>
      </c>
      <c r="M61">
        <v>1.46</v>
      </c>
      <c r="N61">
        <v>1.37</v>
      </c>
      <c r="O61">
        <v>1.35</v>
      </c>
      <c r="P61">
        <v>1.3</v>
      </c>
      <c r="Q61">
        <v>1.24</v>
      </c>
      <c r="R61">
        <v>1.33</v>
      </c>
      <c r="S61">
        <v>1.32</v>
      </c>
      <c r="T61">
        <v>3687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9</v>
      </c>
      <c r="G62">
        <v>1</v>
      </c>
      <c r="H62">
        <v>8</v>
      </c>
      <c r="I62">
        <v>7</v>
      </c>
      <c r="J62">
        <v>1.4</v>
      </c>
      <c r="K62">
        <v>1.37</v>
      </c>
      <c r="L62">
        <v>1.51</v>
      </c>
      <c r="M62">
        <v>1.52</v>
      </c>
      <c r="N62">
        <v>1.61</v>
      </c>
      <c r="O62">
        <v>1.53</v>
      </c>
      <c r="P62">
        <v>1.51</v>
      </c>
      <c r="Q62">
        <v>1.29</v>
      </c>
      <c r="R62">
        <v>1.27</v>
      </c>
      <c r="S62">
        <v>1.29</v>
      </c>
      <c r="T62">
        <v>3698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9</v>
      </c>
      <c r="G63">
        <v>1</v>
      </c>
      <c r="H63">
        <v>8</v>
      </c>
      <c r="I63">
        <v>11</v>
      </c>
      <c r="J63">
        <v>1.33</v>
      </c>
      <c r="K63">
        <v>1.31</v>
      </c>
      <c r="L63">
        <v>1.4</v>
      </c>
      <c r="M63">
        <v>1.5</v>
      </c>
      <c r="N63">
        <v>1.45</v>
      </c>
      <c r="O63">
        <v>1.35</v>
      </c>
      <c r="P63">
        <v>1.17</v>
      </c>
      <c r="Q63">
        <v>0.9</v>
      </c>
      <c r="R63">
        <v>0.85</v>
      </c>
      <c r="S63">
        <v>0.99</v>
      </c>
      <c r="T63">
        <v>3694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9</v>
      </c>
      <c r="G64">
        <v>1</v>
      </c>
      <c r="H64">
        <v>8</v>
      </c>
      <c r="I64">
        <v>14</v>
      </c>
      <c r="J64">
        <v>1.27</v>
      </c>
      <c r="K64">
        <v>1.27</v>
      </c>
      <c r="L64">
        <v>1.24</v>
      </c>
      <c r="M64">
        <v>1.38</v>
      </c>
      <c r="N64">
        <v>1.4</v>
      </c>
      <c r="O64">
        <v>1.25</v>
      </c>
      <c r="P64">
        <v>1.0900000000000001</v>
      </c>
      <c r="Q64">
        <v>1.01</v>
      </c>
      <c r="R64">
        <v>0.98</v>
      </c>
      <c r="S64">
        <v>1.1100000000000001</v>
      </c>
      <c r="T64">
        <v>3689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9</v>
      </c>
      <c r="G65">
        <v>1</v>
      </c>
      <c r="H65">
        <v>8</v>
      </c>
      <c r="I65">
        <v>31</v>
      </c>
      <c r="J65">
        <v>1.17</v>
      </c>
      <c r="K65">
        <v>1</v>
      </c>
      <c r="L65">
        <v>1.02</v>
      </c>
      <c r="M65">
        <v>1.18</v>
      </c>
      <c r="N65">
        <v>1.27</v>
      </c>
      <c r="O65">
        <v>1.04</v>
      </c>
      <c r="P65">
        <v>0.99</v>
      </c>
      <c r="Q65">
        <v>0.98</v>
      </c>
      <c r="R65">
        <v>1.06</v>
      </c>
      <c r="S65">
        <v>1.05</v>
      </c>
      <c r="T65">
        <v>3680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9</v>
      </c>
      <c r="G66">
        <v>1</v>
      </c>
      <c r="H66">
        <v>8</v>
      </c>
      <c r="I66">
        <v>27</v>
      </c>
      <c r="J66">
        <v>1.26</v>
      </c>
      <c r="K66">
        <v>1.26</v>
      </c>
      <c r="L66">
        <v>1.35</v>
      </c>
      <c r="M66">
        <v>1.06</v>
      </c>
      <c r="N66">
        <v>0.99</v>
      </c>
      <c r="O66">
        <v>1</v>
      </c>
      <c r="P66">
        <v>0.91</v>
      </c>
      <c r="Q66">
        <v>0.92</v>
      </c>
      <c r="R66">
        <v>1.1200000000000001</v>
      </c>
      <c r="S66">
        <v>1.18</v>
      </c>
      <c r="T66">
        <v>3690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9</v>
      </c>
      <c r="G67">
        <v>1</v>
      </c>
      <c r="H67">
        <v>8</v>
      </c>
      <c r="I67">
        <v>23</v>
      </c>
      <c r="J67">
        <v>1.43</v>
      </c>
      <c r="K67">
        <v>1.31</v>
      </c>
      <c r="L67">
        <v>1.27</v>
      </c>
      <c r="M67">
        <v>1.1200000000000001</v>
      </c>
      <c r="N67">
        <v>1.19</v>
      </c>
      <c r="O67">
        <v>1.26</v>
      </c>
      <c r="P67">
        <v>1.07</v>
      </c>
      <c r="Q67">
        <v>0.9</v>
      </c>
      <c r="R67">
        <v>0.95</v>
      </c>
      <c r="S67">
        <v>1.1299999999999999</v>
      </c>
      <c r="T67">
        <v>3684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9</v>
      </c>
      <c r="G68">
        <v>1</v>
      </c>
      <c r="H68">
        <v>8</v>
      </c>
      <c r="I68">
        <v>11</v>
      </c>
      <c r="J68">
        <v>1.48</v>
      </c>
      <c r="K68">
        <v>1.4</v>
      </c>
      <c r="L68">
        <v>1.21</v>
      </c>
      <c r="M68">
        <v>1.28</v>
      </c>
      <c r="N68">
        <v>1.36</v>
      </c>
      <c r="O68">
        <v>1.26</v>
      </c>
      <c r="P68">
        <v>1.1100000000000001</v>
      </c>
      <c r="Q68">
        <v>0.86</v>
      </c>
      <c r="R68">
        <v>0.82</v>
      </c>
      <c r="S68">
        <v>1</v>
      </c>
      <c r="T68">
        <v>3681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16.77195</v>
      </c>
      <c r="K73">
        <f t="shared" ref="K73:R73" si="0">22.275*K45-6.1713</f>
        <v>17.8857</v>
      </c>
      <c r="L73">
        <f t="shared" si="0"/>
        <v>21.4497</v>
      </c>
      <c r="M73">
        <f t="shared" si="0"/>
        <v>25.013699999999996</v>
      </c>
      <c r="N73">
        <f t="shared" si="0"/>
        <v>23.89995</v>
      </c>
      <c r="O73">
        <f t="shared" si="0"/>
        <v>25.236449999999998</v>
      </c>
      <c r="P73">
        <f t="shared" si="0"/>
        <v>26.350199999999997</v>
      </c>
      <c r="Q73">
        <f t="shared" si="0"/>
        <v>25.236449999999998</v>
      </c>
      <c r="R73">
        <f t="shared" si="0"/>
        <v>24.345450000000003</v>
      </c>
      <c r="S73">
        <f>22.275*(S45*1.1)-6.1713</f>
        <v>26.90707500000001</v>
      </c>
    </row>
    <row r="74" spans="1:20" x14ac:dyDescent="0.25">
      <c r="I74" t="s">
        <v>43</v>
      </c>
      <c r="J74">
        <f t="shared" ref="J74:R89" si="1">22.275*J46-6.1713</f>
        <v>21.895199999999999</v>
      </c>
      <c r="K74">
        <f t="shared" si="1"/>
        <v>22.786200000000001</v>
      </c>
      <c r="L74">
        <f t="shared" si="1"/>
        <v>18.331200000000003</v>
      </c>
      <c r="M74">
        <f t="shared" si="1"/>
        <v>15.435449999999999</v>
      </c>
      <c r="N74">
        <f t="shared" si="1"/>
        <v>13.20795</v>
      </c>
      <c r="O74">
        <f t="shared" si="1"/>
        <v>13.876200000000001</v>
      </c>
      <c r="P74">
        <f t="shared" si="1"/>
        <v>13.20795</v>
      </c>
      <c r="Q74">
        <f t="shared" si="1"/>
        <v>18.331200000000003</v>
      </c>
      <c r="R74">
        <f t="shared" si="1"/>
        <v>18.108450000000001</v>
      </c>
      <c r="S74">
        <f t="shared" ref="S74:S91" si="2">22.275*(S46*1.1)-6.1713</f>
        <v>17.841150000000003</v>
      </c>
    </row>
    <row r="75" spans="1:20" x14ac:dyDescent="0.25">
      <c r="I75" t="s">
        <v>44</v>
      </c>
      <c r="J75">
        <f t="shared" si="1"/>
        <v>20.335949999999997</v>
      </c>
      <c r="K75">
        <f t="shared" si="1"/>
        <v>18.999449999999996</v>
      </c>
      <c r="L75">
        <f t="shared" si="1"/>
        <v>20.558699999999998</v>
      </c>
      <c r="M75">
        <f t="shared" si="1"/>
        <v>22.786200000000001</v>
      </c>
      <c r="N75">
        <f t="shared" si="1"/>
        <v>22.11795</v>
      </c>
      <c r="O75">
        <f t="shared" si="1"/>
        <v>17.662950000000002</v>
      </c>
      <c r="P75">
        <f t="shared" si="1"/>
        <v>15.212699999999998</v>
      </c>
      <c r="Q75">
        <f t="shared" si="1"/>
        <v>15.880949999999999</v>
      </c>
      <c r="R75">
        <f t="shared" si="1"/>
        <v>17.8857</v>
      </c>
      <c r="S75">
        <f t="shared" si="2"/>
        <v>19.801350000000003</v>
      </c>
    </row>
    <row r="76" spans="1:20" x14ac:dyDescent="0.25">
      <c r="I76" t="s">
        <v>45</v>
      </c>
      <c r="J76">
        <f t="shared" si="1"/>
        <v>23.677200000000003</v>
      </c>
      <c r="K76">
        <f t="shared" si="1"/>
        <v>23.89995</v>
      </c>
      <c r="L76">
        <f t="shared" si="1"/>
        <v>24.790949999999999</v>
      </c>
      <c r="M76">
        <f t="shared" si="1"/>
        <v>23.2317</v>
      </c>
      <c r="N76">
        <f t="shared" si="1"/>
        <v>20.113199999999999</v>
      </c>
      <c r="O76">
        <f t="shared" si="1"/>
        <v>19.890449999999998</v>
      </c>
      <c r="P76">
        <f t="shared" si="1"/>
        <v>23.89995</v>
      </c>
      <c r="Q76">
        <f t="shared" si="1"/>
        <v>25.013699999999996</v>
      </c>
      <c r="R76">
        <f t="shared" si="1"/>
        <v>22.56345</v>
      </c>
      <c r="S76">
        <f t="shared" si="2"/>
        <v>24.456824999999998</v>
      </c>
    </row>
    <row r="77" spans="1:20" x14ac:dyDescent="0.25">
      <c r="I77" t="s">
        <v>46</v>
      </c>
      <c r="J77">
        <f t="shared" si="1"/>
        <v>25.681949999999997</v>
      </c>
      <c r="K77">
        <f t="shared" si="1"/>
        <v>22.786200000000001</v>
      </c>
      <c r="L77">
        <f t="shared" si="1"/>
        <v>22.786200000000001</v>
      </c>
      <c r="M77">
        <f t="shared" si="1"/>
        <v>22.56345</v>
      </c>
      <c r="N77">
        <f t="shared" si="1"/>
        <v>21.004199999999997</v>
      </c>
      <c r="O77">
        <f t="shared" si="1"/>
        <v>19.890449999999998</v>
      </c>
      <c r="P77">
        <f t="shared" si="1"/>
        <v>16.994700000000002</v>
      </c>
      <c r="Q77">
        <f t="shared" si="1"/>
        <v>20.335949999999997</v>
      </c>
      <c r="R77">
        <f t="shared" si="1"/>
        <v>21.226949999999999</v>
      </c>
      <c r="S77">
        <f t="shared" si="2"/>
        <v>24.2118</v>
      </c>
    </row>
    <row r="78" spans="1:20" x14ac:dyDescent="0.25">
      <c r="I78" t="s">
        <v>47</v>
      </c>
      <c r="J78">
        <f t="shared" si="1"/>
        <v>24.790949999999999</v>
      </c>
      <c r="K78">
        <f t="shared" si="1"/>
        <v>23.008950000000002</v>
      </c>
      <c r="L78">
        <f t="shared" si="1"/>
        <v>23.008950000000002</v>
      </c>
      <c r="M78">
        <f t="shared" si="1"/>
        <v>24.345450000000003</v>
      </c>
      <c r="N78">
        <f t="shared" si="1"/>
        <v>23.677200000000003</v>
      </c>
      <c r="O78">
        <f t="shared" si="1"/>
        <v>19.890449999999998</v>
      </c>
      <c r="P78">
        <f t="shared" si="1"/>
        <v>16.1037</v>
      </c>
      <c r="Q78">
        <f t="shared" si="1"/>
        <v>18.999449999999996</v>
      </c>
      <c r="R78">
        <f t="shared" si="1"/>
        <v>19.222199999999997</v>
      </c>
      <c r="S78">
        <f t="shared" si="2"/>
        <v>23.476724999999998</v>
      </c>
    </row>
    <row r="79" spans="1:20" x14ac:dyDescent="0.25">
      <c r="I79" t="s">
        <v>48</v>
      </c>
      <c r="J79">
        <f t="shared" si="1"/>
        <v>21.672450000000001</v>
      </c>
      <c r="K79">
        <f t="shared" si="1"/>
        <v>21.226949999999999</v>
      </c>
      <c r="L79">
        <f t="shared" si="1"/>
        <v>25.013699999999996</v>
      </c>
      <c r="M79">
        <f t="shared" si="1"/>
        <v>26.12745</v>
      </c>
      <c r="N79">
        <f t="shared" si="1"/>
        <v>21.4497</v>
      </c>
      <c r="O79">
        <f t="shared" si="1"/>
        <v>13.20795</v>
      </c>
      <c r="P79">
        <f t="shared" si="1"/>
        <v>12.762450000000001</v>
      </c>
      <c r="Q79">
        <f t="shared" si="1"/>
        <v>14.98995</v>
      </c>
      <c r="R79">
        <f t="shared" si="1"/>
        <v>16.994700000000002</v>
      </c>
      <c r="S79">
        <f t="shared" si="2"/>
        <v>19.066275000000005</v>
      </c>
    </row>
    <row r="80" spans="1:20" x14ac:dyDescent="0.25">
      <c r="I80" t="s">
        <v>49</v>
      </c>
      <c r="J80">
        <f t="shared" si="1"/>
        <v>12.985199999999999</v>
      </c>
      <c r="K80">
        <f t="shared" si="1"/>
        <v>9.866699999999998</v>
      </c>
      <c r="L80">
        <f t="shared" si="1"/>
        <v>8.752950000000002</v>
      </c>
      <c r="M80">
        <f t="shared" si="1"/>
        <v>8.3074499999999993</v>
      </c>
      <c r="N80">
        <f t="shared" si="1"/>
        <v>7.1936999999999989</v>
      </c>
      <c r="O80">
        <f t="shared" si="1"/>
        <v>6.9709499999999993</v>
      </c>
      <c r="P80">
        <f t="shared" si="1"/>
        <v>8.0847000000000016</v>
      </c>
      <c r="Q80">
        <f t="shared" si="1"/>
        <v>9.866699999999998</v>
      </c>
      <c r="R80">
        <f t="shared" si="1"/>
        <v>13.20795</v>
      </c>
      <c r="S80">
        <f t="shared" si="2"/>
        <v>20.781450000000003</v>
      </c>
    </row>
    <row r="81" spans="9:19" x14ac:dyDescent="0.25">
      <c r="I81" t="s">
        <v>50</v>
      </c>
      <c r="J81">
        <f t="shared" si="1"/>
        <v>29.69145</v>
      </c>
      <c r="K81">
        <f t="shared" si="1"/>
        <v>25.681949999999997</v>
      </c>
      <c r="L81">
        <f t="shared" si="1"/>
        <v>24.345450000000003</v>
      </c>
      <c r="M81">
        <f t="shared" si="1"/>
        <v>25.236449999999998</v>
      </c>
      <c r="N81">
        <f t="shared" si="1"/>
        <v>23.454450000000001</v>
      </c>
      <c r="O81">
        <f t="shared" si="1"/>
        <v>20.335949999999997</v>
      </c>
      <c r="P81">
        <f t="shared" si="1"/>
        <v>14.767199999999999</v>
      </c>
      <c r="Q81">
        <f t="shared" si="1"/>
        <v>14.098950000000002</v>
      </c>
      <c r="R81">
        <f t="shared" si="1"/>
        <v>14.98995</v>
      </c>
      <c r="S81">
        <f t="shared" si="2"/>
        <v>17.106074999999997</v>
      </c>
    </row>
    <row r="82" spans="9:19" x14ac:dyDescent="0.25">
      <c r="I82" t="s">
        <v>51</v>
      </c>
      <c r="J82">
        <f t="shared" si="1"/>
        <v>19.667699999999996</v>
      </c>
      <c r="K82">
        <f t="shared" si="1"/>
        <v>17.440200000000001</v>
      </c>
      <c r="L82">
        <f t="shared" si="1"/>
        <v>16.1037</v>
      </c>
      <c r="M82">
        <f t="shared" si="1"/>
        <v>13.876200000000001</v>
      </c>
      <c r="N82">
        <f t="shared" si="1"/>
        <v>14.098950000000002</v>
      </c>
      <c r="O82">
        <f t="shared" si="1"/>
        <v>13.20795</v>
      </c>
      <c r="P82">
        <f t="shared" si="1"/>
        <v>13.876200000000001</v>
      </c>
      <c r="Q82">
        <f t="shared" si="1"/>
        <v>17.662950000000002</v>
      </c>
      <c r="R82">
        <f t="shared" si="1"/>
        <v>19.444949999999999</v>
      </c>
      <c r="S82">
        <f t="shared" si="2"/>
        <v>22.2516</v>
      </c>
    </row>
    <row r="83" spans="9:19" x14ac:dyDescent="0.25">
      <c r="I83" t="s">
        <v>52</v>
      </c>
      <c r="J83">
        <f t="shared" si="1"/>
        <v>19.222199999999997</v>
      </c>
      <c r="K83">
        <f t="shared" si="1"/>
        <v>19.667699999999996</v>
      </c>
      <c r="L83">
        <f t="shared" si="1"/>
        <v>23.89995</v>
      </c>
      <c r="M83">
        <f t="shared" si="1"/>
        <v>26.350199999999997</v>
      </c>
      <c r="N83">
        <f t="shared" si="1"/>
        <v>24.122700000000002</v>
      </c>
      <c r="O83">
        <f t="shared" si="1"/>
        <v>22.786200000000001</v>
      </c>
      <c r="P83">
        <f t="shared" si="1"/>
        <v>23.454450000000001</v>
      </c>
      <c r="Q83">
        <f t="shared" si="1"/>
        <v>21.4497</v>
      </c>
      <c r="R83">
        <f t="shared" si="1"/>
        <v>22.786200000000001</v>
      </c>
      <c r="S83">
        <f t="shared" si="2"/>
        <v>25.436925000000006</v>
      </c>
    </row>
    <row r="84" spans="9:19" x14ac:dyDescent="0.25">
      <c r="I84" t="s">
        <v>53</v>
      </c>
      <c r="J84">
        <f t="shared" si="1"/>
        <v>14.3217</v>
      </c>
      <c r="K84">
        <f t="shared" si="1"/>
        <v>15.212699999999998</v>
      </c>
      <c r="L84">
        <f t="shared" si="1"/>
        <v>20.558699999999998</v>
      </c>
      <c r="M84">
        <f t="shared" si="1"/>
        <v>23.454450000000001</v>
      </c>
      <c r="N84">
        <f t="shared" si="1"/>
        <v>23.89995</v>
      </c>
      <c r="O84">
        <f t="shared" si="1"/>
        <v>23.89995</v>
      </c>
      <c r="P84">
        <f t="shared" si="1"/>
        <v>20.78145</v>
      </c>
      <c r="Q84">
        <f t="shared" si="1"/>
        <v>19.222199999999997</v>
      </c>
      <c r="R84">
        <f t="shared" si="1"/>
        <v>16.994700000000002</v>
      </c>
      <c r="S84">
        <f t="shared" si="2"/>
        <v>19.556325000000005</v>
      </c>
    </row>
    <row r="85" spans="9:19" x14ac:dyDescent="0.25">
      <c r="I85" t="s">
        <v>54</v>
      </c>
      <c r="J85">
        <f t="shared" si="1"/>
        <v>20.113199999999999</v>
      </c>
      <c r="K85">
        <f t="shared" si="1"/>
        <v>21.895199999999999</v>
      </c>
      <c r="L85">
        <f t="shared" si="1"/>
        <v>27.018449999999998</v>
      </c>
      <c r="M85">
        <f t="shared" si="1"/>
        <v>25.013699999999996</v>
      </c>
      <c r="N85">
        <f t="shared" si="1"/>
        <v>25.904699999999995</v>
      </c>
      <c r="O85">
        <f t="shared" si="1"/>
        <v>24.345450000000003</v>
      </c>
      <c r="P85">
        <f t="shared" si="1"/>
        <v>18.776700000000002</v>
      </c>
      <c r="Q85">
        <f t="shared" si="1"/>
        <v>15.212699999999998</v>
      </c>
      <c r="R85">
        <f t="shared" si="1"/>
        <v>19.222199999999997</v>
      </c>
      <c r="S85">
        <f t="shared" si="2"/>
        <v>23.966774999999998</v>
      </c>
    </row>
    <row r="86" spans="9:19" x14ac:dyDescent="0.25">
      <c r="I86" t="s">
        <v>55</v>
      </c>
      <c r="J86">
        <f t="shared" si="1"/>
        <v>19.890449999999998</v>
      </c>
      <c r="K86">
        <f t="shared" si="1"/>
        <v>20.113199999999999</v>
      </c>
      <c r="L86">
        <f t="shared" si="1"/>
        <v>22.786200000000001</v>
      </c>
      <c r="M86">
        <f t="shared" si="1"/>
        <v>22.11795</v>
      </c>
      <c r="N86">
        <f t="shared" si="1"/>
        <v>23.454450000000001</v>
      </c>
      <c r="O86">
        <f t="shared" si="1"/>
        <v>17.440200000000001</v>
      </c>
      <c r="P86">
        <f t="shared" si="1"/>
        <v>13.876200000000001</v>
      </c>
      <c r="Q86">
        <f t="shared" si="1"/>
        <v>14.3217</v>
      </c>
      <c r="R86">
        <f t="shared" si="1"/>
        <v>17.440200000000001</v>
      </c>
      <c r="S86">
        <f t="shared" si="2"/>
        <v>22.74165</v>
      </c>
    </row>
    <row r="87" spans="9:19" x14ac:dyDescent="0.25">
      <c r="I87" t="s">
        <v>56</v>
      </c>
      <c r="J87">
        <f t="shared" si="1"/>
        <v>21.226949999999999</v>
      </c>
      <c r="K87">
        <f t="shared" si="1"/>
        <v>21.4497</v>
      </c>
      <c r="L87">
        <f t="shared" si="1"/>
        <v>23.2317</v>
      </c>
      <c r="M87">
        <f t="shared" si="1"/>
        <v>19.222199999999997</v>
      </c>
      <c r="N87">
        <f t="shared" si="1"/>
        <v>20.335949999999997</v>
      </c>
      <c r="O87">
        <f t="shared" si="1"/>
        <v>18.999449999999996</v>
      </c>
      <c r="P87">
        <f t="shared" si="1"/>
        <v>17.662950000000002</v>
      </c>
      <c r="Q87">
        <f t="shared" si="1"/>
        <v>15.435449999999999</v>
      </c>
      <c r="R87">
        <f t="shared" si="1"/>
        <v>16.1037</v>
      </c>
      <c r="S87">
        <f t="shared" si="2"/>
        <v>22.006574999999998</v>
      </c>
    </row>
    <row r="88" spans="9:19" x14ac:dyDescent="0.25">
      <c r="I88" t="s">
        <v>57</v>
      </c>
      <c r="J88">
        <f t="shared" si="1"/>
        <v>16.1037</v>
      </c>
      <c r="K88">
        <f t="shared" si="1"/>
        <v>17.217449999999999</v>
      </c>
      <c r="L88">
        <f t="shared" si="1"/>
        <v>25.013699999999996</v>
      </c>
      <c r="M88">
        <f t="shared" si="1"/>
        <v>24.568199999999997</v>
      </c>
      <c r="N88">
        <f t="shared" si="1"/>
        <v>24.568199999999997</v>
      </c>
      <c r="O88">
        <f t="shared" si="1"/>
        <v>22.56345</v>
      </c>
      <c r="P88">
        <f t="shared" si="1"/>
        <v>21.672450000000001</v>
      </c>
      <c r="Q88">
        <f t="shared" si="1"/>
        <v>17.440200000000001</v>
      </c>
      <c r="R88">
        <f t="shared" si="1"/>
        <v>12.985199999999999</v>
      </c>
      <c r="S88">
        <f t="shared" si="2"/>
        <v>15.390900000000002</v>
      </c>
    </row>
    <row r="89" spans="9:19" x14ac:dyDescent="0.25">
      <c r="I89" t="s">
        <v>58</v>
      </c>
      <c r="J89">
        <f t="shared" si="1"/>
        <v>27.241199999999996</v>
      </c>
      <c r="K89">
        <f t="shared" si="1"/>
        <v>26.350199999999997</v>
      </c>
      <c r="L89">
        <f t="shared" si="1"/>
        <v>25.904699999999995</v>
      </c>
      <c r="M89">
        <f t="shared" si="1"/>
        <v>26.350199999999997</v>
      </c>
      <c r="N89">
        <f t="shared" si="1"/>
        <v>24.345450000000003</v>
      </c>
      <c r="O89">
        <f t="shared" si="1"/>
        <v>23.89995</v>
      </c>
      <c r="P89">
        <f t="shared" si="1"/>
        <v>22.786200000000001</v>
      </c>
      <c r="Q89">
        <f t="shared" si="1"/>
        <v>21.4497</v>
      </c>
      <c r="R89">
        <f t="shared" si="1"/>
        <v>23.454450000000001</v>
      </c>
      <c r="S89">
        <f t="shared" si="2"/>
        <v>26.172000000000001</v>
      </c>
    </row>
    <row r="90" spans="9:19" x14ac:dyDescent="0.25">
      <c r="I90" t="s">
        <v>59</v>
      </c>
      <c r="J90">
        <f t="shared" ref="J90:R96" si="3">22.275*J62-6.1713</f>
        <v>25.013699999999996</v>
      </c>
      <c r="K90">
        <f t="shared" si="3"/>
        <v>24.345450000000003</v>
      </c>
      <c r="L90">
        <f t="shared" si="3"/>
        <v>27.463950000000001</v>
      </c>
      <c r="M90">
        <f t="shared" si="3"/>
        <v>27.686699999999998</v>
      </c>
      <c r="N90">
        <f t="shared" si="3"/>
        <v>29.69145</v>
      </c>
      <c r="O90">
        <f t="shared" si="3"/>
        <v>27.909450000000003</v>
      </c>
      <c r="P90">
        <f t="shared" si="3"/>
        <v>27.463950000000001</v>
      </c>
      <c r="Q90">
        <f t="shared" si="3"/>
        <v>22.56345</v>
      </c>
      <c r="R90">
        <f t="shared" si="3"/>
        <v>22.11795</v>
      </c>
      <c r="S90">
        <f t="shared" si="2"/>
        <v>25.436925000000006</v>
      </c>
    </row>
    <row r="91" spans="9:19" x14ac:dyDescent="0.25">
      <c r="I91" t="s">
        <v>60</v>
      </c>
      <c r="J91">
        <f t="shared" si="3"/>
        <v>23.454450000000001</v>
      </c>
      <c r="K91">
        <f t="shared" si="3"/>
        <v>23.008950000000002</v>
      </c>
      <c r="L91">
        <f t="shared" si="3"/>
        <v>25.013699999999996</v>
      </c>
      <c r="M91">
        <f t="shared" si="3"/>
        <v>27.241199999999996</v>
      </c>
      <c r="N91">
        <f t="shared" si="3"/>
        <v>26.12745</v>
      </c>
      <c r="O91">
        <f t="shared" si="3"/>
        <v>23.89995</v>
      </c>
      <c r="P91">
        <f t="shared" si="3"/>
        <v>19.890449999999998</v>
      </c>
      <c r="Q91">
        <f t="shared" si="3"/>
        <v>13.876200000000001</v>
      </c>
      <c r="R91">
        <f t="shared" si="3"/>
        <v>12.762450000000001</v>
      </c>
      <c r="S91">
        <f t="shared" si="2"/>
        <v>18.086175000000001</v>
      </c>
    </row>
    <row r="92" spans="9:19" x14ac:dyDescent="0.25">
      <c r="I92" t="s">
        <v>61</v>
      </c>
      <c r="J92">
        <f t="shared" si="3"/>
        <v>22.11795</v>
      </c>
      <c r="K92">
        <f t="shared" si="3"/>
        <v>22.11795</v>
      </c>
      <c r="L92">
        <f t="shared" si="3"/>
        <v>21.4497</v>
      </c>
      <c r="M92">
        <f t="shared" si="3"/>
        <v>24.568199999999997</v>
      </c>
      <c r="N92">
        <f t="shared" si="3"/>
        <v>25.013699999999996</v>
      </c>
      <c r="O92">
        <f t="shared" si="3"/>
        <v>21.672450000000001</v>
      </c>
      <c r="P92">
        <f t="shared" si="3"/>
        <v>18.108450000000001</v>
      </c>
      <c r="Q92">
        <f t="shared" si="3"/>
        <v>16.326450000000001</v>
      </c>
      <c r="R92">
        <f t="shared" si="3"/>
        <v>15.658200000000001</v>
      </c>
      <c r="S92">
        <f>22.275*(S64*1.1)-6.1713</f>
        <v>21.026475000000005</v>
      </c>
    </row>
    <row r="93" spans="9:19" x14ac:dyDescent="0.25">
      <c r="I93" t="s">
        <v>62</v>
      </c>
      <c r="J93">
        <f t="shared" si="3"/>
        <v>19.890449999999998</v>
      </c>
      <c r="K93">
        <f t="shared" si="3"/>
        <v>16.1037</v>
      </c>
      <c r="L93">
        <f t="shared" si="3"/>
        <v>16.549199999999999</v>
      </c>
      <c r="M93">
        <f t="shared" si="3"/>
        <v>20.113199999999999</v>
      </c>
      <c r="N93">
        <f t="shared" si="3"/>
        <v>22.11795</v>
      </c>
      <c r="O93">
        <f t="shared" si="3"/>
        <v>16.994700000000002</v>
      </c>
      <c r="P93">
        <f t="shared" si="3"/>
        <v>15.880949999999999</v>
      </c>
      <c r="Q93">
        <f t="shared" si="3"/>
        <v>15.658200000000001</v>
      </c>
      <c r="R93">
        <f t="shared" si="3"/>
        <v>17.440200000000001</v>
      </c>
      <c r="S93">
        <f t="shared" ref="S93:S95" si="4">22.275*(S65*1.1)-6.1713</f>
        <v>19.556325000000005</v>
      </c>
    </row>
    <row r="94" spans="9:19" x14ac:dyDescent="0.25">
      <c r="I94" t="s">
        <v>63</v>
      </c>
      <c r="J94">
        <f t="shared" si="3"/>
        <v>21.895199999999999</v>
      </c>
      <c r="K94">
        <f t="shared" si="3"/>
        <v>21.895199999999999</v>
      </c>
      <c r="L94">
        <f t="shared" si="3"/>
        <v>23.89995</v>
      </c>
      <c r="M94">
        <f t="shared" si="3"/>
        <v>17.440200000000001</v>
      </c>
      <c r="N94">
        <f t="shared" si="3"/>
        <v>15.880949999999999</v>
      </c>
      <c r="O94">
        <f t="shared" si="3"/>
        <v>16.1037</v>
      </c>
      <c r="P94">
        <f t="shared" si="3"/>
        <v>14.098950000000002</v>
      </c>
      <c r="Q94">
        <f t="shared" si="3"/>
        <v>14.3217</v>
      </c>
      <c r="R94">
        <f t="shared" si="3"/>
        <v>18.776700000000002</v>
      </c>
      <c r="S94">
        <f t="shared" si="4"/>
        <v>22.74165</v>
      </c>
    </row>
    <row r="95" spans="9:19" x14ac:dyDescent="0.25">
      <c r="I95" t="s">
        <v>64</v>
      </c>
      <c r="J95">
        <f t="shared" si="3"/>
        <v>25.681949999999997</v>
      </c>
      <c r="K95">
        <f t="shared" si="3"/>
        <v>23.008950000000002</v>
      </c>
      <c r="L95">
        <f t="shared" si="3"/>
        <v>22.11795</v>
      </c>
      <c r="M95">
        <f t="shared" si="3"/>
        <v>18.776700000000002</v>
      </c>
      <c r="N95">
        <f t="shared" si="3"/>
        <v>20.335949999999997</v>
      </c>
      <c r="O95">
        <f t="shared" si="3"/>
        <v>21.895199999999999</v>
      </c>
      <c r="P95">
        <f t="shared" si="3"/>
        <v>17.662950000000002</v>
      </c>
      <c r="Q95">
        <f t="shared" si="3"/>
        <v>13.876200000000001</v>
      </c>
      <c r="R95">
        <f t="shared" si="3"/>
        <v>14.98995</v>
      </c>
      <c r="S95">
        <f t="shared" si="4"/>
        <v>21.516524999999998</v>
      </c>
    </row>
    <row r="96" spans="9:19" x14ac:dyDescent="0.25">
      <c r="I96" t="s">
        <v>65</v>
      </c>
      <c r="J96">
        <f>22.275*J68-6.1713</f>
        <v>26.7957</v>
      </c>
      <c r="K96">
        <f t="shared" si="3"/>
        <v>25.013699999999996</v>
      </c>
      <c r="L96">
        <f t="shared" si="3"/>
        <v>20.78145</v>
      </c>
      <c r="M96">
        <f t="shared" si="3"/>
        <v>22.340700000000002</v>
      </c>
      <c r="N96">
        <f t="shared" si="3"/>
        <v>24.122700000000002</v>
      </c>
      <c r="O96">
        <f t="shared" si="3"/>
        <v>21.895199999999999</v>
      </c>
      <c r="P96">
        <f t="shared" si="3"/>
        <v>18.55395</v>
      </c>
      <c r="Q96">
        <f t="shared" si="3"/>
        <v>12.985199999999999</v>
      </c>
      <c r="R96">
        <f t="shared" si="3"/>
        <v>12.094200000000001</v>
      </c>
      <c r="S96">
        <f>22.275*(S68*1.1)-6.1713</f>
        <v>18.331200000000003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0.16771949999999999</v>
      </c>
      <c r="K101" s="4">
        <f t="shared" si="5"/>
        <v>0.17885699999999999</v>
      </c>
      <c r="L101" s="4">
        <f t="shared" si="5"/>
        <v>0.21449699999999999</v>
      </c>
      <c r="M101" s="4">
        <f t="shared" si="5"/>
        <v>0.25013699999999994</v>
      </c>
      <c r="N101" s="4">
        <f t="shared" si="5"/>
        <v>0.2389995</v>
      </c>
      <c r="O101" s="4">
        <f t="shared" si="5"/>
        <v>0.25236449999999999</v>
      </c>
      <c r="P101" s="4">
        <f t="shared" si="5"/>
        <v>0.26350199999999996</v>
      </c>
      <c r="Q101" s="4">
        <f t="shared" si="5"/>
        <v>0.25236449999999999</v>
      </c>
      <c r="R101" s="4">
        <f t="shared" si="5"/>
        <v>0.24345450000000002</v>
      </c>
      <c r="S101" s="4">
        <f t="shared" si="5"/>
        <v>0.26907075000000008</v>
      </c>
    </row>
    <row r="102" spans="9:19" x14ac:dyDescent="0.25">
      <c r="I102">
        <v>12</v>
      </c>
      <c r="J102" s="4">
        <f t="shared" ref="J102:S115" si="6">IF(J74&lt;0,"",J74/100)</f>
        <v>0.21895199999999998</v>
      </c>
      <c r="K102" s="4">
        <f t="shared" si="6"/>
        <v>0.22786200000000001</v>
      </c>
      <c r="L102" s="4">
        <f t="shared" si="6"/>
        <v>0.18331200000000003</v>
      </c>
      <c r="M102" s="4">
        <f t="shared" si="6"/>
        <v>0.15435450000000001</v>
      </c>
      <c r="N102" s="4">
        <f t="shared" si="6"/>
        <v>0.13207950000000002</v>
      </c>
      <c r="O102" s="4">
        <f t="shared" si="6"/>
        <v>0.138762</v>
      </c>
      <c r="P102" s="4">
        <f t="shared" si="6"/>
        <v>0.13207950000000002</v>
      </c>
      <c r="Q102" s="4">
        <f t="shared" si="6"/>
        <v>0.18331200000000003</v>
      </c>
      <c r="R102" s="4">
        <f t="shared" si="6"/>
        <v>0.18108450000000001</v>
      </c>
      <c r="S102" s="4">
        <f t="shared" si="6"/>
        <v>0.17841150000000003</v>
      </c>
    </row>
    <row r="103" spans="9:19" x14ac:dyDescent="0.25">
      <c r="I103">
        <v>13</v>
      </c>
      <c r="J103" s="4">
        <f t="shared" si="6"/>
        <v>0.20335949999999997</v>
      </c>
      <c r="K103" s="4">
        <f t="shared" si="6"/>
        <v>0.18999449999999996</v>
      </c>
      <c r="L103" s="4">
        <f t="shared" si="6"/>
        <v>0.20558699999999999</v>
      </c>
      <c r="M103" s="4">
        <f t="shared" si="6"/>
        <v>0.22786200000000001</v>
      </c>
      <c r="N103" s="4">
        <f t="shared" si="6"/>
        <v>0.2211795</v>
      </c>
      <c r="O103" s="4">
        <f t="shared" si="6"/>
        <v>0.17662950000000002</v>
      </c>
      <c r="P103" s="4">
        <f t="shared" si="6"/>
        <v>0.15212699999999998</v>
      </c>
      <c r="Q103" s="4">
        <f t="shared" si="6"/>
        <v>0.15880949999999999</v>
      </c>
      <c r="R103" s="4">
        <f t="shared" si="6"/>
        <v>0.17885699999999999</v>
      </c>
      <c r="S103" s="4">
        <f t="shared" si="6"/>
        <v>0.19801350000000004</v>
      </c>
    </row>
    <row r="104" spans="9:19" x14ac:dyDescent="0.25">
      <c r="I104">
        <v>14</v>
      </c>
      <c r="J104" s="4">
        <f t="shared" si="6"/>
        <v>0.23677200000000004</v>
      </c>
      <c r="K104" s="4">
        <f t="shared" si="6"/>
        <v>0.2389995</v>
      </c>
      <c r="L104" s="4">
        <f t="shared" si="6"/>
        <v>0.24790949999999998</v>
      </c>
      <c r="M104" s="4">
        <f t="shared" si="6"/>
        <v>0.232317</v>
      </c>
      <c r="N104" s="4">
        <f t="shared" si="6"/>
        <v>0.20113199999999998</v>
      </c>
      <c r="O104" s="4">
        <f t="shared" si="6"/>
        <v>0.19890449999999998</v>
      </c>
      <c r="P104" s="4">
        <f t="shared" si="6"/>
        <v>0.2389995</v>
      </c>
      <c r="Q104" s="4">
        <f t="shared" si="6"/>
        <v>0.25013699999999994</v>
      </c>
      <c r="R104" s="4">
        <f t="shared" si="6"/>
        <v>0.22563449999999999</v>
      </c>
      <c r="S104" s="4">
        <f t="shared" si="6"/>
        <v>0.24456824999999999</v>
      </c>
    </row>
    <row r="105" spans="9:19" x14ac:dyDescent="0.25">
      <c r="I105">
        <v>21</v>
      </c>
      <c r="J105" s="4">
        <f t="shared" si="6"/>
        <v>0.25681949999999998</v>
      </c>
      <c r="K105" s="4">
        <f t="shared" si="6"/>
        <v>0.22786200000000001</v>
      </c>
      <c r="L105" s="4">
        <f t="shared" si="6"/>
        <v>0.22786200000000001</v>
      </c>
      <c r="M105" s="4">
        <f t="shared" si="6"/>
        <v>0.22563449999999999</v>
      </c>
      <c r="N105" s="4">
        <f t="shared" si="6"/>
        <v>0.21004199999999998</v>
      </c>
      <c r="O105" s="4">
        <f t="shared" si="6"/>
        <v>0.19890449999999998</v>
      </c>
      <c r="P105" s="4">
        <f t="shared" si="6"/>
        <v>0.16994700000000001</v>
      </c>
      <c r="Q105" s="4">
        <f t="shared" si="6"/>
        <v>0.20335949999999997</v>
      </c>
      <c r="R105" s="4">
        <f t="shared" si="6"/>
        <v>0.2122695</v>
      </c>
      <c r="S105" s="4">
        <f t="shared" si="6"/>
        <v>0.242118</v>
      </c>
    </row>
    <row r="106" spans="9:19" x14ac:dyDescent="0.25">
      <c r="I106">
        <v>22</v>
      </c>
      <c r="J106" s="4">
        <f t="shared" si="6"/>
        <v>0.24790949999999998</v>
      </c>
      <c r="K106" s="4">
        <f t="shared" si="6"/>
        <v>0.23008950000000003</v>
      </c>
      <c r="L106" s="4">
        <f t="shared" si="6"/>
        <v>0.23008950000000003</v>
      </c>
      <c r="M106" s="4">
        <f t="shared" si="6"/>
        <v>0.24345450000000002</v>
      </c>
      <c r="N106" s="4">
        <f t="shared" si="6"/>
        <v>0.23677200000000004</v>
      </c>
      <c r="O106" s="4">
        <f t="shared" si="6"/>
        <v>0.19890449999999998</v>
      </c>
      <c r="P106" s="4">
        <f t="shared" si="6"/>
        <v>0.16103699999999999</v>
      </c>
      <c r="Q106" s="4">
        <f t="shared" si="6"/>
        <v>0.18999449999999996</v>
      </c>
      <c r="R106" s="4">
        <f t="shared" si="6"/>
        <v>0.19222199999999998</v>
      </c>
      <c r="S106" s="4">
        <f t="shared" si="6"/>
        <v>0.23476724999999998</v>
      </c>
    </row>
    <row r="107" spans="9:19" x14ac:dyDescent="0.25">
      <c r="I107">
        <v>23</v>
      </c>
      <c r="J107" s="4">
        <f t="shared" si="6"/>
        <v>0.21672450000000001</v>
      </c>
      <c r="K107" s="4">
        <f t="shared" si="6"/>
        <v>0.2122695</v>
      </c>
      <c r="L107" s="4">
        <f t="shared" si="6"/>
        <v>0.25013699999999994</v>
      </c>
      <c r="M107" s="4">
        <f t="shared" si="6"/>
        <v>0.26127450000000002</v>
      </c>
      <c r="N107" s="4">
        <f t="shared" si="6"/>
        <v>0.21449699999999999</v>
      </c>
      <c r="O107" s="4">
        <f t="shared" si="6"/>
        <v>0.13207950000000002</v>
      </c>
      <c r="P107" s="4">
        <f t="shared" si="6"/>
        <v>0.1276245</v>
      </c>
      <c r="Q107" s="4">
        <f t="shared" si="6"/>
        <v>0.14989949999999999</v>
      </c>
      <c r="R107" s="4">
        <f t="shared" si="6"/>
        <v>0.16994700000000001</v>
      </c>
      <c r="S107" s="4">
        <f t="shared" si="6"/>
        <v>0.19066275000000005</v>
      </c>
    </row>
    <row r="108" spans="9:19" x14ac:dyDescent="0.25">
      <c r="I108">
        <v>24</v>
      </c>
      <c r="J108" s="4">
        <f t="shared" si="6"/>
        <v>0.129852</v>
      </c>
      <c r="K108" s="4">
        <f t="shared" si="6"/>
        <v>9.8666999999999977E-2</v>
      </c>
      <c r="L108" s="4">
        <f t="shared" si="6"/>
        <v>8.7529500000000024E-2</v>
      </c>
      <c r="M108" s="4">
        <f t="shared" si="6"/>
        <v>8.3074499999999996E-2</v>
      </c>
      <c r="N108" s="4">
        <f t="shared" si="6"/>
        <v>7.1936999999999987E-2</v>
      </c>
      <c r="O108" s="4">
        <f t="shared" si="6"/>
        <v>6.9709499999999994E-2</v>
      </c>
      <c r="P108" s="4">
        <f t="shared" si="6"/>
        <v>8.0847000000000016E-2</v>
      </c>
      <c r="Q108" s="4">
        <f t="shared" si="6"/>
        <v>9.8666999999999977E-2</v>
      </c>
      <c r="R108" s="4">
        <f t="shared" si="6"/>
        <v>0.13207950000000002</v>
      </c>
      <c r="S108" s="4">
        <f t="shared" si="6"/>
        <v>0.20781450000000004</v>
      </c>
    </row>
    <row r="109" spans="9:19" x14ac:dyDescent="0.25">
      <c r="I109">
        <v>31</v>
      </c>
      <c r="J109" s="4">
        <f t="shared" si="6"/>
        <v>0.29691449999999997</v>
      </c>
      <c r="K109" s="4">
        <f t="shared" si="6"/>
        <v>0.25681949999999998</v>
      </c>
      <c r="L109" s="4">
        <f t="shared" si="6"/>
        <v>0.24345450000000002</v>
      </c>
      <c r="M109" s="4">
        <f t="shared" si="6"/>
        <v>0.25236449999999999</v>
      </c>
      <c r="N109" s="4">
        <f t="shared" si="6"/>
        <v>0.23454450000000002</v>
      </c>
      <c r="O109" s="4">
        <f t="shared" si="6"/>
        <v>0.20335949999999997</v>
      </c>
      <c r="P109" s="4">
        <f t="shared" si="6"/>
        <v>0.147672</v>
      </c>
      <c r="Q109" s="4">
        <f t="shared" si="6"/>
        <v>0.14098950000000002</v>
      </c>
      <c r="R109" s="4">
        <f t="shared" si="6"/>
        <v>0.14989949999999999</v>
      </c>
      <c r="S109" s="4">
        <f t="shared" si="6"/>
        <v>0.17106074999999998</v>
      </c>
    </row>
    <row r="110" spans="9:19" x14ac:dyDescent="0.25">
      <c r="I110">
        <v>32</v>
      </c>
      <c r="J110" s="4">
        <f t="shared" si="6"/>
        <v>0.19667699999999996</v>
      </c>
      <c r="K110" s="4">
        <f t="shared" si="6"/>
        <v>0.174402</v>
      </c>
      <c r="L110" s="4">
        <f t="shared" si="6"/>
        <v>0.16103699999999999</v>
      </c>
      <c r="M110" s="4">
        <f t="shared" si="6"/>
        <v>0.138762</v>
      </c>
      <c r="N110" s="4">
        <f t="shared" si="6"/>
        <v>0.14098950000000002</v>
      </c>
      <c r="O110" s="4">
        <f t="shared" si="6"/>
        <v>0.13207950000000002</v>
      </c>
      <c r="P110" s="4">
        <f t="shared" si="6"/>
        <v>0.138762</v>
      </c>
      <c r="Q110" s="4">
        <f t="shared" si="6"/>
        <v>0.17662950000000002</v>
      </c>
      <c r="R110" s="4">
        <f t="shared" si="6"/>
        <v>0.1944495</v>
      </c>
      <c r="S110" s="4">
        <f t="shared" si="6"/>
        <v>0.22251599999999999</v>
      </c>
    </row>
    <row r="111" spans="9:19" x14ac:dyDescent="0.25">
      <c r="I111">
        <v>33</v>
      </c>
      <c r="J111" s="4">
        <f t="shared" si="6"/>
        <v>0.19222199999999998</v>
      </c>
      <c r="K111" s="4">
        <f t="shared" si="6"/>
        <v>0.19667699999999996</v>
      </c>
      <c r="L111" s="4">
        <f t="shared" si="6"/>
        <v>0.2389995</v>
      </c>
      <c r="M111" s="4">
        <f t="shared" si="6"/>
        <v>0.26350199999999996</v>
      </c>
      <c r="N111" s="4">
        <f t="shared" si="6"/>
        <v>0.24122700000000002</v>
      </c>
      <c r="O111" s="4">
        <f t="shared" si="6"/>
        <v>0.22786200000000001</v>
      </c>
      <c r="P111" s="4">
        <f t="shared" si="6"/>
        <v>0.23454450000000002</v>
      </c>
      <c r="Q111" s="4">
        <f t="shared" si="6"/>
        <v>0.21449699999999999</v>
      </c>
      <c r="R111" s="4">
        <f t="shared" si="6"/>
        <v>0.22786200000000001</v>
      </c>
      <c r="S111" s="4">
        <f t="shared" si="6"/>
        <v>0.25436925000000005</v>
      </c>
    </row>
    <row r="112" spans="9:19" x14ac:dyDescent="0.25">
      <c r="I112">
        <v>34</v>
      </c>
      <c r="J112" s="4">
        <f t="shared" si="6"/>
        <v>0.14321700000000001</v>
      </c>
      <c r="K112" s="4">
        <f t="shared" si="6"/>
        <v>0.15212699999999998</v>
      </c>
      <c r="L112" s="4">
        <f t="shared" si="6"/>
        <v>0.20558699999999999</v>
      </c>
      <c r="M112" s="4">
        <f t="shared" si="6"/>
        <v>0.23454450000000002</v>
      </c>
      <c r="N112" s="4">
        <f t="shared" si="6"/>
        <v>0.2389995</v>
      </c>
      <c r="O112" s="4">
        <f t="shared" si="6"/>
        <v>0.2389995</v>
      </c>
      <c r="P112" s="4">
        <f t="shared" si="6"/>
        <v>0.20781449999999999</v>
      </c>
      <c r="Q112" s="4">
        <f t="shared" si="6"/>
        <v>0.19222199999999998</v>
      </c>
      <c r="R112" s="4">
        <f t="shared" si="6"/>
        <v>0.16994700000000001</v>
      </c>
      <c r="S112" s="4">
        <f t="shared" si="6"/>
        <v>0.19556325000000005</v>
      </c>
    </row>
    <row r="113" spans="9:19" x14ac:dyDescent="0.25">
      <c r="I113">
        <v>41</v>
      </c>
      <c r="J113" s="4">
        <f t="shared" si="6"/>
        <v>0.20113199999999998</v>
      </c>
      <c r="K113" s="4">
        <f t="shared" si="6"/>
        <v>0.21895199999999998</v>
      </c>
      <c r="L113" s="4">
        <f t="shared" si="6"/>
        <v>0.27018449999999999</v>
      </c>
      <c r="M113" s="4">
        <f t="shared" si="6"/>
        <v>0.25013699999999994</v>
      </c>
      <c r="N113" s="4">
        <f t="shared" si="6"/>
        <v>0.25904699999999997</v>
      </c>
      <c r="O113" s="4">
        <f t="shared" si="6"/>
        <v>0.24345450000000002</v>
      </c>
      <c r="P113" s="4">
        <f t="shared" si="6"/>
        <v>0.18776700000000002</v>
      </c>
      <c r="Q113" s="4">
        <f t="shared" si="6"/>
        <v>0.15212699999999998</v>
      </c>
      <c r="R113" s="4">
        <f t="shared" si="6"/>
        <v>0.19222199999999998</v>
      </c>
      <c r="S113" s="4">
        <f t="shared" si="6"/>
        <v>0.23966774999999998</v>
      </c>
    </row>
    <row r="114" spans="9:19" x14ac:dyDescent="0.25">
      <c r="I114">
        <v>42</v>
      </c>
      <c r="J114" s="4">
        <f t="shared" si="6"/>
        <v>0.19890449999999998</v>
      </c>
      <c r="K114" s="4">
        <f t="shared" si="6"/>
        <v>0.20113199999999998</v>
      </c>
      <c r="L114" s="4">
        <f t="shared" si="6"/>
        <v>0.22786200000000001</v>
      </c>
      <c r="M114" s="4">
        <f t="shared" si="6"/>
        <v>0.2211795</v>
      </c>
      <c r="N114" s="4">
        <f t="shared" si="6"/>
        <v>0.23454450000000002</v>
      </c>
      <c r="O114" s="4">
        <f t="shared" si="6"/>
        <v>0.174402</v>
      </c>
      <c r="P114" s="4">
        <f t="shared" si="6"/>
        <v>0.138762</v>
      </c>
      <c r="Q114" s="4">
        <f t="shared" si="6"/>
        <v>0.14321700000000001</v>
      </c>
      <c r="R114" s="4">
        <f t="shared" si="6"/>
        <v>0.174402</v>
      </c>
      <c r="S114" s="4">
        <f t="shared" si="6"/>
        <v>0.22741649999999999</v>
      </c>
    </row>
    <row r="115" spans="9:19" x14ac:dyDescent="0.25">
      <c r="I115">
        <v>43</v>
      </c>
      <c r="J115" s="4">
        <f t="shared" si="6"/>
        <v>0.2122695</v>
      </c>
      <c r="K115" s="4">
        <f t="shared" si="6"/>
        <v>0.21449699999999999</v>
      </c>
      <c r="L115" s="4">
        <f t="shared" si="6"/>
        <v>0.232317</v>
      </c>
      <c r="M115" s="4">
        <f t="shared" si="6"/>
        <v>0.19222199999999998</v>
      </c>
      <c r="N115" s="4">
        <f t="shared" si="6"/>
        <v>0.20335949999999997</v>
      </c>
      <c r="O115" s="4">
        <f t="shared" si="6"/>
        <v>0.18999449999999996</v>
      </c>
      <c r="P115" s="4">
        <f t="shared" si="6"/>
        <v>0.17662950000000002</v>
      </c>
      <c r="Q115" s="4">
        <f t="shared" si="6"/>
        <v>0.15435450000000001</v>
      </c>
      <c r="R115" s="4">
        <f t="shared" si="6"/>
        <v>0.16103699999999999</v>
      </c>
      <c r="S115" s="4">
        <f t="shared" si="6"/>
        <v>0.22006574999999998</v>
      </c>
    </row>
    <row r="116" spans="9:19" x14ac:dyDescent="0.25">
      <c r="I116">
        <v>44</v>
      </c>
      <c r="J116" s="4">
        <f t="shared" ref="J116:S116" si="7">IF(J88&lt;0,"",J88/100)</f>
        <v>0.16103699999999999</v>
      </c>
      <c r="K116" s="4">
        <f t="shared" si="7"/>
        <v>0.17217450000000001</v>
      </c>
      <c r="L116" s="4">
        <f t="shared" si="7"/>
        <v>0.25013699999999994</v>
      </c>
      <c r="M116" s="4">
        <f t="shared" si="7"/>
        <v>0.24568199999999998</v>
      </c>
      <c r="N116" s="4">
        <f t="shared" si="7"/>
        <v>0.24568199999999998</v>
      </c>
      <c r="O116" s="4">
        <f t="shared" si="7"/>
        <v>0.22563449999999999</v>
      </c>
      <c r="P116" s="4">
        <f t="shared" si="7"/>
        <v>0.21672450000000001</v>
      </c>
      <c r="Q116" s="4">
        <f t="shared" si="7"/>
        <v>0.174402</v>
      </c>
      <c r="R116" s="4">
        <f t="shared" si="7"/>
        <v>0.129852</v>
      </c>
      <c r="S116" s="4">
        <f t="shared" si="7"/>
        <v>0.15390900000000002</v>
      </c>
    </row>
    <row r="117" spans="9:19" x14ac:dyDescent="0.25">
      <c r="I117">
        <v>51</v>
      </c>
      <c r="J117" s="4">
        <f t="shared" ref="J117:S123" si="8">IF(J89&lt;0,"",J89/100)</f>
        <v>0.27241199999999993</v>
      </c>
      <c r="K117" s="4">
        <f t="shared" si="8"/>
        <v>0.26350199999999996</v>
      </c>
      <c r="L117" s="4">
        <f t="shared" si="8"/>
        <v>0.25904699999999997</v>
      </c>
      <c r="M117" s="4">
        <f t="shared" si="8"/>
        <v>0.26350199999999996</v>
      </c>
      <c r="N117" s="4">
        <f t="shared" si="8"/>
        <v>0.24345450000000002</v>
      </c>
      <c r="O117" s="4">
        <f t="shared" si="8"/>
        <v>0.2389995</v>
      </c>
      <c r="P117" s="4">
        <f t="shared" si="8"/>
        <v>0.22786200000000001</v>
      </c>
      <c r="Q117" s="4">
        <f t="shared" si="8"/>
        <v>0.21449699999999999</v>
      </c>
      <c r="R117" s="4">
        <f t="shared" si="8"/>
        <v>0.23454450000000002</v>
      </c>
      <c r="S117" s="4">
        <f t="shared" si="8"/>
        <v>0.26172000000000001</v>
      </c>
    </row>
    <row r="118" spans="9:19" x14ac:dyDescent="0.25">
      <c r="I118">
        <v>52</v>
      </c>
      <c r="J118" s="4">
        <f t="shared" si="8"/>
        <v>0.25013699999999994</v>
      </c>
      <c r="K118" s="4">
        <f t="shared" si="8"/>
        <v>0.24345450000000002</v>
      </c>
      <c r="L118" s="4">
        <f t="shared" si="8"/>
        <v>0.27463949999999998</v>
      </c>
      <c r="M118" s="4">
        <f t="shared" si="8"/>
        <v>0.27686699999999997</v>
      </c>
      <c r="N118" s="4">
        <f t="shared" si="8"/>
        <v>0.29691449999999997</v>
      </c>
      <c r="O118" s="4">
        <f t="shared" si="8"/>
        <v>0.27909450000000002</v>
      </c>
      <c r="P118" s="4">
        <f t="shared" si="8"/>
        <v>0.27463949999999998</v>
      </c>
      <c r="Q118" s="4">
        <f t="shared" si="8"/>
        <v>0.22563449999999999</v>
      </c>
      <c r="R118" s="4">
        <f t="shared" si="8"/>
        <v>0.2211795</v>
      </c>
      <c r="S118" s="4">
        <f t="shared" si="8"/>
        <v>0.25436925000000005</v>
      </c>
    </row>
    <row r="119" spans="9:19" x14ac:dyDescent="0.25">
      <c r="I119">
        <v>53</v>
      </c>
      <c r="J119" s="4">
        <f t="shared" si="8"/>
        <v>0.23454450000000002</v>
      </c>
      <c r="K119" s="4">
        <f t="shared" si="8"/>
        <v>0.23008950000000003</v>
      </c>
      <c r="L119" s="4">
        <f t="shared" si="8"/>
        <v>0.25013699999999994</v>
      </c>
      <c r="M119" s="4">
        <f t="shared" si="8"/>
        <v>0.27241199999999993</v>
      </c>
      <c r="N119" s="4">
        <f t="shared" si="8"/>
        <v>0.26127450000000002</v>
      </c>
      <c r="O119" s="4">
        <f t="shared" si="8"/>
        <v>0.2389995</v>
      </c>
      <c r="P119" s="4">
        <f t="shared" si="8"/>
        <v>0.19890449999999998</v>
      </c>
      <c r="Q119" s="4">
        <f t="shared" si="8"/>
        <v>0.138762</v>
      </c>
      <c r="R119" s="4">
        <f t="shared" si="8"/>
        <v>0.1276245</v>
      </c>
      <c r="S119" s="4">
        <f t="shared" si="8"/>
        <v>0.18086175000000002</v>
      </c>
    </row>
    <row r="120" spans="9:19" x14ac:dyDescent="0.25">
      <c r="I120">
        <v>54</v>
      </c>
      <c r="J120" s="4">
        <f t="shared" si="8"/>
        <v>0.2211795</v>
      </c>
      <c r="K120" s="4">
        <f t="shared" si="8"/>
        <v>0.2211795</v>
      </c>
      <c r="L120" s="4">
        <f t="shared" si="8"/>
        <v>0.21449699999999999</v>
      </c>
      <c r="M120" s="4">
        <f t="shared" si="8"/>
        <v>0.24568199999999998</v>
      </c>
      <c r="N120" s="4">
        <f t="shared" si="8"/>
        <v>0.25013699999999994</v>
      </c>
      <c r="O120" s="4">
        <f t="shared" si="8"/>
        <v>0.21672450000000001</v>
      </c>
      <c r="P120" s="4">
        <f t="shared" si="8"/>
        <v>0.18108450000000001</v>
      </c>
      <c r="Q120" s="4">
        <f t="shared" si="8"/>
        <v>0.16326450000000001</v>
      </c>
      <c r="R120" s="4">
        <f t="shared" si="8"/>
        <v>0.156582</v>
      </c>
      <c r="S120" s="4">
        <f t="shared" si="8"/>
        <v>0.21026475000000006</v>
      </c>
    </row>
    <row r="121" spans="9:19" x14ac:dyDescent="0.25">
      <c r="I121">
        <v>61</v>
      </c>
      <c r="J121" s="4">
        <f t="shared" si="8"/>
        <v>0.19890449999999998</v>
      </c>
      <c r="K121" s="4">
        <f t="shared" si="8"/>
        <v>0.16103699999999999</v>
      </c>
      <c r="L121" s="4">
        <f t="shared" si="8"/>
        <v>0.165492</v>
      </c>
      <c r="M121" s="4">
        <f t="shared" si="8"/>
        <v>0.20113199999999998</v>
      </c>
      <c r="N121" s="4">
        <f t="shared" si="8"/>
        <v>0.2211795</v>
      </c>
      <c r="O121" s="4">
        <f t="shared" si="8"/>
        <v>0.16994700000000001</v>
      </c>
      <c r="P121" s="4">
        <f t="shared" si="8"/>
        <v>0.15880949999999999</v>
      </c>
      <c r="Q121" s="4">
        <f t="shared" si="8"/>
        <v>0.156582</v>
      </c>
      <c r="R121" s="4">
        <f t="shared" si="8"/>
        <v>0.174402</v>
      </c>
      <c r="S121" s="4">
        <f t="shared" si="8"/>
        <v>0.19556325000000005</v>
      </c>
    </row>
    <row r="122" spans="9:19" x14ac:dyDescent="0.25">
      <c r="I122">
        <v>62</v>
      </c>
      <c r="J122" s="4">
        <f t="shared" si="8"/>
        <v>0.21895199999999998</v>
      </c>
      <c r="K122" s="4">
        <f t="shared" si="8"/>
        <v>0.21895199999999998</v>
      </c>
      <c r="L122" s="4">
        <f t="shared" si="8"/>
        <v>0.2389995</v>
      </c>
      <c r="M122" s="4">
        <f t="shared" si="8"/>
        <v>0.174402</v>
      </c>
      <c r="N122" s="4">
        <f t="shared" si="8"/>
        <v>0.15880949999999999</v>
      </c>
      <c r="O122" s="4">
        <f t="shared" si="8"/>
        <v>0.16103699999999999</v>
      </c>
      <c r="P122" s="4">
        <f t="shared" si="8"/>
        <v>0.14098950000000002</v>
      </c>
      <c r="Q122" s="4">
        <f t="shared" si="8"/>
        <v>0.14321700000000001</v>
      </c>
      <c r="R122" s="4">
        <f t="shared" si="8"/>
        <v>0.18776700000000002</v>
      </c>
      <c r="S122" s="4">
        <f t="shared" si="8"/>
        <v>0.22741649999999999</v>
      </c>
    </row>
    <row r="123" spans="9:19" x14ac:dyDescent="0.25">
      <c r="I123">
        <v>63</v>
      </c>
      <c r="J123" s="4">
        <f t="shared" si="8"/>
        <v>0.25681949999999998</v>
      </c>
      <c r="K123" s="4">
        <f t="shared" si="8"/>
        <v>0.23008950000000003</v>
      </c>
      <c r="L123" s="4">
        <f t="shared" si="8"/>
        <v>0.2211795</v>
      </c>
      <c r="M123" s="4">
        <f t="shared" si="8"/>
        <v>0.18776700000000002</v>
      </c>
      <c r="N123" s="4">
        <f t="shared" si="8"/>
        <v>0.20335949999999997</v>
      </c>
      <c r="O123" s="4">
        <f t="shared" si="8"/>
        <v>0.21895199999999998</v>
      </c>
      <c r="P123" s="4">
        <f t="shared" si="8"/>
        <v>0.17662950000000002</v>
      </c>
      <c r="Q123" s="4">
        <f t="shared" si="8"/>
        <v>0.138762</v>
      </c>
      <c r="R123" s="4">
        <f t="shared" si="8"/>
        <v>0.14989949999999999</v>
      </c>
      <c r="S123" s="4">
        <f t="shared" si="8"/>
        <v>0.21516524999999997</v>
      </c>
    </row>
    <row r="124" spans="9:19" x14ac:dyDescent="0.25">
      <c r="I124">
        <v>64</v>
      </c>
      <c r="J124" s="4">
        <f t="shared" ref="J124:S124" si="9">IF(J96&lt;0,"",J96/100)</f>
        <v>0.267957</v>
      </c>
      <c r="K124" s="4">
        <f t="shared" si="9"/>
        <v>0.25013699999999994</v>
      </c>
      <c r="L124" s="4">
        <f t="shared" si="9"/>
        <v>0.20781449999999999</v>
      </c>
      <c r="M124" s="4">
        <f t="shared" si="9"/>
        <v>0.22340700000000002</v>
      </c>
      <c r="N124" s="4">
        <f t="shared" si="9"/>
        <v>0.24122700000000002</v>
      </c>
      <c r="O124" s="4">
        <f t="shared" si="9"/>
        <v>0.21895199999999998</v>
      </c>
      <c r="P124" s="4">
        <f t="shared" si="9"/>
        <v>0.1855395</v>
      </c>
      <c r="Q124" s="4">
        <f t="shared" si="9"/>
        <v>0.129852</v>
      </c>
      <c r="R124" s="4">
        <f t="shared" si="9"/>
        <v>0.12094200000000001</v>
      </c>
      <c r="S124" s="4">
        <f t="shared" si="9"/>
        <v>0.18331200000000003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50FE-E8AC-4250-9A0E-586F8EBD81DD}">
  <dimension ref="A1:T124"/>
  <sheetViews>
    <sheetView topLeftCell="A58" workbookViewId="0">
      <selection activeCell="H121" sqref="H121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10236</v>
      </c>
      <c r="F1">
        <v>0</v>
      </c>
      <c r="G1">
        <v>10</v>
      </c>
      <c r="H1">
        <v>1826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9</v>
      </c>
      <c r="G18">
        <v>8</v>
      </c>
      <c r="H18">
        <v>6</v>
      </c>
      <c r="I18">
        <v>5</v>
      </c>
      <c r="J18">
        <v>1.04</v>
      </c>
      <c r="K18">
        <v>1.1100000000000001</v>
      </c>
      <c r="L18">
        <v>1.24</v>
      </c>
      <c r="M18">
        <v>1.39</v>
      </c>
      <c r="N18">
        <v>1.27</v>
      </c>
      <c r="O18">
        <v>1.32</v>
      </c>
      <c r="P18">
        <v>1.38</v>
      </c>
      <c r="Q18">
        <v>1.35</v>
      </c>
      <c r="R18">
        <v>1.35</v>
      </c>
      <c r="S18">
        <v>1.28</v>
      </c>
      <c r="T18">
        <v>3738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9</v>
      </c>
      <c r="G19">
        <v>8</v>
      </c>
      <c r="H19">
        <v>6</v>
      </c>
      <c r="I19">
        <v>10</v>
      </c>
      <c r="J19">
        <v>1.25</v>
      </c>
      <c r="K19">
        <v>1.28</v>
      </c>
      <c r="L19">
        <v>1.0900000000000001</v>
      </c>
      <c r="M19">
        <v>0.98</v>
      </c>
      <c r="N19">
        <v>0.89</v>
      </c>
      <c r="O19">
        <v>0.88</v>
      </c>
      <c r="P19">
        <v>0.86</v>
      </c>
      <c r="Q19">
        <v>1.07</v>
      </c>
      <c r="R19">
        <v>1.1000000000000001</v>
      </c>
      <c r="S19">
        <v>0.94</v>
      </c>
      <c r="T19">
        <v>3764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9</v>
      </c>
      <c r="G20">
        <v>8</v>
      </c>
      <c r="H20">
        <v>6</v>
      </c>
      <c r="I20">
        <v>16</v>
      </c>
      <c r="J20">
        <v>1.2</v>
      </c>
      <c r="K20">
        <v>1.1299999999999999</v>
      </c>
      <c r="L20">
        <v>1.2</v>
      </c>
      <c r="M20">
        <v>1.32</v>
      </c>
      <c r="N20">
        <v>1.29</v>
      </c>
      <c r="O20">
        <v>1.06</v>
      </c>
      <c r="P20">
        <v>0.98</v>
      </c>
      <c r="Q20">
        <v>0.97</v>
      </c>
      <c r="R20">
        <v>1.07</v>
      </c>
      <c r="S20">
        <v>1.02</v>
      </c>
      <c r="T20">
        <v>3733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9</v>
      </c>
      <c r="G21">
        <v>8</v>
      </c>
      <c r="H21">
        <v>6</v>
      </c>
      <c r="I21">
        <v>11</v>
      </c>
      <c r="J21">
        <v>1.37</v>
      </c>
      <c r="K21">
        <v>1.36</v>
      </c>
      <c r="L21">
        <v>1.42</v>
      </c>
      <c r="M21">
        <v>1.32</v>
      </c>
      <c r="N21">
        <v>1.19</v>
      </c>
      <c r="O21">
        <v>1.1399999999999999</v>
      </c>
      <c r="P21">
        <v>1.27</v>
      </c>
      <c r="Q21">
        <v>1.27</v>
      </c>
      <c r="R21">
        <v>1.19</v>
      </c>
      <c r="S21">
        <v>1.2</v>
      </c>
      <c r="T21">
        <v>3732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9</v>
      </c>
      <c r="G22">
        <v>8</v>
      </c>
      <c r="H22">
        <v>6</v>
      </c>
      <c r="I22">
        <v>24</v>
      </c>
      <c r="J22">
        <v>0.83</v>
      </c>
      <c r="K22">
        <v>0.71</v>
      </c>
      <c r="L22">
        <v>0.65</v>
      </c>
      <c r="M22">
        <v>0.63</v>
      </c>
      <c r="N22">
        <v>0.59</v>
      </c>
      <c r="O22">
        <v>0.59</v>
      </c>
      <c r="P22">
        <v>0.62</v>
      </c>
      <c r="Q22">
        <v>0.71</v>
      </c>
      <c r="R22">
        <v>0.85</v>
      </c>
      <c r="S22">
        <v>1.01</v>
      </c>
      <c r="T22">
        <v>3748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9</v>
      </c>
      <c r="G23">
        <v>8</v>
      </c>
      <c r="H23">
        <v>6</v>
      </c>
      <c r="I23">
        <v>20</v>
      </c>
      <c r="J23">
        <v>1.22</v>
      </c>
      <c r="K23">
        <v>1.27</v>
      </c>
      <c r="L23">
        <v>1.4</v>
      </c>
      <c r="M23">
        <v>1.48</v>
      </c>
      <c r="N23">
        <v>1.27</v>
      </c>
      <c r="O23">
        <v>0.93</v>
      </c>
      <c r="P23">
        <v>0.88</v>
      </c>
      <c r="Q23">
        <v>0.9</v>
      </c>
      <c r="R23">
        <v>1.06</v>
      </c>
      <c r="S23">
        <v>1</v>
      </c>
      <c r="T23">
        <v>3740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9</v>
      </c>
      <c r="G24">
        <v>8</v>
      </c>
      <c r="H24">
        <v>6</v>
      </c>
      <c r="I24">
        <v>32</v>
      </c>
      <c r="J24">
        <v>1.41</v>
      </c>
      <c r="K24">
        <v>1.33</v>
      </c>
      <c r="L24">
        <v>1.32</v>
      </c>
      <c r="M24">
        <v>1.37</v>
      </c>
      <c r="N24">
        <v>1.34</v>
      </c>
      <c r="O24">
        <v>1.1599999999999999</v>
      </c>
      <c r="P24">
        <v>0.97</v>
      </c>
      <c r="Q24">
        <v>1.1200000000000001</v>
      </c>
      <c r="R24">
        <v>1.1499999999999999</v>
      </c>
      <c r="S24">
        <v>1.1599999999999999</v>
      </c>
      <c r="T24">
        <v>3742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9</v>
      </c>
      <c r="G25">
        <v>8</v>
      </c>
      <c r="H25">
        <v>6</v>
      </c>
      <c r="I25">
        <v>36</v>
      </c>
      <c r="J25">
        <v>1.45</v>
      </c>
      <c r="K25">
        <v>1.32</v>
      </c>
      <c r="L25">
        <v>1.34</v>
      </c>
      <c r="M25">
        <v>1.29</v>
      </c>
      <c r="N25">
        <v>1.21</v>
      </c>
      <c r="O25">
        <v>1.1599999999999999</v>
      </c>
      <c r="P25">
        <v>1.05</v>
      </c>
      <c r="Q25">
        <v>1.23</v>
      </c>
      <c r="R25">
        <v>1.17</v>
      </c>
      <c r="S25">
        <v>1.1499999999999999</v>
      </c>
      <c r="T25">
        <v>3738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9</v>
      </c>
      <c r="G26">
        <v>8</v>
      </c>
      <c r="H26">
        <v>6</v>
      </c>
      <c r="I26">
        <v>41</v>
      </c>
      <c r="J26">
        <v>1.69</v>
      </c>
      <c r="K26">
        <v>1.47</v>
      </c>
      <c r="L26">
        <v>1.38</v>
      </c>
      <c r="M26">
        <v>1.41</v>
      </c>
      <c r="N26">
        <v>1.33</v>
      </c>
      <c r="O26">
        <v>1.19</v>
      </c>
      <c r="P26">
        <v>0.94</v>
      </c>
      <c r="Q26">
        <v>0.96</v>
      </c>
      <c r="R26">
        <v>0.94</v>
      </c>
      <c r="S26">
        <v>0.97</v>
      </c>
      <c r="T26">
        <v>3778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9</v>
      </c>
      <c r="G27">
        <v>8</v>
      </c>
      <c r="H27">
        <v>6</v>
      </c>
      <c r="I27">
        <v>45</v>
      </c>
      <c r="J27">
        <v>1.1399999999999999</v>
      </c>
      <c r="K27">
        <v>1.0900000000000001</v>
      </c>
      <c r="L27">
        <v>0.97</v>
      </c>
      <c r="M27">
        <v>0.93</v>
      </c>
      <c r="N27">
        <v>0.89</v>
      </c>
      <c r="O27">
        <v>0.85</v>
      </c>
      <c r="P27">
        <v>0.89</v>
      </c>
      <c r="Q27">
        <v>1.06</v>
      </c>
      <c r="R27">
        <v>1.1299999999999999</v>
      </c>
      <c r="S27">
        <v>1.08</v>
      </c>
      <c r="T27">
        <v>3772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9</v>
      </c>
      <c r="G28">
        <v>8</v>
      </c>
      <c r="H28">
        <v>6</v>
      </c>
      <c r="I28">
        <v>41</v>
      </c>
      <c r="J28">
        <v>1.1499999999999999</v>
      </c>
      <c r="K28">
        <v>1.1299999999999999</v>
      </c>
      <c r="L28">
        <v>1.35</v>
      </c>
      <c r="M28">
        <v>1.45</v>
      </c>
      <c r="N28">
        <v>1.35</v>
      </c>
      <c r="O28">
        <v>1.3</v>
      </c>
      <c r="P28">
        <v>1.33</v>
      </c>
      <c r="Q28">
        <v>1.23</v>
      </c>
      <c r="R28">
        <v>1.26</v>
      </c>
      <c r="S28">
        <v>1.27</v>
      </c>
      <c r="T28">
        <v>3731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9</v>
      </c>
      <c r="G29">
        <v>8</v>
      </c>
      <c r="H29">
        <v>6</v>
      </c>
      <c r="I29">
        <v>53</v>
      </c>
      <c r="J29">
        <v>0.92</v>
      </c>
      <c r="K29">
        <v>0.96</v>
      </c>
      <c r="L29">
        <v>1.22</v>
      </c>
      <c r="M29">
        <v>1.35</v>
      </c>
      <c r="N29">
        <v>1.35</v>
      </c>
      <c r="O29">
        <v>1.36</v>
      </c>
      <c r="P29">
        <v>1.25</v>
      </c>
      <c r="Q29">
        <v>1.21</v>
      </c>
      <c r="R29">
        <v>1.05</v>
      </c>
      <c r="S29">
        <v>1</v>
      </c>
      <c r="T29">
        <v>3735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9</v>
      </c>
      <c r="G30">
        <v>8</v>
      </c>
      <c r="H30">
        <v>6</v>
      </c>
      <c r="I30">
        <v>57</v>
      </c>
      <c r="J30">
        <v>1.02</v>
      </c>
      <c r="K30">
        <v>1.06</v>
      </c>
      <c r="L30">
        <v>1.42</v>
      </c>
      <c r="M30">
        <v>1.37</v>
      </c>
      <c r="N30">
        <v>1.43</v>
      </c>
      <c r="O30">
        <v>1.32</v>
      </c>
      <c r="P30">
        <v>1.29</v>
      </c>
      <c r="Q30">
        <v>1.0900000000000001</v>
      </c>
      <c r="R30">
        <v>0.86</v>
      </c>
      <c r="S30">
        <v>0.87</v>
      </c>
      <c r="T30">
        <v>3753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9</v>
      </c>
      <c r="G31">
        <v>8</v>
      </c>
      <c r="H31">
        <v>7</v>
      </c>
      <c r="I31">
        <v>1</v>
      </c>
      <c r="J31">
        <v>1.28</v>
      </c>
      <c r="K31">
        <v>1.24</v>
      </c>
      <c r="L31">
        <v>1.37</v>
      </c>
      <c r="M31">
        <v>1.1100000000000001</v>
      </c>
      <c r="N31">
        <v>1.18</v>
      </c>
      <c r="O31">
        <v>1.1399999999999999</v>
      </c>
      <c r="P31">
        <v>1.1100000000000001</v>
      </c>
      <c r="Q31">
        <v>0.96</v>
      </c>
      <c r="R31">
        <v>0.96</v>
      </c>
      <c r="S31">
        <v>1.08</v>
      </c>
      <c r="T31">
        <v>3737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9</v>
      </c>
      <c r="G32">
        <v>8</v>
      </c>
      <c r="H32">
        <v>7</v>
      </c>
      <c r="I32">
        <v>5</v>
      </c>
      <c r="J32">
        <v>1.19</v>
      </c>
      <c r="K32">
        <v>1.2</v>
      </c>
      <c r="L32">
        <v>1.3</v>
      </c>
      <c r="M32">
        <v>1.34</v>
      </c>
      <c r="N32">
        <v>1.34</v>
      </c>
      <c r="O32">
        <v>1.08</v>
      </c>
      <c r="P32">
        <v>0.94</v>
      </c>
      <c r="Q32">
        <v>0.92</v>
      </c>
      <c r="R32">
        <v>1.06</v>
      </c>
      <c r="S32">
        <v>1.1100000000000001</v>
      </c>
      <c r="T32">
        <v>3725</v>
      </c>
    </row>
    <row r="33" spans="1:20" x14ac:dyDescent="0.25">
      <c r="A33">
        <v>9</v>
      </c>
      <c r="B33">
        <v>440</v>
      </c>
      <c r="C33">
        <v>44</v>
      </c>
      <c r="D33">
        <v>1</v>
      </c>
      <c r="E33">
        <v>20</v>
      </c>
      <c r="F33">
        <v>9</v>
      </c>
      <c r="G33">
        <v>8</v>
      </c>
      <c r="H33">
        <v>7</v>
      </c>
      <c r="I33">
        <v>10</v>
      </c>
      <c r="J33">
        <v>1.21</v>
      </c>
      <c r="K33">
        <v>1.29</v>
      </c>
      <c r="L33">
        <v>1.54</v>
      </c>
      <c r="M33">
        <v>1.41</v>
      </c>
      <c r="N33">
        <v>1.43</v>
      </c>
      <c r="O33">
        <v>1.39</v>
      </c>
      <c r="P33">
        <v>1.17</v>
      </c>
      <c r="Q33">
        <v>0.97</v>
      </c>
      <c r="R33">
        <v>1.1399999999999999</v>
      </c>
      <c r="S33">
        <v>1.17</v>
      </c>
      <c r="T33">
        <v>3698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9</v>
      </c>
      <c r="G34">
        <v>8</v>
      </c>
      <c r="H34">
        <v>7</v>
      </c>
      <c r="I34">
        <v>15</v>
      </c>
      <c r="J34">
        <v>1.53</v>
      </c>
      <c r="K34">
        <v>1.45</v>
      </c>
      <c r="L34">
        <v>1.46</v>
      </c>
      <c r="M34">
        <v>1.47</v>
      </c>
      <c r="N34">
        <v>1.35</v>
      </c>
      <c r="O34">
        <v>1.3</v>
      </c>
      <c r="P34">
        <v>1.23</v>
      </c>
      <c r="Q34">
        <v>1.2</v>
      </c>
      <c r="R34">
        <v>1.27</v>
      </c>
      <c r="S34">
        <v>1.31</v>
      </c>
      <c r="T34">
        <v>3694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9</v>
      </c>
      <c r="G35">
        <v>8</v>
      </c>
      <c r="H35">
        <v>7</v>
      </c>
      <c r="I35">
        <v>20</v>
      </c>
      <c r="J35">
        <v>1.41</v>
      </c>
      <c r="K35">
        <v>1.38</v>
      </c>
      <c r="L35">
        <v>1.53</v>
      </c>
      <c r="M35">
        <v>1.57</v>
      </c>
      <c r="N35">
        <v>1.6</v>
      </c>
      <c r="O35">
        <v>1.5</v>
      </c>
      <c r="P35">
        <v>1.5</v>
      </c>
      <c r="Q35">
        <v>1.25</v>
      </c>
      <c r="R35">
        <v>1.25</v>
      </c>
      <c r="S35">
        <v>1.23</v>
      </c>
      <c r="T35">
        <v>3691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9</v>
      </c>
      <c r="G36">
        <v>8</v>
      </c>
      <c r="H36">
        <v>7</v>
      </c>
      <c r="I36">
        <v>25</v>
      </c>
      <c r="J36">
        <v>1.35</v>
      </c>
      <c r="K36">
        <v>1.33</v>
      </c>
      <c r="L36">
        <v>1.41</v>
      </c>
      <c r="M36">
        <v>1.5</v>
      </c>
      <c r="N36">
        <v>1.47</v>
      </c>
      <c r="O36">
        <v>1.35</v>
      </c>
      <c r="P36">
        <v>1.24</v>
      </c>
      <c r="Q36">
        <v>0.91</v>
      </c>
      <c r="R36">
        <v>0.86</v>
      </c>
      <c r="S36">
        <v>0.99</v>
      </c>
      <c r="T36">
        <v>3712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9</v>
      </c>
      <c r="G37">
        <v>8</v>
      </c>
      <c r="H37">
        <v>7</v>
      </c>
      <c r="I37">
        <v>30</v>
      </c>
      <c r="J37">
        <v>1.31</v>
      </c>
      <c r="K37">
        <v>1.3</v>
      </c>
      <c r="L37">
        <v>1.26</v>
      </c>
      <c r="M37">
        <v>1.42</v>
      </c>
      <c r="N37">
        <v>1.38</v>
      </c>
      <c r="O37">
        <v>1.28</v>
      </c>
      <c r="P37">
        <v>1.1100000000000001</v>
      </c>
      <c r="Q37">
        <v>1.06</v>
      </c>
      <c r="R37">
        <v>0.94</v>
      </c>
      <c r="S37">
        <v>1.04</v>
      </c>
      <c r="T37">
        <v>3685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9</v>
      </c>
      <c r="G38">
        <v>8</v>
      </c>
      <c r="H38">
        <v>7</v>
      </c>
      <c r="I38">
        <v>34</v>
      </c>
      <c r="J38">
        <v>1.51</v>
      </c>
      <c r="K38">
        <v>1.4</v>
      </c>
      <c r="L38">
        <v>1.23</v>
      </c>
      <c r="M38">
        <v>1.28</v>
      </c>
      <c r="N38">
        <v>1.38</v>
      </c>
      <c r="O38">
        <v>1.27</v>
      </c>
      <c r="P38">
        <v>1.1599999999999999</v>
      </c>
      <c r="Q38">
        <v>0.83</v>
      </c>
      <c r="R38">
        <v>0.82</v>
      </c>
      <c r="S38">
        <v>0.96</v>
      </c>
      <c r="T38">
        <v>3707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9</v>
      </c>
      <c r="G39">
        <v>8</v>
      </c>
      <c r="H39">
        <v>7</v>
      </c>
      <c r="I39">
        <v>40</v>
      </c>
      <c r="J39">
        <v>1.44</v>
      </c>
      <c r="K39">
        <v>1.34</v>
      </c>
      <c r="L39">
        <v>1.28</v>
      </c>
      <c r="M39">
        <v>1.17</v>
      </c>
      <c r="N39">
        <v>1.25</v>
      </c>
      <c r="O39">
        <v>1.27</v>
      </c>
      <c r="P39">
        <v>1.1000000000000001</v>
      </c>
      <c r="Q39">
        <v>0.95</v>
      </c>
      <c r="R39">
        <v>0.94</v>
      </c>
      <c r="S39">
        <v>1.02</v>
      </c>
      <c r="T39">
        <v>3693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9</v>
      </c>
      <c r="G40">
        <v>8</v>
      </c>
      <c r="H40">
        <v>7</v>
      </c>
      <c r="I40">
        <v>44</v>
      </c>
      <c r="J40">
        <v>1.22</v>
      </c>
      <c r="K40">
        <v>1.3</v>
      </c>
      <c r="L40">
        <v>1.37</v>
      </c>
      <c r="M40">
        <v>1.1200000000000001</v>
      </c>
      <c r="N40">
        <v>0.99</v>
      </c>
      <c r="O40">
        <v>0.99</v>
      </c>
      <c r="P40">
        <v>0.91</v>
      </c>
      <c r="Q40">
        <v>0.91</v>
      </c>
      <c r="R40">
        <v>1.1299999999999999</v>
      </c>
      <c r="S40">
        <v>1.17</v>
      </c>
      <c r="T40">
        <v>3701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9</v>
      </c>
      <c r="G41">
        <v>8</v>
      </c>
      <c r="H41">
        <v>7</v>
      </c>
      <c r="I41">
        <v>40</v>
      </c>
      <c r="J41">
        <v>1.18</v>
      </c>
      <c r="K41">
        <v>0.99</v>
      </c>
      <c r="L41">
        <v>1.04</v>
      </c>
      <c r="M41">
        <v>1.21</v>
      </c>
      <c r="N41">
        <v>1.28</v>
      </c>
      <c r="O41">
        <v>1.05</v>
      </c>
      <c r="P41">
        <v>1</v>
      </c>
      <c r="Q41">
        <v>0.97</v>
      </c>
      <c r="R41">
        <v>1.06</v>
      </c>
      <c r="S41">
        <v>0.97</v>
      </c>
      <c r="T41">
        <v>3694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9</v>
      </c>
      <c r="G45">
        <v>8</v>
      </c>
      <c r="H45">
        <v>6</v>
      </c>
      <c r="I45">
        <v>5</v>
      </c>
      <c r="J45">
        <v>1.04</v>
      </c>
      <c r="K45">
        <v>1.1100000000000001</v>
      </c>
      <c r="L45">
        <v>1.24</v>
      </c>
      <c r="M45">
        <v>1.39</v>
      </c>
      <c r="N45">
        <v>1.27</v>
      </c>
      <c r="O45">
        <v>1.32</v>
      </c>
      <c r="P45">
        <v>1.38</v>
      </c>
      <c r="Q45">
        <v>1.35</v>
      </c>
      <c r="R45">
        <v>1.35</v>
      </c>
      <c r="S45">
        <v>1.28</v>
      </c>
      <c r="T45">
        <v>3738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9</v>
      </c>
      <c r="G46">
        <v>8</v>
      </c>
      <c r="H46">
        <v>6</v>
      </c>
      <c r="I46">
        <v>10</v>
      </c>
      <c r="J46">
        <v>1.25</v>
      </c>
      <c r="K46">
        <v>1.28</v>
      </c>
      <c r="L46">
        <v>1.0900000000000001</v>
      </c>
      <c r="M46">
        <v>0.98</v>
      </c>
      <c r="N46">
        <v>0.89</v>
      </c>
      <c r="O46">
        <v>0.88</v>
      </c>
      <c r="P46">
        <v>0.86</v>
      </c>
      <c r="Q46">
        <v>1.07</v>
      </c>
      <c r="R46">
        <v>1.1000000000000001</v>
      </c>
      <c r="S46">
        <v>0.94</v>
      </c>
      <c r="T46">
        <v>3764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9</v>
      </c>
      <c r="G47">
        <v>8</v>
      </c>
      <c r="H47">
        <v>6</v>
      </c>
      <c r="I47">
        <v>16</v>
      </c>
      <c r="J47">
        <v>1.2</v>
      </c>
      <c r="K47">
        <v>1.1299999999999999</v>
      </c>
      <c r="L47">
        <v>1.2</v>
      </c>
      <c r="M47">
        <v>1.32</v>
      </c>
      <c r="N47">
        <v>1.29</v>
      </c>
      <c r="O47">
        <v>1.06</v>
      </c>
      <c r="P47">
        <v>0.98</v>
      </c>
      <c r="Q47">
        <v>0.97</v>
      </c>
      <c r="R47">
        <v>1.07</v>
      </c>
      <c r="S47">
        <v>1.02</v>
      </c>
      <c r="T47">
        <v>3733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9</v>
      </c>
      <c r="G48">
        <v>8</v>
      </c>
      <c r="H48">
        <v>6</v>
      </c>
      <c r="I48">
        <v>11</v>
      </c>
      <c r="J48">
        <v>1.37</v>
      </c>
      <c r="K48">
        <v>1.36</v>
      </c>
      <c r="L48">
        <v>1.42</v>
      </c>
      <c r="M48">
        <v>1.32</v>
      </c>
      <c r="N48">
        <v>1.19</v>
      </c>
      <c r="O48">
        <v>1.1399999999999999</v>
      </c>
      <c r="P48">
        <v>1.27</v>
      </c>
      <c r="Q48">
        <v>1.27</v>
      </c>
      <c r="R48">
        <v>1.19</v>
      </c>
      <c r="S48">
        <v>1.2</v>
      </c>
      <c r="T48">
        <v>3732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9</v>
      </c>
      <c r="G49">
        <v>8</v>
      </c>
      <c r="H49">
        <v>6</v>
      </c>
      <c r="I49">
        <v>36</v>
      </c>
      <c r="J49">
        <v>1.45</v>
      </c>
      <c r="K49">
        <v>1.32</v>
      </c>
      <c r="L49">
        <v>1.34</v>
      </c>
      <c r="M49">
        <v>1.29</v>
      </c>
      <c r="N49">
        <v>1.21</v>
      </c>
      <c r="O49">
        <v>1.1599999999999999</v>
      </c>
      <c r="P49">
        <v>1.05</v>
      </c>
      <c r="Q49">
        <v>1.23</v>
      </c>
      <c r="R49">
        <v>1.17</v>
      </c>
      <c r="S49">
        <v>1.1499999999999999</v>
      </c>
      <c r="T49">
        <v>3738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9</v>
      </c>
      <c r="G50">
        <v>8</v>
      </c>
      <c r="H50">
        <v>6</v>
      </c>
      <c r="I50">
        <v>32</v>
      </c>
      <c r="J50">
        <v>1.41</v>
      </c>
      <c r="K50">
        <v>1.33</v>
      </c>
      <c r="L50">
        <v>1.32</v>
      </c>
      <c r="M50">
        <v>1.37</v>
      </c>
      <c r="N50">
        <v>1.34</v>
      </c>
      <c r="O50">
        <v>1.1599999999999999</v>
      </c>
      <c r="P50">
        <v>0.97</v>
      </c>
      <c r="Q50">
        <v>1.1200000000000001</v>
      </c>
      <c r="R50">
        <v>1.1499999999999999</v>
      </c>
      <c r="S50">
        <v>1.1599999999999999</v>
      </c>
      <c r="T50">
        <v>3742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9</v>
      </c>
      <c r="G51">
        <v>8</v>
      </c>
      <c r="H51">
        <v>6</v>
      </c>
      <c r="I51">
        <v>20</v>
      </c>
      <c r="J51">
        <v>1.22</v>
      </c>
      <c r="K51">
        <v>1.27</v>
      </c>
      <c r="L51">
        <v>1.4</v>
      </c>
      <c r="M51">
        <v>1.48</v>
      </c>
      <c r="N51">
        <v>1.27</v>
      </c>
      <c r="O51">
        <v>0.93</v>
      </c>
      <c r="P51">
        <v>0.88</v>
      </c>
      <c r="Q51">
        <v>0.9</v>
      </c>
      <c r="R51">
        <v>1.06</v>
      </c>
      <c r="S51">
        <v>1</v>
      </c>
      <c r="T51">
        <v>3740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9</v>
      </c>
      <c r="G52">
        <v>8</v>
      </c>
      <c r="H52">
        <v>6</v>
      </c>
      <c r="I52">
        <v>24</v>
      </c>
      <c r="J52">
        <v>0.83</v>
      </c>
      <c r="K52">
        <v>0.71</v>
      </c>
      <c r="L52">
        <v>0.65</v>
      </c>
      <c r="M52">
        <v>0.63</v>
      </c>
      <c r="N52">
        <v>0.59</v>
      </c>
      <c r="O52">
        <v>0.59</v>
      </c>
      <c r="P52">
        <v>0.62</v>
      </c>
      <c r="Q52">
        <v>0.71</v>
      </c>
      <c r="R52">
        <v>0.85</v>
      </c>
      <c r="S52">
        <v>1.01</v>
      </c>
      <c r="T52">
        <v>3748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9</v>
      </c>
      <c r="G53">
        <v>8</v>
      </c>
      <c r="H53">
        <v>6</v>
      </c>
      <c r="I53">
        <v>41</v>
      </c>
      <c r="J53">
        <v>1.69</v>
      </c>
      <c r="K53">
        <v>1.47</v>
      </c>
      <c r="L53">
        <v>1.38</v>
      </c>
      <c r="M53">
        <v>1.41</v>
      </c>
      <c r="N53">
        <v>1.33</v>
      </c>
      <c r="O53">
        <v>1.19</v>
      </c>
      <c r="P53">
        <v>0.94</v>
      </c>
      <c r="Q53">
        <v>0.96</v>
      </c>
      <c r="R53">
        <v>0.94</v>
      </c>
      <c r="S53">
        <v>0.97</v>
      </c>
      <c r="T53">
        <v>3778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9</v>
      </c>
      <c r="G54">
        <v>8</v>
      </c>
      <c r="H54">
        <v>6</v>
      </c>
      <c r="I54">
        <v>45</v>
      </c>
      <c r="J54">
        <v>1.1399999999999999</v>
      </c>
      <c r="K54">
        <v>1.0900000000000001</v>
      </c>
      <c r="L54">
        <v>0.97</v>
      </c>
      <c r="M54">
        <v>0.93</v>
      </c>
      <c r="N54">
        <v>0.89</v>
      </c>
      <c r="O54">
        <v>0.85</v>
      </c>
      <c r="P54">
        <v>0.89</v>
      </c>
      <c r="Q54">
        <v>1.06</v>
      </c>
      <c r="R54">
        <v>1.1299999999999999</v>
      </c>
      <c r="S54">
        <v>1.08</v>
      </c>
      <c r="T54">
        <v>3772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9</v>
      </c>
      <c r="G55">
        <v>8</v>
      </c>
      <c r="H55">
        <v>6</v>
      </c>
      <c r="I55">
        <v>41</v>
      </c>
      <c r="J55">
        <v>1.1499999999999999</v>
      </c>
      <c r="K55">
        <v>1.1299999999999999</v>
      </c>
      <c r="L55">
        <v>1.35</v>
      </c>
      <c r="M55">
        <v>1.45</v>
      </c>
      <c r="N55">
        <v>1.35</v>
      </c>
      <c r="O55">
        <v>1.3</v>
      </c>
      <c r="P55">
        <v>1.33</v>
      </c>
      <c r="Q55">
        <v>1.23</v>
      </c>
      <c r="R55">
        <v>1.26</v>
      </c>
      <c r="S55">
        <v>1.27</v>
      </c>
      <c r="T55">
        <v>3731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9</v>
      </c>
      <c r="G56">
        <v>8</v>
      </c>
      <c r="H56">
        <v>6</v>
      </c>
      <c r="I56">
        <v>53</v>
      </c>
      <c r="J56">
        <v>0.92</v>
      </c>
      <c r="K56">
        <v>0.96</v>
      </c>
      <c r="L56">
        <v>1.22</v>
      </c>
      <c r="M56">
        <v>1.35</v>
      </c>
      <c r="N56">
        <v>1.35</v>
      </c>
      <c r="O56">
        <v>1.36</v>
      </c>
      <c r="P56">
        <v>1.25</v>
      </c>
      <c r="Q56">
        <v>1.21</v>
      </c>
      <c r="R56">
        <v>1.05</v>
      </c>
      <c r="S56">
        <v>1</v>
      </c>
      <c r="T56">
        <v>3735</v>
      </c>
    </row>
    <row r="57" spans="1:20" x14ac:dyDescent="0.25">
      <c r="A57">
        <v>10</v>
      </c>
      <c r="B57">
        <v>441</v>
      </c>
      <c r="C57">
        <v>42</v>
      </c>
      <c r="D57">
        <v>1</v>
      </c>
      <c r="E57">
        <v>20</v>
      </c>
      <c r="F57">
        <v>9</v>
      </c>
      <c r="G57">
        <v>8</v>
      </c>
      <c r="H57">
        <v>7</v>
      </c>
      <c r="I57">
        <v>5</v>
      </c>
      <c r="J57">
        <v>1.19</v>
      </c>
      <c r="K57">
        <v>1.2</v>
      </c>
      <c r="L57">
        <v>1.3</v>
      </c>
      <c r="M57">
        <v>1.34</v>
      </c>
      <c r="N57">
        <v>1.34</v>
      </c>
      <c r="O57">
        <v>1.08</v>
      </c>
      <c r="P57">
        <v>0.94</v>
      </c>
      <c r="Q57">
        <v>0.92</v>
      </c>
      <c r="R57">
        <v>1.06</v>
      </c>
      <c r="S57">
        <v>1.1100000000000001</v>
      </c>
      <c r="T57">
        <v>3725</v>
      </c>
    </row>
    <row r="58" spans="1:20" x14ac:dyDescent="0.25">
      <c r="A58">
        <v>11</v>
      </c>
      <c r="B58">
        <v>442</v>
      </c>
      <c r="C58">
        <v>43</v>
      </c>
      <c r="D58">
        <v>1</v>
      </c>
      <c r="E58">
        <v>20</v>
      </c>
      <c r="F58">
        <v>9</v>
      </c>
      <c r="G58">
        <v>8</v>
      </c>
      <c r="H58">
        <v>7</v>
      </c>
      <c r="I58">
        <v>1</v>
      </c>
      <c r="J58">
        <v>1.28</v>
      </c>
      <c r="K58">
        <v>1.24</v>
      </c>
      <c r="L58">
        <v>1.37</v>
      </c>
      <c r="M58">
        <v>1.1100000000000001</v>
      </c>
      <c r="N58">
        <v>1.18</v>
      </c>
      <c r="O58">
        <v>1.1399999999999999</v>
      </c>
      <c r="P58">
        <v>1.1100000000000001</v>
      </c>
      <c r="Q58">
        <v>0.96</v>
      </c>
      <c r="R58">
        <v>0.96</v>
      </c>
      <c r="S58">
        <v>1.08</v>
      </c>
      <c r="T58">
        <v>3737</v>
      </c>
    </row>
    <row r="59" spans="1:20" x14ac:dyDescent="0.25">
      <c r="A59">
        <v>12</v>
      </c>
      <c r="B59">
        <v>443</v>
      </c>
      <c r="C59">
        <v>44</v>
      </c>
      <c r="D59">
        <v>1</v>
      </c>
      <c r="E59">
        <v>20</v>
      </c>
      <c r="F59">
        <v>9</v>
      </c>
      <c r="G59">
        <v>8</v>
      </c>
      <c r="H59">
        <v>6</v>
      </c>
      <c r="I59">
        <v>57</v>
      </c>
      <c r="J59">
        <v>1.02</v>
      </c>
      <c r="K59">
        <v>1.06</v>
      </c>
      <c r="L59">
        <v>1.42</v>
      </c>
      <c r="M59">
        <v>1.37</v>
      </c>
      <c r="N59">
        <v>1.43</v>
      </c>
      <c r="O59">
        <v>1.32</v>
      </c>
      <c r="P59">
        <v>1.29</v>
      </c>
      <c r="Q59">
        <v>1.0900000000000001</v>
      </c>
      <c r="R59">
        <v>0.86</v>
      </c>
      <c r="S59">
        <v>0.87</v>
      </c>
      <c r="T59">
        <v>3753</v>
      </c>
    </row>
    <row r="60" spans="1:20" x14ac:dyDescent="0.25">
      <c r="A60">
        <v>9</v>
      </c>
      <c r="B60">
        <v>440</v>
      </c>
      <c r="C60">
        <v>44</v>
      </c>
      <c r="D60">
        <v>1</v>
      </c>
      <c r="E60">
        <v>20</v>
      </c>
      <c r="F60">
        <v>9</v>
      </c>
      <c r="G60">
        <v>8</v>
      </c>
      <c r="H60">
        <v>7</v>
      </c>
      <c r="I60">
        <v>10</v>
      </c>
      <c r="J60">
        <v>1.21</v>
      </c>
      <c r="K60">
        <v>1.29</v>
      </c>
      <c r="L60">
        <v>1.54</v>
      </c>
      <c r="M60">
        <v>1.41</v>
      </c>
      <c r="N60">
        <v>1.43</v>
      </c>
      <c r="O60">
        <v>1.39</v>
      </c>
      <c r="P60">
        <v>1.17</v>
      </c>
      <c r="Q60">
        <v>0.97</v>
      </c>
      <c r="R60">
        <v>1.1399999999999999</v>
      </c>
      <c r="S60">
        <v>1.17</v>
      </c>
      <c r="T60">
        <v>3698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9</v>
      </c>
      <c r="G61">
        <v>8</v>
      </c>
      <c r="H61">
        <v>7</v>
      </c>
      <c r="I61">
        <v>15</v>
      </c>
      <c r="J61">
        <v>1.53</v>
      </c>
      <c r="K61">
        <v>1.45</v>
      </c>
      <c r="L61">
        <v>1.46</v>
      </c>
      <c r="M61">
        <v>1.47</v>
      </c>
      <c r="N61">
        <v>1.35</v>
      </c>
      <c r="O61">
        <v>1.3</v>
      </c>
      <c r="P61">
        <v>1.23</v>
      </c>
      <c r="Q61">
        <v>1.2</v>
      </c>
      <c r="R61">
        <v>1.27</v>
      </c>
      <c r="S61">
        <v>1.31</v>
      </c>
      <c r="T61">
        <v>3694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9</v>
      </c>
      <c r="G62">
        <v>8</v>
      </c>
      <c r="H62">
        <v>7</v>
      </c>
      <c r="I62">
        <v>20</v>
      </c>
      <c r="J62">
        <v>1.41</v>
      </c>
      <c r="K62">
        <v>1.38</v>
      </c>
      <c r="L62">
        <v>1.53</v>
      </c>
      <c r="M62">
        <v>1.57</v>
      </c>
      <c r="N62">
        <v>1.6</v>
      </c>
      <c r="O62">
        <v>1.5</v>
      </c>
      <c r="P62">
        <v>1.5</v>
      </c>
      <c r="Q62">
        <v>1.25</v>
      </c>
      <c r="R62">
        <v>1.25</v>
      </c>
      <c r="S62">
        <v>1.23</v>
      </c>
      <c r="T62">
        <v>3691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9</v>
      </c>
      <c r="G63">
        <v>8</v>
      </c>
      <c r="H63">
        <v>7</v>
      </c>
      <c r="I63">
        <v>25</v>
      </c>
      <c r="J63">
        <v>1.35</v>
      </c>
      <c r="K63">
        <v>1.33</v>
      </c>
      <c r="L63">
        <v>1.41</v>
      </c>
      <c r="M63">
        <v>1.5</v>
      </c>
      <c r="N63">
        <v>1.47</v>
      </c>
      <c r="O63">
        <v>1.35</v>
      </c>
      <c r="P63">
        <v>1.24</v>
      </c>
      <c r="Q63">
        <v>0.91</v>
      </c>
      <c r="R63">
        <v>0.86</v>
      </c>
      <c r="S63">
        <v>0.99</v>
      </c>
      <c r="T63">
        <v>3712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9</v>
      </c>
      <c r="G64">
        <v>8</v>
      </c>
      <c r="H64">
        <v>7</v>
      </c>
      <c r="I64">
        <v>30</v>
      </c>
      <c r="J64">
        <v>1.31</v>
      </c>
      <c r="K64">
        <v>1.3</v>
      </c>
      <c r="L64">
        <v>1.26</v>
      </c>
      <c r="M64">
        <v>1.42</v>
      </c>
      <c r="N64">
        <v>1.38</v>
      </c>
      <c r="O64">
        <v>1.28</v>
      </c>
      <c r="P64">
        <v>1.1100000000000001</v>
      </c>
      <c r="Q64">
        <v>1.06</v>
      </c>
      <c r="R64">
        <v>0.94</v>
      </c>
      <c r="S64">
        <v>1.04</v>
      </c>
      <c r="T64">
        <v>3685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9</v>
      </c>
      <c r="G65">
        <v>8</v>
      </c>
      <c r="H65">
        <v>7</v>
      </c>
      <c r="I65">
        <v>40</v>
      </c>
      <c r="J65">
        <v>1.18</v>
      </c>
      <c r="K65">
        <v>0.99</v>
      </c>
      <c r="L65">
        <v>1.04</v>
      </c>
      <c r="M65">
        <v>1.21</v>
      </c>
      <c r="N65">
        <v>1.28</v>
      </c>
      <c r="O65">
        <v>1.05</v>
      </c>
      <c r="P65">
        <v>1</v>
      </c>
      <c r="Q65">
        <v>0.97</v>
      </c>
      <c r="R65">
        <v>1.06</v>
      </c>
      <c r="S65">
        <v>0.97</v>
      </c>
      <c r="T65">
        <v>3694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9</v>
      </c>
      <c r="G66">
        <v>8</v>
      </c>
      <c r="H66">
        <v>7</v>
      </c>
      <c r="I66">
        <v>44</v>
      </c>
      <c r="J66">
        <v>1.22</v>
      </c>
      <c r="K66">
        <v>1.3</v>
      </c>
      <c r="L66">
        <v>1.37</v>
      </c>
      <c r="M66">
        <v>1.1200000000000001</v>
      </c>
      <c r="N66">
        <v>0.99</v>
      </c>
      <c r="O66">
        <v>0.99</v>
      </c>
      <c r="P66">
        <v>0.91</v>
      </c>
      <c r="Q66">
        <v>0.91</v>
      </c>
      <c r="R66">
        <v>1.1299999999999999</v>
      </c>
      <c r="S66">
        <v>1.17</v>
      </c>
      <c r="T66">
        <v>3701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9</v>
      </c>
      <c r="G67">
        <v>8</v>
      </c>
      <c r="H67">
        <v>7</v>
      </c>
      <c r="I67">
        <v>40</v>
      </c>
      <c r="J67">
        <v>1.44</v>
      </c>
      <c r="K67">
        <v>1.34</v>
      </c>
      <c r="L67">
        <v>1.28</v>
      </c>
      <c r="M67">
        <v>1.17</v>
      </c>
      <c r="N67">
        <v>1.25</v>
      </c>
      <c r="O67">
        <v>1.27</v>
      </c>
      <c r="P67">
        <v>1.1000000000000001</v>
      </c>
      <c r="Q67">
        <v>0.95</v>
      </c>
      <c r="R67">
        <v>0.94</v>
      </c>
      <c r="S67">
        <v>1.02</v>
      </c>
      <c r="T67">
        <v>3693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9</v>
      </c>
      <c r="G68">
        <v>8</v>
      </c>
      <c r="H68">
        <v>7</v>
      </c>
      <c r="I68">
        <v>34</v>
      </c>
      <c r="J68">
        <v>1.51</v>
      </c>
      <c r="K68">
        <v>1.4</v>
      </c>
      <c r="L68">
        <v>1.23</v>
      </c>
      <c r="M68">
        <v>1.28</v>
      </c>
      <c r="N68">
        <v>1.38</v>
      </c>
      <c r="O68">
        <v>1.27</v>
      </c>
      <c r="P68">
        <v>1.1599999999999999</v>
      </c>
      <c r="Q68">
        <v>0.83</v>
      </c>
      <c r="R68">
        <v>0.82</v>
      </c>
      <c r="S68">
        <v>0.96</v>
      </c>
      <c r="T68">
        <v>3707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16.994700000000002</v>
      </c>
      <c r="K73">
        <f t="shared" ref="K73:R73" si="0">22.275*K45-6.1713</f>
        <v>18.55395</v>
      </c>
      <c r="L73">
        <f t="shared" si="0"/>
        <v>21.4497</v>
      </c>
      <c r="M73">
        <f t="shared" si="0"/>
        <v>24.790949999999999</v>
      </c>
      <c r="N73">
        <f t="shared" si="0"/>
        <v>22.11795</v>
      </c>
      <c r="O73">
        <f t="shared" si="0"/>
        <v>23.2317</v>
      </c>
      <c r="P73">
        <f t="shared" si="0"/>
        <v>24.568199999999997</v>
      </c>
      <c r="Q73">
        <f t="shared" si="0"/>
        <v>23.89995</v>
      </c>
      <c r="R73">
        <f t="shared" si="0"/>
        <v>23.89995</v>
      </c>
      <c r="S73">
        <f>22.275*(S45*1.1)-6.1713</f>
        <v>25.191900000000004</v>
      </c>
    </row>
    <row r="74" spans="1:20" x14ac:dyDescent="0.25">
      <c r="I74" t="s">
        <v>43</v>
      </c>
      <c r="J74">
        <f t="shared" ref="J74:R89" si="1">22.275*J46-6.1713</f>
        <v>21.672450000000001</v>
      </c>
      <c r="K74">
        <f t="shared" si="1"/>
        <v>22.340700000000002</v>
      </c>
      <c r="L74">
        <f t="shared" si="1"/>
        <v>18.108450000000001</v>
      </c>
      <c r="M74">
        <f t="shared" si="1"/>
        <v>15.658200000000001</v>
      </c>
      <c r="N74">
        <f t="shared" si="1"/>
        <v>13.653449999999999</v>
      </c>
      <c r="O74">
        <f t="shared" si="1"/>
        <v>13.430700000000002</v>
      </c>
      <c r="P74">
        <f t="shared" si="1"/>
        <v>12.985199999999999</v>
      </c>
      <c r="Q74">
        <f t="shared" si="1"/>
        <v>17.662950000000002</v>
      </c>
      <c r="R74">
        <f t="shared" si="1"/>
        <v>18.331200000000003</v>
      </c>
      <c r="S74">
        <f t="shared" ref="S74:S91" si="2">22.275*(S46*1.1)-6.1713</f>
        <v>16.861049999999999</v>
      </c>
    </row>
    <row r="75" spans="1:20" x14ac:dyDescent="0.25">
      <c r="I75" t="s">
        <v>44</v>
      </c>
      <c r="J75">
        <f t="shared" si="1"/>
        <v>20.558699999999998</v>
      </c>
      <c r="K75">
        <f t="shared" si="1"/>
        <v>18.999449999999996</v>
      </c>
      <c r="L75">
        <f t="shared" si="1"/>
        <v>20.558699999999998</v>
      </c>
      <c r="M75">
        <f t="shared" si="1"/>
        <v>23.2317</v>
      </c>
      <c r="N75">
        <f t="shared" si="1"/>
        <v>22.56345</v>
      </c>
      <c r="O75">
        <f t="shared" si="1"/>
        <v>17.440200000000001</v>
      </c>
      <c r="P75">
        <f t="shared" si="1"/>
        <v>15.658200000000001</v>
      </c>
      <c r="Q75">
        <f t="shared" si="1"/>
        <v>15.435449999999999</v>
      </c>
      <c r="R75">
        <f t="shared" si="1"/>
        <v>17.662950000000002</v>
      </c>
      <c r="S75">
        <f t="shared" si="2"/>
        <v>18.821250000000003</v>
      </c>
    </row>
    <row r="76" spans="1:20" x14ac:dyDescent="0.25">
      <c r="I76" t="s">
        <v>45</v>
      </c>
      <c r="J76">
        <f t="shared" si="1"/>
        <v>24.345450000000003</v>
      </c>
      <c r="K76">
        <f t="shared" si="1"/>
        <v>24.122700000000002</v>
      </c>
      <c r="L76">
        <f t="shared" si="1"/>
        <v>25.459199999999999</v>
      </c>
      <c r="M76">
        <f t="shared" si="1"/>
        <v>23.2317</v>
      </c>
      <c r="N76">
        <f t="shared" si="1"/>
        <v>20.335949999999997</v>
      </c>
      <c r="O76">
        <f t="shared" si="1"/>
        <v>19.222199999999997</v>
      </c>
      <c r="P76">
        <f t="shared" si="1"/>
        <v>22.11795</v>
      </c>
      <c r="Q76">
        <f t="shared" si="1"/>
        <v>22.11795</v>
      </c>
      <c r="R76">
        <f t="shared" si="1"/>
        <v>20.335949999999997</v>
      </c>
      <c r="S76">
        <f t="shared" si="2"/>
        <v>23.2317</v>
      </c>
    </row>
    <row r="77" spans="1:20" x14ac:dyDescent="0.25">
      <c r="I77" t="s">
        <v>46</v>
      </c>
      <c r="J77">
        <f t="shared" si="1"/>
        <v>26.12745</v>
      </c>
      <c r="K77">
        <f t="shared" si="1"/>
        <v>23.2317</v>
      </c>
      <c r="L77">
        <f t="shared" si="1"/>
        <v>23.677200000000003</v>
      </c>
      <c r="M77">
        <f t="shared" si="1"/>
        <v>22.56345</v>
      </c>
      <c r="N77">
        <f t="shared" si="1"/>
        <v>20.78145</v>
      </c>
      <c r="O77">
        <f t="shared" si="1"/>
        <v>19.667699999999996</v>
      </c>
      <c r="P77">
        <f t="shared" si="1"/>
        <v>17.217449999999999</v>
      </c>
      <c r="Q77">
        <f t="shared" si="1"/>
        <v>21.226949999999999</v>
      </c>
      <c r="R77">
        <f t="shared" si="1"/>
        <v>19.890449999999998</v>
      </c>
      <c r="S77">
        <f t="shared" si="2"/>
        <v>22.006574999999998</v>
      </c>
    </row>
    <row r="78" spans="1:20" x14ac:dyDescent="0.25">
      <c r="I78" t="s">
        <v>47</v>
      </c>
      <c r="J78">
        <f t="shared" si="1"/>
        <v>25.236449999999998</v>
      </c>
      <c r="K78">
        <f t="shared" si="1"/>
        <v>23.454450000000001</v>
      </c>
      <c r="L78">
        <f t="shared" si="1"/>
        <v>23.2317</v>
      </c>
      <c r="M78">
        <f t="shared" si="1"/>
        <v>24.345450000000003</v>
      </c>
      <c r="N78">
        <f t="shared" si="1"/>
        <v>23.677200000000003</v>
      </c>
      <c r="O78">
        <f t="shared" si="1"/>
        <v>19.667699999999996</v>
      </c>
      <c r="P78">
        <f t="shared" si="1"/>
        <v>15.435449999999999</v>
      </c>
      <c r="Q78">
        <f t="shared" si="1"/>
        <v>18.776700000000002</v>
      </c>
      <c r="R78">
        <f t="shared" si="1"/>
        <v>19.444949999999999</v>
      </c>
      <c r="S78">
        <f t="shared" si="2"/>
        <v>22.2516</v>
      </c>
    </row>
    <row r="79" spans="1:20" x14ac:dyDescent="0.25">
      <c r="I79" t="s">
        <v>48</v>
      </c>
      <c r="J79">
        <f t="shared" si="1"/>
        <v>21.004199999999997</v>
      </c>
      <c r="K79">
        <f t="shared" si="1"/>
        <v>22.11795</v>
      </c>
      <c r="L79">
        <f t="shared" si="1"/>
        <v>25.013699999999996</v>
      </c>
      <c r="M79">
        <f t="shared" si="1"/>
        <v>26.7957</v>
      </c>
      <c r="N79">
        <f t="shared" si="1"/>
        <v>22.11795</v>
      </c>
      <c r="O79">
        <f t="shared" si="1"/>
        <v>14.544450000000001</v>
      </c>
      <c r="P79">
        <f t="shared" si="1"/>
        <v>13.430700000000002</v>
      </c>
      <c r="Q79">
        <f t="shared" si="1"/>
        <v>13.876200000000001</v>
      </c>
      <c r="R79">
        <f t="shared" si="1"/>
        <v>17.440200000000001</v>
      </c>
      <c r="S79">
        <f t="shared" si="2"/>
        <v>18.331200000000003</v>
      </c>
    </row>
    <row r="80" spans="1:20" x14ac:dyDescent="0.25">
      <c r="I80" t="s">
        <v>49</v>
      </c>
      <c r="J80">
        <f t="shared" si="1"/>
        <v>12.316949999999999</v>
      </c>
      <c r="K80">
        <f t="shared" si="1"/>
        <v>9.6439500000000002</v>
      </c>
      <c r="L80">
        <f t="shared" si="1"/>
        <v>8.3074499999999993</v>
      </c>
      <c r="M80">
        <f t="shared" si="1"/>
        <v>7.8619499999999993</v>
      </c>
      <c r="N80">
        <f t="shared" si="1"/>
        <v>6.9709499999999993</v>
      </c>
      <c r="O80">
        <f t="shared" si="1"/>
        <v>6.9709499999999993</v>
      </c>
      <c r="P80">
        <f t="shared" si="1"/>
        <v>7.6391999999999998</v>
      </c>
      <c r="Q80">
        <f t="shared" si="1"/>
        <v>9.6439500000000002</v>
      </c>
      <c r="R80">
        <f t="shared" si="1"/>
        <v>12.762450000000001</v>
      </c>
      <c r="S80">
        <f t="shared" si="2"/>
        <v>18.576225000000004</v>
      </c>
    </row>
    <row r="81" spans="9:19" x14ac:dyDescent="0.25">
      <c r="I81" t="s">
        <v>50</v>
      </c>
      <c r="J81">
        <f t="shared" si="1"/>
        <v>31.473449999999996</v>
      </c>
      <c r="K81">
        <f t="shared" si="1"/>
        <v>26.572949999999995</v>
      </c>
      <c r="L81">
        <f t="shared" si="1"/>
        <v>24.568199999999997</v>
      </c>
      <c r="M81">
        <f t="shared" si="1"/>
        <v>25.236449999999998</v>
      </c>
      <c r="N81">
        <f t="shared" si="1"/>
        <v>23.454450000000001</v>
      </c>
      <c r="O81">
        <f t="shared" si="1"/>
        <v>20.335949999999997</v>
      </c>
      <c r="P81">
        <f t="shared" si="1"/>
        <v>14.767199999999999</v>
      </c>
      <c r="Q81">
        <f t="shared" si="1"/>
        <v>15.212699999999998</v>
      </c>
      <c r="R81">
        <f t="shared" si="1"/>
        <v>14.767199999999999</v>
      </c>
      <c r="S81">
        <f t="shared" si="2"/>
        <v>17.596124999999997</v>
      </c>
    </row>
    <row r="82" spans="9:19" x14ac:dyDescent="0.25">
      <c r="I82" t="s">
        <v>51</v>
      </c>
      <c r="J82">
        <f t="shared" si="1"/>
        <v>19.222199999999997</v>
      </c>
      <c r="K82">
        <f t="shared" si="1"/>
        <v>18.108450000000001</v>
      </c>
      <c r="L82">
        <f t="shared" si="1"/>
        <v>15.435449999999999</v>
      </c>
      <c r="M82">
        <f t="shared" si="1"/>
        <v>14.544450000000001</v>
      </c>
      <c r="N82">
        <f t="shared" si="1"/>
        <v>13.653449999999999</v>
      </c>
      <c r="O82">
        <f t="shared" si="1"/>
        <v>12.762450000000001</v>
      </c>
      <c r="P82">
        <f t="shared" si="1"/>
        <v>13.653449999999999</v>
      </c>
      <c r="Q82">
        <f t="shared" si="1"/>
        <v>17.440200000000001</v>
      </c>
      <c r="R82">
        <f t="shared" si="1"/>
        <v>18.999449999999996</v>
      </c>
      <c r="S82">
        <f t="shared" si="2"/>
        <v>20.291400000000003</v>
      </c>
    </row>
    <row r="83" spans="9:19" x14ac:dyDescent="0.25">
      <c r="I83" t="s">
        <v>52</v>
      </c>
      <c r="J83">
        <f t="shared" si="1"/>
        <v>19.444949999999999</v>
      </c>
      <c r="K83">
        <f t="shared" si="1"/>
        <v>18.999449999999996</v>
      </c>
      <c r="L83">
        <f t="shared" si="1"/>
        <v>23.89995</v>
      </c>
      <c r="M83">
        <f t="shared" si="1"/>
        <v>26.12745</v>
      </c>
      <c r="N83">
        <f t="shared" si="1"/>
        <v>23.89995</v>
      </c>
      <c r="O83">
        <f t="shared" si="1"/>
        <v>22.786200000000001</v>
      </c>
      <c r="P83">
        <f t="shared" si="1"/>
        <v>23.454450000000001</v>
      </c>
      <c r="Q83">
        <f t="shared" si="1"/>
        <v>21.226949999999999</v>
      </c>
      <c r="R83">
        <f t="shared" si="1"/>
        <v>21.895199999999999</v>
      </c>
      <c r="S83">
        <f t="shared" si="2"/>
        <v>24.946875000000006</v>
      </c>
    </row>
    <row r="84" spans="9:19" x14ac:dyDescent="0.25">
      <c r="I84" t="s">
        <v>53</v>
      </c>
      <c r="J84">
        <f t="shared" si="1"/>
        <v>14.3217</v>
      </c>
      <c r="K84">
        <f t="shared" si="1"/>
        <v>15.212699999999998</v>
      </c>
      <c r="L84">
        <f t="shared" si="1"/>
        <v>21.004199999999997</v>
      </c>
      <c r="M84">
        <f t="shared" si="1"/>
        <v>23.89995</v>
      </c>
      <c r="N84">
        <f t="shared" si="1"/>
        <v>23.89995</v>
      </c>
      <c r="O84">
        <f t="shared" si="1"/>
        <v>24.122700000000002</v>
      </c>
      <c r="P84">
        <f t="shared" si="1"/>
        <v>21.672450000000001</v>
      </c>
      <c r="Q84">
        <f t="shared" si="1"/>
        <v>20.78145</v>
      </c>
      <c r="R84">
        <f t="shared" si="1"/>
        <v>17.217449999999999</v>
      </c>
      <c r="S84">
        <f t="shared" si="2"/>
        <v>18.331200000000003</v>
      </c>
    </row>
    <row r="85" spans="9:19" x14ac:dyDescent="0.25">
      <c r="I85" t="s">
        <v>54</v>
      </c>
      <c r="J85">
        <f t="shared" si="1"/>
        <v>20.335949999999997</v>
      </c>
      <c r="K85">
        <f t="shared" si="1"/>
        <v>20.558699999999998</v>
      </c>
      <c r="L85">
        <f t="shared" si="1"/>
        <v>22.786200000000001</v>
      </c>
      <c r="M85">
        <f t="shared" si="1"/>
        <v>23.677200000000003</v>
      </c>
      <c r="N85">
        <f t="shared" si="1"/>
        <v>23.677200000000003</v>
      </c>
      <c r="O85">
        <f t="shared" si="1"/>
        <v>17.8857</v>
      </c>
      <c r="P85">
        <f t="shared" si="1"/>
        <v>14.767199999999999</v>
      </c>
      <c r="Q85">
        <f t="shared" si="1"/>
        <v>14.3217</v>
      </c>
      <c r="R85">
        <f t="shared" si="1"/>
        <v>17.440200000000001</v>
      </c>
      <c r="S85">
        <f t="shared" si="2"/>
        <v>21.026475000000005</v>
      </c>
    </row>
    <row r="86" spans="9:19" x14ac:dyDescent="0.25">
      <c r="I86" t="s">
        <v>55</v>
      </c>
      <c r="J86">
        <f t="shared" si="1"/>
        <v>22.340700000000002</v>
      </c>
      <c r="K86">
        <f t="shared" si="1"/>
        <v>21.4497</v>
      </c>
      <c r="L86">
        <f t="shared" si="1"/>
        <v>24.345450000000003</v>
      </c>
      <c r="M86">
        <f t="shared" si="1"/>
        <v>18.55395</v>
      </c>
      <c r="N86">
        <f t="shared" si="1"/>
        <v>20.113199999999999</v>
      </c>
      <c r="O86">
        <f t="shared" si="1"/>
        <v>19.222199999999997</v>
      </c>
      <c r="P86">
        <f t="shared" si="1"/>
        <v>18.55395</v>
      </c>
      <c r="Q86">
        <f t="shared" si="1"/>
        <v>15.212699999999998</v>
      </c>
      <c r="R86">
        <f t="shared" si="1"/>
        <v>15.212699999999998</v>
      </c>
      <c r="S86">
        <f t="shared" si="2"/>
        <v>20.291400000000003</v>
      </c>
    </row>
    <row r="87" spans="9:19" x14ac:dyDescent="0.25">
      <c r="I87" t="s">
        <v>56</v>
      </c>
      <c r="J87">
        <f t="shared" si="1"/>
        <v>16.549199999999999</v>
      </c>
      <c r="K87">
        <f t="shared" si="1"/>
        <v>17.440200000000001</v>
      </c>
      <c r="L87">
        <f t="shared" si="1"/>
        <v>25.459199999999999</v>
      </c>
      <c r="M87">
        <f t="shared" si="1"/>
        <v>24.345450000000003</v>
      </c>
      <c r="N87">
        <f t="shared" si="1"/>
        <v>25.681949999999997</v>
      </c>
      <c r="O87">
        <f t="shared" si="1"/>
        <v>23.2317</v>
      </c>
      <c r="P87">
        <f t="shared" si="1"/>
        <v>22.56345</v>
      </c>
      <c r="Q87">
        <f t="shared" si="1"/>
        <v>18.108450000000001</v>
      </c>
      <c r="R87">
        <f t="shared" si="1"/>
        <v>12.985199999999999</v>
      </c>
      <c r="S87">
        <f t="shared" si="2"/>
        <v>15.145875</v>
      </c>
    </row>
    <row r="88" spans="9:19" x14ac:dyDescent="0.25">
      <c r="I88" t="s">
        <v>57</v>
      </c>
      <c r="J88">
        <f t="shared" si="1"/>
        <v>20.78145</v>
      </c>
      <c r="K88">
        <f t="shared" si="1"/>
        <v>22.56345</v>
      </c>
      <c r="L88">
        <f t="shared" si="1"/>
        <v>28.132200000000001</v>
      </c>
      <c r="M88">
        <f t="shared" si="1"/>
        <v>25.236449999999998</v>
      </c>
      <c r="N88">
        <f t="shared" si="1"/>
        <v>25.681949999999997</v>
      </c>
      <c r="O88">
        <f t="shared" si="1"/>
        <v>24.790949999999999</v>
      </c>
      <c r="P88">
        <f t="shared" si="1"/>
        <v>19.890449999999998</v>
      </c>
      <c r="Q88">
        <f t="shared" si="1"/>
        <v>15.435449999999999</v>
      </c>
      <c r="R88">
        <f t="shared" si="1"/>
        <v>19.222199999999997</v>
      </c>
      <c r="S88">
        <f t="shared" si="2"/>
        <v>22.496624999999998</v>
      </c>
    </row>
    <row r="89" spans="9:19" x14ac:dyDescent="0.25">
      <c r="I89" t="s">
        <v>58</v>
      </c>
      <c r="J89">
        <f t="shared" si="1"/>
        <v>27.909450000000003</v>
      </c>
      <c r="K89">
        <f t="shared" si="1"/>
        <v>26.12745</v>
      </c>
      <c r="L89">
        <f t="shared" si="1"/>
        <v>26.350199999999997</v>
      </c>
      <c r="M89">
        <f t="shared" si="1"/>
        <v>26.572949999999995</v>
      </c>
      <c r="N89">
        <f t="shared" si="1"/>
        <v>23.89995</v>
      </c>
      <c r="O89">
        <f t="shared" si="1"/>
        <v>22.786200000000001</v>
      </c>
      <c r="P89">
        <f t="shared" si="1"/>
        <v>21.226949999999999</v>
      </c>
      <c r="Q89">
        <f t="shared" si="1"/>
        <v>20.558699999999998</v>
      </c>
      <c r="R89">
        <f t="shared" si="1"/>
        <v>22.11795</v>
      </c>
      <c r="S89">
        <f t="shared" si="2"/>
        <v>25.926975000000002</v>
      </c>
    </row>
    <row r="90" spans="9:19" x14ac:dyDescent="0.25">
      <c r="I90" t="s">
        <v>59</v>
      </c>
      <c r="J90">
        <f t="shared" ref="J90:R96" si="3">22.275*J62-6.1713</f>
        <v>25.236449999999998</v>
      </c>
      <c r="K90">
        <f t="shared" si="3"/>
        <v>24.568199999999997</v>
      </c>
      <c r="L90">
        <f t="shared" si="3"/>
        <v>27.909450000000003</v>
      </c>
      <c r="M90">
        <f t="shared" si="3"/>
        <v>28.800450000000001</v>
      </c>
      <c r="N90">
        <f t="shared" si="3"/>
        <v>29.468700000000002</v>
      </c>
      <c r="O90">
        <f t="shared" si="3"/>
        <v>27.241199999999996</v>
      </c>
      <c r="P90">
        <f t="shared" si="3"/>
        <v>27.241199999999996</v>
      </c>
      <c r="Q90">
        <f t="shared" si="3"/>
        <v>21.672450000000001</v>
      </c>
      <c r="R90">
        <f t="shared" si="3"/>
        <v>21.672450000000001</v>
      </c>
      <c r="S90">
        <f t="shared" si="2"/>
        <v>23.966774999999998</v>
      </c>
    </row>
    <row r="91" spans="9:19" x14ac:dyDescent="0.25">
      <c r="I91" t="s">
        <v>60</v>
      </c>
      <c r="J91">
        <f t="shared" si="3"/>
        <v>23.89995</v>
      </c>
      <c r="K91">
        <f t="shared" si="3"/>
        <v>23.454450000000001</v>
      </c>
      <c r="L91">
        <f t="shared" si="3"/>
        <v>25.236449999999998</v>
      </c>
      <c r="M91">
        <f t="shared" si="3"/>
        <v>27.241199999999996</v>
      </c>
      <c r="N91">
        <f t="shared" si="3"/>
        <v>26.572949999999995</v>
      </c>
      <c r="O91">
        <f t="shared" si="3"/>
        <v>23.89995</v>
      </c>
      <c r="P91">
        <f t="shared" si="3"/>
        <v>21.4497</v>
      </c>
      <c r="Q91">
        <f t="shared" si="3"/>
        <v>14.098950000000002</v>
      </c>
      <c r="R91">
        <f t="shared" si="3"/>
        <v>12.985199999999999</v>
      </c>
      <c r="S91">
        <f t="shared" si="2"/>
        <v>18.086175000000001</v>
      </c>
    </row>
    <row r="92" spans="9:19" x14ac:dyDescent="0.25">
      <c r="I92" t="s">
        <v>61</v>
      </c>
      <c r="J92">
        <f t="shared" si="3"/>
        <v>23.008950000000002</v>
      </c>
      <c r="K92">
        <f t="shared" si="3"/>
        <v>22.786200000000001</v>
      </c>
      <c r="L92">
        <f t="shared" si="3"/>
        <v>21.895199999999999</v>
      </c>
      <c r="M92">
        <f t="shared" si="3"/>
        <v>25.459199999999999</v>
      </c>
      <c r="N92">
        <f t="shared" si="3"/>
        <v>24.568199999999997</v>
      </c>
      <c r="O92">
        <f t="shared" si="3"/>
        <v>22.340700000000002</v>
      </c>
      <c r="P92">
        <f t="shared" si="3"/>
        <v>18.55395</v>
      </c>
      <c r="Q92">
        <f t="shared" si="3"/>
        <v>17.440200000000001</v>
      </c>
      <c r="R92">
        <f t="shared" si="3"/>
        <v>14.767199999999999</v>
      </c>
      <c r="S92">
        <f>22.275*(S64*1.1)-6.1713</f>
        <v>19.311300000000003</v>
      </c>
    </row>
    <row r="93" spans="9:19" x14ac:dyDescent="0.25">
      <c r="I93" t="s">
        <v>62</v>
      </c>
      <c r="J93">
        <f t="shared" si="3"/>
        <v>20.113199999999999</v>
      </c>
      <c r="K93">
        <f t="shared" si="3"/>
        <v>15.880949999999999</v>
      </c>
      <c r="L93">
        <f t="shared" si="3"/>
        <v>16.994700000000002</v>
      </c>
      <c r="M93">
        <f t="shared" si="3"/>
        <v>20.78145</v>
      </c>
      <c r="N93">
        <f t="shared" si="3"/>
        <v>22.340700000000002</v>
      </c>
      <c r="O93">
        <f t="shared" si="3"/>
        <v>17.217449999999999</v>
      </c>
      <c r="P93">
        <f t="shared" si="3"/>
        <v>16.1037</v>
      </c>
      <c r="Q93">
        <f t="shared" si="3"/>
        <v>15.435449999999999</v>
      </c>
      <c r="R93">
        <f t="shared" si="3"/>
        <v>17.440200000000001</v>
      </c>
      <c r="S93">
        <f t="shared" ref="S93:S95" si="4">22.275*(S65*1.1)-6.1713</f>
        <v>17.596124999999997</v>
      </c>
    </row>
    <row r="94" spans="9:19" x14ac:dyDescent="0.25">
      <c r="I94" t="s">
        <v>63</v>
      </c>
      <c r="J94">
        <f t="shared" si="3"/>
        <v>21.004199999999997</v>
      </c>
      <c r="K94">
        <f t="shared" si="3"/>
        <v>22.786200000000001</v>
      </c>
      <c r="L94">
        <f t="shared" si="3"/>
        <v>24.345450000000003</v>
      </c>
      <c r="M94">
        <f t="shared" si="3"/>
        <v>18.776700000000002</v>
      </c>
      <c r="N94">
        <f t="shared" si="3"/>
        <v>15.880949999999999</v>
      </c>
      <c r="O94">
        <f t="shared" si="3"/>
        <v>15.880949999999999</v>
      </c>
      <c r="P94">
        <f t="shared" si="3"/>
        <v>14.098950000000002</v>
      </c>
      <c r="Q94">
        <f t="shared" si="3"/>
        <v>14.098950000000002</v>
      </c>
      <c r="R94">
        <f t="shared" si="3"/>
        <v>18.999449999999996</v>
      </c>
      <c r="S94">
        <f t="shared" si="4"/>
        <v>22.496624999999998</v>
      </c>
    </row>
    <row r="95" spans="9:19" x14ac:dyDescent="0.25">
      <c r="I95" t="s">
        <v>64</v>
      </c>
      <c r="J95">
        <f t="shared" si="3"/>
        <v>25.904699999999995</v>
      </c>
      <c r="K95">
        <f t="shared" si="3"/>
        <v>23.677200000000003</v>
      </c>
      <c r="L95">
        <f t="shared" si="3"/>
        <v>22.340700000000002</v>
      </c>
      <c r="M95">
        <f t="shared" si="3"/>
        <v>19.890449999999998</v>
      </c>
      <c r="N95">
        <f t="shared" si="3"/>
        <v>21.672450000000001</v>
      </c>
      <c r="O95">
        <f t="shared" si="3"/>
        <v>22.11795</v>
      </c>
      <c r="P95">
        <f t="shared" si="3"/>
        <v>18.331200000000003</v>
      </c>
      <c r="Q95">
        <f t="shared" si="3"/>
        <v>14.98995</v>
      </c>
      <c r="R95">
        <f t="shared" si="3"/>
        <v>14.767199999999999</v>
      </c>
      <c r="S95">
        <f t="shared" si="4"/>
        <v>18.821250000000003</v>
      </c>
    </row>
    <row r="96" spans="9:19" x14ac:dyDescent="0.25">
      <c r="I96" t="s">
        <v>65</v>
      </c>
      <c r="J96">
        <f>22.275*J68-6.1713</f>
        <v>27.463950000000001</v>
      </c>
      <c r="K96">
        <f t="shared" si="3"/>
        <v>25.013699999999996</v>
      </c>
      <c r="L96">
        <f t="shared" si="3"/>
        <v>21.226949999999999</v>
      </c>
      <c r="M96">
        <f t="shared" si="3"/>
        <v>22.340700000000002</v>
      </c>
      <c r="N96">
        <f t="shared" si="3"/>
        <v>24.568199999999997</v>
      </c>
      <c r="O96">
        <f t="shared" si="3"/>
        <v>22.11795</v>
      </c>
      <c r="P96">
        <f t="shared" si="3"/>
        <v>19.667699999999996</v>
      </c>
      <c r="Q96">
        <f t="shared" si="3"/>
        <v>12.316949999999999</v>
      </c>
      <c r="R96">
        <f t="shared" si="3"/>
        <v>12.094200000000001</v>
      </c>
      <c r="S96">
        <f>22.275*(S68*1.1)-6.1713</f>
        <v>17.351100000000002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0.16994700000000001</v>
      </c>
      <c r="K101" s="4">
        <f t="shared" si="5"/>
        <v>0.1855395</v>
      </c>
      <c r="L101" s="4">
        <f t="shared" si="5"/>
        <v>0.21449699999999999</v>
      </c>
      <c r="M101" s="4">
        <f t="shared" si="5"/>
        <v>0.24790949999999998</v>
      </c>
      <c r="N101" s="4">
        <f t="shared" si="5"/>
        <v>0.2211795</v>
      </c>
      <c r="O101" s="4">
        <f t="shared" si="5"/>
        <v>0.232317</v>
      </c>
      <c r="P101" s="4">
        <f t="shared" si="5"/>
        <v>0.24568199999999998</v>
      </c>
      <c r="Q101" s="4">
        <f t="shared" si="5"/>
        <v>0.2389995</v>
      </c>
      <c r="R101" s="4">
        <f t="shared" si="5"/>
        <v>0.2389995</v>
      </c>
      <c r="S101" s="4">
        <f t="shared" si="5"/>
        <v>0.25191900000000006</v>
      </c>
    </row>
    <row r="102" spans="9:19" x14ac:dyDescent="0.25">
      <c r="I102">
        <v>12</v>
      </c>
      <c r="J102" s="4">
        <f t="shared" ref="J102:S115" si="6">IF(J74&lt;0,"",J74/100)</f>
        <v>0.21672450000000001</v>
      </c>
      <c r="K102" s="4">
        <f t="shared" si="6"/>
        <v>0.22340700000000002</v>
      </c>
      <c r="L102" s="4">
        <f t="shared" si="6"/>
        <v>0.18108450000000001</v>
      </c>
      <c r="M102" s="4">
        <f t="shared" si="6"/>
        <v>0.156582</v>
      </c>
      <c r="N102" s="4">
        <f t="shared" si="6"/>
        <v>0.1365345</v>
      </c>
      <c r="O102" s="4">
        <f t="shared" si="6"/>
        <v>0.13430700000000001</v>
      </c>
      <c r="P102" s="4">
        <f t="shared" si="6"/>
        <v>0.129852</v>
      </c>
      <c r="Q102" s="4">
        <f t="shared" si="6"/>
        <v>0.17662950000000002</v>
      </c>
      <c r="R102" s="4">
        <f t="shared" si="6"/>
        <v>0.18331200000000003</v>
      </c>
      <c r="S102" s="4">
        <f t="shared" si="6"/>
        <v>0.1686105</v>
      </c>
    </row>
    <row r="103" spans="9:19" x14ac:dyDescent="0.25">
      <c r="I103">
        <v>13</v>
      </c>
      <c r="J103" s="4">
        <f t="shared" si="6"/>
        <v>0.20558699999999999</v>
      </c>
      <c r="K103" s="4">
        <f t="shared" si="6"/>
        <v>0.18999449999999996</v>
      </c>
      <c r="L103" s="4">
        <f t="shared" si="6"/>
        <v>0.20558699999999999</v>
      </c>
      <c r="M103" s="4">
        <f t="shared" si="6"/>
        <v>0.232317</v>
      </c>
      <c r="N103" s="4">
        <f t="shared" si="6"/>
        <v>0.22563449999999999</v>
      </c>
      <c r="O103" s="4">
        <f t="shared" si="6"/>
        <v>0.174402</v>
      </c>
      <c r="P103" s="4">
        <f t="shared" si="6"/>
        <v>0.156582</v>
      </c>
      <c r="Q103" s="4">
        <f t="shared" si="6"/>
        <v>0.15435450000000001</v>
      </c>
      <c r="R103" s="4">
        <f t="shared" si="6"/>
        <v>0.17662950000000002</v>
      </c>
      <c r="S103" s="4">
        <f t="shared" si="6"/>
        <v>0.18821250000000003</v>
      </c>
    </row>
    <row r="104" spans="9:19" x14ac:dyDescent="0.25">
      <c r="I104">
        <v>14</v>
      </c>
      <c r="J104" s="4">
        <f t="shared" si="6"/>
        <v>0.24345450000000002</v>
      </c>
      <c r="K104" s="4">
        <f t="shared" si="6"/>
        <v>0.24122700000000002</v>
      </c>
      <c r="L104" s="4">
        <f t="shared" si="6"/>
        <v>0.25459199999999998</v>
      </c>
      <c r="M104" s="4">
        <f t="shared" si="6"/>
        <v>0.232317</v>
      </c>
      <c r="N104" s="4">
        <f t="shared" si="6"/>
        <v>0.20335949999999997</v>
      </c>
      <c r="O104" s="4">
        <f t="shared" si="6"/>
        <v>0.19222199999999998</v>
      </c>
      <c r="P104" s="4">
        <f t="shared" si="6"/>
        <v>0.2211795</v>
      </c>
      <c r="Q104" s="4">
        <f t="shared" si="6"/>
        <v>0.2211795</v>
      </c>
      <c r="R104" s="4">
        <f t="shared" si="6"/>
        <v>0.20335949999999997</v>
      </c>
      <c r="S104" s="4">
        <f t="shared" si="6"/>
        <v>0.232317</v>
      </c>
    </row>
    <row r="105" spans="9:19" x14ac:dyDescent="0.25">
      <c r="I105">
        <v>21</v>
      </c>
      <c r="J105" s="4">
        <f t="shared" si="6"/>
        <v>0.26127450000000002</v>
      </c>
      <c r="K105" s="4">
        <f t="shared" si="6"/>
        <v>0.232317</v>
      </c>
      <c r="L105" s="4">
        <f t="shared" si="6"/>
        <v>0.23677200000000004</v>
      </c>
      <c r="M105" s="4">
        <f t="shared" si="6"/>
        <v>0.22563449999999999</v>
      </c>
      <c r="N105" s="4">
        <f t="shared" si="6"/>
        <v>0.20781449999999999</v>
      </c>
      <c r="O105" s="4">
        <f t="shared" si="6"/>
        <v>0.19667699999999996</v>
      </c>
      <c r="P105" s="4">
        <f t="shared" si="6"/>
        <v>0.17217450000000001</v>
      </c>
      <c r="Q105" s="4">
        <f t="shared" si="6"/>
        <v>0.2122695</v>
      </c>
      <c r="R105" s="4">
        <f t="shared" si="6"/>
        <v>0.19890449999999998</v>
      </c>
      <c r="S105" s="4">
        <f t="shared" si="6"/>
        <v>0.22006574999999998</v>
      </c>
    </row>
    <row r="106" spans="9:19" x14ac:dyDescent="0.25">
      <c r="I106">
        <v>22</v>
      </c>
      <c r="J106" s="4">
        <f t="shared" si="6"/>
        <v>0.25236449999999999</v>
      </c>
      <c r="K106" s="4">
        <f t="shared" si="6"/>
        <v>0.23454450000000002</v>
      </c>
      <c r="L106" s="4">
        <f t="shared" si="6"/>
        <v>0.232317</v>
      </c>
      <c r="M106" s="4">
        <f t="shared" si="6"/>
        <v>0.24345450000000002</v>
      </c>
      <c r="N106" s="4">
        <f t="shared" si="6"/>
        <v>0.23677200000000004</v>
      </c>
      <c r="O106" s="4">
        <f t="shared" si="6"/>
        <v>0.19667699999999996</v>
      </c>
      <c r="P106" s="4">
        <f t="shared" si="6"/>
        <v>0.15435450000000001</v>
      </c>
      <c r="Q106" s="4">
        <f t="shared" si="6"/>
        <v>0.18776700000000002</v>
      </c>
      <c r="R106" s="4">
        <f t="shared" si="6"/>
        <v>0.1944495</v>
      </c>
      <c r="S106" s="4">
        <f t="shared" si="6"/>
        <v>0.22251599999999999</v>
      </c>
    </row>
    <row r="107" spans="9:19" x14ac:dyDescent="0.25">
      <c r="I107">
        <v>23</v>
      </c>
      <c r="J107" s="4">
        <f t="shared" si="6"/>
        <v>0.21004199999999998</v>
      </c>
      <c r="K107" s="4">
        <f t="shared" si="6"/>
        <v>0.2211795</v>
      </c>
      <c r="L107" s="4">
        <f t="shared" si="6"/>
        <v>0.25013699999999994</v>
      </c>
      <c r="M107" s="4">
        <f t="shared" si="6"/>
        <v>0.267957</v>
      </c>
      <c r="N107" s="4">
        <f t="shared" si="6"/>
        <v>0.2211795</v>
      </c>
      <c r="O107" s="4">
        <f t="shared" si="6"/>
        <v>0.1454445</v>
      </c>
      <c r="P107" s="4">
        <f t="shared" si="6"/>
        <v>0.13430700000000001</v>
      </c>
      <c r="Q107" s="4">
        <f t="shared" si="6"/>
        <v>0.138762</v>
      </c>
      <c r="R107" s="4">
        <f t="shared" si="6"/>
        <v>0.174402</v>
      </c>
      <c r="S107" s="4">
        <f t="shared" si="6"/>
        <v>0.18331200000000003</v>
      </c>
    </row>
    <row r="108" spans="9:19" x14ac:dyDescent="0.25">
      <c r="I108">
        <v>24</v>
      </c>
      <c r="J108" s="4">
        <f t="shared" si="6"/>
        <v>0.12316949999999999</v>
      </c>
      <c r="K108" s="4">
        <f t="shared" si="6"/>
        <v>9.6439499999999997E-2</v>
      </c>
      <c r="L108" s="4">
        <f t="shared" si="6"/>
        <v>8.3074499999999996E-2</v>
      </c>
      <c r="M108" s="4">
        <f t="shared" si="6"/>
        <v>7.8619499999999995E-2</v>
      </c>
      <c r="N108" s="4">
        <f t="shared" si="6"/>
        <v>6.9709499999999994E-2</v>
      </c>
      <c r="O108" s="4">
        <f t="shared" si="6"/>
        <v>6.9709499999999994E-2</v>
      </c>
      <c r="P108" s="4">
        <f t="shared" si="6"/>
        <v>7.6392000000000002E-2</v>
      </c>
      <c r="Q108" s="4">
        <f t="shared" si="6"/>
        <v>9.6439499999999997E-2</v>
      </c>
      <c r="R108" s="4">
        <f t="shared" si="6"/>
        <v>0.1276245</v>
      </c>
      <c r="S108" s="4">
        <f t="shared" si="6"/>
        <v>0.18576225000000005</v>
      </c>
    </row>
    <row r="109" spans="9:19" x14ac:dyDescent="0.25">
      <c r="I109">
        <v>31</v>
      </c>
      <c r="J109" s="4">
        <f t="shared" si="6"/>
        <v>0.31473449999999997</v>
      </c>
      <c r="K109" s="4">
        <f t="shared" si="6"/>
        <v>0.26572949999999995</v>
      </c>
      <c r="L109" s="4">
        <f t="shared" si="6"/>
        <v>0.24568199999999998</v>
      </c>
      <c r="M109" s="4">
        <f t="shared" si="6"/>
        <v>0.25236449999999999</v>
      </c>
      <c r="N109" s="4">
        <f t="shared" si="6"/>
        <v>0.23454450000000002</v>
      </c>
      <c r="O109" s="4">
        <f t="shared" si="6"/>
        <v>0.20335949999999997</v>
      </c>
      <c r="P109" s="4">
        <f t="shared" si="6"/>
        <v>0.147672</v>
      </c>
      <c r="Q109" s="4">
        <f t="shared" si="6"/>
        <v>0.15212699999999998</v>
      </c>
      <c r="R109" s="4">
        <f t="shared" si="6"/>
        <v>0.147672</v>
      </c>
      <c r="S109" s="4">
        <f t="shared" si="6"/>
        <v>0.17596124999999996</v>
      </c>
    </row>
    <row r="110" spans="9:19" x14ac:dyDescent="0.25">
      <c r="I110">
        <v>32</v>
      </c>
      <c r="J110" s="4">
        <f t="shared" si="6"/>
        <v>0.19222199999999998</v>
      </c>
      <c r="K110" s="4">
        <f t="shared" si="6"/>
        <v>0.18108450000000001</v>
      </c>
      <c r="L110" s="4">
        <f t="shared" si="6"/>
        <v>0.15435450000000001</v>
      </c>
      <c r="M110" s="4">
        <f t="shared" si="6"/>
        <v>0.1454445</v>
      </c>
      <c r="N110" s="4">
        <f t="shared" si="6"/>
        <v>0.1365345</v>
      </c>
      <c r="O110" s="4">
        <f t="shared" si="6"/>
        <v>0.1276245</v>
      </c>
      <c r="P110" s="4">
        <f t="shared" si="6"/>
        <v>0.1365345</v>
      </c>
      <c r="Q110" s="4">
        <f t="shared" si="6"/>
        <v>0.174402</v>
      </c>
      <c r="R110" s="4">
        <f t="shared" si="6"/>
        <v>0.18999449999999996</v>
      </c>
      <c r="S110" s="4">
        <f t="shared" si="6"/>
        <v>0.20291400000000004</v>
      </c>
    </row>
    <row r="111" spans="9:19" x14ac:dyDescent="0.25">
      <c r="I111">
        <v>33</v>
      </c>
      <c r="J111" s="4">
        <f t="shared" si="6"/>
        <v>0.1944495</v>
      </c>
      <c r="K111" s="4">
        <f t="shared" si="6"/>
        <v>0.18999449999999996</v>
      </c>
      <c r="L111" s="4">
        <f t="shared" si="6"/>
        <v>0.2389995</v>
      </c>
      <c r="M111" s="4">
        <f t="shared" si="6"/>
        <v>0.26127450000000002</v>
      </c>
      <c r="N111" s="4">
        <f t="shared" si="6"/>
        <v>0.2389995</v>
      </c>
      <c r="O111" s="4">
        <f t="shared" si="6"/>
        <v>0.22786200000000001</v>
      </c>
      <c r="P111" s="4">
        <f t="shared" si="6"/>
        <v>0.23454450000000002</v>
      </c>
      <c r="Q111" s="4">
        <f t="shared" si="6"/>
        <v>0.2122695</v>
      </c>
      <c r="R111" s="4">
        <f t="shared" si="6"/>
        <v>0.21895199999999998</v>
      </c>
      <c r="S111" s="4">
        <f t="shared" si="6"/>
        <v>0.24946875000000004</v>
      </c>
    </row>
    <row r="112" spans="9:19" x14ac:dyDescent="0.25">
      <c r="I112">
        <v>34</v>
      </c>
      <c r="J112" s="4">
        <f t="shared" si="6"/>
        <v>0.14321700000000001</v>
      </c>
      <c r="K112" s="4">
        <f t="shared" si="6"/>
        <v>0.15212699999999998</v>
      </c>
      <c r="L112" s="4">
        <f t="shared" si="6"/>
        <v>0.21004199999999998</v>
      </c>
      <c r="M112" s="4">
        <f t="shared" si="6"/>
        <v>0.2389995</v>
      </c>
      <c r="N112" s="4">
        <f t="shared" si="6"/>
        <v>0.2389995</v>
      </c>
      <c r="O112" s="4">
        <f t="shared" si="6"/>
        <v>0.24122700000000002</v>
      </c>
      <c r="P112" s="4">
        <f t="shared" si="6"/>
        <v>0.21672450000000001</v>
      </c>
      <c r="Q112" s="4">
        <f t="shared" si="6"/>
        <v>0.20781449999999999</v>
      </c>
      <c r="R112" s="4">
        <f t="shared" si="6"/>
        <v>0.17217450000000001</v>
      </c>
      <c r="S112" s="4">
        <f t="shared" si="6"/>
        <v>0.18331200000000003</v>
      </c>
    </row>
    <row r="113" spans="9:19" x14ac:dyDescent="0.25">
      <c r="I113">
        <v>41</v>
      </c>
      <c r="J113" s="4">
        <f t="shared" si="6"/>
        <v>0.20335949999999997</v>
      </c>
      <c r="K113" s="4">
        <f t="shared" si="6"/>
        <v>0.20558699999999999</v>
      </c>
      <c r="L113" s="4">
        <f t="shared" si="6"/>
        <v>0.22786200000000001</v>
      </c>
      <c r="M113" s="4">
        <f t="shared" si="6"/>
        <v>0.23677200000000004</v>
      </c>
      <c r="N113" s="4">
        <f t="shared" si="6"/>
        <v>0.23677200000000004</v>
      </c>
      <c r="O113" s="4">
        <f t="shared" si="6"/>
        <v>0.17885699999999999</v>
      </c>
      <c r="P113" s="4">
        <f t="shared" si="6"/>
        <v>0.147672</v>
      </c>
      <c r="Q113" s="4">
        <f t="shared" si="6"/>
        <v>0.14321700000000001</v>
      </c>
      <c r="R113" s="4">
        <f t="shared" si="6"/>
        <v>0.174402</v>
      </c>
      <c r="S113" s="4">
        <f t="shared" si="6"/>
        <v>0.21026475000000006</v>
      </c>
    </row>
    <row r="114" spans="9:19" x14ac:dyDescent="0.25">
      <c r="I114">
        <v>42</v>
      </c>
      <c r="J114" s="4">
        <f t="shared" si="6"/>
        <v>0.22340700000000002</v>
      </c>
      <c r="K114" s="4">
        <f t="shared" si="6"/>
        <v>0.21449699999999999</v>
      </c>
      <c r="L114" s="4">
        <f t="shared" si="6"/>
        <v>0.24345450000000002</v>
      </c>
      <c r="M114" s="4">
        <f t="shared" si="6"/>
        <v>0.1855395</v>
      </c>
      <c r="N114" s="4">
        <f t="shared" si="6"/>
        <v>0.20113199999999998</v>
      </c>
      <c r="O114" s="4">
        <f t="shared" si="6"/>
        <v>0.19222199999999998</v>
      </c>
      <c r="P114" s="4">
        <f t="shared" si="6"/>
        <v>0.1855395</v>
      </c>
      <c r="Q114" s="4">
        <f t="shared" si="6"/>
        <v>0.15212699999999998</v>
      </c>
      <c r="R114" s="4">
        <f t="shared" si="6"/>
        <v>0.15212699999999998</v>
      </c>
      <c r="S114" s="4">
        <f t="shared" si="6"/>
        <v>0.20291400000000004</v>
      </c>
    </row>
    <row r="115" spans="9:19" x14ac:dyDescent="0.25">
      <c r="I115">
        <v>43</v>
      </c>
      <c r="J115" s="4">
        <f t="shared" si="6"/>
        <v>0.165492</v>
      </c>
      <c r="K115" s="4">
        <f t="shared" si="6"/>
        <v>0.174402</v>
      </c>
      <c r="L115" s="4">
        <f t="shared" si="6"/>
        <v>0.25459199999999998</v>
      </c>
      <c r="M115" s="4">
        <f t="shared" si="6"/>
        <v>0.24345450000000002</v>
      </c>
      <c r="N115" s="4">
        <f t="shared" si="6"/>
        <v>0.25681949999999998</v>
      </c>
      <c r="O115" s="4">
        <f t="shared" si="6"/>
        <v>0.232317</v>
      </c>
      <c r="P115" s="4">
        <f t="shared" si="6"/>
        <v>0.22563449999999999</v>
      </c>
      <c r="Q115" s="4">
        <f t="shared" si="6"/>
        <v>0.18108450000000001</v>
      </c>
      <c r="R115" s="4">
        <f t="shared" si="6"/>
        <v>0.129852</v>
      </c>
      <c r="S115" s="4">
        <f t="shared" si="6"/>
        <v>0.15145875</v>
      </c>
    </row>
    <row r="116" spans="9:19" x14ac:dyDescent="0.25">
      <c r="I116">
        <v>44</v>
      </c>
      <c r="J116" s="4">
        <f t="shared" ref="J116:S116" si="7">IF(J88&lt;0,"",J88/100)</f>
        <v>0.20781449999999999</v>
      </c>
      <c r="K116" s="4">
        <f t="shared" si="7"/>
        <v>0.22563449999999999</v>
      </c>
      <c r="L116" s="4">
        <f t="shared" si="7"/>
        <v>0.28132200000000002</v>
      </c>
      <c r="M116" s="4">
        <f t="shared" si="7"/>
        <v>0.25236449999999999</v>
      </c>
      <c r="N116" s="4">
        <f t="shared" si="7"/>
        <v>0.25681949999999998</v>
      </c>
      <c r="O116" s="4">
        <f t="shared" si="7"/>
        <v>0.24790949999999998</v>
      </c>
      <c r="P116" s="4">
        <f t="shared" si="7"/>
        <v>0.19890449999999998</v>
      </c>
      <c r="Q116" s="4">
        <f t="shared" si="7"/>
        <v>0.15435450000000001</v>
      </c>
      <c r="R116" s="4">
        <f t="shared" si="7"/>
        <v>0.19222199999999998</v>
      </c>
      <c r="S116" s="4">
        <f t="shared" si="7"/>
        <v>0.22496624999999998</v>
      </c>
    </row>
    <row r="117" spans="9:19" x14ac:dyDescent="0.25">
      <c r="I117">
        <v>51</v>
      </c>
      <c r="J117" s="4">
        <f t="shared" ref="J117:S123" si="8">IF(J89&lt;0,"",J89/100)</f>
        <v>0.27909450000000002</v>
      </c>
      <c r="K117" s="4">
        <f t="shared" si="8"/>
        <v>0.26127450000000002</v>
      </c>
      <c r="L117" s="4">
        <f t="shared" si="8"/>
        <v>0.26350199999999996</v>
      </c>
      <c r="M117" s="4">
        <f t="shared" si="8"/>
        <v>0.26572949999999995</v>
      </c>
      <c r="N117" s="4">
        <f t="shared" si="8"/>
        <v>0.2389995</v>
      </c>
      <c r="O117" s="4">
        <f t="shared" si="8"/>
        <v>0.22786200000000001</v>
      </c>
      <c r="P117" s="4">
        <f t="shared" si="8"/>
        <v>0.2122695</v>
      </c>
      <c r="Q117" s="4">
        <f t="shared" si="8"/>
        <v>0.20558699999999999</v>
      </c>
      <c r="R117" s="4">
        <f t="shared" si="8"/>
        <v>0.2211795</v>
      </c>
      <c r="S117" s="4">
        <f t="shared" si="8"/>
        <v>0.25926975000000002</v>
      </c>
    </row>
    <row r="118" spans="9:19" x14ac:dyDescent="0.25">
      <c r="I118">
        <v>52</v>
      </c>
      <c r="J118" s="4">
        <f t="shared" si="8"/>
        <v>0.25236449999999999</v>
      </c>
      <c r="K118" s="4">
        <f t="shared" si="8"/>
        <v>0.24568199999999998</v>
      </c>
      <c r="L118" s="4">
        <f t="shared" si="8"/>
        <v>0.27909450000000002</v>
      </c>
      <c r="M118" s="4">
        <f t="shared" si="8"/>
        <v>0.2880045</v>
      </c>
      <c r="N118" s="4">
        <f t="shared" si="8"/>
        <v>0.29468700000000003</v>
      </c>
      <c r="O118" s="4">
        <f t="shared" si="8"/>
        <v>0.27241199999999993</v>
      </c>
      <c r="P118" s="4">
        <f t="shared" si="8"/>
        <v>0.27241199999999993</v>
      </c>
      <c r="Q118" s="4">
        <f t="shared" si="8"/>
        <v>0.21672450000000001</v>
      </c>
      <c r="R118" s="4">
        <f t="shared" si="8"/>
        <v>0.21672450000000001</v>
      </c>
      <c r="S118" s="4">
        <f t="shared" si="8"/>
        <v>0.23966774999999998</v>
      </c>
    </row>
    <row r="119" spans="9:19" x14ac:dyDescent="0.25">
      <c r="I119">
        <v>53</v>
      </c>
      <c r="J119" s="4">
        <f t="shared" si="8"/>
        <v>0.2389995</v>
      </c>
      <c r="K119" s="4">
        <f t="shared" si="8"/>
        <v>0.23454450000000002</v>
      </c>
      <c r="L119" s="4">
        <f t="shared" si="8"/>
        <v>0.25236449999999999</v>
      </c>
      <c r="M119" s="4">
        <f t="shared" si="8"/>
        <v>0.27241199999999993</v>
      </c>
      <c r="N119" s="4">
        <f t="shared" si="8"/>
        <v>0.26572949999999995</v>
      </c>
      <c r="O119" s="4">
        <f t="shared" si="8"/>
        <v>0.2389995</v>
      </c>
      <c r="P119" s="4">
        <f t="shared" si="8"/>
        <v>0.21449699999999999</v>
      </c>
      <c r="Q119" s="4">
        <f t="shared" si="8"/>
        <v>0.14098950000000002</v>
      </c>
      <c r="R119" s="4">
        <f t="shared" si="8"/>
        <v>0.129852</v>
      </c>
      <c r="S119" s="4">
        <f t="shared" si="8"/>
        <v>0.18086175000000002</v>
      </c>
    </row>
    <row r="120" spans="9:19" x14ac:dyDescent="0.25">
      <c r="I120">
        <v>54</v>
      </c>
      <c r="J120" s="4">
        <f t="shared" si="8"/>
        <v>0.23008950000000003</v>
      </c>
      <c r="K120" s="4">
        <f t="shared" si="8"/>
        <v>0.22786200000000001</v>
      </c>
      <c r="L120" s="4">
        <f t="shared" si="8"/>
        <v>0.21895199999999998</v>
      </c>
      <c r="M120" s="4">
        <f t="shared" si="8"/>
        <v>0.25459199999999998</v>
      </c>
      <c r="N120" s="4">
        <f t="shared" si="8"/>
        <v>0.24568199999999998</v>
      </c>
      <c r="O120" s="4">
        <f t="shared" si="8"/>
        <v>0.22340700000000002</v>
      </c>
      <c r="P120" s="4">
        <f t="shared" si="8"/>
        <v>0.1855395</v>
      </c>
      <c r="Q120" s="4">
        <f t="shared" si="8"/>
        <v>0.174402</v>
      </c>
      <c r="R120" s="4">
        <f t="shared" si="8"/>
        <v>0.147672</v>
      </c>
      <c r="S120" s="4">
        <f t="shared" si="8"/>
        <v>0.19311300000000003</v>
      </c>
    </row>
    <row r="121" spans="9:19" x14ac:dyDescent="0.25">
      <c r="I121">
        <v>61</v>
      </c>
      <c r="J121" s="4">
        <f t="shared" si="8"/>
        <v>0.20113199999999998</v>
      </c>
      <c r="K121" s="4">
        <f t="shared" si="8"/>
        <v>0.15880949999999999</v>
      </c>
      <c r="L121" s="4">
        <f t="shared" si="8"/>
        <v>0.16994700000000001</v>
      </c>
      <c r="M121" s="4">
        <f t="shared" si="8"/>
        <v>0.20781449999999999</v>
      </c>
      <c r="N121" s="4">
        <f t="shared" si="8"/>
        <v>0.22340700000000002</v>
      </c>
      <c r="O121" s="4">
        <f t="shared" si="8"/>
        <v>0.17217450000000001</v>
      </c>
      <c r="P121" s="4">
        <f t="shared" si="8"/>
        <v>0.16103699999999999</v>
      </c>
      <c r="Q121" s="4">
        <f t="shared" si="8"/>
        <v>0.15435450000000001</v>
      </c>
      <c r="R121" s="4">
        <f t="shared" si="8"/>
        <v>0.174402</v>
      </c>
      <c r="S121" s="4">
        <f t="shared" si="8"/>
        <v>0.17596124999999996</v>
      </c>
    </row>
    <row r="122" spans="9:19" x14ac:dyDescent="0.25">
      <c r="I122">
        <v>62</v>
      </c>
      <c r="J122" s="4">
        <f t="shared" si="8"/>
        <v>0.21004199999999998</v>
      </c>
      <c r="K122" s="4">
        <f t="shared" si="8"/>
        <v>0.22786200000000001</v>
      </c>
      <c r="L122" s="4">
        <f t="shared" si="8"/>
        <v>0.24345450000000002</v>
      </c>
      <c r="M122" s="4">
        <f t="shared" si="8"/>
        <v>0.18776700000000002</v>
      </c>
      <c r="N122" s="4">
        <f t="shared" si="8"/>
        <v>0.15880949999999999</v>
      </c>
      <c r="O122" s="4">
        <f t="shared" si="8"/>
        <v>0.15880949999999999</v>
      </c>
      <c r="P122" s="4">
        <f t="shared" si="8"/>
        <v>0.14098950000000002</v>
      </c>
      <c r="Q122" s="4">
        <f t="shared" si="8"/>
        <v>0.14098950000000002</v>
      </c>
      <c r="R122" s="4">
        <f t="shared" si="8"/>
        <v>0.18999449999999996</v>
      </c>
      <c r="S122" s="4">
        <f t="shared" si="8"/>
        <v>0.22496624999999998</v>
      </c>
    </row>
    <row r="123" spans="9:19" x14ac:dyDescent="0.25">
      <c r="I123">
        <v>63</v>
      </c>
      <c r="J123" s="4">
        <f t="shared" si="8"/>
        <v>0.25904699999999997</v>
      </c>
      <c r="K123" s="4">
        <f t="shared" si="8"/>
        <v>0.23677200000000004</v>
      </c>
      <c r="L123" s="4">
        <f t="shared" si="8"/>
        <v>0.22340700000000002</v>
      </c>
      <c r="M123" s="4">
        <f t="shared" si="8"/>
        <v>0.19890449999999998</v>
      </c>
      <c r="N123" s="4">
        <f t="shared" si="8"/>
        <v>0.21672450000000001</v>
      </c>
      <c r="O123" s="4">
        <f t="shared" si="8"/>
        <v>0.2211795</v>
      </c>
      <c r="P123" s="4">
        <f t="shared" si="8"/>
        <v>0.18331200000000003</v>
      </c>
      <c r="Q123" s="4">
        <f t="shared" si="8"/>
        <v>0.14989949999999999</v>
      </c>
      <c r="R123" s="4">
        <f t="shared" si="8"/>
        <v>0.147672</v>
      </c>
      <c r="S123" s="4">
        <f t="shared" si="8"/>
        <v>0.18821250000000003</v>
      </c>
    </row>
    <row r="124" spans="9:19" x14ac:dyDescent="0.25">
      <c r="I124">
        <v>64</v>
      </c>
      <c r="J124" s="4">
        <f t="shared" ref="J124:S124" si="9">IF(J96&lt;0,"",J96/100)</f>
        <v>0.27463949999999998</v>
      </c>
      <c r="K124" s="4">
        <f t="shared" si="9"/>
        <v>0.25013699999999994</v>
      </c>
      <c r="L124" s="4">
        <f t="shared" si="9"/>
        <v>0.2122695</v>
      </c>
      <c r="M124" s="4">
        <f t="shared" si="9"/>
        <v>0.22340700000000002</v>
      </c>
      <c r="N124" s="4">
        <f t="shared" si="9"/>
        <v>0.24568199999999998</v>
      </c>
      <c r="O124" s="4">
        <f t="shared" si="9"/>
        <v>0.2211795</v>
      </c>
      <c r="P124" s="4">
        <f t="shared" si="9"/>
        <v>0.19667699999999996</v>
      </c>
      <c r="Q124" s="4">
        <f t="shared" si="9"/>
        <v>0.12316949999999999</v>
      </c>
      <c r="R124" s="4">
        <f t="shared" si="9"/>
        <v>0.12094200000000001</v>
      </c>
      <c r="S124" s="4">
        <f t="shared" si="9"/>
        <v>0.17351100000000003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E80E-F15F-4B8D-B603-960B3FFB62F3}">
  <dimension ref="A1:T124"/>
  <sheetViews>
    <sheetView topLeftCell="D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10308</v>
      </c>
      <c r="F1">
        <v>0</v>
      </c>
      <c r="G1">
        <v>10</v>
      </c>
      <c r="H1">
        <v>1826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9</v>
      </c>
      <c r="G18">
        <v>14</v>
      </c>
      <c r="H18">
        <v>6</v>
      </c>
      <c r="I18">
        <v>31</v>
      </c>
      <c r="J18">
        <v>1.02</v>
      </c>
      <c r="K18">
        <v>1.1000000000000001</v>
      </c>
      <c r="L18">
        <v>1.2</v>
      </c>
      <c r="M18">
        <v>1.38</v>
      </c>
      <c r="N18">
        <v>1.18</v>
      </c>
      <c r="O18">
        <v>1.17</v>
      </c>
      <c r="P18">
        <v>1.23</v>
      </c>
      <c r="Q18">
        <v>1.19</v>
      </c>
      <c r="R18">
        <v>1.18</v>
      </c>
      <c r="S18">
        <v>1.06</v>
      </c>
      <c r="T18">
        <v>3722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9</v>
      </c>
      <c r="G19">
        <v>14</v>
      </c>
      <c r="H19">
        <v>6</v>
      </c>
      <c r="I19">
        <v>43</v>
      </c>
      <c r="J19">
        <v>1.23</v>
      </c>
      <c r="K19">
        <v>1.26</v>
      </c>
      <c r="L19">
        <v>1.07</v>
      </c>
      <c r="M19">
        <v>0.93</v>
      </c>
      <c r="N19">
        <v>0.86</v>
      </c>
      <c r="O19">
        <v>0.86</v>
      </c>
      <c r="P19">
        <v>0.87</v>
      </c>
      <c r="Q19">
        <v>1.06</v>
      </c>
      <c r="R19">
        <v>1.1200000000000001</v>
      </c>
      <c r="S19">
        <v>0.88</v>
      </c>
      <c r="T19">
        <v>3756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9</v>
      </c>
      <c r="G20">
        <v>14</v>
      </c>
      <c r="H20">
        <v>6</v>
      </c>
      <c r="I20">
        <v>40</v>
      </c>
      <c r="J20">
        <v>1.17</v>
      </c>
      <c r="K20">
        <v>1.1200000000000001</v>
      </c>
      <c r="L20">
        <v>1.17</v>
      </c>
      <c r="M20">
        <v>1.29</v>
      </c>
      <c r="N20">
        <v>1.24</v>
      </c>
      <c r="O20">
        <v>1.03</v>
      </c>
      <c r="P20">
        <v>0.95</v>
      </c>
      <c r="Q20">
        <v>0.94</v>
      </c>
      <c r="R20">
        <v>1.05</v>
      </c>
      <c r="S20">
        <v>0.94</v>
      </c>
      <c r="T20">
        <v>3738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9</v>
      </c>
      <c r="G21">
        <v>14</v>
      </c>
      <c r="H21">
        <v>6</v>
      </c>
      <c r="I21">
        <v>53</v>
      </c>
      <c r="J21">
        <v>1.38</v>
      </c>
      <c r="K21">
        <v>1.35</v>
      </c>
      <c r="L21">
        <v>1.36</v>
      </c>
      <c r="M21">
        <v>1.31</v>
      </c>
      <c r="N21">
        <v>1.1599999999999999</v>
      </c>
      <c r="O21">
        <v>1.0900000000000001</v>
      </c>
      <c r="P21">
        <v>1.17</v>
      </c>
      <c r="Q21">
        <v>1.1599999999999999</v>
      </c>
      <c r="R21">
        <v>1.03</v>
      </c>
      <c r="S21">
        <v>0.98</v>
      </c>
      <c r="T21">
        <v>3742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9</v>
      </c>
      <c r="G22">
        <v>14</v>
      </c>
      <c r="H22">
        <v>7</v>
      </c>
      <c r="I22">
        <v>0</v>
      </c>
      <c r="J22">
        <v>0.8</v>
      </c>
      <c r="K22">
        <v>0.66</v>
      </c>
      <c r="L22">
        <v>0.62</v>
      </c>
      <c r="M22">
        <v>0.61</v>
      </c>
      <c r="N22">
        <v>0.59</v>
      </c>
      <c r="O22">
        <v>0.59</v>
      </c>
      <c r="P22">
        <v>0.62</v>
      </c>
      <c r="Q22">
        <v>0.7</v>
      </c>
      <c r="R22">
        <v>0.82</v>
      </c>
      <c r="S22">
        <v>0.94</v>
      </c>
      <c r="T22">
        <v>3743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9</v>
      </c>
      <c r="G23">
        <v>14</v>
      </c>
      <c r="H23">
        <v>7</v>
      </c>
      <c r="I23">
        <v>4</v>
      </c>
      <c r="J23">
        <v>1.22</v>
      </c>
      <c r="K23">
        <v>1.22</v>
      </c>
      <c r="L23">
        <v>1.39</v>
      </c>
      <c r="M23">
        <v>1.4</v>
      </c>
      <c r="N23">
        <v>1.21</v>
      </c>
      <c r="O23">
        <v>0.88</v>
      </c>
      <c r="P23">
        <v>0.83</v>
      </c>
      <c r="Q23">
        <v>0.9</v>
      </c>
      <c r="R23">
        <v>1.04</v>
      </c>
      <c r="S23">
        <v>0.96</v>
      </c>
      <c r="T23">
        <v>3740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9</v>
      </c>
      <c r="G24">
        <v>14</v>
      </c>
      <c r="H24">
        <v>7</v>
      </c>
      <c r="I24">
        <v>0</v>
      </c>
      <c r="J24">
        <v>1.38</v>
      </c>
      <c r="K24">
        <v>1.3</v>
      </c>
      <c r="L24">
        <v>1.28</v>
      </c>
      <c r="M24">
        <v>1.33</v>
      </c>
      <c r="N24">
        <v>1.26</v>
      </c>
      <c r="O24">
        <v>1.0900000000000001</v>
      </c>
      <c r="P24">
        <v>0.9</v>
      </c>
      <c r="Q24">
        <v>1.0900000000000001</v>
      </c>
      <c r="R24">
        <v>1.1599999999999999</v>
      </c>
      <c r="S24">
        <v>1.06</v>
      </c>
      <c r="T24">
        <v>3741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9</v>
      </c>
      <c r="G25">
        <v>14</v>
      </c>
      <c r="H25">
        <v>7</v>
      </c>
      <c r="I25">
        <v>12</v>
      </c>
      <c r="J25">
        <v>1.45</v>
      </c>
      <c r="K25">
        <v>1.29</v>
      </c>
      <c r="L25">
        <v>1.3</v>
      </c>
      <c r="M25">
        <v>1.26</v>
      </c>
      <c r="N25">
        <v>1.1599999999999999</v>
      </c>
      <c r="O25">
        <v>1.1299999999999999</v>
      </c>
      <c r="P25">
        <v>1.02</v>
      </c>
      <c r="Q25">
        <v>1.18</v>
      </c>
      <c r="R25">
        <v>1.1200000000000001</v>
      </c>
      <c r="S25">
        <v>1.01</v>
      </c>
      <c r="T25">
        <v>3721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9</v>
      </c>
      <c r="G26">
        <v>14</v>
      </c>
      <c r="H26">
        <v>7</v>
      </c>
      <c r="I26">
        <v>16</v>
      </c>
      <c r="J26">
        <v>1.64</v>
      </c>
      <c r="K26">
        <v>1.39</v>
      </c>
      <c r="L26">
        <v>1.37</v>
      </c>
      <c r="M26">
        <v>1.37</v>
      </c>
      <c r="N26">
        <v>1.3</v>
      </c>
      <c r="O26">
        <v>1.17</v>
      </c>
      <c r="P26">
        <v>0.94</v>
      </c>
      <c r="Q26">
        <v>0.91</v>
      </c>
      <c r="R26">
        <v>0.92</v>
      </c>
      <c r="S26">
        <v>0.97</v>
      </c>
      <c r="T26">
        <v>3766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9</v>
      </c>
      <c r="G27">
        <v>14</v>
      </c>
      <c r="H27">
        <v>7</v>
      </c>
      <c r="I27">
        <v>20</v>
      </c>
      <c r="J27">
        <v>1.1200000000000001</v>
      </c>
      <c r="K27">
        <v>1.06</v>
      </c>
      <c r="L27">
        <v>0.95</v>
      </c>
      <c r="M27">
        <v>0.9</v>
      </c>
      <c r="N27">
        <v>0.87</v>
      </c>
      <c r="O27">
        <v>0.84</v>
      </c>
      <c r="P27">
        <v>0.85</v>
      </c>
      <c r="Q27">
        <v>1.01</v>
      </c>
      <c r="R27">
        <v>1.1000000000000001</v>
      </c>
      <c r="S27">
        <v>1.05</v>
      </c>
      <c r="T27">
        <v>3735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9</v>
      </c>
      <c r="G28">
        <v>14</v>
      </c>
      <c r="H28">
        <v>7</v>
      </c>
      <c r="I28">
        <v>26</v>
      </c>
      <c r="J28">
        <v>1.1100000000000001</v>
      </c>
      <c r="K28">
        <v>1.1200000000000001</v>
      </c>
      <c r="L28">
        <v>1.32</v>
      </c>
      <c r="M28">
        <v>1.4</v>
      </c>
      <c r="N28">
        <v>1.34</v>
      </c>
      <c r="O28">
        <v>1.18</v>
      </c>
      <c r="P28">
        <v>1.25</v>
      </c>
      <c r="Q28">
        <v>1.17</v>
      </c>
      <c r="R28">
        <v>1.19</v>
      </c>
      <c r="S28">
        <v>1.1000000000000001</v>
      </c>
      <c r="T28">
        <v>3722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9</v>
      </c>
      <c r="G29">
        <v>14</v>
      </c>
      <c r="H29">
        <v>7</v>
      </c>
      <c r="I29">
        <v>31</v>
      </c>
      <c r="J29">
        <v>0.9</v>
      </c>
      <c r="K29">
        <v>0.95</v>
      </c>
      <c r="L29">
        <v>1.2</v>
      </c>
      <c r="M29">
        <v>1.33</v>
      </c>
      <c r="N29">
        <v>1.35</v>
      </c>
      <c r="O29">
        <v>1.31</v>
      </c>
      <c r="P29">
        <v>1.18</v>
      </c>
      <c r="Q29">
        <v>1.1499999999999999</v>
      </c>
      <c r="R29">
        <v>1.03</v>
      </c>
      <c r="S29">
        <v>0.9</v>
      </c>
      <c r="T29">
        <v>3728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9</v>
      </c>
      <c r="G30">
        <v>14</v>
      </c>
      <c r="H30">
        <v>7</v>
      </c>
      <c r="I30">
        <v>35</v>
      </c>
      <c r="J30">
        <v>1.01</v>
      </c>
      <c r="K30">
        <v>1.06</v>
      </c>
      <c r="L30">
        <v>1.4</v>
      </c>
      <c r="M30">
        <v>1.38</v>
      </c>
      <c r="N30">
        <v>1.42</v>
      </c>
      <c r="O30">
        <v>1.3</v>
      </c>
      <c r="P30">
        <v>1.23</v>
      </c>
      <c r="Q30">
        <v>1.06</v>
      </c>
      <c r="R30">
        <v>0.84</v>
      </c>
      <c r="S30">
        <v>0.86</v>
      </c>
      <c r="T30">
        <v>3730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9</v>
      </c>
      <c r="G31">
        <v>14</v>
      </c>
      <c r="H31">
        <v>7</v>
      </c>
      <c r="I31">
        <v>31</v>
      </c>
      <c r="J31">
        <v>1.25</v>
      </c>
      <c r="K31">
        <v>1.25</v>
      </c>
      <c r="L31">
        <v>1.34</v>
      </c>
      <c r="M31">
        <v>1.1299999999999999</v>
      </c>
      <c r="N31">
        <v>1.19</v>
      </c>
      <c r="O31">
        <v>1.1000000000000001</v>
      </c>
      <c r="P31">
        <v>1.1000000000000001</v>
      </c>
      <c r="Q31">
        <v>0.96</v>
      </c>
      <c r="R31">
        <v>0.95</v>
      </c>
      <c r="S31">
        <v>0.93</v>
      </c>
      <c r="T31">
        <v>3732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9</v>
      </c>
      <c r="G32">
        <v>14</v>
      </c>
      <c r="H32">
        <v>7</v>
      </c>
      <c r="I32">
        <v>43</v>
      </c>
      <c r="J32">
        <v>1.18</v>
      </c>
      <c r="K32">
        <v>1.2</v>
      </c>
      <c r="L32">
        <v>1.33</v>
      </c>
      <c r="M32">
        <v>1.27</v>
      </c>
      <c r="N32">
        <v>1.35</v>
      </c>
      <c r="O32">
        <v>1.08</v>
      </c>
      <c r="P32">
        <v>0.93</v>
      </c>
      <c r="Q32">
        <v>0.95</v>
      </c>
      <c r="R32">
        <v>1.02</v>
      </c>
      <c r="S32">
        <v>1.03</v>
      </c>
      <c r="T32">
        <v>3728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9</v>
      </c>
      <c r="G33">
        <v>14</v>
      </c>
      <c r="H33">
        <v>7</v>
      </c>
      <c r="I33">
        <v>47</v>
      </c>
      <c r="J33">
        <v>1.17</v>
      </c>
      <c r="K33">
        <v>1.28</v>
      </c>
      <c r="L33">
        <v>1.53</v>
      </c>
      <c r="M33">
        <v>1.41</v>
      </c>
      <c r="N33">
        <v>1.43</v>
      </c>
      <c r="O33">
        <v>1.35</v>
      </c>
      <c r="P33">
        <v>1.19</v>
      </c>
      <c r="Q33">
        <v>0.95</v>
      </c>
      <c r="R33">
        <v>1.0900000000000001</v>
      </c>
      <c r="S33">
        <v>1.03</v>
      </c>
      <c r="T33">
        <v>3700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9</v>
      </c>
      <c r="G34">
        <v>14</v>
      </c>
      <c r="H34">
        <v>7</v>
      </c>
      <c r="I34">
        <v>51</v>
      </c>
      <c r="J34">
        <v>1.46</v>
      </c>
      <c r="K34">
        <v>1.44</v>
      </c>
      <c r="L34">
        <v>1.42</v>
      </c>
      <c r="M34">
        <v>1.44</v>
      </c>
      <c r="N34">
        <v>1.32</v>
      </c>
      <c r="O34">
        <v>1.19</v>
      </c>
      <c r="P34">
        <v>1.17</v>
      </c>
      <c r="Q34">
        <v>1.06</v>
      </c>
      <c r="R34">
        <v>1.1299999999999999</v>
      </c>
      <c r="S34">
        <v>1.1000000000000001</v>
      </c>
      <c r="T34">
        <v>3688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9</v>
      </c>
      <c r="G35">
        <v>14</v>
      </c>
      <c r="H35">
        <v>7</v>
      </c>
      <c r="I35">
        <v>55</v>
      </c>
      <c r="J35">
        <v>1.39</v>
      </c>
      <c r="K35">
        <v>1.32</v>
      </c>
      <c r="L35">
        <v>1.49</v>
      </c>
      <c r="M35">
        <v>1.52</v>
      </c>
      <c r="N35">
        <v>1.51</v>
      </c>
      <c r="O35">
        <v>1.37</v>
      </c>
      <c r="P35">
        <v>1.38</v>
      </c>
      <c r="Q35">
        <v>1.1499999999999999</v>
      </c>
      <c r="R35">
        <v>1.1200000000000001</v>
      </c>
      <c r="S35">
        <v>1.0900000000000001</v>
      </c>
      <c r="T35">
        <v>3707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9</v>
      </c>
      <c r="G36">
        <v>14</v>
      </c>
      <c r="H36">
        <v>7</v>
      </c>
      <c r="I36">
        <v>51</v>
      </c>
      <c r="J36">
        <v>1.35</v>
      </c>
      <c r="K36">
        <v>1.29</v>
      </c>
      <c r="L36">
        <v>1.41</v>
      </c>
      <c r="M36">
        <v>1.51</v>
      </c>
      <c r="N36">
        <v>1.41</v>
      </c>
      <c r="O36">
        <v>1.33</v>
      </c>
      <c r="P36">
        <v>1.21</v>
      </c>
      <c r="Q36">
        <v>0.9</v>
      </c>
      <c r="R36">
        <v>0.83</v>
      </c>
      <c r="S36">
        <v>0.88</v>
      </c>
      <c r="T36">
        <v>3697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9</v>
      </c>
      <c r="G37">
        <v>14</v>
      </c>
      <c r="H37">
        <v>8</v>
      </c>
      <c r="I37">
        <v>3</v>
      </c>
      <c r="J37">
        <v>1.28</v>
      </c>
      <c r="K37">
        <v>1.29</v>
      </c>
      <c r="L37">
        <v>1.25</v>
      </c>
      <c r="M37">
        <v>1.37</v>
      </c>
      <c r="N37">
        <v>1.36</v>
      </c>
      <c r="O37">
        <v>1.24</v>
      </c>
      <c r="P37">
        <v>1.1100000000000001</v>
      </c>
      <c r="Q37">
        <v>0.99</v>
      </c>
      <c r="R37">
        <v>0.88</v>
      </c>
      <c r="S37">
        <v>0.86</v>
      </c>
      <c r="T37">
        <v>3717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9</v>
      </c>
      <c r="G38">
        <v>14</v>
      </c>
      <c r="H38">
        <v>8</v>
      </c>
      <c r="I38">
        <v>0</v>
      </c>
      <c r="J38">
        <v>1.46</v>
      </c>
      <c r="K38">
        <v>1.38</v>
      </c>
      <c r="L38">
        <v>1.24</v>
      </c>
      <c r="M38">
        <v>1.27</v>
      </c>
      <c r="N38">
        <v>1.36</v>
      </c>
      <c r="O38">
        <v>1.22</v>
      </c>
      <c r="P38">
        <v>1.1200000000000001</v>
      </c>
      <c r="Q38">
        <v>0.84</v>
      </c>
      <c r="R38">
        <v>0.81</v>
      </c>
      <c r="S38">
        <v>0.9</v>
      </c>
      <c r="T38">
        <v>3692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9</v>
      </c>
      <c r="G39">
        <v>14</v>
      </c>
      <c r="H39">
        <v>8</v>
      </c>
      <c r="I39">
        <v>12</v>
      </c>
      <c r="J39">
        <v>1.43</v>
      </c>
      <c r="K39">
        <v>1.35</v>
      </c>
      <c r="L39">
        <v>1.24</v>
      </c>
      <c r="M39">
        <v>1.1599999999999999</v>
      </c>
      <c r="N39">
        <v>1.21</v>
      </c>
      <c r="O39">
        <v>1.27</v>
      </c>
      <c r="P39">
        <v>1.0900000000000001</v>
      </c>
      <c r="Q39">
        <v>0.89</v>
      </c>
      <c r="R39">
        <v>0.89</v>
      </c>
      <c r="S39">
        <v>0.94</v>
      </c>
      <c r="T39">
        <v>3706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9</v>
      </c>
      <c r="G40">
        <v>14</v>
      </c>
      <c r="H40">
        <v>8</v>
      </c>
      <c r="I40">
        <v>16</v>
      </c>
      <c r="J40">
        <v>1.21</v>
      </c>
      <c r="K40">
        <v>1.25</v>
      </c>
      <c r="L40">
        <v>1.34</v>
      </c>
      <c r="M40">
        <v>1.05</v>
      </c>
      <c r="N40">
        <v>0.94</v>
      </c>
      <c r="O40">
        <v>0.99</v>
      </c>
      <c r="P40">
        <v>0.92</v>
      </c>
      <c r="Q40">
        <v>0.88</v>
      </c>
      <c r="R40">
        <v>0.98</v>
      </c>
      <c r="S40">
        <v>1</v>
      </c>
      <c r="T40">
        <v>3706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9</v>
      </c>
      <c r="G41">
        <v>14</v>
      </c>
      <c r="H41">
        <v>8</v>
      </c>
      <c r="I41">
        <v>20</v>
      </c>
      <c r="J41">
        <v>1.18</v>
      </c>
      <c r="K41">
        <v>0.98</v>
      </c>
      <c r="L41">
        <v>1.03</v>
      </c>
      <c r="M41">
        <v>1.18</v>
      </c>
      <c r="N41">
        <v>1.25</v>
      </c>
      <c r="O41">
        <v>1.01</v>
      </c>
      <c r="P41">
        <v>0.98</v>
      </c>
      <c r="Q41">
        <v>0.95</v>
      </c>
      <c r="R41">
        <v>1.03</v>
      </c>
      <c r="S41">
        <v>0.91</v>
      </c>
      <c r="T41">
        <v>3692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9</v>
      </c>
      <c r="G45">
        <v>14</v>
      </c>
      <c r="H45">
        <v>6</v>
      </c>
      <c r="I45">
        <v>31</v>
      </c>
      <c r="J45">
        <v>1.02</v>
      </c>
      <c r="K45">
        <v>1.1000000000000001</v>
      </c>
      <c r="L45">
        <v>1.2</v>
      </c>
      <c r="M45">
        <v>1.38</v>
      </c>
      <c r="N45">
        <v>1.18</v>
      </c>
      <c r="O45">
        <v>1.17</v>
      </c>
      <c r="P45">
        <v>1.23</v>
      </c>
      <c r="Q45">
        <v>1.19</v>
      </c>
      <c r="R45">
        <v>1.18</v>
      </c>
      <c r="S45">
        <v>1.06</v>
      </c>
      <c r="T45">
        <v>3722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9</v>
      </c>
      <c r="G46">
        <v>14</v>
      </c>
      <c r="H46">
        <v>6</v>
      </c>
      <c r="I46">
        <v>43</v>
      </c>
      <c r="J46">
        <v>1.23</v>
      </c>
      <c r="K46">
        <v>1.26</v>
      </c>
      <c r="L46">
        <v>1.07</v>
      </c>
      <c r="M46">
        <v>0.93</v>
      </c>
      <c r="N46">
        <v>0.86</v>
      </c>
      <c r="O46">
        <v>0.86</v>
      </c>
      <c r="P46">
        <v>0.87</v>
      </c>
      <c r="Q46">
        <v>1.06</v>
      </c>
      <c r="R46">
        <v>1.1200000000000001</v>
      </c>
      <c r="S46">
        <v>0.88</v>
      </c>
      <c r="T46">
        <v>3756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9</v>
      </c>
      <c r="G47">
        <v>14</v>
      </c>
      <c r="H47">
        <v>6</v>
      </c>
      <c r="I47">
        <v>40</v>
      </c>
      <c r="J47">
        <v>1.17</v>
      </c>
      <c r="K47">
        <v>1.1200000000000001</v>
      </c>
      <c r="L47">
        <v>1.17</v>
      </c>
      <c r="M47">
        <v>1.29</v>
      </c>
      <c r="N47">
        <v>1.24</v>
      </c>
      <c r="O47">
        <v>1.03</v>
      </c>
      <c r="P47">
        <v>0.95</v>
      </c>
      <c r="Q47">
        <v>0.94</v>
      </c>
      <c r="R47">
        <v>1.05</v>
      </c>
      <c r="S47">
        <v>0.94</v>
      </c>
      <c r="T47">
        <v>3738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9</v>
      </c>
      <c r="G48">
        <v>14</v>
      </c>
      <c r="H48">
        <v>6</v>
      </c>
      <c r="I48">
        <v>53</v>
      </c>
      <c r="J48">
        <v>1.38</v>
      </c>
      <c r="K48">
        <v>1.35</v>
      </c>
      <c r="L48">
        <v>1.36</v>
      </c>
      <c r="M48">
        <v>1.31</v>
      </c>
      <c r="N48">
        <v>1.1599999999999999</v>
      </c>
      <c r="O48">
        <v>1.0900000000000001</v>
      </c>
      <c r="P48">
        <v>1.17</v>
      </c>
      <c r="Q48">
        <v>1.1599999999999999</v>
      </c>
      <c r="R48">
        <v>1.03</v>
      </c>
      <c r="S48">
        <v>0.98</v>
      </c>
      <c r="T48">
        <v>3742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9</v>
      </c>
      <c r="G49">
        <v>14</v>
      </c>
      <c r="H49">
        <v>7</v>
      </c>
      <c r="I49">
        <v>12</v>
      </c>
      <c r="J49">
        <v>1.45</v>
      </c>
      <c r="K49">
        <v>1.29</v>
      </c>
      <c r="L49">
        <v>1.3</v>
      </c>
      <c r="M49">
        <v>1.26</v>
      </c>
      <c r="N49">
        <v>1.1599999999999999</v>
      </c>
      <c r="O49">
        <v>1.1299999999999999</v>
      </c>
      <c r="P49">
        <v>1.02</v>
      </c>
      <c r="Q49">
        <v>1.18</v>
      </c>
      <c r="R49">
        <v>1.1200000000000001</v>
      </c>
      <c r="S49">
        <v>1.01</v>
      </c>
      <c r="T49">
        <v>3721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9</v>
      </c>
      <c r="G50">
        <v>14</v>
      </c>
      <c r="H50">
        <v>7</v>
      </c>
      <c r="I50">
        <v>0</v>
      </c>
      <c r="J50">
        <v>1.38</v>
      </c>
      <c r="K50">
        <v>1.3</v>
      </c>
      <c r="L50">
        <v>1.28</v>
      </c>
      <c r="M50">
        <v>1.33</v>
      </c>
      <c r="N50">
        <v>1.26</v>
      </c>
      <c r="O50">
        <v>1.0900000000000001</v>
      </c>
      <c r="P50">
        <v>0.9</v>
      </c>
      <c r="Q50">
        <v>1.0900000000000001</v>
      </c>
      <c r="R50">
        <v>1.1599999999999999</v>
      </c>
      <c r="S50">
        <v>1.06</v>
      </c>
      <c r="T50">
        <v>3741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9</v>
      </c>
      <c r="G51">
        <v>14</v>
      </c>
      <c r="H51">
        <v>7</v>
      </c>
      <c r="I51">
        <v>4</v>
      </c>
      <c r="J51">
        <v>1.22</v>
      </c>
      <c r="K51">
        <v>1.22</v>
      </c>
      <c r="L51">
        <v>1.39</v>
      </c>
      <c r="M51">
        <v>1.4</v>
      </c>
      <c r="N51">
        <v>1.21</v>
      </c>
      <c r="O51">
        <v>0.88</v>
      </c>
      <c r="P51">
        <v>0.83</v>
      </c>
      <c r="Q51">
        <v>0.9</v>
      </c>
      <c r="R51">
        <v>1.04</v>
      </c>
      <c r="S51">
        <v>0.96</v>
      </c>
      <c r="T51">
        <v>3740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9</v>
      </c>
      <c r="G52">
        <v>14</v>
      </c>
      <c r="H52">
        <v>7</v>
      </c>
      <c r="I52">
        <v>0</v>
      </c>
      <c r="J52">
        <v>0.8</v>
      </c>
      <c r="K52">
        <v>0.66</v>
      </c>
      <c r="L52">
        <v>0.62</v>
      </c>
      <c r="M52">
        <v>0.61</v>
      </c>
      <c r="N52">
        <v>0.59</v>
      </c>
      <c r="O52">
        <v>0.59</v>
      </c>
      <c r="P52">
        <v>0.62</v>
      </c>
      <c r="Q52">
        <v>0.7</v>
      </c>
      <c r="R52">
        <v>0.82</v>
      </c>
      <c r="S52">
        <v>0.94</v>
      </c>
      <c r="T52">
        <v>3743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9</v>
      </c>
      <c r="G53">
        <v>14</v>
      </c>
      <c r="H53">
        <v>7</v>
      </c>
      <c r="I53">
        <v>16</v>
      </c>
      <c r="J53">
        <v>1.64</v>
      </c>
      <c r="K53">
        <v>1.39</v>
      </c>
      <c r="L53">
        <v>1.37</v>
      </c>
      <c r="M53">
        <v>1.37</v>
      </c>
      <c r="N53">
        <v>1.3</v>
      </c>
      <c r="O53">
        <v>1.17</v>
      </c>
      <c r="P53">
        <v>0.94</v>
      </c>
      <c r="Q53">
        <v>0.91</v>
      </c>
      <c r="R53">
        <v>0.92</v>
      </c>
      <c r="S53">
        <v>0.97</v>
      </c>
      <c r="T53">
        <v>3766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9</v>
      </c>
      <c r="G54">
        <v>14</v>
      </c>
      <c r="H54">
        <v>7</v>
      </c>
      <c r="I54">
        <v>20</v>
      </c>
      <c r="J54">
        <v>1.1200000000000001</v>
      </c>
      <c r="K54">
        <v>1.06</v>
      </c>
      <c r="L54">
        <v>0.95</v>
      </c>
      <c r="M54">
        <v>0.9</v>
      </c>
      <c r="N54">
        <v>0.87</v>
      </c>
      <c r="O54">
        <v>0.84</v>
      </c>
      <c r="P54">
        <v>0.85</v>
      </c>
      <c r="Q54">
        <v>1.01</v>
      </c>
      <c r="R54">
        <v>1.1000000000000001</v>
      </c>
      <c r="S54">
        <v>1.05</v>
      </c>
      <c r="T54">
        <v>3735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9</v>
      </c>
      <c r="G55">
        <v>14</v>
      </c>
      <c r="H55">
        <v>7</v>
      </c>
      <c r="I55">
        <v>26</v>
      </c>
      <c r="J55">
        <v>1.1100000000000001</v>
      </c>
      <c r="K55">
        <v>1.1200000000000001</v>
      </c>
      <c r="L55">
        <v>1.32</v>
      </c>
      <c r="M55">
        <v>1.4</v>
      </c>
      <c r="N55">
        <v>1.34</v>
      </c>
      <c r="O55">
        <v>1.18</v>
      </c>
      <c r="P55">
        <v>1.25</v>
      </c>
      <c r="Q55">
        <v>1.17</v>
      </c>
      <c r="R55">
        <v>1.19</v>
      </c>
      <c r="S55">
        <v>1.1000000000000001</v>
      </c>
      <c r="T55">
        <v>3722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9</v>
      </c>
      <c r="G56">
        <v>14</v>
      </c>
      <c r="H56">
        <v>7</v>
      </c>
      <c r="I56">
        <v>31</v>
      </c>
      <c r="J56">
        <v>0.9</v>
      </c>
      <c r="K56">
        <v>0.95</v>
      </c>
      <c r="L56">
        <v>1.2</v>
      </c>
      <c r="M56">
        <v>1.33</v>
      </c>
      <c r="N56">
        <v>1.35</v>
      </c>
      <c r="O56">
        <v>1.31</v>
      </c>
      <c r="P56">
        <v>1.18</v>
      </c>
      <c r="Q56">
        <v>1.1499999999999999</v>
      </c>
      <c r="R56">
        <v>1.03</v>
      </c>
      <c r="S56">
        <v>0.9</v>
      </c>
      <c r="T56">
        <v>3728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9</v>
      </c>
      <c r="G57">
        <v>14</v>
      </c>
      <c r="H57">
        <v>7</v>
      </c>
      <c r="I57">
        <v>47</v>
      </c>
      <c r="J57">
        <v>1.17</v>
      </c>
      <c r="K57">
        <v>1.28</v>
      </c>
      <c r="L57">
        <v>1.53</v>
      </c>
      <c r="M57">
        <v>1.41</v>
      </c>
      <c r="N57">
        <v>1.43</v>
      </c>
      <c r="O57">
        <v>1.35</v>
      </c>
      <c r="P57">
        <v>1.19</v>
      </c>
      <c r="Q57">
        <v>0.95</v>
      </c>
      <c r="R57">
        <v>1.0900000000000001</v>
      </c>
      <c r="S57">
        <v>1.03</v>
      </c>
      <c r="T57">
        <v>3700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9</v>
      </c>
      <c r="G58">
        <v>14</v>
      </c>
      <c r="H58">
        <v>7</v>
      </c>
      <c r="I58">
        <v>43</v>
      </c>
      <c r="J58">
        <v>1.18</v>
      </c>
      <c r="K58">
        <v>1.2</v>
      </c>
      <c r="L58">
        <v>1.33</v>
      </c>
      <c r="M58">
        <v>1.27</v>
      </c>
      <c r="N58">
        <v>1.35</v>
      </c>
      <c r="O58">
        <v>1.08</v>
      </c>
      <c r="P58">
        <v>0.93</v>
      </c>
      <c r="Q58">
        <v>0.95</v>
      </c>
      <c r="R58">
        <v>1.02</v>
      </c>
      <c r="S58">
        <v>1.03</v>
      </c>
      <c r="T58">
        <v>3728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9</v>
      </c>
      <c r="G59">
        <v>14</v>
      </c>
      <c r="H59">
        <v>7</v>
      </c>
      <c r="I59">
        <v>31</v>
      </c>
      <c r="J59">
        <v>1.25</v>
      </c>
      <c r="K59">
        <v>1.25</v>
      </c>
      <c r="L59">
        <v>1.34</v>
      </c>
      <c r="M59">
        <v>1.1299999999999999</v>
      </c>
      <c r="N59">
        <v>1.19</v>
      </c>
      <c r="O59">
        <v>1.1000000000000001</v>
      </c>
      <c r="P59">
        <v>1.1000000000000001</v>
      </c>
      <c r="Q59">
        <v>0.96</v>
      </c>
      <c r="R59">
        <v>0.95</v>
      </c>
      <c r="S59">
        <v>0.93</v>
      </c>
      <c r="T59">
        <v>3732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9</v>
      </c>
      <c r="G60">
        <v>14</v>
      </c>
      <c r="H60">
        <v>7</v>
      </c>
      <c r="I60">
        <v>35</v>
      </c>
      <c r="J60">
        <v>1.01</v>
      </c>
      <c r="K60">
        <v>1.06</v>
      </c>
      <c r="L60">
        <v>1.4</v>
      </c>
      <c r="M60">
        <v>1.38</v>
      </c>
      <c r="N60">
        <v>1.42</v>
      </c>
      <c r="O60">
        <v>1.3</v>
      </c>
      <c r="P60">
        <v>1.23</v>
      </c>
      <c r="Q60">
        <v>1.06</v>
      </c>
      <c r="R60">
        <v>0.84</v>
      </c>
      <c r="S60">
        <v>0.86</v>
      </c>
      <c r="T60">
        <v>3730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9</v>
      </c>
      <c r="G61">
        <v>14</v>
      </c>
      <c r="H61">
        <v>7</v>
      </c>
      <c r="I61">
        <v>51</v>
      </c>
      <c r="J61">
        <v>1.46</v>
      </c>
      <c r="K61">
        <v>1.44</v>
      </c>
      <c r="L61">
        <v>1.42</v>
      </c>
      <c r="M61">
        <v>1.44</v>
      </c>
      <c r="N61">
        <v>1.32</v>
      </c>
      <c r="O61">
        <v>1.19</v>
      </c>
      <c r="P61">
        <v>1.17</v>
      </c>
      <c r="Q61">
        <v>1.06</v>
      </c>
      <c r="R61">
        <v>1.1299999999999999</v>
      </c>
      <c r="S61">
        <v>1.1000000000000001</v>
      </c>
      <c r="T61">
        <v>3688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9</v>
      </c>
      <c r="G62">
        <v>14</v>
      </c>
      <c r="H62">
        <v>7</v>
      </c>
      <c r="I62">
        <v>55</v>
      </c>
      <c r="J62">
        <v>1.39</v>
      </c>
      <c r="K62">
        <v>1.32</v>
      </c>
      <c r="L62">
        <v>1.49</v>
      </c>
      <c r="M62">
        <v>1.52</v>
      </c>
      <c r="N62">
        <v>1.51</v>
      </c>
      <c r="O62">
        <v>1.37</v>
      </c>
      <c r="P62">
        <v>1.38</v>
      </c>
      <c r="Q62">
        <v>1.1499999999999999</v>
      </c>
      <c r="R62">
        <v>1.1200000000000001</v>
      </c>
      <c r="S62">
        <v>1.0900000000000001</v>
      </c>
      <c r="T62">
        <v>3707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9</v>
      </c>
      <c r="G63">
        <v>14</v>
      </c>
      <c r="H63">
        <v>7</v>
      </c>
      <c r="I63">
        <v>51</v>
      </c>
      <c r="J63">
        <v>1.35</v>
      </c>
      <c r="K63">
        <v>1.29</v>
      </c>
      <c r="L63">
        <v>1.41</v>
      </c>
      <c r="M63">
        <v>1.51</v>
      </c>
      <c r="N63">
        <v>1.41</v>
      </c>
      <c r="O63">
        <v>1.33</v>
      </c>
      <c r="P63">
        <v>1.21</v>
      </c>
      <c r="Q63">
        <v>0.9</v>
      </c>
      <c r="R63">
        <v>0.83</v>
      </c>
      <c r="S63">
        <v>0.88</v>
      </c>
      <c r="T63">
        <v>3697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9</v>
      </c>
      <c r="G64">
        <v>14</v>
      </c>
      <c r="H64">
        <v>8</v>
      </c>
      <c r="I64">
        <v>3</v>
      </c>
      <c r="J64">
        <v>1.28</v>
      </c>
      <c r="K64">
        <v>1.29</v>
      </c>
      <c r="L64">
        <v>1.25</v>
      </c>
      <c r="M64">
        <v>1.37</v>
      </c>
      <c r="N64">
        <v>1.36</v>
      </c>
      <c r="O64">
        <v>1.24</v>
      </c>
      <c r="P64">
        <v>1.1100000000000001</v>
      </c>
      <c r="Q64">
        <v>0.99</v>
      </c>
      <c r="R64">
        <v>0.88</v>
      </c>
      <c r="S64">
        <v>0.86</v>
      </c>
      <c r="T64">
        <v>3717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9</v>
      </c>
      <c r="G65">
        <v>14</v>
      </c>
      <c r="H65">
        <v>8</v>
      </c>
      <c r="I65">
        <v>20</v>
      </c>
      <c r="J65">
        <v>1.18</v>
      </c>
      <c r="K65">
        <v>0.98</v>
      </c>
      <c r="L65">
        <v>1.03</v>
      </c>
      <c r="M65">
        <v>1.18</v>
      </c>
      <c r="N65">
        <v>1.25</v>
      </c>
      <c r="O65">
        <v>1.01</v>
      </c>
      <c r="P65">
        <v>0.98</v>
      </c>
      <c r="Q65">
        <v>0.95</v>
      </c>
      <c r="R65">
        <v>1.03</v>
      </c>
      <c r="S65">
        <v>0.91</v>
      </c>
      <c r="T65">
        <v>3692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9</v>
      </c>
      <c r="G66">
        <v>14</v>
      </c>
      <c r="H66">
        <v>8</v>
      </c>
      <c r="I66">
        <v>16</v>
      </c>
      <c r="J66">
        <v>1.21</v>
      </c>
      <c r="K66">
        <v>1.25</v>
      </c>
      <c r="L66">
        <v>1.34</v>
      </c>
      <c r="M66">
        <v>1.05</v>
      </c>
      <c r="N66">
        <v>0.94</v>
      </c>
      <c r="O66">
        <v>0.99</v>
      </c>
      <c r="P66">
        <v>0.92</v>
      </c>
      <c r="Q66">
        <v>0.88</v>
      </c>
      <c r="R66">
        <v>0.98</v>
      </c>
      <c r="S66">
        <v>1</v>
      </c>
      <c r="T66">
        <v>3706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9</v>
      </c>
      <c r="G67">
        <v>14</v>
      </c>
      <c r="H67">
        <v>8</v>
      </c>
      <c r="I67">
        <v>12</v>
      </c>
      <c r="J67">
        <v>1.43</v>
      </c>
      <c r="K67">
        <v>1.35</v>
      </c>
      <c r="L67">
        <v>1.24</v>
      </c>
      <c r="M67">
        <v>1.1599999999999999</v>
      </c>
      <c r="N67">
        <v>1.21</v>
      </c>
      <c r="O67">
        <v>1.27</v>
      </c>
      <c r="P67">
        <v>1.0900000000000001</v>
      </c>
      <c r="Q67">
        <v>0.89</v>
      </c>
      <c r="R67">
        <v>0.89</v>
      </c>
      <c r="S67">
        <v>0.94</v>
      </c>
      <c r="T67">
        <v>3706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9</v>
      </c>
      <c r="G68">
        <v>14</v>
      </c>
      <c r="H68">
        <v>8</v>
      </c>
      <c r="I68">
        <v>0</v>
      </c>
      <c r="J68">
        <v>1.46</v>
      </c>
      <c r="K68">
        <v>1.38</v>
      </c>
      <c r="L68">
        <v>1.24</v>
      </c>
      <c r="M68">
        <v>1.27</v>
      </c>
      <c r="N68">
        <v>1.36</v>
      </c>
      <c r="O68">
        <v>1.22</v>
      </c>
      <c r="P68">
        <v>1.1200000000000001</v>
      </c>
      <c r="Q68">
        <v>0.84</v>
      </c>
      <c r="R68">
        <v>0.81</v>
      </c>
      <c r="S68">
        <v>0.9</v>
      </c>
      <c r="T68">
        <v>3692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16.549199999999999</v>
      </c>
      <c r="K73">
        <f t="shared" ref="K73:R73" si="0">22.275*K45-6.1713</f>
        <v>18.331200000000003</v>
      </c>
      <c r="L73">
        <f t="shared" si="0"/>
        <v>20.558699999999998</v>
      </c>
      <c r="M73">
        <f t="shared" si="0"/>
        <v>24.568199999999997</v>
      </c>
      <c r="N73">
        <f t="shared" si="0"/>
        <v>20.113199999999999</v>
      </c>
      <c r="O73">
        <f t="shared" si="0"/>
        <v>19.890449999999998</v>
      </c>
      <c r="P73">
        <f t="shared" si="0"/>
        <v>21.226949999999999</v>
      </c>
      <c r="Q73">
        <f t="shared" si="0"/>
        <v>20.335949999999997</v>
      </c>
      <c r="R73">
        <f t="shared" si="0"/>
        <v>20.113199999999999</v>
      </c>
      <c r="S73">
        <f>22.275*(S45*1.1)-6.1713</f>
        <v>19.801350000000003</v>
      </c>
    </row>
    <row r="74" spans="1:20" x14ac:dyDescent="0.25">
      <c r="I74" t="s">
        <v>43</v>
      </c>
      <c r="J74">
        <f t="shared" ref="J74:R89" si="1">22.275*J46-6.1713</f>
        <v>21.226949999999999</v>
      </c>
      <c r="K74">
        <f t="shared" si="1"/>
        <v>21.895199999999999</v>
      </c>
      <c r="L74">
        <f t="shared" si="1"/>
        <v>17.662950000000002</v>
      </c>
      <c r="M74">
        <f t="shared" si="1"/>
        <v>14.544450000000001</v>
      </c>
      <c r="N74">
        <f t="shared" si="1"/>
        <v>12.985199999999999</v>
      </c>
      <c r="O74">
        <f t="shared" si="1"/>
        <v>12.985199999999999</v>
      </c>
      <c r="P74">
        <f t="shared" si="1"/>
        <v>13.20795</v>
      </c>
      <c r="Q74">
        <f t="shared" si="1"/>
        <v>17.440200000000001</v>
      </c>
      <c r="R74">
        <f t="shared" si="1"/>
        <v>18.776700000000002</v>
      </c>
      <c r="S74">
        <f t="shared" ref="S74:S91" si="2">22.275*(S46*1.1)-6.1713</f>
        <v>15.390900000000002</v>
      </c>
    </row>
    <row r="75" spans="1:20" x14ac:dyDescent="0.25">
      <c r="I75" t="s">
        <v>44</v>
      </c>
      <c r="J75">
        <f t="shared" si="1"/>
        <v>19.890449999999998</v>
      </c>
      <c r="K75">
        <f t="shared" si="1"/>
        <v>18.776700000000002</v>
      </c>
      <c r="L75">
        <f t="shared" si="1"/>
        <v>19.890449999999998</v>
      </c>
      <c r="M75">
        <f t="shared" si="1"/>
        <v>22.56345</v>
      </c>
      <c r="N75">
        <f t="shared" si="1"/>
        <v>21.4497</v>
      </c>
      <c r="O75">
        <f t="shared" si="1"/>
        <v>16.77195</v>
      </c>
      <c r="P75">
        <f t="shared" si="1"/>
        <v>14.98995</v>
      </c>
      <c r="Q75">
        <f t="shared" si="1"/>
        <v>14.767199999999999</v>
      </c>
      <c r="R75">
        <f t="shared" si="1"/>
        <v>17.217449999999999</v>
      </c>
      <c r="S75">
        <f t="shared" si="2"/>
        <v>16.861049999999999</v>
      </c>
    </row>
    <row r="76" spans="1:20" x14ac:dyDescent="0.25">
      <c r="I76" t="s">
        <v>45</v>
      </c>
      <c r="J76">
        <f t="shared" si="1"/>
        <v>24.568199999999997</v>
      </c>
      <c r="K76">
        <f t="shared" si="1"/>
        <v>23.89995</v>
      </c>
      <c r="L76">
        <f t="shared" si="1"/>
        <v>24.122700000000002</v>
      </c>
      <c r="M76">
        <f t="shared" si="1"/>
        <v>23.008950000000002</v>
      </c>
      <c r="N76">
        <f t="shared" si="1"/>
        <v>19.667699999999996</v>
      </c>
      <c r="O76">
        <f t="shared" si="1"/>
        <v>18.108450000000001</v>
      </c>
      <c r="P76">
        <f t="shared" si="1"/>
        <v>19.890449999999998</v>
      </c>
      <c r="Q76">
        <f t="shared" si="1"/>
        <v>19.667699999999996</v>
      </c>
      <c r="R76">
        <f t="shared" si="1"/>
        <v>16.77195</v>
      </c>
      <c r="S76">
        <f t="shared" si="2"/>
        <v>17.841150000000003</v>
      </c>
    </row>
    <row r="77" spans="1:20" x14ac:dyDescent="0.25">
      <c r="I77" t="s">
        <v>46</v>
      </c>
      <c r="J77">
        <f t="shared" si="1"/>
        <v>26.12745</v>
      </c>
      <c r="K77">
        <f t="shared" si="1"/>
        <v>22.56345</v>
      </c>
      <c r="L77">
        <f t="shared" si="1"/>
        <v>22.786200000000001</v>
      </c>
      <c r="M77">
        <f t="shared" si="1"/>
        <v>21.895199999999999</v>
      </c>
      <c r="N77">
        <f t="shared" si="1"/>
        <v>19.667699999999996</v>
      </c>
      <c r="O77">
        <f t="shared" si="1"/>
        <v>18.999449999999996</v>
      </c>
      <c r="P77">
        <f t="shared" si="1"/>
        <v>16.549199999999999</v>
      </c>
      <c r="Q77">
        <f t="shared" si="1"/>
        <v>20.113199999999999</v>
      </c>
      <c r="R77">
        <f t="shared" si="1"/>
        <v>18.776700000000002</v>
      </c>
      <c r="S77">
        <f t="shared" si="2"/>
        <v>18.576225000000004</v>
      </c>
    </row>
    <row r="78" spans="1:20" x14ac:dyDescent="0.25">
      <c r="I78" t="s">
        <v>47</v>
      </c>
      <c r="J78">
        <f t="shared" si="1"/>
        <v>24.568199999999997</v>
      </c>
      <c r="K78">
        <f t="shared" si="1"/>
        <v>22.786200000000001</v>
      </c>
      <c r="L78">
        <f t="shared" si="1"/>
        <v>22.340700000000002</v>
      </c>
      <c r="M78">
        <f t="shared" si="1"/>
        <v>23.454450000000001</v>
      </c>
      <c r="N78">
        <f t="shared" si="1"/>
        <v>21.895199999999999</v>
      </c>
      <c r="O78">
        <f t="shared" si="1"/>
        <v>18.108450000000001</v>
      </c>
      <c r="P78">
        <f t="shared" si="1"/>
        <v>13.876200000000001</v>
      </c>
      <c r="Q78">
        <f t="shared" si="1"/>
        <v>18.108450000000001</v>
      </c>
      <c r="R78">
        <f t="shared" si="1"/>
        <v>19.667699999999996</v>
      </c>
      <c r="S78">
        <f t="shared" si="2"/>
        <v>19.801350000000003</v>
      </c>
    </row>
    <row r="79" spans="1:20" x14ac:dyDescent="0.25">
      <c r="I79" t="s">
        <v>48</v>
      </c>
      <c r="J79">
        <f t="shared" si="1"/>
        <v>21.004199999999997</v>
      </c>
      <c r="K79">
        <f t="shared" si="1"/>
        <v>21.004199999999997</v>
      </c>
      <c r="L79">
        <f t="shared" si="1"/>
        <v>24.790949999999999</v>
      </c>
      <c r="M79">
        <f t="shared" si="1"/>
        <v>25.013699999999996</v>
      </c>
      <c r="N79">
        <f t="shared" si="1"/>
        <v>20.78145</v>
      </c>
      <c r="O79">
        <f t="shared" si="1"/>
        <v>13.430700000000002</v>
      </c>
      <c r="P79">
        <f t="shared" si="1"/>
        <v>12.316949999999999</v>
      </c>
      <c r="Q79">
        <f t="shared" si="1"/>
        <v>13.876200000000001</v>
      </c>
      <c r="R79">
        <f t="shared" si="1"/>
        <v>16.994700000000002</v>
      </c>
      <c r="S79">
        <f t="shared" si="2"/>
        <v>17.351100000000002</v>
      </c>
    </row>
    <row r="80" spans="1:20" x14ac:dyDescent="0.25">
      <c r="I80" t="s">
        <v>49</v>
      </c>
      <c r="J80">
        <f t="shared" si="1"/>
        <v>11.648700000000002</v>
      </c>
      <c r="K80">
        <f t="shared" si="1"/>
        <v>8.5302000000000007</v>
      </c>
      <c r="L80">
        <f t="shared" si="1"/>
        <v>7.6391999999999998</v>
      </c>
      <c r="M80">
        <f t="shared" si="1"/>
        <v>7.4164499999999984</v>
      </c>
      <c r="N80">
        <f t="shared" si="1"/>
        <v>6.9709499999999993</v>
      </c>
      <c r="O80">
        <f t="shared" si="1"/>
        <v>6.9709499999999993</v>
      </c>
      <c r="P80">
        <f t="shared" si="1"/>
        <v>7.6391999999999998</v>
      </c>
      <c r="Q80">
        <f t="shared" si="1"/>
        <v>9.4211999999999989</v>
      </c>
      <c r="R80">
        <f t="shared" si="1"/>
        <v>12.094200000000001</v>
      </c>
      <c r="S80">
        <f t="shared" si="2"/>
        <v>16.861049999999999</v>
      </c>
    </row>
    <row r="81" spans="9:19" x14ac:dyDescent="0.25">
      <c r="I81" t="s">
        <v>50</v>
      </c>
      <c r="J81">
        <f t="shared" si="1"/>
        <v>30.3597</v>
      </c>
      <c r="K81">
        <f t="shared" si="1"/>
        <v>24.790949999999999</v>
      </c>
      <c r="L81">
        <f t="shared" si="1"/>
        <v>24.345450000000003</v>
      </c>
      <c r="M81">
        <f t="shared" si="1"/>
        <v>24.345450000000003</v>
      </c>
      <c r="N81">
        <f t="shared" si="1"/>
        <v>22.786200000000001</v>
      </c>
      <c r="O81">
        <f t="shared" si="1"/>
        <v>19.890449999999998</v>
      </c>
      <c r="P81">
        <f t="shared" si="1"/>
        <v>14.767199999999999</v>
      </c>
      <c r="Q81">
        <f t="shared" si="1"/>
        <v>14.098950000000002</v>
      </c>
      <c r="R81">
        <f t="shared" si="1"/>
        <v>14.3217</v>
      </c>
      <c r="S81">
        <f t="shared" si="2"/>
        <v>17.596124999999997</v>
      </c>
    </row>
    <row r="82" spans="9:19" x14ac:dyDescent="0.25">
      <c r="I82" t="s">
        <v>51</v>
      </c>
      <c r="J82">
        <f t="shared" si="1"/>
        <v>18.776700000000002</v>
      </c>
      <c r="K82">
        <f t="shared" si="1"/>
        <v>17.440200000000001</v>
      </c>
      <c r="L82">
        <f t="shared" si="1"/>
        <v>14.98995</v>
      </c>
      <c r="M82">
        <f t="shared" si="1"/>
        <v>13.876200000000001</v>
      </c>
      <c r="N82">
        <f t="shared" si="1"/>
        <v>13.20795</v>
      </c>
      <c r="O82">
        <f t="shared" si="1"/>
        <v>12.5397</v>
      </c>
      <c r="P82">
        <f t="shared" si="1"/>
        <v>12.762450000000001</v>
      </c>
      <c r="Q82">
        <f t="shared" si="1"/>
        <v>16.326450000000001</v>
      </c>
      <c r="R82">
        <f t="shared" si="1"/>
        <v>18.331200000000003</v>
      </c>
      <c r="S82">
        <f t="shared" si="2"/>
        <v>19.556325000000005</v>
      </c>
    </row>
    <row r="83" spans="9:19" x14ac:dyDescent="0.25">
      <c r="I83" t="s">
        <v>52</v>
      </c>
      <c r="J83">
        <f t="shared" si="1"/>
        <v>18.55395</v>
      </c>
      <c r="K83">
        <f t="shared" si="1"/>
        <v>18.776700000000002</v>
      </c>
      <c r="L83">
        <f t="shared" si="1"/>
        <v>23.2317</v>
      </c>
      <c r="M83">
        <f t="shared" si="1"/>
        <v>25.013699999999996</v>
      </c>
      <c r="N83">
        <f t="shared" si="1"/>
        <v>23.677200000000003</v>
      </c>
      <c r="O83">
        <f t="shared" si="1"/>
        <v>20.113199999999999</v>
      </c>
      <c r="P83">
        <f t="shared" si="1"/>
        <v>21.672450000000001</v>
      </c>
      <c r="Q83">
        <f t="shared" si="1"/>
        <v>19.890449999999998</v>
      </c>
      <c r="R83">
        <f t="shared" si="1"/>
        <v>20.335949999999997</v>
      </c>
      <c r="S83">
        <f t="shared" si="2"/>
        <v>20.781450000000003</v>
      </c>
    </row>
    <row r="84" spans="9:19" x14ac:dyDescent="0.25">
      <c r="I84" t="s">
        <v>53</v>
      </c>
      <c r="J84">
        <f t="shared" si="1"/>
        <v>13.876200000000001</v>
      </c>
      <c r="K84">
        <f t="shared" si="1"/>
        <v>14.98995</v>
      </c>
      <c r="L84">
        <f t="shared" si="1"/>
        <v>20.558699999999998</v>
      </c>
      <c r="M84">
        <f t="shared" si="1"/>
        <v>23.454450000000001</v>
      </c>
      <c r="N84">
        <f t="shared" si="1"/>
        <v>23.89995</v>
      </c>
      <c r="O84">
        <f t="shared" si="1"/>
        <v>23.008950000000002</v>
      </c>
      <c r="P84">
        <f t="shared" si="1"/>
        <v>20.113199999999999</v>
      </c>
      <c r="Q84">
        <f t="shared" si="1"/>
        <v>19.444949999999999</v>
      </c>
      <c r="R84">
        <f t="shared" si="1"/>
        <v>16.77195</v>
      </c>
      <c r="S84">
        <f t="shared" si="2"/>
        <v>15.880950000000002</v>
      </c>
    </row>
    <row r="85" spans="9:19" x14ac:dyDescent="0.25">
      <c r="I85" t="s">
        <v>54</v>
      </c>
      <c r="J85">
        <f t="shared" si="1"/>
        <v>19.890449999999998</v>
      </c>
      <c r="K85">
        <f t="shared" si="1"/>
        <v>22.340700000000002</v>
      </c>
      <c r="L85">
        <f t="shared" si="1"/>
        <v>27.909450000000003</v>
      </c>
      <c r="M85">
        <f t="shared" si="1"/>
        <v>25.236449999999998</v>
      </c>
      <c r="N85">
        <f t="shared" si="1"/>
        <v>25.681949999999997</v>
      </c>
      <c r="O85">
        <f t="shared" si="1"/>
        <v>23.89995</v>
      </c>
      <c r="P85">
        <f t="shared" si="1"/>
        <v>20.335949999999997</v>
      </c>
      <c r="Q85">
        <f t="shared" si="1"/>
        <v>14.98995</v>
      </c>
      <c r="R85">
        <f t="shared" si="1"/>
        <v>18.108450000000001</v>
      </c>
      <c r="S85">
        <f t="shared" si="2"/>
        <v>19.066275000000005</v>
      </c>
    </row>
    <row r="86" spans="9:19" x14ac:dyDescent="0.25">
      <c r="I86" t="s">
        <v>55</v>
      </c>
      <c r="J86">
        <f t="shared" si="1"/>
        <v>20.113199999999999</v>
      </c>
      <c r="K86">
        <f t="shared" si="1"/>
        <v>20.558699999999998</v>
      </c>
      <c r="L86">
        <f t="shared" si="1"/>
        <v>23.454450000000001</v>
      </c>
      <c r="M86">
        <f t="shared" si="1"/>
        <v>22.11795</v>
      </c>
      <c r="N86">
        <f t="shared" si="1"/>
        <v>23.89995</v>
      </c>
      <c r="O86">
        <f t="shared" si="1"/>
        <v>17.8857</v>
      </c>
      <c r="P86">
        <f t="shared" si="1"/>
        <v>14.544450000000001</v>
      </c>
      <c r="Q86">
        <f t="shared" si="1"/>
        <v>14.98995</v>
      </c>
      <c r="R86">
        <f t="shared" si="1"/>
        <v>16.549199999999999</v>
      </c>
      <c r="S86">
        <f t="shared" si="2"/>
        <v>19.066275000000005</v>
      </c>
    </row>
    <row r="87" spans="9:19" x14ac:dyDescent="0.25">
      <c r="I87" t="s">
        <v>56</v>
      </c>
      <c r="J87">
        <f t="shared" si="1"/>
        <v>21.672450000000001</v>
      </c>
      <c r="K87">
        <f t="shared" si="1"/>
        <v>21.672450000000001</v>
      </c>
      <c r="L87">
        <f t="shared" si="1"/>
        <v>23.677200000000003</v>
      </c>
      <c r="M87">
        <f t="shared" si="1"/>
        <v>18.999449999999996</v>
      </c>
      <c r="N87">
        <f t="shared" si="1"/>
        <v>20.335949999999997</v>
      </c>
      <c r="O87">
        <f t="shared" si="1"/>
        <v>18.331200000000003</v>
      </c>
      <c r="P87">
        <f t="shared" si="1"/>
        <v>18.331200000000003</v>
      </c>
      <c r="Q87">
        <f t="shared" si="1"/>
        <v>15.212699999999998</v>
      </c>
      <c r="R87">
        <f t="shared" si="1"/>
        <v>14.98995</v>
      </c>
      <c r="S87">
        <f t="shared" si="2"/>
        <v>16.616025000000004</v>
      </c>
    </row>
    <row r="88" spans="9:19" x14ac:dyDescent="0.25">
      <c r="I88" t="s">
        <v>57</v>
      </c>
      <c r="J88">
        <f t="shared" si="1"/>
        <v>16.326450000000001</v>
      </c>
      <c r="K88">
        <f t="shared" si="1"/>
        <v>17.440200000000001</v>
      </c>
      <c r="L88">
        <f t="shared" si="1"/>
        <v>25.013699999999996</v>
      </c>
      <c r="M88">
        <f t="shared" si="1"/>
        <v>24.568199999999997</v>
      </c>
      <c r="N88">
        <f t="shared" si="1"/>
        <v>25.459199999999999</v>
      </c>
      <c r="O88">
        <f t="shared" si="1"/>
        <v>22.786200000000001</v>
      </c>
      <c r="P88">
        <f t="shared" si="1"/>
        <v>21.226949999999999</v>
      </c>
      <c r="Q88">
        <f t="shared" si="1"/>
        <v>17.440200000000001</v>
      </c>
      <c r="R88">
        <f t="shared" si="1"/>
        <v>12.5397</v>
      </c>
      <c r="S88">
        <f t="shared" si="2"/>
        <v>14.900850000000002</v>
      </c>
    </row>
    <row r="89" spans="9:19" x14ac:dyDescent="0.25">
      <c r="I89" t="s">
        <v>58</v>
      </c>
      <c r="J89">
        <f t="shared" si="1"/>
        <v>26.350199999999997</v>
      </c>
      <c r="K89">
        <f t="shared" si="1"/>
        <v>25.904699999999995</v>
      </c>
      <c r="L89">
        <f t="shared" si="1"/>
        <v>25.459199999999999</v>
      </c>
      <c r="M89">
        <f t="shared" si="1"/>
        <v>25.904699999999995</v>
      </c>
      <c r="N89">
        <f t="shared" si="1"/>
        <v>23.2317</v>
      </c>
      <c r="O89">
        <f t="shared" si="1"/>
        <v>20.335949999999997</v>
      </c>
      <c r="P89">
        <f t="shared" si="1"/>
        <v>19.890449999999998</v>
      </c>
      <c r="Q89">
        <f t="shared" si="1"/>
        <v>17.440200000000001</v>
      </c>
      <c r="R89">
        <f t="shared" si="1"/>
        <v>18.999449999999996</v>
      </c>
      <c r="S89">
        <f t="shared" si="2"/>
        <v>20.781450000000003</v>
      </c>
    </row>
    <row r="90" spans="9:19" x14ac:dyDescent="0.25">
      <c r="I90" t="s">
        <v>59</v>
      </c>
      <c r="J90">
        <f t="shared" ref="J90:R96" si="3">22.275*J62-6.1713</f>
        <v>24.790949999999999</v>
      </c>
      <c r="K90">
        <f t="shared" si="3"/>
        <v>23.2317</v>
      </c>
      <c r="L90">
        <f t="shared" si="3"/>
        <v>27.018449999999998</v>
      </c>
      <c r="M90">
        <f t="shared" si="3"/>
        <v>27.686699999999998</v>
      </c>
      <c r="N90">
        <f t="shared" si="3"/>
        <v>27.463950000000001</v>
      </c>
      <c r="O90">
        <f t="shared" si="3"/>
        <v>24.345450000000003</v>
      </c>
      <c r="P90">
        <f t="shared" si="3"/>
        <v>24.568199999999997</v>
      </c>
      <c r="Q90">
        <f t="shared" si="3"/>
        <v>19.444949999999999</v>
      </c>
      <c r="R90">
        <f t="shared" si="3"/>
        <v>18.776700000000002</v>
      </c>
      <c r="S90">
        <f t="shared" si="2"/>
        <v>20.536425000000005</v>
      </c>
    </row>
    <row r="91" spans="9:19" x14ac:dyDescent="0.25">
      <c r="I91" t="s">
        <v>60</v>
      </c>
      <c r="J91">
        <f t="shared" si="3"/>
        <v>23.89995</v>
      </c>
      <c r="K91">
        <f t="shared" si="3"/>
        <v>22.56345</v>
      </c>
      <c r="L91">
        <f t="shared" si="3"/>
        <v>25.236449999999998</v>
      </c>
      <c r="M91">
        <f t="shared" si="3"/>
        <v>27.463950000000001</v>
      </c>
      <c r="N91">
        <f t="shared" si="3"/>
        <v>25.236449999999998</v>
      </c>
      <c r="O91">
        <f t="shared" si="3"/>
        <v>23.454450000000001</v>
      </c>
      <c r="P91">
        <f t="shared" si="3"/>
        <v>20.78145</v>
      </c>
      <c r="Q91">
        <f t="shared" si="3"/>
        <v>13.876200000000001</v>
      </c>
      <c r="R91">
        <f t="shared" si="3"/>
        <v>12.316949999999999</v>
      </c>
      <c r="S91">
        <f t="shared" si="2"/>
        <v>15.390900000000002</v>
      </c>
    </row>
    <row r="92" spans="9:19" x14ac:dyDescent="0.25">
      <c r="I92" t="s">
        <v>61</v>
      </c>
      <c r="J92">
        <f t="shared" si="3"/>
        <v>22.340700000000002</v>
      </c>
      <c r="K92">
        <f t="shared" si="3"/>
        <v>22.56345</v>
      </c>
      <c r="L92">
        <f t="shared" si="3"/>
        <v>21.672450000000001</v>
      </c>
      <c r="M92">
        <f t="shared" si="3"/>
        <v>24.345450000000003</v>
      </c>
      <c r="N92">
        <f t="shared" si="3"/>
        <v>24.122700000000002</v>
      </c>
      <c r="O92">
        <f t="shared" si="3"/>
        <v>21.4497</v>
      </c>
      <c r="P92">
        <f t="shared" si="3"/>
        <v>18.55395</v>
      </c>
      <c r="Q92">
        <f t="shared" si="3"/>
        <v>15.880949999999999</v>
      </c>
      <c r="R92">
        <f t="shared" si="3"/>
        <v>13.430700000000002</v>
      </c>
      <c r="S92">
        <f>22.275*(S64*1.1)-6.1713</f>
        <v>14.900850000000002</v>
      </c>
    </row>
    <row r="93" spans="9:19" x14ac:dyDescent="0.25">
      <c r="I93" t="s">
        <v>62</v>
      </c>
      <c r="J93">
        <f t="shared" si="3"/>
        <v>20.113199999999999</v>
      </c>
      <c r="K93">
        <f t="shared" si="3"/>
        <v>15.658200000000001</v>
      </c>
      <c r="L93">
        <f t="shared" si="3"/>
        <v>16.77195</v>
      </c>
      <c r="M93">
        <f t="shared" si="3"/>
        <v>20.113199999999999</v>
      </c>
      <c r="N93">
        <f t="shared" si="3"/>
        <v>21.672450000000001</v>
      </c>
      <c r="O93">
        <f t="shared" si="3"/>
        <v>16.326450000000001</v>
      </c>
      <c r="P93">
        <f t="shared" si="3"/>
        <v>15.658200000000001</v>
      </c>
      <c r="Q93">
        <f t="shared" si="3"/>
        <v>14.98995</v>
      </c>
      <c r="R93">
        <f t="shared" si="3"/>
        <v>16.77195</v>
      </c>
      <c r="S93">
        <f t="shared" ref="S93:S95" si="4">22.275*(S65*1.1)-6.1713</f>
        <v>16.125975000000004</v>
      </c>
    </row>
    <row r="94" spans="9:19" x14ac:dyDescent="0.25">
      <c r="I94" t="s">
        <v>63</v>
      </c>
      <c r="J94">
        <f t="shared" si="3"/>
        <v>20.78145</v>
      </c>
      <c r="K94">
        <f t="shared" si="3"/>
        <v>21.672450000000001</v>
      </c>
      <c r="L94">
        <f t="shared" si="3"/>
        <v>23.677200000000003</v>
      </c>
      <c r="M94">
        <f t="shared" si="3"/>
        <v>17.217449999999999</v>
      </c>
      <c r="N94">
        <f t="shared" si="3"/>
        <v>14.767199999999999</v>
      </c>
      <c r="O94">
        <f t="shared" si="3"/>
        <v>15.880949999999999</v>
      </c>
      <c r="P94">
        <f t="shared" si="3"/>
        <v>14.3217</v>
      </c>
      <c r="Q94">
        <f t="shared" si="3"/>
        <v>13.430700000000002</v>
      </c>
      <c r="R94">
        <f t="shared" si="3"/>
        <v>15.658200000000001</v>
      </c>
      <c r="S94">
        <f t="shared" si="4"/>
        <v>18.331200000000003</v>
      </c>
    </row>
    <row r="95" spans="9:19" x14ac:dyDescent="0.25">
      <c r="I95" t="s">
        <v>64</v>
      </c>
      <c r="J95">
        <f t="shared" si="3"/>
        <v>25.681949999999997</v>
      </c>
      <c r="K95">
        <f t="shared" si="3"/>
        <v>23.89995</v>
      </c>
      <c r="L95">
        <f t="shared" si="3"/>
        <v>21.4497</v>
      </c>
      <c r="M95">
        <f t="shared" si="3"/>
        <v>19.667699999999996</v>
      </c>
      <c r="N95">
        <f t="shared" si="3"/>
        <v>20.78145</v>
      </c>
      <c r="O95">
        <f t="shared" si="3"/>
        <v>22.11795</v>
      </c>
      <c r="P95">
        <f t="shared" si="3"/>
        <v>18.108450000000001</v>
      </c>
      <c r="Q95">
        <f t="shared" si="3"/>
        <v>13.653449999999999</v>
      </c>
      <c r="R95">
        <f t="shared" si="3"/>
        <v>13.653449999999999</v>
      </c>
      <c r="S95">
        <f t="shared" si="4"/>
        <v>16.861049999999999</v>
      </c>
    </row>
    <row r="96" spans="9:19" x14ac:dyDescent="0.25">
      <c r="I96" t="s">
        <v>65</v>
      </c>
      <c r="J96">
        <f>22.275*J68-6.1713</f>
        <v>26.350199999999997</v>
      </c>
      <c r="K96">
        <f t="shared" si="3"/>
        <v>24.568199999999997</v>
      </c>
      <c r="L96">
        <f t="shared" si="3"/>
        <v>21.4497</v>
      </c>
      <c r="M96">
        <f t="shared" si="3"/>
        <v>22.11795</v>
      </c>
      <c r="N96">
        <f t="shared" si="3"/>
        <v>24.122700000000002</v>
      </c>
      <c r="O96">
        <f t="shared" si="3"/>
        <v>21.004199999999997</v>
      </c>
      <c r="P96">
        <f t="shared" si="3"/>
        <v>18.776700000000002</v>
      </c>
      <c r="Q96">
        <f t="shared" si="3"/>
        <v>12.5397</v>
      </c>
      <c r="R96">
        <f t="shared" si="3"/>
        <v>11.871450000000003</v>
      </c>
      <c r="S96">
        <f>22.275*(S68*1.1)-6.1713</f>
        <v>15.880950000000002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0.165492</v>
      </c>
      <c r="K101" s="4">
        <f t="shared" si="5"/>
        <v>0.18331200000000003</v>
      </c>
      <c r="L101" s="4">
        <f t="shared" si="5"/>
        <v>0.20558699999999999</v>
      </c>
      <c r="M101" s="4">
        <f t="shared" si="5"/>
        <v>0.24568199999999998</v>
      </c>
      <c r="N101" s="4">
        <f t="shared" si="5"/>
        <v>0.20113199999999998</v>
      </c>
      <c r="O101" s="4">
        <f t="shared" si="5"/>
        <v>0.19890449999999998</v>
      </c>
      <c r="P101" s="4">
        <f t="shared" si="5"/>
        <v>0.2122695</v>
      </c>
      <c r="Q101" s="4">
        <f t="shared" si="5"/>
        <v>0.20335949999999997</v>
      </c>
      <c r="R101" s="4">
        <f t="shared" si="5"/>
        <v>0.20113199999999998</v>
      </c>
      <c r="S101" s="4">
        <f t="shared" si="5"/>
        <v>0.19801350000000004</v>
      </c>
    </row>
    <row r="102" spans="9:19" x14ac:dyDescent="0.25">
      <c r="I102">
        <v>12</v>
      </c>
      <c r="J102" s="4">
        <f t="shared" ref="J102:S115" si="6">IF(J74&lt;0,"",J74/100)</f>
        <v>0.2122695</v>
      </c>
      <c r="K102" s="4">
        <f t="shared" si="6"/>
        <v>0.21895199999999998</v>
      </c>
      <c r="L102" s="4">
        <f t="shared" si="6"/>
        <v>0.17662950000000002</v>
      </c>
      <c r="M102" s="4">
        <f t="shared" si="6"/>
        <v>0.1454445</v>
      </c>
      <c r="N102" s="4">
        <f t="shared" si="6"/>
        <v>0.129852</v>
      </c>
      <c r="O102" s="4">
        <f t="shared" si="6"/>
        <v>0.129852</v>
      </c>
      <c r="P102" s="4">
        <f t="shared" si="6"/>
        <v>0.13207950000000002</v>
      </c>
      <c r="Q102" s="4">
        <f t="shared" si="6"/>
        <v>0.174402</v>
      </c>
      <c r="R102" s="4">
        <f t="shared" si="6"/>
        <v>0.18776700000000002</v>
      </c>
      <c r="S102" s="4">
        <f t="shared" si="6"/>
        <v>0.15390900000000002</v>
      </c>
    </row>
    <row r="103" spans="9:19" x14ac:dyDescent="0.25">
      <c r="I103">
        <v>13</v>
      </c>
      <c r="J103" s="4">
        <f t="shared" si="6"/>
        <v>0.19890449999999998</v>
      </c>
      <c r="K103" s="4">
        <f t="shared" si="6"/>
        <v>0.18776700000000002</v>
      </c>
      <c r="L103" s="4">
        <f t="shared" si="6"/>
        <v>0.19890449999999998</v>
      </c>
      <c r="M103" s="4">
        <f t="shared" si="6"/>
        <v>0.22563449999999999</v>
      </c>
      <c r="N103" s="4">
        <f t="shared" si="6"/>
        <v>0.21449699999999999</v>
      </c>
      <c r="O103" s="4">
        <f t="shared" si="6"/>
        <v>0.16771949999999999</v>
      </c>
      <c r="P103" s="4">
        <f t="shared" si="6"/>
        <v>0.14989949999999999</v>
      </c>
      <c r="Q103" s="4">
        <f t="shared" si="6"/>
        <v>0.147672</v>
      </c>
      <c r="R103" s="4">
        <f t="shared" si="6"/>
        <v>0.17217450000000001</v>
      </c>
      <c r="S103" s="4">
        <f t="shared" si="6"/>
        <v>0.1686105</v>
      </c>
    </row>
    <row r="104" spans="9:19" x14ac:dyDescent="0.25">
      <c r="I104">
        <v>14</v>
      </c>
      <c r="J104" s="4">
        <f t="shared" si="6"/>
        <v>0.24568199999999998</v>
      </c>
      <c r="K104" s="4">
        <f t="shared" si="6"/>
        <v>0.2389995</v>
      </c>
      <c r="L104" s="4">
        <f t="shared" si="6"/>
        <v>0.24122700000000002</v>
      </c>
      <c r="M104" s="4">
        <f t="shared" si="6"/>
        <v>0.23008950000000003</v>
      </c>
      <c r="N104" s="4">
        <f t="shared" si="6"/>
        <v>0.19667699999999996</v>
      </c>
      <c r="O104" s="4">
        <f t="shared" si="6"/>
        <v>0.18108450000000001</v>
      </c>
      <c r="P104" s="4">
        <f t="shared" si="6"/>
        <v>0.19890449999999998</v>
      </c>
      <c r="Q104" s="4">
        <f t="shared" si="6"/>
        <v>0.19667699999999996</v>
      </c>
      <c r="R104" s="4">
        <f t="shared" si="6"/>
        <v>0.16771949999999999</v>
      </c>
      <c r="S104" s="4">
        <f t="shared" si="6"/>
        <v>0.17841150000000003</v>
      </c>
    </row>
    <row r="105" spans="9:19" x14ac:dyDescent="0.25">
      <c r="I105">
        <v>21</v>
      </c>
      <c r="J105" s="4">
        <f t="shared" si="6"/>
        <v>0.26127450000000002</v>
      </c>
      <c r="K105" s="4">
        <f t="shared" si="6"/>
        <v>0.22563449999999999</v>
      </c>
      <c r="L105" s="4">
        <f t="shared" si="6"/>
        <v>0.22786200000000001</v>
      </c>
      <c r="M105" s="4">
        <f t="shared" si="6"/>
        <v>0.21895199999999998</v>
      </c>
      <c r="N105" s="4">
        <f t="shared" si="6"/>
        <v>0.19667699999999996</v>
      </c>
      <c r="O105" s="4">
        <f t="shared" si="6"/>
        <v>0.18999449999999996</v>
      </c>
      <c r="P105" s="4">
        <f t="shared" si="6"/>
        <v>0.165492</v>
      </c>
      <c r="Q105" s="4">
        <f t="shared" si="6"/>
        <v>0.20113199999999998</v>
      </c>
      <c r="R105" s="4">
        <f t="shared" si="6"/>
        <v>0.18776700000000002</v>
      </c>
      <c r="S105" s="4">
        <f t="shared" si="6"/>
        <v>0.18576225000000005</v>
      </c>
    </row>
    <row r="106" spans="9:19" x14ac:dyDescent="0.25">
      <c r="I106">
        <v>22</v>
      </c>
      <c r="J106" s="4">
        <f t="shared" si="6"/>
        <v>0.24568199999999998</v>
      </c>
      <c r="K106" s="4">
        <f t="shared" si="6"/>
        <v>0.22786200000000001</v>
      </c>
      <c r="L106" s="4">
        <f t="shared" si="6"/>
        <v>0.22340700000000002</v>
      </c>
      <c r="M106" s="4">
        <f t="shared" si="6"/>
        <v>0.23454450000000002</v>
      </c>
      <c r="N106" s="4">
        <f t="shared" si="6"/>
        <v>0.21895199999999998</v>
      </c>
      <c r="O106" s="4">
        <f t="shared" si="6"/>
        <v>0.18108450000000001</v>
      </c>
      <c r="P106" s="4">
        <f t="shared" si="6"/>
        <v>0.138762</v>
      </c>
      <c r="Q106" s="4">
        <f t="shared" si="6"/>
        <v>0.18108450000000001</v>
      </c>
      <c r="R106" s="4">
        <f t="shared" si="6"/>
        <v>0.19667699999999996</v>
      </c>
      <c r="S106" s="4">
        <f t="shared" si="6"/>
        <v>0.19801350000000004</v>
      </c>
    </row>
    <row r="107" spans="9:19" x14ac:dyDescent="0.25">
      <c r="I107">
        <v>23</v>
      </c>
      <c r="J107" s="4">
        <f t="shared" si="6"/>
        <v>0.21004199999999998</v>
      </c>
      <c r="K107" s="4">
        <f t="shared" si="6"/>
        <v>0.21004199999999998</v>
      </c>
      <c r="L107" s="4">
        <f t="shared" si="6"/>
        <v>0.24790949999999998</v>
      </c>
      <c r="M107" s="4">
        <f t="shared" si="6"/>
        <v>0.25013699999999994</v>
      </c>
      <c r="N107" s="4">
        <f t="shared" si="6"/>
        <v>0.20781449999999999</v>
      </c>
      <c r="O107" s="4">
        <f t="shared" si="6"/>
        <v>0.13430700000000001</v>
      </c>
      <c r="P107" s="4">
        <f t="shared" si="6"/>
        <v>0.12316949999999999</v>
      </c>
      <c r="Q107" s="4">
        <f t="shared" si="6"/>
        <v>0.138762</v>
      </c>
      <c r="R107" s="4">
        <f t="shared" si="6"/>
        <v>0.16994700000000001</v>
      </c>
      <c r="S107" s="4">
        <f t="shared" si="6"/>
        <v>0.17351100000000003</v>
      </c>
    </row>
    <row r="108" spans="9:19" x14ac:dyDescent="0.25">
      <c r="I108">
        <v>24</v>
      </c>
      <c r="J108" s="4">
        <f t="shared" si="6"/>
        <v>0.11648700000000002</v>
      </c>
      <c r="K108" s="4">
        <f t="shared" si="6"/>
        <v>8.5302000000000003E-2</v>
      </c>
      <c r="L108" s="4">
        <f t="shared" si="6"/>
        <v>7.6392000000000002E-2</v>
      </c>
      <c r="M108" s="4">
        <f t="shared" si="6"/>
        <v>7.416449999999998E-2</v>
      </c>
      <c r="N108" s="4">
        <f t="shared" si="6"/>
        <v>6.9709499999999994E-2</v>
      </c>
      <c r="O108" s="4">
        <f t="shared" si="6"/>
        <v>6.9709499999999994E-2</v>
      </c>
      <c r="P108" s="4">
        <f t="shared" si="6"/>
        <v>7.6392000000000002E-2</v>
      </c>
      <c r="Q108" s="4">
        <f t="shared" si="6"/>
        <v>9.421199999999999E-2</v>
      </c>
      <c r="R108" s="4">
        <f t="shared" si="6"/>
        <v>0.12094200000000001</v>
      </c>
      <c r="S108" s="4">
        <f t="shared" si="6"/>
        <v>0.1686105</v>
      </c>
    </row>
    <row r="109" spans="9:19" x14ac:dyDescent="0.25">
      <c r="I109">
        <v>31</v>
      </c>
      <c r="J109" s="4">
        <f t="shared" si="6"/>
        <v>0.30359700000000001</v>
      </c>
      <c r="K109" s="4">
        <f t="shared" si="6"/>
        <v>0.24790949999999998</v>
      </c>
      <c r="L109" s="4">
        <f t="shared" si="6"/>
        <v>0.24345450000000002</v>
      </c>
      <c r="M109" s="4">
        <f t="shared" si="6"/>
        <v>0.24345450000000002</v>
      </c>
      <c r="N109" s="4">
        <f t="shared" si="6"/>
        <v>0.22786200000000001</v>
      </c>
      <c r="O109" s="4">
        <f t="shared" si="6"/>
        <v>0.19890449999999998</v>
      </c>
      <c r="P109" s="4">
        <f t="shared" si="6"/>
        <v>0.147672</v>
      </c>
      <c r="Q109" s="4">
        <f t="shared" si="6"/>
        <v>0.14098950000000002</v>
      </c>
      <c r="R109" s="4">
        <f t="shared" si="6"/>
        <v>0.14321700000000001</v>
      </c>
      <c r="S109" s="4">
        <f t="shared" si="6"/>
        <v>0.17596124999999996</v>
      </c>
    </row>
    <row r="110" spans="9:19" x14ac:dyDescent="0.25">
      <c r="I110">
        <v>32</v>
      </c>
      <c r="J110" s="4">
        <f t="shared" si="6"/>
        <v>0.18776700000000002</v>
      </c>
      <c r="K110" s="4">
        <f t="shared" si="6"/>
        <v>0.174402</v>
      </c>
      <c r="L110" s="4">
        <f t="shared" si="6"/>
        <v>0.14989949999999999</v>
      </c>
      <c r="M110" s="4">
        <f t="shared" si="6"/>
        <v>0.138762</v>
      </c>
      <c r="N110" s="4">
        <f t="shared" si="6"/>
        <v>0.13207950000000002</v>
      </c>
      <c r="O110" s="4">
        <f t="shared" si="6"/>
        <v>0.12539700000000001</v>
      </c>
      <c r="P110" s="4">
        <f t="shared" si="6"/>
        <v>0.1276245</v>
      </c>
      <c r="Q110" s="4">
        <f t="shared" si="6"/>
        <v>0.16326450000000001</v>
      </c>
      <c r="R110" s="4">
        <f t="shared" si="6"/>
        <v>0.18331200000000003</v>
      </c>
      <c r="S110" s="4">
        <f t="shared" si="6"/>
        <v>0.19556325000000005</v>
      </c>
    </row>
    <row r="111" spans="9:19" x14ac:dyDescent="0.25">
      <c r="I111">
        <v>33</v>
      </c>
      <c r="J111" s="4">
        <f t="shared" si="6"/>
        <v>0.1855395</v>
      </c>
      <c r="K111" s="4">
        <f t="shared" si="6"/>
        <v>0.18776700000000002</v>
      </c>
      <c r="L111" s="4">
        <f t="shared" si="6"/>
        <v>0.232317</v>
      </c>
      <c r="M111" s="4">
        <f t="shared" si="6"/>
        <v>0.25013699999999994</v>
      </c>
      <c r="N111" s="4">
        <f t="shared" si="6"/>
        <v>0.23677200000000004</v>
      </c>
      <c r="O111" s="4">
        <f t="shared" si="6"/>
        <v>0.20113199999999998</v>
      </c>
      <c r="P111" s="4">
        <f t="shared" si="6"/>
        <v>0.21672450000000001</v>
      </c>
      <c r="Q111" s="4">
        <f t="shared" si="6"/>
        <v>0.19890449999999998</v>
      </c>
      <c r="R111" s="4">
        <f t="shared" si="6"/>
        <v>0.20335949999999997</v>
      </c>
      <c r="S111" s="4">
        <f t="shared" si="6"/>
        <v>0.20781450000000004</v>
      </c>
    </row>
    <row r="112" spans="9:19" x14ac:dyDescent="0.25">
      <c r="I112">
        <v>34</v>
      </c>
      <c r="J112" s="4">
        <f t="shared" si="6"/>
        <v>0.138762</v>
      </c>
      <c r="K112" s="4">
        <f t="shared" si="6"/>
        <v>0.14989949999999999</v>
      </c>
      <c r="L112" s="4">
        <f t="shared" si="6"/>
        <v>0.20558699999999999</v>
      </c>
      <c r="M112" s="4">
        <f t="shared" si="6"/>
        <v>0.23454450000000002</v>
      </c>
      <c r="N112" s="4">
        <f t="shared" si="6"/>
        <v>0.2389995</v>
      </c>
      <c r="O112" s="4">
        <f t="shared" si="6"/>
        <v>0.23008950000000003</v>
      </c>
      <c r="P112" s="4">
        <f t="shared" si="6"/>
        <v>0.20113199999999998</v>
      </c>
      <c r="Q112" s="4">
        <f t="shared" si="6"/>
        <v>0.1944495</v>
      </c>
      <c r="R112" s="4">
        <f t="shared" si="6"/>
        <v>0.16771949999999999</v>
      </c>
      <c r="S112" s="4">
        <f t="shared" si="6"/>
        <v>0.15880950000000002</v>
      </c>
    </row>
    <row r="113" spans="9:19" x14ac:dyDescent="0.25">
      <c r="I113">
        <v>41</v>
      </c>
      <c r="J113" s="4">
        <f t="shared" si="6"/>
        <v>0.19890449999999998</v>
      </c>
      <c r="K113" s="4">
        <f t="shared" si="6"/>
        <v>0.22340700000000002</v>
      </c>
      <c r="L113" s="4">
        <f t="shared" si="6"/>
        <v>0.27909450000000002</v>
      </c>
      <c r="M113" s="4">
        <f t="shared" si="6"/>
        <v>0.25236449999999999</v>
      </c>
      <c r="N113" s="4">
        <f t="shared" si="6"/>
        <v>0.25681949999999998</v>
      </c>
      <c r="O113" s="4">
        <f t="shared" si="6"/>
        <v>0.2389995</v>
      </c>
      <c r="P113" s="4">
        <f t="shared" si="6"/>
        <v>0.20335949999999997</v>
      </c>
      <c r="Q113" s="4">
        <f t="shared" si="6"/>
        <v>0.14989949999999999</v>
      </c>
      <c r="R113" s="4">
        <f t="shared" si="6"/>
        <v>0.18108450000000001</v>
      </c>
      <c r="S113" s="4">
        <f t="shared" si="6"/>
        <v>0.19066275000000005</v>
      </c>
    </row>
    <row r="114" spans="9:19" x14ac:dyDescent="0.25">
      <c r="I114">
        <v>42</v>
      </c>
      <c r="J114" s="4">
        <f t="shared" si="6"/>
        <v>0.20113199999999998</v>
      </c>
      <c r="K114" s="4">
        <f t="shared" si="6"/>
        <v>0.20558699999999999</v>
      </c>
      <c r="L114" s="4">
        <f t="shared" si="6"/>
        <v>0.23454450000000002</v>
      </c>
      <c r="M114" s="4">
        <f t="shared" si="6"/>
        <v>0.2211795</v>
      </c>
      <c r="N114" s="4">
        <f t="shared" si="6"/>
        <v>0.2389995</v>
      </c>
      <c r="O114" s="4">
        <f t="shared" si="6"/>
        <v>0.17885699999999999</v>
      </c>
      <c r="P114" s="4">
        <f t="shared" si="6"/>
        <v>0.1454445</v>
      </c>
      <c r="Q114" s="4">
        <f t="shared" si="6"/>
        <v>0.14989949999999999</v>
      </c>
      <c r="R114" s="4">
        <f t="shared" si="6"/>
        <v>0.165492</v>
      </c>
      <c r="S114" s="4">
        <f t="shared" si="6"/>
        <v>0.19066275000000005</v>
      </c>
    </row>
    <row r="115" spans="9:19" x14ac:dyDescent="0.25">
      <c r="I115">
        <v>43</v>
      </c>
      <c r="J115" s="4">
        <f t="shared" si="6"/>
        <v>0.21672450000000001</v>
      </c>
      <c r="K115" s="4">
        <f t="shared" si="6"/>
        <v>0.21672450000000001</v>
      </c>
      <c r="L115" s="4">
        <f t="shared" si="6"/>
        <v>0.23677200000000004</v>
      </c>
      <c r="M115" s="4">
        <f t="shared" si="6"/>
        <v>0.18999449999999996</v>
      </c>
      <c r="N115" s="4">
        <f t="shared" si="6"/>
        <v>0.20335949999999997</v>
      </c>
      <c r="O115" s="4">
        <f t="shared" si="6"/>
        <v>0.18331200000000003</v>
      </c>
      <c r="P115" s="4">
        <f t="shared" si="6"/>
        <v>0.18331200000000003</v>
      </c>
      <c r="Q115" s="4">
        <f t="shared" si="6"/>
        <v>0.15212699999999998</v>
      </c>
      <c r="R115" s="4">
        <f t="shared" si="6"/>
        <v>0.14989949999999999</v>
      </c>
      <c r="S115" s="4">
        <f t="shared" si="6"/>
        <v>0.16616025000000004</v>
      </c>
    </row>
    <row r="116" spans="9:19" x14ac:dyDescent="0.25">
      <c r="I116">
        <v>44</v>
      </c>
      <c r="J116" s="4">
        <f t="shared" ref="J116:S116" si="7">IF(J88&lt;0,"",J88/100)</f>
        <v>0.16326450000000001</v>
      </c>
      <c r="K116" s="4">
        <f t="shared" si="7"/>
        <v>0.174402</v>
      </c>
      <c r="L116" s="4">
        <f t="shared" si="7"/>
        <v>0.25013699999999994</v>
      </c>
      <c r="M116" s="4">
        <f t="shared" si="7"/>
        <v>0.24568199999999998</v>
      </c>
      <c r="N116" s="4">
        <f t="shared" si="7"/>
        <v>0.25459199999999998</v>
      </c>
      <c r="O116" s="4">
        <f t="shared" si="7"/>
        <v>0.22786200000000001</v>
      </c>
      <c r="P116" s="4">
        <f t="shared" si="7"/>
        <v>0.2122695</v>
      </c>
      <c r="Q116" s="4">
        <f t="shared" si="7"/>
        <v>0.174402</v>
      </c>
      <c r="R116" s="4">
        <f t="shared" si="7"/>
        <v>0.12539700000000001</v>
      </c>
      <c r="S116" s="4">
        <f t="shared" si="7"/>
        <v>0.14900850000000002</v>
      </c>
    </row>
    <row r="117" spans="9:19" x14ac:dyDescent="0.25">
      <c r="I117">
        <v>51</v>
      </c>
      <c r="J117" s="4">
        <f t="shared" ref="J117:S123" si="8">IF(J89&lt;0,"",J89/100)</f>
        <v>0.26350199999999996</v>
      </c>
      <c r="K117" s="4">
        <f t="shared" si="8"/>
        <v>0.25904699999999997</v>
      </c>
      <c r="L117" s="4">
        <f t="shared" si="8"/>
        <v>0.25459199999999998</v>
      </c>
      <c r="M117" s="4">
        <f t="shared" si="8"/>
        <v>0.25904699999999997</v>
      </c>
      <c r="N117" s="4">
        <f t="shared" si="8"/>
        <v>0.232317</v>
      </c>
      <c r="O117" s="4">
        <f t="shared" si="8"/>
        <v>0.20335949999999997</v>
      </c>
      <c r="P117" s="4">
        <f t="shared" si="8"/>
        <v>0.19890449999999998</v>
      </c>
      <c r="Q117" s="4">
        <f t="shared" si="8"/>
        <v>0.174402</v>
      </c>
      <c r="R117" s="4">
        <f t="shared" si="8"/>
        <v>0.18999449999999996</v>
      </c>
      <c r="S117" s="4">
        <f t="shared" si="8"/>
        <v>0.20781450000000004</v>
      </c>
    </row>
    <row r="118" spans="9:19" x14ac:dyDescent="0.25">
      <c r="I118">
        <v>52</v>
      </c>
      <c r="J118" s="4">
        <f t="shared" si="8"/>
        <v>0.24790949999999998</v>
      </c>
      <c r="K118" s="4">
        <f t="shared" si="8"/>
        <v>0.232317</v>
      </c>
      <c r="L118" s="4">
        <f t="shared" si="8"/>
        <v>0.27018449999999999</v>
      </c>
      <c r="M118" s="4">
        <f t="shared" si="8"/>
        <v>0.27686699999999997</v>
      </c>
      <c r="N118" s="4">
        <f t="shared" si="8"/>
        <v>0.27463949999999998</v>
      </c>
      <c r="O118" s="4">
        <f t="shared" si="8"/>
        <v>0.24345450000000002</v>
      </c>
      <c r="P118" s="4">
        <f t="shared" si="8"/>
        <v>0.24568199999999998</v>
      </c>
      <c r="Q118" s="4">
        <f t="shared" si="8"/>
        <v>0.1944495</v>
      </c>
      <c r="R118" s="4">
        <f t="shared" si="8"/>
        <v>0.18776700000000002</v>
      </c>
      <c r="S118" s="4">
        <f t="shared" si="8"/>
        <v>0.20536425000000005</v>
      </c>
    </row>
    <row r="119" spans="9:19" x14ac:dyDescent="0.25">
      <c r="I119">
        <v>53</v>
      </c>
      <c r="J119" s="4">
        <f t="shared" si="8"/>
        <v>0.2389995</v>
      </c>
      <c r="K119" s="4">
        <f t="shared" si="8"/>
        <v>0.22563449999999999</v>
      </c>
      <c r="L119" s="4">
        <f t="shared" si="8"/>
        <v>0.25236449999999999</v>
      </c>
      <c r="M119" s="4">
        <f t="shared" si="8"/>
        <v>0.27463949999999998</v>
      </c>
      <c r="N119" s="4">
        <f t="shared" si="8"/>
        <v>0.25236449999999999</v>
      </c>
      <c r="O119" s="4">
        <f t="shared" si="8"/>
        <v>0.23454450000000002</v>
      </c>
      <c r="P119" s="4">
        <f t="shared" si="8"/>
        <v>0.20781449999999999</v>
      </c>
      <c r="Q119" s="4">
        <f t="shared" si="8"/>
        <v>0.138762</v>
      </c>
      <c r="R119" s="4">
        <f t="shared" si="8"/>
        <v>0.12316949999999999</v>
      </c>
      <c r="S119" s="4">
        <f t="shared" si="8"/>
        <v>0.15390900000000002</v>
      </c>
    </row>
    <row r="120" spans="9:19" x14ac:dyDescent="0.25">
      <c r="I120">
        <v>54</v>
      </c>
      <c r="J120" s="4">
        <f t="shared" si="8"/>
        <v>0.22340700000000002</v>
      </c>
      <c r="K120" s="4">
        <f t="shared" si="8"/>
        <v>0.22563449999999999</v>
      </c>
      <c r="L120" s="4">
        <f t="shared" si="8"/>
        <v>0.21672450000000001</v>
      </c>
      <c r="M120" s="4">
        <f t="shared" si="8"/>
        <v>0.24345450000000002</v>
      </c>
      <c r="N120" s="4">
        <f t="shared" si="8"/>
        <v>0.24122700000000002</v>
      </c>
      <c r="O120" s="4">
        <f t="shared" si="8"/>
        <v>0.21449699999999999</v>
      </c>
      <c r="P120" s="4">
        <f t="shared" si="8"/>
        <v>0.1855395</v>
      </c>
      <c r="Q120" s="4">
        <f t="shared" si="8"/>
        <v>0.15880949999999999</v>
      </c>
      <c r="R120" s="4">
        <f t="shared" si="8"/>
        <v>0.13430700000000001</v>
      </c>
      <c r="S120" s="4">
        <f t="shared" si="8"/>
        <v>0.14900850000000002</v>
      </c>
    </row>
    <row r="121" spans="9:19" x14ac:dyDescent="0.25">
      <c r="I121">
        <v>61</v>
      </c>
      <c r="J121" s="4">
        <f t="shared" si="8"/>
        <v>0.20113199999999998</v>
      </c>
      <c r="K121" s="4">
        <f t="shared" si="8"/>
        <v>0.156582</v>
      </c>
      <c r="L121" s="4">
        <f t="shared" si="8"/>
        <v>0.16771949999999999</v>
      </c>
      <c r="M121" s="4">
        <f t="shared" si="8"/>
        <v>0.20113199999999998</v>
      </c>
      <c r="N121" s="4">
        <f t="shared" si="8"/>
        <v>0.21672450000000001</v>
      </c>
      <c r="O121" s="4">
        <f t="shared" si="8"/>
        <v>0.16326450000000001</v>
      </c>
      <c r="P121" s="4">
        <f t="shared" si="8"/>
        <v>0.156582</v>
      </c>
      <c r="Q121" s="4">
        <f t="shared" si="8"/>
        <v>0.14989949999999999</v>
      </c>
      <c r="R121" s="4">
        <f t="shared" si="8"/>
        <v>0.16771949999999999</v>
      </c>
      <c r="S121" s="4">
        <f t="shared" si="8"/>
        <v>0.16125975000000004</v>
      </c>
    </row>
    <row r="122" spans="9:19" x14ac:dyDescent="0.25">
      <c r="I122">
        <v>62</v>
      </c>
      <c r="J122" s="4">
        <f t="shared" si="8"/>
        <v>0.20781449999999999</v>
      </c>
      <c r="K122" s="4">
        <f t="shared" si="8"/>
        <v>0.21672450000000001</v>
      </c>
      <c r="L122" s="4">
        <f t="shared" si="8"/>
        <v>0.23677200000000004</v>
      </c>
      <c r="M122" s="4">
        <f t="shared" si="8"/>
        <v>0.17217450000000001</v>
      </c>
      <c r="N122" s="4">
        <f t="shared" si="8"/>
        <v>0.147672</v>
      </c>
      <c r="O122" s="4">
        <f t="shared" si="8"/>
        <v>0.15880949999999999</v>
      </c>
      <c r="P122" s="4">
        <f t="shared" si="8"/>
        <v>0.14321700000000001</v>
      </c>
      <c r="Q122" s="4">
        <f t="shared" si="8"/>
        <v>0.13430700000000001</v>
      </c>
      <c r="R122" s="4">
        <f t="shared" si="8"/>
        <v>0.156582</v>
      </c>
      <c r="S122" s="4">
        <f t="shared" si="8"/>
        <v>0.18331200000000003</v>
      </c>
    </row>
    <row r="123" spans="9:19" x14ac:dyDescent="0.25">
      <c r="I123">
        <v>63</v>
      </c>
      <c r="J123" s="4">
        <f t="shared" si="8"/>
        <v>0.25681949999999998</v>
      </c>
      <c r="K123" s="4">
        <f t="shared" si="8"/>
        <v>0.2389995</v>
      </c>
      <c r="L123" s="4">
        <f t="shared" si="8"/>
        <v>0.21449699999999999</v>
      </c>
      <c r="M123" s="4">
        <f t="shared" si="8"/>
        <v>0.19667699999999996</v>
      </c>
      <c r="N123" s="4">
        <f t="shared" si="8"/>
        <v>0.20781449999999999</v>
      </c>
      <c r="O123" s="4">
        <f t="shared" si="8"/>
        <v>0.2211795</v>
      </c>
      <c r="P123" s="4">
        <f t="shared" si="8"/>
        <v>0.18108450000000001</v>
      </c>
      <c r="Q123" s="4">
        <f t="shared" si="8"/>
        <v>0.1365345</v>
      </c>
      <c r="R123" s="4">
        <f t="shared" si="8"/>
        <v>0.1365345</v>
      </c>
      <c r="S123" s="4">
        <f t="shared" si="8"/>
        <v>0.1686105</v>
      </c>
    </row>
    <row r="124" spans="9:19" x14ac:dyDescent="0.25">
      <c r="I124">
        <v>64</v>
      </c>
      <c r="J124" s="4">
        <f t="shared" ref="J124:S124" si="9">IF(J96&lt;0,"",J96/100)</f>
        <v>0.26350199999999996</v>
      </c>
      <c r="K124" s="4">
        <f t="shared" si="9"/>
        <v>0.24568199999999998</v>
      </c>
      <c r="L124" s="4">
        <f t="shared" si="9"/>
        <v>0.21449699999999999</v>
      </c>
      <c r="M124" s="4">
        <f t="shared" si="9"/>
        <v>0.2211795</v>
      </c>
      <c r="N124" s="4">
        <f t="shared" si="9"/>
        <v>0.24122700000000002</v>
      </c>
      <c r="O124" s="4">
        <f t="shared" si="9"/>
        <v>0.21004199999999998</v>
      </c>
      <c r="P124" s="4">
        <f t="shared" si="9"/>
        <v>0.18776700000000002</v>
      </c>
      <c r="Q124" s="4">
        <f t="shared" si="9"/>
        <v>0.12539700000000001</v>
      </c>
      <c r="R124" s="4">
        <f t="shared" si="9"/>
        <v>0.11871450000000003</v>
      </c>
      <c r="S124" s="4">
        <f t="shared" si="9"/>
        <v>0.15880950000000002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4002-E993-4B60-A1A7-58B56234E3A1}">
  <dimension ref="A1:T124"/>
  <sheetViews>
    <sheetView topLeftCell="D49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10266</v>
      </c>
      <c r="F1">
        <v>0</v>
      </c>
      <c r="G1">
        <v>10</v>
      </c>
      <c r="H1">
        <v>1829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9</v>
      </c>
      <c r="G18">
        <v>21</v>
      </c>
      <c r="H18">
        <v>6</v>
      </c>
      <c r="I18">
        <v>2</v>
      </c>
      <c r="J18">
        <v>1.04</v>
      </c>
      <c r="K18">
        <v>1.05</v>
      </c>
      <c r="L18">
        <v>1.21</v>
      </c>
      <c r="M18">
        <v>1.38</v>
      </c>
      <c r="N18">
        <v>1.1499999999999999</v>
      </c>
      <c r="O18">
        <v>1.05</v>
      </c>
      <c r="P18">
        <v>1.06</v>
      </c>
      <c r="Q18">
        <v>1.08</v>
      </c>
      <c r="R18">
        <v>1.1100000000000001</v>
      </c>
      <c r="S18">
        <v>0.94</v>
      </c>
      <c r="T18">
        <v>3717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9</v>
      </c>
      <c r="G19">
        <v>21</v>
      </c>
      <c r="H19">
        <v>6</v>
      </c>
      <c r="I19">
        <v>6</v>
      </c>
      <c r="J19">
        <v>1.26</v>
      </c>
      <c r="K19">
        <v>1.25</v>
      </c>
      <c r="L19">
        <v>1.06</v>
      </c>
      <c r="M19">
        <v>0.9</v>
      </c>
      <c r="N19">
        <v>0.82</v>
      </c>
      <c r="O19">
        <v>0.83</v>
      </c>
      <c r="P19">
        <v>0.84</v>
      </c>
      <c r="Q19">
        <v>1.03</v>
      </c>
      <c r="R19">
        <v>1.07</v>
      </c>
      <c r="S19">
        <v>0.84</v>
      </c>
      <c r="T19">
        <v>3738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9</v>
      </c>
      <c r="G20">
        <v>21</v>
      </c>
      <c r="H20">
        <v>6</v>
      </c>
      <c r="I20">
        <v>11</v>
      </c>
      <c r="J20">
        <v>1.19</v>
      </c>
      <c r="K20">
        <v>1.1100000000000001</v>
      </c>
      <c r="L20">
        <v>1.18</v>
      </c>
      <c r="M20">
        <v>1.3</v>
      </c>
      <c r="N20">
        <v>1.21</v>
      </c>
      <c r="O20">
        <v>1.02</v>
      </c>
      <c r="P20">
        <v>0.94</v>
      </c>
      <c r="Q20">
        <v>0.92</v>
      </c>
      <c r="R20">
        <v>1.01</v>
      </c>
      <c r="S20">
        <v>0.88</v>
      </c>
      <c r="T20">
        <v>3720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9</v>
      </c>
      <c r="G21">
        <v>21</v>
      </c>
      <c r="H21">
        <v>6</v>
      </c>
      <c r="I21">
        <v>15</v>
      </c>
      <c r="J21">
        <v>1.32</v>
      </c>
      <c r="K21">
        <v>1.32</v>
      </c>
      <c r="L21">
        <v>1.32</v>
      </c>
      <c r="M21">
        <v>1.29</v>
      </c>
      <c r="N21">
        <v>1.1299999999999999</v>
      </c>
      <c r="O21">
        <v>1.03</v>
      </c>
      <c r="P21">
        <v>1.04</v>
      </c>
      <c r="Q21">
        <v>1.08</v>
      </c>
      <c r="R21">
        <v>0.96</v>
      </c>
      <c r="S21">
        <v>0.86</v>
      </c>
      <c r="T21">
        <v>3728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9</v>
      </c>
      <c r="G22">
        <v>21</v>
      </c>
      <c r="H22">
        <v>6</v>
      </c>
      <c r="I22">
        <v>11</v>
      </c>
      <c r="J22">
        <v>0.72</v>
      </c>
      <c r="K22">
        <v>0.63</v>
      </c>
      <c r="L22">
        <v>0.56999999999999995</v>
      </c>
      <c r="M22">
        <v>0.61</v>
      </c>
      <c r="N22">
        <v>0.57999999999999996</v>
      </c>
      <c r="O22">
        <v>0.56999999999999995</v>
      </c>
      <c r="P22">
        <v>0.64</v>
      </c>
      <c r="Q22">
        <v>0.69</v>
      </c>
      <c r="R22">
        <v>0.79</v>
      </c>
      <c r="S22">
        <v>0.92</v>
      </c>
      <c r="T22">
        <v>3755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9</v>
      </c>
      <c r="G23">
        <v>21</v>
      </c>
      <c r="H23">
        <v>6</v>
      </c>
      <c r="I23">
        <v>23</v>
      </c>
      <c r="J23">
        <v>1.23</v>
      </c>
      <c r="K23">
        <v>1.22</v>
      </c>
      <c r="L23">
        <v>1.38</v>
      </c>
      <c r="M23">
        <v>1.35</v>
      </c>
      <c r="N23">
        <v>1.17</v>
      </c>
      <c r="O23">
        <v>0.84</v>
      </c>
      <c r="P23">
        <v>0.81</v>
      </c>
      <c r="Q23">
        <v>0.87</v>
      </c>
      <c r="R23">
        <v>1.01</v>
      </c>
      <c r="S23">
        <v>0.92</v>
      </c>
      <c r="T23">
        <v>3740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9</v>
      </c>
      <c r="G24">
        <v>21</v>
      </c>
      <c r="H24">
        <v>6</v>
      </c>
      <c r="I24">
        <v>27</v>
      </c>
      <c r="J24">
        <v>1.37</v>
      </c>
      <c r="K24">
        <v>1.31</v>
      </c>
      <c r="L24">
        <v>1.27</v>
      </c>
      <c r="M24">
        <v>1.29</v>
      </c>
      <c r="N24">
        <v>1.2</v>
      </c>
      <c r="O24">
        <v>0.99</v>
      </c>
      <c r="P24">
        <v>0.84</v>
      </c>
      <c r="Q24">
        <v>1.02</v>
      </c>
      <c r="R24">
        <v>1.1000000000000001</v>
      </c>
      <c r="S24">
        <v>1.01</v>
      </c>
      <c r="T24">
        <v>3738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9</v>
      </c>
      <c r="G25">
        <v>21</v>
      </c>
      <c r="H25">
        <v>6</v>
      </c>
      <c r="I25">
        <v>32</v>
      </c>
      <c r="J25">
        <v>1.43</v>
      </c>
      <c r="K25">
        <v>1.32</v>
      </c>
      <c r="L25">
        <v>1.28</v>
      </c>
      <c r="M25">
        <v>1.22</v>
      </c>
      <c r="N25">
        <v>1.1000000000000001</v>
      </c>
      <c r="O25">
        <v>1.06</v>
      </c>
      <c r="P25">
        <v>1.02</v>
      </c>
      <c r="Q25">
        <v>1.1499999999999999</v>
      </c>
      <c r="R25">
        <v>1.1100000000000001</v>
      </c>
      <c r="S25">
        <v>0.94</v>
      </c>
      <c r="T25">
        <v>3718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9</v>
      </c>
      <c r="G26">
        <v>21</v>
      </c>
      <c r="H26">
        <v>6</v>
      </c>
      <c r="I26">
        <v>35</v>
      </c>
      <c r="J26">
        <v>1.68</v>
      </c>
      <c r="K26">
        <v>1.4</v>
      </c>
      <c r="L26">
        <v>1.39</v>
      </c>
      <c r="M26">
        <v>1.35</v>
      </c>
      <c r="N26">
        <v>1.22</v>
      </c>
      <c r="O26">
        <v>1.1299999999999999</v>
      </c>
      <c r="P26">
        <v>0.94</v>
      </c>
      <c r="Q26">
        <v>0.91</v>
      </c>
      <c r="R26">
        <v>0.9</v>
      </c>
      <c r="S26">
        <v>0.9</v>
      </c>
      <c r="T26">
        <v>3748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9</v>
      </c>
      <c r="G27">
        <v>21</v>
      </c>
      <c r="H27">
        <v>6</v>
      </c>
      <c r="I27">
        <v>31</v>
      </c>
      <c r="J27">
        <v>1.0900000000000001</v>
      </c>
      <c r="K27">
        <v>1.01</v>
      </c>
      <c r="L27">
        <v>0.91</v>
      </c>
      <c r="M27">
        <v>0.86</v>
      </c>
      <c r="N27">
        <v>0.86</v>
      </c>
      <c r="O27">
        <v>0.78</v>
      </c>
      <c r="P27">
        <v>0.82</v>
      </c>
      <c r="Q27">
        <v>0.96</v>
      </c>
      <c r="R27">
        <v>1.06</v>
      </c>
      <c r="S27">
        <v>0.99</v>
      </c>
      <c r="T27">
        <v>3765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9</v>
      </c>
      <c r="G28">
        <v>21</v>
      </c>
      <c r="H28">
        <v>6</v>
      </c>
      <c r="I28">
        <v>43</v>
      </c>
      <c r="J28">
        <v>1.1000000000000001</v>
      </c>
      <c r="K28">
        <v>1.07</v>
      </c>
      <c r="L28">
        <v>1.27</v>
      </c>
      <c r="M28">
        <v>1.35</v>
      </c>
      <c r="N28">
        <v>1.28</v>
      </c>
      <c r="O28">
        <v>1.08</v>
      </c>
      <c r="P28">
        <v>1.1399999999999999</v>
      </c>
      <c r="Q28">
        <v>1.07</v>
      </c>
      <c r="R28">
        <v>1.0900000000000001</v>
      </c>
      <c r="S28">
        <v>0.94</v>
      </c>
      <c r="T28">
        <v>3738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9</v>
      </c>
      <c r="G29">
        <v>21</v>
      </c>
      <c r="H29">
        <v>6</v>
      </c>
      <c r="I29">
        <v>46</v>
      </c>
      <c r="J29">
        <v>0.92</v>
      </c>
      <c r="K29">
        <v>0.94</v>
      </c>
      <c r="L29">
        <v>1.18</v>
      </c>
      <c r="M29">
        <v>1.32</v>
      </c>
      <c r="N29">
        <v>1.31</v>
      </c>
      <c r="O29">
        <v>1.25</v>
      </c>
      <c r="P29">
        <v>1.17</v>
      </c>
      <c r="Q29">
        <v>1.1000000000000001</v>
      </c>
      <c r="R29">
        <v>1.02</v>
      </c>
      <c r="S29">
        <v>0.86</v>
      </c>
      <c r="T29">
        <v>3735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9</v>
      </c>
      <c r="G30">
        <v>21</v>
      </c>
      <c r="H30">
        <v>6</v>
      </c>
      <c r="I30">
        <v>51</v>
      </c>
      <c r="J30">
        <v>1.01</v>
      </c>
      <c r="K30">
        <v>1.05</v>
      </c>
      <c r="L30">
        <v>1.4</v>
      </c>
      <c r="M30">
        <v>1.34</v>
      </c>
      <c r="N30">
        <v>1.43</v>
      </c>
      <c r="O30">
        <v>1.28</v>
      </c>
      <c r="P30">
        <v>1.24</v>
      </c>
      <c r="Q30">
        <v>1.01</v>
      </c>
      <c r="R30">
        <v>0.84</v>
      </c>
      <c r="S30">
        <v>0.87</v>
      </c>
      <c r="T30">
        <v>3725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9</v>
      </c>
      <c r="G31">
        <v>21</v>
      </c>
      <c r="H31">
        <v>6</v>
      </c>
      <c r="I31">
        <v>54</v>
      </c>
      <c r="J31">
        <v>1.27</v>
      </c>
      <c r="K31">
        <v>1.26</v>
      </c>
      <c r="L31">
        <v>1.33</v>
      </c>
      <c r="M31">
        <v>1.1200000000000001</v>
      </c>
      <c r="N31">
        <v>1.1200000000000001</v>
      </c>
      <c r="O31">
        <v>1.04</v>
      </c>
      <c r="P31">
        <v>1.02</v>
      </c>
      <c r="Q31">
        <v>0.9</v>
      </c>
      <c r="R31">
        <v>0.88</v>
      </c>
      <c r="S31">
        <v>0.88</v>
      </c>
      <c r="T31">
        <v>3732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9</v>
      </c>
      <c r="G32">
        <v>21</v>
      </c>
      <c r="H32">
        <v>6</v>
      </c>
      <c r="I32">
        <v>50</v>
      </c>
      <c r="J32">
        <v>1.18</v>
      </c>
      <c r="K32">
        <v>1.22</v>
      </c>
      <c r="L32">
        <v>1.31</v>
      </c>
      <c r="M32">
        <v>1.26</v>
      </c>
      <c r="N32">
        <v>1.28</v>
      </c>
      <c r="O32">
        <v>1.03</v>
      </c>
      <c r="P32">
        <v>0.92</v>
      </c>
      <c r="Q32">
        <v>0.93</v>
      </c>
      <c r="R32">
        <v>0.98</v>
      </c>
      <c r="S32">
        <v>0.98</v>
      </c>
      <c r="T32">
        <v>3743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9</v>
      </c>
      <c r="G33">
        <v>21</v>
      </c>
      <c r="H33">
        <v>7</v>
      </c>
      <c r="I33">
        <v>2</v>
      </c>
      <c r="J33">
        <v>1.17</v>
      </c>
      <c r="K33">
        <v>1.28</v>
      </c>
      <c r="L33">
        <v>1.53</v>
      </c>
      <c r="M33">
        <v>1.43</v>
      </c>
      <c r="N33">
        <v>1.4</v>
      </c>
      <c r="O33">
        <v>1.3</v>
      </c>
      <c r="P33">
        <v>1.17</v>
      </c>
      <c r="Q33">
        <v>0.92</v>
      </c>
      <c r="R33">
        <v>1.02</v>
      </c>
      <c r="S33">
        <v>0.97</v>
      </c>
      <c r="T33">
        <v>3683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9</v>
      </c>
      <c r="G34">
        <v>21</v>
      </c>
      <c r="H34">
        <v>7</v>
      </c>
      <c r="I34">
        <v>6</v>
      </c>
      <c r="J34">
        <v>1.46</v>
      </c>
      <c r="K34">
        <v>1.39</v>
      </c>
      <c r="L34">
        <v>1.4</v>
      </c>
      <c r="M34">
        <v>1.38</v>
      </c>
      <c r="N34">
        <v>1.26</v>
      </c>
      <c r="O34">
        <v>1.03</v>
      </c>
      <c r="P34">
        <v>1.02</v>
      </c>
      <c r="Q34">
        <v>0.96</v>
      </c>
      <c r="R34">
        <v>1.03</v>
      </c>
      <c r="S34">
        <v>0.98</v>
      </c>
      <c r="T34">
        <v>3703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9</v>
      </c>
      <c r="G35">
        <v>21</v>
      </c>
      <c r="H35">
        <v>7</v>
      </c>
      <c r="I35">
        <v>10</v>
      </c>
      <c r="J35">
        <v>1.38</v>
      </c>
      <c r="K35">
        <v>1.33</v>
      </c>
      <c r="L35">
        <v>1.47</v>
      </c>
      <c r="M35">
        <v>1.44</v>
      </c>
      <c r="N35">
        <v>1.38</v>
      </c>
      <c r="O35">
        <v>1.2</v>
      </c>
      <c r="P35">
        <v>1.22</v>
      </c>
      <c r="Q35">
        <v>1.01</v>
      </c>
      <c r="R35">
        <v>0.97</v>
      </c>
      <c r="S35">
        <v>0.96</v>
      </c>
      <c r="T35">
        <v>3697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9</v>
      </c>
      <c r="G36">
        <v>21</v>
      </c>
      <c r="H36">
        <v>7</v>
      </c>
      <c r="I36">
        <v>13</v>
      </c>
      <c r="J36">
        <v>1.35</v>
      </c>
      <c r="K36">
        <v>1.28</v>
      </c>
      <c r="L36">
        <v>1.39</v>
      </c>
      <c r="M36">
        <v>1.49</v>
      </c>
      <c r="N36">
        <v>1.41</v>
      </c>
      <c r="O36">
        <v>1.28</v>
      </c>
      <c r="P36">
        <v>1.1499999999999999</v>
      </c>
      <c r="Q36">
        <v>0.86</v>
      </c>
      <c r="R36">
        <v>0.81</v>
      </c>
      <c r="S36">
        <v>0.84</v>
      </c>
      <c r="T36">
        <v>3712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9</v>
      </c>
      <c r="G37">
        <v>21</v>
      </c>
      <c r="H37">
        <v>7</v>
      </c>
      <c r="I37">
        <v>17</v>
      </c>
      <c r="J37">
        <v>1.3</v>
      </c>
      <c r="K37">
        <v>1.26</v>
      </c>
      <c r="L37">
        <v>1.24</v>
      </c>
      <c r="M37">
        <v>1.35</v>
      </c>
      <c r="N37">
        <v>1.32</v>
      </c>
      <c r="O37">
        <v>1.19</v>
      </c>
      <c r="P37">
        <v>1.05</v>
      </c>
      <c r="Q37">
        <v>0.96</v>
      </c>
      <c r="R37">
        <v>0.87</v>
      </c>
      <c r="S37">
        <v>0.84</v>
      </c>
      <c r="T37">
        <v>3703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9</v>
      </c>
      <c r="G38">
        <v>21</v>
      </c>
      <c r="H38">
        <v>7</v>
      </c>
      <c r="I38">
        <v>21</v>
      </c>
      <c r="J38">
        <v>1.49</v>
      </c>
      <c r="K38">
        <v>1.41</v>
      </c>
      <c r="L38">
        <v>1.22</v>
      </c>
      <c r="M38">
        <v>1.26</v>
      </c>
      <c r="N38">
        <v>1.36</v>
      </c>
      <c r="O38">
        <v>1.2</v>
      </c>
      <c r="P38">
        <v>1.1000000000000001</v>
      </c>
      <c r="Q38">
        <v>0.84</v>
      </c>
      <c r="R38">
        <v>0.79</v>
      </c>
      <c r="S38">
        <v>0.83</v>
      </c>
      <c r="T38">
        <v>3691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9</v>
      </c>
      <c r="G39">
        <v>21</v>
      </c>
      <c r="H39">
        <v>7</v>
      </c>
      <c r="I39">
        <v>25</v>
      </c>
      <c r="J39">
        <v>1.44</v>
      </c>
      <c r="K39">
        <v>1.3</v>
      </c>
      <c r="L39">
        <v>1.27</v>
      </c>
      <c r="M39">
        <v>1.17</v>
      </c>
      <c r="N39">
        <v>1.21</v>
      </c>
      <c r="O39">
        <v>1.25</v>
      </c>
      <c r="P39">
        <v>1.1100000000000001</v>
      </c>
      <c r="Q39">
        <v>0.88</v>
      </c>
      <c r="R39">
        <v>0.86</v>
      </c>
      <c r="S39">
        <v>0.89</v>
      </c>
      <c r="T39">
        <v>3698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9</v>
      </c>
      <c r="G40">
        <v>21</v>
      </c>
      <c r="H40">
        <v>7</v>
      </c>
      <c r="I40">
        <v>21</v>
      </c>
      <c r="J40">
        <v>1.22</v>
      </c>
      <c r="K40">
        <v>1.26</v>
      </c>
      <c r="L40">
        <v>1.3</v>
      </c>
      <c r="M40">
        <v>1</v>
      </c>
      <c r="N40">
        <v>0.89</v>
      </c>
      <c r="O40">
        <v>0.94</v>
      </c>
      <c r="P40">
        <v>0.89</v>
      </c>
      <c r="Q40">
        <v>0.83</v>
      </c>
      <c r="R40">
        <v>0.93</v>
      </c>
      <c r="S40">
        <v>0.94</v>
      </c>
      <c r="T40">
        <v>3699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9</v>
      </c>
      <c r="G41">
        <v>21</v>
      </c>
      <c r="H41">
        <v>7</v>
      </c>
      <c r="I41">
        <v>33</v>
      </c>
      <c r="J41">
        <v>1.1599999999999999</v>
      </c>
      <c r="K41">
        <v>0.99</v>
      </c>
      <c r="L41">
        <v>1.02</v>
      </c>
      <c r="M41">
        <v>1.1599999999999999</v>
      </c>
      <c r="N41">
        <v>1.24</v>
      </c>
      <c r="O41">
        <v>0.97</v>
      </c>
      <c r="P41">
        <v>0.94</v>
      </c>
      <c r="Q41">
        <v>0.93</v>
      </c>
      <c r="R41">
        <v>1.02</v>
      </c>
      <c r="S41">
        <v>0.88</v>
      </c>
      <c r="T41">
        <v>3701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9</v>
      </c>
      <c r="G45">
        <v>21</v>
      </c>
      <c r="H45">
        <v>6</v>
      </c>
      <c r="I45">
        <v>2</v>
      </c>
      <c r="J45">
        <v>1.04</v>
      </c>
      <c r="K45">
        <v>1.05</v>
      </c>
      <c r="L45">
        <v>1.21</v>
      </c>
      <c r="M45">
        <v>1.38</v>
      </c>
      <c r="N45">
        <v>1.1499999999999999</v>
      </c>
      <c r="O45">
        <v>1.05</v>
      </c>
      <c r="P45">
        <v>1.06</v>
      </c>
      <c r="Q45">
        <v>1.08</v>
      </c>
      <c r="R45">
        <v>1.1100000000000001</v>
      </c>
      <c r="S45">
        <v>0.94</v>
      </c>
      <c r="T45">
        <v>3717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9</v>
      </c>
      <c r="G46">
        <v>21</v>
      </c>
      <c r="H46">
        <v>6</v>
      </c>
      <c r="I46">
        <v>6</v>
      </c>
      <c r="J46">
        <v>1.26</v>
      </c>
      <c r="K46">
        <v>1.25</v>
      </c>
      <c r="L46">
        <v>1.06</v>
      </c>
      <c r="M46">
        <v>0.9</v>
      </c>
      <c r="N46">
        <v>0.82</v>
      </c>
      <c r="O46">
        <v>0.83</v>
      </c>
      <c r="P46">
        <v>0.84</v>
      </c>
      <c r="Q46">
        <v>1.03</v>
      </c>
      <c r="R46">
        <v>1.07</v>
      </c>
      <c r="S46">
        <v>0.84</v>
      </c>
      <c r="T46">
        <v>3738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9</v>
      </c>
      <c r="G47">
        <v>21</v>
      </c>
      <c r="H47">
        <v>6</v>
      </c>
      <c r="I47">
        <v>11</v>
      </c>
      <c r="J47">
        <v>1.19</v>
      </c>
      <c r="K47">
        <v>1.1100000000000001</v>
      </c>
      <c r="L47">
        <v>1.18</v>
      </c>
      <c r="M47">
        <v>1.3</v>
      </c>
      <c r="N47">
        <v>1.21</v>
      </c>
      <c r="O47">
        <v>1.02</v>
      </c>
      <c r="P47">
        <v>0.94</v>
      </c>
      <c r="Q47">
        <v>0.92</v>
      </c>
      <c r="R47">
        <v>1.01</v>
      </c>
      <c r="S47">
        <v>0.88</v>
      </c>
      <c r="T47">
        <v>3720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9</v>
      </c>
      <c r="G48">
        <v>21</v>
      </c>
      <c r="H48">
        <v>6</v>
      </c>
      <c r="I48">
        <v>15</v>
      </c>
      <c r="J48">
        <v>1.32</v>
      </c>
      <c r="K48">
        <v>1.32</v>
      </c>
      <c r="L48">
        <v>1.32</v>
      </c>
      <c r="M48">
        <v>1.29</v>
      </c>
      <c r="N48">
        <v>1.1299999999999999</v>
      </c>
      <c r="O48">
        <v>1.03</v>
      </c>
      <c r="P48">
        <v>1.04</v>
      </c>
      <c r="Q48">
        <v>1.08</v>
      </c>
      <c r="R48">
        <v>0.96</v>
      </c>
      <c r="S48">
        <v>0.86</v>
      </c>
      <c r="T48">
        <v>3728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9</v>
      </c>
      <c r="G49">
        <v>21</v>
      </c>
      <c r="H49">
        <v>6</v>
      </c>
      <c r="I49">
        <v>32</v>
      </c>
      <c r="J49">
        <v>1.43</v>
      </c>
      <c r="K49">
        <v>1.32</v>
      </c>
      <c r="L49">
        <v>1.28</v>
      </c>
      <c r="M49">
        <v>1.22</v>
      </c>
      <c r="N49">
        <v>1.1000000000000001</v>
      </c>
      <c r="O49">
        <v>1.06</v>
      </c>
      <c r="P49">
        <v>1.02</v>
      </c>
      <c r="Q49">
        <v>1.1499999999999999</v>
      </c>
      <c r="R49">
        <v>1.1100000000000001</v>
      </c>
      <c r="S49">
        <v>0.94</v>
      </c>
      <c r="T49">
        <v>3718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9</v>
      </c>
      <c r="G50">
        <v>21</v>
      </c>
      <c r="H50">
        <v>6</v>
      </c>
      <c r="I50">
        <v>27</v>
      </c>
      <c r="J50">
        <v>1.37</v>
      </c>
      <c r="K50">
        <v>1.31</v>
      </c>
      <c r="L50">
        <v>1.27</v>
      </c>
      <c r="M50">
        <v>1.29</v>
      </c>
      <c r="N50">
        <v>1.2</v>
      </c>
      <c r="O50">
        <v>0.99</v>
      </c>
      <c r="P50">
        <v>0.84</v>
      </c>
      <c r="Q50">
        <v>1.02</v>
      </c>
      <c r="R50">
        <v>1.1000000000000001</v>
      </c>
      <c r="S50">
        <v>1.01</v>
      </c>
      <c r="T50">
        <v>3738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9</v>
      </c>
      <c r="G51">
        <v>21</v>
      </c>
      <c r="H51">
        <v>6</v>
      </c>
      <c r="I51">
        <v>23</v>
      </c>
      <c r="J51">
        <v>1.23</v>
      </c>
      <c r="K51">
        <v>1.22</v>
      </c>
      <c r="L51">
        <v>1.38</v>
      </c>
      <c r="M51">
        <v>1.35</v>
      </c>
      <c r="N51">
        <v>1.17</v>
      </c>
      <c r="O51">
        <v>0.84</v>
      </c>
      <c r="P51">
        <v>0.81</v>
      </c>
      <c r="Q51">
        <v>0.87</v>
      </c>
      <c r="R51">
        <v>1.01</v>
      </c>
      <c r="S51">
        <v>0.92</v>
      </c>
      <c r="T51">
        <v>3740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9</v>
      </c>
      <c r="G52">
        <v>21</v>
      </c>
      <c r="H52">
        <v>6</v>
      </c>
      <c r="I52">
        <v>11</v>
      </c>
      <c r="J52">
        <v>0.72</v>
      </c>
      <c r="K52">
        <v>0.63</v>
      </c>
      <c r="L52">
        <v>0.56999999999999995</v>
      </c>
      <c r="M52">
        <v>0.61</v>
      </c>
      <c r="N52">
        <v>0.57999999999999996</v>
      </c>
      <c r="O52">
        <v>0.56999999999999995</v>
      </c>
      <c r="P52">
        <v>0.64</v>
      </c>
      <c r="Q52">
        <v>0.69</v>
      </c>
      <c r="R52">
        <v>0.79</v>
      </c>
      <c r="S52">
        <v>0.92</v>
      </c>
      <c r="T52">
        <v>3755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9</v>
      </c>
      <c r="G53">
        <v>21</v>
      </c>
      <c r="H53">
        <v>6</v>
      </c>
      <c r="I53">
        <v>35</v>
      </c>
      <c r="J53">
        <v>1.68</v>
      </c>
      <c r="K53">
        <v>1.4</v>
      </c>
      <c r="L53">
        <v>1.39</v>
      </c>
      <c r="M53">
        <v>1.35</v>
      </c>
      <c r="N53">
        <v>1.22</v>
      </c>
      <c r="O53">
        <v>1.1299999999999999</v>
      </c>
      <c r="P53">
        <v>0.94</v>
      </c>
      <c r="Q53">
        <v>0.91</v>
      </c>
      <c r="R53">
        <v>0.9</v>
      </c>
      <c r="S53">
        <v>0.9</v>
      </c>
      <c r="T53">
        <v>3748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9</v>
      </c>
      <c r="G54">
        <v>21</v>
      </c>
      <c r="H54">
        <v>6</v>
      </c>
      <c r="I54">
        <v>31</v>
      </c>
      <c r="J54">
        <v>1.0900000000000001</v>
      </c>
      <c r="K54">
        <v>1.01</v>
      </c>
      <c r="L54">
        <v>0.91</v>
      </c>
      <c r="M54">
        <v>0.86</v>
      </c>
      <c r="N54">
        <v>0.86</v>
      </c>
      <c r="O54">
        <v>0.78</v>
      </c>
      <c r="P54">
        <v>0.82</v>
      </c>
      <c r="Q54">
        <v>0.96</v>
      </c>
      <c r="R54">
        <v>1.06</v>
      </c>
      <c r="S54">
        <v>0.99</v>
      </c>
      <c r="T54">
        <v>3765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9</v>
      </c>
      <c r="G55">
        <v>21</v>
      </c>
      <c r="H55">
        <v>6</v>
      </c>
      <c r="I55">
        <v>43</v>
      </c>
      <c r="J55">
        <v>1.1000000000000001</v>
      </c>
      <c r="K55">
        <v>1.07</v>
      </c>
      <c r="L55">
        <v>1.27</v>
      </c>
      <c r="M55">
        <v>1.35</v>
      </c>
      <c r="N55">
        <v>1.28</v>
      </c>
      <c r="O55">
        <v>1.08</v>
      </c>
      <c r="P55">
        <v>1.1399999999999999</v>
      </c>
      <c r="Q55">
        <v>1.07</v>
      </c>
      <c r="R55">
        <v>1.0900000000000001</v>
      </c>
      <c r="S55">
        <v>0.94</v>
      </c>
      <c r="T55">
        <v>3738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9</v>
      </c>
      <c r="G56">
        <v>21</v>
      </c>
      <c r="H56">
        <v>6</v>
      </c>
      <c r="I56">
        <v>46</v>
      </c>
      <c r="J56">
        <v>0.92</v>
      </c>
      <c r="K56">
        <v>0.94</v>
      </c>
      <c r="L56">
        <v>1.18</v>
      </c>
      <c r="M56">
        <v>1.32</v>
      </c>
      <c r="N56">
        <v>1.31</v>
      </c>
      <c r="O56">
        <v>1.25</v>
      </c>
      <c r="P56">
        <v>1.17</v>
      </c>
      <c r="Q56">
        <v>1.1000000000000001</v>
      </c>
      <c r="R56">
        <v>1.02</v>
      </c>
      <c r="S56">
        <v>0.86</v>
      </c>
      <c r="T56">
        <v>3735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9</v>
      </c>
      <c r="G57">
        <v>21</v>
      </c>
      <c r="H57">
        <v>7</v>
      </c>
      <c r="I57">
        <v>2</v>
      </c>
      <c r="J57">
        <v>1.17</v>
      </c>
      <c r="K57">
        <v>1.28</v>
      </c>
      <c r="L57">
        <v>1.53</v>
      </c>
      <c r="M57">
        <v>1.43</v>
      </c>
      <c r="N57">
        <v>1.4</v>
      </c>
      <c r="O57">
        <v>1.3</v>
      </c>
      <c r="P57">
        <v>1.17</v>
      </c>
      <c r="Q57">
        <v>0.92</v>
      </c>
      <c r="R57">
        <v>1.02</v>
      </c>
      <c r="S57">
        <v>0.97</v>
      </c>
      <c r="T57">
        <v>3683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9</v>
      </c>
      <c r="G58">
        <v>21</v>
      </c>
      <c r="H58">
        <v>6</v>
      </c>
      <c r="I58">
        <v>50</v>
      </c>
      <c r="J58">
        <v>1.18</v>
      </c>
      <c r="K58">
        <v>1.22</v>
      </c>
      <c r="L58">
        <v>1.31</v>
      </c>
      <c r="M58">
        <v>1.26</v>
      </c>
      <c r="N58">
        <v>1.28</v>
      </c>
      <c r="O58">
        <v>1.03</v>
      </c>
      <c r="P58">
        <v>0.92</v>
      </c>
      <c r="Q58">
        <v>0.93</v>
      </c>
      <c r="R58">
        <v>0.98</v>
      </c>
      <c r="S58">
        <v>0.98</v>
      </c>
      <c r="T58">
        <v>3743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9</v>
      </c>
      <c r="G59">
        <v>21</v>
      </c>
      <c r="H59">
        <v>6</v>
      </c>
      <c r="I59">
        <v>54</v>
      </c>
      <c r="J59">
        <v>1.27</v>
      </c>
      <c r="K59">
        <v>1.26</v>
      </c>
      <c r="L59">
        <v>1.33</v>
      </c>
      <c r="M59">
        <v>1.1200000000000001</v>
      </c>
      <c r="N59">
        <v>1.1200000000000001</v>
      </c>
      <c r="O59">
        <v>1.04</v>
      </c>
      <c r="P59">
        <v>1.02</v>
      </c>
      <c r="Q59">
        <v>0.9</v>
      </c>
      <c r="R59">
        <v>0.88</v>
      </c>
      <c r="S59">
        <v>0.88</v>
      </c>
      <c r="T59">
        <v>3732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9</v>
      </c>
      <c r="G60">
        <v>21</v>
      </c>
      <c r="H60">
        <v>6</v>
      </c>
      <c r="I60">
        <v>51</v>
      </c>
      <c r="J60">
        <v>1.01</v>
      </c>
      <c r="K60">
        <v>1.05</v>
      </c>
      <c r="L60">
        <v>1.4</v>
      </c>
      <c r="M60">
        <v>1.34</v>
      </c>
      <c r="N60">
        <v>1.43</v>
      </c>
      <c r="O60">
        <v>1.28</v>
      </c>
      <c r="P60">
        <v>1.24</v>
      </c>
      <c r="Q60">
        <v>1.01</v>
      </c>
      <c r="R60">
        <v>0.84</v>
      </c>
      <c r="S60">
        <v>0.87</v>
      </c>
      <c r="T60">
        <v>3725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9</v>
      </c>
      <c r="G61">
        <v>21</v>
      </c>
      <c r="H61">
        <v>7</v>
      </c>
      <c r="I61">
        <v>6</v>
      </c>
      <c r="J61">
        <v>1.46</v>
      </c>
      <c r="K61">
        <v>1.39</v>
      </c>
      <c r="L61">
        <v>1.4</v>
      </c>
      <c r="M61">
        <v>1.38</v>
      </c>
      <c r="N61">
        <v>1.26</v>
      </c>
      <c r="O61">
        <v>1.03</v>
      </c>
      <c r="P61">
        <v>1.02</v>
      </c>
      <c r="Q61">
        <v>0.96</v>
      </c>
      <c r="R61">
        <v>1.03</v>
      </c>
      <c r="S61">
        <v>0.98</v>
      </c>
      <c r="T61">
        <v>3703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9</v>
      </c>
      <c r="G62">
        <v>21</v>
      </c>
      <c r="H62">
        <v>7</v>
      </c>
      <c r="I62">
        <v>10</v>
      </c>
      <c r="J62">
        <v>1.38</v>
      </c>
      <c r="K62">
        <v>1.33</v>
      </c>
      <c r="L62">
        <v>1.47</v>
      </c>
      <c r="M62">
        <v>1.44</v>
      </c>
      <c r="N62">
        <v>1.38</v>
      </c>
      <c r="O62">
        <v>1.2</v>
      </c>
      <c r="P62">
        <v>1.22</v>
      </c>
      <c r="Q62">
        <v>1.01</v>
      </c>
      <c r="R62">
        <v>0.97</v>
      </c>
      <c r="S62">
        <v>0.96</v>
      </c>
      <c r="T62">
        <v>3697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9</v>
      </c>
      <c r="G63">
        <v>21</v>
      </c>
      <c r="H63">
        <v>7</v>
      </c>
      <c r="I63">
        <v>13</v>
      </c>
      <c r="J63">
        <v>1.35</v>
      </c>
      <c r="K63">
        <v>1.28</v>
      </c>
      <c r="L63">
        <v>1.39</v>
      </c>
      <c r="M63">
        <v>1.49</v>
      </c>
      <c r="N63">
        <v>1.41</v>
      </c>
      <c r="O63">
        <v>1.28</v>
      </c>
      <c r="P63">
        <v>1.1499999999999999</v>
      </c>
      <c r="Q63">
        <v>0.86</v>
      </c>
      <c r="R63">
        <v>0.81</v>
      </c>
      <c r="S63">
        <v>0.84</v>
      </c>
      <c r="T63">
        <v>3712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9</v>
      </c>
      <c r="G64">
        <v>21</v>
      </c>
      <c r="H64">
        <v>7</v>
      </c>
      <c r="I64">
        <v>17</v>
      </c>
      <c r="J64">
        <v>1.3</v>
      </c>
      <c r="K64">
        <v>1.26</v>
      </c>
      <c r="L64">
        <v>1.24</v>
      </c>
      <c r="M64">
        <v>1.35</v>
      </c>
      <c r="N64">
        <v>1.32</v>
      </c>
      <c r="O64">
        <v>1.19</v>
      </c>
      <c r="P64">
        <v>1.05</v>
      </c>
      <c r="Q64">
        <v>0.96</v>
      </c>
      <c r="R64">
        <v>0.87</v>
      </c>
      <c r="S64">
        <v>0.84</v>
      </c>
      <c r="T64">
        <v>3703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9</v>
      </c>
      <c r="G65">
        <v>21</v>
      </c>
      <c r="H65">
        <v>7</v>
      </c>
      <c r="I65">
        <v>33</v>
      </c>
      <c r="J65">
        <v>1.1599999999999999</v>
      </c>
      <c r="K65">
        <v>0.99</v>
      </c>
      <c r="L65">
        <v>1.02</v>
      </c>
      <c r="M65">
        <v>1.1599999999999999</v>
      </c>
      <c r="N65">
        <v>1.24</v>
      </c>
      <c r="O65">
        <v>0.97</v>
      </c>
      <c r="P65">
        <v>0.94</v>
      </c>
      <c r="Q65">
        <v>0.93</v>
      </c>
      <c r="R65">
        <v>1.02</v>
      </c>
      <c r="S65">
        <v>0.88</v>
      </c>
      <c r="T65">
        <v>3701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9</v>
      </c>
      <c r="G66">
        <v>21</v>
      </c>
      <c r="H66">
        <v>7</v>
      </c>
      <c r="I66">
        <v>21</v>
      </c>
      <c r="J66">
        <v>1.22</v>
      </c>
      <c r="K66">
        <v>1.26</v>
      </c>
      <c r="L66">
        <v>1.3</v>
      </c>
      <c r="M66">
        <v>1</v>
      </c>
      <c r="N66">
        <v>0.89</v>
      </c>
      <c r="O66">
        <v>0.94</v>
      </c>
      <c r="P66">
        <v>0.89</v>
      </c>
      <c r="Q66">
        <v>0.83</v>
      </c>
      <c r="R66">
        <v>0.93</v>
      </c>
      <c r="S66">
        <v>0.94</v>
      </c>
      <c r="T66">
        <v>3699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9</v>
      </c>
      <c r="G67">
        <v>21</v>
      </c>
      <c r="H67">
        <v>7</v>
      </c>
      <c r="I67">
        <v>25</v>
      </c>
      <c r="J67">
        <v>1.44</v>
      </c>
      <c r="K67">
        <v>1.3</v>
      </c>
      <c r="L67">
        <v>1.27</v>
      </c>
      <c r="M67">
        <v>1.17</v>
      </c>
      <c r="N67">
        <v>1.21</v>
      </c>
      <c r="O67">
        <v>1.25</v>
      </c>
      <c r="P67">
        <v>1.1100000000000001</v>
      </c>
      <c r="Q67">
        <v>0.88</v>
      </c>
      <c r="R67">
        <v>0.86</v>
      </c>
      <c r="S67">
        <v>0.89</v>
      </c>
      <c r="T67">
        <v>3698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9</v>
      </c>
      <c r="G68">
        <v>21</v>
      </c>
      <c r="H68">
        <v>7</v>
      </c>
      <c r="I68">
        <v>21</v>
      </c>
      <c r="J68">
        <v>1.49</v>
      </c>
      <c r="K68">
        <v>1.41</v>
      </c>
      <c r="L68">
        <v>1.22</v>
      </c>
      <c r="M68">
        <v>1.26</v>
      </c>
      <c r="N68">
        <v>1.36</v>
      </c>
      <c r="O68">
        <v>1.2</v>
      </c>
      <c r="P68">
        <v>1.1000000000000001</v>
      </c>
      <c r="Q68">
        <v>0.84</v>
      </c>
      <c r="R68">
        <v>0.79</v>
      </c>
      <c r="S68">
        <v>0.83</v>
      </c>
      <c r="T68">
        <v>3691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16.994700000000002</v>
      </c>
      <c r="K73">
        <f t="shared" ref="K73:R73" si="0">22.275*K45-6.1713</f>
        <v>17.217449999999999</v>
      </c>
      <c r="L73">
        <f t="shared" si="0"/>
        <v>20.78145</v>
      </c>
      <c r="M73">
        <f t="shared" si="0"/>
        <v>24.568199999999997</v>
      </c>
      <c r="N73">
        <f t="shared" si="0"/>
        <v>19.444949999999999</v>
      </c>
      <c r="O73">
        <f t="shared" si="0"/>
        <v>17.217449999999999</v>
      </c>
      <c r="P73">
        <f t="shared" si="0"/>
        <v>17.440200000000001</v>
      </c>
      <c r="Q73">
        <f t="shared" si="0"/>
        <v>17.8857</v>
      </c>
      <c r="R73">
        <f t="shared" si="0"/>
        <v>18.55395</v>
      </c>
      <c r="S73">
        <f>22.275*(S45*1.1)-6.1713</f>
        <v>16.861049999999999</v>
      </c>
    </row>
    <row r="74" spans="1:20" x14ac:dyDescent="0.25">
      <c r="I74" t="s">
        <v>43</v>
      </c>
      <c r="J74">
        <f t="shared" ref="J74:R89" si="1">22.275*J46-6.1713</f>
        <v>21.895199999999999</v>
      </c>
      <c r="K74">
        <f t="shared" si="1"/>
        <v>21.672450000000001</v>
      </c>
      <c r="L74">
        <f t="shared" si="1"/>
        <v>17.440200000000001</v>
      </c>
      <c r="M74">
        <f t="shared" si="1"/>
        <v>13.876200000000001</v>
      </c>
      <c r="N74">
        <f t="shared" si="1"/>
        <v>12.094200000000001</v>
      </c>
      <c r="O74">
        <f t="shared" si="1"/>
        <v>12.316949999999999</v>
      </c>
      <c r="P74">
        <f t="shared" si="1"/>
        <v>12.5397</v>
      </c>
      <c r="Q74">
        <f t="shared" si="1"/>
        <v>16.77195</v>
      </c>
      <c r="R74">
        <f t="shared" si="1"/>
        <v>17.662950000000002</v>
      </c>
      <c r="S74">
        <f t="shared" ref="S74:S91" si="2">22.275*(S46*1.1)-6.1713</f>
        <v>14.410800000000002</v>
      </c>
    </row>
    <row r="75" spans="1:20" x14ac:dyDescent="0.25">
      <c r="I75" t="s">
        <v>44</v>
      </c>
      <c r="J75">
        <f t="shared" si="1"/>
        <v>20.335949999999997</v>
      </c>
      <c r="K75">
        <f t="shared" si="1"/>
        <v>18.55395</v>
      </c>
      <c r="L75">
        <f t="shared" si="1"/>
        <v>20.113199999999999</v>
      </c>
      <c r="M75">
        <f t="shared" si="1"/>
        <v>22.786200000000001</v>
      </c>
      <c r="N75">
        <f t="shared" si="1"/>
        <v>20.78145</v>
      </c>
      <c r="O75">
        <f t="shared" si="1"/>
        <v>16.549199999999999</v>
      </c>
      <c r="P75">
        <f t="shared" si="1"/>
        <v>14.767199999999999</v>
      </c>
      <c r="Q75">
        <f t="shared" si="1"/>
        <v>14.3217</v>
      </c>
      <c r="R75">
        <f t="shared" si="1"/>
        <v>16.326450000000001</v>
      </c>
      <c r="S75">
        <f t="shared" si="2"/>
        <v>15.390900000000002</v>
      </c>
    </row>
    <row r="76" spans="1:20" x14ac:dyDescent="0.25">
      <c r="I76" t="s">
        <v>45</v>
      </c>
      <c r="J76">
        <f t="shared" si="1"/>
        <v>23.2317</v>
      </c>
      <c r="K76">
        <f t="shared" si="1"/>
        <v>23.2317</v>
      </c>
      <c r="L76">
        <f t="shared" si="1"/>
        <v>23.2317</v>
      </c>
      <c r="M76">
        <f t="shared" si="1"/>
        <v>22.56345</v>
      </c>
      <c r="N76">
        <f t="shared" si="1"/>
        <v>18.999449999999996</v>
      </c>
      <c r="O76">
        <f t="shared" si="1"/>
        <v>16.77195</v>
      </c>
      <c r="P76">
        <f t="shared" si="1"/>
        <v>16.994700000000002</v>
      </c>
      <c r="Q76">
        <f t="shared" si="1"/>
        <v>17.8857</v>
      </c>
      <c r="R76">
        <f t="shared" si="1"/>
        <v>15.212699999999998</v>
      </c>
      <c r="S76">
        <f t="shared" si="2"/>
        <v>14.900850000000002</v>
      </c>
    </row>
    <row r="77" spans="1:20" x14ac:dyDescent="0.25">
      <c r="I77" t="s">
        <v>46</v>
      </c>
      <c r="J77">
        <f t="shared" si="1"/>
        <v>25.681949999999997</v>
      </c>
      <c r="K77">
        <f t="shared" si="1"/>
        <v>23.2317</v>
      </c>
      <c r="L77">
        <f t="shared" si="1"/>
        <v>22.340700000000002</v>
      </c>
      <c r="M77">
        <f t="shared" si="1"/>
        <v>21.004199999999997</v>
      </c>
      <c r="N77">
        <f t="shared" si="1"/>
        <v>18.331200000000003</v>
      </c>
      <c r="O77">
        <f t="shared" si="1"/>
        <v>17.440200000000001</v>
      </c>
      <c r="P77">
        <f t="shared" si="1"/>
        <v>16.549199999999999</v>
      </c>
      <c r="Q77">
        <f t="shared" si="1"/>
        <v>19.444949999999999</v>
      </c>
      <c r="R77">
        <f t="shared" si="1"/>
        <v>18.55395</v>
      </c>
      <c r="S77">
        <f t="shared" si="2"/>
        <v>16.861049999999999</v>
      </c>
    </row>
    <row r="78" spans="1:20" x14ac:dyDescent="0.25">
      <c r="I78" t="s">
        <v>47</v>
      </c>
      <c r="J78">
        <f t="shared" si="1"/>
        <v>24.345450000000003</v>
      </c>
      <c r="K78">
        <f t="shared" si="1"/>
        <v>23.008950000000002</v>
      </c>
      <c r="L78">
        <f t="shared" si="1"/>
        <v>22.11795</v>
      </c>
      <c r="M78">
        <f t="shared" si="1"/>
        <v>22.56345</v>
      </c>
      <c r="N78">
        <f t="shared" si="1"/>
        <v>20.558699999999998</v>
      </c>
      <c r="O78">
        <f t="shared" si="1"/>
        <v>15.880949999999999</v>
      </c>
      <c r="P78">
        <f t="shared" si="1"/>
        <v>12.5397</v>
      </c>
      <c r="Q78">
        <f t="shared" si="1"/>
        <v>16.549199999999999</v>
      </c>
      <c r="R78">
        <f t="shared" si="1"/>
        <v>18.331200000000003</v>
      </c>
      <c r="S78">
        <f t="shared" si="2"/>
        <v>18.576225000000004</v>
      </c>
    </row>
    <row r="79" spans="1:20" x14ac:dyDescent="0.25">
      <c r="I79" t="s">
        <v>48</v>
      </c>
      <c r="J79">
        <f t="shared" si="1"/>
        <v>21.226949999999999</v>
      </c>
      <c r="K79">
        <f t="shared" si="1"/>
        <v>21.004199999999997</v>
      </c>
      <c r="L79">
        <f t="shared" si="1"/>
        <v>24.568199999999997</v>
      </c>
      <c r="M79">
        <f t="shared" si="1"/>
        <v>23.89995</v>
      </c>
      <c r="N79">
        <f t="shared" si="1"/>
        <v>19.890449999999998</v>
      </c>
      <c r="O79">
        <f t="shared" si="1"/>
        <v>12.5397</v>
      </c>
      <c r="P79">
        <f t="shared" si="1"/>
        <v>11.871450000000003</v>
      </c>
      <c r="Q79">
        <f t="shared" si="1"/>
        <v>13.20795</v>
      </c>
      <c r="R79">
        <f t="shared" si="1"/>
        <v>16.326450000000001</v>
      </c>
      <c r="S79">
        <f t="shared" si="2"/>
        <v>16.371000000000006</v>
      </c>
    </row>
    <row r="80" spans="1:20" x14ac:dyDescent="0.25">
      <c r="I80" t="s">
        <v>49</v>
      </c>
      <c r="J80">
        <f t="shared" si="1"/>
        <v>9.866699999999998</v>
      </c>
      <c r="K80">
        <f t="shared" si="1"/>
        <v>7.8619499999999993</v>
      </c>
      <c r="L80">
        <f t="shared" si="1"/>
        <v>6.5254499999999984</v>
      </c>
      <c r="M80">
        <f t="shared" si="1"/>
        <v>7.4164499999999984</v>
      </c>
      <c r="N80">
        <f t="shared" si="1"/>
        <v>6.748199999999998</v>
      </c>
      <c r="O80">
        <f t="shared" si="1"/>
        <v>6.5254499999999984</v>
      </c>
      <c r="P80">
        <f t="shared" si="1"/>
        <v>8.0847000000000016</v>
      </c>
      <c r="Q80">
        <f t="shared" si="1"/>
        <v>9.1984499999999976</v>
      </c>
      <c r="R80">
        <f t="shared" si="1"/>
        <v>11.42595</v>
      </c>
      <c r="S80">
        <f t="shared" si="2"/>
        <v>16.371000000000006</v>
      </c>
    </row>
    <row r="81" spans="9:19" x14ac:dyDescent="0.25">
      <c r="I81" t="s">
        <v>50</v>
      </c>
      <c r="J81">
        <f t="shared" si="1"/>
        <v>31.250699999999998</v>
      </c>
      <c r="K81">
        <f t="shared" si="1"/>
        <v>25.013699999999996</v>
      </c>
      <c r="L81">
        <f t="shared" si="1"/>
        <v>24.790949999999999</v>
      </c>
      <c r="M81">
        <f t="shared" si="1"/>
        <v>23.89995</v>
      </c>
      <c r="N81">
        <f t="shared" si="1"/>
        <v>21.004199999999997</v>
      </c>
      <c r="O81">
        <f t="shared" si="1"/>
        <v>18.999449999999996</v>
      </c>
      <c r="P81">
        <f t="shared" si="1"/>
        <v>14.767199999999999</v>
      </c>
      <c r="Q81">
        <f t="shared" si="1"/>
        <v>14.098950000000002</v>
      </c>
      <c r="R81">
        <f t="shared" si="1"/>
        <v>13.876200000000001</v>
      </c>
      <c r="S81">
        <f t="shared" si="2"/>
        <v>15.880950000000002</v>
      </c>
    </row>
    <row r="82" spans="9:19" x14ac:dyDescent="0.25">
      <c r="I82" t="s">
        <v>51</v>
      </c>
      <c r="J82">
        <f t="shared" si="1"/>
        <v>18.108450000000001</v>
      </c>
      <c r="K82">
        <f t="shared" si="1"/>
        <v>16.326450000000001</v>
      </c>
      <c r="L82">
        <f t="shared" si="1"/>
        <v>14.098950000000002</v>
      </c>
      <c r="M82">
        <f t="shared" si="1"/>
        <v>12.985199999999999</v>
      </c>
      <c r="N82">
        <f t="shared" si="1"/>
        <v>12.985199999999999</v>
      </c>
      <c r="O82">
        <f t="shared" si="1"/>
        <v>11.203200000000002</v>
      </c>
      <c r="P82">
        <f t="shared" si="1"/>
        <v>12.094200000000001</v>
      </c>
      <c r="Q82">
        <f t="shared" si="1"/>
        <v>15.212699999999998</v>
      </c>
      <c r="R82">
        <f t="shared" si="1"/>
        <v>17.440200000000001</v>
      </c>
      <c r="S82">
        <f t="shared" si="2"/>
        <v>18.086175000000001</v>
      </c>
    </row>
    <row r="83" spans="9:19" x14ac:dyDescent="0.25">
      <c r="I83" t="s">
        <v>52</v>
      </c>
      <c r="J83">
        <f t="shared" si="1"/>
        <v>18.331200000000003</v>
      </c>
      <c r="K83">
        <f t="shared" si="1"/>
        <v>17.662950000000002</v>
      </c>
      <c r="L83">
        <f t="shared" si="1"/>
        <v>22.11795</v>
      </c>
      <c r="M83">
        <f t="shared" si="1"/>
        <v>23.89995</v>
      </c>
      <c r="N83">
        <f t="shared" si="1"/>
        <v>22.340700000000002</v>
      </c>
      <c r="O83">
        <f t="shared" si="1"/>
        <v>17.8857</v>
      </c>
      <c r="P83">
        <f t="shared" si="1"/>
        <v>19.222199999999997</v>
      </c>
      <c r="Q83">
        <f t="shared" si="1"/>
        <v>17.662950000000002</v>
      </c>
      <c r="R83">
        <f t="shared" si="1"/>
        <v>18.108450000000001</v>
      </c>
      <c r="S83">
        <f t="shared" si="2"/>
        <v>16.861049999999999</v>
      </c>
    </row>
    <row r="84" spans="9:19" x14ac:dyDescent="0.25">
      <c r="I84" t="s">
        <v>53</v>
      </c>
      <c r="J84">
        <f t="shared" si="1"/>
        <v>14.3217</v>
      </c>
      <c r="K84">
        <f t="shared" si="1"/>
        <v>14.767199999999999</v>
      </c>
      <c r="L84">
        <f t="shared" si="1"/>
        <v>20.113199999999999</v>
      </c>
      <c r="M84">
        <f t="shared" si="1"/>
        <v>23.2317</v>
      </c>
      <c r="N84">
        <f t="shared" si="1"/>
        <v>23.008950000000002</v>
      </c>
      <c r="O84">
        <f t="shared" si="1"/>
        <v>21.672450000000001</v>
      </c>
      <c r="P84">
        <f t="shared" si="1"/>
        <v>19.890449999999998</v>
      </c>
      <c r="Q84">
        <f t="shared" si="1"/>
        <v>18.331200000000003</v>
      </c>
      <c r="R84">
        <f t="shared" si="1"/>
        <v>16.549199999999999</v>
      </c>
      <c r="S84">
        <f t="shared" si="2"/>
        <v>14.900850000000002</v>
      </c>
    </row>
    <row r="85" spans="9:19" x14ac:dyDescent="0.25">
      <c r="I85" t="s">
        <v>54</v>
      </c>
      <c r="J85">
        <f t="shared" si="1"/>
        <v>19.890449999999998</v>
      </c>
      <c r="K85">
        <f t="shared" si="1"/>
        <v>22.340700000000002</v>
      </c>
      <c r="L85">
        <f t="shared" si="1"/>
        <v>27.909450000000003</v>
      </c>
      <c r="M85">
        <f t="shared" si="1"/>
        <v>25.681949999999997</v>
      </c>
      <c r="N85">
        <f t="shared" si="1"/>
        <v>25.013699999999996</v>
      </c>
      <c r="O85">
        <f t="shared" si="1"/>
        <v>22.786200000000001</v>
      </c>
      <c r="P85">
        <f t="shared" si="1"/>
        <v>19.890449999999998</v>
      </c>
      <c r="Q85">
        <f t="shared" si="1"/>
        <v>14.3217</v>
      </c>
      <c r="R85">
        <f t="shared" si="1"/>
        <v>16.549199999999999</v>
      </c>
      <c r="S85">
        <f t="shared" si="2"/>
        <v>17.596124999999997</v>
      </c>
    </row>
    <row r="86" spans="9:19" x14ac:dyDescent="0.25">
      <c r="I86" t="s">
        <v>55</v>
      </c>
      <c r="J86">
        <f t="shared" si="1"/>
        <v>20.113199999999999</v>
      </c>
      <c r="K86">
        <f t="shared" si="1"/>
        <v>21.004199999999997</v>
      </c>
      <c r="L86">
        <f t="shared" si="1"/>
        <v>23.008950000000002</v>
      </c>
      <c r="M86">
        <f t="shared" si="1"/>
        <v>21.895199999999999</v>
      </c>
      <c r="N86">
        <f t="shared" si="1"/>
        <v>22.340700000000002</v>
      </c>
      <c r="O86">
        <f t="shared" si="1"/>
        <v>16.77195</v>
      </c>
      <c r="P86">
        <f t="shared" si="1"/>
        <v>14.3217</v>
      </c>
      <c r="Q86">
        <f t="shared" si="1"/>
        <v>14.544450000000001</v>
      </c>
      <c r="R86">
        <f t="shared" si="1"/>
        <v>15.658200000000001</v>
      </c>
      <c r="S86">
        <f t="shared" si="2"/>
        <v>17.841150000000003</v>
      </c>
    </row>
    <row r="87" spans="9:19" x14ac:dyDescent="0.25">
      <c r="I87" t="s">
        <v>56</v>
      </c>
      <c r="J87">
        <f t="shared" si="1"/>
        <v>22.11795</v>
      </c>
      <c r="K87">
        <f t="shared" si="1"/>
        <v>21.895199999999999</v>
      </c>
      <c r="L87">
        <f t="shared" si="1"/>
        <v>23.454450000000001</v>
      </c>
      <c r="M87">
        <f t="shared" si="1"/>
        <v>18.776700000000002</v>
      </c>
      <c r="N87">
        <f t="shared" si="1"/>
        <v>18.776700000000002</v>
      </c>
      <c r="O87">
        <f t="shared" si="1"/>
        <v>16.994700000000002</v>
      </c>
      <c r="P87">
        <f t="shared" si="1"/>
        <v>16.549199999999999</v>
      </c>
      <c r="Q87">
        <f t="shared" si="1"/>
        <v>13.876200000000001</v>
      </c>
      <c r="R87">
        <f t="shared" si="1"/>
        <v>13.430700000000002</v>
      </c>
      <c r="S87">
        <f t="shared" si="2"/>
        <v>15.390900000000002</v>
      </c>
    </row>
    <row r="88" spans="9:19" x14ac:dyDescent="0.25">
      <c r="I88" t="s">
        <v>57</v>
      </c>
      <c r="J88">
        <f t="shared" si="1"/>
        <v>16.326450000000001</v>
      </c>
      <c r="K88">
        <f t="shared" si="1"/>
        <v>17.217449999999999</v>
      </c>
      <c r="L88">
        <f t="shared" si="1"/>
        <v>25.013699999999996</v>
      </c>
      <c r="M88">
        <f t="shared" si="1"/>
        <v>23.677200000000003</v>
      </c>
      <c r="N88">
        <f t="shared" si="1"/>
        <v>25.681949999999997</v>
      </c>
      <c r="O88">
        <f t="shared" si="1"/>
        <v>22.340700000000002</v>
      </c>
      <c r="P88">
        <f t="shared" si="1"/>
        <v>21.4497</v>
      </c>
      <c r="Q88">
        <f t="shared" si="1"/>
        <v>16.326450000000001</v>
      </c>
      <c r="R88">
        <f t="shared" si="1"/>
        <v>12.5397</v>
      </c>
      <c r="S88">
        <f t="shared" si="2"/>
        <v>15.145875</v>
      </c>
    </row>
    <row r="89" spans="9:19" x14ac:dyDescent="0.25">
      <c r="I89" t="s">
        <v>58</v>
      </c>
      <c r="J89">
        <f t="shared" si="1"/>
        <v>26.350199999999997</v>
      </c>
      <c r="K89">
        <f t="shared" si="1"/>
        <v>24.790949999999999</v>
      </c>
      <c r="L89">
        <f t="shared" si="1"/>
        <v>25.013699999999996</v>
      </c>
      <c r="M89">
        <f t="shared" si="1"/>
        <v>24.568199999999997</v>
      </c>
      <c r="N89">
        <f t="shared" si="1"/>
        <v>21.895199999999999</v>
      </c>
      <c r="O89">
        <f t="shared" si="1"/>
        <v>16.77195</v>
      </c>
      <c r="P89">
        <f t="shared" si="1"/>
        <v>16.549199999999999</v>
      </c>
      <c r="Q89">
        <f t="shared" si="1"/>
        <v>15.212699999999998</v>
      </c>
      <c r="R89">
        <f t="shared" si="1"/>
        <v>16.77195</v>
      </c>
      <c r="S89">
        <f t="shared" si="2"/>
        <v>17.841150000000003</v>
      </c>
    </row>
    <row r="90" spans="9:19" x14ac:dyDescent="0.25">
      <c r="I90" t="s">
        <v>59</v>
      </c>
      <c r="J90">
        <f t="shared" ref="J90:R96" si="3">22.275*J62-6.1713</f>
        <v>24.568199999999997</v>
      </c>
      <c r="K90">
        <f t="shared" si="3"/>
        <v>23.454450000000001</v>
      </c>
      <c r="L90">
        <f t="shared" si="3"/>
        <v>26.572949999999995</v>
      </c>
      <c r="M90">
        <f t="shared" si="3"/>
        <v>25.904699999999995</v>
      </c>
      <c r="N90">
        <f t="shared" si="3"/>
        <v>24.568199999999997</v>
      </c>
      <c r="O90">
        <f t="shared" si="3"/>
        <v>20.558699999999998</v>
      </c>
      <c r="P90">
        <f t="shared" si="3"/>
        <v>21.004199999999997</v>
      </c>
      <c r="Q90">
        <f t="shared" si="3"/>
        <v>16.326450000000001</v>
      </c>
      <c r="R90">
        <f t="shared" si="3"/>
        <v>15.435449999999999</v>
      </c>
      <c r="S90">
        <f t="shared" si="2"/>
        <v>17.351100000000002</v>
      </c>
    </row>
    <row r="91" spans="9:19" x14ac:dyDescent="0.25">
      <c r="I91" t="s">
        <v>60</v>
      </c>
      <c r="J91">
        <f t="shared" si="3"/>
        <v>23.89995</v>
      </c>
      <c r="K91">
        <f t="shared" si="3"/>
        <v>22.340700000000002</v>
      </c>
      <c r="L91">
        <f t="shared" si="3"/>
        <v>24.790949999999999</v>
      </c>
      <c r="M91">
        <f t="shared" si="3"/>
        <v>27.018449999999998</v>
      </c>
      <c r="N91">
        <f t="shared" si="3"/>
        <v>25.236449999999998</v>
      </c>
      <c r="O91">
        <f t="shared" si="3"/>
        <v>22.340700000000002</v>
      </c>
      <c r="P91">
        <f t="shared" si="3"/>
        <v>19.444949999999999</v>
      </c>
      <c r="Q91">
        <f t="shared" si="3"/>
        <v>12.985199999999999</v>
      </c>
      <c r="R91">
        <f t="shared" si="3"/>
        <v>11.871450000000003</v>
      </c>
      <c r="S91">
        <f t="shared" si="2"/>
        <v>14.410800000000002</v>
      </c>
    </row>
    <row r="92" spans="9:19" x14ac:dyDescent="0.25">
      <c r="I92" t="s">
        <v>61</v>
      </c>
      <c r="J92">
        <f t="shared" si="3"/>
        <v>22.786200000000001</v>
      </c>
      <c r="K92">
        <f t="shared" si="3"/>
        <v>21.895199999999999</v>
      </c>
      <c r="L92">
        <f t="shared" si="3"/>
        <v>21.4497</v>
      </c>
      <c r="M92">
        <f t="shared" si="3"/>
        <v>23.89995</v>
      </c>
      <c r="N92">
        <f t="shared" si="3"/>
        <v>23.2317</v>
      </c>
      <c r="O92">
        <f t="shared" si="3"/>
        <v>20.335949999999997</v>
      </c>
      <c r="P92">
        <f t="shared" si="3"/>
        <v>17.217449999999999</v>
      </c>
      <c r="Q92">
        <f t="shared" si="3"/>
        <v>15.212699999999998</v>
      </c>
      <c r="R92">
        <f t="shared" si="3"/>
        <v>13.20795</v>
      </c>
      <c r="S92">
        <f>22.275*(S64*1.1)-6.1713</f>
        <v>14.410800000000002</v>
      </c>
    </row>
    <row r="93" spans="9:19" x14ac:dyDescent="0.25">
      <c r="I93" t="s">
        <v>62</v>
      </c>
      <c r="J93">
        <f t="shared" si="3"/>
        <v>19.667699999999996</v>
      </c>
      <c r="K93">
        <f t="shared" si="3"/>
        <v>15.880949999999999</v>
      </c>
      <c r="L93">
        <f t="shared" si="3"/>
        <v>16.549199999999999</v>
      </c>
      <c r="M93">
        <f t="shared" si="3"/>
        <v>19.667699999999996</v>
      </c>
      <c r="N93">
        <f t="shared" si="3"/>
        <v>21.4497</v>
      </c>
      <c r="O93">
        <f t="shared" si="3"/>
        <v>15.435449999999999</v>
      </c>
      <c r="P93">
        <f t="shared" si="3"/>
        <v>14.767199999999999</v>
      </c>
      <c r="Q93">
        <f t="shared" si="3"/>
        <v>14.544450000000001</v>
      </c>
      <c r="R93">
        <f t="shared" si="3"/>
        <v>16.549199999999999</v>
      </c>
      <c r="S93">
        <f t="shared" ref="S93:S95" si="4">22.275*(S65*1.1)-6.1713</f>
        <v>15.390900000000002</v>
      </c>
    </row>
    <row r="94" spans="9:19" x14ac:dyDescent="0.25">
      <c r="I94" t="s">
        <v>63</v>
      </c>
      <c r="J94">
        <f t="shared" si="3"/>
        <v>21.004199999999997</v>
      </c>
      <c r="K94">
        <f t="shared" si="3"/>
        <v>21.895199999999999</v>
      </c>
      <c r="L94">
        <f t="shared" si="3"/>
        <v>22.786200000000001</v>
      </c>
      <c r="M94">
        <f t="shared" si="3"/>
        <v>16.1037</v>
      </c>
      <c r="N94">
        <f t="shared" si="3"/>
        <v>13.653449999999999</v>
      </c>
      <c r="O94">
        <f t="shared" si="3"/>
        <v>14.767199999999999</v>
      </c>
      <c r="P94">
        <f t="shared" si="3"/>
        <v>13.653449999999999</v>
      </c>
      <c r="Q94">
        <f t="shared" si="3"/>
        <v>12.316949999999999</v>
      </c>
      <c r="R94">
        <f t="shared" si="3"/>
        <v>14.544450000000001</v>
      </c>
      <c r="S94">
        <f t="shared" si="4"/>
        <v>16.861049999999999</v>
      </c>
    </row>
    <row r="95" spans="9:19" x14ac:dyDescent="0.25">
      <c r="I95" t="s">
        <v>64</v>
      </c>
      <c r="J95">
        <f t="shared" si="3"/>
        <v>25.904699999999995</v>
      </c>
      <c r="K95">
        <f t="shared" si="3"/>
        <v>22.786200000000001</v>
      </c>
      <c r="L95">
        <f t="shared" si="3"/>
        <v>22.11795</v>
      </c>
      <c r="M95">
        <f t="shared" si="3"/>
        <v>19.890449999999998</v>
      </c>
      <c r="N95">
        <f t="shared" si="3"/>
        <v>20.78145</v>
      </c>
      <c r="O95">
        <f t="shared" si="3"/>
        <v>21.672450000000001</v>
      </c>
      <c r="P95">
        <f t="shared" si="3"/>
        <v>18.55395</v>
      </c>
      <c r="Q95">
        <f t="shared" si="3"/>
        <v>13.430700000000002</v>
      </c>
      <c r="R95">
        <f t="shared" si="3"/>
        <v>12.985199999999999</v>
      </c>
      <c r="S95">
        <f t="shared" si="4"/>
        <v>15.635925</v>
      </c>
    </row>
    <row r="96" spans="9:19" x14ac:dyDescent="0.25">
      <c r="I96" t="s">
        <v>65</v>
      </c>
      <c r="J96">
        <f>22.275*J68-6.1713</f>
        <v>27.018449999999998</v>
      </c>
      <c r="K96">
        <f t="shared" si="3"/>
        <v>25.236449999999998</v>
      </c>
      <c r="L96">
        <f t="shared" si="3"/>
        <v>21.004199999999997</v>
      </c>
      <c r="M96">
        <f t="shared" si="3"/>
        <v>21.895199999999999</v>
      </c>
      <c r="N96">
        <f t="shared" si="3"/>
        <v>24.122700000000002</v>
      </c>
      <c r="O96">
        <f t="shared" si="3"/>
        <v>20.558699999999998</v>
      </c>
      <c r="P96">
        <f t="shared" si="3"/>
        <v>18.331200000000003</v>
      </c>
      <c r="Q96">
        <f t="shared" si="3"/>
        <v>12.5397</v>
      </c>
      <c r="R96">
        <f t="shared" si="3"/>
        <v>11.42595</v>
      </c>
      <c r="S96">
        <f>22.275*(S68*1.1)-6.1713</f>
        <v>14.165775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0.16994700000000001</v>
      </c>
      <c r="K101" s="4">
        <f t="shared" si="5"/>
        <v>0.17217450000000001</v>
      </c>
      <c r="L101" s="4">
        <f t="shared" si="5"/>
        <v>0.20781449999999999</v>
      </c>
      <c r="M101" s="4">
        <f t="shared" si="5"/>
        <v>0.24568199999999998</v>
      </c>
      <c r="N101" s="4">
        <f t="shared" si="5"/>
        <v>0.1944495</v>
      </c>
      <c r="O101" s="4">
        <f t="shared" si="5"/>
        <v>0.17217450000000001</v>
      </c>
      <c r="P101" s="4">
        <f t="shared" si="5"/>
        <v>0.174402</v>
      </c>
      <c r="Q101" s="4">
        <f t="shared" si="5"/>
        <v>0.17885699999999999</v>
      </c>
      <c r="R101" s="4">
        <f t="shared" si="5"/>
        <v>0.1855395</v>
      </c>
      <c r="S101" s="4">
        <f t="shared" si="5"/>
        <v>0.1686105</v>
      </c>
    </row>
    <row r="102" spans="9:19" x14ac:dyDescent="0.25">
      <c r="I102">
        <v>12</v>
      </c>
      <c r="J102" s="4">
        <f t="shared" ref="J102:S115" si="6">IF(J74&lt;0,"",J74/100)</f>
        <v>0.21895199999999998</v>
      </c>
      <c r="K102" s="4">
        <f t="shared" si="6"/>
        <v>0.21672450000000001</v>
      </c>
      <c r="L102" s="4">
        <f t="shared" si="6"/>
        <v>0.174402</v>
      </c>
      <c r="M102" s="4">
        <f t="shared" si="6"/>
        <v>0.138762</v>
      </c>
      <c r="N102" s="4">
        <f t="shared" si="6"/>
        <v>0.12094200000000001</v>
      </c>
      <c r="O102" s="4">
        <f t="shared" si="6"/>
        <v>0.12316949999999999</v>
      </c>
      <c r="P102" s="4">
        <f t="shared" si="6"/>
        <v>0.12539700000000001</v>
      </c>
      <c r="Q102" s="4">
        <f t="shared" si="6"/>
        <v>0.16771949999999999</v>
      </c>
      <c r="R102" s="4">
        <f t="shared" si="6"/>
        <v>0.17662950000000002</v>
      </c>
      <c r="S102" s="4">
        <f t="shared" si="6"/>
        <v>0.14410800000000001</v>
      </c>
    </row>
    <row r="103" spans="9:19" x14ac:dyDescent="0.25">
      <c r="I103">
        <v>13</v>
      </c>
      <c r="J103" s="4">
        <f t="shared" si="6"/>
        <v>0.20335949999999997</v>
      </c>
      <c r="K103" s="4">
        <f t="shared" si="6"/>
        <v>0.1855395</v>
      </c>
      <c r="L103" s="4">
        <f t="shared" si="6"/>
        <v>0.20113199999999998</v>
      </c>
      <c r="M103" s="4">
        <f t="shared" si="6"/>
        <v>0.22786200000000001</v>
      </c>
      <c r="N103" s="4">
        <f t="shared" si="6"/>
        <v>0.20781449999999999</v>
      </c>
      <c r="O103" s="4">
        <f t="shared" si="6"/>
        <v>0.165492</v>
      </c>
      <c r="P103" s="4">
        <f t="shared" si="6"/>
        <v>0.147672</v>
      </c>
      <c r="Q103" s="4">
        <f t="shared" si="6"/>
        <v>0.14321700000000001</v>
      </c>
      <c r="R103" s="4">
        <f t="shared" si="6"/>
        <v>0.16326450000000001</v>
      </c>
      <c r="S103" s="4">
        <f t="shared" si="6"/>
        <v>0.15390900000000002</v>
      </c>
    </row>
    <row r="104" spans="9:19" x14ac:dyDescent="0.25">
      <c r="I104">
        <v>14</v>
      </c>
      <c r="J104" s="4">
        <f t="shared" si="6"/>
        <v>0.232317</v>
      </c>
      <c r="K104" s="4">
        <f t="shared" si="6"/>
        <v>0.232317</v>
      </c>
      <c r="L104" s="4">
        <f t="shared" si="6"/>
        <v>0.232317</v>
      </c>
      <c r="M104" s="4">
        <f t="shared" si="6"/>
        <v>0.22563449999999999</v>
      </c>
      <c r="N104" s="4">
        <f t="shared" si="6"/>
        <v>0.18999449999999996</v>
      </c>
      <c r="O104" s="4">
        <f t="shared" si="6"/>
        <v>0.16771949999999999</v>
      </c>
      <c r="P104" s="4">
        <f t="shared" si="6"/>
        <v>0.16994700000000001</v>
      </c>
      <c r="Q104" s="4">
        <f t="shared" si="6"/>
        <v>0.17885699999999999</v>
      </c>
      <c r="R104" s="4">
        <f t="shared" si="6"/>
        <v>0.15212699999999998</v>
      </c>
      <c r="S104" s="4">
        <f t="shared" si="6"/>
        <v>0.14900850000000002</v>
      </c>
    </row>
    <row r="105" spans="9:19" x14ac:dyDescent="0.25">
      <c r="I105">
        <v>21</v>
      </c>
      <c r="J105" s="4">
        <f t="shared" si="6"/>
        <v>0.25681949999999998</v>
      </c>
      <c r="K105" s="4">
        <f t="shared" si="6"/>
        <v>0.232317</v>
      </c>
      <c r="L105" s="4">
        <f t="shared" si="6"/>
        <v>0.22340700000000002</v>
      </c>
      <c r="M105" s="4">
        <f t="shared" si="6"/>
        <v>0.21004199999999998</v>
      </c>
      <c r="N105" s="4">
        <f t="shared" si="6"/>
        <v>0.18331200000000003</v>
      </c>
      <c r="O105" s="4">
        <f t="shared" si="6"/>
        <v>0.174402</v>
      </c>
      <c r="P105" s="4">
        <f t="shared" si="6"/>
        <v>0.165492</v>
      </c>
      <c r="Q105" s="4">
        <f t="shared" si="6"/>
        <v>0.1944495</v>
      </c>
      <c r="R105" s="4">
        <f t="shared" si="6"/>
        <v>0.1855395</v>
      </c>
      <c r="S105" s="4">
        <f t="shared" si="6"/>
        <v>0.1686105</v>
      </c>
    </row>
    <row r="106" spans="9:19" x14ac:dyDescent="0.25">
      <c r="I106">
        <v>22</v>
      </c>
      <c r="J106" s="4">
        <f t="shared" si="6"/>
        <v>0.24345450000000002</v>
      </c>
      <c r="K106" s="4">
        <f t="shared" si="6"/>
        <v>0.23008950000000003</v>
      </c>
      <c r="L106" s="4">
        <f t="shared" si="6"/>
        <v>0.2211795</v>
      </c>
      <c r="M106" s="4">
        <f t="shared" si="6"/>
        <v>0.22563449999999999</v>
      </c>
      <c r="N106" s="4">
        <f t="shared" si="6"/>
        <v>0.20558699999999999</v>
      </c>
      <c r="O106" s="4">
        <f t="shared" si="6"/>
        <v>0.15880949999999999</v>
      </c>
      <c r="P106" s="4">
        <f t="shared" si="6"/>
        <v>0.12539700000000001</v>
      </c>
      <c r="Q106" s="4">
        <f t="shared" si="6"/>
        <v>0.165492</v>
      </c>
      <c r="R106" s="4">
        <f t="shared" si="6"/>
        <v>0.18331200000000003</v>
      </c>
      <c r="S106" s="4">
        <f t="shared" si="6"/>
        <v>0.18576225000000005</v>
      </c>
    </row>
    <row r="107" spans="9:19" x14ac:dyDescent="0.25">
      <c r="I107">
        <v>23</v>
      </c>
      <c r="J107" s="4">
        <f t="shared" si="6"/>
        <v>0.2122695</v>
      </c>
      <c r="K107" s="4">
        <f t="shared" si="6"/>
        <v>0.21004199999999998</v>
      </c>
      <c r="L107" s="4">
        <f t="shared" si="6"/>
        <v>0.24568199999999998</v>
      </c>
      <c r="M107" s="4">
        <f t="shared" si="6"/>
        <v>0.2389995</v>
      </c>
      <c r="N107" s="4">
        <f t="shared" si="6"/>
        <v>0.19890449999999998</v>
      </c>
      <c r="O107" s="4">
        <f t="shared" si="6"/>
        <v>0.12539700000000001</v>
      </c>
      <c r="P107" s="4">
        <f t="shared" si="6"/>
        <v>0.11871450000000003</v>
      </c>
      <c r="Q107" s="4">
        <f t="shared" si="6"/>
        <v>0.13207950000000002</v>
      </c>
      <c r="R107" s="4">
        <f t="shared" si="6"/>
        <v>0.16326450000000001</v>
      </c>
      <c r="S107" s="4">
        <f t="shared" si="6"/>
        <v>0.16371000000000005</v>
      </c>
    </row>
    <row r="108" spans="9:19" x14ac:dyDescent="0.25">
      <c r="I108">
        <v>24</v>
      </c>
      <c r="J108" s="4">
        <f t="shared" si="6"/>
        <v>9.8666999999999977E-2</v>
      </c>
      <c r="K108" s="4">
        <f t="shared" si="6"/>
        <v>7.8619499999999995E-2</v>
      </c>
      <c r="L108" s="4">
        <f t="shared" si="6"/>
        <v>6.5254499999999979E-2</v>
      </c>
      <c r="M108" s="4">
        <f t="shared" si="6"/>
        <v>7.416449999999998E-2</v>
      </c>
      <c r="N108" s="4">
        <f t="shared" si="6"/>
        <v>6.7481999999999986E-2</v>
      </c>
      <c r="O108" s="4">
        <f t="shared" si="6"/>
        <v>6.5254499999999979E-2</v>
      </c>
      <c r="P108" s="4">
        <f t="shared" si="6"/>
        <v>8.0847000000000016E-2</v>
      </c>
      <c r="Q108" s="4">
        <f t="shared" si="6"/>
        <v>9.1984499999999969E-2</v>
      </c>
      <c r="R108" s="4">
        <f t="shared" si="6"/>
        <v>0.1142595</v>
      </c>
      <c r="S108" s="4">
        <f t="shared" si="6"/>
        <v>0.16371000000000005</v>
      </c>
    </row>
    <row r="109" spans="9:19" x14ac:dyDescent="0.25">
      <c r="I109">
        <v>31</v>
      </c>
      <c r="J109" s="4">
        <f t="shared" si="6"/>
        <v>0.31250699999999998</v>
      </c>
      <c r="K109" s="4">
        <f t="shared" si="6"/>
        <v>0.25013699999999994</v>
      </c>
      <c r="L109" s="4">
        <f t="shared" si="6"/>
        <v>0.24790949999999998</v>
      </c>
      <c r="M109" s="4">
        <f t="shared" si="6"/>
        <v>0.2389995</v>
      </c>
      <c r="N109" s="4">
        <f t="shared" si="6"/>
        <v>0.21004199999999998</v>
      </c>
      <c r="O109" s="4">
        <f t="shared" si="6"/>
        <v>0.18999449999999996</v>
      </c>
      <c r="P109" s="4">
        <f t="shared" si="6"/>
        <v>0.147672</v>
      </c>
      <c r="Q109" s="4">
        <f t="shared" si="6"/>
        <v>0.14098950000000002</v>
      </c>
      <c r="R109" s="4">
        <f t="shared" si="6"/>
        <v>0.138762</v>
      </c>
      <c r="S109" s="4">
        <f t="shared" si="6"/>
        <v>0.15880950000000002</v>
      </c>
    </row>
    <row r="110" spans="9:19" x14ac:dyDescent="0.25">
      <c r="I110">
        <v>32</v>
      </c>
      <c r="J110" s="4">
        <f t="shared" si="6"/>
        <v>0.18108450000000001</v>
      </c>
      <c r="K110" s="4">
        <f t="shared" si="6"/>
        <v>0.16326450000000001</v>
      </c>
      <c r="L110" s="4">
        <f t="shared" si="6"/>
        <v>0.14098950000000002</v>
      </c>
      <c r="M110" s="4">
        <f t="shared" si="6"/>
        <v>0.129852</v>
      </c>
      <c r="N110" s="4">
        <f t="shared" si="6"/>
        <v>0.129852</v>
      </c>
      <c r="O110" s="4">
        <f t="shared" si="6"/>
        <v>0.11203200000000002</v>
      </c>
      <c r="P110" s="4">
        <f t="shared" si="6"/>
        <v>0.12094200000000001</v>
      </c>
      <c r="Q110" s="4">
        <f t="shared" si="6"/>
        <v>0.15212699999999998</v>
      </c>
      <c r="R110" s="4">
        <f t="shared" si="6"/>
        <v>0.174402</v>
      </c>
      <c r="S110" s="4">
        <f t="shared" si="6"/>
        <v>0.18086175000000002</v>
      </c>
    </row>
    <row r="111" spans="9:19" x14ac:dyDescent="0.25">
      <c r="I111">
        <v>33</v>
      </c>
      <c r="J111" s="4">
        <f t="shared" si="6"/>
        <v>0.18331200000000003</v>
      </c>
      <c r="K111" s="4">
        <f t="shared" si="6"/>
        <v>0.17662950000000002</v>
      </c>
      <c r="L111" s="4">
        <f t="shared" si="6"/>
        <v>0.2211795</v>
      </c>
      <c r="M111" s="4">
        <f t="shared" si="6"/>
        <v>0.2389995</v>
      </c>
      <c r="N111" s="4">
        <f t="shared" si="6"/>
        <v>0.22340700000000002</v>
      </c>
      <c r="O111" s="4">
        <f t="shared" si="6"/>
        <v>0.17885699999999999</v>
      </c>
      <c r="P111" s="4">
        <f t="shared" si="6"/>
        <v>0.19222199999999998</v>
      </c>
      <c r="Q111" s="4">
        <f t="shared" si="6"/>
        <v>0.17662950000000002</v>
      </c>
      <c r="R111" s="4">
        <f t="shared" si="6"/>
        <v>0.18108450000000001</v>
      </c>
      <c r="S111" s="4">
        <f t="shared" si="6"/>
        <v>0.1686105</v>
      </c>
    </row>
    <row r="112" spans="9:19" x14ac:dyDescent="0.25">
      <c r="I112">
        <v>34</v>
      </c>
      <c r="J112" s="4">
        <f t="shared" si="6"/>
        <v>0.14321700000000001</v>
      </c>
      <c r="K112" s="4">
        <f t="shared" si="6"/>
        <v>0.147672</v>
      </c>
      <c r="L112" s="4">
        <f t="shared" si="6"/>
        <v>0.20113199999999998</v>
      </c>
      <c r="M112" s="4">
        <f t="shared" si="6"/>
        <v>0.232317</v>
      </c>
      <c r="N112" s="4">
        <f t="shared" si="6"/>
        <v>0.23008950000000003</v>
      </c>
      <c r="O112" s="4">
        <f t="shared" si="6"/>
        <v>0.21672450000000001</v>
      </c>
      <c r="P112" s="4">
        <f t="shared" si="6"/>
        <v>0.19890449999999998</v>
      </c>
      <c r="Q112" s="4">
        <f t="shared" si="6"/>
        <v>0.18331200000000003</v>
      </c>
      <c r="R112" s="4">
        <f t="shared" si="6"/>
        <v>0.165492</v>
      </c>
      <c r="S112" s="4">
        <f t="shared" si="6"/>
        <v>0.14900850000000002</v>
      </c>
    </row>
    <row r="113" spans="9:19" x14ac:dyDescent="0.25">
      <c r="I113">
        <v>41</v>
      </c>
      <c r="J113" s="4">
        <f t="shared" si="6"/>
        <v>0.19890449999999998</v>
      </c>
      <c r="K113" s="4">
        <f t="shared" si="6"/>
        <v>0.22340700000000002</v>
      </c>
      <c r="L113" s="4">
        <f t="shared" si="6"/>
        <v>0.27909450000000002</v>
      </c>
      <c r="M113" s="4">
        <f t="shared" si="6"/>
        <v>0.25681949999999998</v>
      </c>
      <c r="N113" s="4">
        <f t="shared" si="6"/>
        <v>0.25013699999999994</v>
      </c>
      <c r="O113" s="4">
        <f t="shared" si="6"/>
        <v>0.22786200000000001</v>
      </c>
      <c r="P113" s="4">
        <f t="shared" si="6"/>
        <v>0.19890449999999998</v>
      </c>
      <c r="Q113" s="4">
        <f t="shared" si="6"/>
        <v>0.14321700000000001</v>
      </c>
      <c r="R113" s="4">
        <f t="shared" si="6"/>
        <v>0.165492</v>
      </c>
      <c r="S113" s="4">
        <f t="shared" si="6"/>
        <v>0.17596124999999996</v>
      </c>
    </row>
    <row r="114" spans="9:19" x14ac:dyDescent="0.25">
      <c r="I114">
        <v>42</v>
      </c>
      <c r="J114" s="4">
        <f t="shared" si="6"/>
        <v>0.20113199999999998</v>
      </c>
      <c r="K114" s="4">
        <f t="shared" si="6"/>
        <v>0.21004199999999998</v>
      </c>
      <c r="L114" s="4">
        <f t="shared" si="6"/>
        <v>0.23008950000000003</v>
      </c>
      <c r="M114" s="4">
        <f t="shared" si="6"/>
        <v>0.21895199999999998</v>
      </c>
      <c r="N114" s="4">
        <f t="shared" si="6"/>
        <v>0.22340700000000002</v>
      </c>
      <c r="O114" s="4">
        <f t="shared" si="6"/>
        <v>0.16771949999999999</v>
      </c>
      <c r="P114" s="4">
        <f t="shared" si="6"/>
        <v>0.14321700000000001</v>
      </c>
      <c r="Q114" s="4">
        <f t="shared" si="6"/>
        <v>0.1454445</v>
      </c>
      <c r="R114" s="4">
        <f t="shared" si="6"/>
        <v>0.156582</v>
      </c>
      <c r="S114" s="4">
        <f t="shared" si="6"/>
        <v>0.17841150000000003</v>
      </c>
    </row>
    <row r="115" spans="9:19" x14ac:dyDescent="0.25">
      <c r="I115">
        <v>43</v>
      </c>
      <c r="J115" s="4">
        <f t="shared" si="6"/>
        <v>0.2211795</v>
      </c>
      <c r="K115" s="4">
        <f t="shared" si="6"/>
        <v>0.21895199999999998</v>
      </c>
      <c r="L115" s="4">
        <f t="shared" si="6"/>
        <v>0.23454450000000002</v>
      </c>
      <c r="M115" s="4">
        <f t="shared" si="6"/>
        <v>0.18776700000000002</v>
      </c>
      <c r="N115" s="4">
        <f t="shared" si="6"/>
        <v>0.18776700000000002</v>
      </c>
      <c r="O115" s="4">
        <f t="shared" si="6"/>
        <v>0.16994700000000001</v>
      </c>
      <c r="P115" s="4">
        <f t="shared" si="6"/>
        <v>0.165492</v>
      </c>
      <c r="Q115" s="4">
        <f t="shared" si="6"/>
        <v>0.138762</v>
      </c>
      <c r="R115" s="4">
        <f t="shared" si="6"/>
        <v>0.13430700000000001</v>
      </c>
      <c r="S115" s="4">
        <f t="shared" si="6"/>
        <v>0.15390900000000002</v>
      </c>
    </row>
    <row r="116" spans="9:19" x14ac:dyDescent="0.25">
      <c r="I116">
        <v>44</v>
      </c>
      <c r="J116" s="4">
        <f t="shared" ref="J116:S116" si="7">IF(J88&lt;0,"",J88/100)</f>
        <v>0.16326450000000001</v>
      </c>
      <c r="K116" s="4">
        <f t="shared" si="7"/>
        <v>0.17217450000000001</v>
      </c>
      <c r="L116" s="4">
        <f t="shared" si="7"/>
        <v>0.25013699999999994</v>
      </c>
      <c r="M116" s="4">
        <f t="shared" si="7"/>
        <v>0.23677200000000004</v>
      </c>
      <c r="N116" s="4">
        <f t="shared" si="7"/>
        <v>0.25681949999999998</v>
      </c>
      <c r="O116" s="4">
        <f t="shared" si="7"/>
        <v>0.22340700000000002</v>
      </c>
      <c r="P116" s="4">
        <f t="shared" si="7"/>
        <v>0.21449699999999999</v>
      </c>
      <c r="Q116" s="4">
        <f t="shared" si="7"/>
        <v>0.16326450000000001</v>
      </c>
      <c r="R116" s="4">
        <f t="shared" si="7"/>
        <v>0.12539700000000001</v>
      </c>
      <c r="S116" s="4">
        <f t="shared" si="7"/>
        <v>0.15145875</v>
      </c>
    </row>
    <row r="117" spans="9:19" x14ac:dyDescent="0.25">
      <c r="I117">
        <v>51</v>
      </c>
      <c r="J117" s="4">
        <f t="shared" ref="J117:S123" si="8">IF(J89&lt;0,"",J89/100)</f>
        <v>0.26350199999999996</v>
      </c>
      <c r="K117" s="4">
        <f t="shared" si="8"/>
        <v>0.24790949999999998</v>
      </c>
      <c r="L117" s="4">
        <f t="shared" si="8"/>
        <v>0.25013699999999994</v>
      </c>
      <c r="M117" s="4">
        <f t="shared" si="8"/>
        <v>0.24568199999999998</v>
      </c>
      <c r="N117" s="4">
        <f t="shared" si="8"/>
        <v>0.21895199999999998</v>
      </c>
      <c r="O117" s="4">
        <f t="shared" si="8"/>
        <v>0.16771949999999999</v>
      </c>
      <c r="P117" s="4">
        <f t="shared" si="8"/>
        <v>0.165492</v>
      </c>
      <c r="Q117" s="4">
        <f t="shared" si="8"/>
        <v>0.15212699999999998</v>
      </c>
      <c r="R117" s="4">
        <f t="shared" si="8"/>
        <v>0.16771949999999999</v>
      </c>
      <c r="S117" s="4">
        <f t="shared" si="8"/>
        <v>0.17841150000000003</v>
      </c>
    </row>
    <row r="118" spans="9:19" x14ac:dyDescent="0.25">
      <c r="I118">
        <v>52</v>
      </c>
      <c r="J118" s="4">
        <f t="shared" si="8"/>
        <v>0.24568199999999998</v>
      </c>
      <c r="K118" s="4">
        <f t="shared" si="8"/>
        <v>0.23454450000000002</v>
      </c>
      <c r="L118" s="4">
        <f t="shared" si="8"/>
        <v>0.26572949999999995</v>
      </c>
      <c r="M118" s="4">
        <f t="shared" si="8"/>
        <v>0.25904699999999997</v>
      </c>
      <c r="N118" s="4">
        <f t="shared" si="8"/>
        <v>0.24568199999999998</v>
      </c>
      <c r="O118" s="4">
        <f t="shared" si="8"/>
        <v>0.20558699999999999</v>
      </c>
      <c r="P118" s="4">
        <f t="shared" si="8"/>
        <v>0.21004199999999998</v>
      </c>
      <c r="Q118" s="4">
        <f t="shared" si="8"/>
        <v>0.16326450000000001</v>
      </c>
      <c r="R118" s="4">
        <f t="shared" si="8"/>
        <v>0.15435450000000001</v>
      </c>
      <c r="S118" s="4">
        <f t="shared" si="8"/>
        <v>0.17351100000000003</v>
      </c>
    </row>
    <row r="119" spans="9:19" x14ac:dyDescent="0.25">
      <c r="I119">
        <v>53</v>
      </c>
      <c r="J119" s="4">
        <f t="shared" si="8"/>
        <v>0.2389995</v>
      </c>
      <c r="K119" s="4">
        <f t="shared" si="8"/>
        <v>0.22340700000000002</v>
      </c>
      <c r="L119" s="4">
        <f t="shared" si="8"/>
        <v>0.24790949999999998</v>
      </c>
      <c r="M119" s="4">
        <f t="shared" si="8"/>
        <v>0.27018449999999999</v>
      </c>
      <c r="N119" s="4">
        <f t="shared" si="8"/>
        <v>0.25236449999999999</v>
      </c>
      <c r="O119" s="4">
        <f t="shared" si="8"/>
        <v>0.22340700000000002</v>
      </c>
      <c r="P119" s="4">
        <f t="shared" si="8"/>
        <v>0.1944495</v>
      </c>
      <c r="Q119" s="4">
        <f t="shared" si="8"/>
        <v>0.129852</v>
      </c>
      <c r="R119" s="4">
        <f t="shared" si="8"/>
        <v>0.11871450000000003</v>
      </c>
      <c r="S119" s="4">
        <f t="shared" si="8"/>
        <v>0.14410800000000001</v>
      </c>
    </row>
    <row r="120" spans="9:19" x14ac:dyDescent="0.25">
      <c r="I120">
        <v>54</v>
      </c>
      <c r="J120" s="4">
        <f t="shared" si="8"/>
        <v>0.22786200000000001</v>
      </c>
      <c r="K120" s="4">
        <f t="shared" si="8"/>
        <v>0.21895199999999998</v>
      </c>
      <c r="L120" s="4">
        <f t="shared" si="8"/>
        <v>0.21449699999999999</v>
      </c>
      <c r="M120" s="4">
        <f t="shared" si="8"/>
        <v>0.2389995</v>
      </c>
      <c r="N120" s="4">
        <f t="shared" si="8"/>
        <v>0.232317</v>
      </c>
      <c r="O120" s="4">
        <f t="shared" si="8"/>
        <v>0.20335949999999997</v>
      </c>
      <c r="P120" s="4">
        <f t="shared" si="8"/>
        <v>0.17217450000000001</v>
      </c>
      <c r="Q120" s="4">
        <f t="shared" si="8"/>
        <v>0.15212699999999998</v>
      </c>
      <c r="R120" s="4">
        <f t="shared" si="8"/>
        <v>0.13207950000000002</v>
      </c>
      <c r="S120" s="4">
        <f t="shared" si="8"/>
        <v>0.14410800000000001</v>
      </c>
    </row>
    <row r="121" spans="9:19" x14ac:dyDescent="0.25">
      <c r="I121">
        <v>61</v>
      </c>
      <c r="J121" s="4">
        <f t="shared" si="8"/>
        <v>0.19667699999999996</v>
      </c>
      <c r="K121" s="4">
        <f t="shared" si="8"/>
        <v>0.15880949999999999</v>
      </c>
      <c r="L121" s="4">
        <f t="shared" si="8"/>
        <v>0.165492</v>
      </c>
      <c r="M121" s="4">
        <f t="shared" si="8"/>
        <v>0.19667699999999996</v>
      </c>
      <c r="N121" s="4">
        <f t="shared" si="8"/>
        <v>0.21449699999999999</v>
      </c>
      <c r="O121" s="4">
        <f t="shared" si="8"/>
        <v>0.15435450000000001</v>
      </c>
      <c r="P121" s="4">
        <f t="shared" si="8"/>
        <v>0.147672</v>
      </c>
      <c r="Q121" s="4">
        <f t="shared" si="8"/>
        <v>0.1454445</v>
      </c>
      <c r="R121" s="4">
        <f t="shared" si="8"/>
        <v>0.165492</v>
      </c>
      <c r="S121" s="4">
        <f t="shared" si="8"/>
        <v>0.15390900000000002</v>
      </c>
    </row>
    <row r="122" spans="9:19" x14ac:dyDescent="0.25">
      <c r="I122">
        <v>62</v>
      </c>
      <c r="J122" s="4">
        <f t="shared" si="8"/>
        <v>0.21004199999999998</v>
      </c>
      <c r="K122" s="4">
        <f t="shared" si="8"/>
        <v>0.21895199999999998</v>
      </c>
      <c r="L122" s="4">
        <f t="shared" si="8"/>
        <v>0.22786200000000001</v>
      </c>
      <c r="M122" s="4">
        <f t="shared" si="8"/>
        <v>0.16103699999999999</v>
      </c>
      <c r="N122" s="4">
        <f t="shared" si="8"/>
        <v>0.1365345</v>
      </c>
      <c r="O122" s="4">
        <f t="shared" si="8"/>
        <v>0.147672</v>
      </c>
      <c r="P122" s="4">
        <f t="shared" si="8"/>
        <v>0.1365345</v>
      </c>
      <c r="Q122" s="4">
        <f t="shared" si="8"/>
        <v>0.12316949999999999</v>
      </c>
      <c r="R122" s="4">
        <f t="shared" si="8"/>
        <v>0.1454445</v>
      </c>
      <c r="S122" s="4">
        <f t="shared" si="8"/>
        <v>0.1686105</v>
      </c>
    </row>
    <row r="123" spans="9:19" x14ac:dyDescent="0.25">
      <c r="I123">
        <v>63</v>
      </c>
      <c r="J123" s="4">
        <f t="shared" si="8"/>
        <v>0.25904699999999997</v>
      </c>
      <c r="K123" s="4">
        <f t="shared" si="8"/>
        <v>0.22786200000000001</v>
      </c>
      <c r="L123" s="4">
        <f t="shared" si="8"/>
        <v>0.2211795</v>
      </c>
      <c r="M123" s="4">
        <f t="shared" si="8"/>
        <v>0.19890449999999998</v>
      </c>
      <c r="N123" s="4">
        <f t="shared" si="8"/>
        <v>0.20781449999999999</v>
      </c>
      <c r="O123" s="4">
        <f t="shared" si="8"/>
        <v>0.21672450000000001</v>
      </c>
      <c r="P123" s="4">
        <f t="shared" si="8"/>
        <v>0.1855395</v>
      </c>
      <c r="Q123" s="4">
        <f t="shared" si="8"/>
        <v>0.13430700000000001</v>
      </c>
      <c r="R123" s="4">
        <f t="shared" si="8"/>
        <v>0.129852</v>
      </c>
      <c r="S123" s="4">
        <f t="shared" si="8"/>
        <v>0.15635925000000001</v>
      </c>
    </row>
    <row r="124" spans="9:19" x14ac:dyDescent="0.25">
      <c r="I124">
        <v>64</v>
      </c>
      <c r="J124" s="4">
        <f t="shared" ref="J124:S124" si="9">IF(J96&lt;0,"",J96/100)</f>
        <v>0.27018449999999999</v>
      </c>
      <c r="K124" s="4">
        <f t="shared" si="9"/>
        <v>0.25236449999999999</v>
      </c>
      <c r="L124" s="4">
        <f t="shared" si="9"/>
        <v>0.21004199999999998</v>
      </c>
      <c r="M124" s="4">
        <f t="shared" si="9"/>
        <v>0.21895199999999998</v>
      </c>
      <c r="N124" s="4">
        <f t="shared" si="9"/>
        <v>0.24122700000000002</v>
      </c>
      <c r="O124" s="4">
        <f t="shared" si="9"/>
        <v>0.20558699999999999</v>
      </c>
      <c r="P124" s="4">
        <f t="shared" si="9"/>
        <v>0.18331200000000003</v>
      </c>
      <c r="Q124" s="4">
        <f t="shared" si="9"/>
        <v>0.12539700000000001</v>
      </c>
      <c r="R124" s="4">
        <f t="shared" si="9"/>
        <v>0.1142595</v>
      </c>
      <c r="S124" s="4">
        <f t="shared" si="9"/>
        <v>0.14165775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2C1B-3F6D-4375-80A5-2C565C9982F8}">
  <dimension ref="A1:T124"/>
  <sheetViews>
    <sheetView topLeftCell="C58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10189</v>
      </c>
      <c r="F1">
        <v>0</v>
      </c>
      <c r="G1">
        <v>10</v>
      </c>
      <c r="H1">
        <v>1833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10</v>
      </c>
      <c r="G18">
        <v>15</v>
      </c>
      <c r="H18">
        <v>8</v>
      </c>
      <c r="I18">
        <v>10</v>
      </c>
      <c r="J18">
        <v>1.02</v>
      </c>
      <c r="K18">
        <v>1.06</v>
      </c>
      <c r="L18">
        <v>1.18</v>
      </c>
      <c r="M18">
        <v>1.28</v>
      </c>
      <c r="N18">
        <v>1.01</v>
      </c>
      <c r="O18">
        <v>0.99</v>
      </c>
      <c r="P18">
        <v>1.01</v>
      </c>
      <c r="Q18">
        <v>1.06</v>
      </c>
      <c r="R18">
        <v>1.06</v>
      </c>
      <c r="S18">
        <v>0.92</v>
      </c>
      <c r="T18">
        <v>3719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10</v>
      </c>
      <c r="G19">
        <v>15</v>
      </c>
      <c r="H19">
        <v>8</v>
      </c>
      <c r="I19">
        <v>14</v>
      </c>
      <c r="J19">
        <v>1.21</v>
      </c>
      <c r="K19">
        <v>1.21</v>
      </c>
      <c r="L19">
        <v>1.02</v>
      </c>
      <c r="M19">
        <v>0.8</v>
      </c>
      <c r="N19">
        <v>0.74</v>
      </c>
      <c r="O19">
        <v>0.77</v>
      </c>
      <c r="P19">
        <v>0.81</v>
      </c>
      <c r="Q19">
        <v>1.02</v>
      </c>
      <c r="R19">
        <v>1.06</v>
      </c>
      <c r="S19">
        <v>0.83</v>
      </c>
      <c r="T19">
        <v>3718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10</v>
      </c>
      <c r="G20">
        <v>15</v>
      </c>
      <c r="H20">
        <v>8</v>
      </c>
      <c r="I20">
        <v>10</v>
      </c>
      <c r="J20">
        <v>1.19</v>
      </c>
      <c r="K20">
        <v>1.1000000000000001</v>
      </c>
      <c r="L20">
        <v>1.17</v>
      </c>
      <c r="M20">
        <v>1.28</v>
      </c>
      <c r="N20">
        <v>1.1599999999999999</v>
      </c>
      <c r="O20">
        <v>0.98</v>
      </c>
      <c r="P20">
        <v>0.93</v>
      </c>
      <c r="Q20">
        <v>0.92</v>
      </c>
      <c r="R20">
        <v>0.99</v>
      </c>
      <c r="S20">
        <v>0.88</v>
      </c>
      <c r="T20">
        <v>3754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10</v>
      </c>
      <c r="G21">
        <v>15</v>
      </c>
      <c r="H21">
        <v>8</v>
      </c>
      <c r="I21">
        <v>21</v>
      </c>
      <c r="J21">
        <v>1.3</v>
      </c>
      <c r="K21">
        <v>1.29</v>
      </c>
      <c r="L21">
        <v>1.3</v>
      </c>
      <c r="M21">
        <v>1.21</v>
      </c>
      <c r="N21">
        <v>1.06</v>
      </c>
      <c r="O21">
        <v>0.93</v>
      </c>
      <c r="P21">
        <v>0.99</v>
      </c>
      <c r="Q21">
        <v>0.98</v>
      </c>
      <c r="R21">
        <v>0.94</v>
      </c>
      <c r="S21">
        <v>0.88</v>
      </c>
      <c r="T21">
        <v>3747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10</v>
      </c>
      <c r="G22">
        <v>15</v>
      </c>
      <c r="H22">
        <v>8</v>
      </c>
      <c r="I22">
        <v>26</v>
      </c>
      <c r="J22">
        <v>0.66</v>
      </c>
      <c r="K22">
        <v>0.57999999999999996</v>
      </c>
      <c r="L22">
        <v>0.54</v>
      </c>
      <c r="M22">
        <v>0.56000000000000005</v>
      </c>
      <c r="N22">
        <v>0.57999999999999996</v>
      </c>
      <c r="O22">
        <v>0.56999999999999995</v>
      </c>
      <c r="P22">
        <v>0.59</v>
      </c>
      <c r="Q22">
        <v>0.7</v>
      </c>
      <c r="R22">
        <v>0.78</v>
      </c>
      <c r="S22">
        <v>0.88</v>
      </c>
      <c r="T22">
        <v>3766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10</v>
      </c>
      <c r="G23">
        <v>15</v>
      </c>
      <c r="H23">
        <v>8</v>
      </c>
      <c r="I23">
        <v>21</v>
      </c>
      <c r="J23">
        <v>1.2</v>
      </c>
      <c r="K23">
        <v>1.17</v>
      </c>
      <c r="L23">
        <v>1.37</v>
      </c>
      <c r="M23">
        <v>1.3</v>
      </c>
      <c r="N23">
        <v>1.1100000000000001</v>
      </c>
      <c r="O23">
        <v>0.81</v>
      </c>
      <c r="P23">
        <v>0.78</v>
      </c>
      <c r="Q23">
        <v>0.86</v>
      </c>
      <c r="R23">
        <v>1</v>
      </c>
      <c r="S23">
        <v>0.91</v>
      </c>
      <c r="T23">
        <v>3724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10</v>
      </c>
      <c r="G24">
        <v>15</v>
      </c>
      <c r="H24">
        <v>8</v>
      </c>
      <c r="I24">
        <v>33</v>
      </c>
      <c r="J24">
        <v>1.34</v>
      </c>
      <c r="K24">
        <v>1.24</v>
      </c>
      <c r="L24">
        <v>1.22</v>
      </c>
      <c r="M24">
        <v>1.1599999999999999</v>
      </c>
      <c r="N24">
        <v>1.05</v>
      </c>
      <c r="O24">
        <v>0.87</v>
      </c>
      <c r="P24">
        <v>0.76</v>
      </c>
      <c r="Q24">
        <v>0.95</v>
      </c>
      <c r="R24">
        <v>1.05</v>
      </c>
      <c r="S24">
        <v>0.98</v>
      </c>
      <c r="T24">
        <v>3753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10</v>
      </c>
      <c r="G25">
        <v>15</v>
      </c>
      <c r="H25">
        <v>8</v>
      </c>
      <c r="I25">
        <v>37</v>
      </c>
      <c r="J25">
        <v>1.43</v>
      </c>
      <c r="K25">
        <v>1.31</v>
      </c>
      <c r="L25">
        <v>1.33</v>
      </c>
      <c r="M25">
        <v>1.21</v>
      </c>
      <c r="N25">
        <v>1.04</v>
      </c>
      <c r="O25">
        <v>1</v>
      </c>
      <c r="P25">
        <v>0.99</v>
      </c>
      <c r="Q25">
        <v>1.1299999999999999</v>
      </c>
      <c r="R25">
        <v>1.1000000000000001</v>
      </c>
      <c r="S25">
        <v>0.92</v>
      </c>
      <c r="T25">
        <v>3721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10</v>
      </c>
      <c r="G26">
        <v>15</v>
      </c>
      <c r="H26">
        <v>8</v>
      </c>
      <c r="I26">
        <v>41</v>
      </c>
      <c r="J26">
        <v>1.61</v>
      </c>
      <c r="K26">
        <v>1.38</v>
      </c>
      <c r="L26">
        <v>1.36</v>
      </c>
      <c r="M26">
        <v>1.3</v>
      </c>
      <c r="N26">
        <v>1.2</v>
      </c>
      <c r="O26">
        <v>1.07</v>
      </c>
      <c r="P26">
        <v>0.91</v>
      </c>
      <c r="Q26">
        <v>0.88</v>
      </c>
      <c r="R26">
        <v>0.9</v>
      </c>
      <c r="S26">
        <v>0.87</v>
      </c>
      <c r="T26">
        <v>3744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10</v>
      </c>
      <c r="G27">
        <v>15</v>
      </c>
      <c r="H27">
        <v>8</v>
      </c>
      <c r="I27">
        <v>44</v>
      </c>
      <c r="J27">
        <v>1.02</v>
      </c>
      <c r="K27">
        <v>0.97</v>
      </c>
      <c r="L27">
        <v>0.87</v>
      </c>
      <c r="M27">
        <v>0.78</v>
      </c>
      <c r="N27">
        <v>0.76</v>
      </c>
      <c r="O27">
        <v>0.76</v>
      </c>
      <c r="P27">
        <v>0.77</v>
      </c>
      <c r="Q27">
        <v>0.9</v>
      </c>
      <c r="R27">
        <v>1.01</v>
      </c>
      <c r="S27">
        <v>0.93</v>
      </c>
      <c r="T27">
        <v>3763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10</v>
      </c>
      <c r="G28">
        <v>15</v>
      </c>
      <c r="H28">
        <v>8</v>
      </c>
      <c r="I28">
        <v>47</v>
      </c>
      <c r="J28">
        <v>1.02</v>
      </c>
      <c r="K28">
        <v>1.02</v>
      </c>
      <c r="L28">
        <v>1.2</v>
      </c>
      <c r="M28">
        <v>1.34</v>
      </c>
      <c r="N28">
        <v>1.17</v>
      </c>
      <c r="O28">
        <v>0.89</v>
      </c>
      <c r="P28">
        <v>0.92</v>
      </c>
      <c r="Q28">
        <v>0.94</v>
      </c>
      <c r="R28">
        <v>0.99</v>
      </c>
      <c r="S28">
        <v>0.92</v>
      </c>
      <c r="T28">
        <v>3749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10</v>
      </c>
      <c r="G29">
        <v>15</v>
      </c>
      <c r="H29">
        <v>8</v>
      </c>
      <c r="I29">
        <v>50</v>
      </c>
      <c r="J29">
        <v>0.86</v>
      </c>
      <c r="K29">
        <v>0.91</v>
      </c>
      <c r="L29">
        <v>1.1399999999999999</v>
      </c>
      <c r="M29">
        <v>1.26</v>
      </c>
      <c r="N29">
        <v>1.36</v>
      </c>
      <c r="O29">
        <v>1.26</v>
      </c>
      <c r="P29">
        <v>1.08</v>
      </c>
      <c r="Q29">
        <v>1.07</v>
      </c>
      <c r="R29">
        <v>0.98</v>
      </c>
      <c r="S29">
        <v>0.84</v>
      </c>
      <c r="T29">
        <v>3750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10</v>
      </c>
      <c r="G30">
        <v>15</v>
      </c>
      <c r="H30">
        <v>8</v>
      </c>
      <c r="I30">
        <v>54</v>
      </c>
      <c r="J30">
        <v>0.99</v>
      </c>
      <c r="K30">
        <v>1.03</v>
      </c>
      <c r="L30">
        <v>1.39</v>
      </c>
      <c r="M30">
        <v>1.32</v>
      </c>
      <c r="N30">
        <v>1.41</v>
      </c>
      <c r="O30">
        <v>1.21</v>
      </c>
      <c r="P30">
        <v>1.1599999999999999</v>
      </c>
      <c r="Q30">
        <v>0.99</v>
      </c>
      <c r="R30">
        <v>0.83</v>
      </c>
      <c r="S30">
        <v>0.81</v>
      </c>
      <c r="T30">
        <v>3746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10</v>
      </c>
      <c r="G31">
        <v>15</v>
      </c>
      <c r="H31">
        <v>8</v>
      </c>
      <c r="I31">
        <v>50</v>
      </c>
      <c r="J31">
        <v>1.26</v>
      </c>
      <c r="K31">
        <v>1.22</v>
      </c>
      <c r="L31">
        <v>1.34</v>
      </c>
      <c r="M31">
        <v>1.08</v>
      </c>
      <c r="N31">
        <v>1.08</v>
      </c>
      <c r="O31">
        <v>0.97</v>
      </c>
      <c r="P31">
        <v>0.95</v>
      </c>
      <c r="Q31">
        <v>0.88</v>
      </c>
      <c r="R31">
        <v>0.89</v>
      </c>
      <c r="S31">
        <v>0.84</v>
      </c>
      <c r="T31">
        <v>3757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10</v>
      </c>
      <c r="G32">
        <v>15</v>
      </c>
      <c r="H32">
        <v>9</v>
      </c>
      <c r="I32">
        <v>1</v>
      </c>
      <c r="J32">
        <v>1.17</v>
      </c>
      <c r="K32">
        <v>1.19</v>
      </c>
      <c r="L32">
        <v>1.26</v>
      </c>
      <c r="M32">
        <v>1.19</v>
      </c>
      <c r="N32">
        <v>1.17</v>
      </c>
      <c r="O32">
        <v>0.99</v>
      </c>
      <c r="P32">
        <v>0.86</v>
      </c>
      <c r="Q32">
        <v>0.88</v>
      </c>
      <c r="R32">
        <v>1.01</v>
      </c>
      <c r="S32">
        <v>0.92</v>
      </c>
      <c r="T32">
        <v>3746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10</v>
      </c>
      <c r="G33">
        <v>15</v>
      </c>
      <c r="H33">
        <v>9</v>
      </c>
      <c r="I33">
        <v>4</v>
      </c>
      <c r="J33">
        <v>1.19</v>
      </c>
      <c r="K33">
        <v>1.24</v>
      </c>
      <c r="L33">
        <v>1.53</v>
      </c>
      <c r="M33">
        <v>1.4</v>
      </c>
      <c r="N33">
        <v>1.37</v>
      </c>
      <c r="O33">
        <v>1.22</v>
      </c>
      <c r="P33">
        <v>1.08</v>
      </c>
      <c r="Q33">
        <v>0.88</v>
      </c>
      <c r="R33">
        <v>0.98</v>
      </c>
      <c r="S33">
        <v>0.93</v>
      </c>
      <c r="T33">
        <v>3699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10</v>
      </c>
      <c r="G34">
        <v>15</v>
      </c>
      <c r="H34">
        <v>9</v>
      </c>
      <c r="I34">
        <v>0</v>
      </c>
      <c r="J34">
        <v>1.41</v>
      </c>
      <c r="K34">
        <v>1.39</v>
      </c>
      <c r="L34">
        <v>1.34</v>
      </c>
      <c r="M34">
        <v>1.29</v>
      </c>
      <c r="N34">
        <v>1.0900000000000001</v>
      </c>
      <c r="O34">
        <v>0.96</v>
      </c>
      <c r="P34">
        <v>0.92</v>
      </c>
      <c r="Q34">
        <v>0.91</v>
      </c>
      <c r="R34">
        <v>0.98</v>
      </c>
      <c r="S34">
        <v>0.91</v>
      </c>
      <c r="T34">
        <v>3713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10</v>
      </c>
      <c r="G35">
        <v>15</v>
      </c>
      <c r="H35">
        <v>9</v>
      </c>
      <c r="I35">
        <v>11</v>
      </c>
      <c r="J35">
        <v>1.38</v>
      </c>
      <c r="K35">
        <v>1.29</v>
      </c>
      <c r="L35">
        <v>1.42</v>
      </c>
      <c r="M35">
        <v>1.39</v>
      </c>
      <c r="N35">
        <v>1.25</v>
      </c>
      <c r="O35">
        <v>1.0900000000000001</v>
      </c>
      <c r="P35">
        <v>1.1299999999999999</v>
      </c>
      <c r="Q35">
        <v>0.94</v>
      </c>
      <c r="R35">
        <v>0.92</v>
      </c>
      <c r="S35">
        <v>0.89</v>
      </c>
      <c r="T35">
        <v>3710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10</v>
      </c>
      <c r="G36">
        <v>15</v>
      </c>
      <c r="H36">
        <v>9</v>
      </c>
      <c r="I36">
        <v>14</v>
      </c>
      <c r="J36">
        <v>1.32</v>
      </c>
      <c r="K36">
        <v>1.3</v>
      </c>
      <c r="L36">
        <v>1.41</v>
      </c>
      <c r="M36">
        <v>1.49</v>
      </c>
      <c r="N36">
        <v>1.4</v>
      </c>
      <c r="O36">
        <v>1.21</v>
      </c>
      <c r="P36">
        <v>1.08</v>
      </c>
      <c r="Q36">
        <v>0.85</v>
      </c>
      <c r="R36">
        <v>0.82</v>
      </c>
      <c r="S36">
        <v>0.79</v>
      </c>
      <c r="T36">
        <v>3691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10</v>
      </c>
      <c r="G37">
        <v>15</v>
      </c>
      <c r="H37">
        <v>9</v>
      </c>
      <c r="I37">
        <v>17</v>
      </c>
      <c r="J37">
        <v>1.28</v>
      </c>
      <c r="K37">
        <v>1.27</v>
      </c>
      <c r="L37">
        <v>1.21</v>
      </c>
      <c r="M37">
        <v>1.34</v>
      </c>
      <c r="N37">
        <v>1.28</v>
      </c>
      <c r="O37">
        <v>1.1299999999999999</v>
      </c>
      <c r="P37">
        <v>1.03</v>
      </c>
      <c r="Q37">
        <v>0.96</v>
      </c>
      <c r="R37">
        <v>0.81</v>
      </c>
      <c r="S37">
        <v>0.76</v>
      </c>
      <c r="T37">
        <v>3696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10</v>
      </c>
      <c r="G38">
        <v>15</v>
      </c>
      <c r="H38">
        <v>9</v>
      </c>
      <c r="I38">
        <v>21</v>
      </c>
      <c r="J38">
        <v>1.48</v>
      </c>
      <c r="K38">
        <v>1.42</v>
      </c>
      <c r="L38">
        <v>1.2</v>
      </c>
      <c r="M38">
        <v>1.28</v>
      </c>
      <c r="N38">
        <v>1.32</v>
      </c>
      <c r="O38">
        <v>1.1499999999999999</v>
      </c>
      <c r="P38">
        <v>1.04</v>
      </c>
      <c r="Q38">
        <v>0.79</v>
      </c>
      <c r="R38">
        <v>0.76</v>
      </c>
      <c r="S38">
        <v>0.79</v>
      </c>
      <c r="T38">
        <v>3697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10</v>
      </c>
      <c r="G39">
        <v>15</v>
      </c>
      <c r="H39">
        <v>9</v>
      </c>
      <c r="I39">
        <v>24</v>
      </c>
      <c r="J39">
        <v>1.46</v>
      </c>
      <c r="K39">
        <v>1.29</v>
      </c>
      <c r="L39">
        <v>1.26</v>
      </c>
      <c r="M39">
        <v>1.1499999999999999</v>
      </c>
      <c r="N39">
        <v>1.18</v>
      </c>
      <c r="O39">
        <v>1.23</v>
      </c>
      <c r="P39">
        <v>1.07</v>
      </c>
      <c r="Q39">
        <v>0.83</v>
      </c>
      <c r="R39">
        <v>0.82</v>
      </c>
      <c r="S39">
        <v>0.83</v>
      </c>
      <c r="T39">
        <v>3695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10</v>
      </c>
      <c r="G40">
        <v>15</v>
      </c>
      <c r="H40">
        <v>9</v>
      </c>
      <c r="I40">
        <v>27</v>
      </c>
      <c r="J40">
        <v>1.1200000000000001</v>
      </c>
      <c r="K40">
        <v>1.18</v>
      </c>
      <c r="L40">
        <v>1.25</v>
      </c>
      <c r="M40">
        <v>0.97</v>
      </c>
      <c r="N40">
        <v>0.85</v>
      </c>
      <c r="O40">
        <v>0.89</v>
      </c>
      <c r="P40">
        <v>0.87</v>
      </c>
      <c r="Q40">
        <v>0.81</v>
      </c>
      <c r="R40">
        <v>0.88</v>
      </c>
      <c r="S40">
        <v>0.88</v>
      </c>
      <c r="T40">
        <v>3724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10</v>
      </c>
      <c r="G41">
        <v>15</v>
      </c>
      <c r="H41">
        <v>9</v>
      </c>
      <c r="I41">
        <v>30</v>
      </c>
      <c r="J41">
        <v>1.18</v>
      </c>
      <c r="K41">
        <v>0.96</v>
      </c>
      <c r="L41">
        <v>0.99</v>
      </c>
      <c r="M41">
        <v>1.18</v>
      </c>
      <c r="N41">
        <v>1.2</v>
      </c>
      <c r="O41">
        <v>0.94</v>
      </c>
      <c r="P41">
        <v>0.9</v>
      </c>
      <c r="Q41">
        <v>0.95</v>
      </c>
      <c r="R41">
        <v>1</v>
      </c>
      <c r="S41">
        <v>0.86</v>
      </c>
      <c r="T41">
        <v>3698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10</v>
      </c>
      <c r="G45">
        <v>15</v>
      </c>
      <c r="H45">
        <v>8</v>
      </c>
      <c r="I45">
        <v>10</v>
      </c>
      <c r="J45">
        <v>1.02</v>
      </c>
      <c r="K45">
        <v>1.06</v>
      </c>
      <c r="L45">
        <v>1.18</v>
      </c>
      <c r="M45">
        <v>1.28</v>
      </c>
      <c r="N45">
        <v>1.01</v>
      </c>
      <c r="O45">
        <v>0.99</v>
      </c>
      <c r="P45">
        <v>1.01</v>
      </c>
      <c r="Q45">
        <v>1.06</v>
      </c>
      <c r="R45">
        <v>1.06</v>
      </c>
      <c r="S45">
        <v>0.92</v>
      </c>
      <c r="T45">
        <v>3719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10</v>
      </c>
      <c r="G46">
        <v>15</v>
      </c>
      <c r="H46">
        <v>8</v>
      </c>
      <c r="I46">
        <v>14</v>
      </c>
      <c r="J46">
        <v>1.21</v>
      </c>
      <c r="K46">
        <v>1.21</v>
      </c>
      <c r="L46">
        <v>1.02</v>
      </c>
      <c r="M46">
        <v>0.8</v>
      </c>
      <c r="N46">
        <v>0.74</v>
      </c>
      <c r="O46">
        <v>0.77</v>
      </c>
      <c r="P46">
        <v>0.81</v>
      </c>
      <c r="Q46">
        <v>1.02</v>
      </c>
      <c r="R46">
        <v>1.06</v>
      </c>
      <c r="S46">
        <v>0.83</v>
      </c>
      <c r="T46">
        <v>3718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10</v>
      </c>
      <c r="G47">
        <v>15</v>
      </c>
      <c r="H47">
        <v>8</v>
      </c>
      <c r="I47">
        <v>10</v>
      </c>
      <c r="J47">
        <v>1.19</v>
      </c>
      <c r="K47">
        <v>1.1000000000000001</v>
      </c>
      <c r="L47">
        <v>1.17</v>
      </c>
      <c r="M47">
        <v>1.28</v>
      </c>
      <c r="N47">
        <v>1.1599999999999999</v>
      </c>
      <c r="O47">
        <v>0.98</v>
      </c>
      <c r="P47">
        <v>0.93</v>
      </c>
      <c r="Q47">
        <v>0.92</v>
      </c>
      <c r="R47">
        <v>0.99</v>
      </c>
      <c r="S47">
        <v>0.88</v>
      </c>
      <c r="T47">
        <v>3754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10</v>
      </c>
      <c r="G48">
        <v>15</v>
      </c>
      <c r="H48">
        <v>8</v>
      </c>
      <c r="I48">
        <v>21</v>
      </c>
      <c r="J48">
        <v>1.3</v>
      </c>
      <c r="K48">
        <v>1.29</v>
      </c>
      <c r="L48">
        <v>1.3</v>
      </c>
      <c r="M48">
        <v>1.21</v>
      </c>
      <c r="N48">
        <v>1.06</v>
      </c>
      <c r="O48">
        <v>0.93</v>
      </c>
      <c r="P48">
        <v>0.99</v>
      </c>
      <c r="Q48">
        <v>0.98</v>
      </c>
      <c r="R48">
        <v>0.94</v>
      </c>
      <c r="S48">
        <v>0.88</v>
      </c>
      <c r="T48">
        <v>3747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10</v>
      </c>
      <c r="G49">
        <v>15</v>
      </c>
      <c r="H49">
        <v>8</v>
      </c>
      <c r="I49">
        <v>37</v>
      </c>
      <c r="J49">
        <v>1.43</v>
      </c>
      <c r="K49">
        <v>1.31</v>
      </c>
      <c r="L49">
        <v>1.33</v>
      </c>
      <c r="M49">
        <v>1.21</v>
      </c>
      <c r="N49">
        <v>1.04</v>
      </c>
      <c r="O49">
        <v>1</v>
      </c>
      <c r="P49">
        <v>0.99</v>
      </c>
      <c r="Q49">
        <v>1.1299999999999999</v>
      </c>
      <c r="R49">
        <v>1.1000000000000001</v>
      </c>
      <c r="S49">
        <v>0.92</v>
      </c>
      <c r="T49">
        <v>3721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10</v>
      </c>
      <c r="G50">
        <v>15</v>
      </c>
      <c r="H50">
        <v>8</v>
      </c>
      <c r="I50">
        <v>33</v>
      </c>
      <c r="J50">
        <v>1.34</v>
      </c>
      <c r="K50">
        <v>1.24</v>
      </c>
      <c r="L50">
        <v>1.22</v>
      </c>
      <c r="M50">
        <v>1.1599999999999999</v>
      </c>
      <c r="N50">
        <v>1.05</v>
      </c>
      <c r="O50">
        <v>0.87</v>
      </c>
      <c r="P50">
        <v>0.76</v>
      </c>
      <c r="Q50">
        <v>0.95</v>
      </c>
      <c r="R50">
        <v>1.05</v>
      </c>
      <c r="S50">
        <v>0.98</v>
      </c>
      <c r="T50">
        <v>3753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10</v>
      </c>
      <c r="G51">
        <v>15</v>
      </c>
      <c r="H51">
        <v>8</v>
      </c>
      <c r="I51">
        <v>21</v>
      </c>
      <c r="J51">
        <v>1.2</v>
      </c>
      <c r="K51">
        <v>1.17</v>
      </c>
      <c r="L51">
        <v>1.37</v>
      </c>
      <c r="M51">
        <v>1.3</v>
      </c>
      <c r="N51">
        <v>1.1100000000000001</v>
      </c>
      <c r="O51">
        <v>0.81</v>
      </c>
      <c r="P51">
        <v>0.78</v>
      </c>
      <c r="Q51">
        <v>0.86</v>
      </c>
      <c r="R51">
        <v>1</v>
      </c>
      <c r="S51">
        <v>0.91</v>
      </c>
      <c r="T51">
        <v>3724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10</v>
      </c>
      <c r="G52">
        <v>15</v>
      </c>
      <c r="H52">
        <v>8</v>
      </c>
      <c r="I52">
        <v>26</v>
      </c>
      <c r="J52">
        <v>0.66</v>
      </c>
      <c r="K52">
        <v>0.57999999999999996</v>
      </c>
      <c r="L52">
        <v>0.54</v>
      </c>
      <c r="M52">
        <v>0.56000000000000005</v>
      </c>
      <c r="N52">
        <v>0.57999999999999996</v>
      </c>
      <c r="O52">
        <v>0.56999999999999995</v>
      </c>
      <c r="P52">
        <v>0.59</v>
      </c>
      <c r="Q52">
        <v>0.7</v>
      </c>
      <c r="R52">
        <v>0.78</v>
      </c>
      <c r="S52">
        <v>0.88</v>
      </c>
      <c r="T52">
        <v>3766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10</v>
      </c>
      <c r="G53">
        <v>15</v>
      </c>
      <c r="H53">
        <v>8</v>
      </c>
      <c r="I53">
        <v>41</v>
      </c>
      <c r="J53">
        <v>1.61</v>
      </c>
      <c r="K53">
        <v>1.38</v>
      </c>
      <c r="L53">
        <v>1.36</v>
      </c>
      <c r="M53">
        <v>1.3</v>
      </c>
      <c r="N53">
        <v>1.2</v>
      </c>
      <c r="O53">
        <v>1.07</v>
      </c>
      <c r="P53">
        <v>0.91</v>
      </c>
      <c r="Q53">
        <v>0.88</v>
      </c>
      <c r="R53">
        <v>0.9</v>
      </c>
      <c r="S53">
        <v>0.87</v>
      </c>
      <c r="T53">
        <v>3744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10</v>
      </c>
      <c r="G54">
        <v>15</v>
      </c>
      <c r="H54">
        <v>8</v>
      </c>
      <c r="I54">
        <v>44</v>
      </c>
      <c r="J54">
        <v>1.02</v>
      </c>
      <c r="K54">
        <v>0.97</v>
      </c>
      <c r="L54">
        <v>0.87</v>
      </c>
      <c r="M54">
        <v>0.78</v>
      </c>
      <c r="N54">
        <v>0.76</v>
      </c>
      <c r="O54">
        <v>0.76</v>
      </c>
      <c r="P54">
        <v>0.77</v>
      </c>
      <c r="Q54">
        <v>0.9</v>
      </c>
      <c r="R54">
        <v>1.01</v>
      </c>
      <c r="S54">
        <v>0.93</v>
      </c>
      <c r="T54">
        <v>3763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10</v>
      </c>
      <c r="G55">
        <v>15</v>
      </c>
      <c r="H55">
        <v>8</v>
      </c>
      <c r="I55">
        <v>47</v>
      </c>
      <c r="J55">
        <v>1.02</v>
      </c>
      <c r="K55">
        <v>1.02</v>
      </c>
      <c r="L55">
        <v>1.2</v>
      </c>
      <c r="M55">
        <v>1.34</v>
      </c>
      <c r="N55">
        <v>1.17</v>
      </c>
      <c r="O55">
        <v>0.89</v>
      </c>
      <c r="P55">
        <v>0.92</v>
      </c>
      <c r="Q55">
        <v>0.94</v>
      </c>
      <c r="R55">
        <v>0.99</v>
      </c>
      <c r="S55">
        <v>0.92</v>
      </c>
      <c r="T55">
        <v>3749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10</v>
      </c>
      <c r="G56">
        <v>15</v>
      </c>
      <c r="H56">
        <v>8</v>
      </c>
      <c r="I56">
        <v>50</v>
      </c>
      <c r="J56">
        <v>0.86</v>
      </c>
      <c r="K56">
        <v>0.91</v>
      </c>
      <c r="L56">
        <v>1.1399999999999999</v>
      </c>
      <c r="M56">
        <v>1.26</v>
      </c>
      <c r="N56">
        <v>1.36</v>
      </c>
      <c r="O56">
        <v>1.26</v>
      </c>
      <c r="P56">
        <v>1.08</v>
      </c>
      <c r="Q56">
        <v>1.07</v>
      </c>
      <c r="R56">
        <v>0.98</v>
      </c>
      <c r="S56">
        <v>0.84</v>
      </c>
      <c r="T56">
        <v>3750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10</v>
      </c>
      <c r="G57">
        <v>15</v>
      </c>
      <c r="H57">
        <v>9</v>
      </c>
      <c r="I57">
        <v>4</v>
      </c>
      <c r="J57">
        <v>1.19</v>
      </c>
      <c r="K57">
        <v>1.24</v>
      </c>
      <c r="L57">
        <v>1.53</v>
      </c>
      <c r="M57">
        <v>1.4</v>
      </c>
      <c r="N57">
        <v>1.37</v>
      </c>
      <c r="O57">
        <v>1.22</v>
      </c>
      <c r="P57">
        <v>1.08</v>
      </c>
      <c r="Q57">
        <v>0.88</v>
      </c>
      <c r="R57">
        <v>0.98</v>
      </c>
      <c r="S57">
        <v>0.93</v>
      </c>
      <c r="T57">
        <v>3699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10</v>
      </c>
      <c r="G58">
        <v>15</v>
      </c>
      <c r="H58">
        <v>9</v>
      </c>
      <c r="I58">
        <v>1</v>
      </c>
      <c r="J58">
        <v>1.17</v>
      </c>
      <c r="K58">
        <v>1.19</v>
      </c>
      <c r="L58">
        <v>1.26</v>
      </c>
      <c r="M58">
        <v>1.19</v>
      </c>
      <c r="N58">
        <v>1.17</v>
      </c>
      <c r="O58">
        <v>0.99</v>
      </c>
      <c r="P58">
        <v>0.86</v>
      </c>
      <c r="Q58">
        <v>0.88</v>
      </c>
      <c r="R58">
        <v>1.01</v>
      </c>
      <c r="S58">
        <v>0.92</v>
      </c>
      <c r="T58">
        <v>3746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10</v>
      </c>
      <c r="G59">
        <v>15</v>
      </c>
      <c r="H59">
        <v>8</v>
      </c>
      <c r="I59">
        <v>50</v>
      </c>
      <c r="J59">
        <v>1.26</v>
      </c>
      <c r="K59">
        <v>1.22</v>
      </c>
      <c r="L59">
        <v>1.34</v>
      </c>
      <c r="M59">
        <v>1.08</v>
      </c>
      <c r="N59">
        <v>1.08</v>
      </c>
      <c r="O59">
        <v>0.97</v>
      </c>
      <c r="P59">
        <v>0.95</v>
      </c>
      <c r="Q59">
        <v>0.88</v>
      </c>
      <c r="R59">
        <v>0.89</v>
      </c>
      <c r="S59">
        <v>0.84</v>
      </c>
      <c r="T59">
        <v>3757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10</v>
      </c>
      <c r="G60">
        <v>15</v>
      </c>
      <c r="H60">
        <v>8</v>
      </c>
      <c r="I60">
        <v>54</v>
      </c>
      <c r="J60">
        <v>0.99</v>
      </c>
      <c r="K60">
        <v>1.03</v>
      </c>
      <c r="L60">
        <v>1.39</v>
      </c>
      <c r="M60">
        <v>1.32</v>
      </c>
      <c r="N60">
        <v>1.41</v>
      </c>
      <c r="O60">
        <v>1.21</v>
      </c>
      <c r="P60">
        <v>1.1599999999999999</v>
      </c>
      <c r="Q60">
        <v>0.99</v>
      </c>
      <c r="R60">
        <v>0.83</v>
      </c>
      <c r="S60">
        <v>0.81</v>
      </c>
      <c r="T60">
        <v>3746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10</v>
      </c>
      <c r="G61">
        <v>15</v>
      </c>
      <c r="H61">
        <v>9</v>
      </c>
      <c r="I61">
        <v>0</v>
      </c>
      <c r="J61">
        <v>1.41</v>
      </c>
      <c r="K61">
        <v>1.39</v>
      </c>
      <c r="L61">
        <v>1.34</v>
      </c>
      <c r="M61">
        <v>1.29</v>
      </c>
      <c r="N61">
        <v>1.0900000000000001</v>
      </c>
      <c r="O61">
        <v>0.96</v>
      </c>
      <c r="P61">
        <v>0.92</v>
      </c>
      <c r="Q61">
        <v>0.91</v>
      </c>
      <c r="R61">
        <v>0.98</v>
      </c>
      <c r="S61">
        <v>0.91</v>
      </c>
      <c r="T61">
        <v>3713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10</v>
      </c>
      <c r="G62">
        <v>15</v>
      </c>
      <c r="H62">
        <v>9</v>
      </c>
      <c r="I62">
        <v>11</v>
      </c>
      <c r="J62">
        <v>1.38</v>
      </c>
      <c r="K62">
        <v>1.29</v>
      </c>
      <c r="L62">
        <v>1.42</v>
      </c>
      <c r="M62">
        <v>1.39</v>
      </c>
      <c r="N62">
        <v>1.25</v>
      </c>
      <c r="O62">
        <v>1.0900000000000001</v>
      </c>
      <c r="P62">
        <v>1.1299999999999999</v>
      </c>
      <c r="Q62">
        <v>0.94</v>
      </c>
      <c r="R62">
        <v>0.92</v>
      </c>
      <c r="S62">
        <v>0.89</v>
      </c>
      <c r="T62">
        <v>3710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10</v>
      </c>
      <c r="G63">
        <v>15</v>
      </c>
      <c r="H63">
        <v>9</v>
      </c>
      <c r="I63">
        <v>14</v>
      </c>
      <c r="J63">
        <v>1.32</v>
      </c>
      <c r="K63">
        <v>1.3</v>
      </c>
      <c r="L63">
        <v>1.41</v>
      </c>
      <c r="M63">
        <v>1.49</v>
      </c>
      <c r="N63">
        <v>1.4</v>
      </c>
      <c r="O63">
        <v>1.21</v>
      </c>
      <c r="P63">
        <v>1.08</v>
      </c>
      <c r="Q63">
        <v>0.85</v>
      </c>
      <c r="R63">
        <v>0.82</v>
      </c>
      <c r="S63">
        <v>0.79</v>
      </c>
      <c r="T63">
        <v>3691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10</v>
      </c>
      <c r="G64">
        <v>15</v>
      </c>
      <c r="H64">
        <v>9</v>
      </c>
      <c r="I64">
        <v>17</v>
      </c>
      <c r="J64">
        <v>1.28</v>
      </c>
      <c r="K64">
        <v>1.27</v>
      </c>
      <c r="L64">
        <v>1.21</v>
      </c>
      <c r="M64">
        <v>1.34</v>
      </c>
      <c r="N64">
        <v>1.28</v>
      </c>
      <c r="O64">
        <v>1.1299999999999999</v>
      </c>
      <c r="P64">
        <v>1.03</v>
      </c>
      <c r="Q64">
        <v>0.96</v>
      </c>
      <c r="R64">
        <v>0.81</v>
      </c>
      <c r="S64">
        <v>0.76</v>
      </c>
      <c r="T64">
        <v>3696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10</v>
      </c>
      <c r="G65">
        <v>15</v>
      </c>
      <c r="H65">
        <v>9</v>
      </c>
      <c r="I65">
        <v>30</v>
      </c>
      <c r="J65">
        <v>1.18</v>
      </c>
      <c r="K65">
        <v>0.96</v>
      </c>
      <c r="L65">
        <v>0.99</v>
      </c>
      <c r="M65">
        <v>1.18</v>
      </c>
      <c r="N65">
        <v>1.2</v>
      </c>
      <c r="O65">
        <v>0.94</v>
      </c>
      <c r="P65">
        <v>0.9</v>
      </c>
      <c r="Q65">
        <v>0.95</v>
      </c>
      <c r="R65">
        <v>1</v>
      </c>
      <c r="S65">
        <v>0.86</v>
      </c>
      <c r="T65">
        <v>3698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10</v>
      </c>
      <c r="G66">
        <v>15</v>
      </c>
      <c r="H66">
        <v>9</v>
      </c>
      <c r="I66">
        <v>27</v>
      </c>
      <c r="J66">
        <v>1.1200000000000001</v>
      </c>
      <c r="K66">
        <v>1.18</v>
      </c>
      <c r="L66">
        <v>1.25</v>
      </c>
      <c r="M66">
        <v>0.97</v>
      </c>
      <c r="N66">
        <v>0.85</v>
      </c>
      <c r="O66">
        <v>0.89</v>
      </c>
      <c r="P66">
        <v>0.87</v>
      </c>
      <c r="Q66">
        <v>0.81</v>
      </c>
      <c r="R66">
        <v>0.88</v>
      </c>
      <c r="S66">
        <v>0.88</v>
      </c>
      <c r="T66">
        <v>3724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10</v>
      </c>
      <c r="G67">
        <v>15</v>
      </c>
      <c r="H67">
        <v>9</v>
      </c>
      <c r="I67">
        <v>24</v>
      </c>
      <c r="J67">
        <v>1.46</v>
      </c>
      <c r="K67">
        <v>1.29</v>
      </c>
      <c r="L67">
        <v>1.26</v>
      </c>
      <c r="M67">
        <v>1.1499999999999999</v>
      </c>
      <c r="N67">
        <v>1.18</v>
      </c>
      <c r="O67">
        <v>1.23</v>
      </c>
      <c r="P67">
        <v>1.07</v>
      </c>
      <c r="Q67">
        <v>0.83</v>
      </c>
      <c r="R67">
        <v>0.82</v>
      </c>
      <c r="S67">
        <v>0.83</v>
      </c>
      <c r="T67">
        <v>3695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10</v>
      </c>
      <c r="G68">
        <v>15</v>
      </c>
      <c r="H68">
        <v>9</v>
      </c>
      <c r="I68">
        <v>21</v>
      </c>
      <c r="J68">
        <v>1.48</v>
      </c>
      <c r="K68">
        <v>1.42</v>
      </c>
      <c r="L68">
        <v>1.2</v>
      </c>
      <c r="M68">
        <v>1.28</v>
      </c>
      <c r="N68">
        <v>1.32</v>
      </c>
      <c r="O68">
        <v>1.1499999999999999</v>
      </c>
      <c r="P68">
        <v>1.04</v>
      </c>
      <c r="Q68">
        <v>0.79</v>
      </c>
      <c r="R68">
        <v>0.76</v>
      </c>
      <c r="S68">
        <v>0.79</v>
      </c>
      <c r="T68">
        <v>3697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16.549199999999999</v>
      </c>
      <c r="K73">
        <f t="shared" ref="K73:R73" si="0">22.275*K45-6.1713</f>
        <v>17.440200000000001</v>
      </c>
      <c r="L73">
        <f t="shared" si="0"/>
        <v>20.113199999999999</v>
      </c>
      <c r="M73">
        <f t="shared" si="0"/>
        <v>22.340700000000002</v>
      </c>
      <c r="N73">
        <f t="shared" si="0"/>
        <v>16.326450000000001</v>
      </c>
      <c r="O73">
        <f t="shared" si="0"/>
        <v>15.880949999999999</v>
      </c>
      <c r="P73">
        <f t="shared" si="0"/>
        <v>16.326450000000001</v>
      </c>
      <c r="Q73">
        <f t="shared" si="0"/>
        <v>17.440200000000001</v>
      </c>
      <c r="R73">
        <f t="shared" si="0"/>
        <v>17.440200000000001</v>
      </c>
      <c r="S73">
        <f>22.275*(S45*1.1)-6.1713</f>
        <v>16.371000000000006</v>
      </c>
    </row>
    <row r="74" spans="1:20" x14ac:dyDescent="0.25">
      <c r="I74" t="s">
        <v>43</v>
      </c>
      <c r="J74">
        <f t="shared" ref="J74:R89" si="1">22.275*J46-6.1713</f>
        <v>20.78145</v>
      </c>
      <c r="K74">
        <f t="shared" si="1"/>
        <v>20.78145</v>
      </c>
      <c r="L74">
        <f t="shared" si="1"/>
        <v>16.549199999999999</v>
      </c>
      <c r="M74">
        <f t="shared" si="1"/>
        <v>11.648700000000002</v>
      </c>
      <c r="N74">
        <f t="shared" si="1"/>
        <v>10.312200000000001</v>
      </c>
      <c r="O74">
        <f t="shared" si="1"/>
        <v>10.980450000000001</v>
      </c>
      <c r="P74">
        <f t="shared" si="1"/>
        <v>11.871450000000003</v>
      </c>
      <c r="Q74">
        <f t="shared" si="1"/>
        <v>16.549199999999999</v>
      </c>
      <c r="R74">
        <f t="shared" si="1"/>
        <v>17.440200000000001</v>
      </c>
      <c r="S74">
        <f t="shared" ref="S74:S91" si="2">22.275*(S46*1.1)-6.1713</f>
        <v>14.165775</v>
      </c>
    </row>
    <row r="75" spans="1:20" x14ac:dyDescent="0.25">
      <c r="I75" t="s">
        <v>44</v>
      </c>
      <c r="J75">
        <f t="shared" si="1"/>
        <v>20.335949999999997</v>
      </c>
      <c r="K75">
        <f t="shared" si="1"/>
        <v>18.331200000000003</v>
      </c>
      <c r="L75">
        <f t="shared" si="1"/>
        <v>19.890449999999998</v>
      </c>
      <c r="M75">
        <f t="shared" si="1"/>
        <v>22.340700000000002</v>
      </c>
      <c r="N75">
        <f t="shared" si="1"/>
        <v>19.667699999999996</v>
      </c>
      <c r="O75">
        <f t="shared" si="1"/>
        <v>15.658200000000001</v>
      </c>
      <c r="P75">
        <f t="shared" si="1"/>
        <v>14.544450000000001</v>
      </c>
      <c r="Q75">
        <f t="shared" si="1"/>
        <v>14.3217</v>
      </c>
      <c r="R75">
        <f t="shared" si="1"/>
        <v>15.880949999999999</v>
      </c>
      <c r="S75">
        <f t="shared" si="2"/>
        <v>15.390900000000002</v>
      </c>
    </row>
    <row r="76" spans="1:20" x14ac:dyDescent="0.25">
      <c r="I76" t="s">
        <v>45</v>
      </c>
      <c r="J76">
        <f t="shared" si="1"/>
        <v>22.786200000000001</v>
      </c>
      <c r="K76">
        <f t="shared" si="1"/>
        <v>22.56345</v>
      </c>
      <c r="L76">
        <f t="shared" si="1"/>
        <v>22.786200000000001</v>
      </c>
      <c r="M76">
        <f t="shared" si="1"/>
        <v>20.78145</v>
      </c>
      <c r="N76">
        <f t="shared" si="1"/>
        <v>17.440200000000001</v>
      </c>
      <c r="O76">
        <f t="shared" si="1"/>
        <v>14.544450000000001</v>
      </c>
      <c r="P76">
        <f t="shared" si="1"/>
        <v>15.880949999999999</v>
      </c>
      <c r="Q76">
        <f t="shared" si="1"/>
        <v>15.658200000000001</v>
      </c>
      <c r="R76">
        <f t="shared" si="1"/>
        <v>14.767199999999999</v>
      </c>
      <c r="S76">
        <f t="shared" si="2"/>
        <v>15.390900000000002</v>
      </c>
    </row>
    <row r="77" spans="1:20" x14ac:dyDescent="0.25">
      <c r="I77" t="s">
        <v>46</v>
      </c>
      <c r="J77">
        <f t="shared" si="1"/>
        <v>25.681949999999997</v>
      </c>
      <c r="K77">
        <f t="shared" si="1"/>
        <v>23.008950000000002</v>
      </c>
      <c r="L77">
        <f t="shared" si="1"/>
        <v>23.454450000000001</v>
      </c>
      <c r="M77">
        <f t="shared" si="1"/>
        <v>20.78145</v>
      </c>
      <c r="N77">
        <f t="shared" si="1"/>
        <v>16.994700000000002</v>
      </c>
      <c r="O77">
        <f t="shared" si="1"/>
        <v>16.1037</v>
      </c>
      <c r="P77">
        <f t="shared" si="1"/>
        <v>15.880949999999999</v>
      </c>
      <c r="Q77">
        <f t="shared" si="1"/>
        <v>18.999449999999996</v>
      </c>
      <c r="R77">
        <f t="shared" si="1"/>
        <v>18.331200000000003</v>
      </c>
      <c r="S77">
        <f t="shared" si="2"/>
        <v>16.371000000000006</v>
      </c>
    </row>
    <row r="78" spans="1:20" x14ac:dyDescent="0.25">
      <c r="I78" t="s">
        <v>47</v>
      </c>
      <c r="J78">
        <f t="shared" si="1"/>
        <v>23.677200000000003</v>
      </c>
      <c r="K78">
        <f t="shared" si="1"/>
        <v>21.4497</v>
      </c>
      <c r="L78">
        <f t="shared" si="1"/>
        <v>21.004199999999997</v>
      </c>
      <c r="M78">
        <f t="shared" si="1"/>
        <v>19.667699999999996</v>
      </c>
      <c r="N78">
        <f t="shared" si="1"/>
        <v>17.217449999999999</v>
      </c>
      <c r="O78">
        <f t="shared" si="1"/>
        <v>13.20795</v>
      </c>
      <c r="P78">
        <f t="shared" si="1"/>
        <v>10.7577</v>
      </c>
      <c r="Q78">
        <f t="shared" si="1"/>
        <v>14.98995</v>
      </c>
      <c r="R78">
        <f t="shared" si="1"/>
        <v>17.217449999999999</v>
      </c>
      <c r="S78">
        <f t="shared" si="2"/>
        <v>17.841150000000003</v>
      </c>
    </row>
    <row r="79" spans="1:20" x14ac:dyDescent="0.25">
      <c r="I79" t="s">
        <v>48</v>
      </c>
      <c r="J79">
        <f t="shared" si="1"/>
        <v>20.558699999999998</v>
      </c>
      <c r="K79">
        <f t="shared" si="1"/>
        <v>19.890449999999998</v>
      </c>
      <c r="L79">
        <f t="shared" si="1"/>
        <v>24.345450000000003</v>
      </c>
      <c r="M79">
        <f t="shared" si="1"/>
        <v>22.786200000000001</v>
      </c>
      <c r="N79">
        <f t="shared" si="1"/>
        <v>18.55395</v>
      </c>
      <c r="O79">
        <f t="shared" si="1"/>
        <v>11.871450000000003</v>
      </c>
      <c r="P79">
        <f t="shared" si="1"/>
        <v>11.203200000000002</v>
      </c>
      <c r="Q79">
        <f t="shared" si="1"/>
        <v>12.985199999999999</v>
      </c>
      <c r="R79">
        <f t="shared" si="1"/>
        <v>16.1037</v>
      </c>
      <c r="S79">
        <f t="shared" si="2"/>
        <v>16.125975000000004</v>
      </c>
    </row>
    <row r="80" spans="1:20" x14ac:dyDescent="0.25">
      <c r="I80" t="s">
        <v>49</v>
      </c>
      <c r="J80">
        <f t="shared" si="1"/>
        <v>8.5302000000000007</v>
      </c>
      <c r="K80">
        <f t="shared" si="1"/>
        <v>6.748199999999998</v>
      </c>
      <c r="L80">
        <f t="shared" si="1"/>
        <v>5.8571999999999997</v>
      </c>
      <c r="M80">
        <f t="shared" si="1"/>
        <v>6.3027000000000006</v>
      </c>
      <c r="N80">
        <f t="shared" si="1"/>
        <v>6.748199999999998</v>
      </c>
      <c r="O80">
        <f t="shared" si="1"/>
        <v>6.5254499999999984</v>
      </c>
      <c r="P80">
        <f t="shared" si="1"/>
        <v>6.9709499999999993</v>
      </c>
      <c r="Q80">
        <f t="shared" si="1"/>
        <v>9.4211999999999989</v>
      </c>
      <c r="R80">
        <f t="shared" si="1"/>
        <v>11.203200000000002</v>
      </c>
      <c r="S80">
        <f t="shared" si="2"/>
        <v>15.390900000000002</v>
      </c>
    </row>
    <row r="81" spans="9:19" x14ac:dyDescent="0.25">
      <c r="I81" t="s">
        <v>50</v>
      </c>
      <c r="J81">
        <f t="shared" si="1"/>
        <v>29.69145</v>
      </c>
      <c r="K81">
        <f t="shared" si="1"/>
        <v>24.568199999999997</v>
      </c>
      <c r="L81">
        <f t="shared" si="1"/>
        <v>24.122700000000002</v>
      </c>
      <c r="M81">
        <f t="shared" si="1"/>
        <v>22.786200000000001</v>
      </c>
      <c r="N81">
        <f t="shared" si="1"/>
        <v>20.558699999999998</v>
      </c>
      <c r="O81">
        <f t="shared" si="1"/>
        <v>17.662950000000002</v>
      </c>
      <c r="P81">
        <f t="shared" si="1"/>
        <v>14.098950000000002</v>
      </c>
      <c r="Q81">
        <f t="shared" si="1"/>
        <v>13.430700000000002</v>
      </c>
      <c r="R81">
        <f t="shared" si="1"/>
        <v>13.876200000000001</v>
      </c>
      <c r="S81">
        <f t="shared" si="2"/>
        <v>15.145875</v>
      </c>
    </row>
    <row r="82" spans="9:19" x14ac:dyDescent="0.25">
      <c r="I82" t="s">
        <v>51</v>
      </c>
      <c r="J82">
        <f t="shared" si="1"/>
        <v>16.549199999999999</v>
      </c>
      <c r="K82">
        <f t="shared" si="1"/>
        <v>15.435449999999999</v>
      </c>
      <c r="L82">
        <f t="shared" si="1"/>
        <v>13.20795</v>
      </c>
      <c r="M82">
        <f t="shared" si="1"/>
        <v>11.203200000000002</v>
      </c>
      <c r="N82">
        <f t="shared" si="1"/>
        <v>10.7577</v>
      </c>
      <c r="O82">
        <f t="shared" si="1"/>
        <v>10.7577</v>
      </c>
      <c r="P82">
        <f t="shared" si="1"/>
        <v>10.980450000000001</v>
      </c>
      <c r="Q82">
        <f t="shared" si="1"/>
        <v>13.876200000000001</v>
      </c>
      <c r="R82">
        <f t="shared" si="1"/>
        <v>16.326450000000001</v>
      </c>
      <c r="S82">
        <f t="shared" si="2"/>
        <v>16.616025000000004</v>
      </c>
    </row>
    <row r="83" spans="9:19" x14ac:dyDescent="0.25">
      <c r="I83" t="s">
        <v>52</v>
      </c>
      <c r="J83">
        <f t="shared" si="1"/>
        <v>16.549199999999999</v>
      </c>
      <c r="K83">
        <f t="shared" si="1"/>
        <v>16.549199999999999</v>
      </c>
      <c r="L83">
        <f t="shared" si="1"/>
        <v>20.558699999999998</v>
      </c>
      <c r="M83">
        <f t="shared" si="1"/>
        <v>23.677200000000003</v>
      </c>
      <c r="N83">
        <f t="shared" si="1"/>
        <v>19.890449999999998</v>
      </c>
      <c r="O83">
        <f t="shared" si="1"/>
        <v>13.653449999999999</v>
      </c>
      <c r="P83">
        <f t="shared" si="1"/>
        <v>14.3217</v>
      </c>
      <c r="Q83">
        <f t="shared" si="1"/>
        <v>14.767199999999999</v>
      </c>
      <c r="R83">
        <f t="shared" si="1"/>
        <v>15.880949999999999</v>
      </c>
      <c r="S83">
        <f t="shared" si="2"/>
        <v>16.371000000000006</v>
      </c>
    </row>
    <row r="84" spans="9:19" x14ac:dyDescent="0.25">
      <c r="I84" t="s">
        <v>53</v>
      </c>
      <c r="J84">
        <f t="shared" si="1"/>
        <v>12.985199999999999</v>
      </c>
      <c r="K84">
        <f t="shared" si="1"/>
        <v>14.098950000000002</v>
      </c>
      <c r="L84">
        <f t="shared" si="1"/>
        <v>19.222199999999997</v>
      </c>
      <c r="M84">
        <f t="shared" si="1"/>
        <v>21.895199999999999</v>
      </c>
      <c r="N84">
        <f t="shared" si="1"/>
        <v>24.122700000000002</v>
      </c>
      <c r="O84">
        <f t="shared" si="1"/>
        <v>21.895199999999999</v>
      </c>
      <c r="P84">
        <f t="shared" si="1"/>
        <v>17.8857</v>
      </c>
      <c r="Q84">
        <f t="shared" si="1"/>
        <v>17.662950000000002</v>
      </c>
      <c r="R84">
        <f t="shared" si="1"/>
        <v>15.658200000000001</v>
      </c>
      <c r="S84">
        <f t="shared" si="2"/>
        <v>14.410800000000002</v>
      </c>
    </row>
    <row r="85" spans="9:19" x14ac:dyDescent="0.25">
      <c r="I85" t="s">
        <v>54</v>
      </c>
      <c r="J85">
        <f t="shared" si="1"/>
        <v>20.335949999999997</v>
      </c>
      <c r="K85">
        <f t="shared" si="1"/>
        <v>21.4497</v>
      </c>
      <c r="L85">
        <f t="shared" si="1"/>
        <v>27.909450000000003</v>
      </c>
      <c r="M85">
        <f t="shared" si="1"/>
        <v>25.013699999999996</v>
      </c>
      <c r="N85">
        <f t="shared" si="1"/>
        <v>24.345450000000003</v>
      </c>
      <c r="O85">
        <f t="shared" si="1"/>
        <v>21.004199999999997</v>
      </c>
      <c r="P85">
        <f t="shared" si="1"/>
        <v>17.8857</v>
      </c>
      <c r="Q85">
        <f t="shared" si="1"/>
        <v>13.430700000000002</v>
      </c>
      <c r="R85">
        <f t="shared" si="1"/>
        <v>15.658200000000001</v>
      </c>
      <c r="S85">
        <f t="shared" si="2"/>
        <v>16.616025000000004</v>
      </c>
    </row>
    <row r="86" spans="9:19" x14ac:dyDescent="0.25">
      <c r="I86" t="s">
        <v>55</v>
      </c>
      <c r="J86">
        <f t="shared" si="1"/>
        <v>19.890449999999998</v>
      </c>
      <c r="K86">
        <f t="shared" si="1"/>
        <v>20.335949999999997</v>
      </c>
      <c r="L86">
        <f t="shared" si="1"/>
        <v>21.895199999999999</v>
      </c>
      <c r="M86">
        <f t="shared" si="1"/>
        <v>20.335949999999997</v>
      </c>
      <c r="N86">
        <f t="shared" si="1"/>
        <v>19.890449999999998</v>
      </c>
      <c r="O86">
        <f t="shared" si="1"/>
        <v>15.880949999999999</v>
      </c>
      <c r="P86">
        <f t="shared" si="1"/>
        <v>12.985199999999999</v>
      </c>
      <c r="Q86">
        <f t="shared" si="1"/>
        <v>13.430700000000002</v>
      </c>
      <c r="R86">
        <f t="shared" si="1"/>
        <v>16.326450000000001</v>
      </c>
      <c r="S86">
        <f t="shared" si="2"/>
        <v>16.371000000000006</v>
      </c>
    </row>
    <row r="87" spans="9:19" x14ac:dyDescent="0.25">
      <c r="I87" t="s">
        <v>56</v>
      </c>
      <c r="J87">
        <f t="shared" si="1"/>
        <v>21.895199999999999</v>
      </c>
      <c r="K87">
        <f t="shared" si="1"/>
        <v>21.004199999999997</v>
      </c>
      <c r="L87">
        <f t="shared" si="1"/>
        <v>23.677200000000003</v>
      </c>
      <c r="M87">
        <f t="shared" si="1"/>
        <v>17.8857</v>
      </c>
      <c r="N87">
        <f t="shared" si="1"/>
        <v>17.8857</v>
      </c>
      <c r="O87">
        <f t="shared" si="1"/>
        <v>15.435449999999999</v>
      </c>
      <c r="P87">
        <f t="shared" si="1"/>
        <v>14.98995</v>
      </c>
      <c r="Q87">
        <f t="shared" si="1"/>
        <v>13.430700000000002</v>
      </c>
      <c r="R87">
        <f t="shared" si="1"/>
        <v>13.653449999999999</v>
      </c>
      <c r="S87">
        <f t="shared" si="2"/>
        <v>14.410800000000002</v>
      </c>
    </row>
    <row r="88" spans="9:19" x14ac:dyDescent="0.25">
      <c r="I88" t="s">
        <v>57</v>
      </c>
      <c r="J88">
        <f t="shared" si="1"/>
        <v>15.880949999999999</v>
      </c>
      <c r="K88">
        <f t="shared" si="1"/>
        <v>16.77195</v>
      </c>
      <c r="L88">
        <f t="shared" si="1"/>
        <v>24.790949999999999</v>
      </c>
      <c r="M88">
        <f t="shared" si="1"/>
        <v>23.2317</v>
      </c>
      <c r="N88">
        <f t="shared" si="1"/>
        <v>25.236449999999998</v>
      </c>
      <c r="O88">
        <f t="shared" si="1"/>
        <v>20.78145</v>
      </c>
      <c r="P88">
        <f t="shared" si="1"/>
        <v>19.667699999999996</v>
      </c>
      <c r="Q88">
        <f t="shared" si="1"/>
        <v>15.880949999999999</v>
      </c>
      <c r="R88">
        <f t="shared" si="1"/>
        <v>12.316949999999999</v>
      </c>
      <c r="S88">
        <f t="shared" si="2"/>
        <v>13.675725000000003</v>
      </c>
    </row>
    <row r="89" spans="9:19" x14ac:dyDescent="0.25">
      <c r="I89" t="s">
        <v>58</v>
      </c>
      <c r="J89">
        <f t="shared" si="1"/>
        <v>25.236449999999998</v>
      </c>
      <c r="K89">
        <f t="shared" si="1"/>
        <v>24.790949999999999</v>
      </c>
      <c r="L89">
        <f t="shared" si="1"/>
        <v>23.677200000000003</v>
      </c>
      <c r="M89">
        <f t="shared" si="1"/>
        <v>22.56345</v>
      </c>
      <c r="N89">
        <f t="shared" si="1"/>
        <v>18.108450000000001</v>
      </c>
      <c r="O89">
        <f t="shared" si="1"/>
        <v>15.212699999999998</v>
      </c>
      <c r="P89">
        <f t="shared" si="1"/>
        <v>14.3217</v>
      </c>
      <c r="Q89">
        <f t="shared" si="1"/>
        <v>14.098950000000002</v>
      </c>
      <c r="R89">
        <f t="shared" si="1"/>
        <v>15.658200000000001</v>
      </c>
      <c r="S89">
        <f t="shared" si="2"/>
        <v>16.125975000000004</v>
      </c>
    </row>
    <row r="90" spans="9:19" x14ac:dyDescent="0.25">
      <c r="I90" t="s">
        <v>59</v>
      </c>
      <c r="J90">
        <f t="shared" ref="J90:R96" si="3">22.275*J62-6.1713</f>
        <v>24.568199999999997</v>
      </c>
      <c r="K90">
        <f t="shared" si="3"/>
        <v>22.56345</v>
      </c>
      <c r="L90">
        <f t="shared" si="3"/>
        <v>25.459199999999999</v>
      </c>
      <c r="M90">
        <f t="shared" si="3"/>
        <v>24.790949999999999</v>
      </c>
      <c r="N90">
        <f t="shared" si="3"/>
        <v>21.672450000000001</v>
      </c>
      <c r="O90">
        <f t="shared" si="3"/>
        <v>18.108450000000001</v>
      </c>
      <c r="P90">
        <f t="shared" si="3"/>
        <v>18.999449999999996</v>
      </c>
      <c r="Q90">
        <f t="shared" si="3"/>
        <v>14.767199999999999</v>
      </c>
      <c r="R90">
        <f t="shared" si="3"/>
        <v>14.3217</v>
      </c>
      <c r="S90">
        <f t="shared" si="2"/>
        <v>15.635925</v>
      </c>
    </row>
    <row r="91" spans="9:19" x14ac:dyDescent="0.25">
      <c r="I91" t="s">
        <v>60</v>
      </c>
      <c r="J91">
        <f t="shared" si="3"/>
        <v>23.2317</v>
      </c>
      <c r="K91">
        <f t="shared" si="3"/>
        <v>22.786200000000001</v>
      </c>
      <c r="L91">
        <f t="shared" si="3"/>
        <v>25.236449999999998</v>
      </c>
      <c r="M91">
        <f t="shared" si="3"/>
        <v>27.018449999999998</v>
      </c>
      <c r="N91">
        <f t="shared" si="3"/>
        <v>25.013699999999996</v>
      </c>
      <c r="O91">
        <f t="shared" si="3"/>
        <v>20.78145</v>
      </c>
      <c r="P91">
        <f t="shared" si="3"/>
        <v>17.8857</v>
      </c>
      <c r="Q91">
        <f t="shared" si="3"/>
        <v>12.762450000000001</v>
      </c>
      <c r="R91">
        <f t="shared" si="3"/>
        <v>12.094200000000001</v>
      </c>
      <c r="S91">
        <f t="shared" si="2"/>
        <v>13.185675000000003</v>
      </c>
    </row>
    <row r="92" spans="9:19" x14ac:dyDescent="0.25">
      <c r="I92" t="s">
        <v>61</v>
      </c>
      <c r="J92">
        <f t="shared" si="3"/>
        <v>22.340700000000002</v>
      </c>
      <c r="K92">
        <f t="shared" si="3"/>
        <v>22.11795</v>
      </c>
      <c r="L92">
        <f t="shared" si="3"/>
        <v>20.78145</v>
      </c>
      <c r="M92">
        <f t="shared" si="3"/>
        <v>23.677200000000003</v>
      </c>
      <c r="N92">
        <f t="shared" si="3"/>
        <v>22.340700000000002</v>
      </c>
      <c r="O92">
        <f t="shared" si="3"/>
        <v>18.999449999999996</v>
      </c>
      <c r="P92">
        <f t="shared" si="3"/>
        <v>16.77195</v>
      </c>
      <c r="Q92">
        <f t="shared" si="3"/>
        <v>15.212699999999998</v>
      </c>
      <c r="R92">
        <f t="shared" si="3"/>
        <v>11.871450000000003</v>
      </c>
      <c r="S92">
        <f>22.275*(S64*1.1)-6.1713</f>
        <v>12.450600000000001</v>
      </c>
    </row>
    <row r="93" spans="9:19" x14ac:dyDescent="0.25">
      <c r="I93" t="s">
        <v>62</v>
      </c>
      <c r="J93">
        <f t="shared" si="3"/>
        <v>20.113199999999999</v>
      </c>
      <c r="K93">
        <f t="shared" si="3"/>
        <v>15.212699999999998</v>
      </c>
      <c r="L93">
        <f t="shared" si="3"/>
        <v>15.880949999999999</v>
      </c>
      <c r="M93">
        <f t="shared" si="3"/>
        <v>20.113199999999999</v>
      </c>
      <c r="N93">
        <f t="shared" si="3"/>
        <v>20.558699999999998</v>
      </c>
      <c r="O93">
        <f t="shared" si="3"/>
        <v>14.767199999999999</v>
      </c>
      <c r="P93">
        <f t="shared" si="3"/>
        <v>13.876200000000001</v>
      </c>
      <c r="Q93">
        <f t="shared" si="3"/>
        <v>14.98995</v>
      </c>
      <c r="R93">
        <f t="shared" si="3"/>
        <v>16.1037</v>
      </c>
      <c r="S93">
        <f t="shared" ref="S93:S95" si="4">22.275*(S65*1.1)-6.1713</f>
        <v>14.900850000000002</v>
      </c>
    </row>
    <row r="94" spans="9:19" x14ac:dyDescent="0.25">
      <c r="I94" t="s">
        <v>63</v>
      </c>
      <c r="J94">
        <f t="shared" si="3"/>
        <v>18.776700000000002</v>
      </c>
      <c r="K94">
        <f t="shared" si="3"/>
        <v>20.113199999999999</v>
      </c>
      <c r="L94">
        <f t="shared" si="3"/>
        <v>21.672450000000001</v>
      </c>
      <c r="M94">
        <f t="shared" si="3"/>
        <v>15.435449999999999</v>
      </c>
      <c r="N94">
        <f t="shared" si="3"/>
        <v>12.762450000000001</v>
      </c>
      <c r="O94">
        <f t="shared" si="3"/>
        <v>13.653449999999999</v>
      </c>
      <c r="P94">
        <f t="shared" si="3"/>
        <v>13.20795</v>
      </c>
      <c r="Q94">
        <f t="shared" si="3"/>
        <v>11.871450000000003</v>
      </c>
      <c r="R94">
        <f t="shared" si="3"/>
        <v>13.430700000000002</v>
      </c>
      <c r="S94">
        <f t="shared" si="4"/>
        <v>15.390900000000002</v>
      </c>
    </row>
    <row r="95" spans="9:19" x14ac:dyDescent="0.25">
      <c r="I95" t="s">
        <v>64</v>
      </c>
      <c r="J95">
        <f t="shared" si="3"/>
        <v>26.350199999999997</v>
      </c>
      <c r="K95">
        <f t="shared" si="3"/>
        <v>22.56345</v>
      </c>
      <c r="L95">
        <f t="shared" si="3"/>
        <v>21.895199999999999</v>
      </c>
      <c r="M95">
        <f t="shared" si="3"/>
        <v>19.444949999999999</v>
      </c>
      <c r="N95">
        <f t="shared" si="3"/>
        <v>20.113199999999999</v>
      </c>
      <c r="O95">
        <f t="shared" si="3"/>
        <v>21.226949999999999</v>
      </c>
      <c r="P95">
        <f t="shared" si="3"/>
        <v>17.662950000000002</v>
      </c>
      <c r="Q95">
        <f t="shared" si="3"/>
        <v>12.316949999999999</v>
      </c>
      <c r="R95">
        <f t="shared" si="3"/>
        <v>12.094200000000001</v>
      </c>
      <c r="S95">
        <f t="shared" si="4"/>
        <v>14.165775</v>
      </c>
    </row>
    <row r="96" spans="9:19" x14ac:dyDescent="0.25">
      <c r="I96" t="s">
        <v>65</v>
      </c>
      <c r="J96">
        <f>22.275*J68-6.1713</f>
        <v>26.7957</v>
      </c>
      <c r="K96">
        <f t="shared" si="3"/>
        <v>25.459199999999999</v>
      </c>
      <c r="L96">
        <f t="shared" si="3"/>
        <v>20.558699999999998</v>
      </c>
      <c r="M96">
        <f t="shared" si="3"/>
        <v>22.340700000000002</v>
      </c>
      <c r="N96">
        <f t="shared" si="3"/>
        <v>23.2317</v>
      </c>
      <c r="O96">
        <f t="shared" si="3"/>
        <v>19.444949999999999</v>
      </c>
      <c r="P96">
        <f t="shared" si="3"/>
        <v>16.994700000000002</v>
      </c>
      <c r="Q96">
        <f t="shared" si="3"/>
        <v>11.42595</v>
      </c>
      <c r="R96">
        <f t="shared" si="3"/>
        <v>10.7577</v>
      </c>
      <c r="S96">
        <f>22.275*(S68*1.1)-6.1713</f>
        <v>13.185675000000003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0.165492</v>
      </c>
      <c r="K101" s="4">
        <f t="shared" si="5"/>
        <v>0.174402</v>
      </c>
      <c r="L101" s="4">
        <f t="shared" si="5"/>
        <v>0.20113199999999998</v>
      </c>
      <c r="M101" s="4">
        <f t="shared" si="5"/>
        <v>0.22340700000000002</v>
      </c>
      <c r="N101" s="4">
        <f t="shared" si="5"/>
        <v>0.16326450000000001</v>
      </c>
      <c r="O101" s="4">
        <f t="shared" si="5"/>
        <v>0.15880949999999999</v>
      </c>
      <c r="P101" s="4">
        <f t="shared" si="5"/>
        <v>0.16326450000000001</v>
      </c>
      <c r="Q101" s="4">
        <f t="shared" si="5"/>
        <v>0.174402</v>
      </c>
      <c r="R101" s="4">
        <f t="shared" si="5"/>
        <v>0.174402</v>
      </c>
      <c r="S101" s="4">
        <f t="shared" si="5"/>
        <v>0.16371000000000005</v>
      </c>
    </row>
    <row r="102" spans="9:19" x14ac:dyDescent="0.25">
      <c r="I102">
        <v>12</v>
      </c>
      <c r="J102" s="4">
        <f t="shared" ref="J102:S115" si="6">IF(J74&lt;0,"",J74/100)</f>
        <v>0.20781449999999999</v>
      </c>
      <c r="K102" s="4">
        <f t="shared" si="6"/>
        <v>0.20781449999999999</v>
      </c>
      <c r="L102" s="4">
        <f t="shared" si="6"/>
        <v>0.165492</v>
      </c>
      <c r="M102" s="4">
        <f t="shared" si="6"/>
        <v>0.11648700000000002</v>
      </c>
      <c r="N102" s="4">
        <f t="shared" si="6"/>
        <v>0.10312200000000001</v>
      </c>
      <c r="O102" s="4">
        <f t="shared" si="6"/>
        <v>0.10980450000000001</v>
      </c>
      <c r="P102" s="4">
        <f t="shared" si="6"/>
        <v>0.11871450000000003</v>
      </c>
      <c r="Q102" s="4">
        <f t="shared" si="6"/>
        <v>0.165492</v>
      </c>
      <c r="R102" s="4">
        <f t="shared" si="6"/>
        <v>0.174402</v>
      </c>
      <c r="S102" s="4">
        <f t="shared" si="6"/>
        <v>0.14165775</v>
      </c>
    </row>
    <row r="103" spans="9:19" x14ac:dyDescent="0.25">
      <c r="I103">
        <v>13</v>
      </c>
      <c r="J103" s="4">
        <f t="shared" si="6"/>
        <v>0.20335949999999997</v>
      </c>
      <c r="K103" s="4">
        <f t="shared" si="6"/>
        <v>0.18331200000000003</v>
      </c>
      <c r="L103" s="4">
        <f t="shared" si="6"/>
        <v>0.19890449999999998</v>
      </c>
      <c r="M103" s="4">
        <f t="shared" si="6"/>
        <v>0.22340700000000002</v>
      </c>
      <c r="N103" s="4">
        <f t="shared" si="6"/>
        <v>0.19667699999999996</v>
      </c>
      <c r="O103" s="4">
        <f t="shared" si="6"/>
        <v>0.156582</v>
      </c>
      <c r="P103" s="4">
        <f t="shared" si="6"/>
        <v>0.1454445</v>
      </c>
      <c r="Q103" s="4">
        <f t="shared" si="6"/>
        <v>0.14321700000000001</v>
      </c>
      <c r="R103" s="4">
        <f t="shared" si="6"/>
        <v>0.15880949999999999</v>
      </c>
      <c r="S103" s="4">
        <f t="shared" si="6"/>
        <v>0.15390900000000002</v>
      </c>
    </row>
    <row r="104" spans="9:19" x14ac:dyDescent="0.25">
      <c r="I104">
        <v>14</v>
      </c>
      <c r="J104" s="4">
        <f t="shared" si="6"/>
        <v>0.22786200000000001</v>
      </c>
      <c r="K104" s="4">
        <f t="shared" si="6"/>
        <v>0.22563449999999999</v>
      </c>
      <c r="L104" s="4">
        <f t="shared" si="6"/>
        <v>0.22786200000000001</v>
      </c>
      <c r="M104" s="4">
        <f t="shared" si="6"/>
        <v>0.20781449999999999</v>
      </c>
      <c r="N104" s="4">
        <f t="shared" si="6"/>
        <v>0.174402</v>
      </c>
      <c r="O104" s="4">
        <f t="shared" si="6"/>
        <v>0.1454445</v>
      </c>
      <c r="P104" s="4">
        <f t="shared" si="6"/>
        <v>0.15880949999999999</v>
      </c>
      <c r="Q104" s="4">
        <f t="shared" si="6"/>
        <v>0.156582</v>
      </c>
      <c r="R104" s="4">
        <f t="shared" si="6"/>
        <v>0.147672</v>
      </c>
      <c r="S104" s="4">
        <f t="shared" si="6"/>
        <v>0.15390900000000002</v>
      </c>
    </row>
    <row r="105" spans="9:19" x14ac:dyDescent="0.25">
      <c r="I105">
        <v>21</v>
      </c>
      <c r="J105" s="4">
        <f t="shared" si="6"/>
        <v>0.25681949999999998</v>
      </c>
      <c r="K105" s="4">
        <f t="shared" si="6"/>
        <v>0.23008950000000003</v>
      </c>
      <c r="L105" s="4">
        <f t="shared" si="6"/>
        <v>0.23454450000000002</v>
      </c>
      <c r="M105" s="4">
        <f t="shared" si="6"/>
        <v>0.20781449999999999</v>
      </c>
      <c r="N105" s="4">
        <f t="shared" si="6"/>
        <v>0.16994700000000001</v>
      </c>
      <c r="O105" s="4">
        <f t="shared" si="6"/>
        <v>0.16103699999999999</v>
      </c>
      <c r="P105" s="4">
        <f t="shared" si="6"/>
        <v>0.15880949999999999</v>
      </c>
      <c r="Q105" s="4">
        <f t="shared" si="6"/>
        <v>0.18999449999999996</v>
      </c>
      <c r="R105" s="4">
        <f t="shared" si="6"/>
        <v>0.18331200000000003</v>
      </c>
      <c r="S105" s="4">
        <f t="shared" si="6"/>
        <v>0.16371000000000005</v>
      </c>
    </row>
    <row r="106" spans="9:19" x14ac:dyDescent="0.25">
      <c r="I106">
        <v>22</v>
      </c>
      <c r="J106" s="4">
        <f t="shared" si="6"/>
        <v>0.23677200000000004</v>
      </c>
      <c r="K106" s="4">
        <f t="shared" si="6"/>
        <v>0.21449699999999999</v>
      </c>
      <c r="L106" s="4">
        <f t="shared" si="6"/>
        <v>0.21004199999999998</v>
      </c>
      <c r="M106" s="4">
        <f t="shared" si="6"/>
        <v>0.19667699999999996</v>
      </c>
      <c r="N106" s="4">
        <f t="shared" si="6"/>
        <v>0.17217450000000001</v>
      </c>
      <c r="O106" s="4">
        <f t="shared" si="6"/>
        <v>0.13207950000000002</v>
      </c>
      <c r="P106" s="4">
        <f t="shared" si="6"/>
        <v>0.10757699999999999</v>
      </c>
      <c r="Q106" s="4">
        <f t="shared" si="6"/>
        <v>0.14989949999999999</v>
      </c>
      <c r="R106" s="4">
        <f t="shared" si="6"/>
        <v>0.17217450000000001</v>
      </c>
      <c r="S106" s="4">
        <f t="shared" si="6"/>
        <v>0.17841150000000003</v>
      </c>
    </row>
    <row r="107" spans="9:19" x14ac:dyDescent="0.25">
      <c r="I107">
        <v>23</v>
      </c>
      <c r="J107" s="4">
        <f t="shared" si="6"/>
        <v>0.20558699999999999</v>
      </c>
      <c r="K107" s="4">
        <f t="shared" si="6"/>
        <v>0.19890449999999998</v>
      </c>
      <c r="L107" s="4">
        <f t="shared" si="6"/>
        <v>0.24345450000000002</v>
      </c>
      <c r="M107" s="4">
        <f t="shared" si="6"/>
        <v>0.22786200000000001</v>
      </c>
      <c r="N107" s="4">
        <f t="shared" si="6"/>
        <v>0.1855395</v>
      </c>
      <c r="O107" s="4">
        <f t="shared" si="6"/>
        <v>0.11871450000000003</v>
      </c>
      <c r="P107" s="4">
        <f t="shared" si="6"/>
        <v>0.11203200000000002</v>
      </c>
      <c r="Q107" s="4">
        <f t="shared" si="6"/>
        <v>0.129852</v>
      </c>
      <c r="R107" s="4">
        <f t="shared" si="6"/>
        <v>0.16103699999999999</v>
      </c>
      <c r="S107" s="4">
        <f t="shared" si="6"/>
        <v>0.16125975000000004</v>
      </c>
    </row>
    <row r="108" spans="9:19" x14ac:dyDescent="0.25">
      <c r="I108">
        <v>24</v>
      </c>
      <c r="J108" s="4">
        <f t="shared" si="6"/>
        <v>8.5302000000000003E-2</v>
      </c>
      <c r="K108" s="4">
        <f t="shared" si="6"/>
        <v>6.7481999999999986E-2</v>
      </c>
      <c r="L108" s="4">
        <f t="shared" si="6"/>
        <v>5.8571999999999999E-2</v>
      </c>
      <c r="M108" s="4">
        <f t="shared" si="6"/>
        <v>6.3027E-2</v>
      </c>
      <c r="N108" s="4">
        <f t="shared" si="6"/>
        <v>6.7481999999999986E-2</v>
      </c>
      <c r="O108" s="4">
        <f t="shared" si="6"/>
        <v>6.5254499999999979E-2</v>
      </c>
      <c r="P108" s="4">
        <f t="shared" si="6"/>
        <v>6.9709499999999994E-2</v>
      </c>
      <c r="Q108" s="4">
        <f t="shared" si="6"/>
        <v>9.421199999999999E-2</v>
      </c>
      <c r="R108" s="4">
        <f t="shared" si="6"/>
        <v>0.11203200000000002</v>
      </c>
      <c r="S108" s="4">
        <f t="shared" si="6"/>
        <v>0.15390900000000002</v>
      </c>
    </row>
    <row r="109" spans="9:19" x14ac:dyDescent="0.25">
      <c r="I109">
        <v>31</v>
      </c>
      <c r="J109" s="4">
        <f t="shared" si="6"/>
        <v>0.29691449999999997</v>
      </c>
      <c r="K109" s="4">
        <f t="shared" si="6"/>
        <v>0.24568199999999998</v>
      </c>
      <c r="L109" s="4">
        <f t="shared" si="6"/>
        <v>0.24122700000000002</v>
      </c>
      <c r="M109" s="4">
        <f t="shared" si="6"/>
        <v>0.22786200000000001</v>
      </c>
      <c r="N109" s="4">
        <f t="shared" si="6"/>
        <v>0.20558699999999999</v>
      </c>
      <c r="O109" s="4">
        <f t="shared" si="6"/>
        <v>0.17662950000000002</v>
      </c>
      <c r="P109" s="4">
        <f t="shared" si="6"/>
        <v>0.14098950000000002</v>
      </c>
      <c r="Q109" s="4">
        <f t="shared" si="6"/>
        <v>0.13430700000000001</v>
      </c>
      <c r="R109" s="4">
        <f t="shared" si="6"/>
        <v>0.138762</v>
      </c>
      <c r="S109" s="4">
        <f t="shared" si="6"/>
        <v>0.15145875</v>
      </c>
    </row>
    <row r="110" spans="9:19" x14ac:dyDescent="0.25">
      <c r="I110">
        <v>32</v>
      </c>
      <c r="J110" s="4">
        <f t="shared" si="6"/>
        <v>0.165492</v>
      </c>
      <c r="K110" s="4">
        <f t="shared" si="6"/>
        <v>0.15435450000000001</v>
      </c>
      <c r="L110" s="4">
        <f t="shared" si="6"/>
        <v>0.13207950000000002</v>
      </c>
      <c r="M110" s="4">
        <f t="shared" si="6"/>
        <v>0.11203200000000002</v>
      </c>
      <c r="N110" s="4">
        <f t="shared" si="6"/>
        <v>0.10757699999999999</v>
      </c>
      <c r="O110" s="4">
        <f t="shared" si="6"/>
        <v>0.10757699999999999</v>
      </c>
      <c r="P110" s="4">
        <f t="shared" si="6"/>
        <v>0.10980450000000001</v>
      </c>
      <c r="Q110" s="4">
        <f t="shared" si="6"/>
        <v>0.138762</v>
      </c>
      <c r="R110" s="4">
        <f t="shared" si="6"/>
        <v>0.16326450000000001</v>
      </c>
      <c r="S110" s="4">
        <f t="shared" si="6"/>
        <v>0.16616025000000004</v>
      </c>
    </row>
    <row r="111" spans="9:19" x14ac:dyDescent="0.25">
      <c r="I111">
        <v>33</v>
      </c>
      <c r="J111" s="4">
        <f t="shared" si="6"/>
        <v>0.165492</v>
      </c>
      <c r="K111" s="4">
        <f t="shared" si="6"/>
        <v>0.165492</v>
      </c>
      <c r="L111" s="4">
        <f t="shared" si="6"/>
        <v>0.20558699999999999</v>
      </c>
      <c r="M111" s="4">
        <f t="shared" si="6"/>
        <v>0.23677200000000004</v>
      </c>
      <c r="N111" s="4">
        <f t="shared" si="6"/>
        <v>0.19890449999999998</v>
      </c>
      <c r="O111" s="4">
        <f t="shared" si="6"/>
        <v>0.1365345</v>
      </c>
      <c r="P111" s="4">
        <f t="shared" si="6"/>
        <v>0.14321700000000001</v>
      </c>
      <c r="Q111" s="4">
        <f t="shared" si="6"/>
        <v>0.147672</v>
      </c>
      <c r="R111" s="4">
        <f t="shared" si="6"/>
        <v>0.15880949999999999</v>
      </c>
      <c r="S111" s="4">
        <f t="shared" si="6"/>
        <v>0.16371000000000005</v>
      </c>
    </row>
    <row r="112" spans="9:19" x14ac:dyDescent="0.25">
      <c r="I112">
        <v>34</v>
      </c>
      <c r="J112" s="4">
        <f t="shared" si="6"/>
        <v>0.129852</v>
      </c>
      <c r="K112" s="4">
        <f t="shared" si="6"/>
        <v>0.14098950000000002</v>
      </c>
      <c r="L112" s="4">
        <f t="shared" si="6"/>
        <v>0.19222199999999998</v>
      </c>
      <c r="M112" s="4">
        <f t="shared" si="6"/>
        <v>0.21895199999999998</v>
      </c>
      <c r="N112" s="4">
        <f t="shared" si="6"/>
        <v>0.24122700000000002</v>
      </c>
      <c r="O112" s="4">
        <f t="shared" si="6"/>
        <v>0.21895199999999998</v>
      </c>
      <c r="P112" s="4">
        <f t="shared" si="6"/>
        <v>0.17885699999999999</v>
      </c>
      <c r="Q112" s="4">
        <f t="shared" si="6"/>
        <v>0.17662950000000002</v>
      </c>
      <c r="R112" s="4">
        <f t="shared" si="6"/>
        <v>0.156582</v>
      </c>
      <c r="S112" s="4">
        <f t="shared" si="6"/>
        <v>0.14410800000000001</v>
      </c>
    </row>
    <row r="113" spans="9:19" x14ac:dyDescent="0.25">
      <c r="I113">
        <v>41</v>
      </c>
      <c r="J113" s="4">
        <f t="shared" si="6"/>
        <v>0.20335949999999997</v>
      </c>
      <c r="K113" s="4">
        <f t="shared" si="6"/>
        <v>0.21449699999999999</v>
      </c>
      <c r="L113" s="4">
        <f t="shared" si="6"/>
        <v>0.27909450000000002</v>
      </c>
      <c r="M113" s="4">
        <f t="shared" si="6"/>
        <v>0.25013699999999994</v>
      </c>
      <c r="N113" s="4">
        <f t="shared" si="6"/>
        <v>0.24345450000000002</v>
      </c>
      <c r="O113" s="4">
        <f t="shared" si="6"/>
        <v>0.21004199999999998</v>
      </c>
      <c r="P113" s="4">
        <f t="shared" si="6"/>
        <v>0.17885699999999999</v>
      </c>
      <c r="Q113" s="4">
        <f t="shared" si="6"/>
        <v>0.13430700000000001</v>
      </c>
      <c r="R113" s="4">
        <f t="shared" si="6"/>
        <v>0.156582</v>
      </c>
      <c r="S113" s="4">
        <f t="shared" si="6"/>
        <v>0.16616025000000004</v>
      </c>
    </row>
    <row r="114" spans="9:19" x14ac:dyDescent="0.25">
      <c r="I114">
        <v>42</v>
      </c>
      <c r="J114" s="4">
        <f t="shared" si="6"/>
        <v>0.19890449999999998</v>
      </c>
      <c r="K114" s="4">
        <f t="shared" si="6"/>
        <v>0.20335949999999997</v>
      </c>
      <c r="L114" s="4">
        <f t="shared" si="6"/>
        <v>0.21895199999999998</v>
      </c>
      <c r="M114" s="4">
        <f t="shared" si="6"/>
        <v>0.20335949999999997</v>
      </c>
      <c r="N114" s="4">
        <f t="shared" si="6"/>
        <v>0.19890449999999998</v>
      </c>
      <c r="O114" s="4">
        <f t="shared" si="6"/>
        <v>0.15880949999999999</v>
      </c>
      <c r="P114" s="4">
        <f t="shared" si="6"/>
        <v>0.129852</v>
      </c>
      <c r="Q114" s="4">
        <f t="shared" si="6"/>
        <v>0.13430700000000001</v>
      </c>
      <c r="R114" s="4">
        <f t="shared" si="6"/>
        <v>0.16326450000000001</v>
      </c>
      <c r="S114" s="4">
        <f t="shared" si="6"/>
        <v>0.16371000000000005</v>
      </c>
    </row>
    <row r="115" spans="9:19" x14ac:dyDescent="0.25">
      <c r="I115">
        <v>43</v>
      </c>
      <c r="J115" s="4">
        <f t="shared" si="6"/>
        <v>0.21895199999999998</v>
      </c>
      <c r="K115" s="4">
        <f t="shared" si="6"/>
        <v>0.21004199999999998</v>
      </c>
      <c r="L115" s="4">
        <f t="shared" si="6"/>
        <v>0.23677200000000004</v>
      </c>
      <c r="M115" s="4">
        <f t="shared" si="6"/>
        <v>0.17885699999999999</v>
      </c>
      <c r="N115" s="4">
        <f t="shared" si="6"/>
        <v>0.17885699999999999</v>
      </c>
      <c r="O115" s="4">
        <f t="shared" si="6"/>
        <v>0.15435450000000001</v>
      </c>
      <c r="P115" s="4">
        <f t="shared" si="6"/>
        <v>0.14989949999999999</v>
      </c>
      <c r="Q115" s="4">
        <f t="shared" si="6"/>
        <v>0.13430700000000001</v>
      </c>
      <c r="R115" s="4">
        <f t="shared" si="6"/>
        <v>0.1365345</v>
      </c>
      <c r="S115" s="4">
        <f t="shared" si="6"/>
        <v>0.14410800000000001</v>
      </c>
    </row>
    <row r="116" spans="9:19" x14ac:dyDescent="0.25">
      <c r="I116">
        <v>44</v>
      </c>
      <c r="J116" s="4">
        <f t="shared" ref="J116:S116" si="7">IF(J88&lt;0,"",J88/100)</f>
        <v>0.15880949999999999</v>
      </c>
      <c r="K116" s="4">
        <f t="shared" si="7"/>
        <v>0.16771949999999999</v>
      </c>
      <c r="L116" s="4">
        <f t="shared" si="7"/>
        <v>0.24790949999999998</v>
      </c>
      <c r="M116" s="4">
        <f t="shared" si="7"/>
        <v>0.232317</v>
      </c>
      <c r="N116" s="4">
        <f t="shared" si="7"/>
        <v>0.25236449999999999</v>
      </c>
      <c r="O116" s="4">
        <f t="shared" si="7"/>
        <v>0.20781449999999999</v>
      </c>
      <c r="P116" s="4">
        <f t="shared" si="7"/>
        <v>0.19667699999999996</v>
      </c>
      <c r="Q116" s="4">
        <f t="shared" si="7"/>
        <v>0.15880949999999999</v>
      </c>
      <c r="R116" s="4">
        <f t="shared" si="7"/>
        <v>0.12316949999999999</v>
      </c>
      <c r="S116" s="4">
        <f t="shared" si="7"/>
        <v>0.13675725000000002</v>
      </c>
    </row>
    <row r="117" spans="9:19" x14ac:dyDescent="0.25">
      <c r="I117">
        <v>51</v>
      </c>
      <c r="J117" s="4">
        <f t="shared" ref="J117:S123" si="8">IF(J89&lt;0,"",J89/100)</f>
        <v>0.25236449999999999</v>
      </c>
      <c r="K117" s="4">
        <f t="shared" si="8"/>
        <v>0.24790949999999998</v>
      </c>
      <c r="L117" s="4">
        <f t="shared" si="8"/>
        <v>0.23677200000000004</v>
      </c>
      <c r="M117" s="4">
        <f t="shared" si="8"/>
        <v>0.22563449999999999</v>
      </c>
      <c r="N117" s="4">
        <f t="shared" si="8"/>
        <v>0.18108450000000001</v>
      </c>
      <c r="O117" s="4">
        <f t="shared" si="8"/>
        <v>0.15212699999999998</v>
      </c>
      <c r="P117" s="4">
        <f t="shared" si="8"/>
        <v>0.14321700000000001</v>
      </c>
      <c r="Q117" s="4">
        <f t="shared" si="8"/>
        <v>0.14098950000000002</v>
      </c>
      <c r="R117" s="4">
        <f t="shared" si="8"/>
        <v>0.156582</v>
      </c>
      <c r="S117" s="4">
        <f t="shared" si="8"/>
        <v>0.16125975000000004</v>
      </c>
    </row>
    <row r="118" spans="9:19" x14ac:dyDescent="0.25">
      <c r="I118">
        <v>52</v>
      </c>
      <c r="J118" s="4">
        <f t="shared" si="8"/>
        <v>0.24568199999999998</v>
      </c>
      <c r="K118" s="4">
        <f t="shared" si="8"/>
        <v>0.22563449999999999</v>
      </c>
      <c r="L118" s="4">
        <f t="shared" si="8"/>
        <v>0.25459199999999998</v>
      </c>
      <c r="M118" s="4">
        <f t="shared" si="8"/>
        <v>0.24790949999999998</v>
      </c>
      <c r="N118" s="4">
        <f t="shared" si="8"/>
        <v>0.21672450000000001</v>
      </c>
      <c r="O118" s="4">
        <f t="shared" si="8"/>
        <v>0.18108450000000001</v>
      </c>
      <c r="P118" s="4">
        <f t="shared" si="8"/>
        <v>0.18999449999999996</v>
      </c>
      <c r="Q118" s="4">
        <f t="shared" si="8"/>
        <v>0.147672</v>
      </c>
      <c r="R118" s="4">
        <f t="shared" si="8"/>
        <v>0.14321700000000001</v>
      </c>
      <c r="S118" s="4">
        <f t="shared" si="8"/>
        <v>0.15635925000000001</v>
      </c>
    </row>
    <row r="119" spans="9:19" x14ac:dyDescent="0.25">
      <c r="I119">
        <v>53</v>
      </c>
      <c r="J119" s="4">
        <f t="shared" si="8"/>
        <v>0.232317</v>
      </c>
      <c r="K119" s="4">
        <f t="shared" si="8"/>
        <v>0.22786200000000001</v>
      </c>
      <c r="L119" s="4">
        <f t="shared" si="8"/>
        <v>0.25236449999999999</v>
      </c>
      <c r="M119" s="4">
        <f t="shared" si="8"/>
        <v>0.27018449999999999</v>
      </c>
      <c r="N119" s="4">
        <f t="shared" si="8"/>
        <v>0.25013699999999994</v>
      </c>
      <c r="O119" s="4">
        <f t="shared" si="8"/>
        <v>0.20781449999999999</v>
      </c>
      <c r="P119" s="4">
        <f t="shared" si="8"/>
        <v>0.17885699999999999</v>
      </c>
      <c r="Q119" s="4">
        <f t="shared" si="8"/>
        <v>0.1276245</v>
      </c>
      <c r="R119" s="4">
        <f t="shared" si="8"/>
        <v>0.12094200000000001</v>
      </c>
      <c r="S119" s="4">
        <f t="shared" si="8"/>
        <v>0.13185675000000002</v>
      </c>
    </row>
    <row r="120" spans="9:19" x14ac:dyDescent="0.25">
      <c r="I120">
        <v>54</v>
      </c>
      <c r="J120" s="4">
        <f t="shared" si="8"/>
        <v>0.22340700000000002</v>
      </c>
      <c r="K120" s="4">
        <f t="shared" si="8"/>
        <v>0.2211795</v>
      </c>
      <c r="L120" s="4">
        <f t="shared" si="8"/>
        <v>0.20781449999999999</v>
      </c>
      <c r="M120" s="4">
        <f t="shared" si="8"/>
        <v>0.23677200000000004</v>
      </c>
      <c r="N120" s="4">
        <f t="shared" si="8"/>
        <v>0.22340700000000002</v>
      </c>
      <c r="O120" s="4">
        <f t="shared" si="8"/>
        <v>0.18999449999999996</v>
      </c>
      <c r="P120" s="4">
        <f t="shared" si="8"/>
        <v>0.16771949999999999</v>
      </c>
      <c r="Q120" s="4">
        <f t="shared" si="8"/>
        <v>0.15212699999999998</v>
      </c>
      <c r="R120" s="4">
        <f t="shared" si="8"/>
        <v>0.11871450000000003</v>
      </c>
      <c r="S120" s="4">
        <f t="shared" si="8"/>
        <v>0.12450600000000002</v>
      </c>
    </row>
    <row r="121" spans="9:19" x14ac:dyDescent="0.25">
      <c r="I121">
        <v>61</v>
      </c>
      <c r="J121" s="4">
        <f t="shared" si="8"/>
        <v>0.20113199999999998</v>
      </c>
      <c r="K121" s="4">
        <f t="shared" si="8"/>
        <v>0.15212699999999998</v>
      </c>
      <c r="L121" s="4">
        <f t="shared" si="8"/>
        <v>0.15880949999999999</v>
      </c>
      <c r="M121" s="4">
        <f t="shared" si="8"/>
        <v>0.20113199999999998</v>
      </c>
      <c r="N121" s="4">
        <f t="shared" si="8"/>
        <v>0.20558699999999999</v>
      </c>
      <c r="O121" s="4">
        <f t="shared" si="8"/>
        <v>0.147672</v>
      </c>
      <c r="P121" s="4">
        <f t="shared" si="8"/>
        <v>0.138762</v>
      </c>
      <c r="Q121" s="4">
        <f t="shared" si="8"/>
        <v>0.14989949999999999</v>
      </c>
      <c r="R121" s="4">
        <f t="shared" si="8"/>
        <v>0.16103699999999999</v>
      </c>
      <c r="S121" s="4">
        <f t="shared" si="8"/>
        <v>0.14900850000000002</v>
      </c>
    </row>
    <row r="122" spans="9:19" x14ac:dyDescent="0.25">
      <c r="I122">
        <v>62</v>
      </c>
      <c r="J122" s="4">
        <f t="shared" si="8"/>
        <v>0.18776700000000002</v>
      </c>
      <c r="K122" s="4">
        <f t="shared" si="8"/>
        <v>0.20113199999999998</v>
      </c>
      <c r="L122" s="4">
        <f t="shared" si="8"/>
        <v>0.21672450000000001</v>
      </c>
      <c r="M122" s="4">
        <f t="shared" si="8"/>
        <v>0.15435450000000001</v>
      </c>
      <c r="N122" s="4">
        <f t="shared" si="8"/>
        <v>0.1276245</v>
      </c>
      <c r="O122" s="4">
        <f t="shared" si="8"/>
        <v>0.1365345</v>
      </c>
      <c r="P122" s="4">
        <f t="shared" si="8"/>
        <v>0.13207950000000002</v>
      </c>
      <c r="Q122" s="4">
        <f t="shared" si="8"/>
        <v>0.11871450000000003</v>
      </c>
      <c r="R122" s="4">
        <f t="shared" si="8"/>
        <v>0.13430700000000001</v>
      </c>
      <c r="S122" s="4">
        <f t="shared" si="8"/>
        <v>0.15390900000000002</v>
      </c>
    </row>
    <row r="123" spans="9:19" x14ac:dyDescent="0.25">
      <c r="I123">
        <v>63</v>
      </c>
      <c r="J123" s="4">
        <f t="shared" si="8"/>
        <v>0.26350199999999996</v>
      </c>
      <c r="K123" s="4">
        <f t="shared" si="8"/>
        <v>0.22563449999999999</v>
      </c>
      <c r="L123" s="4">
        <f t="shared" si="8"/>
        <v>0.21895199999999998</v>
      </c>
      <c r="M123" s="4">
        <f t="shared" si="8"/>
        <v>0.1944495</v>
      </c>
      <c r="N123" s="4">
        <f t="shared" si="8"/>
        <v>0.20113199999999998</v>
      </c>
      <c r="O123" s="4">
        <f t="shared" si="8"/>
        <v>0.2122695</v>
      </c>
      <c r="P123" s="4">
        <f t="shared" si="8"/>
        <v>0.17662950000000002</v>
      </c>
      <c r="Q123" s="4">
        <f t="shared" si="8"/>
        <v>0.12316949999999999</v>
      </c>
      <c r="R123" s="4">
        <f t="shared" si="8"/>
        <v>0.12094200000000001</v>
      </c>
      <c r="S123" s="4">
        <f t="shared" si="8"/>
        <v>0.14165775</v>
      </c>
    </row>
    <row r="124" spans="9:19" x14ac:dyDescent="0.25">
      <c r="I124">
        <v>64</v>
      </c>
      <c r="J124" s="4">
        <f t="shared" ref="J124:S124" si="9">IF(J96&lt;0,"",J96/100)</f>
        <v>0.267957</v>
      </c>
      <c r="K124" s="4">
        <f t="shared" si="9"/>
        <v>0.25459199999999998</v>
      </c>
      <c r="L124" s="4">
        <f t="shared" si="9"/>
        <v>0.20558699999999999</v>
      </c>
      <c r="M124" s="4">
        <f t="shared" si="9"/>
        <v>0.22340700000000002</v>
      </c>
      <c r="N124" s="4">
        <f t="shared" si="9"/>
        <v>0.232317</v>
      </c>
      <c r="O124" s="4">
        <f t="shared" si="9"/>
        <v>0.1944495</v>
      </c>
      <c r="P124" s="4">
        <f t="shared" si="9"/>
        <v>0.16994700000000001</v>
      </c>
      <c r="Q124" s="4">
        <f t="shared" si="9"/>
        <v>0.1142595</v>
      </c>
      <c r="R124" s="4">
        <f t="shared" si="9"/>
        <v>0.10757699999999999</v>
      </c>
      <c r="S124" s="4">
        <f t="shared" si="9"/>
        <v>0.13185675000000002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9C9E-673E-493A-BF3E-48A7011681EB}">
  <dimension ref="A1:T124"/>
  <sheetViews>
    <sheetView topLeftCell="D49" workbookViewId="0">
      <selection activeCell="I101" sqref="I101:S124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10428</v>
      </c>
      <c r="F1">
        <v>0</v>
      </c>
      <c r="G1">
        <v>10</v>
      </c>
      <c r="H1">
        <v>1829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20</v>
      </c>
      <c r="F18">
        <v>10</v>
      </c>
      <c r="G18">
        <v>28</v>
      </c>
      <c r="H18">
        <v>7</v>
      </c>
      <c r="I18">
        <v>50</v>
      </c>
      <c r="J18">
        <v>0.98</v>
      </c>
      <c r="K18">
        <v>1.01</v>
      </c>
      <c r="L18">
        <v>1.1399999999999999</v>
      </c>
      <c r="M18">
        <v>1.25</v>
      </c>
      <c r="N18">
        <v>0.98</v>
      </c>
      <c r="O18">
        <v>0.98</v>
      </c>
      <c r="P18">
        <v>0.99</v>
      </c>
      <c r="Q18">
        <v>1.02</v>
      </c>
      <c r="R18">
        <v>1.03</v>
      </c>
      <c r="S18">
        <v>0.86</v>
      </c>
      <c r="T18">
        <v>3754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20</v>
      </c>
      <c r="F19">
        <v>10</v>
      </c>
      <c r="G19">
        <v>28</v>
      </c>
      <c r="H19">
        <v>8</v>
      </c>
      <c r="I19">
        <v>2</v>
      </c>
      <c r="J19">
        <v>1.17</v>
      </c>
      <c r="K19">
        <v>1.17</v>
      </c>
      <c r="L19">
        <v>1</v>
      </c>
      <c r="M19">
        <v>0.8</v>
      </c>
      <c r="N19">
        <v>0.74</v>
      </c>
      <c r="O19">
        <v>0.77</v>
      </c>
      <c r="P19">
        <v>0.76</v>
      </c>
      <c r="Q19">
        <v>0.98</v>
      </c>
      <c r="R19">
        <v>1.06</v>
      </c>
      <c r="S19">
        <v>0.83</v>
      </c>
      <c r="T19">
        <v>3745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20</v>
      </c>
      <c r="F20">
        <v>10</v>
      </c>
      <c r="G20">
        <v>28</v>
      </c>
      <c r="H20">
        <v>8</v>
      </c>
      <c r="I20">
        <v>5</v>
      </c>
      <c r="J20">
        <v>1.1599999999999999</v>
      </c>
      <c r="K20">
        <v>1.0900000000000001</v>
      </c>
      <c r="L20">
        <v>1.1599999999999999</v>
      </c>
      <c r="M20">
        <v>1.2</v>
      </c>
      <c r="N20">
        <v>1.1299999999999999</v>
      </c>
      <c r="O20">
        <v>0.98</v>
      </c>
      <c r="P20">
        <v>0.91</v>
      </c>
      <c r="Q20">
        <v>0.89</v>
      </c>
      <c r="R20">
        <v>0.98</v>
      </c>
      <c r="S20">
        <v>0.87</v>
      </c>
      <c r="T20">
        <v>3757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20</v>
      </c>
      <c r="F21">
        <v>10</v>
      </c>
      <c r="G21">
        <v>28</v>
      </c>
      <c r="H21">
        <v>8</v>
      </c>
      <c r="I21">
        <v>1</v>
      </c>
      <c r="J21">
        <v>1.26</v>
      </c>
      <c r="K21">
        <v>1.26</v>
      </c>
      <c r="L21">
        <v>1.27</v>
      </c>
      <c r="M21">
        <v>1.1499999999999999</v>
      </c>
      <c r="N21">
        <v>1.01</v>
      </c>
      <c r="O21">
        <v>0.92</v>
      </c>
      <c r="P21">
        <v>0.95</v>
      </c>
      <c r="Q21">
        <v>0.99</v>
      </c>
      <c r="R21">
        <v>0.91</v>
      </c>
      <c r="S21">
        <v>0.84</v>
      </c>
      <c r="T21">
        <v>3744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20</v>
      </c>
      <c r="F22">
        <v>10</v>
      </c>
      <c r="G22">
        <v>28</v>
      </c>
      <c r="H22">
        <v>8</v>
      </c>
      <c r="I22">
        <v>13</v>
      </c>
      <c r="J22">
        <v>0.65</v>
      </c>
      <c r="K22">
        <v>0.57999999999999996</v>
      </c>
      <c r="L22">
        <v>0.53</v>
      </c>
      <c r="M22">
        <v>0.54</v>
      </c>
      <c r="N22">
        <v>0.55000000000000004</v>
      </c>
      <c r="O22">
        <v>0.56000000000000005</v>
      </c>
      <c r="P22">
        <v>0.57999999999999996</v>
      </c>
      <c r="Q22">
        <v>0.67</v>
      </c>
      <c r="R22">
        <v>0.75</v>
      </c>
      <c r="S22">
        <v>0.83</v>
      </c>
      <c r="T22">
        <v>3755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20</v>
      </c>
      <c r="F23">
        <v>10</v>
      </c>
      <c r="G23">
        <v>28</v>
      </c>
      <c r="H23">
        <v>8</v>
      </c>
      <c r="I23">
        <v>17</v>
      </c>
      <c r="J23">
        <v>1.1599999999999999</v>
      </c>
      <c r="K23">
        <v>1.17</v>
      </c>
      <c r="L23">
        <v>1.32</v>
      </c>
      <c r="M23">
        <v>1.27</v>
      </c>
      <c r="N23">
        <v>1.0900000000000001</v>
      </c>
      <c r="O23">
        <v>0.79</v>
      </c>
      <c r="P23">
        <v>0.76</v>
      </c>
      <c r="Q23">
        <v>0.82</v>
      </c>
      <c r="R23">
        <v>0.98</v>
      </c>
      <c r="S23">
        <v>0.88</v>
      </c>
      <c r="T23">
        <v>3769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20</v>
      </c>
      <c r="F24">
        <v>10</v>
      </c>
      <c r="G24">
        <v>28</v>
      </c>
      <c r="H24">
        <v>8</v>
      </c>
      <c r="I24">
        <v>21</v>
      </c>
      <c r="J24">
        <v>1.29</v>
      </c>
      <c r="K24">
        <v>1.22</v>
      </c>
      <c r="L24">
        <v>1.1499999999999999</v>
      </c>
      <c r="M24">
        <v>1.1399999999999999</v>
      </c>
      <c r="N24">
        <v>1.01</v>
      </c>
      <c r="O24">
        <v>0.85</v>
      </c>
      <c r="P24">
        <v>0.72</v>
      </c>
      <c r="Q24">
        <v>0.96</v>
      </c>
      <c r="R24">
        <v>1.04</v>
      </c>
      <c r="S24">
        <v>0.92</v>
      </c>
      <c r="T24">
        <v>3740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20</v>
      </c>
      <c r="F25">
        <v>10</v>
      </c>
      <c r="G25">
        <v>28</v>
      </c>
      <c r="H25">
        <v>8</v>
      </c>
      <c r="I25">
        <v>25</v>
      </c>
      <c r="J25">
        <v>1.39</v>
      </c>
      <c r="K25">
        <v>1.26</v>
      </c>
      <c r="L25">
        <v>1.27</v>
      </c>
      <c r="M25">
        <v>1.17</v>
      </c>
      <c r="N25">
        <v>1.02</v>
      </c>
      <c r="O25">
        <v>0.95</v>
      </c>
      <c r="P25">
        <v>0.91</v>
      </c>
      <c r="Q25">
        <v>1.08</v>
      </c>
      <c r="R25">
        <v>1.04</v>
      </c>
      <c r="S25">
        <v>0.88</v>
      </c>
      <c r="T25">
        <v>3754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20</v>
      </c>
      <c r="F26">
        <v>10</v>
      </c>
      <c r="G26">
        <v>28</v>
      </c>
      <c r="H26">
        <v>8</v>
      </c>
      <c r="I26">
        <v>20</v>
      </c>
      <c r="J26">
        <v>1.55</v>
      </c>
      <c r="K26">
        <v>1.39</v>
      </c>
      <c r="L26">
        <v>1.34</v>
      </c>
      <c r="M26">
        <v>1.28</v>
      </c>
      <c r="N26">
        <v>1.1599999999999999</v>
      </c>
      <c r="O26">
        <v>1.04</v>
      </c>
      <c r="P26">
        <v>0.84</v>
      </c>
      <c r="Q26">
        <v>0.87</v>
      </c>
      <c r="R26">
        <v>0.89</v>
      </c>
      <c r="S26">
        <v>0.84</v>
      </c>
      <c r="T26">
        <v>3762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20</v>
      </c>
      <c r="F27">
        <v>10</v>
      </c>
      <c r="G27">
        <v>28</v>
      </c>
      <c r="H27">
        <v>8</v>
      </c>
      <c r="I27">
        <v>32</v>
      </c>
      <c r="J27">
        <v>1.01</v>
      </c>
      <c r="K27">
        <v>0.94</v>
      </c>
      <c r="L27">
        <v>0.82</v>
      </c>
      <c r="M27">
        <v>0.76</v>
      </c>
      <c r="N27">
        <v>0.73</v>
      </c>
      <c r="O27">
        <v>0.7</v>
      </c>
      <c r="P27">
        <v>0.75</v>
      </c>
      <c r="Q27">
        <v>0.9</v>
      </c>
      <c r="R27">
        <v>1</v>
      </c>
      <c r="S27">
        <v>0.91</v>
      </c>
      <c r="T27">
        <v>3739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20</v>
      </c>
      <c r="F28">
        <v>10</v>
      </c>
      <c r="G28">
        <v>28</v>
      </c>
      <c r="H28">
        <v>8</v>
      </c>
      <c r="I28">
        <v>36</v>
      </c>
      <c r="J28">
        <v>0.97</v>
      </c>
      <c r="K28">
        <v>0.96</v>
      </c>
      <c r="L28">
        <v>1.17</v>
      </c>
      <c r="M28">
        <v>1.35</v>
      </c>
      <c r="N28">
        <v>1.1399999999999999</v>
      </c>
      <c r="O28">
        <v>0.87</v>
      </c>
      <c r="P28">
        <v>0.88</v>
      </c>
      <c r="Q28">
        <v>0.89</v>
      </c>
      <c r="R28">
        <v>0.96</v>
      </c>
      <c r="S28">
        <v>0.87</v>
      </c>
      <c r="T28">
        <v>3788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20</v>
      </c>
      <c r="F29">
        <v>10</v>
      </c>
      <c r="G29">
        <v>28</v>
      </c>
      <c r="H29">
        <v>8</v>
      </c>
      <c r="I29">
        <v>40</v>
      </c>
      <c r="J29">
        <v>0.85</v>
      </c>
      <c r="K29">
        <v>0.89</v>
      </c>
      <c r="L29">
        <v>1.1100000000000001</v>
      </c>
      <c r="M29">
        <v>1.28</v>
      </c>
      <c r="N29">
        <v>1.27</v>
      </c>
      <c r="O29">
        <v>1.21</v>
      </c>
      <c r="P29">
        <v>1.06</v>
      </c>
      <c r="Q29">
        <v>1.06</v>
      </c>
      <c r="R29">
        <v>0.98</v>
      </c>
      <c r="S29">
        <v>0.81</v>
      </c>
      <c r="T29">
        <v>3747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20</v>
      </c>
      <c r="F30">
        <v>10</v>
      </c>
      <c r="G30">
        <v>28</v>
      </c>
      <c r="H30">
        <v>8</v>
      </c>
      <c r="I30">
        <v>45</v>
      </c>
      <c r="J30">
        <v>0.93</v>
      </c>
      <c r="K30">
        <v>0.99</v>
      </c>
      <c r="L30">
        <v>1.35</v>
      </c>
      <c r="M30">
        <v>1.3</v>
      </c>
      <c r="N30">
        <v>1.36</v>
      </c>
      <c r="O30">
        <v>1.21</v>
      </c>
      <c r="P30">
        <v>1.1299999999999999</v>
      </c>
      <c r="Q30">
        <v>0.97</v>
      </c>
      <c r="R30">
        <v>0.82</v>
      </c>
      <c r="S30">
        <v>0.78</v>
      </c>
      <c r="T30">
        <v>3756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20</v>
      </c>
      <c r="F31">
        <v>10</v>
      </c>
      <c r="G31">
        <v>28</v>
      </c>
      <c r="H31">
        <v>8</v>
      </c>
      <c r="I31">
        <v>41</v>
      </c>
      <c r="J31">
        <v>1.19</v>
      </c>
      <c r="K31">
        <v>1.18</v>
      </c>
      <c r="L31">
        <v>1.29</v>
      </c>
      <c r="M31">
        <v>1.05</v>
      </c>
      <c r="N31">
        <v>1.05</v>
      </c>
      <c r="O31">
        <v>0.94</v>
      </c>
      <c r="P31">
        <v>0.92</v>
      </c>
      <c r="Q31">
        <v>0.86</v>
      </c>
      <c r="R31">
        <v>0.87</v>
      </c>
      <c r="S31">
        <v>0.82</v>
      </c>
      <c r="T31">
        <v>3754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20</v>
      </c>
      <c r="F32">
        <v>10</v>
      </c>
      <c r="G32">
        <v>28</v>
      </c>
      <c r="H32">
        <v>8</v>
      </c>
      <c r="I32">
        <v>54</v>
      </c>
      <c r="J32">
        <v>1.1200000000000001</v>
      </c>
      <c r="K32">
        <v>1.1299999999999999</v>
      </c>
      <c r="L32">
        <v>1.23</v>
      </c>
      <c r="M32">
        <v>1.22</v>
      </c>
      <c r="N32">
        <v>1.1499999999999999</v>
      </c>
      <c r="O32">
        <v>0.96</v>
      </c>
      <c r="P32">
        <v>0.85</v>
      </c>
      <c r="Q32">
        <v>0.86</v>
      </c>
      <c r="R32">
        <v>0.95</v>
      </c>
      <c r="S32">
        <v>0.89</v>
      </c>
      <c r="T32">
        <v>3747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20</v>
      </c>
      <c r="F33">
        <v>10</v>
      </c>
      <c r="G33">
        <v>28</v>
      </c>
      <c r="H33">
        <v>8</v>
      </c>
      <c r="I33">
        <v>57</v>
      </c>
      <c r="J33">
        <v>1.17</v>
      </c>
      <c r="K33">
        <v>1.2</v>
      </c>
      <c r="L33">
        <v>1.47</v>
      </c>
      <c r="M33">
        <v>1.36</v>
      </c>
      <c r="N33">
        <v>1.31</v>
      </c>
      <c r="O33">
        <v>1.23</v>
      </c>
      <c r="P33">
        <v>1.07</v>
      </c>
      <c r="Q33">
        <v>0.86</v>
      </c>
      <c r="R33">
        <v>0.95</v>
      </c>
      <c r="S33">
        <v>0.9</v>
      </c>
      <c r="T33">
        <v>3698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20</v>
      </c>
      <c r="F34">
        <v>10</v>
      </c>
      <c r="G34">
        <v>28</v>
      </c>
      <c r="H34">
        <v>9</v>
      </c>
      <c r="I34">
        <v>1</v>
      </c>
      <c r="J34">
        <v>1.39</v>
      </c>
      <c r="K34">
        <v>1.37</v>
      </c>
      <c r="L34">
        <v>1.31</v>
      </c>
      <c r="M34">
        <v>1.24</v>
      </c>
      <c r="N34">
        <v>1.06</v>
      </c>
      <c r="O34">
        <v>0.93</v>
      </c>
      <c r="P34">
        <v>0.95</v>
      </c>
      <c r="Q34">
        <v>0.91</v>
      </c>
      <c r="R34">
        <v>0.97</v>
      </c>
      <c r="S34">
        <v>0.87</v>
      </c>
      <c r="T34">
        <v>3716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20</v>
      </c>
      <c r="F35">
        <v>10</v>
      </c>
      <c r="G35">
        <v>28</v>
      </c>
      <c r="H35">
        <v>9</v>
      </c>
      <c r="I35">
        <v>5</v>
      </c>
      <c r="J35">
        <v>1.35</v>
      </c>
      <c r="K35">
        <v>1.26</v>
      </c>
      <c r="L35">
        <v>1.39</v>
      </c>
      <c r="M35">
        <v>1.34</v>
      </c>
      <c r="N35">
        <v>1.22</v>
      </c>
      <c r="O35">
        <v>1.1000000000000001</v>
      </c>
      <c r="P35">
        <v>1.1000000000000001</v>
      </c>
      <c r="Q35">
        <v>0.93</v>
      </c>
      <c r="R35">
        <v>0.9</v>
      </c>
      <c r="S35">
        <v>0.88</v>
      </c>
      <c r="T35">
        <v>3694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20</v>
      </c>
      <c r="F36">
        <v>10</v>
      </c>
      <c r="G36">
        <v>28</v>
      </c>
      <c r="H36">
        <v>9</v>
      </c>
      <c r="I36">
        <v>0</v>
      </c>
      <c r="J36">
        <v>1.26</v>
      </c>
      <c r="K36">
        <v>1.23</v>
      </c>
      <c r="L36">
        <v>1.35</v>
      </c>
      <c r="M36">
        <v>1.43</v>
      </c>
      <c r="N36">
        <v>1.34</v>
      </c>
      <c r="O36">
        <v>1.1599999999999999</v>
      </c>
      <c r="P36">
        <v>1.05</v>
      </c>
      <c r="Q36">
        <v>0.81</v>
      </c>
      <c r="R36">
        <v>0.8</v>
      </c>
      <c r="S36">
        <v>0.78</v>
      </c>
      <c r="T36">
        <v>3689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20</v>
      </c>
      <c r="F37">
        <v>10</v>
      </c>
      <c r="G37">
        <v>28</v>
      </c>
      <c r="H37">
        <v>9</v>
      </c>
      <c r="I37">
        <v>12</v>
      </c>
      <c r="J37">
        <v>1.26</v>
      </c>
      <c r="K37">
        <v>1.23</v>
      </c>
      <c r="L37">
        <v>1.2</v>
      </c>
      <c r="M37">
        <v>1.3</v>
      </c>
      <c r="N37">
        <v>1.27</v>
      </c>
      <c r="O37">
        <v>1.1100000000000001</v>
      </c>
      <c r="P37">
        <v>0.99</v>
      </c>
      <c r="Q37">
        <v>0.92</v>
      </c>
      <c r="R37">
        <v>0.79</v>
      </c>
      <c r="S37">
        <v>0.72</v>
      </c>
      <c r="T37">
        <v>3694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20</v>
      </c>
      <c r="F38">
        <v>10</v>
      </c>
      <c r="G38">
        <v>28</v>
      </c>
      <c r="H38">
        <v>9</v>
      </c>
      <c r="I38">
        <v>16</v>
      </c>
      <c r="J38">
        <v>1.46</v>
      </c>
      <c r="K38">
        <v>1.35</v>
      </c>
      <c r="L38">
        <v>1.17</v>
      </c>
      <c r="M38">
        <v>1.25</v>
      </c>
      <c r="N38">
        <v>1.28</v>
      </c>
      <c r="O38">
        <v>1.1299999999999999</v>
      </c>
      <c r="P38">
        <v>0.95</v>
      </c>
      <c r="Q38">
        <v>0.78</v>
      </c>
      <c r="R38">
        <v>0.76</v>
      </c>
      <c r="S38">
        <v>0.79</v>
      </c>
      <c r="T38">
        <v>3719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20</v>
      </c>
      <c r="F39">
        <v>10</v>
      </c>
      <c r="G39">
        <v>28</v>
      </c>
      <c r="H39">
        <v>9</v>
      </c>
      <c r="I39">
        <v>11</v>
      </c>
      <c r="J39">
        <v>1.41</v>
      </c>
      <c r="K39">
        <v>1.32</v>
      </c>
      <c r="L39">
        <v>1.23</v>
      </c>
      <c r="M39">
        <v>1.1100000000000001</v>
      </c>
      <c r="N39">
        <v>1.1599999999999999</v>
      </c>
      <c r="O39">
        <v>1.21</v>
      </c>
      <c r="P39">
        <v>0.96</v>
      </c>
      <c r="Q39">
        <v>0.82</v>
      </c>
      <c r="R39">
        <v>0.81</v>
      </c>
      <c r="S39">
        <v>0.81</v>
      </c>
      <c r="T39">
        <v>3676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20</v>
      </c>
      <c r="F40">
        <v>10</v>
      </c>
      <c r="G40">
        <v>28</v>
      </c>
      <c r="H40">
        <v>9</v>
      </c>
      <c r="I40">
        <v>23</v>
      </c>
      <c r="J40">
        <v>1.1200000000000001</v>
      </c>
      <c r="K40">
        <v>1.1499999999999999</v>
      </c>
      <c r="L40">
        <v>1.22</v>
      </c>
      <c r="M40">
        <v>0.94</v>
      </c>
      <c r="N40">
        <v>0.83</v>
      </c>
      <c r="O40">
        <v>0.88</v>
      </c>
      <c r="P40">
        <v>0.82</v>
      </c>
      <c r="Q40">
        <v>0.79</v>
      </c>
      <c r="R40">
        <v>0.88</v>
      </c>
      <c r="S40">
        <v>0.87</v>
      </c>
      <c r="T40">
        <v>3713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20</v>
      </c>
      <c r="F41">
        <v>10</v>
      </c>
      <c r="G41">
        <v>28</v>
      </c>
      <c r="H41">
        <v>9</v>
      </c>
      <c r="I41">
        <v>27</v>
      </c>
      <c r="J41">
        <v>1.1399999999999999</v>
      </c>
      <c r="K41">
        <v>0.95</v>
      </c>
      <c r="L41">
        <v>0.96</v>
      </c>
      <c r="M41">
        <v>1.1200000000000001</v>
      </c>
      <c r="N41">
        <v>1.1599999999999999</v>
      </c>
      <c r="O41">
        <v>0.92</v>
      </c>
      <c r="P41">
        <v>0.9</v>
      </c>
      <c r="Q41">
        <v>0.9</v>
      </c>
      <c r="R41">
        <v>0.98</v>
      </c>
      <c r="S41">
        <v>0.82</v>
      </c>
      <c r="T41">
        <v>3704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20</v>
      </c>
      <c r="F45">
        <v>10</v>
      </c>
      <c r="G45">
        <v>28</v>
      </c>
      <c r="H45">
        <v>7</v>
      </c>
      <c r="I45">
        <v>50</v>
      </c>
      <c r="J45">
        <v>0.98</v>
      </c>
      <c r="K45">
        <v>1.01</v>
      </c>
      <c r="L45">
        <v>1.1399999999999999</v>
      </c>
      <c r="M45">
        <v>1.25</v>
      </c>
      <c r="N45">
        <v>0.98</v>
      </c>
      <c r="O45">
        <v>0.98</v>
      </c>
      <c r="P45">
        <v>0.99</v>
      </c>
      <c r="Q45">
        <v>1.02</v>
      </c>
      <c r="R45">
        <v>1.03</v>
      </c>
      <c r="S45">
        <v>0.86</v>
      </c>
      <c r="T45">
        <v>3754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20</v>
      </c>
      <c r="F46">
        <v>10</v>
      </c>
      <c r="G46">
        <v>28</v>
      </c>
      <c r="H46">
        <v>8</v>
      </c>
      <c r="I46">
        <v>2</v>
      </c>
      <c r="J46">
        <v>1.17</v>
      </c>
      <c r="K46">
        <v>1.17</v>
      </c>
      <c r="L46">
        <v>1</v>
      </c>
      <c r="M46">
        <v>0.8</v>
      </c>
      <c r="N46">
        <v>0.74</v>
      </c>
      <c r="O46">
        <v>0.77</v>
      </c>
      <c r="P46">
        <v>0.76</v>
      </c>
      <c r="Q46">
        <v>0.98</v>
      </c>
      <c r="R46">
        <v>1.06</v>
      </c>
      <c r="S46">
        <v>0.83</v>
      </c>
      <c r="T46">
        <v>3745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20</v>
      </c>
      <c r="F47">
        <v>10</v>
      </c>
      <c r="G47">
        <v>28</v>
      </c>
      <c r="H47">
        <v>8</v>
      </c>
      <c r="I47">
        <v>5</v>
      </c>
      <c r="J47">
        <v>1.1599999999999999</v>
      </c>
      <c r="K47">
        <v>1.0900000000000001</v>
      </c>
      <c r="L47">
        <v>1.1599999999999999</v>
      </c>
      <c r="M47">
        <v>1.2</v>
      </c>
      <c r="N47">
        <v>1.1299999999999999</v>
      </c>
      <c r="O47">
        <v>0.98</v>
      </c>
      <c r="P47">
        <v>0.91</v>
      </c>
      <c r="Q47">
        <v>0.89</v>
      </c>
      <c r="R47">
        <v>0.98</v>
      </c>
      <c r="S47">
        <v>0.87</v>
      </c>
      <c r="T47">
        <v>3757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20</v>
      </c>
      <c r="F48">
        <v>10</v>
      </c>
      <c r="G48">
        <v>28</v>
      </c>
      <c r="H48">
        <v>8</v>
      </c>
      <c r="I48">
        <v>1</v>
      </c>
      <c r="J48">
        <v>1.26</v>
      </c>
      <c r="K48">
        <v>1.26</v>
      </c>
      <c r="L48">
        <v>1.27</v>
      </c>
      <c r="M48">
        <v>1.1499999999999999</v>
      </c>
      <c r="N48">
        <v>1.01</v>
      </c>
      <c r="O48">
        <v>0.92</v>
      </c>
      <c r="P48">
        <v>0.95</v>
      </c>
      <c r="Q48">
        <v>0.99</v>
      </c>
      <c r="R48">
        <v>0.91</v>
      </c>
      <c r="S48">
        <v>0.84</v>
      </c>
      <c r="T48">
        <v>3744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20</v>
      </c>
      <c r="F49">
        <v>10</v>
      </c>
      <c r="G49">
        <v>28</v>
      </c>
      <c r="H49">
        <v>8</v>
      </c>
      <c r="I49">
        <v>25</v>
      </c>
      <c r="J49">
        <v>1.39</v>
      </c>
      <c r="K49">
        <v>1.26</v>
      </c>
      <c r="L49">
        <v>1.27</v>
      </c>
      <c r="M49">
        <v>1.17</v>
      </c>
      <c r="N49">
        <v>1.02</v>
      </c>
      <c r="O49">
        <v>0.95</v>
      </c>
      <c r="P49">
        <v>0.91</v>
      </c>
      <c r="Q49">
        <v>1.08</v>
      </c>
      <c r="R49">
        <v>1.04</v>
      </c>
      <c r="S49">
        <v>0.88</v>
      </c>
      <c r="T49">
        <v>3754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20</v>
      </c>
      <c r="F50">
        <v>10</v>
      </c>
      <c r="G50">
        <v>28</v>
      </c>
      <c r="H50">
        <v>8</v>
      </c>
      <c r="I50">
        <v>21</v>
      </c>
      <c r="J50">
        <v>1.29</v>
      </c>
      <c r="K50">
        <v>1.22</v>
      </c>
      <c r="L50">
        <v>1.1499999999999999</v>
      </c>
      <c r="M50">
        <v>1.1399999999999999</v>
      </c>
      <c r="N50">
        <v>1.01</v>
      </c>
      <c r="O50">
        <v>0.85</v>
      </c>
      <c r="P50">
        <v>0.72</v>
      </c>
      <c r="Q50">
        <v>0.96</v>
      </c>
      <c r="R50">
        <v>1.04</v>
      </c>
      <c r="S50">
        <v>0.92</v>
      </c>
      <c r="T50">
        <v>3740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20</v>
      </c>
      <c r="F51">
        <v>10</v>
      </c>
      <c r="G51">
        <v>28</v>
      </c>
      <c r="H51">
        <v>8</v>
      </c>
      <c r="I51">
        <v>17</v>
      </c>
      <c r="J51">
        <v>1.1599999999999999</v>
      </c>
      <c r="K51">
        <v>1.17</v>
      </c>
      <c r="L51">
        <v>1.32</v>
      </c>
      <c r="M51">
        <v>1.27</v>
      </c>
      <c r="N51">
        <v>1.0900000000000001</v>
      </c>
      <c r="O51">
        <v>0.79</v>
      </c>
      <c r="P51">
        <v>0.76</v>
      </c>
      <c r="Q51">
        <v>0.82</v>
      </c>
      <c r="R51">
        <v>0.98</v>
      </c>
      <c r="S51">
        <v>0.88</v>
      </c>
      <c r="T51">
        <v>3769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20</v>
      </c>
      <c r="F52">
        <v>10</v>
      </c>
      <c r="G52">
        <v>28</v>
      </c>
      <c r="H52">
        <v>8</v>
      </c>
      <c r="I52">
        <v>13</v>
      </c>
      <c r="J52">
        <v>0.65</v>
      </c>
      <c r="K52">
        <v>0.57999999999999996</v>
      </c>
      <c r="L52">
        <v>0.53</v>
      </c>
      <c r="M52">
        <v>0.54</v>
      </c>
      <c r="N52">
        <v>0.55000000000000004</v>
      </c>
      <c r="O52">
        <v>0.56000000000000005</v>
      </c>
      <c r="P52">
        <v>0.57999999999999996</v>
      </c>
      <c r="Q52">
        <v>0.67</v>
      </c>
      <c r="R52">
        <v>0.75</v>
      </c>
      <c r="S52">
        <v>0.83</v>
      </c>
      <c r="T52">
        <v>3755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20</v>
      </c>
      <c r="F53">
        <v>10</v>
      </c>
      <c r="G53">
        <v>28</v>
      </c>
      <c r="H53">
        <v>8</v>
      </c>
      <c r="I53">
        <v>20</v>
      </c>
      <c r="J53">
        <v>1.55</v>
      </c>
      <c r="K53">
        <v>1.39</v>
      </c>
      <c r="L53">
        <v>1.34</v>
      </c>
      <c r="M53">
        <v>1.28</v>
      </c>
      <c r="N53">
        <v>1.1599999999999999</v>
      </c>
      <c r="O53">
        <v>1.04</v>
      </c>
      <c r="P53">
        <v>0.84</v>
      </c>
      <c r="Q53">
        <v>0.87</v>
      </c>
      <c r="R53">
        <v>0.89</v>
      </c>
      <c r="S53">
        <v>0.84</v>
      </c>
      <c r="T53">
        <v>3762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20</v>
      </c>
      <c r="F54">
        <v>10</v>
      </c>
      <c r="G54">
        <v>28</v>
      </c>
      <c r="H54">
        <v>8</v>
      </c>
      <c r="I54">
        <v>32</v>
      </c>
      <c r="J54">
        <v>1.01</v>
      </c>
      <c r="K54">
        <v>0.94</v>
      </c>
      <c r="L54">
        <v>0.82</v>
      </c>
      <c r="M54">
        <v>0.76</v>
      </c>
      <c r="N54">
        <v>0.73</v>
      </c>
      <c r="O54">
        <v>0.7</v>
      </c>
      <c r="P54">
        <v>0.75</v>
      </c>
      <c r="Q54">
        <v>0.9</v>
      </c>
      <c r="R54">
        <v>1</v>
      </c>
      <c r="S54">
        <v>0.91</v>
      </c>
      <c r="T54">
        <v>3739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20</v>
      </c>
      <c r="F55">
        <v>10</v>
      </c>
      <c r="G55">
        <v>28</v>
      </c>
      <c r="H55">
        <v>8</v>
      </c>
      <c r="I55">
        <v>36</v>
      </c>
      <c r="J55">
        <v>0.97</v>
      </c>
      <c r="K55">
        <v>0.96</v>
      </c>
      <c r="L55">
        <v>1.17</v>
      </c>
      <c r="M55">
        <v>1.35</v>
      </c>
      <c r="N55">
        <v>1.1399999999999999</v>
      </c>
      <c r="O55">
        <v>0.87</v>
      </c>
      <c r="P55">
        <v>0.88</v>
      </c>
      <c r="Q55">
        <v>0.89</v>
      </c>
      <c r="R55">
        <v>0.96</v>
      </c>
      <c r="S55">
        <v>0.87</v>
      </c>
      <c r="T55">
        <v>3788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20</v>
      </c>
      <c r="F56">
        <v>10</v>
      </c>
      <c r="G56">
        <v>28</v>
      </c>
      <c r="H56">
        <v>8</v>
      </c>
      <c r="I56">
        <v>40</v>
      </c>
      <c r="J56">
        <v>0.85</v>
      </c>
      <c r="K56">
        <v>0.89</v>
      </c>
      <c r="L56">
        <v>1.1100000000000001</v>
      </c>
      <c r="M56">
        <v>1.28</v>
      </c>
      <c r="N56">
        <v>1.27</v>
      </c>
      <c r="O56">
        <v>1.21</v>
      </c>
      <c r="P56">
        <v>1.06</v>
      </c>
      <c r="Q56">
        <v>1.06</v>
      </c>
      <c r="R56">
        <v>0.98</v>
      </c>
      <c r="S56">
        <v>0.81</v>
      </c>
      <c r="T56">
        <v>3747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20</v>
      </c>
      <c r="F57">
        <v>10</v>
      </c>
      <c r="G57">
        <v>28</v>
      </c>
      <c r="H57">
        <v>8</v>
      </c>
      <c r="I57">
        <v>57</v>
      </c>
      <c r="J57">
        <v>1.17</v>
      </c>
      <c r="K57">
        <v>1.2</v>
      </c>
      <c r="L57">
        <v>1.47</v>
      </c>
      <c r="M57">
        <v>1.36</v>
      </c>
      <c r="N57">
        <v>1.31</v>
      </c>
      <c r="O57">
        <v>1.23</v>
      </c>
      <c r="P57">
        <v>1.07</v>
      </c>
      <c r="Q57">
        <v>0.86</v>
      </c>
      <c r="R57">
        <v>0.95</v>
      </c>
      <c r="S57">
        <v>0.9</v>
      </c>
      <c r="T57">
        <v>3698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20</v>
      </c>
      <c r="F58">
        <v>10</v>
      </c>
      <c r="G58">
        <v>28</v>
      </c>
      <c r="H58">
        <v>8</v>
      </c>
      <c r="I58">
        <v>54</v>
      </c>
      <c r="J58">
        <v>1.1200000000000001</v>
      </c>
      <c r="K58">
        <v>1.1299999999999999</v>
      </c>
      <c r="L58">
        <v>1.23</v>
      </c>
      <c r="M58">
        <v>1.22</v>
      </c>
      <c r="N58">
        <v>1.1499999999999999</v>
      </c>
      <c r="O58">
        <v>0.96</v>
      </c>
      <c r="P58">
        <v>0.85</v>
      </c>
      <c r="Q58">
        <v>0.86</v>
      </c>
      <c r="R58">
        <v>0.95</v>
      </c>
      <c r="S58">
        <v>0.89</v>
      </c>
      <c r="T58">
        <v>3747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20</v>
      </c>
      <c r="F59">
        <v>10</v>
      </c>
      <c r="G59">
        <v>28</v>
      </c>
      <c r="H59">
        <v>8</v>
      </c>
      <c r="I59">
        <v>41</v>
      </c>
      <c r="J59">
        <v>1.19</v>
      </c>
      <c r="K59">
        <v>1.18</v>
      </c>
      <c r="L59">
        <v>1.29</v>
      </c>
      <c r="M59">
        <v>1.05</v>
      </c>
      <c r="N59">
        <v>1.05</v>
      </c>
      <c r="O59">
        <v>0.94</v>
      </c>
      <c r="P59">
        <v>0.92</v>
      </c>
      <c r="Q59">
        <v>0.86</v>
      </c>
      <c r="R59">
        <v>0.87</v>
      </c>
      <c r="S59">
        <v>0.82</v>
      </c>
      <c r="T59">
        <v>3754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20</v>
      </c>
      <c r="F60">
        <v>10</v>
      </c>
      <c r="G60">
        <v>28</v>
      </c>
      <c r="H60">
        <v>8</v>
      </c>
      <c r="I60">
        <v>45</v>
      </c>
      <c r="J60">
        <v>0.93</v>
      </c>
      <c r="K60">
        <v>0.99</v>
      </c>
      <c r="L60">
        <v>1.35</v>
      </c>
      <c r="M60">
        <v>1.3</v>
      </c>
      <c r="N60">
        <v>1.36</v>
      </c>
      <c r="O60">
        <v>1.21</v>
      </c>
      <c r="P60">
        <v>1.1299999999999999</v>
      </c>
      <c r="Q60">
        <v>0.97</v>
      </c>
      <c r="R60">
        <v>0.82</v>
      </c>
      <c r="S60">
        <v>0.78</v>
      </c>
      <c r="T60">
        <v>3756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20</v>
      </c>
      <c r="F61">
        <v>10</v>
      </c>
      <c r="G61">
        <v>28</v>
      </c>
      <c r="H61">
        <v>9</v>
      </c>
      <c r="I61">
        <v>1</v>
      </c>
      <c r="J61">
        <v>1.39</v>
      </c>
      <c r="K61">
        <v>1.37</v>
      </c>
      <c r="L61">
        <v>1.31</v>
      </c>
      <c r="M61">
        <v>1.24</v>
      </c>
      <c r="N61">
        <v>1.06</v>
      </c>
      <c r="O61">
        <v>0.93</v>
      </c>
      <c r="P61">
        <v>0.95</v>
      </c>
      <c r="Q61">
        <v>0.91</v>
      </c>
      <c r="R61">
        <v>0.97</v>
      </c>
      <c r="S61">
        <v>0.87</v>
      </c>
      <c r="T61">
        <v>3716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20</v>
      </c>
      <c r="F62">
        <v>10</v>
      </c>
      <c r="G62">
        <v>28</v>
      </c>
      <c r="H62">
        <v>9</v>
      </c>
      <c r="I62">
        <v>5</v>
      </c>
      <c r="J62">
        <v>1.35</v>
      </c>
      <c r="K62">
        <v>1.26</v>
      </c>
      <c r="L62">
        <v>1.39</v>
      </c>
      <c r="M62">
        <v>1.34</v>
      </c>
      <c r="N62">
        <v>1.22</v>
      </c>
      <c r="O62">
        <v>1.1000000000000001</v>
      </c>
      <c r="P62">
        <v>1.1000000000000001</v>
      </c>
      <c r="Q62">
        <v>0.93</v>
      </c>
      <c r="R62">
        <v>0.9</v>
      </c>
      <c r="S62">
        <v>0.88</v>
      </c>
      <c r="T62">
        <v>3694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20</v>
      </c>
      <c r="F63">
        <v>10</v>
      </c>
      <c r="G63">
        <v>28</v>
      </c>
      <c r="H63">
        <v>9</v>
      </c>
      <c r="I63">
        <v>0</v>
      </c>
      <c r="J63">
        <v>1.26</v>
      </c>
      <c r="K63">
        <v>1.23</v>
      </c>
      <c r="L63">
        <v>1.35</v>
      </c>
      <c r="M63">
        <v>1.43</v>
      </c>
      <c r="N63">
        <v>1.34</v>
      </c>
      <c r="O63">
        <v>1.1599999999999999</v>
      </c>
      <c r="P63">
        <v>1.05</v>
      </c>
      <c r="Q63">
        <v>0.81</v>
      </c>
      <c r="R63">
        <v>0.8</v>
      </c>
      <c r="S63">
        <v>0.78</v>
      </c>
      <c r="T63">
        <v>3689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20</v>
      </c>
      <c r="F64">
        <v>10</v>
      </c>
      <c r="G64">
        <v>28</v>
      </c>
      <c r="H64">
        <v>9</v>
      </c>
      <c r="I64">
        <v>12</v>
      </c>
      <c r="J64">
        <v>1.26</v>
      </c>
      <c r="K64">
        <v>1.23</v>
      </c>
      <c r="L64">
        <v>1.2</v>
      </c>
      <c r="M64">
        <v>1.3</v>
      </c>
      <c r="N64">
        <v>1.27</v>
      </c>
      <c r="O64">
        <v>1.1100000000000001</v>
      </c>
      <c r="P64">
        <v>0.99</v>
      </c>
      <c r="Q64">
        <v>0.92</v>
      </c>
      <c r="R64">
        <v>0.79</v>
      </c>
      <c r="S64">
        <v>0.72</v>
      </c>
      <c r="T64">
        <v>3694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20</v>
      </c>
      <c r="F65">
        <v>10</v>
      </c>
      <c r="G65">
        <v>28</v>
      </c>
      <c r="H65">
        <v>9</v>
      </c>
      <c r="I65">
        <v>27</v>
      </c>
      <c r="J65">
        <v>1.1399999999999999</v>
      </c>
      <c r="K65">
        <v>0.95</v>
      </c>
      <c r="L65">
        <v>0.96</v>
      </c>
      <c r="M65">
        <v>1.1200000000000001</v>
      </c>
      <c r="N65">
        <v>1.1599999999999999</v>
      </c>
      <c r="O65">
        <v>0.92</v>
      </c>
      <c r="P65">
        <v>0.9</v>
      </c>
      <c r="Q65">
        <v>0.9</v>
      </c>
      <c r="R65">
        <v>0.98</v>
      </c>
      <c r="S65">
        <v>0.82</v>
      </c>
      <c r="T65">
        <v>3704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20</v>
      </c>
      <c r="F66">
        <v>10</v>
      </c>
      <c r="G66">
        <v>28</v>
      </c>
      <c r="H66">
        <v>9</v>
      </c>
      <c r="I66">
        <v>23</v>
      </c>
      <c r="J66">
        <v>1.1200000000000001</v>
      </c>
      <c r="K66">
        <v>1.1499999999999999</v>
      </c>
      <c r="L66">
        <v>1.22</v>
      </c>
      <c r="M66">
        <v>0.94</v>
      </c>
      <c r="N66">
        <v>0.83</v>
      </c>
      <c r="O66">
        <v>0.88</v>
      </c>
      <c r="P66">
        <v>0.82</v>
      </c>
      <c r="Q66">
        <v>0.79</v>
      </c>
      <c r="R66">
        <v>0.88</v>
      </c>
      <c r="S66">
        <v>0.87</v>
      </c>
      <c r="T66">
        <v>3713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20</v>
      </c>
      <c r="F67">
        <v>10</v>
      </c>
      <c r="G67">
        <v>28</v>
      </c>
      <c r="H67">
        <v>9</v>
      </c>
      <c r="I67">
        <v>11</v>
      </c>
      <c r="J67">
        <v>1.41</v>
      </c>
      <c r="K67">
        <v>1.32</v>
      </c>
      <c r="L67">
        <v>1.23</v>
      </c>
      <c r="M67">
        <v>1.1100000000000001</v>
      </c>
      <c r="N67">
        <v>1.1599999999999999</v>
      </c>
      <c r="O67">
        <v>1.21</v>
      </c>
      <c r="P67">
        <v>0.96</v>
      </c>
      <c r="Q67">
        <v>0.82</v>
      </c>
      <c r="R67">
        <v>0.81</v>
      </c>
      <c r="S67">
        <v>0.81</v>
      </c>
      <c r="T67">
        <v>3676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20</v>
      </c>
      <c r="F68">
        <v>10</v>
      </c>
      <c r="G68">
        <v>28</v>
      </c>
      <c r="H68">
        <v>9</v>
      </c>
      <c r="I68">
        <v>16</v>
      </c>
      <c r="J68">
        <v>1.46</v>
      </c>
      <c r="K68">
        <v>1.35</v>
      </c>
      <c r="L68">
        <v>1.17</v>
      </c>
      <c r="M68">
        <v>1.25</v>
      </c>
      <c r="N68">
        <v>1.28</v>
      </c>
      <c r="O68">
        <v>1.1299999999999999</v>
      </c>
      <c r="P68">
        <v>0.95</v>
      </c>
      <c r="Q68">
        <v>0.78</v>
      </c>
      <c r="R68">
        <v>0.76</v>
      </c>
      <c r="S68">
        <v>0.79</v>
      </c>
      <c r="T68">
        <v>3719</v>
      </c>
    </row>
    <row r="72" spans="1:20" x14ac:dyDescent="0.25"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</row>
    <row r="73" spans="1:20" x14ac:dyDescent="0.25">
      <c r="I73" t="s">
        <v>42</v>
      </c>
      <c r="J73">
        <f>22.275*J45-6.1713</f>
        <v>15.658200000000001</v>
      </c>
      <c r="K73">
        <f t="shared" ref="K73:R73" si="0">22.275*K45-6.1713</f>
        <v>16.326450000000001</v>
      </c>
      <c r="L73">
        <f t="shared" si="0"/>
        <v>19.222199999999997</v>
      </c>
      <c r="M73">
        <f t="shared" si="0"/>
        <v>21.672450000000001</v>
      </c>
      <c r="N73">
        <f t="shared" si="0"/>
        <v>15.658200000000001</v>
      </c>
      <c r="O73">
        <f t="shared" si="0"/>
        <v>15.658200000000001</v>
      </c>
      <c r="P73">
        <f t="shared" si="0"/>
        <v>15.880949999999999</v>
      </c>
      <c r="Q73">
        <f t="shared" si="0"/>
        <v>16.549199999999999</v>
      </c>
      <c r="R73">
        <f t="shared" si="0"/>
        <v>16.77195</v>
      </c>
      <c r="S73">
        <f>22.275*(S45*1.1)-6.1713</f>
        <v>14.900850000000002</v>
      </c>
    </row>
    <row r="74" spans="1:20" x14ac:dyDescent="0.25">
      <c r="I74" t="s">
        <v>43</v>
      </c>
      <c r="J74">
        <f t="shared" ref="J74:R89" si="1">22.275*J46-6.1713</f>
        <v>19.890449999999998</v>
      </c>
      <c r="K74">
        <f t="shared" si="1"/>
        <v>19.890449999999998</v>
      </c>
      <c r="L74">
        <f t="shared" si="1"/>
        <v>16.1037</v>
      </c>
      <c r="M74">
        <f t="shared" si="1"/>
        <v>11.648700000000002</v>
      </c>
      <c r="N74">
        <f t="shared" si="1"/>
        <v>10.312200000000001</v>
      </c>
      <c r="O74">
        <f t="shared" si="1"/>
        <v>10.980450000000001</v>
      </c>
      <c r="P74">
        <f t="shared" si="1"/>
        <v>10.7577</v>
      </c>
      <c r="Q74">
        <f t="shared" si="1"/>
        <v>15.658200000000001</v>
      </c>
      <c r="R74">
        <f t="shared" si="1"/>
        <v>17.440200000000001</v>
      </c>
      <c r="S74">
        <f t="shared" ref="S74:S91" si="2">22.275*(S46*1.1)-6.1713</f>
        <v>14.165775</v>
      </c>
    </row>
    <row r="75" spans="1:20" x14ac:dyDescent="0.25">
      <c r="I75" t="s">
        <v>44</v>
      </c>
      <c r="J75">
        <f t="shared" si="1"/>
        <v>19.667699999999996</v>
      </c>
      <c r="K75">
        <f t="shared" si="1"/>
        <v>18.108450000000001</v>
      </c>
      <c r="L75">
        <f t="shared" si="1"/>
        <v>19.667699999999996</v>
      </c>
      <c r="M75">
        <f t="shared" si="1"/>
        <v>20.558699999999998</v>
      </c>
      <c r="N75">
        <f t="shared" si="1"/>
        <v>18.999449999999996</v>
      </c>
      <c r="O75">
        <f t="shared" si="1"/>
        <v>15.658200000000001</v>
      </c>
      <c r="P75">
        <f t="shared" si="1"/>
        <v>14.098950000000002</v>
      </c>
      <c r="Q75">
        <f t="shared" si="1"/>
        <v>13.653449999999999</v>
      </c>
      <c r="R75">
        <f t="shared" si="1"/>
        <v>15.658200000000001</v>
      </c>
      <c r="S75">
        <f t="shared" si="2"/>
        <v>15.145875</v>
      </c>
    </row>
    <row r="76" spans="1:20" x14ac:dyDescent="0.25">
      <c r="I76" t="s">
        <v>45</v>
      </c>
      <c r="J76">
        <f t="shared" si="1"/>
        <v>21.895199999999999</v>
      </c>
      <c r="K76">
        <f t="shared" si="1"/>
        <v>21.895199999999999</v>
      </c>
      <c r="L76">
        <f t="shared" si="1"/>
        <v>22.11795</v>
      </c>
      <c r="M76">
        <f t="shared" si="1"/>
        <v>19.444949999999999</v>
      </c>
      <c r="N76">
        <f t="shared" si="1"/>
        <v>16.326450000000001</v>
      </c>
      <c r="O76">
        <f t="shared" si="1"/>
        <v>14.3217</v>
      </c>
      <c r="P76">
        <f t="shared" si="1"/>
        <v>14.98995</v>
      </c>
      <c r="Q76">
        <f t="shared" si="1"/>
        <v>15.880949999999999</v>
      </c>
      <c r="R76">
        <f t="shared" si="1"/>
        <v>14.098950000000002</v>
      </c>
      <c r="S76">
        <f t="shared" si="2"/>
        <v>14.410800000000002</v>
      </c>
    </row>
    <row r="77" spans="1:20" x14ac:dyDescent="0.25">
      <c r="I77" t="s">
        <v>46</v>
      </c>
      <c r="J77">
        <f t="shared" si="1"/>
        <v>24.790949999999999</v>
      </c>
      <c r="K77">
        <f t="shared" si="1"/>
        <v>21.895199999999999</v>
      </c>
      <c r="L77">
        <f t="shared" si="1"/>
        <v>22.11795</v>
      </c>
      <c r="M77">
        <f t="shared" si="1"/>
        <v>19.890449999999998</v>
      </c>
      <c r="N77">
        <f t="shared" si="1"/>
        <v>16.549199999999999</v>
      </c>
      <c r="O77">
        <f t="shared" si="1"/>
        <v>14.98995</v>
      </c>
      <c r="P77">
        <f t="shared" si="1"/>
        <v>14.098950000000002</v>
      </c>
      <c r="Q77">
        <f t="shared" si="1"/>
        <v>17.8857</v>
      </c>
      <c r="R77">
        <f t="shared" si="1"/>
        <v>16.994700000000002</v>
      </c>
      <c r="S77">
        <f t="shared" si="2"/>
        <v>15.390900000000002</v>
      </c>
    </row>
    <row r="78" spans="1:20" x14ac:dyDescent="0.25">
      <c r="I78" t="s">
        <v>47</v>
      </c>
      <c r="J78">
        <f t="shared" si="1"/>
        <v>22.56345</v>
      </c>
      <c r="K78">
        <f t="shared" si="1"/>
        <v>21.004199999999997</v>
      </c>
      <c r="L78">
        <f t="shared" si="1"/>
        <v>19.444949999999999</v>
      </c>
      <c r="M78">
        <f t="shared" si="1"/>
        <v>19.222199999999997</v>
      </c>
      <c r="N78">
        <f t="shared" si="1"/>
        <v>16.326450000000001</v>
      </c>
      <c r="O78">
        <f t="shared" si="1"/>
        <v>12.762450000000001</v>
      </c>
      <c r="P78">
        <f t="shared" si="1"/>
        <v>9.866699999999998</v>
      </c>
      <c r="Q78">
        <f t="shared" si="1"/>
        <v>15.212699999999998</v>
      </c>
      <c r="R78">
        <f t="shared" si="1"/>
        <v>16.994700000000002</v>
      </c>
      <c r="S78">
        <f t="shared" si="2"/>
        <v>16.371000000000006</v>
      </c>
    </row>
    <row r="79" spans="1:20" x14ac:dyDescent="0.25">
      <c r="I79" t="s">
        <v>48</v>
      </c>
      <c r="J79">
        <f t="shared" si="1"/>
        <v>19.667699999999996</v>
      </c>
      <c r="K79">
        <f t="shared" si="1"/>
        <v>19.890449999999998</v>
      </c>
      <c r="L79">
        <f t="shared" si="1"/>
        <v>23.2317</v>
      </c>
      <c r="M79">
        <f t="shared" si="1"/>
        <v>22.11795</v>
      </c>
      <c r="N79">
        <f t="shared" si="1"/>
        <v>18.108450000000001</v>
      </c>
      <c r="O79">
        <f t="shared" si="1"/>
        <v>11.42595</v>
      </c>
      <c r="P79">
        <f t="shared" si="1"/>
        <v>10.7577</v>
      </c>
      <c r="Q79">
        <f t="shared" si="1"/>
        <v>12.094200000000001</v>
      </c>
      <c r="R79">
        <f t="shared" si="1"/>
        <v>15.658200000000001</v>
      </c>
      <c r="S79">
        <f t="shared" si="2"/>
        <v>15.390900000000002</v>
      </c>
    </row>
    <row r="80" spans="1:20" x14ac:dyDescent="0.25">
      <c r="I80" t="s">
        <v>49</v>
      </c>
      <c r="J80">
        <f t="shared" si="1"/>
        <v>8.3074499999999993</v>
      </c>
      <c r="K80">
        <f t="shared" si="1"/>
        <v>6.748199999999998</v>
      </c>
      <c r="L80">
        <f t="shared" si="1"/>
        <v>5.6344500000000002</v>
      </c>
      <c r="M80">
        <f t="shared" si="1"/>
        <v>5.8571999999999997</v>
      </c>
      <c r="N80">
        <f t="shared" si="1"/>
        <v>6.0799500000000011</v>
      </c>
      <c r="O80">
        <f t="shared" si="1"/>
        <v>6.3027000000000006</v>
      </c>
      <c r="P80">
        <f t="shared" si="1"/>
        <v>6.748199999999998</v>
      </c>
      <c r="Q80">
        <f t="shared" si="1"/>
        <v>8.752950000000002</v>
      </c>
      <c r="R80">
        <f t="shared" si="1"/>
        <v>10.534949999999998</v>
      </c>
      <c r="S80">
        <f t="shared" si="2"/>
        <v>14.165775</v>
      </c>
    </row>
    <row r="81" spans="9:19" x14ac:dyDescent="0.25">
      <c r="I81" t="s">
        <v>50</v>
      </c>
      <c r="J81">
        <f t="shared" si="1"/>
        <v>28.354949999999999</v>
      </c>
      <c r="K81">
        <f t="shared" si="1"/>
        <v>24.790949999999999</v>
      </c>
      <c r="L81">
        <f t="shared" si="1"/>
        <v>23.677200000000003</v>
      </c>
      <c r="M81">
        <f t="shared" si="1"/>
        <v>22.340700000000002</v>
      </c>
      <c r="N81">
        <f t="shared" si="1"/>
        <v>19.667699999999996</v>
      </c>
      <c r="O81">
        <f t="shared" si="1"/>
        <v>16.994700000000002</v>
      </c>
      <c r="P81">
        <f t="shared" si="1"/>
        <v>12.5397</v>
      </c>
      <c r="Q81">
        <f t="shared" si="1"/>
        <v>13.20795</v>
      </c>
      <c r="R81">
        <f t="shared" si="1"/>
        <v>13.653449999999999</v>
      </c>
      <c r="S81">
        <f t="shared" si="2"/>
        <v>14.410800000000002</v>
      </c>
    </row>
    <row r="82" spans="9:19" x14ac:dyDescent="0.25">
      <c r="I82" t="s">
        <v>51</v>
      </c>
      <c r="J82">
        <f t="shared" si="1"/>
        <v>16.326450000000001</v>
      </c>
      <c r="K82">
        <f t="shared" si="1"/>
        <v>14.767199999999999</v>
      </c>
      <c r="L82">
        <f t="shared" si="1"/>
        <v>12.094200000000001</v>
      </c>
      <c r="M82">
        <f t="shared" si="1"/>
        <v>10.7577</v>
      </c>
      <c r="N82">
        <f t="shared" si="1"/>
        <v>10.089449999999999</v>
      </c>
      <c r="O82">
        <f t="shared" si="1"/>
        <v>9.4211999999999989</v>
      </c>
      <c r="P82">
        <f t="shared" si="1"/>
        <v>10.534949999999998</v>
      </c>
      <c r="Q82">
        <f t="shared" si="1"/>
        <v>13.876200000000001</v>
      </c>
      <c r="R82">
        <f t="shared" si="1"/>
        <v>16.1037</v>
      </c>
      <c r="S82">
        <f t="shared" si="2"/>
        <v>16.125975000000004</v>
      </c>
    </row>
    <row r="83" spans="9:19" x14ac:dyDescent="0.25">
      <c r="I83" t="s">
        <v>52</v>
      </c>
      <c r="J83">
        <f t="shared" si="1"/>
        <v>15.435449999999999</v>
      </c>
      <c r="K83">
        <f t="shared" si="1"/>
        <v>15.212699999999998</v>
      </c>
      <c r="L83">
        <f t="shared" si="1"/>
        <v>19.890449999999998</v>
      </c>
      <c r="M83">
        <f t="shared" si="1"/>
        <v>23.89995</v>
      </c>
      <c r="N83">
        <f t="shared" si="1"/>
        <v>19.222199999999997</v>
      </c>
      <c r="O83">
        <f t="shared" si="1"/>
        <v>13.20795</v>
      </c>
      <c r="P83">
        <f t="shared" si="1"/>
        <v>13.430700000000002</v>
      </c>
      <c r="Q83">
        <f t="shared" si="1"/>
        <v>13.653449999999999</v>
      </c>
      <c r="R83">
        <f t="shared" si="1"/>
        <v>15.212699999999998</v>
      </c>
      <c r="S83">
        <f t="shared" si="2"/>
        <v>15.145875</v>
      </c>
    </row>
    <row r="84" spans="9:19" x14ac:dyDescent="0.25">
      <c r="I84" t="s">
        <v>53</v>
      </c>
      <c r="J84">
        <f t="shared" si="1"/>
        <v>12.762450000000001</v>
      </c>
      <c r="K84">
        <f t="shared" si="1"/>
        <v>13.653449999999999</v>
      </c>
      <c r="L84">
        <f t="shared" si="1"/>
        <v>18.55395</v>
      </c>
      <c r="M84">
        <f t="shared" si="1"/>
        <v>22.340700000000002</v>
      </c>
      <c r="N84">
        <f t="shared" si="1"/>
        <v>22.11795</v>
      </c>
      <c r="O84">
        <f t="shared" si="1"/>
        <v>20.78145</v>
      </c>
      <c r="P84">
        <f t="shared" si="1"/>
        <v>17.440200000000001</v>
      </c>
      <c r="Q84">
        <f t="shared" si="1"/>
        <v>17.440200000000001</v>
      </c>
      <c r="R84">
        <f t="shared" si="1"/>
        <v>15.658200000000001</v>
      </c>
      <c r="S84">
        <f t="shared" si="2"/>
        <v>13.675725000000003</v>
      </c>
    </row>
    <row r="85" spans="9:19" x14ac:dyDescent="0.25">
      <c r="I85" t="s">
        <v>54</v>
      </c>
      <c r="J85">
        <f t="shared" si="1"/>
        <v>19.890449999999998</v>
      </c>
      <c r="K85">
        <f t="shared" si="1"/>
        <v>20.558699999999998</v>
      </c>
      <c r="L85">
        <f t="shared" si="1"/>
        <v>26.572949999999995</v>
      </c>
      <c r="M85">
        <f t="shared" si="1"/>
        <v>24.122700000000002</v>
      </c>
      <c r="N85">
        <f t="shared" si="1"/>
        <v>23.008950000000002</v>
      </c>
      <c r="O85">
        <f t="shared" si="1"/>
        <v>21.226949999999999</v>
      </c>
      <c r="P85">
        <f t="shared" si="1"/>
        <v>17.662950000000002</v>
      </c>
      <c r="Q85">
        <f t="shared" si="1"/>
        <v>12.985199999999999</v>
      </c>
      <c r="R85">
        <f t="shared" si="1"/>
        <v>14.98995</v>
      </c>
      <c r="S85">
        <f t="shared" si="2"/>
        <v>15.880950000000002</v>
      </c>
    </row>
    <row r="86" spans="9:19" x14ac:dyDescent="0.25">
      <c r="I86" t="s">
        <v>55</v>
      </c>
      <c r="J86">
        <f t="shared" si="1"/>
        <v>18.776700000000002</v>
      </c>
      <c r="K86">
        <f t="shared" si="1"/>
        <v>18.999449999999996</v>
      </c>
      <c r="L86">
        <f t="shared" si="1"/>
        <v>21.226949999999999</v>
      </c>
      <c r="M86">
        <f t="shared" si="1"/>
        <v>21.004199999999997</v>
      </c>
      <c r="N86">
        <f t="shared" si="1"/>
        <v>19.444949999999999</v>
      </c>
      <c r="O86">
        <f t="shared" si="1"/>
        <v>15.212699999999998</v>
      </c>
      <c r="P86">
        <f t="shared" si="1"/>
        <v>12.762450000000001</v>
      </c>
      <c r="Q86">
        <f t="shared" si="1"/>
        <v>12.985199999999999</v>
      </c>
      <c r="R86">
        <f t="shared" si="1"/>
        <v>14.98995</v>
      </c>
      <c r="S86">
        <f t="shared" si="2"/>
        <v>15.635925</v>
      </c>
    </row>
    <row r="87" spans="9:19" x14ac:dyDescent="0.25">
      <c r="I87" t="s">
        <v>56</v>
      </c>
      <c r="J87">
        <f t="shared" si="1"/>
        <v>20.335949999999997</v>
      </c>
      <c r="K87">
        <f t="shared" si="1"/>
        <v>20.113199999999999</v>
      </c>
      <c r="L87">
        <f t="shared" si="1"/>
        <v>22.56345</v>
      </c>
      <c r="M87">
        <f t="shared" si="1"/>
        <v>17.217449999999999</v>
      </c>
      <c r="N87">
        <f t="shared" si="1"/>
        <v>17.217449999999999</v>
      </c>
      <c r="O87">
        <f t="shared" si="1"/>
        <v>14.767199999999999</v>
      </c>
      <c r="P87">
        <f t="shared" si="1"/>
        <v>14.3217</v>
      </c>
      <c r="Q87">
        <f t="shared" si="1"/>
        <v>12.985199999999999</v>
      </c>
      <c r="R87">
        <f t="shared" si="1"/>
        <v>13.20795</v>
      </c>
      <c r="S87">
        <f t="shared" si="2"/>
        <v>13.920750000000002</v>
      </c>
    </row>
    <row r="88" spans="9:19" x14ac:dyDescent="0.25">
      <c r="I88" t="s">
        <v>57</v>
      </c>
      <c r="J88">
        <f t="shared" si="1"/>
        <v>14.544450000000001</v>
      </c>
      <c r="K88">
        <f t="shared" si="1"/>
        <v>15.880949999999999</v>
      </c>
      <c r="L88">
        <f t="shared" si="1"/>
        <v>23.89995</v>
      </c>
      <c r="M88">
        <f t="shared" si="1"/>
        <v>22.786200000000001</v>
      </c>
      <c r="N88">
        <f t="shared" si="1"/>
        <v>24.122700000000002</v>
      </c>
      <c r="O88">
        <f t="shared" si="1"/>
        <v>20.78145</v>
      </c>
      <c r="P88">
        <f t="shared" si="1"/>
        <v>18.999449999999996</v>
      </c>
      <c r="Q88">
        <f t="shared" si="1"/>
        <v>15.435449999999999</v>
      </c>
      <c r="R88">
        <f t="shared" si="1"/>
        <v>12.094200000000001</v>
      </c>
      <c r="S88">
        <f t="shared" si="2"/>
        <v>12.940650000000002</v>
      </c>
    </row>
    <row r="89" spans="9:19" x14ac:dyDescent="0.25">
      <c r="I89" t="s">
        <v>58</v>
      </c>
      <c r="J89">
        <f t="shared" si="1"/>
        <v>24.790949999999999</v>
      </c>
      <c r="K89">
        <f t="shared" si="1"/>
        <v>24.345450000000003</v>
      </c>
      <c r="L89">
        <f t="shared" si="1"/>
        <v>23.008950000000002</v>
      </c>
      <c r="M89">
        <f t="shared" si="1"/>
        <v>21.4497</v>
      </c>
      <c r="N89">
        <f t="shared" si="1"/>
        <v>17.440200000000001</v>
      </c>
      <c r="O89">
        <f t="shared" si="1"/>
        <v>14.544450000000001</v>
      </c>
      <c r="P89">
        <f t="shared" si="1"/>
        <v>14.98995</v>
      </c>
      <c r="Q89">
        <f t="shared" si="1"/>
        <v>14.098950000000002</v>
      </c>
      <c r="R89">
        <f t="shared" si="1"/>
        <v>15.435449999999999</v>
      </c>
      <c r="S89">
        <f t="shared" si="2"/>
        <v>15.145875</v>
      </c>
    </row>
    <row r="90" spans="9:19" x14ac:dyDescent="0.25">
      <c r="I90" t="s">
        <v>59</v>
      </c>
      <c r="J90">
        <f t="shared" ref="J90:R96" si="3">22.275*J62-6.1713</f>
        <v>23.89995</v>
      </c>
      <c r="K90">
        <f t="shared" si="3"/>
        <v>21.895199999999999</v>
      </c>
      <c r="L90">
        <f t="shared" si="3"/>
        <v>24.790949999999999</v>
      </c>
      <c r="M90">
        <f t="shared" si="3"/>
        <v>23.677200000000003</v>
      </c>
      <c r="N90">
        <f t="shared" si="3"/>
        <v>21.004199999999997</v>
      </c>
      <c r="O90">
        <f t="shared" si="3"/>
        <v>18.331200000000003</v>
      </c>
      <c r="P90">
        <f t="shared" si="3"/>
        <v>18.331200000000003</v>
      </c>
      <c r="Q90">
        <f t="shared" si="3"/>
        <v>14.544450000000001</v>
      </c>
      <c r="R90">
        <f t="shared" si="3"/>
        <v>13.876200000000001</v>
      </c>
      <c r="S90">
        <f t="shared" si="2"/>
        <v>15.390900000000002</v>
      </c>
    </row>
    <row r="91" spans="9:19" x14ac:dyDescent="0.25">
      <c r="I91" t="s">
        <v>60</v>
      </c>
      <c r="J91">
        <f t="shared" si="3"/>
        <v>21.895199999999999</v>
      </c>
      <c r="K91">
        <f t="shared" si="3"/>
        <v>21.226949999999999</v>
      </c>
      <c r="L91">
        <f t="shared" si="3"/>
        <v>23.89995</v>
      </c>
      <c r="M91">
        <f t="shared" si="3"/>
        <v>25.681949999999997</v>
      </c>
      <c r="N91">
        <f t="shared" si="3"/>
        <v>23.677200000000003</v>
      </c>
      <c r="O91">
        <f t="shared" si="3"/>
        <v>19.667699999999996</v>
      </c>
      <c r="P91">
        <f t="shared" si="3"/>
        <v>17.217449999999999</v>
      </c>
      <c r="Q91">
        <f t="shared" si="3"/>
        <v>11.871450000000003</v>
      </c>
      <c r="R91">
        <f t="shared" si="3"/>
        <v>11.648700000000002</v>
      </c>
      <c r="S91">
        <f t="shared" si="2"/>
        <v>12.940650000000002</v>
      </c>
    </row>
    <row r="92" spans="9:19" x14ac:dyDescent="0.25">
      <c r="I92" t="s">
        <v>61</v>
      </c>
      <c r="J92">
        <f t="shared" si="3"/>
        <v>21.895199999999999</v>
      </c>
      <c r="K92">
        <f t="shared" si="3"/>
        <v>21.226949999999999</v>
      </c>
      <c r="L92">
        <f t="shared" si="3"/>
        <v>20.558699999999998</v>
      </c>
      <c r="M92">
        <f t="shared" si="3"/>
        <v>22.786200000000001</v>
      </c>
      <c r="N92">
        <f t="shared" si="3"/>
        <v>22.11795</v>
      </c>
      <c r="O92">
        <f t="shared" si="3"/>
        <v>18.55395</v>
      </c>
      <c r="P92">
        <f t="shared" si="3"/>
        <v>15.880949999999999</v>
      </c>
      <c r="Q92">
        <f t="shared" si="3"/>
        <v>14.3217</v>
      </c>
      <c r="R92">
        <f t="shared" si="3"/>
        <v>11.42595</v>
      </c>
      <c r="S92">
        <f>22.275*(S64*1.1)-6.1713</f>
        <v>11.470500000000001</v>
      </c>
    </row>
    <row r="93" spans="9:19" x14ac:dyDescent="0.25">
      <c r="I93" t="s">
        <v>62</v>
      </c>
      <c r="J93">
        <f t="shared" si="3"/>
        <v>19.222199999999997</v>
      </c>
      <c r="K93">
        <f t="shared" si="3"/>
        <v>14.98995</v>
      </c>
      <c r="L93">
        <f t="shared" si="3"/>
        <v>15.212699999999998</v>
      </c>
      <c r="M93">
        <f t="shared" si="3"/>
        <v>18.776700000000002</v>
      </c>
      <c r="N93">
        <f t="shared" si="3"/>
        <v>19.667699999999996</v>
      </c>
      <c r="O93">
        <f t="shared" si="3"/>
        <v>14.3217</v>
      </c>
      <c r="P93">
        <f t="shared" si="3"/>
        <v>13.876200000000001</v>
      </c>
      <c r="Q93">
        <f t="shared" si="3"/>
        <v>13.876200000000001</v>
      </c>
      <c r="R93">
        <f t="shared" si="3"/>
        <v>15.658200000000001</v>
      </c>
      <c r="S93">
        <f t="shared" ref="S93:S95" si="4">22.275*(S65*1.1)-6.1713</f>
        <v>13.920750000000002</v>
      </c>
    </row>
    <row r="94" spans="9:19" x14ac:dyDescent="0.25">
      <c r="I94" t="s">
        <v>63</v>
      </c>
      <c r="J94">
        <f t="shared" si="3"/>
        <v>18.776700000000002</v>
      </c>
      <c r="K94">
        <f t="shared" si="3"/>
        <v>19.444949999999999</v>
      </c>
      <c r="L94">
        <f t="shared" si="3"/>
        <v>21.004199999999997</v>
      </c>
      <c r="M94">
        <f t="shared" si="3"/>
        <v>14.767199999999999</v>
      </c>
      <c r="N94">
        <f t="shared" si="3"/>
        <v>12.316949999999999</v>
      </c>
      <c r="O94">
        <f t="shared" si="3"/>
        <v>13.430700000000002</v>
      </c>
      <c r="P94">
        <f t="shared" si="3"/>
        <v>12.094200000000001</v>
      </c>
      <c r="Q94">
        <f t="shared" si="3"/>
        <v>11.42595</v>
      </c>
      <c r="R94">
        <f t="shared" si="3"/>
        <v>13.430700000000002</v>
      </c>
      <c r="S94">
        <f t="shared" si="4"/>
        <v>15.145875</v>
      </c>
    </row>
    <row r="95" spans="9:19" x14ac:dyDescent="0.25">
      <c r="I95" t="s">
        <v>64</v>
      </c>
      <c r="J95">
        <f t="shared" si="3"/>
        <v>25.236449999999998</v>
      </c>
      <c r="K95">
        <f t="shared" si="3"/>
        <v>23.2317</v>
      </c>
      <c r="L95">
        <f t="shared" si="3"/>
        <v>21.226949999999999</v>
      </c>
      <c r="M95">
        <f t="shared" si="3"/>
        <v>18.55395</v>
      </c>
      <c r="N95">
        <f t="shared" si="3"/>
        <v>19.667699999999996</v>
      </c>
      <c r="O95">
        <f t="shared" si="3"/>
        <v>20.78145</v>
      </c>
      <c r="P95">
        <f t="shared" si="3"/>
        <v>15.212699999999998</v>
      </c>
      <c r="Q95">
        <f t="shared" si="3"/>
        <v>12.094200000000001</v>
      </c>
      <c r="R95">
        <f t="shared" si="3"/>
        <v>11.871450000000003</v>
      </c>
      <c r="S95">
        <f t="shared" si="4"/>
        <v>13.675725000000003</v>
      </c>
    </row>
    <row r="96" spans="9:19" x14ac:dyDescent="0.25">
      <c r="I96" t="s">
        <v>65</v>
      </c>
      <c r="J96">
        <f>22.275*J68-6.1713</f>
        <v>26.350199999999997</v>
      </c>
      <c r="K96">
        <f t="shared" si="3"/>
        <v>23.89995</v>
      </c>
      <c r="L96">
        <f t="shared" si="3"/>
        <v>19.890449999999998</v>
      </c>
      <c r="M96">
        <f t="shared" si="3"/>
        <v>21.672450000000001</v>
      </c>
      <c r="N96">
        <f t="shared" si="3"/>
        <v>22.340700000000002</v>
      </c>
      <c r="O96">
        <f t="shared" si="3"/>
        <v>18.999449999999996</v>
      </c>
      <c r="P96">
        <f t="shared" si="3"/>
        <v>14.98995</v>
      </c>
      <c r="Q96">
        <f t="shared" si="3"/>
        <v>11.203200000000002</v>
      </c>
      <c r="R96">
        <f t="shared" si="3"/>
        <v>10.7577</v>
      </c>
      <c r="S96">
        <f>22.275*(S68*1.1)-6.1713</f>
        <v>13.185675000000003</v>
      </c>
    </row>
    <row r="100" spans="9:19" x14ac:dyDescent="0.25">
      <c r="I100" t="s">
        <v>66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</row>
    <row r="101" spans="9:19" x14ac:dyDescent="0.25">
      <c r="I101">
        <v>11</v>
      </c>
      <c r="J101" s="4">
        <f t="shared" ref="J101:S101" si="5">IF(J73&lt;0,"",J73/100)</f>
        <v>0.156582</v>
      </c>
      <c r="K101" s="4">
        <f t="shared" si="5"/>
        <v>0.16326450000000001</v>
      </c>
      <c r="L101" s="4">
        <f t="shared" si="5"/>
        <v>0.19222199999999998</v>
      </c>
      <c r="M101" s="4">
        <f t="shared" si="5"/>
        <v>0.21672450000000001</v>
      </c>
      <c r="N101" s="4">
        <f t="shared" si="5"/>
        <v>0.156582</v>
      </c>
      <c r="O101" s="4">
        <f t="shared" si="5"/>
        <v>0.156582</v>
      </c>
      <c r="P101" s="4">
        <f t="shared" si="5"/>
        <v>0.15880949999999999</v>
      </c>
      <c r="Q101" s="4">
        <f t="shared" si="5"/>
        <v>0.165492</v>
      </c>
      <c r="R101" s="4">
        <f t="shared" si="5"/>
        <v>0.16771949999999999</v>
      </c>
      <c r="S101" s="4">
        <f t="shared" si="5"/>
        <v>0.14900850000000002</v>
      </c>
    </row>
    <row r="102" spans="9:19" x14ac:dyDescent="0.25">
      <c r="I102">
        <v>12</v>
      </c>
      <c r="J102" s="4">
        <f t="shared" ref="J102:S115" si="6">IF(J74&lt;0,"",J74/100)</f>
        <v>0.19890449999999998</v>
      </c>
      <c r="K102" s="4">
        <f t="shared" si="6"/>
        <v>0.19890449999999998</v>
      </c>
      <c r="L102" s="4">
        <f t="shared" si="6"/>
        <v>0.16103699999999999</v>
      </c>
      <c r="M102" s="4">
        <f t="shared" si="6"/>
        <v>0.11648700000000002</v>
      </c>
      <c r="N102" s="4">
        <f t="shared" si="6"/>
        <v>0.10312200000000001</v>
      </c>
      <c r="O102" s="4">
        <f t="shared" si="6"/>
        <v>0.10980450000000001</v>
      </c>
      <c r="P102" s="4">
        <f t="shared" si="6"/>
        <v>0.10757699999999999</v>
      </c>
      <c r="Q102" s="4">
        <f t="shared" si="6"/>
        <v>0.156582</v>
      </c>
      <c r="R102" s="4">
        <f t="shared" si="6"/>
        <v>0.174402</v>
      </c>
      <c r="S102" s="4">
        <f t="shared" si="6"/>
        <v>0.14165775</v>
      </c>
    </row>
    <row r="103" spans="9:19" x14ac:dyDescent="0.25">
      <c r="I103">
        <v>13</v>
      </c>
      <c r="J103" s="4">
        <f t="shared" si="6"/>
        <v>0.19667699999999996</v>
      </c>
      <c r="K103" s="4">
        <f t="shared" si="6"/>
        <v>0.18108450000000001</v>
      </c>
      <c r="L103" s="4">
        <f t="shared" si="6"/>
        <v>0.19667699999999996</v>
      </c>
      <c r="M103" s="4">
        <f t="shared" si="6"/>
        <v>0.20558699999999999</v>
      </c>
      <c r="N103" s="4">
        <f t="shared" si="6"/>
        <v>0.18999449999999996</v>
      </c>
      <c r="O103" s="4">
        <f t="shared" si="6"/>
        <v>0.156582</v>
      </c>
      <c r="P103" s="4">
        <f t="shared" si="6"/>
        <v>0.14098950000000002</v>
      </c>
      <c r="Q103" s="4">
        <f t="shared" si="6"/>
        <v>0.1365345</v>
      </c>
      <c r="R103" s="4">
        <f t="shared" si="6"/>
        <v>0.156582</v>
      </c>
      <c r="S103" s="4">
        <f t="shared" si="6"/>
        <v>0.15145875</v>
      </c>
    </row>
    <row r="104" spans="9:19" x14ac:dyDescent="0.25">
      <c r="I104">
        <v>14</v>
      </c>
      <c r="J104" s="4">
        <f t="shared" si="6"/>
        <v>0.21895199999999998</v>
      </c>
      <c r="K104" s="4">
        <f t="shared" si="6"/>
        <v>0.21895199999999998</v>
      </c>
      <c r="L104" s="4">
        <f t="shared" si="6"/>
        <v>0.2211795</v>
      </c>
      <c r="M104" s="4">
        <f t="shared" si="6"/>
        <v>0.1944495</v>
      </c>
      <c r="N104" s="4">
        <f t="shared" si="6"/>
        <v>0.16326450000000001</v>
      </c>
      <c r="O104" s="4">
        <f t="shared" si="6"/>
        <v>0.14321700000000001</v>
      </c>
      <c r="P104" s="4">
        <f t="shared" si="6"/>
        <v>0.14989949999999999</v>
      </c>
      <c r="Q104" s="4">
        <f t="shared" si="6"/>
        <v>0.15880949999999999</v>
      </c>
      <c r="R104" s="4">
        <f t="shared" si="6"/>
        <v>0.14098950000000002</v>
      </c>
      <c r="S104" s="4">
        <f t="shared" si="6"/>
        <v>0.14410800000000001</v>
      </c>
    </row>
    <row r="105" spans="9:19" x14ac:dyDescent="0.25">
      <c r="I105">
        <v>21</v>
      </c>
      <c r="J105" s="4">
        <f t="shared" si="6"/>
        <v>0.24790949999999998</v>
      </c>
      <c r="K105" s="4">
        <f t="shared" si="6"/>
        <v>0.21895199999999998</v>
      </c>
      <c r="L105" s="4">
        <f t="shared" si="6"/>
        <v>0.2211795</v>
      </c>
      <c r="M105" s="4">
        <f t="shared" si="6"/>
        <v>0.19890449999999998</v>
      </c>
      <c r="N105" s="4">
        <f t="shared" si="6"/>
        <v>0.165492</v>
      </c>
      <c r="O105" s="4">
        <f t="shared" si="6"/>
        <v>0.14989949999999999</v>
      </c>
      <c r="P105" s="4">
        <f t="shared" si="6"/>
        <v>0.14098950000000002</v>
      </c>
      <c r="Q105" s="4">
        <f t="shared" si="6"/>
        <v>0.17885699999999999</v>
      </c>
      <c r="R105" s="4">
        <f t="shared" si="6"/>
        <v>0.16994700000000001</v>
      </c>
      <c r="S105" s="4">
        <f t="shared" si="6"/>
        <v>0.15390900000000002</v>
      </c>
    </row>
    <row r="106" spans="9:19" x14ac:dyDescent="0.25">
      <c r="I106">
        <v>22</v>
      </c>
      <c r="J106" s="4">
        <f t="shared" si="6"/>
        <v>0.22563449999999999</v>
      </c>
      <c r="K106" s="4">
        <f t="shared" si="6"/>
        <v>0.21004199999999998</v>
      </c>
      <c r="L106" s="4">
        <f t="shared" si="6"/>
        <v>0.1944495</v>
      </c>
      <c r="M106" s="4">
        <f t="shared" si="6"/>
        <v>0.19222199999999998</v>
      </c>
      <c r="N106" s="4">
        <f t="shared" si="6"/>
        <v>0.16326450000000001</v>
      </c>
      <c r="O106" s="4">
        <f t="shared" si="6"/>
        <v>0.1276245</v>
      </c>
      <c r="P106" s="4">
        <f t="shared" si="6"/>
        <v>9.8666999999999977E-2</v>
      </c>
      <c r="Q106" s="4">
        <f t="shared" si="6"/>
        <v>0.15212699999999998</v>
      </c>
      <c r="R106" s="4">
        <f t="shared" si="6"/>
        <v>0.16994700000000001</v>
      </c>
      <c r="S106" s="4">
        <f t="shared" si="6"/>
        <v>0.16371000000000005</v>
      </c>
    </row>
    <row r="107" spans="9:19" x14ac:dyDescent="0.25">
      <c r="I107">
        <v>23</v>
      </c>
      <c r="J107" s="4">
        <f t="shared" si="6"/>
        <v>0.19667699999999996</v>
      </c>
      <c r="K107" s="4">
        <f t="shared" si="6"/>
        <v>0.19890449999999998</v>
      </c>
      <c r="L107" s="4">
        <f t="shared" si="6"/>
        <v>0.232317</v>
      </c>
      <c r="M107" s="4">
        <f t="shared" si="6"/>
        <v>0.2211795</v>
      </c>
      <c r="N107" s="4">
        <f t="shared" si="6"/>
        <v>0.18108450000000001</v>
      </c>
      <c r="O107" s="4">
        <f t="shared" si="6"/>
        <v>0.1142595</v>
      </c>
      <c r="P107" s="4">
        <f t="shared" si="6"/>
        <v>0.10757699999999999</v>
      </c>
      <c r="Q107" s="4">
        <f t="shared" si="6"/>
        <v>0.12094200000000001</v>
      </c>
      <c r="R107" s="4">
        <f t="shared" si="6"/>
        <v>0.156582</v>
      </c>
      <c r="S107" s="4">
        <f t="shared" si="6"/>
        <v>0.15390900000000002</v>
      </c>
    </row>
    <row r="108" spans="9:19" x14ac:dyDescent="0.25">
      <c r="I108">
        <v>24</v>
      </c>
      <c r="J108" s="4">
        <f t="shared" si="6"/>
        <v>8.3074499999999996E-2</v>
      </c>
      <c r="K108" s="4">
        <f t="shared" si="6"/>
        <v>6.7481999999999986E-2</v>
      </c>
      <c r="L108" s="4">
        <f t="shared" si="6"/>
        <v>5.6344499999999999E-2</v>
      </c>
      <c r="M108" s="4">
        <f t="shared" si="6"/>
        <v>5.8571999999999999E-2</v>
      </c>
      <c r="N108" s="4">
        <f t="shared" si="6"/>
        <v>6.0799500000000013E-2</v>
      </c>
      <c r="O108" s="4">
        <f t="shared" si="6"/>
        <v>6.3027E-2</v>
      </c>
      <c r="P108" s="4">
        <f t="shared" si="6"/>
        <v>6.7481999999999986E-2</v>
      </c>
      <c r="Q108" s="4">
        <f t="shared" si="6"/>
        <v>8.7529500000000024E-2</v>
      </c>
      <c r="R108" s="4">
        <f t="shared" si="6"/>
        <v>0.10534949999999998</v>
      </c>
      <c r="S108" s="4">
        <f t="shared" si="6"/>
        <v>0.14165775</v>
      </c>
    </row>
    <row r="109" spans="9:19" x14ac:dyDescent="0.25">
      <c r="I109">
        <v>31</v>
      </c>
      <c r="J109" s="4">
        <f t="shared" si="6"/>
        <v>0.28354950000000001</v>
      </c>
      <c r="K109" s="4">
        <f t="shared" si="6"/>
        <v>0.24790949999999998</v>
      </c>
      <c r="L109" s="4">
        <f t="shared" si="6"/>
        <v>0.23677200000000004</v>
      </c>
      <c r="M109" s="4">
        <f t="shared" si="6"/>
        <v>0.22340700000000002</v>
      </c>
      <c r="N109" s="4">
        <f t="shared" si="6"/>
        <v>0.19667699999999996</v>
      </c>
      <c r="O109" s="4">
        <f t="shared" si="6"/>
        <v>0.16994700000000001</v>
      </c>
      <c r="P109" s="4">
        <f t="shared" si="6"/>
        <v>0.12539700000000001</v>
      </c>
      <c r="Q109" s="4">
        <f t="shared" si="6"/>
        <v>0.13207950000000002</v>
      </c>
      <c r="R109" s="4">
        <f t="shared" si="6"/>
        <v>0.1365345</v>
      </c>
      <c r="S109" s="4">
        <f t="shared" si="6"/>
        <v>0.14410800000000001</v>
      </c>
    </row>
    <row r="110" spans="9:19" x14ac:dyDescent="0.25">
      <c r="I110">
        <v>32</v>
      </c>
      <c r="J110" s="4">
        <f t="shared" si="6"/>
        <v>0.16326450000000001</v>
      </c>
      <c r="K110" s="4">
        <f t="shared" si="6"/>
        <v>0.147672</v>
      </c>
      <c r="L110" s="4">
        <f t="shared" si="6"/>
        <v>0.12094200000000001</v>
      </c>
      <c r="M110" s="4">
        <f t="shared" si="6"/>
        <v>0.10757699999999999</v>
      </c>
      <c r="N110" s="4">
        <f t="shared" si="6"/>
        <v>0.1008945</v>
      </c>
      <c r="O110" s="4">
        <f t="shared" si="6"/>
        <v>9.421199999999999E-2</v>
      </c>
      <c r="P110" s="4">
        <f t="shared" si="6"/>
        <v>0.10534949999999998</v>
      </c>
      <c r="Q110" s="4">
        <f t="shared" si="6"/>
        <v>0.138762</v>
      </c>
      <c r="R110" s="4">
        <f t="shared" si="6"/>
        <v>0.16103699999999999</v>
      </c>
      <c r="S110" s="4">
        <f t="shared" si="6"/>
        <v>0.16125975000000004</v>
      </c>
    </row>
    <row r="111" spans="9:19" x14ac:dyDescent="0.25">
      <c r="I111">
        <v>33</v>
      </c>
      <c r="J111" s="4">
        <f t="shared" si="6"/>
        <v>0.15435450000000001</v>
      </c>
      <c r="K111" s="4">
        <f t="shared" si="6"/>
        <v>0.15212699999999998</v>
      </c>
      <c r="L111" s="4">
        <f t="shared" si="6"/>
        <v>0.19890449999999998</v>
      </c>
      <c r="M111" s="4">
        <f t="shared" si="6"/>
        <v>0.2389995</v>
      </c>
      <c r="N111" s="4">
        <f t="shared" si="6"/>
        <v>0.19222199999999998</v>
      </c>
      <c r="O111" s="4">
        <f t="shared" si="6"/>
        <v>0.13207950000000002</v>
      </c>
      <c r="P111" s="4">
        <f t="shared" si="6"/>
        <v>0.13430700000000001</v>
      </c>
      <c r="Q111" s="4">
        <f t="shared" si="6"/>
        <v>0.1365345</v>
      </c>
      <c r="R111" s="4">
        <f t="shared" si="6"/>
        <v>0.15212699999999998</v>
      </c>
      <c r="S111" s="4">
        <f t="shared" si="6"/>
        <v>0.15145875</v>
      </c>
    </row>
    <row r="112" spans="9:19" x14ac:dyDescent="0.25">
      <c r="I112">
        <v>34</v>
      </c>
      <c r="J112" s="4">
        <f t="shared" si="6"/>
        <v>0.1276245</v>
      </c>
      <c r="K112" s="4">
        <f t="shared" si="6"/>
        <v>0.1365345</v>
      </c>
      <c r="L112" s="4">
        <f t="shared" si="6"/>
        <v>0.1855395</v>
      </c>
      <c r="M112" s="4">
        <f t="shared" si="6"/>
        <v>0.22340700000000002</v>
      </c>
      <c r="N112" s="4">
        <f t="shared" si="6"/>
        <v>0.2211795</v>
      </c>
      <c r="O112" s="4">
        <f t="shared" si="6"/>
        <v>0.20781449999999999</v>
      </c>
      <c r="P112" s="4">
        <f t="shared" si="6"/>
        <v>0.174402</v>
      </c>
      <c r="Q112" s="4">
        <f t="shared" si="6"/>
        <v>0.174402</v>
      </c>
      <c r="R112" s="4">
        <f t="shared" si="6"/>
        <v>0.156582</v>
      </c>
      <c r="S112" s="4">
        <f t="shared" si="6"/>
        <v>0.13675725000000002</v>
      </c>
    </row>
    <row r="113" spans="9:19" x14ac:dyDescent="0.25">
      <c r="I113">
        <v>41</v>
      </c>
      <c r="J113" s="4">
        <f t="shared" si="6"/>
        <v>0.19890449999999998</v>
      </c>
      <c r="K113" s="4">
        <f t="shared" si="6"/>
        <v>0.20558699999999999</v>
      </c>
      <c r="L113" s="4">
        <f t="shared" si="6"/>
        <v>0.26572949999999995</v>
      </c>
      <c r="M113" s="4">
        <f t="shared" si="6"/>
        <v>0.24122700000000002</v>
      </c>
      <c r="N113" s="4">
        <f t="shared" si="6"/>
        <v>0.23008950000000003</v>
      </c>
      <c r="O113" s="4">
        <f t="shared" si="6"/>
        <v>0.2122695</v>
      </c>
      <c r="P113" s="4">
        <f t="shared" si="6"/>
        <v>0.17662950000000002</v>
      </c>
      <c r="Q113" s="4">
        <f t="shared" si="6"/>
        <v>0.129852</v>
      </c>
      <c r="R113" s="4">
        <f t="shared" si="6"/>
        <v>0.14989949999999999</v>
      </c>
      <c r="S113" s="4">
        <f t="shared" si="6"/>
        <v>0.15880950000000002</v>
      </c>
    </row>
    <row r="114" spans="9:19" x14ac:dyDescent="0.25">
      <c r="I114">
        <v>42</v>
      </c>
      <c r="J114" s="4">
        <f t="shared" si="6"/>
        <v>0.18776700000000002</v>
      </c>
      <c r="K114" s="4">
        <f t="shared" si="6"/>
        <v>0.18999449999999996</v>
      </c>
      <c r="L114" s="4">
        <f t="shared" si="6"/>
        <v>0.2122695</v>
      </c>
      <c r="M114" s="4">
        <f t="shared" si="6"/>
        <v>0.21004199999999998</v>
      </c>
      <c r="N114" s="4">
        <f t="shared" si="6"/>
        <v>0.1944495</v>
      </c>
      <c r="O114" s="4">
        <f t="shared" si="6"/>
        <v>0.15212699999999998</v>
      </c>
      <c r="P114" s="4">
        <f t="shared" si="6"/>
        <v>0.1276245</v>
      </c>
      <c r="Q114" s="4">
        <f t="shared" si="6"/>
        <v>0.129852</v>
      </c>
      <c r="R114" s="4">
        <f t="shared" si="6"/>
        <v>0.14989949999999999</v>
      </c>
      <c r="S114" s="4">
        <f t="shared" si="6"/>
        <v>0.15635925000000001</v>
      </c>
    </row>
    <row r="115" spans="9:19" x14ac:dyDescent="0.25">
      <c r="I115">
        <v>43</v>
      </c>
      <c r="J115" s="4">
        <f t="shared" si="6"/>
        <v>0.20335949999999997</v>
      </c>
      <c r="K115" s="4">
        <f t="shared" si="6"/>
        <v>0.20113199999999998</v>
      </c>
      <c r="L115" s="4">
        <f t="shared" si="6"/>
        <v>0.22563449999999999</v>
      </c>
      <c r="M115" s="4">
        <f t="shared" si="6"/>
        <v>0.17217450000000001</v>
      </c>
      <c r="N115" s="4">
        <f t="shared" si="6"/>
        <v>0.17217450000000001</v>
      </c>
      <c r="O115" s="4">
        <f t="shared" si="6"/>
        <v>0.147672</v>
      </c>
      <c r="P115" s="4">
        <f t="shared" si="6"/>
        <v>0.14321700000000001</v>
      </c>
      <c r="Q115" s="4">
        <f t="shared" si="6"/>
        <v>0.129852</v>
      </c>
      <c r="R115" s="4">
        <f t="shared" si="6"/>
        <v>0.13207950000000002</v>
      </c>
      <c r="S115" s="4">
        <f t="shared" si="6"/>
        <v>0.13920750000000001</v>
      </c>
    </row>
    <row r="116" spans="9:19" x14ac:dyDescent="0.25">
      <c r="I116">
        <v>44</v>
      </c>
      <c r="J116" s="4">
        <f t="shared" ref="J116:S116" si="7">IF(J88&lt;0,"",J88/100)</f>
        <v>0.1454445</v>
      </c>
      <c r="K116" s="4">
        <f t="shared" si="7"/>
        <v>0.15880949999999999</v>
      </c>
      <c r="L116" s="4">
        <f t="shared" si="7"/>
        <v>0.2389995</v>
      </c>
      <c r="M116" s="4">
        <f t="shared" si="7"/>
        <v>0.22786200000000001</v>
      </c>
      <c r="N116" s="4">
        <f t="shared" si="7"/>
        <v>0.24122700000000002</v>
      </c>
      <c r="O116" s="4">
        <f t="shared" si="7"/>
        <v>0.20781449999999999</v>
      </c>
      <c r="P116" s="4">
        <f t="shared" si="7"/>
        <v>0.18999449999999996</v>
      </c>
      <c r="Q116" s="4">
        <f t="shared" si="7"/>
        <v>0.15435450000000001</v>
      </c>
      <c r="R116" s="4">
        <f t="shared" si="7"/>
        <v>0.12094200000000001</v>
      </c>
      <c r="S116" s="4">
        <f t="shared" si="7"/>
        <v>0.12940650000000001</v>
      </c>
    </row>
    <row r="117" spans="9:19" x14ac:dyDescent="0.25">
      <c r="I117">
        <v>51</v>
      </c>
      <c r="J117" s="4">
        <f t="shared" ref="J117:S123" si="8">IF(J89&lt;0,"",J89/100)</f>
        <v>0.24790949999999998</v>
      </c>
      <c r="K117" s="4">
        <f t="shared" si="8"/>
        <v>0.24345450000000002</v>
      </c>
      <c r="L117" s="4">
        <f t="shared" si="8"/>
        <v>0.23008950000000003</v>
      </c>
      <c r="M117" s="4">
        <f t="shared" si="8"/>
        <v>0.21449699999999999</v>
      </c>
      <c r="N117" s="4">
        <f t="shared" si="8"/>
        <v>0.174402</v>
      </c>
      <c r="O117" s="4">
        <f t="shared" si="8"/>
        <v>0.1454445</v>
      </c>
      <c r="P117" s="4">
        <f t="shared" si="8"/>
        <v>0.14989949999999999</v>
      </c>
      <c r="Q117" s="4">
        <f t="shared" si="8"/>
        <v>0.14098950000000002</v>
      </c>
      <c r="R117" s="4">
        <f t="shared" si="8"/>
        <v>0.15435450000000001</v>
      </c>
      <c r="S117" s="4">
        <f t="shared" si="8"/>
        <v>0.15145875</v>
      </c>
    </row>
    <row r="118" spans="9:19" x14ac:dyDescent="0.25">
      <c r="I118">
        <v>52</v>
      </c>
      <c r="J118" s="4">
        <f t="shared" si="8"/>
        <v>0.2389995</v>
      </c>
      <c r="K118" s="4">
        <f t="shared" si="8"/>
        <v>0.21895199999999998</v>
      </c>
      <c r="L118" s="4">
        <f t="shared" si="8"/>
        <v>0.24790949999999998</v>
      </c>
      <c r="M118" s="4">
        <f t="shared" si="8"/>
        <v>0.23677200000000004</v>
      </c>
      <c r="N118" s="4">
        <f t="shared" si="8"/>
        <v>0.21004199999999998</v>
      </c>
      <c r="O118" s="4">
        <f t="shared" si="8"/>
        <v>0.18331200000000003</v>
      </c>
      <c r="P118" s="4">
        <f t="shared" si="8"/>
        <v>0.18331200000000003</v>
      </c>
      <c r="Q118" s="4">
        <f t="shared" si="8"/>
        <v>0.1454445</v>
      </c>
      <c r="R118" s="4">
        <f t="shared" si="8"/>
        <v>0.138762</v>
      </c>
      <c r="S118" s="4">
        <f t="shared" si="8"/>
        <v>0.15390900000000002</v>
      </c>
    </row>
    <row r="119" spans="9:19" x14ac:dyDescent="0.25">
      <c r="I119">
        <v>53</v>
      </c>
      <c r="J119" s="4">
        <f t="shared" si="8"/>
        <v>0.21895199999999998</v>
      </c>
      <c r="K119" s="4">
        <f t="shared" si="8"/>
        <v>0.2122695</v>
      </c>
      <c r="L119" s="4">
        <f t="shared" si="8"/>
        <v>0.2389995</v>
      </c>
      <c r="M119" s="4">
        <f t="shared" si="8"/>
        <v>0.25681949999999998</v>
      </c>
      <c r="N119" s="4">
        <f t="shared" si="8"/>
        <v>0.23677200000000004</v>
      </c>
      <c r="O119" s="4">
        <f t="shared" si="8"/>
        <v>0.19667699999999996</v>
      </c>
      <c r="P119" s="4">
        <f t="shared" si="8"/>
        <v>0.17217450000000001</v>
      </c>
      <c r="Q119" s="4">
        <f t="shared" si="8"/>
        <v>0.11871450000000003</v>
      </c>
      <c r="R119" s="4">
        <f t="shared" si="8"/>
        <v>0.11648700000000002</v>
      </c>
      <c r="S119" s="4">
        <f t="shared" si="8"/>
        <v>0.12940650000000001</v>
      </c>
    </row>
    <row r="120" spans="9:19" x14ac:dyDescent="0.25">
      <c r="I120">
        <v>54</v>
      </c>
      <c r="J120" s="4">
        <f t="shared" si="8"/>
        <v>0.21895199999999998</v>
      </c>
      <c r="K120" s="4">
        <f t="shared" si="8"/>
        <v>0.2122695</v>
      </c>
      <c r="L120" s="4">
        <f t="shared" si="8"/>
        <v>0.20558699999999999</v>
      </c>
      <c r="M120" s="4">
        <f t="shared" si="8"/>
        <v>0.22786200000000001</v>
      </c>
      <c r="N120" s="4">
        <f t="shared" si="8"/>
        <v>0.2211795</v>
      </c>
      <c r="O120" s="4">
        <f t="shared" si="8"/>
        <v>0.1855395</v>
      </c>
      <c r="P120" s="4">
        <f t="shared" si="8"/>
        <v>0.15880949999999999</v>
      </c>
      <c r="Q120" s="4">
        <f t="shared" si="8"/>
        <v>0.14321700000000001</v>
      </c>
      <c r="R120" s="4">
        <f t="shared" si="8"/>
        <v>0.1142595</v>
      </c>
      <c r="S120" s="4">
        <f t="shared" si="8"/>
        <v>0.11470500000000002</v>
      </c>
    </row>
    <row r="121" spans="9:19" x14ac:dyDescent="0.25">
      <c r="I121">
        <v>61</v>
      </c>
      <c r="J121" s="4">
        <f t="shared" si="8"/>
        <v>0.19222199999999998</v>
      </c>
      <c r="K121" s="4">
        <f t="shared" si="8"/>
        <v>0.14989949999999999</v>
      </c>
      <c r="L121" s="4">
        <f t="shared" si="8"/>
        <v>0.15212699999999998</v>
      </c>
      <c r="M121" s="4">
        <f t="shared" si="8"/>
        <v>0.18776700000000002</v>
      </c>
      <c r="N121" s="4">
        <f t="shared" si="8"/>
        <v>0.19667699999999996</v>
      </c>
      <c r="O121" s="4">
        <f t="shared" si="8"/>
        <v>0.14321700000000001</v>
      </c>
      <c r="P121" s="4">
        <f t="shared" si="8"/>
        <v>0.138762</v>
      </c>
      <c r="Q121" s="4">
        <f t="shared" si="8"/>
        <v>0.138762</v>
      </c>
      <c r="R121" s="4">
        <f t="shared" si="8"/>
        <v>0.156582</v>
      </c>
      <c r="S121" s="4">
        <f t="shared" si="8"/>
        <v>0.13920750000000001</v>
      </c>
    </row>
    <row r="122" spans="9:19" x14ac:dyDescent="0.25">
      <c r="I122">
        <v>62</v>
      </c>
      <c r="J122" s="4">
        <f t="shared" si="8"/>
        <v>0.18776700000000002</v>
      </c>
      <c r="K122" s="4">
        <f t="shared" si="8"/>
        <v>0.1944495</v>
      </c>
      <c r="L122" s="4">
        <f t="shared" si="8"/>
        <v>0.21004199999999998</v>
      </c>
      <c r="M122" s="4">
        <f t="shared" si="8"/>
        <v>0.147672</v>
      </c>
      <c r="N122" s="4">
        <f t="shared" si="8"/>
        <v>0.12316949999999999</v>
      </c>
      <c r="O122" s="4">
        <f t="shared" si="8"/>
        <v>0.13430700000000001</v>
      </c>
      <c r="P122" s="4">
        <f t="shared" si="8"/>
        <v>0.12094200000000001</v>
      </c>
      <c r="Q122" s="4">
        <f t="shared" si="8"/>
        <v>0.1142595</v>
      </c>
      <c r="R122" s="4">
        <f t="shared" si="8"/>
        <v>0.13430700000000001</v>
      </c>
      <c r="S122" s="4">
        <f t="shared" si="8"/>
        <v>0.15145875</v>
      </c>
    </row>
    <row r="123" spans="9:19" x14ac:dyDescent="0.25">
      <c r="I123">
        <v>63</v>
      </c>
      <c r="J123" s="4">
        <f t="shared" si="8"/>
        <v>0.25236449999999999</v>
      </c>
      <c r="K123" s="4">
        <f t="shared" si="8"/>
        <v>0.232317</v>
      </c>
      <c r="L123" s="4">
        <f t="shared" si="8"/>
        <v>0.2122695</v>
      </c>
      <c r="M123" s="4">
        <f t="shared" si="8"/>
        <v>0.1855395</v>
      </c>
      <c r="N123" s="4">
        <f t="shared" si="8"/>
        <v>0.19667699999999996</v>
      </c>
      <c r="O123" s="4">
        <f t="shared" si="8"/>
        <v>0.20781449999999999</v>
      </c>
      <c r="P123" s="4">
        <f t="shared" si="8"/>
        <v>0.15212699999999998</v>
      </c>
      <c r="Q123" s="4">
        <f t="shared" si="8"/>
        <v>0.12094200000000001</v>
      </c>
      <c r="R123" s="4">
        <f t="shared" si="8"/>
        <v>0.11871450000000003</v>
      </c>
      <c r="S123" s="4">
        <f t="shared" si="8"/>
        <v>0.13675725000000002</v>
      </c>
    </row>
    <row r="124" spans="9:19" x14ac:dyDescent="0.25">
      <c r="I124">
        <v>64</v>
      </c>
      <c r="J124" s="4">
        <f t="shared" ref="J124:S124" si="9">IF(J96&lt;0,"",J96/100)</f>
        <v>0.26350199999999996</v>
      </c>
      <c r="K124" s="4">
        <f t="shared" si="9"/>
        <v>0.2389995</v>
      </c>
      <c r="L124" s="4">
        <f t="shared" si="9"/>
        <v>0.19890449999999998</v>
      </c>
      <c r="M124" s="4">
        <f t="shared" si="9"/>
        <v>0.21672450000000001</v>
      </c>
      <c r="N124" s="4">
        <f t="shared" si="9"/>
        <v>0.22340700000000002</v>
      </c>
      <c r="O124" s="4">
        <f t="shared" si="9"/>
        <v>0.18999449999999996</v>
      </c>
      <c r="P124" s="4">
        <f t="shared" si="9"/>
        <v>0.14989949999999999</v>
      </c>
      <c r="Q124" s="4">
        <f t="shared" si="9"/>
        <v>0.11203200000000002</v>
      </c>
      <c r="R124" s="4">
        <f t="shared" si="9"/>
        <v>0.10757699999999999</v>
      </c>
      <c r="S124" s="4">
        <f t="shared" si="9"/>
        <v>0.13185675000000002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Summary</vt:lpstr>
      <vt:lpstr>Standard</vt:lpstr>
      <vt:lpstr>2020-0422</vt:lpstr>
      <vt:lpstr>2020-0427</vt:lpstr>
      <vt:lpstr>2020-0504</vt:lpstr>
      <vt:lpstr>2020-0511</vt:lpstr>
      <vt:lpstr>2020-0518</vt:lpstr>
      <vt:lpstr>2020-0526</vt:lpstr>
      <vt:lpstr>2020-0601</vt:lpstr>
      <vt:lpstr>2020-0608</vt:lpstr>
      <vt:lpstr>2020-0615</vt:lpstr>
      <vt:lpstr>2020-0622</vt:lpstr>
      <vt:lpstr>2020-0629</vt:lpstr>
      <vt:lpstr>2020-0706</vt:lpstr>
      <vt:lpstr>2020-0714</vt:lpstr>
      <vt:lpstr>2020-0720</vt:lpstr>
      <vt:lpstr>2020-0727</vt:lpstr>
      <vt:lpstr>2020-0803</vt:lpstr>
      <vt:lpstr>2020-0810</vt:lpstr>
      <vt:lpstr>2020-0817</vt:lpstr>
      <vt:lpstr>2020-0824</vt:lpstr>
      <vt:lpstr>2020-0901</vt:lpstr>
      <vt:lpstr>2020-0908</vt:lpstr>
      <vt:lpstr>2020-0914</vt:lpstr>
      <vt:lpstr>2020-0921</vt:lpstr>
      <vt:lpstr>2020-1015</vt:lpstr>
      <vt:lpstr>2020-1028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2021-09-10T22:38:24Z</dcterms:created>
  <dcterms:modified xsi:type="dcterms:W3CDTF">2024-06-28T20:15:08Z</dcterms:modified>
</cp:coreProperties>
</file>