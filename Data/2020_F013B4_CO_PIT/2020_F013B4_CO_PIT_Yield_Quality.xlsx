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6E9243AE-9370-4C4D-9E6F-2F35EF633CA2}" xr6:coauthVersionLast="47" xr6:coauthVersionMax="47" xr10:uidLastSave="{00000000-0000-0000-0000-000000000000}"/>
  <bookViews>
    <workbookView xWindow="-4125" yWindow="-26835" windowWidth="17370" windowHeight="24285" xr2:uid="{A0C8E5E1-3BB8-481A-9E5C-615F618DEDC4}"/>
  </bookViews>
  <sheets>
    <sheet name="Raw Scale" sheetId="1" r:id="rId1"/>
    <sheet name="Zone Scale" sheetId="4" r:id="rId2"/>
    <sheet name="Plot Scale" sheetId="2" r:id="rId3"/>
    <sheet name="Compa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H55" i="1" l="1"/>
  <c r="BG55" i="1"/>
  <c r="BJ55" i="1" s="1"/>
  <c r="BF55" i="1"/>
  <c r="BE55" i="1"/>
  <c r="BI55" i="1" s="1"/>
  <c r="BA55" i="1"/>
  <c r="AZ55" i="1"/>
  <c r="F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7" i="4"/>
  <c r="F55" i="4" l="1"/>
  <c r="F439" i="4"/>
  <c r="F247" i="4"/>
  <c r="F559" i="4"/>
  <c r="F535" i="4"/>
  <c r="F511" i="4"/>
  <c r="F487" i="4"/>
  <c r="F463" i="4"/>
  <c r="F415" i="4"/>
  <c r="F391" i="4"/>
  <c r="F367" i="4"/>
  <c r="F343" i="4"/>
  <c r="F319" i="4"/>
  <c r="F295" i="4"/>
  <c r="F271" i="4"/>
  <c r="F223" i="4"/>
  <c r="F199" i="4"/>
  <c r="F175" i="4"/>
  <c r="F151" i="4"/>
  <c r="F127" i="4"/>
  <c r="F103" i="4"/>
  <c r="F79" i="4"/>
  <c r="F31" i="4"/>
  <c r="S56" i="1" l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T55" i="1"/>
  <c r="S55" i="1"/>
  <c r="G56" i="1"/>
  <c r="L56" i="1" s="1"/>
  <c r="G57" i="1"/>
  <c r="L57" i="1" s="1"/>
  <c r="G58" i="1"/>
  <c r="L58" i="1" s="1"/>
  <c r="G59" i="1"/>
  <c r="M59" i="1" s="1"/>
  <c r="G60" i="1"/>
  <c r="M60" i="1" s="1"/>
  <c r="G61" i="1"/>
  <c r="L61" i="1" s="1"/>
  <c r="G62" i="1"/>
  <c r="L62" i="1" s="1"/>
  <c r="G63" i="1"/>
  <c r="M63" i="1" s="1"/>
  <c r="G64" i="1"/>
  <c r="M64" i="1" s="1"/>
  <c r="G65" i="1"/>
  <c r="M65" i="1" s="1"/>
  <c r="G66" i="1"/>
  <c r="G67" i="1"/>
  <c r="M67" i="1" s="1"/>
  <c r="G68" i="1"/>
  <c r="M68" i="1" s="1"/>
  <c r="G69" i="1"/>
  <c r="L69" i="1" s="1"/>
  <c r="G70" i="1"/>
  <c r="L70" i="1" s="1"/>
  <c r="G71" i="1"/>
  <c r="M71" i="1" s="1"/>
  <c r="G72" i="1"/>
  <c r="G73" i="1"/>
  <c r="M73" i="1" s="1"/>
  <c r="G74" i="1"/>
  <c r="G75" i="1"/>
  <c r="M75" i="1" s="1"/>
  <c r="G76" i="1"/>
  <c r="M76" i="1" s="1"/>
  <c r="G77" i="1"/>
  <c r="L77" i="1" s="1"/>
  <c r="G78" i="1"/>
  <c r="L78" i="1" s="1"/>
  <c r="G79" i="1"/>
  <c r="M79" i="1" s="1"/>
  <c r="G80" i="1"/>
  <c r="L80" i="1" s="1"/>
  <c r="G81" i="1"/>
  <c r="L81" i="1" s="1"/>
  <c r="G82" i="1"/>
  <c r="L82" i="1" s="1"/>
  <c r="G83" i="1"/>
  <c r="M83" i="1" s="1"/>
  <c r="G84" i="1"/>
  <c r="M84" i="1" s="1"/>
  <c r="G85" i="1"/>
  <c r="M85" i="1" s="1"/>
  <c r="G86" i="1"/>
  <c r="L86" i="1" s="1"/>
  <c r="G87" i="1"/>
  <c r="M87" i="1" s="1"/>
  <c r="G88" i="1"/>
  <c r="M88" i="1" s="1"/>
  <c r="G89" i="1"/>
  <c r="L89" i="1" s="1"/>
  <c r="G90" i="1"/>
  <c r="L90" i="1" s="1"/>
  <c r="G91" i="1"/>
  <c r="M91" i="1" s="1"/>
  <c r="G92" i="1"/>
  <c r="L92" i="1" s="1"/>
  <c r="G93" i="1"/>
  <c r="L93" i="1" s="1"/>
  <c r="G94" i="1"/>
  <c r="L94" i="1" s="1"/>
  <c r="G95" i="1"/>
  <c r="M95" i="1" s="1"/>
  <c r="G96" i="1"/>
  <c r="L96" i="1" s="1"/>
  <c r="G97" i="1"/>
  <c r="M97" i="1" s="1"/>
  <c r="G98" i="1"/>
  <c r="G99" i="1"/>
  <c r="M99" i="1" s="1"/>
  <c r="G100" i="1"/>
  <c r="L100" i="1" s="1"/>
  <c r="G101" i="1"/>
  <c r="L101" i="1" s="1"/>
  <c r="G102" i="1"/>
  <c r="L102" i="1" s="1"/>
  <c r="G55" i="1"/>
  <c r="L55" i="1" s="1"/>
  <c r="L73" i="1" l="1"/>
  <c r="N73" i="1" s="1"/>
  <c r="L71" i="1"/>
  <c r="N71" i="1" s="1"/>
  <c r="L87" i="1"/>
  <c r="N87" i="1" s="1"/>
  <c r="L84" i="1"/>
  <c r="N84" i="1" s="1"/>
  <c r="L68" i="1"/>
  <c r="N68" i="1" s="1"/>
  <c r="L95" i="1"/>
  <c r="N95" i="1" s="1"/>
  <c r="M92" i="1"/>
  <c r="N92" i="1" s="1"/>
  <c r="L97" i="1"/>
  <c r="N97" i="1" s="1"/>
  <c r="M77" i="1"/>
  <c r="N77" i="1" s="1"/>
  <c r="M55" i="1"/>
  <c r="N55" i="1" s="1"/>
  <c r="M93" i="1"/>
  <c r="N93" i="1" s="1"/>
  <c r="L85" i="1"/>
  <c r="N85" i="1" s="1"/>
  <c r="L76" i="1"/>
  <c r="N76" i="1" s="1"/>
  <c r="L65" i="1"/>
  <c r="N65" i="1" s="1"/>
  <c r="M101" i="1"/>
  <c r="N101" i="1" s="1"/>
  <c r="L63" i="1"/>
  <c r="N63" i="1" s="1"/>
  <c r="M61" i="1"/>
  <c r="N61" i="1" s="1"/>
  <c r="M100" i="1"/>
  <c r="N100" i="1" s="1"/>
  <c r="M81" i="1"/>
  <c r="N81" i="1" s="1"/>
  <c r="M89" i="1"/>
  <c r="N89" i="1" s="1"/>
  <c r="M69" i="1"/>
  <c r="N69" i="1" s="1"/>
  <c r="L60" i="1"/>
  <c r="N60" i="1" s="1"/>
  <c r="L79" i="1"/>
  <c r="N79" i="1" s="1"/>
  <c r="M57" i="1"/>
  <c r="N57" i="1" s="1"/>
  <c r="L64" i="1"/>
  <c r="N64" i="1" s="1"/>
  <c r="L91" i="1"/>
  <c r="N91" i="1" s="1"/>
  <c r="L83" i="1"/>
  <c r="N83" i="1" s="1"/>
  <c r="L75" i="1"/>
  <c r="N75" i="1" s="1"/>
  <c r="L67" i="1"/>
  <c r="N67" i="1" s="1"/>
  <c r="L59" i="1"/>
  <c r="N59" i="1" s="1"/>
  <c r="L88" i="1"/>
  <c r="N88" i="1" s="1"/>
  <c r="L99" i="1"/>
  <c r="N99" i="1" s="1"/>
  <c r="M102" i="1"/>
  <c r="N102" i="1" s="1"/>
  <c r="M98" i="1"/>
  <c r="M94" i="1"/>
  <c r="N94" i="1" s="1"/>
  <c r="M90" i="1"/>
  <c r="N90" i="1" s="1"/>
  <c r="M86" i="1"/>
  <c r="N86" i="1" s="1"/>
  <c r="M82" i="1"/>
  <c r="N82" i="1" s="1"/>
  <c r="M78" i="1"/>
  <c r="N78" i="1" s="1"/>
  <c r="M74" i="1"/>
  <c r="M70" i="1"/>
  <c r="N70" i="1" s="1"/>
  <c r="M66" i="1"/>
  <c r="M62" i="1"/>
  <c r="N62" i="1" s="1"/>
  <c r="M58" i="1"/>
  <c r="N58" i="1" s="1"/>
  <c r="L98" i="1"/>
  <c r="L74" i="1"/>
  <c r="L66" i="1"/>
  <c r="M96" i="1"/>
  <c r="N96" i="1" s="1"/>
  <c r="M80" i="1"/>
  <c r="N80" i="1" s="1"/>
  <c r="M72" i="1"/>
  <c r="M56" i="1"/>
  <c r="N56" i="1" s="1"/>
  <c r="L72" i="1"/>
  <c r="N66" i="1" l="1"/>
  <c r="N98" i="1"/>
  <c r="N72" i="1"/>
  <c r="N74" i="1"/>
  <c r="CC101" i="1"/>
  <c r="CB101" i="1"/>
  <c r="CA101" i="1"/>
  <c r="BY101" i="1"/>
  <c r="BX101" i="1"/>
  <c r="BW101" i="1"/>
  <c r="BV101" i="1"/>
  <c r="BU101" i="1"/>
  <c r="BT101" i="1"/>
  <c r="BS101" i="1"/>
  <c r="BR101" i="1"/>
  <c r="BQ101" i="1"/>
  <c r="BH101" i="1"/>
  <c r="BG101" i="1"/>
  <c r="BF101" i="1"/>
  <c r="BE101" i="1"/>
  <c r="BA101" i="1"/>
  <c r="AZ101" i="1"/>
  <c r="AY101" i="1"/>
  <c r="AU101" i="1"/>
  <c r="AT101" i="1"/>
  <c r="AS101" i="1"/>
  <c r="CC99" i="1"/>
  <c r="CB99" i="1"/>
  <c r="CA99" i="1"/>
  <c r="BY99" i="1"/>
  <c r="BX99" i="1"/>
  <c r="BW99" i="1"/>
  <c r="BV99" i="1"/>
  <c r="BU99" i="1"/>
  <c r="BT99" i="1"/>
  <c r="BS99" i="1"/>
  <c r="BR99" i="1"/>
  <c r="BQ99" i="1"/>
  <c r="BH99" i="1"/>
  <c r="BG99" i="1"/>
  <c r="BF99" i="1"/>
  <c r="BE99" i="1"/>
  <c r="BA99" i="1"/>
  <c r="AZ99" i="1"/>
  <c r="AY99" i="1"/>
  <c r="AU99" i="1"/>
  <c r="AT99" i="1"/>
  <c r="AS99" i="1"/>
  <c r="CC97" i="1"/>
  <c r="CB97" i="1"/>
  <c r="CA97" i="1"/>
  <c r="BY97" i="1"/>
  <c r="BX97" i="1"/>
  <c r="BW97" i="1"/>
  <c r="BV97" i="1"/>
  <c r="BU97" i="1"/>
  <c r="BT97" i="1"/>
  <c r="BS97" i="1"/>
  <c r="BR97" i="1"/>
  <c r="BQ97" i="1"/>
  <c r="BH97" i="1"/>
  <c r="BG97" i="1"/>
  <c r="BF97" i="1"/>
  <c r="BE97" i="1"/>
  <c r="BA97" i="1"/>
  <c r="AZ97" i="1"/>
  <c r="AY97" i="1"/>
  <c r="AU97" i="1"/>
  <c r="AT97" i="1"/>
  <c r="AS97" i="1"/>
  <c r="CC95" i="1"/>
  <c r="CB95" i="1"/>
  <c r="CA95" i="1"/>
  <c r="BY95" i="1"/>
  <c r="BX95" i="1"/>
  <c r="BW95" i="1"/>
  <c r="BV95" i="1"/>
  <c r="BU95" i="1"/>
  <c r="BT95" i="1"/>
  <c r="BS95" i="1"/>
  <c r="BR95" i="1"/>
  <c r="BQ95" i="1"/>
  <c r="BH95" i="1"/>
  <c r="BG95" i="1"/>
  <c r="BF95" i="1"/>
  <c r="BE95" i="1"/>
  <c r="BA95" i="1"/>
  <c r="AZ95" i="1"/>
  <c r="AY95" i="1"/>
  <c r="AU95" i="1"/>
  <c r="AT95" i="1"/>
  <c r="AS95" i="1"/>
  <c r="CC93" i="1"/>
  <c r="CB93" i="1"/>
  <c r="CA93" i="1"/>
  <c r="BY93" i="1"/>
  <c r="BX93" i="1"/>
  <c r="BW93" i="1"/>
  <c r="BV93" i="1"/>
  <c r="BU93" i="1"/>
  <c r="BT93" i="1"/>
  <c r="BS93" i="1"/>
  <c r="BR93" i="1"/>
  <c r="BQ93" i="1"/>
  <c r="BH93" i="1"/>
  <c r="BG93" i="1"/>
  <c r="BF93" i="1"/>
  <c r="BE93" i="1"/>
  <c r="BA93" i="1"/>
  <c r="AZ93" i="1"/>
  <c r="AY93" i="1"/>
  <c r="AU93" i="1"/>
  <c r="AT93" i="1"/>
  <c r="AS93" i="1"/>
  <c r="CC91" i="1"/>
  <c r="CB91" i="1"/>
  <c r="CA91" i="1"/>
  <c r="BY91" i="1"/>
  <c r="BX91" i="1"/>
  <c r="BW91" i="1"/>
  <c r="BV91" i="1"/>
  <c r="BU91" i="1"/>
  <c r="BT91" i="1"/>
  <c r="BS91" i="1"/>
  <c r="BR91" i="1"/>
  <c r="BQ91" i="1"/>
  <c r="BH91" i="1"/>
  <c r="BG91" i="1"/>
  <c r="BF91" i="1"/>
  <c r="BE91" i="1"/>
  <c r="BA91" i="1"/>
  <c r="AZ91" i="1"/>
  <c r="AY91" i="1"/>
  <c r="AU91" i="1"/>
  <c r="AT91" i="1"/>
  <c r="AS91" i="1"/>
  <c r="CC89" i="1"/>
  <c r="CB89" i="1"/>
  <c r="CA89" i="1"/>
  <c r="BY89" i="1"/>
  <c r="BX89" i="1"/>
  <c r="BW89" i="1"/>
  <c r="BV89" i="1"/>
  <c r="BU89" i="1"/>
  <c r="BT89" i="1"/>
  <c r="BS89" i="1"/>
  <c r="BR89" i="1"/>
  <c r="BQ89" i="1"/>
  <c r="BH89" i="1"/>
  <c r="BG89" i="1"/>
  <c r="BF89" i="1"/>
  <c r="BE89" i="1"/>
  <c r="BA89" i="1"/>
  <c r="AZ89" i="1"/>
  <c r="AY89" i="1"/>
  <c r="AU89" i="1"/>
  <c r="AT89" i="1"/>
  <c r="AS89" i="1"/>
  <c r="CC87" i="1"/>
  <c r="CB87" i="1"/>
  <c r="CA87" i="1"/>
  <c r="BY87" i="1"/>
  <c r="BX87" i="1"/>
  <c r="BW87" i="1"/>
  <c r="BV87" i="1"/>
  <c r="BU87" i="1"/>
  <c r="BT87" i="1"/>
  <c r="BS87" i="1"/>
  <c r="BR87" i="1"/>
  <c r="BQ87" i="1"/>
  <c r="BH87" i="1"/>
  <c r="BG87" i="1"/>
  <c r="BF87" i="1"/>
  <c r="BE87" i="1"/>
  <c r="BA87" i="1"/>
  <c r="AZ87" i="1"/>
  <c r="AY87" i="1"/>
  <c r="AU87" i="1"/>
  <c r="AT87" i="1"/>
  <c r="AS87" i="1"/>
  <c r="CC85" i="1"/>
  <c r="CB85" i="1"/>
  <c r="CA85" i="1"/>
  <c r="BY85" i="1"/>
  <c r="BX85" i="1"/>
  <c r="BW85" i="1"/>
  <c r="BV85" i="1"/>
  <c r="BU85" i="1"/>
  <c r="BT85" i="1"/>
  <c r="BS85" i="1"/>
  <c r="BR85" i="1"/>
  <c r="BQ85" i="1"/>
  <c r="BH85" i="1"/>
  <c r="BG85" i="1"/>
  <c r="BF85" i="1"/>
  <c r="BE85" i="1"/>
  <c r="BA85" i="1"/>
  <c r="AZ85" i="1"/>
  <c r="AY85" i="1"/>
  <c r="AU85" i="1"/>
  <c r="AT85" i="1"/>
  <c r="AS85" i="1"/>
  <c r="CC83" i="1"/>
  <c r="CB83" i="1"/>
  <c r="CA83" i="1"/>
  <c r="BY83" i="1"/>
  <c r="BX83" i="1"/>
  <c r="BW83" i="1"/>
  <c r="BV83" i="1"/>
  <c r="BU83" i="1"/>
  <c r="BT83" i="1"/>
  <c r="BS83" i="1"/>
  <c r="BR83" i="1"/>
  <c r="BQ83" i="1"/>
  <c r="BH83" i="1"/>
  <c r="BG83" i="1"/>
  <c r="BF83" i="1"/>
  <c r="BE83" i="1"/>
  <c r="BA83" i="1"/>
  <c r="AZ83" i="1"/>
  <c r="AY83" i="1"/>
  <c r="AU83" i="1"/>
  <c r="AT83" i="1"/>
  <c r="AS83" i="1"/>
  <c r="CC81" i="1"/>
  <c r="CB81" i="1"/>
  <c r="CA81" i="1"/>
  <c r="BY81" i="1"/>
  <c r="BX81" i="1"/>
  <c r="BW81" i="1"/>
  <c r="BV81" i="1"/>
  <c r="BU81" i="1"/>
  <c r="BT81" i="1"/>
  <c r="BS81" i="1"/>
  <c r="BR81" i="1"/>
  <c r="BQ81" i="1"/>
  <c r="BH81" i="1"/>
  <c r="BG81" i="1"/>
  <c r="BF81" i="1"/>
  <c r="BE81" i="1"/>
  <c r="BA81" i="1"/>
  <c r="AZ81" i="1"/>
  <c r="AY81" i="1"/>
  <c r="AU81" i="1"/>
  <c r="AT81" i="1"/>
  <c r="AS81" i="1"/>
  <c r="CC79" i="1"/>
  <c r="CB79" i="1"/>
  <c r="CA79" i="1"/>
  <c r="BY79" i="1"/>
  <c r="BX79" i="1"/>
  <c r="BW79" i="1"/>
  <c r="BV79" i="1"/>
  <c r="BU79" i="1"/>
  <c r="BT79" i="1"/>
  <c r="BS79" i="1"/>
  <c r="BR79" i="1"/>
  <c r="BQ79" i="1"/>
  <c r="BH79" i="1"/>
  <c r="BG79" i="1"/>
  <c r="BF79" i="1"/>
  <c r="BE79" i="1"/>
  <c r="BA79" i="1"/>
  <c r="AZ79" i="1"/>
  <c r="AY79" i="1"/>
  <c r="AU79" i="1"/>
  <c r="AT79" i="1"/>
  <c r="AS79" i="1"/>
  <c r="CC77" i="1"/>
  <c r="CB77" i="1"/>
  <c r="CA77" i="1"/>
  <c r="BY77" i="1"/>
  <c r="BX77" i="1"/>
  <c r="BW77" i="1"/>
  <c r="BV77" i="1"/>
  <c r="BU77" i="1"/>
  <c r="BT77" i="1"/>
  <c r="BS77" i="1"/>
  <c r="BR77" i="1"/>
  <c r="BQ77" i="1"/>
  <c r="BH77" i="1"/>
  <c r="BG77" i="1"/>
  <c r="BF77" i="1"/>
  <c r="BE77" i="1"/>
  <c r="BA77" i="1"/>
  <c r="AZ77" i="1"/>
  <c r="AY77" i="1"/>
  <c r="AU77" i="1"/>
  <c r="AT77" i="1"/>
  <c r="AS77" i="1"/>
  <c r="CC75" i="1"/>
  <c r="CB75" i="1"/>
  <c r="CA75" i="1"/>
  <c r="BY75" i="1"/>
  <c r="BX75" i="1"/>
  <c r="BW75" i="1"/>
  <c r="BV75" i="1"/>
  <c r="BU75" i="1"/>
  <c r="BT75" i="1"/>
  <c r="BS75" i="1"/>
  <c r="BR75" i="1"/>
  <c r="BQ75" i="1"/>
  <c r="BH75" i="1"/>
  <c r="BG75" i="1"/>
  <c r="BF75" i="1"/>
  <c r="BE75" i="1"/>
  <c r="BA75" i="1"/>
  <c r="AZ75" i="1"/>
  <c r="AY75" i="1"/>
  <c r="AU75" i="1"/>
  <c r="AT75" i="1"/>
  <c r="AS75" i="1"/>
  <c r="CC73" i="1"/>
  <c r="CB73" i="1"/>
  <c r="CA73" i="1"/>
  <c r="BY73" i="1"/>
  <c r="BX73" i="1"/>
  <c r="BW73" i="1"/>
  <c r="BV73" i="1"/>
  <c r="BU73" i="1"/>
  <c r="BT73" i="1"/>
  <c r="BS73" i="1"/>
  <c r="BR73" i="1"/>
  <c r="BQ73" i="1"/>
  <c r="BH73" i="1"/>
  <c r="BG73" i="1"/>
  <c r="BF73" i="1"/>
  <c r="BE73" i="1"/>
  <c r="BA73" i="1"/>
  <c r="AZ73" i="1"/>
  <c r="AY73" i="1"/>
  <c r="AU73" i="1"/>
  <c r="AT73" i="1"/>
  <c r="AS73" i="1"/>
  <c r="CC71" i="1"/>
  <c r="CB71" i="1"/>
  <c r="CA71" i="1"/>
  <c r="BY71" i="1"/>
  <c r="BX71" i="1"/>
  <c r="BW71" i="1"/>
  <c r="BV71" i="1"/>
  <c r="BU71" i="1"/>
  <c r="BT71" i="1"/>
  <c r="BS71" i="1"/>
  <c r="BR71" i="1"/>
  <c r="BQ71" i="1"/>
  <c r="BH71" i="1"/>
  <c r="BG71" i="1"/>
  <c r="BF71" i="1"/>
  <c r="BE71" i="1"/>
  <c r="BA71" i="1"/>
  <c r="AZ71" i="1"/>
  <c r="AY71" i="1"/>
  <c r="AU71" i="1"/>
  <c r="AT71" i="1"/>
  <c r="AS71" i="1"/>
  <c r="CC69" i="1"/>
  <c r="CB69" i="1"/>
  <c r="CA69" i="1"/>
  <c r="BY69" i="1"/>
  <c r="BX69" i="1"/>
  <c r="BW69" i="1"/>
  <c r="BV69" i="1"/>
  <c r="BU69" i="1"/>
  <c r="BT69" i="1"/>
  <c r="BS69" i="1"/>
  <c r="BR69" i="1"/>
  <c r="BQ69" i="1"/>
  <c r="BH69" i="1"/>
  <c r="BG69" i="1"/>
  <c r="BF69" i="1"/>
  <c r="BE69" i="1"/>
  <c r="BA69" i="1"/>
  <c r="AZ69" i="1"/>
  <c r="AY69" i="1"/>
  <c r="AU69" i="1"/>
  <c r="AT69" i="1"/>
  <c r="AS69" i="1"/>
  <c r="CC67" i="1"/>
  <c r="CB67" i="1"/>
  <c r="CA67" i="1"/>
  <c r="BY67" i="1"/>
  <c r="BX67" i="1"/>
  <c r="BW67" i="1"/>
  <c r="BV67" i="1"/>
  <c r="BU67" i="1"/>
  <c r="BT67" i="1"/>
  <c r="BS67" i="1"/>
  <c r="BR67" i="1"/>
  <c r="BQ67" i="1"/>
  <c r="BH67" i="1"/>
  <c r="BG67" i="1"/>
  <c r="BF67" i="1"/>
  <c r="BE67" i="1"/>
  <c r="BA67" i="1"/>
  <c r="AZ67" i="1"/>
  <c r="AY67" i="1"/>
  <c r="AU67" i="1"/>
  <c r="AT67" i="1"/>
  <c r="AS67" i="1"/>
  <c r="CC65" i="1"/>
  <c r="CB65" i="1"/>
  <c r="CA65" i="1"/>
  <c r="BY65" i="1"/>
  <c r="BX65" i="1"/>
  <c r="BW65" i="1"/>
  <c r="BV65" i="1"/>
  <c r="BU65" i="1"/>
  <c r="BT65" i="1"/>
  <c r="BS65" i="1"/>
  <c r="BR65" i="1"/>
  <c r="BQ65" i="1"/>
  <c r="BH65" i="1"/>
  <c r="BG65" i="1"/>
  <c r="BF65" i="1"/>
  <c r="BE65" i="1"/>
  <c r="BA65" i="1"/>
  <c r="AZ65" i="1"/>
  <c r="AY65" i="1"/>
  <c r="AU65" i="1"/>
  <c r="AT65" i="1"/>
  <c r="AS65" i="1"/>
  <c r="CC63" i="1"/>
  <c r="CB63" i="1"/>
  <c r="CA63" i="1"/>
  <c r="BY63" i="1"/>
  <c r="BX63" i="1"/>
  <c r="BW63" i="1"/>
  <c r="BV63" i="1"/>
  <c r="BU63" i="1"/>
  <c r="BT63" i="1"/>
  <c r="BS63" i="1"/>
  <c r="BR63" i="1"/>
  <c r="BQ63" i="1"/>
  <c r="BH63" i="1"/>
  <c r="BG63" i="1"/>
  <c r="BF63" i="1"/>
  <c r="BE63" i="1"/>
  <c r="BA63" i="1"/>
  <c r="AZ63" i="1"/>
  <c r="AY63" i="1"/>
  <c r="AU63" i="1"/>
  <c r="AT63" i="1"/>
  <c r="AS63" i="1"/>
  <c r="CC61" i="1"/>
  <c r="CB61" i="1"/>
  <c r="CA61" i="1"/>
  <c r="BY61" i="1"/>
  <c r="BX61" i="1"/>
  <c r="BW61" i="1"/>
  <c r="BV61" i="1"/>
  <c r="BU61" i="1"/>
  <c r="BT61" i="1"/>
  <c r="BS61" i="1"/>
  <c r="BR61" i="1"/>
  <c r="BQ61" i="1"/>
  <c r="BH61" i="1"/>
  <c r="BG61" i="1"/>
  <c r="BF61" i="1"/>
  <c r="BE61" i="1"/>
  <c r="BA61" i="1"/>
  <c r="AZ61" i="1"/>
  <c r="AY61" i="1"/>
  <c r="AU61" i="1"/>
  <c r="AT61" i="1"/>
  <c r="AS61" i="1"/>
  <c r="CC59" i="1"/>
  <c r="CB59" i="1"/>
  <c r="CA59" i="1"/>
  <c r="BY59" i="1"/>
  <c r="BX59" i="1"/>
  <c r="BW59" i="1"/>
  <c r="BV59" i="1"/>
  <c r="BU59" i="1"/>
  <c r="BT59" i="1"/>
  <c r="BS59" i="1"/>
  <c r="BR59" i="1"/>
  <c r="BQ59" i="1"/>
  <c r="BH59" i="1"/>
  <c r="BG59" i="1"/>
  <c r="BF59" i="1"/>
  <c r="BE59" i="1"/>
  <c r="BA59" i="1"/>
  <c r="AZ59" i="1"/>
  <c r="AY59" i="1"/>
  <c r="AU59" i="1"/>
  <c r="AT59" i="1"/>
  <c r="AS59" i="1"/>
  <c r="CC57" i="1"/>
  <c r="CB57" i="1"/>
  <c r="CA57" i="1"/>
  <c r="BY57" i="1"/>
  <c r="BX57" i="1"/>
  <c r="BW57" i="1"/>
  <c r="BV57" i="1"/>
  <c r="BU57" i="1"/>
  <c r="BT57" i="1"/>
  <c r="BS57" i="1"/>
  <c r="BR57" i="1"/>
  <c r="BQ57" i="1"/>
  <c r="BH57" i="1"/>
  <c r="BG57" i="1"/>
  <c r="BF57" i="1"/>
  <c r="BE57" i="1"/>
  <c r="BA57" i="1"/>
  <c r="AZ57" i="1"/>
  <c r="AY57" i="1"/>
  <c r="AU57" i="1"/>
  <c r="AT57" i="1"/>
  <c r="AS57" i="1"/>
  <c r="BT55" i="1"/>
  <c r="BU55" i="1"/>
  <c r="BV55" i="1"/>
  <c r="BW55" i="1"/>
  <c r="BX55" i="1"/>
  <c r="BY55" i="1"/>
  <c r="CA55" i="1"/>
  <c r="CB55" i="1"/>
  <c r="CC55" i="1"/>
  <c r="BS55" i="1"/>
  <c r="AY55" i="1"/>
  <c r="AU55" i="1"/>
  <c r="AT55" i="1"/>
  <c r="BJ89" i="1" l="1"/>
  <c r="BJ97" i="1"/>
  <c r="BI65" i="1"/>
  <c r="BJ67" i="1"/>
  <c r="BI73" i="1"/>
  <c r="BJ75" i="1"/>
  <c r="BI97" i="1"/>
  <c r="BI63" i="1"/>
  <c r="AV101" i="1"/>
  <c r="BC101" i="1" s="1"/>
  <c r="BL101" i="1" s="1"/>
  <c r="AV57" i="1"/>
  <c r="BC57" i="1" s="1"/>
  <c r="BL57" i="1" s="1"/>
  <c r="BI67" i="1"/>
  <c r="BI75" i="1"/>
  <c r="AV65" i="1"/>
  <c r="BB65" i="1" s="1"/>
  <c r="BK65" i="1" s="1"/>
  <c r="BI69" i="1"/>
  <c r="BJ71" i="1"/>
  <c r="BI101" i="1"/>
  <c r="AV59" i="1"/>
  <c r="BC59" i="1" s="1"/>
  <c r="BL59" i="1" s="1"/>
  <c r="AV91" i="1"/>
  <c r="BB91" i="1" s="1"/>
  <c r="BK91" i="1" s="1"/>
  <c r="BJ91" i="1"/>
  <c r="AV99" i="1"/>
  <c r="BB99" i="1" s="1"/>
  <c r="BK99" i="1" s="1"/>
  <c r="BI71" i="1"/>
  <c r="AV73" i="1"/>
  <c r="BB73" i="1" s="1"/>
  <c r="BK73" i="1" s="1"/>
  <c r="AV81" i="1"/>
  <c r="BC81" i="1" s="1"/>
  <c r="BL81" i="1" s="1"/>
  <c r="AV89" i="1"/>
  <c r="BB89" i="1" s="1"/>
  <c r="BK89" i="1" s="1"/>
  <c r="AV97" i="1"/>
  <c r="BC97" i="1" s="1"/>
  <c r="BL97" i="1" s="1"/>
  <c r="BJ61" i="1"/>
  <c r="AV95" i="1"/>
  <c r="BB95" i="1" s="1"/>
  <c r="BK95" i="1" s="1"/>
  <c r="AV61" i="1"/>
  <c r="BC61" i="1" s="1"/>
  <c r="BL61" i="1" s="1"/>
  <c r="BJ85" i="1"/>
  <c r="BI91" i="1"/>
  <c r="BI57" i="1"/>
  <c r="AV77" i="1"/>
  <c r="BB77" i="1" s="1"/>
  <c r="BK77" i="1" s="1"/>
  <c r="AV85" i="1"/>
  <c r="BB85" i="1" s="1"/>
  <c r="BK85" i="1" s="1"/>
  <c r="BI61" i="1"/>
  <c r="BJ63" i="1"/>
  <c r="BJ65" i="1"/>
  <c r="BI89" i="1"/>
  <c r="BJ99" i="1"/>
  <c r="BI79" i="1"/>
  <c r="AV79" i="1"/>
  <c r="BB79" i="1" s="1"/>
  <c r="BK79" i="1" s="1"/>
  <c r="BJ95" i="1"/>
  <c r="AV69" i="1"/>
  <c r="BB69" i="1" s="1"/>
  <c r="BK69" i="1" s="1"/>
  <c r="BI83" i="1"/>
  <c r="BI81" i="1"/>
  <c r="AV93" i="1"/>
  <c r="BC93" i="1" s="1"/>
  <c r="BL93" i="1" s="1"/>
  <c r="BI99" i="1"/>
  <c r="BJ59" i="1"/>
  <c r="BJ77" i="1"/>
  <c r="BI87" i="1"/>
  <c r="BJ57" i="1"/>
  <c r="BJ73" i="1"/>
  <c r="AV75" i="1"/>
  <c r="BC75" i="1" s="1"/>
  <c r="BL75" i="1" s="1"/>
  <c r="BI85" i="1"/>
  <c r="BJ87" i="1"/>
  <c r="BJ101" i="1"/>
  <c r="AV87" i="1"/>
  <c r="BC87" i="1" s="1"/>
  <c r="BL87" i="1" s="1"/>
  <c r="BI95" i="1"/>
  <c r="AV55" i="1"/>
  <c r="AV67" i="1"/>
  <c r="BC67" i="1" s="1"/>
  <c r="BL67" i="1" s="1"/>
  <c r="BJ69" i="1"/>
  <c r="AV71" i="1"/>
  <c r="BB71" i="1" s="1"/>
  <c r="BK71" i="1" s="1"/>
  <c r="BJ81" i="1"/>
  <c r="AV83" i="1"/>
  <c r="BC83" i="1" s="1"/>
  <c r="BL83" i="1" s="1"/>
  <c r="BJ83" i="1"/>
  <c r="BI93" i="1"/>
  <c r="BI59" i="1"/>
  <c r="AV63" i="1"/>
  <c r="BB63" i="1" s="1"/>
  <c r="BK63" i="1" s="1"/>
  <c r="BI77" i="1"/>
  <c r="BJ79" i="1"/>
  <c r="BJ93" i="1"/>
  <c r="BC55" i="1" l="1"/>
  <c r="BL55" i="1" s="1"/>
  <c r="BO55" i="1" s="1"/>
  <c r="BB55" i="1"/>
  <c r="BC85" i="1"/>
  <c r="BC65" i="1"/>
  <c r="BB101" i="1"/>
  <c r="BC73" i="1"/>
  <c r="BB87" i="1"/>
  <c r="BK87" i="1" s="1"/>
  <c r="BC95" i="1"/>
  <c r="BB57" i="1"/>
  <c r="BB75" i="1"/>
  <c r="BC91" i="1"/>
  <c r="BC69" i="1"/>
  <c r="BB97" i="1"/>
  <c r="BC77" i="1"/>
  <c r="BB67" i="1"/>
  <c r="BB61" i="1"/>
  <c r="BC99" i="1"/>
  <c r="BC79" i="1"/>
  <c r="BB93" i="1"/>
  <c r="BB59" i="1"/>
  <c r="BC89" i="1"/>
  <c r="BB81" i="1"/>
  <c r="BB83" i="1"/>
  <c r="BD87" i="1"/>
  <c r="BC71" i="1"/>
  <c r="BC63" i="1"/>
  <c r="BD63" i="1" l="1"/>
  <c r="BL63" i="1"/>
  <c r="BD55" i="1"/>
  <c r="BK55" i="1"/>
  <c r="BD99" i="1"/>
  <c r="BL99" i="1"/>
  <c r="BD89" i="1"/>
  <c r="BL89" i="1"/>
  <c r="BD97" i="1"/>
  <c r="BK97" i="1"/>
  <c r="BD101" i="1"/>
  <c r="BK101" i="1"/>
  <c r="BD79" i="1"/>
  <c r="BL79" i="1"/>
  <c r="BD95" i="1"/>
  <c r="BL95" i="1"/>
  <c r="BD67" i="1"/>
  <c r="BK67" i="1"/>
  <c r="BD59" i="1"/>
  <c r="BK59" i="1"/>
  <c r="BD65" i="1"/>
  <c r="BL65" i="1"/>
  <c r="BD75" i="1"/>
  <c r="BK75" i="1"/>
  <c r="BD71" i="1"/>
  <c r="BL71" i="1"/>
  <c r="BD57" i="1"/>
  <c r="BK57" i="1"/>
  <c r="BD61" i="1"/>
  <c r="BK61" i="1"/>
  <c r="BD83" i="1"/>
  <c r="BK83" i="1"/>
  <c r="BD81" i="1"/>
  <c r="BK81" i="1"/>
  <c r="BD77" i="1"/>
  <c r="BL77" i="1"/>
  <c r="BD73" i="1"/>
  <c r="BL73" i="1"/>
  <c r="BD69" i="1"/>
  <c r="BL69" i="1"/>
  <c r="BD93" i="1"/>
  <c r="BK93" i="1"/>
  <c r="BD91" i="1"/>
  <c r="BL91" i="1"/>
  <c r="BD85" i="1"/>
  <c r="BL85" i="1"/>
  <c r="BR55" i="1"/>
  <c r="BQ55" i="1"/>
  <c r="AS55" i="1"/>
  <c r="BM55" i="1" l="1"/>
  <c r="BN55" i="1"/>
  <c r="BP55" i="1" s="1"/>
  <c r="A43" i="1"/>
  <c r="AW55" i="1" l="1"/>
  <c r="H77" i="1"/>
  <c r="H66" i="1"/>
  <c r="H81" i="1"/>
  <c r="H88" i="1"/>
  <c r="H62" i="1"/>
  <c r="H86" i="1"/>
  <c r="H75" i="1"/>
  <c r="H96" i="1"/>
  <c r="H73" i="1"/>
  <c r="H56" i="1"/>
  <c r="H76" i="1"/>
  <c r="H67" i="1"/>
  <c r="H55" i="1"/>
  <c r="H69" i="1"/>
  <c r="H61" i="1"/>
  <c r="H72" i="1"/>
  <c r="H65" i="1"/>
  <c r="H68" i="1"/>
  <c r="H59" i="1"/>
  <c r="H95" i="1"/>
  <c r="H97" i="1"/>
  <c r="H85" i="1"/>
  <c r="H70" i="1"/>
  <c r="H57" i="1"/>
  <c r="H102" i="1"/>
  <c r="H90" i="1"/>
  <c r="H60" i="1"/>
  <c r="H87" i="1"/>
  <c r="H93" i="1"/>
  <c r="H63" i="1"/>
  <c r="H92" i="1"/>
  <c r="H100" i="1"/>
  <c r="H78" i="1"/>
  <c r="H64" i="1"/>
  <c r="H83" i="1"/>
  <c r="H80" i="1"/>
  <c r="H79" i="1"/>
  <c r="H74" i="1"/>
  <c r="H89" i="1"/>
  <c r="H58" i="1"/>
  <c r="H99" i="1"/>
  <c r="H101" i="1"/>
  <c r="H84" i="1"/>
  <c r="H98" i="1"/>
  <c r="H71" i="1"/>
  <c r="H91" i="1"/>
  <c r="H94" i="1"/>
  <c r="H82" i="1"/>
  <c r="AW101" i="1"/>
  <c r="AW99" i="1"/>
  <c r="AW95" i="1"/>
  <c r="AW57" i="1"/>
  <c r="AW59" i="1"/>
  <c r="AW69" i="1"/>
  <c r="AW67" i="1"/>
  <c r="AW91" i="1"/>
  <c r="AW61" i="1"/>
  <c r="AW81" i="1"/>
  <c r="AW77" i="1"/>
  <c r="AW89" i="1"/>
  <c r="AW93" i="1"/>
  <c r="AW65" i="1"/>
  <c r="AW97" i="1"/>
  <c r="AW73" i="1"/>
  <c r="AW85" i="1"/>
  <c r="AW79" i="1"/>
  <c r="AW87" i="1"/>
  <c r="AW75" i="1"/>
  <c r="AW83" i="1"/>
  <c r="AW63" i="1"/>
  <c r="AW71" i="1"/>
  <c r="AO40" i="1" l="1"/>
  <c r="AN40" i="1"/>
  <c r="V99" i="1"/>
  <c r="Y99" i="1" s="1"/>
  <c r="U99" i="1"/>
  <c r="U73" i="1"/>
  <c r="V73" i="1"/>
  <c r="Y73" i="1" s="1"/>
  <c r="BO91" i="1"/>
  <c r="U82" i="1"/>
  <c r="V82" i="1"/>
  <c r="Y82" i="1" s="1"/>
  <c r="U58" i="1"/>
  <c r="V58" i="1"/>
  <c r="Y58" i="1" s="1"/>
  <c r="U100" i="1"/>
  <c r="V100" i="1"/>
  <c r="Y100" i="1" s="1"/>
  <c r="U57" i="1"/>
  <c r="V57" i="1"/>
  <c r="Y57" i="1" s="1"/>
  <c r="U72" i="1"/>
  <c r="V72" i="1"/>
  <c r="Y72" i="1" s="1"/>
  <c r="U96" i="1"/>
  <c r="V96" i="1"/>
  <c r="Y96" i="1" s="1"/>
  <c r="BO71" i="1"/>
  <c r="BO97" i="1"/>
  <c r="BO67" i="1"/>
  <c r="U94" i="1"/>
  <c r="V94" i="1"/>
  <c r="Y94" i="1" s="1"/>
  <c r="U89" i="1"/>
  <c r="V89" i="1"/>
  <c r="Y89" i="1" s="1"/>
  <c r="U92" i="1"/>
  <c r="V92" i="1"/>
  <c r="Y92" i="1" s="1"/>
  <c r="U70" i="1"/>
  <c r="V70" i="1"/>
  <c r="Y70" i="1" s="1"/>
  <c r="V61" i="1"/>
  <c r="U61" i="1"/>
  <c r="X61" i="1" s="1"/>
  <c r="V75" i="1"/>
  <c r="Y75" i="1" s="1"/>
  <c r="U75" i="1"/>
  <c r="BO61" i="1"/>
  <c r="U78" i="1"/>
  <c r="V78" i="1"/>
  <c r="Y78" i="1" s="1"/>
  <c r="V65" i="1"/>
  <c r="Y65" i="1" s="1"/>
  <c r="U65" i="1"/>
  <c r="BO73" i="1"/>
  <c r="BO63" i="1"/>
  <c r="V91" i="1"/>
  <c r="Y91" i="1" s="1"/>
  <c r="U91" i="1"/>
  <c r="U86" i="1"/>
  <c r="V86" i="1"/>
  <c r="Y86" i="1" s="1"/>
  <c r="BO83" i="1"/>
  <c r="U71" i="1"/>
  <c r="V71" i="1"/>
  <c r="Y71" i="1" s="1"/>
  <c r="U97" i="1"/>
  <c r="V97" i="1"/>
  <c r="Y97" i="1" s="1"/>
  <c r="BO57" i="1"/>
  <c r="V87" i="1"/>
  <c r="Y87" i="1" s="1"/>
  <c r="U87" i="1"/>
  <c r="V95" i="1"/>
  <c r="Y95" i="1" s="1"/>
  <c r="U95" i="1"/>
  <c r="U67" i="1"/>
  <c r="V67" i="1"/>
  <c r="Y67" i="1" s="1"/>
  <c r="U88" i="1"/>
  <c r="V88" i="1"/>
  <c r="Y88" i="1" s="1"/>
  <c r="BO101" i="1"/>
  <c r="BO69" i="1"/>
  <c r="U63" i="1"/>
  <c r="V63" i="1"/>
  <c r="Y63" i="1" s="1"/>
  <c r="U85" i="1"/>
  <c r="V85" i="1"/>
  <c r="Y85" i="1" s="1"/>
  <c r="BO59" i="1"/>
  <c r="U93" i="1"/>
  <c r="V93" i="1"/>
  <c r="Y93" i="1" s="1"/>
  <c r="V55" i="1"/>
  <c r="U55" i="1"/>
  <c r="BO75" i="1"/>
  <c r="U80" i="1"/>
  <c r="V80" i="1"/>
  <c r="Y80" i="1" s="1"/>
  <c r="BO87" i="1"/>
  <c r="BO77" i="1"/>
  <c r="BO95" i="1"/>
  <c r="U84" i="1"/>
  <c r="V84" i="1"/>
  <c r="Y84" i="1" s="1"/>
  <c r="V83" i="1"/>
  <c r="Y83" i="1" s="1"/>
  <c r="U83" i="1"/>
  <c r="U60" i="1"/>
  <c r="X60" i="1" s="1"/>
  <c r="V60" i="1"/>
  <c r="U59" i="1"/>
  <c r="X59" i="1" s="1"/>
  <c r="V59" i="1"/>
  <c r="U76" i="1"/>
  <c r="V76" i="1"/>
  <c r="Y76" i="1" s="1"/>
  <c r="U81" i="1"/>
  <c r="V81" i="1"/>
  <c r="Y81" i="1" s="1"/>
  <c r="BO85" i="1"/>
  <c r="U102" i="1"/>
  <c r="V102" i="1"/>
  <c r="Y102" i="1" s="1"/>
  <c r="U77" i="1"/>
  <c r="V77" i="1"/>
  <c r="Y77" i="1" s="1"/>
  <c r="BO65" i="1"/>
  <c r="U74" i="1"/>
  <c r="V74" i="1"/>
  <c r="Y74" i="1" s="1"/>
  <c r="V69" i="1"/>
  <c r="Y69" i="1" s="1"/>
  <c r="U69" i="1"/>
  <c r="BO93" i="1"/>
  <c r="V79" i="1"/>
  <c r="Y79" i="1" s="1"/>
  <c r="U79" i="1"/>
  <c r="U62" i="1"/>
  <c r="V62" i="1"/>
  <c r="Y62" i="1" s="1"/>
  <c r="BO89" i="1"/>
  <c r="U98" i="1"/>
  <c r="V98" i="1"/>
  <c r="Y98" i="1" s="1"/>
  <c r="BO79" i="1"/>
  <c r="BO81" i="1"/>
  <c r="BO99" i="1"/>
  <c r="U101" i="1"/>
  <c r="V101" i="1"/>
  <c r="Y101" i="1" s="1"/>
  <c r="U64" i="1"/>
  <c r="V64" i="1"/>
  <c r="Y64" i="1" s="1"/>
  <c r="U90" i="1"/>
  <c r="V90" i="1"/>
  <c r="Y90" i="1" s="1"/>
  <c r="U68" i="1"/>
  <c r="V68" i="1"/>
  <c r="Y68" i="1" s="1"/>
  <c r="U56" i="1"/>
  <c r="V56" i="1"/>
  <c r="Y56" i="1" s="1"/>
  <c r="U66" i="1"/>
  <c r="V66" i="1"/>
  <c r="Y66" i="1" s="1"/>
  <c r="AN41" i="1" l="1"/>
  <c r="AO41" i="1"/>
  <c r="AO43" i="1"/>
  <c r="AN42" i="1"/>
  <c r="AO42" i="1"/>
  <c r="Y55" i="1"/>
  <c r="BN89" i="1"/>
  <c r="BP89" i="1" s="1"/>
  <c r="BM89" i="1"/>
  <c r="W69" i="1"/>
  <c r="X69" i="1"/>
  <c r="Z69" i="1" s="1"/>
  <c r="W59" i="1"/>
  <c r="Y59" i="1"/>
  <c r="Z59" i="1" s="1"/>
  <c r="W99" i="1"/>
  <c r="X99" i="1"/>
  <c r="Z99" i="1" s="1"/>
  <c r="W68" i="1"/>
  <c r="X68" i="1"/>
  <c r="Z68" i="1" s="1"/>
  <c r="W102" i="1"/>
  <c r="X102" i="1"/>
  <c r="Z102" i="1" s="1"/>
  <c r="W85" i="1"/>
  <c r="X85" i="1"/>
  <c r="Z85" i="1" s="1"/>
  <c r="W61" i="1"/>
  <c r="Y61" i="1"/>
  <c r="Z61" i="1" s="1"/>
  <c r="W96" i="1"/>
  <c r="X96" i="1"/>
  <c r="Z96" i="1" s="1"/>
  <c r="W58" i="1"/>
  <c r="X58" i="1"/>
  <c r="Z58" i="1" s="1"/>
  <c r="BM81" i="1"/>
  <c r="BN81" i="1"/>
  <c r="BP81" i="1" s="1"/>
  <c r="BM85" i="1"/>
  <c r="BN85" i="1"/>
  <c r="BP85" i="1" s="1"/>
  <c r="W60" i="1"/>
  <c r="Y60" i="1"/>
  <c r="Z60" i="1" s="1"/>
  <c r="BM77" i="1"/>
  <c r="BN77" i="1"/>
  <c r="BP77" i="1" s="1"/>
  <c r="W55" i="1"/>
  <c r="X55" i="1"/>
  <c r="W91" i="1"/>
  <c r="X91" i="1"/>
  <c r="Z91" i="1" s="1"/>
  <c r="W90" i="1"/>
  <c r="X90" i="1"/>
  <c r="Z90" i="1" s="1"/>
  <c r="W62" i="1"/>
  <c r="X62" i="1"/>
  <c r="Z62" i="1" s="1"/>
  <c r="W63" i="1"/>
  <c r="X63" i="1"/>
  <c r="Z63" i="1" s="1"/>
  <c r="W78" i="1"/>
  <c r="X78" i="1"/>
  <c r="Z78" i="1" s="1"/>
  <c r="W70" i="1"/>
  <c r="X70" i="1"/>
  <c r="Z70" i="1" s="1"/>
  <c r="BN67" i="1"/>
  <c r="BP67" i="1" s="1"/>
  <c r="BM67" i="1"/>
  <c r="W72" i="1"/>
  <c r="X72" i="1"/>
  <c r="Z72" i="1" s="1"/>
  <c r="W82" i="1"/>
  <c r="X82" i="1"/>
  <c r="Z82" i="1" s="1"/>
  <c r="W67" i="1"/>
  <c r="X67" i="1"/>
  <c r="Z67" i="1" s="1"/>
  <c r="BN79" i="1"/>
  <c r="BP79" i="1" s="1"/>
  <c r="BM79" i="1"/>
  <c r="W79" i="1"/>
  <c r="X79" i="1"/>
  <c r="Z79" i="1" s="1"/>
  <c r="BN65" i="1"/>
  <c r="BP65" i="1" s="1"/>
  <c r="BM65" i="1"/>
  <c r="W83" i="1"/>
  <c r="X83" i="1"/>
  <c r="Z83" i="1" s="1"/>
  <c r="BN87" i="1"/>
  <c r="BP87" i="1" s="1"/>
  <c r="BM87" i="1"/>
  <c r="BN69" i="1"/>
  <c r="BP69" i="1" s="1"/>
  <c r="BM69" i="1"/>
  <c r="W95" i="1"/>
  <c r="X95" i="1"/>
  <c r="Z95" i="1" s="1"/>
  <c r="BM63" i="1"/>
  <c r="BN63" i="1"/>
  <c r="BP63" i="1" s="1"/>
  <c r="W64" i="1"/>
  <c r="X64" i="1"/>
  <c r="Z64" i="1" s="1"/>
  <c r="W81" i="1"/>
  <c r="X81" i="1"/>
  <c r="Z81" i="1" s="1"/>
  <c r="W71" i="1"/>
  <c r="X71" i="1"/>
  <c r="Z71" i="1" s="1"/>
  <c r="W92" i="1"/>
  <c r="X92" i="1"/>
  <c r="Z92" i="1" s="1"/>
  <c r="W74" i="1"/>
  <c r="X74" i="1"/>
  <c r="Z74" i="1" s="1"/>
  <c r="W97" i="1"/>
  <c r="X97" i="1"/>
  <c r="Z97" i="1" s="1"/>
  <c r="BM61" i="1"/>
  <c r="BN61" i="1"/>
  <c r="BP61" i="1" s="1"/>
  <c r="BM91" i="1"/>
  <c r="BN91" i="1"/>
  <c r="BP91" i="1" s="1"/>
  <c r="W66" i="1"/>
  <c r="X66" i="1"/>
  <c r="Z66" i="1" s="1"/>
  <c r="W93" i="1"/>
  <c r="X93" i="1"/>
  <c r="Z93" i="1" s="1"/>
  <c r="BM97" i="1"/>
  <c r="BN97" i="1"/>
  <c r="BP97" i="1" s="1"/>
  <c r="W57" i="1"/>
  <c r="X57" i="1"/>
  <c r="Z57" i="1" s="1"/>
  <c r="BM93" i="1"/>
  <c r="BN93" i="1"/>
  <c r="BP93" i="1" s="1"/>
  <c r="BM101" i="1"/>
  <c r="BN101" i="1"/>
  <c r="BP101" i="1" s="1"/>
  <c r="W87" i="1"/>
  <c r="X87" i="1"/>
  <c r="Z87" i="1" s="1"/>
  <c r="BM83" i="1"/>
  <c r="BN83" i="1"/>
  <c r="BP83" i="1" s="1"/>
  <c r="W75" i="1"/>
  <c r="X75" i="1"/>
  <c r="Z75" i="1" s="1"/>
  <c r="W56" i="1"/>
  <c r="X56" i="1"/>
  <c r="Z56" i="1" s="1"/>
  <c r="W98" i="1"/>
  <c r="X98" i="1"/>
  <c r="Z98" i="1" s="1"/>
  <c r="W77" i="1"/>
  <c r="X77" i="1"/>
  <c r="Z77" i="1" s="1"/>
  <c r="W76" i="1"/>
  <c r="X76" i="1"/>
  <c r="Z76" i="1" s="1"/>
  <c r="W84" i="1"/>
  <c r="X84" i="1"/>
  <c r="Z84" i="1" s="1"/>
  <c r="W80" i="1"/>
  <c r="X80" i="1"/>
  <c r="Z80" i="1" s="1"/>
  <c r="BN73" i="1"/>
  <c r="BP73" i="1" s="1"/>
  <c r="BM73" i="1"/>
  <c r="W89" i="1"/>
  <c r="X89" i="1"/>
  <c r="Z89" i="1" s="1"/>
  <c r="BM71" i="1"/>
  <c r="BN71" i="1"/>
  <c r="BP71" i="1" s="1"/>
  <c r="W100" i="1"/>
  <c r="X100" i="1"/>
  <c r="Z100" i="1" s="1"/>
  <c r="W73" i="1"/>
  <c r="X73" i="1"/>
  <c r="Z73" i="1" s="1"/>
  <c r="W101" i="1"/>
  <c r="X101" i="1"/>
  <c r="Z101" i="1" s="1"/>
  <c r="BN59" i="1"/>
  <c r="BP59" i="1" s="1"/>
  <c r="BM59" i="1"/>
  <c r="BN95" i="1"/>
  <c r="BP95" i="1" s="1"/>
  <c r="BM95" i="1"/>
  <c r="BM57" i="1"/>
  <c r="BN57" i="1"/>
  <c r="BP57" i="1" s="1"/>
  <c r="W65" i="1"/>
  <c r="X65" i="1"/>
  <c r="Z65" i="1" s="1"/>
  <c r="BN99" i="1"/>
  <c r="BP99" i="1" s="1"/>
  <c r="BM99" i="1"/>
  <c r="BN75" i="1"/>
  <c r="BP75" i="1" s="1"/>
  <c r="BM75" i="1"/>
  <c r="W88" i="1"/>
  <c r="X88" i="1"/>
  <c r="Z88" i="1" s="1"/>
  <c r="W86" i="1"/>
  <c r="X86" i="1"/>
  <c r="Z86" i="1" s="1"/>
  <c r="W94" i="1"/>
  <c r="X94" i="1"/>
  <c r="Z94" i="1" s="1"/>
  <c r="AN45" i="1" l="1"/>
  <c r="AO45" i="1"/>
  <c r="AN44" i="1"/>
  <c r="AO44" i="1"/>
  <c r="AN43" i="1"/>
  <c r="Z55" i="1"/>
  <c r="AO46" i="1" l="1"/>
  <c r="AN46" i="1"/>
</calcChain>
</file>

<file path=xl/sharedStrings.xml><?xml version="1.0" encoding="utf-8"?>
<sst xmlns="http://schemas.openxmlformats.org/spreadsheetml/2006/main" count="1552" uniqueCount="870">
  <si>
    <t>Harvest</t>
  </si>
  <si>
    <t>in bag</t>
  </si>
  <si>
    <t>Parameters</t>
  </si>
  <si>
    <t>less bag</t>
  </si>
  <si>
    <t>m2 per ha</t>
  </si>
  <si>
    <t>WBWAH</t>
  </si>
  <si>
    <t>(kg/ha)</t>
  </si>
  <si>
    <t>(%)</t>
  </si>
  <si>
    <t>FFRAC</t>
  </si>
  <si>
    <t>SFRAC</t>
  </si>
  <si>
    <t>TFRAC</t>
  </si>
  <si>
    <t>Moisture</t>
  </si>
  <si>
    <t>Ginning</t>
  </si>
  <si>
    <t>Bulk wt</t>
  </si>
  <si>
    <t>(kg)</t>
  </si>
  <si>
    <t>Seed wt</t>
  </si>
  <si>
    <t>Fiber wt</t>
  </si>
  <si>
    <t>(g/g)</t>
  </si>
  <si>
    <t>(g)</t>
  </si>
  <si>
    <t>Sample</t>
  </si>
  <si>
    <t>weight</t>
  </si>
  <si>
    <t>Wet</t>
  </si>
  <si>
    <t>Dry</t>
  </si>
  <si>
    <t>Weight</t>
  </si>
  <si>
    <t>Bag</t>
  </si>
  <si>
    <t>WFWAH</t>
  </si>
  <si>
    <t>WSWAH</t>
  </si>
  <si>
    <t>WSCWAH</t>
  </si>
  <si>
    <t>Compute</t>
  </si>
  <si>
    <t>DFWAH</t>
  </si>
  <si>
    <t>DSWAH</t>
  </si>
  <si>
    <t>DSCWAH</t>
  </si>
  <si>
    <t>PID</t>
  </si>
  <si>
    <t>Plot-scale calculations</t>
  </si>
  <si>
    <t>FBMIC</t>
  </si>
  <si>
    <t>FBLTH</t>
  </si>
  <si>
    <t>FBUNI</t>
  </si>
  <si>
    <t>FBSTR</t>
  </si>
  <si>
    <t>FBELO</t>
  </si>
  <si>
    <t>FBSFI</t>
  </si>
  <si>
    <t>(g/tex)</t>
  </si>
  <si>
    <t>Quality</t>
  </si>
  <si>
    <t>HVI Sample ID</t>
  </si>
  <si>
    <t>(inches)</t>
  </si>
  <si>
    <t>GNDAT</t>
  </si>
  <si>
    <t>Date</t>
  </si>
  <si>
    <t>QLDAT</t>
  </si>
  <si>
    <t>in bin</t>
  </si>
  <si>
    <t>Weight of seed bin at MAC gin (kg)</t>
  </si>
  <si>
    <t>Original</t>
  </si>
  <si>
    <t>Spreadsheet</t>
  </si>
  <si>
    <t>HID</t>
  </si>
  <si>
    <t>11W</t>
  </si>
  <si>
    <t>11E</t>
  </si>
  <si>
    <t>12W</t>
  </si>
  <si>
    <t>12E</t>
  </si>
  <si>
    <t>13W</t>
  </si>
  <si>
    <t>13E</t>
  </si>
  <si>
    <t>14W</t>
  </si>
  <si>
    <t>14E</t>
  </si>
  <si>
    <t>21W</t>
  </si>
  <si>
    <t>21E</t>
  </si>
  <si>
    <t>22W</t>
  </si>
  <si>
    <t>22E</t>
  </si>
  <si>
    <t>23W</t>
  </si>
  <si>
    <t>23E</t>
  </si>
  <si>
    <t>24W</t>
  </si>
  <si>
    <t>24E</t>
  </si>
  <si>
    <t>31W</t>
  </si>
  <si>
    <t>31E</t>
  </si>
  <si>
    <t>32W</t>
  </si>
  <si>
    <t>32E</t>
  </si>
  <si>
    <t>33W</t>
  </si>
  <si>
    <t>33E</t>
  </si>
  <si>
    <t>34W</t>
  </si>
  <si>
    <t>34E</t>
  </si>
  <si>
    <t>41W</t>
  </si>
  <si>
    <t>41E</t>
  </si>
  <si>
    <t>42W</t>
  </si>
  <si>
    <t>42E</t>
  </si>
  <si>
    <t>43W</t>
  </si>
  <si>
    <t>43E</t>
  </si>
  <si>
    <t>44W</t>
  </si>
  <si>
    <t>44E</t>
  </si>
  <si>
    <t>51W</t>
  </si>
  <si>
    <t>51E</t>
  </si>
  <si>
    <t>52W</t>
  </si>
  <si>
    <t>52E</t>
  </si>
  <si>
    <t>53W</t>
  </si>
  <si>
    <t>53E</t>
  </si>
  <si>
    <t>54W</t>
  </si>
  <si>
    <t>54E</t>
  </si>
  <si>
    <t>61W</t>
  </si>
  <si>
    <t>61E</t>
  </si>
  <si>
    <t>62W</t>
  </si>
  <si>
    <t>62E</t>
  </si>
  <si>
    <t>63W</t>
  </si>
  <si>
    <t>63E</t>
  </si>
  <si>
    <t>64W</t>
  </si>
  <si>
    <t>64E</t>
  </si>
  <si>
    <t>ID</t>
  </si>
  <si>
    <t>Column A - ID (ID)</t>
  </si>
  <si>
    <t>Column B - Harvest Area ID (HID)</t>
  </si>
  <si>
    <t>Size of harvest area (2 40-inch rows by 2 m) (m2)</t>
  </si>
  <si>
    <t>HARM</t>
  </si>
  <si>
    <t>HADAT</t>
  </si>
  <si>
    <t>Hand</t>
  </si>
  <si>
    <t>Column C - Harvest method (HARM)</t>
  </si>
  <si>
    <t>Column D - Harvest date (HADAT, mm/dd/yyyy)</t>
  </si>
  <si>
    <t>Column J - Weight of fiber in bag after ginning (kg). Weigh using scale at MAC gin.</t>
  </si>
  <si>
    <t>Column K - Weight of fuzzy seed in tub after ginning (kg). Weigh using scale at MAC gin.</t>
  </si>
  <si>
    <t>Column L - Fiber fraction of bulk harvest after ginning (FFRAC, g/g)</t>
  </si>
  <si>
    <t>Column M - Seed fraction of bulk harvest after ginning (SFRAC, g/g)</t>
  </si>
  <si>
    <t>Column N - Trash fraction of bulk harvest after ginning (TFRAC, g/g)</t>
  </si>
  <si>
    <t>Column G - Weight of bulk cotton minus bag weight (kg)</t>
  </si>
  <si>
    <t>Column H - Wet bulk weight at harvest (fiber + seed + trash) (WBWAH, kg/ha)</t>
  </si>
  <si>
    <t>Column I - Ginning Date (GNDAT, mm/dd/yyyy). Ginned using the MAC large gin with cleaners.</t>
  </si>
  <si>
    <t>Column E - Weight of bulk cotton in bag (kg). Hand harvest 2 rows by 2 m into mesh bags. Weigh using scale at MAC gin.</t>
  </si>
  <si>
    <t>Weight of yellow mesh bag for fiber (kg)</t>
  </si>
  <si>
    <t>Column F - Weight of empty bag (kg).</t>
  </si>
  <si>
    <t>Fiber</t>
  </si>
  <si>
    <t xml:space="preserve">Dry </t>
  </si>
  <si>
    <t xml:space="preserve">Fiber </t>
  </si>
  <si>
    <t>Seed</t>
  </si>
  <si>
    <t>Column O - Wet fiber weight prior to oven drying (g)</t>
  </si>
  <si>
    <t>Column P - Dry fiber weight after oven drying (g)</t>
  </si>
  <si>
    <t>Column R - Dry seed weight after oven drying (g)</t>
  </si>
  <si>
    <t>Column Q - Wet seed weight prior to oven drying (g)</t>
  </si>
  <si>
    <t>Column U - Wet fiber weight at harvest (WFWAH, kg/ha)</t>
  </si>
  <si>
    <t>Column W - Wet seed cotton weight at harvest (fiber + seed) (WSCWAH, kg/ha)</t>
  </si>
  <si>
    <t>Column X - Dry fiber weight at harvest (DFWAH, kg/ha)</t>
  </si>
  <si>
    <t>Column Y - Dry seed weight at harvest (DSWAH, kg/ha)</t>
  </si>
  <si>
    <t>Column Z - Dry seed cotton weight at harvest (fiber + seed) (DSCWAH, kg/ha)</t>
  </si>
  <si>
    <t>Column AB - Quality measurement date (QLDAT, mm/dd/yyyy)</t>
  </si>
  <si>
    <t>Column AC - Micronaire (FBMIC)</t>
  </si>
  <si>
    <t>Column AD - Upper half mean fiber length (FBLTH, inches)</t>
  </si>
  <si>
    <t>Column AE - Fiber uniformity (FBUNI, %)</t>
  </si>
  <si>
    <t>Column AF - Fiber strength (FBSTR, g/tex)</t>
  </si>
  <si>
    <t>Column AG - Fiber elongation (FBELO, %)</t>
  </si>
  <si>
    <t>Column AA - Sample ID for fiber samples sent to Cotton Incorporated HVI.</t>
  </si>
  <si>
    <t>Handpick</t>
  </si>
  <si>
    <t>Yield</t>
  </si>
  <si>
    <t>kg/ha</t>
  </si>
  <si>
    <t>Area</t>
  </si>
  <si>
    <t>FBCRD</t>
  </si>
  <si>
    <t>FBCLB</t>
  </si>
  <si>
    <t>FBCGR</t>
  </si>
  <si>
    <t>FBTCT</t>
  </si>
  <si>
    <t>FBTAR</t>
  </si>
  <si>
    <t>(% ref)</t>
  </si>
  <si>
    <t>Column AH - Fiber Color Reflectance (FBCRD, % reflectance)</t>
  </si>
  <si>
    <t>Column AI - Fiber Color +b (FBCLB)</t>
  </si>
  <si>
    <t>Column AJ - Fiber Color Grade (FBCGR)</t>
  </si>
  <si>
    <t>Column AK - Trash Area (FBTCT, number of particles)</t>
  </si>
  <si>
    <t>Column AL - Trash Area (FBTAR, % of surface covered by trash)</t>
  </si>
  <si>
    <t>Column AM - Short Fiber Index (FBSFI, %)</t>
  </si>
  <si>
    <t>992013011202</t>
  </si>
  <si>
    <t>31-1</t>
  </si>
  <si>
    <t>992013012204</t>
  </si>
  <si>
    <t>21-1</t>
  </si>
  <si>
    <t>992013013206</t>
  </si>
  <si>
    <t>11-1</t>
  </si>
  <si>
    <t>992013014208</t>
  </si>
  <si>
    <t>11-2</t>
  </si>
  <si>
    <t>992013021210</t>
  </si>
  <si>
    <t>992013022212</t>
  </si>
  <si>
    <t>992013023214</t>
  </si>
  <si>
    <t>992013024216</t>
  </si>
  <si>
    <t>992013031218</t>
  </si>
  <si>
    <t>992013032220</t>
  </si>
  <si>
    <t>992013033222</t>
  </si>
  <si>
    <t>992013034224</t>
  </si>
  <si>
    <t>992013041226</t>
  </si>
  <si>
    <t>992013042228</t>
  </si>
  <si>
    <t>992013043230</t>
  </si>
  <si>
    <t>992013044232</t>
  </si>
  <si>
    <t>992013051234</t>
  </si>
  <si>
    <t>992013052236</t>
  </si>
  <si>
    <t>992013053238</t>
  </si>
  <si>
    <t>992013054240</t>
  </si>
  <si>
    <t>992013061242</t>
  </si>
  <si>
    <t>992013062244</t>
  </si>
  <si>
    <t>992013063246</t>
  </si>
  <si>
    <t>992013064248</t>
  </si>
  <si>
    <t>992013011101</t>
  </si>
  <si>
    <t>992013012103</t>
  </si>
  <si>
    <t>992013013105</t>
  </si>
  <si>
    <t>992013014107</t>
  </si>
  <si>
    <t>992013021109</t>
  </si>
  <si>
    <t>992013022111</t>
  </si>
  <si>
    <t>992013023113</t>
  </si>
  <si>
    <t>992013024115</t>
  </si>
  <si>
    <t>992013031117</t>
  </si>
  <si>
    <t>31-2</t>
  </si>
  <si>
    <t>992013032119</t>
  </si>
  <si>
    <t>992013033121</t>
  </si>
  <si>
    <t>992013034123</t>
  </si>
  <si>
    <t>992013041125</t>
  </si>
  <si>
    <t>992013042127</t>
  </si>
  <si>
    <t>992013043129</t>
  </si>
  <si>
    <t>992013044131</t>
  </si>
  <si>
    <t>992013051133</t>
  </si>
  <si>
    <t>992013052135</t>
  </si>
  <si>
    <t>992013053137</t>
  </si>
  <si>
    <t>992013054139</t>
  </si>
  <si>
    <t>992013061141</t>
  </si>
  <si>
    <t>992013062143</t>
  </si>
  <si>
    <t>992013063145</t>
  </si>
  <si>
    <t>992013064147</t>
  </si>
  <si>
    <t>Column V - Wet seed weight at harvest (WSWAH, kg/ha)</t>
  </si>
  <si>
    <t>FWCAG</t>
  </si>
  <si>
    <t>SWCAG</t>
  </si>
  <si>
    <t>Column T - Seed water content after ginning (SWCAG, %)</t>
  </si>
  <si>
    <t>Column S - Fiber water content after ginning (FWCAG, %)</t>
  </si>
  <si>
    <t>p11W</t>
  </si>
  <si>
    <t>p11E</t>
  </si>
  <si>
    <t>p12W</t>
  </si>
  <si>
    <t>p12E</t>
  </si>
  <si>
    <t>p13W</t>
  </si>
  <si>
    <t>p13E</t>
  </si>
  <si>
    <t>p14W</t>
  </si>
  <si>
    <t>p14E</t>
  </si>
  <si>
    <t>p21W</t>
  </si>
  <si>
    <t>p21E</t>
  </si>
  <si>
    <t>p22W</t>
  </si>
  <si>
    <t>p22E</t>
  </si>
  <si>
    <t>p23W</t>
  </si>
  <si>
    <t>p23E</t>
  </si>
  <si>
    <t>p24W</t>
  </si>
  <si>
    <t>p24E</t>
  </si>
  <si>
    <t>p31W</t>
  </si>
  <si>
    <t>p31E</t>
  </si>
  <si>
    <t>p32W</t>
  </si>
  <si>
    <t>p32E</t>
  </si>
  <si>
    <t>p33W</t>
  </si>
  <si>
    <t>p33E</t>
  </si>
  <si>
    <t>p34W</t>
  </si>
  <si>
    <t>p34E</t>
  </si>
  <si>
    <t>p41W</t>
  </si>
  <si>
    <t>p41E</t>
  </si>
  <si>
    <t>p42W</t>
  </si>
  <si>
    <t>p42E</t>
  </si>
  <si>
    <t>p43W</t>
  </si>
  <si>
    <t>p43E</t>
  </si>
  <si>
    <t>p44W</t>
  </si>
  <si>
    <t>p44E</t>
  </si>
  <si>
    <t>p51W</t>
  </si>
  <si>
    <t>p51E</t>
  </si>
  <si>
    <t>p52W</t>
  </si>
  <si>
    <t>p52E</t>
  </si>
  <si>
    <t>p53W</t>
  </si>
  <si>
    <t>p53E</t>
  </si>
  <si>
    <t>p54W</t>
  </si>
  <si>
    <t>p54E</t>
  </si>
  <si>
    <t>p61W</t>
  </si>
  <si>
    <t>p61E</t>
  </si>
  <si>
    <t>p62W</t>
  </si>
  <si>
    <t>p62E</t>
  </si>
  <si>
    <t>p63W</t>
  </si>
  <si>
    <t>p63E</t>
  </si>
  <si>
    <t>p64W</t>
  </si>
  <si>
    <t>p64E</t>
  </si>
  <si>
    <t>AgLeader</t>
  </si>
  <si>
    <t>Monitor</t>
  </si>
  <si>
    <t>SeedCotton</t>
  </si>
  <si>
    <t>r</t>
  </si>
  <si>
    <t>ZID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</si>
  <si>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</si>
  <si>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</si>
  <si>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</si>
  <si>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</si>
  <si>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</si>
  <si>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</si>
  <si>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</si>
  <si>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</si>
  <si>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</si>
  <si>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</si>
  <si>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</si>
  <si>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</si>
  <si>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</si>
  <si>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</si>
  <si>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</si>
  <si>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</si>
  <si>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</si>
  <si>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</si>
  <si>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</si>
  <si>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</si>
  <si>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</si>
  <si>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</si>
  <si>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</si>
  <si>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</si>
  <si>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</si>
  <si>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</si>
  <si>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</si>
  <si>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</si>
  <si>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</si>
  <si>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</si>
  <si>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</si>
  <si>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</si>
  <si>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</si>
  <si>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</si>
  <si>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</si>
  <si>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</si>
  <si>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</si>
  <si>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</si>
  <si>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</si>
  <si>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</si>
  <si>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</si>
  <si>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</si>
  <si>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</si>
  <si>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</si>
  <si>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</si>
  <si>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</si>
  <si>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</si>
  <si>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</si>
  <si>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13-01</t>
  </si>
  <si>
    <t>13-02</t>
  </si>
  <si>
    <t>13-03</t>
  </si>
  <si>
    <t>13-04</t>
  </si>
  <si>
    <t>13-05</t>
  </si>
  <si>
    <t>13-06</t>
  </si>
  <si>
    <t>13-07</t>
  </si>
  <si>
    <t>13-08</t>
  </si>
  <si>
    <t>13-09</t>
  </si>
  <si>
    <t>13-10</t>
  </si>
  <si>
    <t>13-11</t>
  </si>
  <si>
    <t>13-12</t>
  </si>
  <si>
    <t>13-13</t>
  </si>
  <si>
    <t>13-14</t>
  </si>
  <si>
    <t>13-15</t>
  </si>
  <si>
    <t>13-16</t>
  </si>
  <si>
    <t>13-17</t>
  </si>
  <si>
    <t>13-18</t>
  </si>
  <si>
    <t>13-19</t>
  </si>
  <si>
    <t>13-20</t>
  </si>
  <si>
    <t>13-21</t>
  </si>
  <si>
    <t>13-22</t>
  </si>
  <si>
    <t>13-23</t>
  </si>
  <si>
    <t>13-24</t>
  </si>
  <si>
    <t>14-01</t>
  </si>
  <si>
    <t>14-02</t>
  </si>
  <si>
    <t>14-03</t>
  </si>
  <si>
    <t>14-04</t>
  </si>
  <si>
    <t>14-05</t>
  </si>
  <si>
    <t>14-06</t>
  </si>
  <si>
    <t>14-07</t>
  </si>
  <si>
    <t>14-08</t>
  </si>
  <si>
    <t>14-09</t>
  </si>
  <si>
    <t>14-10</t>
  </si>
  <si>
    <t>14-11</t>
  </si>
  <si>
    <t>14-12</t>
  </si>
  <si>
    <t>14-13</t>
  </si>
  <si>
    <t>14-14</t>
  </si>
  <si>
    <t>14-15</t>
  </si>
  <si>
    <t>14-16</t>
  </si>
  <si>
    <t>14-17</t>
  </si>
  <si>
    <t>14-18</t>
  </si>
  <si>
    <t>14-19</t>
  </si>
  <si>
    <t>14-20</t>
  </si>
  <si>
    <t>14-21</t>
  </si>
  <si>
    <t>14-22</t>
  </si>
  <si>
    <t>14-23</t>
  </si>
  <si>
    <t>14-24</t>
  </si>
  <si>
    <t>21-01</t>
  </si>
  <si>
    <t>21-02</t>
  </si>
  <si>
    <t>21-03</t>
  </si>
  <si>
    <t>21-04</t>
  </si>
  <si>
    <t>21-05</t>
  </si>
  <si>
    <t>21-06</t>
  </si>
  <si>
    <t>21-07</t>
  </si>
  <si>
    <t>21-08</t>
  </si>
  <si>
    <t>21-09</t>
  </si>
  <si>
    <t>21-10</t>
  </si>
  <si>
    <t>21-11</t>
  </si>
  <si>
    <t>21-12</t>
  </si>
  <si>
    <t>21-13</t>
  </si>
  <si>
    <t>21-14</t>
  </si>
  <si>
    <t>21-15</t>
  </si>
  <si>
    <t>21-16</t>
  </si>
  <si>
    <t>21-17</t>
  </si>
  <si>
    <t>21-18</t>
  </si>
  <si>
    <t>21-19</t>
  </si>
  <si>
    <t>21-20</t>
  </si>
  <si>
    <t>21-21</t>
  </si>
  <si>
    <t>21-22</t>
  </si>
  <si>
    <t>21-23</t>
  </si>
  <si>
    <t>21-24</t>
  </si>
  <si>
    <t>22-01</t>
  </si>
  <si>
    <t>22-02</t>
  </si>
  <si>
    <t>22-03</t>
  </si>
  <si>
    <t>22-04</t>
  </si>
  <si>
    <t>22-05</t>
  </si>
  <si>
    <t>22-06</t>
  </si>
  <si>
    <t>22-07</t>
  </si>
  <si>
    <t>22-08</t>
  </si>
  <si>
    <t>22-09</t>
  </si>
  <si>
    <t>22-10</t>
  </si>
  <si>
    <t>22-11</t>
  </si>
  <si>
    <t>22-12</t>
  </si>
  <si>
    <t>22-13</t>
  </si>
  <si>
    <t>22-14</t>
  </si>
  <si>
    <t>22-15</t>
  </si>
  <si>
    <t>22-16</t>
  </si>
  <si>
    <t>22-17</t>
  </si>
  <si>
    <t>22-18</t>
  </si>
  <si>
    <t>22-19</t>
  </si>
  <si>
    <t>22-20</t>
  </si>
  <si>
    <t>22-21</t>
  </si>
  <si>
    <t>22-22</t>
  </si>
  <si>
    <t>22-23</t>
  </si>
  <si>
    <t>22-24</t>
  </si>
  <si>
    <t>23-01</t>
  </si>
  <si>
    <t>23-02</t>
  </si>
  <si>
    <t>23-03</t>
  </si>
  <si>
    <t>23-04</t>
  </si>
  <si>
    <t>23-05</t>
  </si>
  <si>
    <t>23-06</t>
  </si>
  <si>
    <t>23-07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</si>
  <si>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</si>
  <si>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</si>
  <si>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</si>
  <si>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</si>
  <si>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</si>
  <si>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</si>
  <si>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</si>
  <si>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</si>
  <si>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23-16</t>
  </si>
  <si>
    <t>23-17</t>
  </si>
  <si>
    <t>23-18</t>
  </si>
  <si>
    <t>23-19</t>
  </si>
  <si>
    <t>23-20</t>
  </si>
  <si>
    <t>23-21</t>
  </si>
  <si>
    <t>23-22</t>
  </si>
  <si>
    <t>23-23</t>
  </si>
  <si>
    <t>23-24</t>
  </si>
  <si>
    <t>24-01</t>
  </si>
  <si>
    <t>24-02</t>
  </si>
  <si>
    <t>24-03</t>
  </si>
  <si>
    <t>24-04</t>
  </si>
  <si>
    <t>24-05</t>
  </si>
  <si>
    <t>24-06</t>
  </si>
  <si>
    <t>24-07</t>
  </si>
  <si>
    <t>24-08</t>
  </si>
  <si>
    <t>24-09</t>
  </si>
  <si>
    <t>24-10</t>
  </si>
  <si>
    <t>24-11</t>
  </si>
  <si>
    <t>24-12</t>
  </si>
  <si>
    <t>24-13</t>
  </si>
  <si>
    <t>24-14</t>
  </si>
  <si>
    <t>24-15</t>
  </si>
  <si>
    <t>24-16</t>
  </si>
  <si>
    <t>24-17</t>
  </si>
  <si>
    <t>24-18</t>
  </si>
  <si>
    <t>24-19</t>
  </si>
  <si>
    <t>24-20</t>
  </si>
  <si>
    <t>24-21</t>
  </si>
  <si>
    <t>24-22</t>
  </si>
  <si>
    <t>24-23</t>
  </si>
  <si>
    <t>24-24</t>
  </si>
  <si>
    <t>31-01</t>
  </si>
  <si>
    <t>31-02</t>
  </si>
  <si>
    <t>31-03</t>
  </si>
  <si>
    <t>31-04</t>
  </si>
  <si>
    <t>31-05</t>
  </si>
  <si>
    <t>31-06</t>
  </si>
  <si>
    <t>31-07</t>
  </si>
  <si>
    <t>31-08</t>
  </si>
  <si>
    <t>31-09</t>
  </si>
  <si>
    <t>31-10</t>
  </si>
  <si>
    <t>31-11</t>
  </si>
  <si>
    <t>31-12</t>
  </si>
  <si>
    <t>31-13</t>
  </si>
  <si>
    <t>31-14</t>
  </si>
  <si>
    <t>31-15</t>
  </si>
  <si>
    <t>31-16</t>
  </si>
  <si>
    <t>31-17</t>
  </si>
  <si>
    <t>31-18</t>
  </si>
  <si>
    <t>31-19</t>
  </si>
  <si>
    <t>31-20</t>
  </si>
  <si>
    <t>31-21</t>
  </si>
  <si>
    <t>31-22</t>
  </si>
  <si>
    <t>31-23</t>
  </si>
  <si>
    <t>31-24</t>
  </si>
  <si>
    <t>32-01</t>
  </si>
  <si>
    <t>32-02</t>
  </si>
  <si>
    <t>32-03</t>
  </si>
  <si>
    <t>32-04</t>
  </si>
  <si>
    <t>32-05</t>
  </si>
  <si>
    <t>32-06</t>
  </si>
  <si>
    <t>32-07</t>
  </si>
  <si>
    <t>32-08</t>
  </si>
  <si>
    <t>32-09</t>
  </si>
  <si>
    <t>32-10</t>
  </si>
  <si>
    <t>32-11</t>
  </si>
  <si>
    <t>32-12</t>
  </si>
  <si>
    <t>32-13</t>
  </si>
  <si>
    <t>32-14</t>
  </si>
  <si>
    <t>32-15</t>
  </si>
  <si>
    <t>32-16</t>
  </si>
  <si>
    <t>32-17</t>
  </si>
  <si>
    <t>32-18</t>
  </si>
  <si>
    <t>32-19</t>
  </si>
  <si>
    <t>32-20</t>
  </si>
  <si>
    <t>32-21</t>
  </si>
  <si>
    <t>32-22</t>
  </si>
  <si>
    <t>32-23</t>
  </si>
  <si>
    <t>32-24</t>
  </si>
  <si>
    <t>33-01</t>
  </si>
  <si>
    <t>33-02</t>
  </si>
  <si>
    <t>33-03</t>
  </si>
  <si>
    <t>33-04</t>
  </si>
  <si>
    <t>33-05</t>
  </si>
  <si>
    <t>33-06</t>
  </si>
  <si>
    <t>33-07</t>
  </si>
  <si>
    <t>33-08</t>
  </si>
  <si>
    <t>33-09</t>
  </si>
  <si>
    <t>33-10</t>
  </si>
  <si>
    <t>33-11</t>
  </si>
  <si>
    <t>33-12</t>
  </si>
  <si>
    <t>33-13</t>
  </si>
  <si>
    <t>33-14</t>
  </si>
  <si>
    <t>33-15</t>
  </si>
  <si>
    <t>33-16</t>
  </si>
  <si>
    <t>33-17</t>
  </si>
  <si>
    <t>33-18</t>
  </si>
  <si>
    <t>33-19</t>
  </si>
  <si>
    <t>33-20</t>
  </si>
  <si>
    <t>33-21</t>
  </si>
  <si>
    <t>33-22</t>
  </si>
  <si>
    <t>33-23</t>
  </si>
  <si>
    <t>33-24</t>
  </si>
  <si>
    <t>34-01</t>
  </si>
  <si>
    <t>34-02</t>
  </si>
  <si>
    <t>34-03</t>
  </si>
  <si>
    <t>34-04</t>
  </si>
  <si>
    <t>34-05</t>
  </si>
  <si>
    <t>34-06</t>
  </si>
  <si>
    <t>34-07</t>
  </si>
  <si>
    <t>34-08</t>
  </si>
  <si>
    <t>34-09</t>
  </si>
  <si>
    <t>34-10</t>
  </si>
  <si>
    <t>34-11</t>
  </si>
  <si>
    <t>34-12</t>
  </si>
  <si>
    <t>34-13</t>
  </si>
  <si>
    <t>34-14</t>
  </si>
  <si>
    <t>34-15</t>
  </si>
  <si>
    <t>34-16</t>
  </si>
  <si>
    <t>34-17</t>
  </si>
  <si>
    <t>34-18</t>
  </si>
  <si>
    <t>34-19</t>
  </si>
  <si>
    <t>34-20</t>
  </si>
  <si>
    <t>34-21</t>
  </si>
  <si>
    <t>34-22</t>
  </si>
  <si>
    <t>34-23</t>
  </si>
  <si>
    <t>34-24</t>
  </si>
  <si>
    <t>41-01</t>
  </si>
  <si>
    <t>41-02</t>
  </si>
  <si>
    <t>41-03</t>
  </si>
  <si>
    <t>41-04</t>
  </si>
  <si>
    <t>41-05</t>
  </si>
  <si>
    <t>41-06</t>
  </si>
  <si>
    <t>41-07</t>
  </si>
  <si>
    <t>41-08</t>
  </si>
  <si>
    <t>41-09</t>
  </si>
  <si>
    <t>41-10</t>
  </si>
  <si>
    <t>41-11</t>
  </si>
  <si>
    <t>41-12</t>
  </si>
  <si>
    <t>41-13</t>
  </si>
  <si>
    <t>41-14</t>
  </si>
  <si>
    <t>41-15</t>
  </si>
  <si>
    <t>41-16</t>
  </si>
  <si>
    <t>41-17</t>
  </si>
  <si>
    <t>41-18</t>
  </si>
  <si>
    <t>41-19</t>
  </si>
  <si>
    <t>41-20</t>
  </si>
  <si>
    <t>41-21</t>
  </si>
  <si>
    <t>41-22</t>
  </si>
  <si>
    <t>41-23</t>
  </si>
  <si>
    <t>41-24</t>
  </si>
  <si>
    <t>42-01</t>
  </si>
  <si>
    <t>42-02</t>
  </si>
  <si>
    <t>42-03</t>
  </si>
  <si>
    <t>42-04</t>
  </si>
  <si>
    <t>42-05</t>
  </si>
  <si>
    <t>42-06</t>
  </si>
  <si>
    <t>42-07</t>
  </si>
  <si>
    <t>42-08</t>
  </si>
  <si>
    <t>42-09</t>
  </si>
  <si>
    <t>42-10</t>
  </si>
  <si>
    <t>42-11</t>
  </si>
  <si>
    <t>42-12</t>
  </si>
  <si>
    <t>42-13</t>
  </si>
  <si>
    <t>42-14</t>
  </si>
  <si>
    <t>42-15</t>
  </si>
  <si>
    <t>42-16</t>
  </si>
  <si>
    <t>42-17</t>
  </si>
  <si>
    <t>42-18</t>
  </si>
  <si>
    <t>42-19</t>
  </si>
  <si>
    <t>42-20</t>
  </si>
  <si>
    <t>42-21</t>
  </si>
  <si>
    <t>42-22</t>
  </si>
  <si>
    <t>42-23</t>
  </si>
  <si>
    <t>42-24</t>
  </si>
  <si>
    <t>43-01</t>
  </si>
  <si>
    <t>43-02</t>
  </si>
  <si>
    <t>43-03</t>
  </si>
  <si>
    <t>43-04</t>
  </si>
  <si>
    <t>43-05</t>
  </si>
  <si>
    <t>43-06</t>
  </si>
  <si>
    <t>43-07</t>
  </si>
  <si>
    <t>43-08</t>
  </si>
  <si>
    <t>43-09</t>
  </si>
  <si>
    <t>43-10</t>
  </si>
  <si>
    <t>43-11</t>
  </si>
  <si>
    <t>43-12</t>
  </si>
  <si>
    <t>43-13</t>
  </si>
  <si>
    <t>43-14</t>
  </si>
  <si>
    <t>43-15</t>
  </si>
  <si>
    <t>43-16</t>
  </si>
  <si>
    <t>43-17</t>
  </si>
  <si>
    <t>43-18</t>
  </si>
  <si>
    <t>43-19</t>
  </si>
  <si>
    <t>43-20</t>
  </si>
  <si>
    <t>43-21</t>
  </si>
  <si>
    <t>43-22</t>
  </si>
  <si>
    <t>43-23</t>
  </si>
  <si>
    <t>43-24</t>
  </si>
  <si>
    <t>44-01</t>
  </si>
  <si>
    <t>44-02</t>
  </si>
  <si>
    <t>44-03</t>
  </si>
  <si>
    <t>44-04</t>
  </si>
  <si>
    <t>44-05</t>
  </si>
  <si>
    <t>44-06</t>
  </si>
  <si>
    <t>44-07</t>
  </si>
  <si>
    <t>44-08</t>
  </si>
  <si>
    <t>44-09</t>
  </si>
  <si>
    <t>44-10</t>
  </si>
  <si>
    <t>44-11</t>
  </si>
  <si>
    <t>44-12</t>
  </si>
  <si>
    <t>44-13</t>
  </si>
  <si>
    <t>44-14</t>
  </si>
  <si>
    <t>44-15</t>
  </si>
  <si>
    <t>44-16</t>
  </si>
  <si>
    <t>44-17</t>
  </si>
  <si>
    <t>44-18</t>
  </si>
  <si>
    <t>44-19</t>
  </si>
  <si>
    <t>44-20</t>
  </si>
  <si>
    <t>44-21</t>
  </si>
  <si>
    <t>44-22</t>
  </si>
  <si>
    <t>44-23</t>
  </si>
  <si>
    <t>44-24</t>
  </si>
  <si>
    <t>51-01</t>
  </si>
  <si>
    <t>51-02</t>
  </si>
  <si>
    <t>51-03</t>
  </si>
  <si>
    <t>51-04</t>
  </si>
  <si>
    <t>51-05</t>
  </si>
  <si>
    <t>51-06</t>
  </si>
  <si>
    <t>51-07</t>
  </si>
  <si>
    <t>51-08</t>
  </si>
  <si>
    <t>51-09</t>
  </si>
  <si>
    <t>51-10</t>
  </si>
  <si>
    <t>51-11</t>
  </si>
  <si>
    <t>51-12</t>
  </si>
  <si>
    <t>51-13</t>
  </si>
  <si>
    <t>51-14</t>
  </si>
  <si>
    <t>51-15</t>
  </si>
  <si>
    <t>51-16</t>
  </si>
  <si>
    <t>51-17</t>
  </si>
  <si>
    <t>51-18</t>
  </si>
  <si>
    <t>51-19</t>
  </si>
  <si>
    <t>51-20</t>
  </si>
  <si>
    <t>51-21</t>
  </si>
  <si>
    <t>51-22</t>
  </si>
  <si>
    <t>51-23</t>
  </si>
  <si>
    <t>51-24</t>
  </si>
  <si>
    <t>52-01</t>
  </si>
  <si>
    <t>52-02</t>
  </si>
  <si>
    <t>52-03</t>
  </si>
  <si>
    <t>52-04</t>
  </si>
  <si>
    <t>52-05</t>
  </si>
  <si>
    <t>52-06</t>
  </si>
  <si>
    <t>52-07</t>
  </si>
  <si>
    <t>52-08</t>
  </si>
  <si>
    <t>52-09</t>
  </si>
  <si>
    <t>52-10</t>
  </si>
  <si>
    <t>52-11</t>
  </si>
  <si>
    <t>52-12</t>
  </si>
  <si>
    <t>52-13</t>
  </si>
  <si>
    <t>52-14</t>
  </si>
  <si>
    <t>52-15</t>
  </si>
  <si>
    <t>52-16</t>
  </si>
  <si>
    <t>52-17</t>
  </si>
  <si>
    <t>52-18</t>
  </si>
  <si>
    <t>52-19</t>
  </si>
  <si>
    <t>52-20</t>
  </si>
  <si>
    <t>52-21</t>
  </si>
  <si>
    <t>52-22</t>
  </si>
  <si>
    <t>52-23</t>
  </si>
  <si>
    <t>52-24</t>
  </si>
  <si>
    <t>53-01</t>
  </si>
  <si>
    <t>53-02</t>
  </si>
  <si>
    <t>53-03</t>
  </si>
  <si>
    <t>53-04</t>
  </si>
  <si>
    <t>53-05</t>
  </si>
  <si>
    <t>53-06</t>
  </si>
  <si>
    <t>53-07</t>
  </si>
  <si>
    <t>53-08</t>
  </si>
  <si>
    <t>53-09</t>
  </si>
  <si>
    <t>53-10</t>
  </si>
  <si>
    <t>53-11</t>
  </si>
  <si>
    <t>53-12</t>
  </si>
  <si>
    <t>53-13</t>
  </si>
  <si>
    <t>53-14</t>
  </si>
  <si>
    <t>53-15</t>
  </si>
  <si>
    <t>53-16</t>
  </si>
  <si>
    <t>53-17</t>
  </si>
  <si>
    <t>53-18</t>
  </si>
  <si>
    <t>53-19</t>
  </si>
  <si>
    <t>53-20</t>
  </si>
  <si>
    <t>53-21</t>
  </si>
  <si>
    <t>53-22</t>
  </si>
  <si>
    <t>53-23</t>
  </si>
  <si>
    <t>53-24</t>
  </si>
  <si>
    <t>54-01</t>
  </si>
  <si>
    <t>54-02</t>
  </si>
  <si>
    <t>54-03</t>
  </si>
  <si>
    <t>54-04</t>
  </si>
  <si>
    <t>54-05</t>
  </si>
  <si>
    <t>54-06</t>
  </si>
  <si>
    <t>54-07</t>
  </si>
  <si>
    <t>54-08</t>
  </si>
  <si>
    <t>54-09</t>
  </si>
  <si>
    <t>54-10</t>
  </si>
  <si>
    <t>54-11</t>
  </si>
  <si>
    <t>54-12</t>
  </si>
  <si>
    <t>54-13</t>
  </si>
  <si>
    <t>54-14</t>
  </si>
  <si>
    <t>54-15</t>
  </si>
  <si>
    <t>54-16</t>
  </si>
  <si>
    <t>54-17</t>
  </si>
  <si>
    <t>54-18</t>
  </si>
  <si>
    <t>54-19</t>
  </si>
  <si>
    <t>54-20</t>
  </si>
  <si>
    <t>54-21</t>
  </si>
  <si>
    <t>54-22</t>
  </si>
  <si>
    <t>54-23</t>
  </si>
  <si>
    <t>54-24</t>
  </si>
  <si>
    <t>61-01</t>
  </si>
  <si>
    <t>61-02</t>
  </si>
  <si>
    <t>61-03</t>
  </si>
  <si>
    <t>61-04</t>
  </si>
  <si>
    <t>61-05</t>
  </si>
  <si>
    <t>61-06</t>
  </si>
  <si>
    <t>61-07</t>
  </si>
  <si>
    <t>61-08</t>
  </si>
  <si>
    <t>61-09</t>
  </si>
  <si>
    <t>61-10</t>
  </si>
  <si>
    <t>61-11</t>
  </si>
  <si>
    <t>61-12</t>
  </si>
  <si>
    <t>61-13</t>
  </si>
  <si>
    <t>61-14</t>
  </si>
  <si>
    <t>61-15</t>
  </si>
  <si>
    <t>61-16</t>
  </si>
  <si>
    <t>61-17</t>
  </si>
  <si>
    <t>61-18</t>
  </si>
  <si>
    <t>61-19</t>
  </si>
  <si>
    <t>61-20</t>
  </si>
  <si>
    <t>61-21</t>
  </si>
  <si>
    <t>61-22</t>
  </si>
  <si>
    <t>61-23</t>
  </si>
  <si>
    <t>61-24</t>
  </si>
  <si>
    <t>62-01</t>
  </si>
  <si>
    <t>62-02</t>
  </si>
  <si>
    <t>62-03</t>
  </si>
  <si>
    <t>62-04</t>
  </si>
  <si>
    <t>62-05</t>
  </si>
  <si>
    <t>62-06</t>
  </si>
  <si>
    <t>62-07</t>
  </si>
  <si>
    <t>62-08</t>
  </si>
  <si>
    <t>62-09</t>
  </si>
  <si>
    <t>62-10</t>
  </si>
  <si>
    <t>62-11</t>
  </si>
  <si>
    <t>62-12</t>
  </si>
  <si>
    <t>62-13</t>
  </si>
  <si>
    <t>62-14</t>
  </si>
  <si>
    <t>62-15</t>
  </si>
  <si>
    <t>62-16</t>
  </si>
  <si>
    <t>62-17</t>
  </si>
  <si>
    <t>62-18</t>
  </si>
  <si>
    <t>62-19</t>
  </si>
  <si>
    <t>62-20</t>
  </si>
  <si>
    <t>62-21</t>
  </si>
  <si>
    <t>62-22</t>
  </si>
  <si>
    <t>62-23</t>
  </si>
  <si>
    <t>62-24</t>
  </si>
  <si>
    <t>63-01</t>
  </si>
  <si>
    <t>63-02</t>
  </si>
  <si>
    <t>63-03</t>
  </si>
  <si>
    <t>63-04</t>
  </si>
  <si>
    <t>63-05</t>
  </si>
  <si>
    <t>63-06</t>
  </si>
  <si>
    <t>63-07</t>
  </si>
  <si>
    <t>63-08</t>
  </si>
  <si>
    <t>63-09</t>
  </si>
  <si>
    <t>63-10</t>
  </si>
  <si>
    <t>63-11</t>
  </si>
  <si>
    <t>63-12</t>
  </si>
  <si>
    <t>63-13</t>
  </si>
  <si>
    <t>63-14</t>
  </si>
  <si>
    <t>63-15</t>
  </si>
  <si>
    <t>63-16</t>
  </si>
  <si>
    <t>63-17</t>
  </si>
  <si>
    <t>63-18</t>
  </si>
  <si>
    <t>63-19</t>
  </si>
  <si>
    <t>63-20</t>
  </si>
  <si>
    <t>63-21</t>
  </si>
  <si>
    <t>63-22</t>
  </si>
  <si>
    <t>63-23</t>
  </si>
  <si>
    <t>63-24</t>
  </si>
  <si>
    <t>64-01</t>
  </si>
  <si>
    <t>64-02</t>
  </si>
  <si>
    <t>64-03</t>
  </si>
  <si>
    <t>64-04</t>
  </si>
  <si>
    <t>64-05</t>
  </si>
  <si>
    <t>64-06</t>
  </si>
  <si>
    <t>64-07</t>
  </si>
  <si>
    <t>64-08</t>
  </si>
  <si>
    <t>64-09</t>
  </si>
  <si>
    <t>64-10</t>
  </si>
  <si>
    <t>64-11</t>
  </si>
  <si>
    <t>64-12</t>
  </si>
  <si>
    <t>64-13</t>
  </si>
  <si>
    <t>64-14</t>
  </si>
  <si>
    <t>64-15</t>
  </si>
  <si>
    <t>64-16</t>
  </si>
  <si>
    <t>64-17</t>
  </si>
  <si>
    <t>64-18</t>
  </si>
  <si>
    <t>64-19</t>
  </si>
  <si>
    <t>64-20</t>
  </si>
  <si>
    <t>64-21</t>
  </si>
  <si>
    <t>64-22</t>
  </si>
  <si>
    <t>64-23</t>
  </si>
  <si>
    <t>64-24</t>
  </si>
  <si>
    <t>Adjusted</t>
  </si>
  <si>
    <t>Plot-scale</t>
  </si>
  <si>
    <t>Handpicked</t>
  </si>
  <si>
    <t>p11</t>
  </si>
  <si>
    <t>p12</t>
  </si>
  <si>
    <t>p13</t>
  </si>
  <si>
    <t>p14</t>
  </si>
  <si>
    <t>p21</t>
  </si>
  <si>
    <t>p22</t>
  </si>
  <si>
    <t>p23</t>
  </si>
  <si>
    <t>p24</t>
  </si>
  <si>
    <t>p31</t>
  </si>
  <si>
    <t>p32</t>
  </si>
  <si>
    <t>p33</t>
  </si>
  <si>
    <t>p34</t>
  </si>
  <si>
    <t>p41</t>
  </si>
  <si>
    <t>p42</t>
  </si>
  <si>
    <t>p43</t>
  </si>
  <si>
    <t>p44</t>
  </si>
  <si>
    <t>p51</t>
  </si>
  <si>
    <t>p52</t>
  </si>
  <si>
    <t>p53</t>
  </si>
  <si>
    <t>p54</t>
  </si>
  <si>
    <t>p61</t>
  </si>
  <si>
    <t>p62</t>
  </si>
  <si>
    <t>p63</t>
  </si>
  <si>
    <t>p64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</si>
</sst>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mm/dd/yyyy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17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167" fontId="0" fillId="2" borderId="0" xfId="0" applyNumberFormat="1" applyFill="1"/>
    <xf numFmtId="167" fontId="0" fillId="0" borderId="0" xfId="0" applyNumberFormat="1"/>
    <xf numFmtId="49" fontId="0" fillId="2" borderId="0" xfId="0" applyNumberFormat="1" applyFill="1"/>
    <xf numFmtId="14" fontId="0" fillId="2" borderId="0" xfId="0" applyNumberFormat="1" applyFill="1"/>
    <xf numFmtId="49" fontId="0" fillId="0" borderId="0" xfId="0" applyNumberFormat="1"/>
    <xf numFmtId="166" fontId="0" fillId="2" borderId="0" xfId="0" applyNumberFormat="1" applyFill="1"/>
    <xf numFmtId="1" fontId="0" fillId="2" borderId="0" xfId="0" applyNumberFormat="1" applyFill="1"/>
  </cellXfs>
  <cellStyles count="3">
    <cellStyle name="Normal" xfId="0" builtinId="0"/>
    <cellStyle name="Normal 2" xfId="2" xr:uid="{9975BD0D-8745-4147-A5EC-15B99D8AB865}"/>
    <cellStyle name="Normal 3" xfId="1" xr:uid="{E9664043-597C-49BE-B574-A4C570FE3A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Handpicked</a:t>
            </a:r>
            <a:r>
              <a:rPr lang="en-US" baseline="0"/>
              <a:t> Harvest Areas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24604995567607"/>
                  <c:y val="-2.60836178391685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'Raw Scale'!$AO$55:$AO$102</c:f>
              <c:numCache>
                <c:formatCode>0.0</c:formatCode>
                <c:ptCount val="48"/>
                <c:pt idx="0">
                  <c:v>2223.3000000000002</c:v>
                </c:pt>
                <c:pt idx="1">
                  <c:v>2843.1</c:v>
                </c:pt>
                <c:pt idx="2">
                  <c:v>1742.3</c:v>
                </c:pt>
                <c:pt idx="3">
                  <c:v>1110.7</c:v>
                </c:pt>
                <c:pt idx="4">
                  <c:v>810.2</c:v>
                </c:pt>
                <c:pt idx="5">
                  <c:v>1209.2</c:v>
                </c:pt>
                <c:pt idx="6">
                  <c:v>3072.3</c:v>
                </c:pt>
                <c:pt idx="7">
                  <c:v>1791.8</c:v>
                </c:pt>
                <c:pt idx="8">
                  <c:v>2517.1</c:v>
                </c:pt>
                <c:pt idx="9">
                  <c:v>2363.1</c:v>
                </c:pt>
                <c:pt idx="10">
                  <c:v>3071.7</c:v>
                </c:pt>
                <c:pt idx="11">
                  <c:v>3743</c:v>
                </c:pt>
                <c:pt idx="12">
                  <c:v>2316.9</c:v>
                </c:pt>
                <c:pt idx="13">
                  <c:v>1851.5</c:v>
                </c:pt>
                <c:pt idx="14">
                  <c:v>2545.9</c:v>
                </c:pt>
                <c:pt idx="15">
                  <c:v>2425.5</c:v>
                </c:pt>
                <c:pt idx="16">
                  <c:v>2545.8000000000002</c:v>
                </c:pt>
                <c:pt idx="17">
                  <c:v>1854.7</c:v>
                </c:pt>
                <c:pt idx="18">
                  <c:v>3699.5</c:v>
                </c:pt>
                <c:pt idx="19">
                  <c:v>2923.6</c:v>
                </c:pt>
                <c:pt idx="20">
                  <c:v>2364.6999999999998</c:v>
                </c:pt>
                <c:pt idx="21">
                  <c:v>2364.1999999999998</c:v>
                </c:pt>
                <c:pt idx="22">
                  <c:v>2749.6</c:v>
                </c:pt>
                <c:pt idx="23">
                  <c:v>1593.3</c:v>
                </c:pt>
                <c:pt idx="24">
                  <c:v>2331.5</c:v>
                </c:pt>
                <c:pt idx="25">
                  <c:v>1502.8</c:v>
                </c:pt>
                <c:pt idx="26">
                  <c:v>2769.9</c:v>
                </c:pt>
                <c:pt idx="27">
                  <c:v>3444.5</c:v>
                </c:pt>
                <c:pt idx="28">
                  <c:v>1706.2</c:v>
                </c:pt>
                <c:pt idx="29">
                  <c:v>2451.5</c:v>
                </c:pt>
                <c:pt idx="30">
                  <c:v>1234.4000000000001</c:v>
                </c:pt>
                <c:pt idx="31">
                  <c:v>929.4</c:v>
                </c:pt>
                <c:pt idx="32">
                  <c:v>3098.7</c:v>
                </c:pt>
                <c:pt idx="33">
                  <c:v>3134.3</c:v>
                </c:pt>
                <c:pt idx="34">
                  <c:v>3885.9</c:v>
                </c:pt>
                <c:pt idx="35">
                  <c:v>3951.7</c:v>
                </c:pt>
                <c:pt idx="36">
                  <c:v>2179.4</c:v>
                </c:pt>
                <c:pt idx="37">
                  <c:v>1793.8</c:v>
                </c:pt>
                <c:pt idx="38">
                  <c:v>1689.2</c:v>
                </c:pt>
                <c:pt idx="39">
                  <c:v>1234.4000000000001</c:v>
                </c:pt>
                <c:pt idx="40">
                  <c:v>1774.4</c:v>
                </c:pt>
                <c:pt idx="41">
                  <c:v>1991</c:v>
                </c:pt>
                <c:pt idx="42">
                  <c:v>2011.3</c:v>
                </c:pt>
                <c:pt idx="43">
                  <c:v>2161.9</c:v>
                </c:pt>
                <c:pt idx="44">
                  <c:v>2399.6</c:v>
                </c:pt>
                <c:pt idx="45">
                  <c:v>4266.1000000000004</c:v>
                </c:pt>
                <c:pt idx="46">
                  <c:v>1977.4</c:v>
                </c:pt>
                <c:pt idx="47">
                  <c:v>1703</c:v>
                </c:pt>
              </c:numCache>
            </c:numRef>
          </c:xVal>
          <c:yVal>
            <c:numRef>
              <c:f>'Raw Scale'!$H$55:$H$102</c:f>
              <c:numCache>
                <c:formatCode>0.0</c:formatCode>
                <c:ptCount val="48"/>
                <c:pt idx="0">
                  <c:v>3912.4015748031497</c:v>
                </c:pt>
                <c:pt idx="1">
                  <c:v>4060.0393700787404</c:v>
                </c:pt>
                <c:pt idx="2">
                  <c:v>2977.3622047244094</c:v>
                </c:pt>
                <c:pt idx="3">
                  <c:v>1722.4409448818897</c:v>
                </c:pt>
                <c:pt idx="4">
                  <c:v>1845.472440944882</c:v>
                </c:pt>
                <c:pt idx="5">
                  <c:v>2091.535433070866</c:v>
                </c:pt>
                <c:pt idx="6">
                  <c:v>4133.8582677165359</c:v>
                </c:pt>
                <c:pt idx="7">
                  <c:v>2903.5433070866147</c:v>
                </c:pt>
                <c:pt idx="8">
                  <c:v>3887.7952755905517</c:v>
                </c:pt>
                <c:pt idx="9">
                  <c:v>3641.7322834645665</c:v>
                </c:pt>
                <c:pt idx="10">
                  <c:v>4699.8031496062995</c:v>
                </c:pt>
                <c:pt idx="11">
                  <c:v>4306.1023622047242</c:v>
                </c:pt>
                <c:pt idx="12">
                  <c:v>3272.6377952755906</c:v>
                </c:pt>
                <c:pt idx="13">
                  <c:v>2780.5118110236222</c:v>
                </c:pt>
                <c:pt idx="14">
                  <c:v>3174.2125984251966</c:v>
                </c:pt>
                <c:pt idx="15">
                  <c:v>3420.2755905511813</c:v>
                </c:pt>
                <c:pt idx="16">
                  <c:v>3592.51968503937</c:v>
                </c:pt>
                <c:pt idx="17">
                  <c:v>3321.8503937007877</c:v>
                </c:pt>
                <c:pt idx="18">
                  <c:v>4773.6220472440946</c:v>
                </c:pt>
                <c:pt idx="19">
                  <c:v>4183.0708661417329</c:v>
                </c:pt>
                <c:pt idx="20">
                  <c:v>3371.0629921259842</c:v>
                </c:pt>
                <c:pt idx="21">
                  <c:v>3617.125984251968</c:v>
                </c:pt>
                <c:pt idx="22">
                  <c:v>4084.6456692913389</c:v>
                </c:pt>
                <c:pt idx="23">
                  <c:v>3198.8188976377951</c:v>
                </c:pt>
                <c:pt idx="24">
                  <c:v>2854.3307086614177</c:v>
                </c:pt>
                <c:pt idx="25">
                  <c:v>3026.5748031496064</c:v>
                </c:pt>
                <c:pt idx="26">
                  <c:v>4183.0708661417329</c:v>
                </c:pt>
                <c:pt idx="27">
                  <c:v>4010.8267716535433</c:v>
                </c:pt>
                <c:pt idx="28">
                  <c:v>3174.2125984251966</c:v>
                </c:pt>
                <c:pt idx="29">
                  <c:v>4010.8267716535433</c:v>
                </c:pt>
                <c:pt idx="30">
                  <c:v>2263.7795275590552</c:v>
                </c:pt>
                <c:pt idx="31">
                  <c:v>2460.6299212598424</c:v>
                </c:pt>
                <c:pt idx="32">
                  <c:v>4921.2598425196848</c:v>
                </c:pt>
                <c:pt idx="33">
                  <c:v>4625.9842519685044</c:v>
                </c:pt>
                <c:pt idx="34">
                  <c:v>4379.9212598425192</c:v>
                </c:pt>
                <c:pt idx="35">
                  <c:v>5142.7165354330709</c:v>
                </c:pt>
                <c:pt idx="36">
                  <c:v>3272.6377952755906</c:v>
                </c:pt>
                <c:pt idx="37">
                  <c:v>3001.9685039370074</c:v>
                </c:pt>
                <c:pt idx="38">
                  <c:v>2780.5118110236222</c:v>
                </c:pt>
                <c:pt idx="39">
                  <c:v>2460.6299212598424</c:v>
                </c:pt>
                <c:pt idx="40">
                  <c:v>2977.3622047244094</c:v>
                </c:pt>
                <c:pt idx="41">
                  <c:v>2854.3307086614177</c:v>
                </c:pt>
                <c:pt idx="42">
                  <c:v>3346.4566929133862</c:v>
                </c:pt>
                <c:pt idx="43">
                  <c:v>2632.874015748032</c:v>
                </c:pt>
                <c:pt idx="44">
                  <c:v>2977.3622047244094</c:v>
                </c:pt>
                <c:pt idx="45">
                  <c:v>4625.9842519685044</c:v>
                </c:pt>
                <c:pt idx="46">
                  <c:v>3198.8188976377951</c:v>
                </c:pt>
                <c:pt idx="47">
                  <c:v>2903.5433070866147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CD-4948-BE2A-53F1E41CC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600040"/>
        <c:axId val="732600760"/>
      </c:scatterChart>
      <c:valAx>
        <c:axId val="732600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AgLeader Seed</a:t>
                </a:r>
                <a:r>
                  <a:rPr lang="en-US" baseline="0"/>
                  <a:t> Cotton Yield (kg/ha)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00760"/>
        <c:crosses val="autoZero"/>
        <c:crossBetween val="midCat"/>
      </c:valAx>
      <c:valAx>
        <c:axId val="732600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WBWAH</a:t>
                </a:r>
                <a:r>
                  <a:rPr lang="en-US" baseline="0"/>
                  <a:t> (kg/ha)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00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Plot-level Yield: AgLeader</a:t>
            </a:r>
            <a:r>
              <a:rPr lang="en-US" baseline="0"/>
              <a:t> vs Handpicked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187096983247464"/>
                  <c:y val="-8.3222812696116171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'Zone Scale'!$H$7:$H$30</c:f>
              <c:numCache>
                <c:formatCode>General</c:formatCode>
                <c:ptCount val="24"/>
                <c:pt idx="0">
                  <c:v>3986.2204724409448</c:v>
                </c:pt>
                <c:pt idx="1">
                  <c:v>2349.9015748031493</c:v>
                </c:pt>
                <c:pt idx="2">
                  <c:v>1968.5039370078741</c:v>
                </c:pt>
                <c:pt idx="3">
                  <c:v>3518.7007874015753</c:v>
                </c:pt>
                <c:pt idx="4">
                  <c:v>3764.7637795275591</c:v>
                </c:pt>
                <c:pt idx="5">
                  <c:v>4502.9527559055114</c:v>
                </c:pt>
                <c:pt idx="6">
                  <c:v>3026.5748031496069</c:v>
                </c:pt>
                <c:pt idx="7">
                  <c:v>3297.2440944881891</c:v>
                </c:pt>
                <c:pt idx="8">
                  <c:v>3457.1850393700788</c:v>
                </c:pt>
                <c:pt idx="9">
                  <c:v>4478.3464566929133</c:v>
                </c:pt>
                <c:pt idx="10">
                  <c:v>3494.0944881889764</c:v>
                </c:pt>
                <c:pt idx="11">
                  <c:v>3641.732283464567</c:v>
                </c:pt>
                <c:pt idx="12">
                  <c:v>2940.4527559055114</c:v>
                </c:pt>
                <c:pt idx="13">
                  <c:v>4096.9488188976375</c:v>
                </c:pt>
                <c:pt idx="14">
                  <c:v>3592.51968503937</c:v>
                </c:pt>
                <c:pt idx="15">
                  <c:v>2362.2047244094488</c:v>
                </c:pt>
                <c:pt idx="16">
                  <c:v>4773.6220472440946</c:v>
                </c:pt>
                <c:pt idx="17">
                  <c:v>4761.3188976377951</c:v>
                </c:pt>
                <c:pt idx="18">
                  <c:v>3137.303149606299</c:v>
                </c:pt>
                <c:pt idx="19">
                  <c:v>2620.570866141732</c:v>
                </c:pt>
                <c:pt idx="20">
                  <c:v>2915.8464566929133</c:v>
                </c:pt>
                <c:pt idx="21">
                  <c:v>2989.6653543307089</c:v>
                </c:pt>
                <c:pt idx="22">
                  <c:v>3801.6732283464571</c:v>
                </c:pt>
                <c:pt idx="23">
                  <c:v>3051.1811023622049</c:v>
                </c:pt>
              </c:numCache>
            </c:numRef>
          </c:xVal>
          <c:yVal>
            <c:numRef>
              <c:f>'Zone Scale'!$I$7:$I$30</c:f>
              <c:numCache>
                <c:formatCode>General</c:formatCode>
                <c:ptCount val="24"/>
                <c:pt idx="0">
                  <c:v>3534.5252773148113</c:v>
                </c:pt>
                <c:pt idx="1">
                  <c:v>2861.3096857712503</c:v>
                </c:pt>
                <c:pt idx="2">
                  <c:v>2680.9368676209951</c:v>
                </c:pt>
                <c:pt idx="3">
                  <c:v>3379.9174781355177</c:v>
                </c:pt>
                <c:pt idx="4">
                  <c:v>3378.8278628409048</c:v>
                </c:pt>
                <c:pt idx="5">
                  <c:v>3978.4595355871156</c:v>
                </c:pt>
                <c:pt idx="6">
                  <c:v>3056.6623626325722</c:v>
                </c:pt>
                <c:pt idx="7">
                  <c:v>3610.9796266098451</c:v>
                </c:pt>
                <c:pt idx="8">
                  <c:v>3317.9665055355595</c:v>
                </c:pt>
                <c:pt idx="9">
                  <c:v>4144.0088474536979</c:v>
                </c:pt>
                <c:pt idx="10">
                  <c:v>3876.7263580492363</c:v>
                </c:pt>
                <c:pt idx="11">
                  <c:v>3521.8209887889266</c:v>
                </c:pt>
                <c:pt idx="12">
                  <c:v>3118.235168550606</c:v>
                </c:pt>
                <c:pt idx="13">
                  <c:v>4310.7336511363601</c:v>
                </c:pt>
                <c:pt idx="14">
                  <c:v>3075.5653466813933</c:v>
                </c:pt>
                <c:pt idx="15">
                  <c:v>2437.9582041066892</c:v>
                </c:pt>
                <c:pt idx="16">
                  <c:v>4219.9918911931782</c:v>
                </c:pt>
                <c:pt idx="17">
                  <c:v>4447.7459821338334</c:v>
                </c:pt>
                <c:pt idx="18">
                  <c:v>3071.3107406144723</c:v>
                </c:pt>
                <c:pt idx="19">
                  <c:v>2744.167712847217</c:v>
                </c:pt>
                <c:pt idx="20">
                  <c:v>3369.8540582278092</c:v>
                </c:pt>
                <c:pt idx="21">
                  <c:v>3253.6047366477219</c:v>
                </c:pt>
                <c:pt idx="22">
                  <c:v>3839.5554825441868</c:v>
                </c:pt>
                <c:pt idx="23">
                  <c:v>3473.6299174863179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45-4816-9B4D-EFCEDEECD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1423880"/>
        <c:axId val="845654552"/>
      </c:scatterChart>
      <c:valAx>
        <c:axId val="841423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Plot-level yield from hand</a:t>
                </a:r>
                <a:r>
                  <a:rPr lang="en-US" baseline="0"/>
                  <a:t> harvest data (kg/ha)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654552"/>
        <c:crosses val="autoZero"/>
        <c:crossBetween val="midCat"/>
      </c:valAx>
      <c:valAx>
        <c:axId val="845654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Plot-level</a:t>
                </a:r>
                <a:r>
                  <a:rPr lang="en-US" baseline="0"/>
                  <a:t> yield from AgLeader data (kg/ha)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423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C5-4F0F-A57D-EC477B0C2A4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Compare!$Q$8:$Q$55</c:f>
              <c:numCache>
                <c:formatCode>General</c:formatCode>
                <c:ptCount val="48"/>
                <c:pt idx="0">
                  <c:v>1424.7121583367034</c:v>
                </c:pt>
                <c:pt idx="1">
                  <c:v>1468.4280915044687</c:v>
                </c:pt>
                <c:pt idx="2">
                  <c:v>1045.0209693326863</c:v>
                </c:pt>
                <c:pt idx="3">
                  <c:v>520.61661118579684</c:v>
                </c:pt>
                <c:pt idx="4">
                  <c:v>570.43633737922505</c:v>
                </c:pt>
                <c:pt idx="5">
                  <c:v>633.69884662304537</c:v>
                </c:pt>
                <c:pt idx="6">
                  <c:v>1475.6734779318228</c:v>
                </c:pt>
                <c:pt idx="7">
                  <c:v>999.23852111078702</c:v>
                </c:pt>
                <c:pt idx="8">
                  <c:v>1439.4540805494271</c:v>
                </c:pt>
                <c:pt idx="9">
                  <c:v>1148.1027721185201</c:v>
                </c:pt>
                <c:pt idx="10">
                  <c:v>1732.0834938877074</c:v>
                </c:pt>
                <c:pt idx="11">
                  <c:v>1519.6581989073491</c:v>
                </c:pt>
                <c:pt idx="12">
                  <c:v>1140.6381877607159</c:v>
                </c:pt>
                <c:pt idx="13">
                  <c:v>855.86542884735911</c:v>
                </c:pt>
                <c:pt idx="14">
                  <c:v>1094.2501826170092</c:v>
                </c:pt>
                <c:pt idx="15">
                  <c:v>1189.2690163945581</c:v>
                </c:pt>
                <c:pt idx="16">
                  <c:v>1193.5951635104318</c:v>
                </c:pt>
                <c:pt idx="17">
                  <c:v>1142.0197874626692</c:v>
                </c:pt>
                <c:pt idx="18">
                  <c:v>1718.4448161999771</c:v>
                </c:pt>
                <c:pt idx="19">
                  <c:v>1477.795244946396</c:v>
                </c:pt>
                <c:pt idx="20">
                  <c:v>1093.9566322507064</c:v>
                </c:pt>
                <c:pt idx="21">
                  <c:v>1304.1159053279728</c:v>
                </c:pt>
                <c:pt idx="22">
                  <c:v>1336.6911017361197</c:v>
                </c:pt>
                <c:pt idx="23">
                  <c:v>1000.3251879139318</c:v>
                </c:pt>
                <c:pt idx="24">
                  <c:v>1005.7055618896663</c:v>
                </c:pt>
                <c:pt idx="25">
                  <c:v>1049.0944616413844</c:v>
                </c:pt>
                <c:pt idx="26">
                  <c:v>1480.7114410267261</c:v>
                </c:pt>
                <c:pt idx="27">
                  <c:v>1527.9242742632246</c:v>
                </c:pt>
                <c:pt idx="28">
                  <c:v>1147.6851724601852</c:v>
                </c:pt>
                <c:pt idx="29">
                  <c:v>1385.2108172577082</c:v>
                </c:pt>
                <c:pt idx="30">
                  <c:v>714.07947893092899</c:v>
                </c:pt>
                <c:pt idx="31">
                  <c:v>713.64112443189242</c:v>
                </c:pt>
                <c:pt idx="32">
                  <c:v>1770.3429861492154</c:v>
                </c:pt>
                <c:pt idx="33">
                  <c:v>1720.9256217073587</c:v>
                </c:pt>
                <c:pt idx="34">
                  <c:v>1629.8046488899747</c:v>
                </c:pt>
                <c:pt idx="35">
                  <c:v>1788.5030474281882</c:v>
                </c:pt>
                <c:pt idx="36">
                  <c:v>1099.7312310751072</c:v>
                </c:pt>
                <c:pt idx="37">
                  <c:v>1054.2464503606177</c:v>
                </c:pt>
                <c:pt idx="38">
                  <c:v>958.0551480494596</c:v>
                </c:pt>
                <c:pt idx="39">
                  <c:v>813.83825056760531</c:v>
                </c:pt>
                <c:pt idx="40">
                  <c:v>956.202252685237</c:v>
                </c:pt>
                <c:pt idx="41">
                  <c:v>1007.6455167356288</c:v>
                </c:pt>
                <c:pt idx="42">
                  <c:v>1194.337081885652</c:v>
                </c:pt>
                <c:pt idx="43">
                  <c:v>859.96520333544663</c:v>
                </c:pt>
                <c:pt idx="44">
                  <c:v>1055.9905823796905</c:v>
                </c:pt>
                <c:pt idx="45">
                  <c:v>1679.462571976967</c:v>
                </c:pt>
                <c:pt idx="46">
                  <c:v>1148.6460031281747</c:v>
                </c:pt>
                <c:pt idx="47">
                  <c:v>908.66163368157459</c:v>
                </c:pt>
              </c:numCache>
            </c:numRef>
          </c:xVal>
          <c:yVal>
            <c:numRef>
              <c:f>'Raw Scale'!$X$55:$X$102</c:f>
              <c:numCache>
                <c:formatCode>0.0</c:formatCode>
                <c:ptCount val="48"/>
                <c:pt idx="0">
                  <c:v>1424.7121583367034</c:v>
                </c:pt>
                <c:pt idx="1">
                  <c:v>1468.4280915044687</c:v>
                </c:pt>
                <c:pt idx="2">
                  <c:v>1045.0209693326863</c:v>
                </c:pt>
                <c:pt idx="3">
                  <c:v>520.61661118579684</c:v>
                </c:pt>
                <c:pt idx="4">
                  <c:v>570.43633737922517</c:v>
                </c:pt>
                <c:pt idx="5">
                  <c:v>633.69884662304548</c:v>
                </c:pt>
                <c:pt idx="6">
                  <c:v>1475.6734779318231</c:v>
                </c:pt>
                <c:pt idx="7">
                  <c:v>999.23852111078702</c:v>
                </c:pt>
                <c:pt idx="8">
                  <c:v>1439.4540805494273</c:v>
                </c:pt>
                <c:pt idx="9">
                  <c:v>1148.1027721185201</c:v>
                </c:pt>
                <c:pt idx="10">
                  <c:v>1732.0834938877074</c:v>
                </c:pt>
                <c:pt idx="11">
                  <c:v>1519.6581989073488</c:v>
                </c:pt>
                <c:pt idx="12">
                  <c:v>1140.6381877607162</c:v>
                </c:pt>
                <c:pt idx="13">
                  <c:v>855.86542884735911</c:v>
                </c:pt>
                <c:pt idx="14">
                  <c:v>1094.2501826170089</c:v>
                </c:pt>
                <c:pt idx="15">
                  <c:v>1189.2690163945581</c:v>
                </c:pt>
                <c:pt idx="16">
                  <c:v>1193.5951635104318</c:v>
                </c:pt>
                <c:pt idx="17">
                  <c:v>1142.0197874626695</c:v>
                </c:pt>
                <c:pt idx="18">
                  <c:v>1718.4448161999774</c:v>
                </c:pt>
                <c:pt idx="19">
                  <c:v>1477.7952449463958</c:v>
                </c:pt>
                <c:pt idx="20">
                  <c:v>1093.9566322507064</c:v>
                </c:pt>
                <c:pt idx="21">
                  <c:v>1304.1159053279725</c:v>
                </c:pt>
                <c:pt idx="22">
                  <c:v>1336.6911017361197</c:v>
                </c:pt>
                <c:pt idx="23">
                  <c:v>1000.3251879139316</c:v>
                </c:pt>
                <c:pt idx="24">
                  <c:v>1005.7055618896663</c:v>
                </c:pt>
                <c:pt idx="25">
                  <c:v>1049.0944616413844</c:v>
                </c:pt>
                <c:pt idx="26">
                  <c:v>1480.7114410267261</c:v>
                </c:pt>
                <c:pt idx="27">
                  <c:v>1527.9242742632248</c:v>
                </c:pt>
                <c:pt idx="28">
                  <c:v>1147.685172460185</c:v>
                </c:pt>
                <c:pt idx="29">
                  <c:v>1385.210817257708</c:v>
                </c:pt>
                <c:pt idx="30">
                  <c:v>714.0794789309291</c:v>
                </c:pt>
                <c:pt idx="31">
                  <c:v>713.64112443189242</c:v>
                </c:pt>
                <c:pt idx="32">
                  <c:v>1770.3429861492154</c:v>
                </c:pt>
                <c:pt idx="33">
                  <c:v>1720.9256217073587</c:v>
                </c:pt>
                <c:pt idx="34">
                  <c:v>1629.804648889974</c:v>
                </c:pt>
                <c:pt idx="35">
                  <c:v>1788.5030474281882</c:v>
                </c:pt>
                <c:pt idx="36">
                  <c:v>1099.7312310751072</c:v>
                </c:pt>
                <c:pt idx="37">
                  <c:v>1054.2464503606175</c:v>
                </c:pt>
                <c:pt idx="38">
                  <c:v>958.0551480494596</c:v>
                </c:pt>
                <c:pt idx="39">
                  <c:v>813.83825056760554</c:v>
                </c:pt>
                <c:pt idx="40">
                  <c:v>956.202252685237</c:v>
                </c:pt>
                <c:pt idx="41">
                  <c:v>1007.6455167356288</c:v>
                </c:pt>
                <c:pt idx="42">
                  <c:v>1194.337081885652</c:v>
                </c:pt>
                <c:pt idx="43">
                  <c:v>859.96520333544686</c:v>
                </c:pt>
                <c:pt idx="44">
                  <c:v>1055.9905823796905</c:v>
                </c:pt>
                <c:pt idx="45">
                  <c:v>1679.4625719769672</c:v>
                </c:pt>
                <c:pt idx="46">
                  <c:v>1148.6460031281745</c:v>
                </c:pt>
                <c:pt idx="47">
                  <c:v>908.6616336815747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C5-4F0F-A57D-EC477B0C2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D4-486D-B94B-DCCF1F815CE5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Compare!$R$8:$R$55</c:f>
              <c:numCache>
                <c:formatCode>General</c:formatCode>
                <c:ptCount val="48"/>
                <c:pt idx="0">
                  <c:v>1325.8230702246592</c:v>
                </c:pt>
                <c:pt idx="1">
                  <c:v>1470.5580917297946</c:v>
                </c:pt>
                <c:pt idx="2">
                  <c:v>805.57834064012809</c:v>
                </c:pt>
                <c:pt idx="3">
                  <c:v>189.45655268536672</c:v>
                </c:pt>
                <c:pt idx="4">
                  <c:v>283.7511212997112</c:v>
                </c:pt>
                <c:pt idx="5">
                  <c:v>521.15827831939146</c:v>
                </c:pt>
                <c:pt idx="6">
                  <c:v>1515.4328261497544</c:v>
                </c:pt>
                <c:pt idx="7">
                  <c:v>900.24362868511787</c:v>
                </c:pt>
                <c:pt idx="8">
                  <c:v>1419.328219218499</c:v>
                </c:pt>
                <c:pt idx="9">
                  <c:v>1230.9350306366989</c:v>
                </c:pt>
                <c:pt idx="10">
                  <c:v>1840.6362063242443</c:v>
                </c:pt>
                <c:pt idx="11">
                  <c:v>1605.3635003260176</c:v>
                </c:pt>
                <c:pt idx="12">
                  <c:v>1089.6837047911388</c:v>
                </c:pt>
                <c:pt idx="13">
                  <c:v>758.06131486727463</c:v>
                </c:pt>
                <c:pt idx="14">
                  <c:v>994.71194144094397</c:v>
                </c:pt>
                <c:pt idx="15">
                  <c:v>1135.8672393492354</c:v>
                </c:pt>
                <c:pt idx="16">
                  <c:v>1276.6197640141067</c:v>
                </c:pt>
                <c:pt idx="17">
                  <c:v>1086.7287121274644</c:v>
                </c:pt>
                <c:pt idx="18">
                  <c:v>1940.3215707760946</c:v>
                </c:pt>
                <c:pt idx="19">
                  <c:v>1608.3906115884515</c:v>
                </c:pt>
                <c:pt idx="20">
                  <c:v>1087.5082588191842</c:v>
                </c:pt>
                <c:pt idx="21">
                  <c:v>1277.4419781924087</c:v>
                </c:pt>
                <c:pt idx="22">
                  <c:v>1513.1022168859249</c:v>
                </c:pt>
                <c:pt idx="23">
                  <c:v>1086.1517025295395</c:v>
                </c:pt>
                <c:pt idx="24">
                  <c:v>759.16105037782302</c:v>
                </c:pt>
                <c:pt idx="25">
                  <c:v>949.37185010303347</c:v>
                </c:pt>
                <c:pt idx="26">
                  <c:v>1509.9851648978656</c:v>
                </c:pt>
                <c:pt idx="27">
                  <c:v>1514.9983477224475</c:v>
                </c:pt>
                <c:pt idx="28">
                  <c:v>1137.9222758445521</c:v>
                </c:pt>
                <c:pt idx="29">
                  <c:v>1520.190518872103</c:v>
                </c:pt>
                <c:pt idx="30">
                  <c:v>520.50971416413165</c:v>
                </c:pt>
                <c:pt idx="31">
                  <c:v>614.8138907448598</c:v>
                </c:pt>
                <c:pt idx="32">
                  <c:v>1988.7260568913669</c:v>
                </c:pt>
                <c:pt idx="33">
                  <c:v>1803.0614568777023</c:v>
                </c:pt>
                <c:pt idx="34">
                  <c:v>1796.2071096456123</c:v>
                </c:pt>
                <c:pt idx="35">
                  <c:v>2031.3115380984307</c:v>
                </c:pt>
                <c:pt idx="36">
                  <c:v>996.02733762188245</c:v>
                </c:pt>
                <c:pt idx="37">
                  <c:v>902.50851965851041</c:v>
                </c:pt>
                <c:pt idx="38">
                  <c:v>756.31993369249903</c:v>
                </c:pt>
                <c:pt idx="39">
                  <c:v>758.10197601321647</c:v>
                </c:pt>
                <c:pt idx="40">
                  <c:v>850.87479496992921</c:v>
                </c:pt>
                <c:pt idx="41">
                  <c:v>852.83277573388386</c:v>
                </c:pt>
                <c:pt idx="42">
                  <c:v>1039.4322076019573</c:v>
                </c:pt>
                <c:pt idx="43">
                  <c:v>756.24564208091715</c:v>
                </c:pt>
                <c:pt idx="44">
                  <c:v>947.03966777714618</c:v>
                </c:pt>
                <c:pt idx="45">
                  <c:v>1797.9262812125826</c:v>
                </c:pt>
                <c:pt idx="46">
                  <c:v>1090.9370294628986</c:v>
                </c:pt>
                <c:pt idx="47">
                  <c:v>950.8026926723262</c:v>
                </c:pt>
              </c:numCache>
            </c:numRef>
          </c:xVal>
          <c:yVal>
            <c:numRef>
              <c:f>'Raw Scale'!$Y$55:$Y$102</c:f>
              <c:numCache>
                <c:formatCode>0.0</c:formatCode>
                <c:ptCount val="48"/>
                <c:pt idx="0">
                  <c:v>1325.8230702246597</c:v>
                </c:pt>
                <c:pt idx="1">
                  <c:v>1470.5580917297943</c:v>
                </c:pt>
                <c:pt idx="2">
                  <c:v>805.57834064012809</c:v>
                </c:pt>
                <c:pt idx="3">
                  <c:v>189.45655268536672</c:v>
                </c:pt>
                <c:pt idx="4">
                  <c:v>283.7511212997112</c:v>
                </c:pt>
                <c:pt idx="5">
                  <c:v>521.15827831939146</c:v>
                </c:pt>
                <c:pt idx="6">
                  <c:v>1515.4328261497546</c:v>
                </c:pt>
                <c:pt idx="7">
                  <c:v>900.24362868511798</c:v>
                </c:pt>
                <c:pt idx="8">
                  <c:v>1419.3282192184993</c:v>
                </c:pt>
                <c:pt idx="9">
                  <c:v>1230.9350306366989</c:v>
                </c:pt>
                <c:pt idx="10">
                  <c:v>1840.6362063242445</c:v>
                </c:pt>
                <c:pt idx="11">
                  <c:v>1605.3635003260172</c:v>
                </c:pt>
                <c:pt idx="12">
                  <c:v>1089.6837047911388</c:v>
                </c:pt>
                <c:pt idx="13">
                  <c:v>758.06131486727463</c:v>
                </c:pt>
                <c:pt idx="14">
                  <c:v>994.71194144094375</c:v>
                </c:pt>
                <c:pt idx="15">
                  <c:v>1135.8672393492354</c:v>
                </c:pt>
                <c:pt idx="16">
                  <c:v>1276.6197640141067</c:v>
                </c:pt>
                <c:pt idx="17">
                  <c:v>1086.7287121274646</c:v>
                </c:pt>
                <c:pt idx="18">
                  <c:v>1940.3215707760946</c:v>
                </c:pt>
                <c:pt idx="19">
                  <c:v>1608.3906115884513</c:v>
                </c:pt>
                <c:pt idx="20">
                  <c:v>1087.5082588191842</c:v>
                </c:pt>
                <c:pt idx="21">
                  <c:v>1277.4419781924084</c:v>
                </c:pt>
                <c:pt idx="22">
                  <c:v>1513.1022168859251</c:v>
                </c:pt>
                <c:pt idx="23">
                  <c:v>1086.1517025295393</c:v>
                </c:pt>
                <c:pt idx="24">
                  <c:v>759.16105037782313</c:v>
                </c:pt>
                <c:pt idx="25">
                  <c:v>949.37185010303358</c:v>
                </c:pt>
                <c:pt idx="26">
                  <c:v>1509.9851648978658</c:v>
                </c:pt>
                <c:pt idx="27">
                  <c:v>1514.9983477224475</c:v>
                </c:pt>
                <c:pt idx="28">
                  <c:v>1137.9222758445521</c:v>
                </c:pt>
                <c:pt idx="29">
                  <c:v>1520.190518872103</c:v>
                </c:pt>
                <c:pt idx="30">
                  <c:v>520.50971416413165</c:v>
                </c:pt>
                <c:pt idx="31">
                  <c:v>614.8138907448598</c:v>
                </c:pt>
                <c:pt idx="32">
                  <c:v>1988.7260568913664</c:v>
                </c:pt>
                <c:pt idx="33">
                  <c:v>1803.0614568777023</c:v>
                </c:pt>
                <c:pt idx="34">
                  <c:v>1796.207109645612</c:v>
                </c:pt>
                <c:pt idx="35">
                  <c:v>2031.3115380984311</c:v>
                </c:pt>
                <c:pt idx="36">
                  <c:v>996.02733762188245</c:v>
                </c:pt>
                <c:pt idx="37">
                  <c:v>902.50851965851029</c:v>
                </c:pt>
                <c:pt idx="38">
                  <c:v>756.31993369249903</c:v>
                </c:pt>
                <c:pt idx="39">
                  <c:v>758.10197601321647</c:v>
                </c:pt>
                <c:pt idx="40">
                  <c:v>850.8747949699291</c:v>
                </c:pt>
                <c:pt idx="41">
                  <c:v>852.83277573388375</c:v>
                </c:pt>
                <c:pt idx="42">
                  <c:v>1039.4322076019573</c:v>
                </c:pt>
                <c:pt idx="43">
                  <c:v>756.24564208091715</c:v>
                </c:pt>
                <c:pt idx="44">
                  <c:v>947.03966777714618</c:v>
                </c:pt>
                <c:pt idx="45">
                  <c:v>1797.9262812125826</c:v>
                </c:pt>
                <c:pt idx="46">
                  <c:v>1090.9370294628984</c:v>
                </c:pt>
                <c:pt idx="47">
                  <c:v>950.80269267232632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D4-486D-B94B-DCCF1F815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rgbClr val="4472C4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0-46C8-B8E2-188286949DF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Compare!$B$8:$B$55</c:f>
              <c:numCache>
                <c:formatCode>General</c:formatCode>
                <c:ptCount val="48"/>
                <c:pt idx="0">
                  <c:v>1476.3779527559054</c:v>
                </c:pt>
                <c:pt idx="1">
                  <c:v>1525.5905511811025</c:v>
                </c:pt>
                <c:pt idx="2">
                  <c:v>1082.6771653543306</c:v>
                </c:pt>
                <c:pt idx="3">
                  <c:v>541.33858267716528</c:v>
                </c:pt>
                <c:pt idx="4">
                  <c:v>590.55118110236219</c:v>
                </c:pt>
                <c:pt idx="5">
                  <c:v>688.97637795275591</c:v>
                </c:pt>
                <c:pt idx="6">
                  <c:v>1525.5905511811022</c:v>
                </c:pt>
                <c:pt idx="7">
                  <c:v>1033.4645669291338</c:v>
                </c:pt>
                <c:pt idx="8">
                  <c:v>1476.3779527559054</c:v>
                </c:pt>
                <c:pt idx="9">
                  <c:v>1230.3149606299212</c:v>
                </c:pt>
                <c:pt idx="10">
                  <c:v>1796.259842519685</c:v>
                </c:pt>
                <c:pt idx="11">
                  <c:v>1574.8031496062993</c:v>
                </c:pt>
                <c:pt idx="12">
                  <c:v>1181.1023622047242</c:v>
                </c:pt>
                <c:pt idx="13">
                  <c:v>885.82677165354312</c:v>
                </c:pt>
                <c:pt idx="14">
                  <c:v>1131.8897637795276</c:v>
                </c:pt>
                <c:pt idx="15">
                  <c:v>1230.3149606299212</c:v>
                </c:pt>
                <c:pt idx="16">
                  <c:v>1230.3149606299212</c:v>
                </c:pt>
                <c:pt idx="17">
                  <c:v>1181.1023622047242</c:v>
                </c:pt>
                <c:pt idx="18">
                  <c:v>1771.6535433070865</c:v>
                </c:pt>
                <c:pt idx="19">
                  <c:v>1525.5905511811027</c:v>
                </c:pt>
                <c:pt idx="20">
                  <c:v>1131.8897637795274</c:v>
                </c:pt>
                <c:pt idx="21">
                  <c:v>1328.7401574803148</c:v>
                </c:pt>
                <c:pt idx="22">
                  <c:v>1377.9527559055116</c:v>
                </c:pt>
                <c:pt idx="23">
                  <c:v>1033.4645669291338</c:v>
                </c:pt>
                <c:pt idx="24">
                  <c:v>1033.4645669291338</c:v>
                </c:pt>
                <c:pt idx="25">
                  <c:v>1082.6771653543306</c:v>
                </c:pt>
                <c:pt idx="26">
                  <c:v>1525.5905511811027</c:v>
                </c:pt>
                <c:pt idx="27">
                  <c:v>1574.8031496062988</c:v>
                </c:pt>
                <c:pt idx="28">
                  <c:v>1181.1023622047246</c:v>
                </c:pt>
                <c:pt idx="29">
                  <c:v>1427.1653543307086</c:v>
                </c:pt>
                <c:pt idx="30">
                  <c:v>738.18897637795237</c:v>
                </c:pt>
                <c:pt idx="31">
                  <c:v>738.1889763779526</c:v>
                </c:pt>
                <c:pt idx="32">
                  <c:v>1820.8661417322833</c:v>
                </c:pt>
                <c:pt idx="33">
                  <c:v>1771.6535433070865</c:v>
                </c:pt>
                <c:pt idx="34">
                  <c:v>1673.2283464566931</c:v>
                </c:pt>
                <c:pt idx="35">
                  <c:v>1870.0787401574803</c:v>
                </c:pt>
                <c:pt idx="36">
                  <c:v>1131.8897637795276</c:v>
                </c:pt>
                <c:pt idx="37">
                  <c:v>1082.6771653543306</c:v>
                </c:pt>
                <c:pt idx="38">
                  <c:v>984.25196850393706</c:v>
                </c:pt>
                <c:pt idx="39">
                  <c:v>836.6141732283462</c:v>
                </c:pt>
                <c:pt idx="40">
                  <c:v>984.25196850393706</c:v>
                </c:pt>
                <c:pt idx="41">
                  <c:v>1033.4645669291338</c:v>
                </c:pt>
                <c:pt idx="42">
                  <c:v>1230.3149606299212</c:v>
                </c:pt>
                <c:pt idx="43">
                  <c:v>885.82677165354323</c:v>
                </c:pt>
                <c:pt idx="44">
                  <c:v>1082.6771653543306</c:v>
                </c:pt>
                <c:pt idx="45">
                  <c:v>1722.4409448818894</c:v>
                </c:pt>
                <c:pt idx="46">
                  <c:v>1181.1023622047244</c:v>
                </c:pt>
                <c:pt idx="47">
                  <c:v>935.03937007874015</c:v>
                </c:pt>
              </c:numCache>
            </c:numRef>
          </c:xVal>
          <c:yVal>
            <c:numRef>
              <c:f>'Raw Scale'!$U$55:$U$102</c:f>
              <c:numCache>
                <c:formatCode>0.0</c:formatCode>
                <c:ptCount val="48"/>
                <c:pt idx="0">
                  <c:v>1476.3779527559054</c:v>
                </c:pt>
                <c:pt idx="1">
                  <c:v>1525.5905511811025</c:v>
                </c:pt>
                <c:pt idx="2">
                  <c:v>1082.6771653543306</c:v>
                </c:pt>
                <c:pt idx="3">
                  <c:v>541.33858267716528</c:v>
                </c:pt>
                <c:pt idx="4">
                  <c:v>590.55118110236231</c:v>
                </c:pt>
                <c:pt idx="5">
                  <c:v>688.97637795275602</c:v>
                </c:pt>
                <c:pt idx="6">
                  <c:v>1525.5905511811025</c:v>
                </c:pt>
                <c:pt idx="7">
                  <c:v>1033.4645669291338</c:v>
                </c:pt>
                <c:pt idx="8">
                  <c:v>1476.3779527559057</c:v>
                </c:pt>
                <c:pt idx="9">
                  <c:v>1230.3149606299212</c:v>
                </c:pt>
                <c:pt idx="10">
                  <c:v>1796.259842519685</c:v>
                </c:pt>
                <c:pt idx="11">
                  <c:v>1574.803149606299</c:v>
                </c:pt>
                <c:pt idx="12">
                  <c:v>1181.1023622047244</c:v>
                </c:pt>
                <c:pt idx="13">
                  <c:v>885.82677165354312</c:v>
                </c:pt>
                <c:pt idx="14">
                  <c:v>1131.8897637795274</c:v>
                </c:pt>
                <c:pt idx="15">
                  <c:v>1230.3149606299212</c:v>
                </c:pt>
                <c:pt idx="16">
                  <c:v>1230.3149606299212</c:v>
                </c:pt>
                <c:pt idx="17">
                  <c:v>1181.1023622047244</c:v>
                </c:pt>
                <c:pt idx="18">
                  <c:v>1771.6535433070867</c:v>
                </c:pt>
                <c:pt idx="19">
                  <c:v>1525.5905511811025</c:v>
                </c:pt>
                <c:pt idx="20">
                  <c:v>1131.8897637795274</c:v>
                </c:pt>
                <c:pt idx="21">
                  <c:v>1328.7401574803146</c:v>
                </c:pt>
                <c:pt idx="22">
                  <c:v>1377.9527559055116</c:v>
                </c:pt>
                <c:pt idx="23">
                  <c:v>1033.4645669291335</c:v>
                </c:pt>
                <c:pt idx="24">
                  <c:v>1033.4645669291338</c:v>
                </c:pt>
                <c:pt idx="25">
                  <c:v>1082.6771653543306</c:v>
                </c:pt>
                <c:pt idx="26">
                  <c:v>1525.5905511811025</c:v>
                </c:pt>
                <c:pt idx="27">
                  <c:v>1574.803149606299</c:v>
                </c:pt>
                <c:pt idx="28">
                  <c:v>1181.1023622047244</c:v>
                </c:pt>
                <c:pt idx="29">
                  <c:v>1427.1653543307084</c:v>
                </c:pt>
                <c:pt idx="30">
                  <c:v>738.18897637795249</c:v>
                </c:pt>
                <c:pt idx="31">
                  <c:v>738.1889763779526</c:v>
                </c:pt>
                <c:pt idx="32">
                  <c:v>1820.8661417322833</c:v>
                </c:pt>
                <c:pt idx="33">
                  <c:v>1771.6535433070865</c:v>
                </c:pt>
                <c:pt idx="34">
                  <c:v>1673.2283464566924</c:v>
                </c:pt>
                <c:pt idx="35">
                  <c:v>1870.0787401574803</c:v>
                </c:pt>
                <c:pt idx="36">
                  <c:v>1131.8897637795276</c:v>
                </c:pt>
                <c:pt idx="37">
                  <c:v>1082.6771653543303</c:v>
                </c:pt>
                <c:pt idx="38">
                  <c:v>984.25196850393706</c:v>
                </c:pt>
                <c:pt idx="39">
                  <c:v>836.61417322834643</c:v>
                </c:pt>
                <c:pt idx="40">
                  <c:v>984.25196850393706</c:v>
                </c:pt>
                <c:pt idx="41">
                  <c:v>1033.4645669291338</c:v>
                </c:pt>
                <c:pt idx="42">
                  <c:v>1230.3149606299212</c:v>
                </c:pt>
                <c:pt idx="43">
                  <c:v>885.82677165354346</c:v>
                </c:pt>
                <c:pt idx="44">
                  <c:v>1082.6771653543306</c:v>
                </c:pt>
                <c:pt idx="45">
                  <c:v>1722.4409448818897</c:v>
                </c:pt>
                <c:pt idx="46">
                  <c:v>1181.1023622047242</c:v>
                </c:pt>
                <c:pt idx="47">
                  <c:v>935.03937007874026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60-46C8-B8E2-188286949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rgbClr val="4472C4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BE-4642-AA57-DA2C8DC727B4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Compare!$C$8:$C$55</c:f>
              <c:numCache>
                <c:formatCode>General</c:formatCode>
                <c:ptCount val="48"/>
                <c:pt idx="0">
                  <c:v>1377.952755905512</c:v>
                </c:pt>
                <c:pt idx="1">
                  <c:v>1525.5905511811025</c:v>
                </c:pt>
                <c:pt idx="2">
                  <c:v>836.61417322834666</c:v>
                </c:pt>
                <c:pt idx="3">
                  <c:v>196.85039370078758</c:v>
                </c:pt>
                <c:pt idx="4">
                  <c:v>295.27559055118138</c:v>
                </c:pt>
                <c:pt idx="5">
                  <c:v>541.33858267716528</c:v>
                </c:pt>
                <c:pt idx="6">
                  <c:v>1574.8031496062988</c:v>
                </c:pt>
                <c:pt idx="7">
                  <c:v>935.03937007874026</c:v>
                </c:pt>
                <c:pt idx="8">
                  <c:v>1476.3779527559052</c:v>
                </c:pt>
                <c:pt idx="9">
                  <c:v>1279.5275590551187</c:v>
                </c:pt>
                <c:pt idx="10">
                  <c:v>1919.2913385826771</c:v>
                </c:pt>
                <c:pt idx="11">
                  <c:v>1673.2283464566931</c:v>
                </c:pt>
                <c:pt idx="12">
                  <c:v>1131.889763779528</c:v>
                </c:pt>
                <c:pt idx="13">
                  <c:v>787.40157480314974</c:v>
                </c:pt>
                <c:pt idx="14">
                  <c:v>1033.4645669291344</c:v>
                </c:pt>
                <c:pt idx="15">
                  <c:v>1181.1023622047248</c:v>
                </c:pt>
                <c:pt idx="16">
                  <c:v>1328.7401574803157</c:v>
                </c:pt>
                <c:pt idx="17">
                  <c:v>1131.8897637795278</c:v>
                </c:pt>
                <c:pt idx="18">
                  <c:v>2017.7165354330712</c:v>
                </c:pt>
                <c:pt idx="19">
                  <c:v>1673.2283464566931</c:v>
                </c:pt>
                <c:pt idx="20">
                  <c:v>1131.8897637795278</c:v>
                </c:pt>
                <c:pt idx="21">
                  <c:v>1328.7401574803157</c:v>
                </c:pt>
                <c:pt idx="22">
                  <c:v>1574.8031496062988</c:v>
                </c:pt>
                <c:pt idx="23">
                  <c:v>1131.889763779528</c:v>
                </c:pt>
                <c:pt idx="24">
                  <c:v>787.40157480314963</c:v>
                </c:pt>
                <c:pt idx="25">
                  <c:v>984.25196850393729</c:v>
                </c:pt>
                <c:pt idx="26">
                  <c:v>1574.8031496062988</c:v>
                </c:pt>
                <c:pt idx="27">
                  <c:v>1574.8031496062988</c:v>
                </c:pt>
                <c:pt idx="28">
                  <c:v>1181.1023622047248</c:v>
                </c:pt>
                <c:pt idx="29">
                  <c:v>1574.8031496062988</c:v>
                </c:pt>
                <c:pt idx="30">
                  <c:v>541.33858267716528</c:v>
                </c:pt>
                <c:pt idx="31">
                  <c:v>639.763779527559</c:v>
                </c:pt>
                <c:pt idx="32">
                  <c:v>2066.9291338582684</c:v>
                </c:pt>
                <c:pt idx="33">
                  <c:v>1870.0787401574803</c:v>
                </c:pt>
                <c:pt idx="34">
                  <c:v>1870.0787401574803</c:v>
                </c:pt>
                <c:pt idx="35">
                  <c:v>2116.1417322834645</c:v>
                </c:pt>
                <c:pt idx="36">
                  <c:v>1033.4645669291342</c:v>
                </c:pt>
                <c:pt idx="37">
                  <c:v>935.03937007874049</c:v>
                </c:pt>
                <c:pt idx="38">
                  <c:v>787.40157480314974</c:v>
                </c:pt>
                <c:pt idx="39">
                  <c:v>787.40157480314986</c:v>
                </c:pt>
                <c:pt idx="40">
                  <c:v>885.82677165354357</c:v>
                </c:pt>
                <c:pt idx="41">
                  <c:v>885.82677165354369</c:v>
                </c:pt>
                <c:pt idx="42">
                  <c:v>1082.6771653543312</c:v>
                </c:pt>
                <c:pt idx="43">
                  <c:v>787.40157480314974</c:v>
                </c:pt>
                <c:pt idx="44">
                  <c:v>984.25196850393729</c:v>
                </c:pt>
                <c:pt idx="45">
                  <c:v>1870.0787401574803</c:v>
                </c:pt>
                <c:pt idx="46">
                  <c:v>1131.889763779528</c:v>
                </c:pt>
                <c:pt idx="47">
                  <c:v>984.25196850393718</c:v>
                </c:pt>
              </c:numCache>
            </c:numRef>
          </c:xVal>
          <c:yVal>
            <c:numRef>
              <c:f>'Raw Scale'!$V$55:$V$102</c:f>
              <c:numCache>
                <c:formatCode>0.0</c:formatCode>
                <c:ptCount val="48"/>
                <c:pt idx="0">
                  <c:v>1377.9527559055125</c:v>
                </c:pt>
                <c:pt idx="1">
                  <c:v>1525.5905511811022</c:v>
                </c:pt>
                <c:pt idx="2">
                  <c:v>836.61417322834666</c:v>
                </c:pt>
                <c:pt idx="3">
                  <c:v>196.85039370078758</c:v>
                </c:pt>
                <c:pt idx="4">
                  <c:v>295.27559055118138</c:v>
                </c:pt>
                <c:pt idx="5">
                  <c:v>541.33858267716528</c:v>
                </c:pt>
                <c:pt idx="6">
                  <c:v>1574.803149606299</c:v>
                </c:pt>
                <c:pt idx="7">
                  <c:v>935.03937007874038</c:v>
                </c:pt>
                <c:pt idx="8">
                  <c:v>1476.3779527559054</c:v>
                </c:pt>
                <c:pt idx="9">
                  <c:v>1279.5275590551187</c:v>
                </c:pt>
                <c:pt idx="10">
                  <c:v>1919.2913385826773</c:v>
                </c:pt>
                <c:pt idx="11">
                  <c:v>1673.2283464566926</c:v>
                </c:pt>
                <c:pt idx="12">
                  <c:v>1131.889763779528</c:v>
                </c:pt>
                <c:pt idx="13">
                  <c:v>787.40157480314974</c:v>
                </c:pt>
                <c:pt idx="14">
                  <c:v>1033.4645669291342</c:v>
                </c:pt>
                <c:pt idx="15">
                  <c:v>1181.1023622047248</c:v>
                </c:pt>
                <c:pt idx="16">
                  <c:v>1328.7401574803157</c:v>
                </c:pt>
                <c:pt idx="17">
                  <c:v>1131.889763779528</c:v>
                </c:pt>
                <c:pt idx="18">
                  <c:v>2017.7165354330712</c:v>
                </c:pt>
                <c:pt idx="19">
                  <c:v>1673.2283464566929</c:v>
                </c:pt>
                <c:pt idx="20">
                  <c:v>1131.8897637795278</c:v>
                </c:pt>
                <c:pt idx="21">
                  <c:v>1328.7401574803155</c:v>
                </c:pt>
                <c:pt idx="22">
                  <c:v>1574.803149606299</c:v>
                </c:pt>
                <c:pt idx="23">
                  <c:v>1131.8897637795278</c:v>
                </c:pt>
                <c:pt idx="24">
                  <c:v>787.40157480314974</c:v>
                </c:pt>
                <c:pt idx="25">
                  <c:v>984.25196850393741</c:v>
                </c:pt>
                <c:pt idx="26">
                  <c:v>1574.803149606299</c:v>
                </c:pt>
                <c:pt idx="27">
                  <c:v>1574.8031496062988</c:v>
                </c:pt>
                <c:pt idx="28">
                  <c:v>1181.1023622047248</c:v>
                </c:pt>
                <c:pt idx="29">
                  <c:v>1574.8031496062988</c:v>
                </c:pt>
                <c:pt idx="30">
                  <c:v>541.33858267716528</c:v>
                </c:pt>
                <c:pt idx="31">
                  <c:v>639.763779527559</c:v>
                </c:pt>
                <c:pt idx="32">
                  <c:v>2066.929133858268</c:v>
                </c:pt>
                <c:pt idx="33">
                  <c:v>1870.0787401574803</c:v>
                </c:pt>
                <c:pt idx="34">
                  <c:v>1870.0787401574801</c:v>
                </c:pt>
                <c:pt idx="35">
                  <c:v>2116.141732283465</c:v>
                </c:pt>
                <c:pt idx="36">
                  <c:v>1033.4645669291342</c:v>
                </c:pt>
                <c:pt idx="37">
                  <c:v>935.03937007874038</c:v>
                </c:pt>
                <c:pt idx="38">
                  <c:v>787.40157480314974</c:v>
                </c:pt>
                <c:pt idx="39">
                  <c:v>787.40157480314986</c:v>
                </c:pt>
                <c:pt idx="40">
                  <c:v>885.82677165354346</c:v>
                </c:pt>
                <c:pt idx="41">
                  <c:v>885.82677165354357</c:v>
                </c:pt>
                <c:pt idx="42">
                  <c:v>1082.6771653543312</c:v>
                </c:pt>
                <c:pt idx="43">
                  <c:v>787.40157480314986</c:v>
                </c:pt>
                <c:pt idx="44">
                  <c:v>984.25196850393729</c:v>
                </c:pt>
                <c:pt idx="45">
                  <c:v>1870.0787401574803</c:v>
                </c:pt>
                <c:pt idx="46">
                  <c:v>1131.8897637795278</c:v>
                </c:pt>
                <c:pt idx="47">
                  <c:v>984.25196850393729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1A-46F6-981C-CFD887790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478155</xdr:colOff>
      <xdr:row>19</xdr:row>
      <xdr:rowOff>24765</xdr:rowOff>
    </xdr:from>
    <xdr:to>
      <xdr:col>43</xdr:col>
      <xdr:colOff>198120</xdr:colOff>
      <xdr:row>37</xdr:row>
      <xdr:rowOff>17145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C21BF2-4652-4F0F-8DF6-261A947190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142875</xdr:colOff>
      <xdr:row>7</xdr:row>
      <xdr:rowOff>38100</xdr:rowOff>
    </xdr:from>
    <xdr:to>
      <xdr:col>17</xdr:col>
      <xdr:colOff>200025</xdr:colOff>
      <xdr:row>25</xdr:row>
      <xdr:rowOff>17145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4BE085-6097-427D-A22A-2624B65B96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472440</xdr:colOff>
      <xdr:row>2</xdr:row>
      <xdr:rowOff>85725</xdr:rowOff>
    </xdr:from>
    <xdr:to>
      <xdr:col>27</xdr:col>
      <xdr:colOff>19050</xdr:colOff>
      <xdr:row>20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9DFEE1-3226-18C6-CE37-65701BD75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476250</xdr:colOff>
      <xdr:row>21</xdr:row>
      <xdr:rowOff>104775</xdr:rowOff>
    </xdr:from>
    <xdr:to>
      <xdr:col>27</xdr:col>
      <xdr:colOff>15240</xdr:colOff>
      <xdr:row>39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2C97AF-C4F2-4CA2-9A44-D127A82BF2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3810</xdr:colOff>
      <xdr:row>3</xdr:row>
      <xdr:rowOff>0</xdr:rowOff>
    </xdr:from>
    <xdr:to>
      <xdr:col>12</xdr:col>
      <xdr:colOff>152400</xdr:colOff>
      <xdr:row>21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115021-4C05-4EE7-B541-DB5EE28F4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22</xdr:row>
      <xdr:rowOff>15240</xdr:rowOff>
    </xdr:from>
    <xdr:to>
      <xdr:col>12</xdr:col>
      <xdr:colOff>156210</xdr:colOff>
      <xdr:row>40</xdr:row>
      <xdr:rowOff>15240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FE776FD-5CCE-4FF7-A962-FAA4BEF82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81E-168C-4CB2-BE56-FDC05C3116BF}">
  <dimension ref="A1:CC273"/>
  <sheetViews>
    <sheetView tabSelected="1" workbookViewId="0"/>
  </sheetViews>
  <sheetFormatPr defaultRowHeight="14.4" x14ac:dyDescent="0.3"/>
  <cols>
    <col min="4" max="4" width="10.5546875" bestFit="1" customWidth="1"/>
    <col min="7" max="7" width="9.88671875" bestFit="1" customWidth="1"/>
    <col min="9" max="9" width="10.5546875" bestFit="1" customWidth="1"/>
    <col min="11" max="11" width="10.5546875" bestFit="1" customWidth="1"/>
    <col min="27" max="27" width="14.109375" bestFit="1" customWidth="1"/>
    <col min="28" max="28" width="10.5546875" bestFit="1" customWidth="1"/>
    <col min="29" max="29" width="8.88671875" customWidth="1"/>
    <col min="30" max="30" width="8.77734375" customWidth="1"/>
    <col min="31" max="31" width="10.5546875" bestFit="1" customWidth="1"/>
    <col min="45" max="45" width="10.5546875" bestFit="1" customWidth="1"/>
    <col min="50" max="50" width="8.88671875" customWidth="1"/>
    <col min="51" max="51" width="10.5546875" bestFit="1" customWidth="1"/>
    <col min="57" max="57" width="8.88671875" customWidth="1"/>
    <col min="68" max="68" width="8.77734375" customWidth="1"/>
    <col min="69" max="69" width="13.21875" bestFit="1" customWidth="1"/>
    <col min="70" max="70" width="10.5546875" bestFit="1" customWidth="1"/>
    <col min="71" max="71" width="8.88671875" customWidth="1"/>
  </cols>
  <sheetData>
    <row r="1" spans="1:1" x14ac:dyDescent="0.3">
      <c r="A1" t="s">
        <v>101</v>
      </c>
    </row>
    <row r="2" spans="1:1" x14ac:dyDescent="0.3">
      <c r="A2" t="s">
        <v>102</v>
      </c>
    </row>
    <row r="3" spans="1:1" x14ac:dyDescent="0.3">
      <c r="A3" t="s">
        <v>107</v>
      </c>
    </row>
    <row r="4" spans="1:1" x14ac:dyDescent="0.3">
      <c r="A4" t="s">
        <v>108</v>
      </c>
    </row>
    <row r="5" spans="1:1" x14ac:dyDescent="0.3">
      <c r="A5" t="s">
        <v>117</v>
      </c>
    </row>
    <row r="6" spans="1:1" x14ac:dyDescent="0.3">
      <c r="A6" t="s">
        <v>119</v>
      </c>
    </row>
    <row r="7" spans="1:1" x14ac:dyDescent="0.3">
      <c r="A7" t="s">
        <v>114</v>
      </c>
    </row>
    <row r="8" spans="1:1" x14ac:dyDescent="0.3">
      <c r="A8" t="s">
        <v>115</v>
      </c>
    </row>
    <row r="9" spans="1:1" x14ac:dyDescent="0.3">
      <c r="A9" t="s">
        <v>116</v>
      </c>
    </row>
    <row r="10" spans="1:1" x14ac:dyDescent="0.3">
      <c r="A10" t="s">
        <v>109</v>
      </c>
    </row>
    <row r="11" spans="1:1" x14ac:dyDescent="0.3">
      <c r="A11" t="s">
        <v>110</v>
      </c>
    </row>
    <row r="12" spans="1:1" x14ac:dyDescent="0.3">
      <c r="A12" t="s">
        <v>111</v>
      </c>
    </row>
    <row r="13" spans="1:1" x14ac:dyDescent="0.3">
      <c r="A13" t="s">
        <v>112</v>
      </c>
    </row>
    <row r="14" spans="1:1" x14ac:dyDescent="0.3">
      <c r="A14" t="s">
        <v>113</v>
      </c>
    </row>
    <row r="15" spans="1:1" x14ac:dyDescent="0.3">
      <c r="A15" t="s">
        <v>124</v>
      </c>
    </row>
    <row r="16" spans="1:1" x14ac:dyDescent="0.3">
      <c r="A16" t="s">
        <v>125</v>
      </c>
    </row>
    <row r="17" spans="1:1" x14ac:dyDescent="0.3">
      <c r="A17" t="s">
        <v>127</v>
      </c>
    </row>
    <row r="18" spans="1:1" x14ac:dyDescent="0.3">
      <c r="A18" t="s">
        <v>126</v>
      </c>
    </row>
    <row r="19" spans="1:1" x14ac:dyDescent="0.3">
      <c r="A19" t="s">
        <v>213</v>
      </c>
    </row>
    <row r="20" spans="1:1" x14ac:dyDescent="0.3">
      <c r="A20" t="s">
        <v>212</v>
      </c>
    </row>
    <row r="21" spans="1:1" x14ac:dyDescent="0.3">
      <c r="A21" t="s">
        <v>128</v>
      </c>
    </row>
    <row r="22" spans="1:1" x14ac:dyDescent="0.3">
      <c r="A22" t="s">
        <v>209</v>
      </c>
    </row>
    <row r="23" spans="1:1" x14ac:dyDescent="0.3">
      <c r="A23" t="s">
        <v>129</v>
      </c>
    </row>
    <row r="24" spans="1:1" x14ac:dyDescent="0.3">
      <c r="A24" t="s">
        <v>130</v>
      </c>
    </row>
    <row r="25" spans="1:1" x14ac:dyDescent="0.3">
      <c r="A25" t="s">
        <v>131</v>
      </c>
    </row>
    <row r="26" spans="1:1" x14ac:dyDescent="0.3">
      <c r="A26" t="s">
        <v>132</v>
      </c>
    </row>
    <row r="27" spans="1:1" x14ac:dyDescent="0.3">
      <c r="A27" t="s">
        <v>139</v>
      </c>
    </row>
    <row r="28" spans="1:1" x14ac:dyDescent="0.3">
      <c r="A28" t="s">
        <v>133</v>
      </c>
    </row>
    <row r="29" spans="1:1" x14ac:dyDescent="0.3">
      <c r="A29" t="s">
        <v>134</v>
      </c>
    </row>
    <row r="30" spans="1:1" x14ac:dyDescent="0.3">
      <c r="A30" t="s">
        <v>135</v>
      </c>
    </row>
    <row r="31" spans="1:1" x14ac:dyDescent="0.3">
      <c r="A31" t="s">
        <v>136</v>
      </c>
    </row>
    <row r="32" spans="1:1" x14ac:dyDescent="0.3">
      <c r="A32" t="s">
        <v>137</v>
      </c>
    </row>
    <row r="33" spans="1:43" x14ac:dyDescent="0.3">
      <c r="A33" t="s">
        <v>138</v>
      </c>
    </row>
    <row r="34" spans="1:43" x14ac:dyDescent="0.3">
      <c r="A34" t="s">
        <v>150</v>
      </c>
    </row>
    <row r="35" spans="1:43" x14ac:dyDescent="0.3">
      <c r="A35" t="s">
        <v>151</v>
      </c>
    </row>
    <row r="36" spans="1:43" x14ac:dyDescent="0.3">
      <c r="A36" t="s">
        <v>152</v>
      </c>
    </row>
    <row r="37" spans="1:43" x14ac:dyDescent="0.3">
      <c r="A37" t="s">
        <v>153</v>
      </c>
    </row>
    <row r="38" spans="1:43" x14ac:dyDescent="0.3">
      <c r="A38" t="s">
        <v>154</v>
      </c>
    </row>
    <row r="39" spans="1:43" x14ac:dyDescent="0.3">
      <c r="A39" t="s">
        <v>155</v>
      </c>
      <c r="AN39" t="s">
        <v>265</v>
      </c>
      <c r="AO39" t="s">
        <v>265</v>
      </c>
    </row>
    <row r="40" spans="1:43" x14ac:dyDescent="0.3">
      <c r="AM40" t="s">
        <v>5</v>
      </c>
      <c r="AN40">
        <f>CORREL($AN$55:$AN$102,H$55:H$102)</f>
        <v>0.90418726367477553</v>
      </c>
      <c r="AO40">
        <f>CORREL($AO$55:$AO$102,H$55:H$102)</f>
        <v>0.90418147263175042</v>
      </c>
    </row>
    <row r="41" spans="1:43" x14ac:dyDescent="0.3">
      <c r="AM41" t="s">
        <v>25</v>
      </c>
      <c r="AN41">
        <f>CORREL($AN$55:$AN$102,U$55:U$102)</f>
        <v>0.90731677792200172</v>
      </c>
      <c r="AO41">
        <f>CORREL($AO$55:$AO$102,U$55:U$102)</f>
        <v>0.90731201603385137</v>
      </c>
    </row>
    <row r="42" spans="1:43" x14ac:dyDescent="0.3">
      <c r="A42" t="s">
        <v>2</v>
      </c>
      <c r="AM42" t="s">
        <v>26</v>
      </c>
      <c r="AN42">
        <f>CORREL($AN$55:$AN$102,V$55:V$102)</f>
        <v>0.8992864198554692</v>
      </c>
      <c r="AO42">
        <f>CORREL($AO$55:$AO$102,V$55:V$102)</f>
        <v>0.89928352987063676</v>
      </c>
    </row>
    <row r="43" spans="1:43" x14ac:dyDescent="0.3">
      <c r="A43">
        <f>2*1.016*2</f>
        <v>4.0640000000000001</v>
      </c>
      <c r="B43" t="s">
        <v>103</v>
      </c>
      <c r="AM43" t="s">
        <v>27</v>
      </c>
      <c r="AN43">
        <f>CORREL($AN$55:$AN$102,W$55:W$102)</f>
        <v>0.90640629598893063</v>
      </c>
      <c r="AO43">
        <f>CORREL($AO$55:$AO$102,V$55:V$102)</f>
        <v>0.89928352987063676</v>
      </c>
    </row>
    <row r="44" spans="1:43" x14ac:dyDescent="0.3">
      <c r="A44">
        <v>10000</v>
      </c>
      <c r="B44" t="s">
        <v>4</v>
      </c>
      <c r="AM44" t="s">
        <v>29</v>
      </c>
      <c r="AN44">
        <f>CORREL($AN$55:$AN$102,X$55:X$102)</f>
        <v>0.90678958974360757</v>
      </c>
      <c r="AO44">
        <f>CORREL($AO$55:$AO$102,X$55:X$102)</f>
        <v>0.90678434272838426</v>
      </c>
    </row>
    <row r="45" spans="1:43" x14ac:dyDescent="0.3">
      <c r="A45">
        <v>0.28000000000000003</v>
      </c>
      <c r="B45" t="s">
        <v>118</v>
      </c>
      <c r="I45" s="2"/>
      <c r="AM45" t="s">
        <v>30</v>
      </c>
      <c r="AN45">
        <f>CORREL($AN$55:$AN$102,Y$55:Y$102)</f>
        <v>0.89890732054170852</v>
      </c>
      <c r="AO45">
        <f>CORREL($AO$55:$AO$102,Y$55:Y$102)</f>
        <v>0.89890435624392151</v>
      </c>
    </row>
    <row r="46" spans="1:43" x14ac:dyDescent="0.3">
      <c r="A46">
        <v>1.68</v>
      </c>
      <c r="B46" t="s">
        <v>48</v>
      </c>
      <c r="AM46" t="s">
        <v>31</v>
      </c>
      <c r="AN46">
        <f>CORREL($AN$55:$AN$102,Z$55:Z$102)</f>
        <v>0.90621290187630754</v>
      </c>
      <c r="AO46">
        <f>CORREL($AO$55:$AO$102,Z$55:Z$102)</f>
        <v>0.90620894826577936</v>
      </c>
    </row>
    <row r="47" spans="1:43" x14ac:dyDescent="0.3">
      <c r="AQ47" t="s">
        <v>33</v>
      </c>
    </row>
    <row r="49" spans="1:81" x14ac:dyDescent="0.3">
      <c r="B49" s="3"/>
      <c r="C49" s="3" t="s">
        <v>0</v>
      </c>
      <c r="D49" s="3" t="s">
        <v>0</v>
      </c>
      <c r="E49" t="s">
        <v>0</v>
      </c>
      <c r="F49" t="s">
        <v>0</v>
      </c>
      <c r="G49" t="s">
        <v>0</v>
      </c>
      <c r="H49" s="3" t="s">
        <v>0</v>
      </c>
      <c r="I49" s="3" t="s">
        <v>12</v>
      </c>
      <c r="J49" t="s">
        <v>12</v>
      </c>
      <c r="K49" t="s">
        <v>12</v>
      </c>
      <c r="L49" s="3" t="s">
        <v>12</v>
      </c>
      <c r="M49" s="3" t="s">
        <v>12</v>
      </c>
      <c r="N49" s="3" t="s">
        <v>12</v>
      </c>
      <c r="O49" t="s">
        <v>11</v>
      </c>
      <c r="P49" t="s">
        <v>11</v>
      </c>
      <c r="Q49" t="s">
        <v>11</v>
      </c>
      <c r="R49" t="s">
        <v>11</v>
      </c>
      <c r="S49" s="3" t="s">
        <v>11</v>
      </c>
      <c r="T49" s="3" t="s">
        <v>11</v>
      </c>
      <c r="U49" s="3" t="s">
        <v>28</v>
      </c>
      <c r="V49" s="3" t="s">
        <v>28</v>
      </c>
      <c r="W49" s="3" t="s">
        <v>28</v>
      </c>
      <c r="X49" s="3" t="s">
        <v>28</v>
      </c>
      <c r="Y49" s="3" t="s">
        <v>28</v>
      </c>
      <c r="Z49" s="3" t="s">
        <v>28</v>
      </c>
      <c r="AB49" s="3" t="s">
        <v>41</v>
      </c>
      <c r="AC49" s="3" t="s">
        <v>41</v>
      </c>
      <c r="AD49" s="3" t="s">
        <v>41</v>
      </c>
      <c r="AE49" s="3" t="s">
        <v>41</v>
      </c>
      <c r="AF49" s="3" t="s">
        <v>41</v>
      </c>
      <c r="AG49" s="3" t="s">
        <v>41</v>
      </c>
      <c r="AH49" s="3" t="s">
        <v>41</v>
      </c>
      <c r="AI49" s="3" t="s">
        <v>41</v>
      </c>
      <c r="AJ49" s="3" t="s">
        <v>41</v>
      </c>
      <c r="AK49" s="3" t="s">
        <v>41</v>
      </c>
      <c r="AL49" s="3" t="s">
        <v>41</v>
      </c>
      <c r="AM49" s="3" t="s">
        <v>41</v>
      </c>
      <c r="AN49" t="s">
        <v>0</v>
      </c>
      <c r="AO49" t="s">
        <v>0</v>
      </c>
      <c r="AR49" t="s">
        <v>0</v>
      </c>
      <c r="AS49" t="s">
        <v>0</v>
      </c>
      <c r="AT49" t="s">
        <v>0</v>
      </c>
      <c r="AU49" t="s">
        <v>0</v>
      </c>
      <c r="AV49" t="s">
        <v>0</v>
      </c>
      <c r="AW49" t="s">
        <v>0</v>
      </c>
      <c r="AX49" t="s">
        <v>0</v>
      </c>
      <c r="AY49" t="s">
        <v>12</v>
      </c>
      <c r="AZ49" t="s">
        <v>12</v>
      </c>
      <c r="BA49" t="s">
        <v>12</v>
      </c>
      <c r="BB49" t="s">
        <v>12</v>
      </c>
      <c r="BC49" t="s">
        <v>12</v>
      </c>
      <c r="BD49" t="s">
        <v>12</v>
      </c>
      <c r="BE49" t="s">
        <v>11</v>
      </c>
      <c r="BF49" t="s">
        <v>11</v>
      </c>
      <c r="BG49" t="s">
        <v>11</v>
      </c>
      <c r="BH49" t="s">
        <v>11</v>
      </c>
      <c r="BI49" t="s">
        <v>11</v>
      </c>
      <c r="BJ49" t="s">
        <v>11</v>
      </c>
      <c r="BK49" t="s">
        <v>28</v>
      </c>
      <c r="BL49" t="s">
        <v>28</v>
      </c>
      <c r="BM49" t="s">
        <v>28</v>
      </c>
      <c r="BN49" t="s">
        <v>28</v>
      </c>
      <c r="BO49" t="s">
        <v>28</v>
      </c>
      <c r="BP49" t="s">
        <v>28</v>
      </c>
      <c r="BR49" t="s">
        <v>41</v>
      </c>
      <c r="BS49" t="s">
        <v>41</v>
      </c>
      <c r="BT49" t="s">
        <v>41</v>
      </c>
      <c r="BU49" t="s">
        <v>41</v>
      </c>
      <c r="BV49" t="s">
        <v>41</v>
      </c>
      <c r="BW49" t="s">
        <v>41</v>
      </c>
      <c r="BX49" t="s">
        <v>41</v>
      </c>
      <c r="BY49" t="s">
        <v>41</v>
      </c>
      <c r="BZ49" t="s">
        <v>41</v>
      </c>
      <c r="CA49" t="s">
        <v>41</v>
      </c>
      <c r="CB49" t="s">
        <v>41</v>
      </c>
      <c r="CC49" t="s">
        <v>41</v>
      </c>
    </row>
    <row r="50" spans="1:81" x14ac:dyDescent="0.3">
      <c r="B50" s="3"/>
      <c r="C50" s="3"/>
      <c r="D50" s="3"/>
      <c r="H50" s="3"/>
      <c r="I50" s="3"/>
      <c r="L50" s="3"/>
      <c r="M50" s="3"/>
      <c r="N50" s="3"/>
      <c r="O50" t="s">
        <v>21</v>
      </c>
      <c r="P50" t="s">
        <v>121</v>
      </c>
      <c r="Q50" t="s">
        <v>21</v>
      </c>
      <c r="R50" t="s">
        <v>22</v>
      </c>
      <c r="S50" s="3"/>
      <c r="T50" s="3"/>
      <c r="U50" s="3"/>
      <c r="V50" s="3"/>
      <c r="W50" s="3"/>
      <c r="X50" s="3"/>
      <c r="Y50" s="3"/>
      <c r="Z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t="s">
        <v>262</v>
      </c>
      <c r="AO50" t="s">
        <v>262</v>
      </c>
      <c r="AW50" t="s">
        <v>106</v>
      </c>
      <c r="AX50" t="s">
        <v>141</v>
      </c>
      <c r="BE50" t="s">
        <v>21</v>
      </c>
      <c r="BF50" t="s">
        <v>121</v>
      </c>
      <c r="BG50" t="s">
        <v>21</v>
      </c>
      <c r="BH50" t="s">
        <v>22</v>
      </c>
    </row>
    <row r="51" spans="1:81" x14ac:dyDescent="0.3">
      <c r="B51" s="3"/>
      <c r="C51" s="3"/>
      <c r="D51" s="3"/>
      <c r="E51" t="s">
        <v>13</v>
      </c>
      <c r="F51" t="s">
        <v>24</v>
      </c>
      <c r="G51" t="s">
        <v>13</v>
      </c>
      <c r="H51" s="3"/>
      <c r="I51" s="3" t="s">
        <v>45</v>
      </c>
      <c r="J51" t="s">
        <v>16</v>
      </c>
      <c r="K51" t="s">
        <v>15</v>
      </c>
      <c r="L51" s="3"/>
      <c r="M51" s="3"/>
      <c r="N51" s="3"/>
      <c r="O51" t="s">
        <v>120</v>
      </c>
      <c r="P51" t="s">
        <v>122</v>
      </c>
      <c r="Q51" t="s">
        <v>123</v>
      </c>
      <c r="R51" t="s">
        <v>19</v>
      </c>
      <c r="S51" s="3"/>
      <c r="T51" s="3"/>
      <c r="U51" s="3"/>
      <c r="V51" s="3"/>
      <c r="W51" s="3"/>
      <c r="X51" s="3"/>
      <c r="Y51" s="3"/>
      <c r="Z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t="s">
        <v>263</v>
      </c>
      <c r="AO51" t="s">
        <v>263</v>
      </c>
      <c r="AT51" t="s">
        <v>13</v>
      </c>
      <c r="AU51" t="s">
        <v>24</v>
      </c>
      <c r="AV51" t="s">
        <v>13</v>
      </c>
      <c r="AW51" t="s">
        <v>0</v>
      </c>
      <c r="AX51" t="s">
        <v>263</v>
      </c>
      <c r="AY51" t="s">
        <v>45</v>
      </c>
      <c r="AZ51" t="s">
        <v>16</v>
      </c>
      <c r="BA51" t="s">
        <v>15</v>
      </c>
      <c r="BE51" t="s">
        <v>120</v>
      </c>
      <c r="BF51" t="s">
        <v>122</v>
      </c>
      <c r="BG51" t="s">
        <v>123</v>
      </c>
      <c r="BH51" t="s">
        <v>19</v>
      </c>
    </row>
    <row r="52" spans="1:81" x14ac:dyDescent="0.3">
      <c r="A52" t="s">
        <v>100</v>
      </c>
      <c r="B52" s="3" t="s">
        <v>51</v>
      </c>
      <c r="C52" s="3" t="s">
        <v>104</v>
      </c>
      <c r="D52" s="3" t="s">
        <v>105</v>
      </c>
      <c r="E52" t="s">
        <v>1</v>
      </c>
      <c r="F52" t="s">
        <v>20</v>
      </c>
      <c r="G52" t="s">
        <v>3</v>
      </c>
      <c r="H52" s="3" t="s">
        <v>5</v>
      </c>
      <c r="I52" s="3" t="s">
        <v>44</v>
      </c>
      <c r="J52" t="s">
        <v>1</v>
      </c>
      <c r="K52" t="s">
        <v>47</v>
      </c>
      <c r="L52" s="3" t="s">
        <v>8</v>
      </c>
      <c r="M52" s="3" t="s">
        <v>9</v>
      </c>
      <c r="N52" s="3" t="s">
        <v>10</v>
      </c>
      <c r="O52" t="s">
        <v>23</v>
      </c>
      <c r="P52" t="s">
        <v>23</v>
      </c>
      <c r="Q52" t="s">
        <v>23</v>
      </c>
      <c r="R52" t="s">
        <v>23</v>
      </c>
      <c r="S52" s="3" t="s">
        <v>210</v>
      </c>
      <c r="T52" s="3" t="s">
        <v>211</v>
      </c>
      <c r="U52" s="3" t="s">
        <v>25</v>
      </c>
      <c r="V52" s="3" t="s">
        <v>26</v>
      </c>
      <c r="W52" s="3" t="s">
        <v>27</v>
      </c>
      <c r="X52" s="3" t="s">
        <v>29</v>
      </c>
      <c r="Y52" s="3" t="s">
        <v>30</v>
      </c>
      <c r="Z52" s="3" t="s">
        <v>31</v>
      </c>
      <c r="AA52" t="s">
        <v>42</v>
      </c>
      <c r="AB52" s="3" t="s">
        <v>46</v>
      </c>
      <c r="AC52" s="3" t="s">
        <v>34</v>
      </c>
      <c r="AD52" s="3" t="s">
        <v>35</v>
      </c>
      <c r="AE52" s="3" t="s">
        <v>36</v>
      </c>
      <c r="AF52" s="3" t="s">
        <v>37</v>
      </c>
      <c r="AG52" s="3" t="s">
        <v>38</v>
      </c>
      <c r="AH52" s="3" t="s">
        <v>144</v>
      </c>
      <c r="AI52" s="3" t="s">
        <v>145</v>
      </c>
      <c r="AJ52" s="3" t="s">
        <v>146</v>
      </c>
      <c r="AK52" s="3" t="s">
        <v>147</v>
      </c>
      <c r="AL52" s="3" t="s">
        <v>148</v>
      </c>
      <c r="AM52" s="3" t="s">
        <v>39</v>
      </c>
      <c r="AN52" t="s">
        <v>120</v>
      </c>
      <c r="AO52" t="s">
        <v>264</v>
      </c>
      <c r="AQ52" t="s">
        <v>32</v>
      </c>
      <c r="AR52" t="s">
        <v>104</v>
      </c>
      <c r="AS52" t="s">
        <v>105</v>
      </c>
      <c r="AT52" t="s">
        <v>1</v>
      </c>
      <c r="AU52" t="s">
        <v>20</v>
      </c>
      <c r="AV52" t="s">
        <v>3</v>
      </c>
      <c r="AW52" t="s">
        <v>5</v>
      </c>
      <c r="AX52" t="s">
        <v>5</v>
      </c>
      <c r="AY52" t="s">
        <v>44</v>
      </c>
      <c r="AZ52" t="s">
        <v>1</v>
      </c>
      <c r="BA52" t="s">
        <v>47</v>
      </c>
      <c r="BB52" t="s">
        <v>8</v>
      </c>
      <c r="BC52" t="s">
        <v>9</v>
      </c>
      <c r="BD52" t="s">
        <v>10</v>
      </c>
      <c r="BE52" t="s">
        <v>23</v>
      </c>
      <c r="BF52" t="s">
        <v>23</v>
      </c>
      <c r="BG52" t="s">
        <v>23</v>
      </c>
      <c r="BH52" t="s">
        <v>23</v>
      </c>
      <c r="BI52" t="s">
        <v>210</v>
      </c>
      <c r="BJ52" t="s">
        <v>211</v>
      </c>
      <c r="BK52" t="s">
        <v>25</v>
      </c>
      <c r="BL52" t="s">
        <v>26</v>
      </c>
      <c r="BM52" t="s">
        <v>27</v>
      </c>
      <c r="BN52" t="s">
        <v>29</v>
      </c>
      <c r="BO52" t="s">
        <v>30</v>
      </c>
      <c r="BP52" t="s">
        <v>31</v>
      </c>
      <c r="BQ52" t="s">
        <v>42</v>
      </c>
      <c r="BR52" t="s">
        <v>46</v>
      </c>
      <c r="BS52" t="s">
        <v>34</v>
      </c>
      <c r="BT52" t="s">
        <v>35</v>
      </c>
      <c r="BU52" t="s">
        <v>36</v>
      </c>
      <c r="BV52" t="s">
        <v>37</v>
      </c>
      <c r="BW52" t="s">
        <v>38</v>
      </c>
      <c r="BX52" t="s">
        <v>144</v>
      </c>
      <c r="BY52" t="s">
        <v>145</v>
      </c>
      <c r="BZ52" t="s">
        <v>146</v>
      </c>
      <c r="CA52" t="s">
        <v>147</v>
      </c>
      <c r="CB52" t="s">
        <v>148</v>
      </c>
      <c r="CC52" t="s">
        <v>39</v>
      </c>
    </row>
    <row r="53" spans="1:81" x14ac:dyDescent="0.3">
      <c r="B53" s="3"/>
      <c r="C53" s="3"/>
      <c r="D53" s="3"/>
      <c r="E53" t="s">
        <v>14</v>
      </c>
      <c r="F53" t="s">
        <v>14</v>
      </c>
      <c r="G53" t="s">
        <v>14</v>
      </c>
      <c r="H53" s="3" t="s">
        <v>6</v>
      </c>
      <c r="I53" s="3"/>
      <c r="J53" s="2" t="s">
        <v>14</v>
      </c>
      <c r="K53" s="2" t="s">
        <v>14</v>
      </c>
      <c r="L53" s="5" t="s">
        <v>17</v>
      </c>
      <c r="M53" s="5" t="s">
        <v>17</v>
      </c>
      <c r="N53" s="5" t="s">
        <v>17</v>
      </c>
      <c r="O53" t="s">
        <v>18</v>
      </c>
      <c r="P53" t="s">
        <v>18</v>
      </c>
      <c r="Q53" s="2" t="s">
        <v>18</v>
      </c>
      <c r="R53" t="s">
        <v>18</v>
      </c>
      <c r="S53" s="3" t="s">
        <v>7</v>
      </c>
      <c r="T53" s="3" t="s">
        <v>7</v>
      </c>
      <c r="U53" s="5" t="s">
        <v>6</v>
      </c>
      <c r="V53" s="5" t="s">
        <v>6</v>
      </c>
      <c r="W53" s="5" t="s">
        <v>6</v>
      </c>
      <c r="X53" s="5" t="s">
        <v>6</v>
      </c>
      <c r="Y53" s="5" t="s">
        <v>6</v>
      </c>
      <c r="Z53" s="5" t="s">
        <v>6</v>
      </c>
      <c r="AA53" s="2"/>
      <c r="AB53" s="5"/>
      <c r="AC53" s="5"/>
      <c r="AD53" s="5" t="s">
        <v>43</v>
      </c>
      <c r="AE53" s="5" t="s">
        <v>7</v>
      </c>
      <c r="AF53" s="5" t="s">
        <v>40</v>
      </c>
      <c r="AG53" s="5" t="s">
        <v>7</v>
      </c>
      <c r="AH53" s="5" t="s">
        <v>149</v>
      </c>
      <c r="AI53" s="5"/>
      <c r="AJ53" s="5"/>
      <c r="AK53" s="5"/>
      <c r="AL53" s="5" t="s">
        <v>7</v>
      </c>
      <c r="AM53" s="5" t="s">
        <v>7</v>
      </c>
      <c r="AN53" s="2" t="s">
        <v>6</v>
      </c>
      <c r="AO53" s="2" t="s">
        <v>6</v>
      </c>
      <c r="AT53" t="s">
        <v>14</v>
      </c>
      <c r="AU53" t="s">
        <v>14</v>
      </c>
      <c r="AV53" t="s">
        <v>14</v>
      </c>
      <c r="AW53" t="s">
        <v>6</v>
      </c>
      <c r="AX53" t="s">
        <v>6</v>
      </c>
      <c r="AZ53" s="2" t="s">
        <v>14</v>
      </c>
      <c r="BA53" s="2" t="s">
        <v>14</v>
      </c>
      <c r="BB53" s="2" t="s">
        <v>17</v>
      </c>
      <c r="BC53" s="2" t="s">
        <v>17</v>
      </c>
      <c r="BD53" s="2" t="s">
        <v>17</v>
      </c>
      <c r="BE53" t="s">
        <v>18</v>
      </c>
      <c r="BF53" t="s">
        <v>18</v>
      </c>
      <c r="BG53" s="2" t="s">
        <v>18</v>
      </c>
      <c r="BH53" t="s">
        <v>18</v>
      </c>
      <c r="BI53" t="s">
        <v>7</v>
      </c>
      <c r="BJ53" t="s">
        <v>7</v>
      </c>
      <c r="BK53" s="2" t="s">
        <v>6</v>
      </c>
      <c r="BL53" s="2" t="s">
        <v>6</v>
      </c>
      <c r="BM53" s="2" t="s">
        <v>6</v>
      </c>
      <c r="BN53" s="2" t="s">
        <v>6</v>
      </c>
      <c r="BO53" s="2" t="s">
        <v>6</v>
      </c>
      <c r="BP53" s="2" t="s">
        <v>6</v>
      </c>
      <c r="BQ53" s="2"/>
      <c r="BR53" s="2"/>
      <c r="BS53" s="2"/>
      <c r="BT53" s="2" t="s">
        <v>43</v>
      </c>
      <c r="BU53" s="2" t="s">
        <v>7</v>
      </c>
      <c r="BV53" s="2" t="s">
        <v>40</v>
      </c>
      <c r="BW53" s="2" t="s">
        <v>7</v>
      </c>
      <c r="BX53" s="2" t="s">
        <v>149</v>
      </c>
      <c r="BY53" s="2"/>
      <c r="BZ53" s="2"/>
      <c r="CA53" s="2"/>
      <c r="CB53" s="2" t="s">
        <v>7</v>
      </c>
      <c r="CC53" s="2" t="s">
        <v>7</v>
      </c>
    </row>
    <row r="54" spans="1:81" x14ac:dyDescent="0.3">
      <c r="A54" t="s">
        <v>100</v>
      </c>
      <c r="B54" s="3" t="s">
        <v>51</v>
      </c>
      <c r="C54" s="3" t="s">
        <v>104</v>
      </c>
      <c r="D54" s="3" t="s">
        <v>105</v>
      </c>
      <c r="H54" s="3" t="s">
        <v>5</v>
      </c>
      <c r="I54" s="3" t="s">
        <v>44</v>
      </c>
      <c r="L54" s="3" t="s">
        <v>8</v>
      </c>
      <c r="M54" s="3" t="s">
        <v>9</v>
      </c>
      <c r="N54" s="3" t="s">
        <v>10</v>
      </c>
      <c r="S54" s="3" t="s">
        <v>210</v>
      </c>
      <c r="T54" s="3" t="s">
        <v>211</v>
      </c>
      <c r="U54" s="3" t="s">
        <v>25</v>
      </c>
      <c r="V54" s="3" t="s">
        <v>26</v>
      </c>
      <c r="W54" s="3" t="s">
        <v>27</v>
      </c>
      <c r="X54" s="3" t="s">
        <v>29</v>
      </c>
      <c r="Y54" s="3" t="s">
        <v>30</v>
      </c>
      <c r="Z54" s="3" t="s">
        <v>31</v>
      </c>
      <c r="AB54" s="3" t="s">
        <v>46</v>
      </c>
      <c r="AC54" s="3" t="s">
        <v>34</v>
      </c>
      <c r="AD54" s="3" t="s">
        <v>35</v>
      </c>
      <c r="AE54" s="3" t="s">
        <v>36</v>
      </c>
      <c r="AF54" s="3" t="s">
        <v>37</v>
      </c>
      <c r="AG54" s="3" t="s">
        <v>38</v>
      </c>
      <c r="AH54" s="3" t="s">
        <v>144</v>
      </c>
      <c r="AI54" s="3" t="s">
        <v>145</v>
      </c>
      <c r="AJ54" s="3" t="s">
        <v>146</v>
      </c>
      <c r="AK54" s="3" t="s">
        <v>147</v>
      </c>
      <c r="AL54" s="3" t="s">
        <v>148</v>
      </c>
      <c r="AM54" s="3" t="s">
        <v>39</v>
      </c>
      <c r="AQ54" t="s">
        <v>32</v>
      </c>
      <c r="AR54" t="s">
        <v>104</v>
      </c>
      <c r="AS54" t="s">
        <v>105</v>
      </c>
      <c r="AW54" t="s">
        <v>5</v>
      </c>
      <c r="AX54" t="s">
        <v>5</v>
      </c>
      <c r="AY54" t="s">
        <v>44</v>
      </c>
      <c r="BB54" t="s">
        <v>8</v>
      </c>
      <c r="BC54" t="s">
        <v>9</v>
      </c>
      <c r="BD54" t="s">
        <v>10</v>
      </c>
      <c r="BI54" t="s">
        <v>210</v>
      </c>
      <c r="BJ54" t="s">
        <v>211</v>
      </c>
      <c r="BK54" t="s">
        <v>25</v>
      </c>
      <c r="BL54" t="s">
        <v>26</v>
      </c>
      <c r="BM54" t="s">
        <v>27</v>
      </c>
      <c r="BN54" t="s">
        <v>29</v>
      </c>
      <c r="BO54" t="s">
        <v>30</v>
      </c>
      <c r="BP54" t="s">
        <v>31</v>
      </c>
      <c r="BR54" t="s">
        <v>46</v>
      </c>
      <c r="BS54" t="s">
        <v>34</v>
      </c>
      <c r="BT54" t="s">
        <v>35</v>
      </c>
      <c r="BU54" t="s">
        <v>36</v>
      </c>
      <c r="BV54" t="s">
        <v>37</v>
      </c>
      <c r="BW54" t="s">
        <v>38</v>
      </c>
      <c r="BX54" t="s">
        <v>144</v>
      </c>
      <c r="BY54" t="s">
        <v>145</v>
      </c>
      <c r="BZ54" t="s">
        <v>146</v>
      </c>
      <c r="CA54" t="s">
        <v>147</v>
      </c>
      <c r="CB54" t="s">
        <v>148</v>
      </c>
      <c r="CC54" t="s">
        <v>39</v>
      </c>
    </row>
    <row r="55" spans="1:81" x14ac:dyDescent="0.3">
      <c r="A55">
        <v>1</v>
      </c>
      <c r="B55" s="3" t="s">
        <v>214</v>
      </c>
      <c r="C55" s="3" t="s">
        <v>106</v>
      </c>
      <c r="D55" s="13">
        <v>44126</v>
      </c>
      <c r="E55" s="2">
        <v>1.76</v>
      </c>
      <c r="F55" s="2">
        <v>0.17</v>
      </c>
      <c r="G55" s="2">
        <f>E55-F55</f>
        <v>1.59</v>
      </c>
      <c r="H55" s="4">
        <f>G55/$A$43*$A$44</f>
        <v>3912.4015748031497</v>
      </c>
      <c r="I55" s="10">
        <v>44134</v>
      </c>
      <c r="J55" s="2">
        <v>0.88</v>
      </c>
      <c r="K55" s="2">
        <v>2.2400000000000002</v>
      </c>
      <c r="L55" s="6">
        <f>(J55-$A$45)/G55</f>
        <v>0.37735849056603771</v>
      </c>
      <c r="M55" s="6">
        <f>(K55-$A$46)/G55</f>
        <v>0.35220125786163536</v>
      </c>
      <c r="N55" s="6">
        <f>1-L55-M55</f>
        <v>0.27044025157232698</v>
      </c>
      <c r="O55" s="2">
        <v>39.72</v>
      </c>
      <c r="P55" s="2">
        <v>38.33</v>
      </c>
      <c r="Q55" s="2">
        <v>106.79</v>
      </c>
      <c r="R55" s="2">
        <v>102.75</v>
      </c>
      <c r="S55" s="5">
        <f>(O55-P55)/O55*100</f>
        <v>3.4994964753272928</v>
      </c>
      <c r="T55" s="5">
        <f>(Q55-R55)/Q55*100</f>
        <v>3.7831257608390354</v>
      </c>
      <c r="U55" s="4">
        <f>H55*L55</f>
        <v>1476.3779527559054</v>
      </c>
      <c r="V55" s="4">
        <f>H55*M55</f>
        <v>1377.9527559055125</v>
      </c>
      <c r="W55" s="4">
        <f>U55+V55</f>
        <v>2854.3307086614177</v>
      </c>
      <c r="X55" s="4">
        <f>U55*(1-S55/100)</f>
        <v>1424.7121583367034</v>
      </c>
      <c r="Y55" s="4">
        <f>V55*(1-T55/100)</f>
        <v>1325.8230702246597</v>
      </c>
      <c r="Z55" s="4">
        <f>X55+Y55</f>
        <v>2750.5352285613631</v>
      </c>
      <c r="AA55" t="s">
        <v>156</v>
      </c>
      <c r="AB55" s="10">
        <v>44154</v>
      </c>
      <c r="AC55" s="4">
        <v>43.9</v>
      </c>
      <c r="AD55" s="15">
        <v>1.0820000000000001</v>
      </c>
      <c r="AE55" s="4">
        <v>80.3</v>
      </c>
      <c r="AF55" s="4">
        <v>27.9</v>
      </c>
      <c r="AG55" s="4">
        <v>5.9</v>
      </c>
      <c r="AH55" s="4">
        <v>79.7</v>
      </c>
      <c r="AI55" s="4">
        <v>7.8</v>
      </c>
      <c r="AJ55" s="4" t="s">
        <v>157</v>
      </c>
      <c r="AK55" s="16">
        <v>7</v>
      </c>
      <c r="AL55" s="5">
        <v>0.1</v>
      </c>
      <c r="AM55" s="4">
        <v>10.5</v>
      </c>
      <c r="AN55" s="1">
        <v>733.7</v>
      </c>
      <c r="AO55" s="1">
        <v>2223.3000000000002</v>
      </c>
      <c r="AQ55" s="14" t="s">
        <v>846</v>
      </c>
      <c r="AR55" s="1" t="s">
        <v>106</v>
      </c>
      <c r="AS55" s="11">
        <f>D55</f>
        <v>44126</v>
      </c>
      <c r="AT55" s="2">
        <f>SUM(E55:E56)</f>
        <v>3.6</v>
      </c>
      <c r="AU55" s="2">
        <f>SUM(F55:F56)</f>
        <v>0.36</v>
      </c>
      <c r="AV55" s="2">
        <f>AT55-AU55</f>
        <v>3.24</v>
      </c>
      <c r="AW55" s="1">
        <f>AV55/(2*$A$43)*$A$44</f>
        <v>3986.2204724409448</v>
      </c>
      <c r="AX55" s="1">
        <v>3534.5252773148113</v>
      </c>
      <c r="AY55" s="11">
        <f>I55</f>
        <v>44134</v>
      </c>
      <c r="AZ55" s="2">
        <f>SUM(J55:J56)</f>
        <v>1.78</v>
      </c>
      <c r="BA55" s="2">
        <f>SUM(K55:K56)</f>
        <v>4.54</v>
      </c>
      <c r="BB55" s="7">
        <f>(AZ55-2*$A$45)/AV55</f>
        <v>0.37654320987654316</v>
      </c>
      <c r="BC55" s="7">
        <f>(BA55-2*$A$46)/AV55</f>
        <v>0.36419753086419754</v>
      </c>
      <c r="BD55" s="7">
        <f>1-BB55-BC55</f>
        <v>0.25925925925925936</v>
      </c>
      <c r="BE55" s="2">
        <f>SUM(O55:O56)</f>
        <v>96.3</v>
      </c>
      <c r="BF55" s="2">
        <f>SUM(P55:P56)</f>
        <v>92.789999999999992</v>
      </c>
      <c r="BG55" s="2">
        <f>SUM(Q55:Q56)</f>
        <v>214.35000000000002</v>
      </c>
      <c r="BH55" s="2">
        <f>SUM(R55:R56)</f>
        <v>206.43</v>
      </c>
      <c r="BI55" s="2">
        <f>(BE55-BF55)/BE55*100</f>
        <v>3.6448598130841177</v>
      </c>
      <c r="BJ55" s="2">
        <f>(BG55-BH55)/BG55*100</f>
        <v>3.6948915325402445</v>
      </c>
      <c r="BK55" s="1">
        <f>AX55*BB55</f>
        <v>1330.9014933098979</v>
      </c>
      <c r="BL55" s="1">
        <f>AX55*BC55</f>
        <v>1287.2653787751474</v>
      </c>
      <c r="BM55" s="1">
        <f>BK55+BL55</f>
        <v>2618.1668720850453</v>
      </c>
      <c r="BN55" s="1">
        <f>BK55*(1-BI55/100)</f>
        <v>1282.391999628509</v>
      </c>
      <c r="BO55" s="1">
        <f>BL55*(1-BJ55/100)</f>
        <v>1239.7023192934623</v>
      </c>
      <c r="BP55" s="1">
        <f>BN55+BO55</f>
        <v>2522.0943189219715</v>
      </c>
      <c r="BQ55" s="11" t="str">
        <f>AA55</f>
        <v>992013011202</v>
      </c>
      <c r="BR55" s="11">
        <f>AB55</f>
        <v>44154</v>
      </c>
      <c r="BS55" s="1">
        <f>AVERAGE(AC55:AC56)</f>
        <v>42.95</v>
      </c>
      <c r="BT55" s="9">
        <f t="shared" ref="BT55:CC55" si="0">AVERAGE(AD55:AD56)</f>
        <v>1.0785</v>
      </c>
      <c r="BU55" s="1">
        <f t="shared" si="0"/>
        <v>79.849999999999994</v>
      </c>
      <c r="BV55" s="1">
        <f t="shared" si="0"/>
        <v>28.25</v>
      </c>
      <c r="BW55" s="1">
        <f t="shared" si="0"/>
        <v>5.9</v>
      </c>
      <c r="BX55" s="1">
        <f t="shared" si="0"/>
        <v>80.5</v>
      </c>
      <c r="BY55" s="1">
        <f t="shared" si="0"/>
        <v>8.25</v>
      </c>
      <c r="BZ55" s="1"/>
      <c r="CA55" s="8">
        <f t="shared" si="0"/>
        <v>6.5</v>
      </c>
      <c r="CB55" s="2">
        <f t="shared" si="0"/>
        <v>8.5000000000000006E-2</v>
      </c>
      <c r="CC55" s="1">
        <f t="shared" si="0"/>
        <v>11.3</v>
      </c>
    </row>
    <row r="56" spans="1:81" x14ac:dyDescent="0.3">
      <c r="A56">
        <v>2</v>
      </c>
      <c r="B56" s="3" t="s">
        <v>215</v>
      </c>
      <c r="C56" s="3" t="s">
        <v>106</v>
      </c>
      <c r="D56" s="13">
        <v>44126</v>
      </c>
      <c r="E56" s="2">
        <v>1.84</v>
      </c>
      <c r="F56" s="2">
        <v>0.19</v>
      </c>
      <c r="G56" s="2">
        <f t="shared" ref="G56:G102" si="1">E56-F56</f>
        <v>1.6500000000000001</v>
      </c>
      <c r="H56" s="4">
        <f t="shared" ref="H56:H102" si="2">G56/$A$43*$A$44</f>
        <v>4060.0393700787404</v>
      </c>
      <c r="I56" s="10">
        <v>44134</v>
      </c>
      <c r="J56" s="2">
        <v>0.9</v>
      </c>
      <c r="K56" s="2">
        <v>2.2999999999999998</v>
      </c>
      <c r="L56" s="6">
        <f t="shared" ref="L56:L102" si="3">(J56-$A$45)/G56</f>
        <v>0.37575757575757573</v>
      </c>
      <c r="M56" s="6">
        <f t="shared" ref="M56:M102" si="4">(K56-$A$46)/G56</f>
        <v>0.37575757575757568</v>
      </c>
      <c r="N56" s="6">
        <f t="shared" ref="N56:N102" si="5">1-L56-M56</f>
        <v>0.24848484848484859</v>
      </c>
      <c r="O56" s="2">
        <v>56.58</v>
      </c>
      <c r="P56" s="2">
        <v>54.46</v>
      </c>
      <c r="Q56" s="2">
        <v>107.56</v>
      </c>
      <c r="R56" s="2">
        <v>103.68</v>
      </c>
      <c r="S56" s="5">
        <f t="shared" ref="S56:S102" si="6">(O56-P56)/O56*100</f>
        <v>3.7469070342877298</v>
      </c>
      <c r="T56" s="5">
        <f t="shared" ref="T56:T102" si="7">(Q56-R56)/Q56*100</f>
        <v>3.607288955001855</v>
      </c>
      <c r="U56" s="4">
        <f t="shared" ref="U56:U102" si="8">H56*L56</f>
        <v>1525.5905511811025</v>
      </c>
      <c r="V56" s="4">
        <f t="shared" ref="V56:V102" si="9">H56*M56</f>
        <v>1525.5905511811022</v>
      </c>
      <c r="W56" s="4">
        <f t="shared" ref="W56:W102" si="10">U56+V56</f>
        <v>3051.1811023622049</v>
      </c>
      <c r="X56" s="4">
        <f t="shared" ref="X56:X102" si="11">U56*(1-S56/100)</f>
        <v>1468.4280915044687</v>
      </c>
      <c r="Y56" s="4">
        <f t="shared" ref="Y56:Y102" si="12">V56*(1-T56/100)</f>
        <v>1470.5580917297943</v>
      </c>
      <c r="Z56" s="4">
        <f t="shared" ref="Z56:Z102" si="13">X56+Y56</f>
        <v>2938.9861832342631</v>
      </c>
      <c r="AA56" s="8" t="s">
        <v>184</v>
      </c>
      <c r="AB56" s="10">
        <v>44154</v>
      </c>
      <c r="AC56" s="4">
        <v>42</v>
      </c>
      <c r="AD56" s="15">
        <v>1.075</v>
      </c>
      <c r="AE56" s="4">
        <v>79.400000000000006</v>
      </c>
      <c r="AF56" s="4">
        <v>28.6</v>
      </c>
      <c r="AG56" s="4">
        <v>5.9</v>
      </c>
      <c r="AH56" s="4">
        <v>81.3</v>
      </c>
      <c r="AI56" s="4">
        <v>8.6999999999999993</v>
      </c>
      <c r="AJ56" s="4" t="s">
        <v>159</v>
      </c>
      <c r="AK56" s="16">
        <v>6</v>
      </c>
      <c r="AL56" s="5">
        <v>7.0000000000000007E-2</v>
      </c>
      <c r="AM56" s="4">
        <v>12.1</v>
      </c>
      <c r="AN56" s="1">
        <v>938.2</v>
      </c>
      <c r="AO56" s="1">
        <v>2843.1</v>
      </c>
      <c r="AQ56" s="14"/>
      <c r="AR56" s="1"/>
      <c r="AS56" s="1"/>
      <c r="AT56" s="2"/>
      <c r="AU56" s="2"/>
      <c r="AV56" s="2"/>
      <c r="AW56" s="1"/>
      <c r="AX56" s="1"/>
      <c r="AY56" s="2"/>
      <c r="AZ56" s="2"/>
      <c r="BA56" s="2"/>
      <c r="BB56" s="7"/>
      <c r="BC56" s="7"/>
      <c r="BD56" s="7"/>
      <c r="BE56" s="2"/>
      <c r="BF56" s="2"/>
      <c r="BG56" s="2"/>
      <c r="BH56" s="2"/>
      <c r="BI56" s="2"/>
      <c r="BJ56" s="2"/>
      <c r="BK56" s="1"/>
      <c r="BL56" s="1"/>
      <c r="BM56" s="1"/>
      <c r="BN56" s="1"/>
      <c r="BO56" s="1"/>
      <c r="BP56" s="1"/>
      <c r="BQ56" s="11"/>
      <c r="BR56" s="1"/>
      <c r="BS56" s="1"/>
      <c r="BT56" s="9"/>
      <c r="BU56" s="1"/>
      <c r="BV56" s="1"/>
      <c r="BW56" s="1"/>
      <c r="BX56" s="1"/>
      <c r="BY56" s="1"/>
      <c r="CA56" s="8"/>
      <c r="CB56" s="2"/>
      <c r="CC56" s="1"/>
    </row>
    <row r="57" spans="1:81" x14ac:dyDescent="0.3">
      <c r="A57">
        <v>3</v>
      </c>
      <c r="B57" s="3" t="s">
        <v>216</v>
      </c>
      <c r="C57" s="3" t="s">
        <v>106</v>
      </c>
      <c r="D57" s="13">
        <v>44126</v>
      </c>
      <c r="E57" s="2">
        <v>1.38</v>
      </c>
      <c r="F57" s="2">
        <v>0.17</v>
      </c>
      <c r="G57" s="2">
        <f t="shared" si="1"/>
        <v>1.21</v>
      </c>
      <c r="H57" s="4">
        <f t="shared" si="2"/>
        <v>2977.3622047244094</v>
      </c>
      <c r="I57" s="10">
        <v>44134</v>
      </c>
      <c r="J57" s="2">
        <v>0.72</v>
      </c>
      <c r="K57" s="2">
        <v>2.02</v>
      </c>
      <c r="L57" s="6">
        <f t="shared" si="3"/>
        <v>0.36363636363636359</v>
      </c>
      <c r="M57" s="6">
        <f t="shared" si="4"/>
        <v>0.28099173553719015</v>
      </c>
      <c r="N57" s="6">
        <f t="shared" si="5"/>
        <v>0.35537190082644632</v>
      </c>
      <c r="O57" s="2">
        <v>43.99</v>
      </c>
      <c r="P57" s="2">
        <v>42.46</v>
      </c>
      <c r="Q57" s="2">
        <v>92.73</v>
      </c>
      <c r="R57" s="2">
        <v>89.29</v>
      </c>
      <c r="S57" s="5">
        <f t="shared" si="6"/>
        <v>3.4780631961809529</v>
      </c>
      <c r="T57" s="5">
        <f t="shared" si="7"/>
        <v>3.709694812897657</v>
      </c>
      <c r="U57" s="4">
        <f t="shared" si="8"/>
        <v>1082.6771653543306</v>
      </c>
      <c r="V57" s="4">
        <f t="shared" si="9"/>
        <v>836.61417322834666</v>
      </c>
      <c r="W57" s="4">
        <f t="shared" si="10"/>
        <v>1919.2913385826773</v>
      </c>
      <c r="X57" s="4">
        <f t="shared" si="11"/>
        <v>1045.0209693326863</v>
      </c>
      <c r="Y57" s="4">
        <f t="shared" si="12"/>
        <v>805.57834064012809</v>
      </c>
      <c r="Z57" s="4">
        <f t="shared" si="13"/>
        <v>1850.5993099728144</v>
      </c>
      <c r="AA57" t="s">
        <v>158</v>
      </c>
      <c r="AB57" s="10">
        <v>44154</v>
      </c>
      <c r="AC57" s="4">
        <v>40.4</v>
      </c>
      <c r="AD57" s="15">
        <v>1.036</v>
      </c>
      <c r="AE57" s="4">
        <v>79.7</v>
      </c>
      <c r="AF57" s="4">
        <v>26.6</v>
      </c>
      <c r="AG57" s="4">
        <v>5.6</v>
      </c>
      <c r="AH57" s="4">
        <v>80.7</v>
      </c>
      <c r="AI57" s="4">
        <v>8.5</v>
      </c>
      <c r="AJ57" s="4" t="s">
        <v>159</v>
      </c>
      <c r="AK57" s="16">
        <v>16</v>
      </c>
      <c r="AL57" s="5">
        <v>0.64</v>
      </c>
      <c r="AM57" s="4">
        <v>12.2</v>
      </c>
      <c r="AN57" s="1">
        <v>575</v>
      </c>
      <c r="AO57" s="1">
        <v>1742.3</v>
      </c>
      <c r="AQ57" s="14" t="s">
        <v>847</v>
      </c>
      <c r="AR57" s="1" t="s">
        <v>106</v>
      </c>
      <c r="AS57" s="11">
        <f>D57</f>
        <v>44126</v>
      </c>
      <c r="AT57" s="2">
        <f>SUM(E57:E58)</f>
        <v>2.2399999999999998</v>
      </c>
      <c r="AU57" s="2">
        <f>SUM(F57:F58)</f>
        <v>0.33</v>
      </c>
      <c r="AV57" s="2">
        <f>AT57-AU57</f>
        <v>1.9099999999999997</v>
      </c>
      <c r="AW57" s="1">
        <f>AV57/(2*$A$43)*$A$44</f>
        <v>2349.9015748031493</v>
      </c>
      <c r="AX57" s="1">
        <v>2861.3096857712503</v>
      </c>
      <c r="AY57" s="11">
        <f>I57</f>
        <v>44134</v>
      </c>
      <c r="AZ57" s="2">
        <f>SUM(J57:J58)</f>
        <v>1.22</v>
      </c>
      <c r="BA57" s="2">
        <f>SUM(K57:K58)</f>
        <v>3.7800000000000002</v>
      </c>
      <c r="BB57" s="7">
        <f>(AZ57-2*$A$45)/AV57</f>
        <v>0.34554973821989532</v>
      </c>
      <c r="BC57" s="7">
        <f>(BA57-2*$A$46)/AV57</f>
        <v>0.21989528795811542</v>
      </c>
      <c r="BD57" s="7">
        <f>1-BB57-BC57</f>
        <v>0.43455497382198927</v>
      </c>
      <c r="BE57" s="2">
        <f>SUM(O57:O58)</f>
        <v>73.510000000000005</v>
      </c>
      <c r="BF57" s="2">
        <f>SUM(P57:P58)</f>
        <v>70.849999999999994</v>
      </c>
      <c r="BG57" s="2">
        <f>SUM(Q57:Q58)</f>
        <v>185.38</v>
      </c>
      <c r="BH57" s="2">
        <f>SUM(R57:R58)</f>
        <v>178.46</v>
      </c>
      <c r="BI57" s="2">
        <f>(BE57-BF57)/BE57*100</f>
        <v>3.6185552985988445</v>
      </c>
      <c r="BJ57" s="2">
        <f>(BG57-BH57)/BG57*100</f>
        <v>3.7328730175854932</v>
      </c>
      <c r="BK57" s="1">
        <f>AX57*BB57</f>
        <v>988.72481288430652</v>
      </c>
      <c r="BL57" s="1">
        <f>AX57*BC57</f>
        <v>629.18851729001381</v>
      </c>
      <c r="BM57" s="1">
        <f>BK57+BL57</f>
        <v>1617.9133301743204</v>
      </c>
      <c r="BN57" s="1">
        <f>BK57*(1-BI57/100)</f>
        <v>952.94725877911992</v>
      </c>
      <c r="BO57" s="1">
        <f>BL57*(1-BJ57/100)</f>
        <v>605.70170889834867</v>
      </c>
      <c r="BP57" s="1">
        <f>BN57+BO57</f>
        <v>1558.6489676774686</v>
      </c>
      <c r="BQ57" s="11" t="str">
        <f>AA57</f>
        <v>992013012204</v>
      </c>
      <c r="BR57" s="11">
        <f>AB57</f>
        <v>44154</v>
      </c>
      <c r="BS57" s="1">
        <f>AVERAGE(AC57:AC58)</f>
        <v>41.400000000000006</v>
      </c>
      <c r="BT57" s="9">
        <f t="shared" ref="BT57" si="14">AVERAGE(AD57:AD58)</f>
        <v>1.0129999999999999</v>
      </c>
      <c r="BU57" s="1">
        <f t="shared" ref="BU57" si="15">AVERAGE(AE57:AE58)</f>
        <v>77.95</v>
      </c>
      <c r="BV57" s="1">
        <f t="shared" ref="BV57" si="16">AVERAGE(AF57:AF58)</f>
        <v>24.85</v>
      </c>
      <c r="BW57" s="1">
        <f t="shared" ref="BW57" si="17">AVERAGE(AG57:AG58)</f>
        <v>5.8</v>
      </c>
      <c r="BX57" s="1">
        <f t="shared" ref="BX57" si="18">AVERAGE(AH57:AH58)</f>
        <v>80.7</v>
      </c>
      <c r="BY57" s="1">
        <f t="shared" ref="BY57" si="19">AVERAGE(AI57:AI58)</f>
        <v>8.8000000000000007</v>
      </c>
      <c r="BZ57" s="1"/>
      <c r="CA57" s="8">
        <f t="shared" ref="CA57" si="20">AVERAGE(AK57:AK58)</f>
        <v>17</v>
      </c>
      <c r="CB57" s="2">
        <f t="shared" ref="CB57" si="21">AVERAGE(AL57:AL58)</f>
        <v>0.45</v>
      </c>
      <c r="CC57" s="1">
        <f t="shared" ref="CC57" si="22">AVERAGE(AM57:AM58)</f>
        <v>15.45</v>
      </c>
    </row>
    <row r="58" spans="1:81" x14ac:dyDescent="0.3">
      <c r="A58">
        <v>4</v>
      </c>
      <c r="B58" s="3" t="s">
        <v>217</v>
      </c>
      <c r="C58" s="3" t="s">
        <v>106</v>
      </c>
      <c r="D58" s="13">
        <v>44126</v>
      </c>
      <c r="E58" s="2">
        <v>0.86</v>
      </c>
      <c r="F58" s="2">
        <v>0.16</v>
      </c>
      <c r="G58" s="2">
        <f t="shared" si="1"/>
        <v>0.7</v>
      </c>
      <c r="H58" s="4">
        <f t="shared" si="2"/>
        <v>1722.4409448818897</v>
      </c>
      <c r="I58" s="10">
        <v>44134</v>
      </c>
      <c r="J58" s="2">
        <v>0.5</v>
      </c>
      <c r="K58" s="2">
        <v>1.76</v>
      </c>
      <c r="L58" s="6">
        <f t="shared" si="3"/>
        <v>0.31428571428571428</v>
      </c>
      <c r="M58" s="6">
        <f t="shared" si="4"/>
        <v>0.11428571428571439</v>
      </c>
      <c r="N58" s="6">
        <f t="shared" si="5"/>
        <v>0.57142857142857129</v>
      </c>
      <c r="O58" s="2">
        <v>29.52</v>
      </c>
      <c r="P58" s="2">
        <v>28.39</v>
      </c>
      <c r="Q58" s="2">
        <v>92.65</v>
      </c>
      <c r="R58" s="2">
        <v>89.17</v>
      </c>
      <c r="S58" s="5">
        <f t="shared" si="6"/>
        <v>3.8279132791327877</v>
      </c>
      <c r="T58" s="5">
        <f t="shared" si="7"/>
        <v>3.7560712358337871</v>
      </c>
      <c r="U58" s="4">
        <f t="shared" si="8"/>
        <v>541.33858267716528</v>
      </c>
      <c r="V58" s="4">
        <f t="shared" si="9"/>
        <v>196.85039370078758</v>
      </c>
      <c r="W58" s="4">
        <f t="shared" si="10"/>
        <v>738.18897637795283</v>
      </c>
      <c r="X58" s="4">
        <f t="shared" si="11"/>
        <v>520.61661118579684</v>
      </c>
      <c r="Y58" s="4">
        <f t="shared" si="12"/>
        <v>189.45655268536672</v>
      </c>
      <c r="Z58" s="4">
        <f t="shared" si="13"/>
        <v>710.07316387116362</v>
      </c>
      <c r="AA58" s="8" t="s">
        <v>185</v>
      </c>
      <c r="AB58" s="10">
        <v>44154</v>
      </c>
      <c r="AC58" s="4">
        <v>42.400000000000006</v>
      </c>
      <c r="AD58" s="15">
        <v>0.99</v>
      </c>
      <c r="AE58" s="4">
        <v>76.2</v>
      </c>
      <c r="AF58" s="4">
        <v>23.1</v>
      </c>
      <c r="AG58" s="4">
        <v>6</v>
      </c>
      <c r="AH58" s="4">
        <v>80.7</v>
      </c>
      <c r="AI58" s="4">
        <v>9.1</v>
      </c>
      <c r="AJ58" s="4" t="s">
        <v>163</v>
      </c>
      <c r="AK58" s="16">
        <v>18</v>
      </c>
      <c r="AL58" s="5">
        <v>0.26</v>
      </c>
      <c r="AM58" s="4">
        <v>18.7</v>
      </c>
      <c r="AN58" s="1">
        <v>366.5</v>
      </c>
      <c r="AO58" s="1">
        <v>1110.7</v>
      </c>
      <c r="AQ58" s="14"/>
      <c r="AR58" s="1"/>
      <c r="AS58" s="1"/>
      <c r="AT58" s="2"/>
      <c r="AU58" s="2"/>
      <c r="AV58" s="2"/>
      <c r="AW58" s="1"/>
      <c r="AX58" s="1"/>
      <c r="AY58" s="2"/>
      <c r="AZ58" s="2"/>
      <c r="BA58" s="2"/>
      <c r="BB58" s="7"/>
      <c r="BC58" s="7"/>
      <c r="BD58" s="7"/>
      <c r="BE58" s="2"/>
      <c r="BF58" s="2"/>
      <c r="BG58" s="2"/>
      <c r="BH58" s="2"/>
      <c r="BI58" s="2"/>
      <c r="BJ58" s="2"/>
      <c r="BK58" s="1"/>
      <c r="BL58" s="1"/>
      <c r="BM58" s="1"/>
      <c r="BN58" s="1"/>
      <c r="BO58" s="1"/>
      <c r="BP58" s="1"/>
      <c r="BQ58" s="11"/>
      <c r="BR58" s="1"/>
      <c r="BS58" s="1"/>
      <c r="BT58" s="9"/>
      <c r="BU58" s="1"/>
      <c r="BV58" s="1"/>
      <c r="BW58" s="1"/>
      <c r="BX58" s="1"/>
      <c r="BY58" s="1"/>
      <c r="CA58" s="8"/>
      <c r="CB58" s="2"/>
      <c r="CC58" s="1"/>
    </row>
    <row r="59" spans="1:81" x14ac:dyDescent="0.3">
      <c r="A59">
        <v>5</v>
      </c>
      <c r="B59" s="3" t="s">
        <v>218</v>
      </c>
      <c r="C59" s="3" t="s">
        <v>106</v>
      </c>
      <c r="D59" s="13">
        <v>44126</v>
      </c>
      <c r="E59" s="2">
        <v>0.91</v>
      </c>
      <c r="F59" s="2">
        <v>0.16</v>
      </c>
      <c r="G59" s="2">
        <f t="shared" si="1"/>
        <v>0.75</v>
      </c>
      <c r="H59" s="4">
        <f t="shared" si="2"/>
        <v>1845.472440944882</v>
      </c>
      <c r="I59" s="10">
        <v>44134</v>
      </c>
      <c r="J59" s="2">
        <v>0.52</v>
      </c>
      <c r="K59" s="2">
        <v>1.8</v>
      </c>
      <c r="L59" s="6">
        <f t="shared" si="3"/>
        <v>0.32</v>
      </c>
      <c r="M59" s="6">
        <f t="shared" si="4"/>
        <v>0.16000000000000014</v>
      </c>
      <c r="N59" s="6">
        <f t="shared" si="5"/>
        <v>0.5199999999999998</v>
      </c>
      <c r="O59" s="2">
        <v>45.8</v>
      </c>
      <c r="P59" s="2">
        <v>44.24</v>
      </c>
      <c r="Q59" s="2">
        <v>85.32</v>
      </c>
      <c r="R59" s="2">
        <v>81.99</v>
      </c>
      <c r="S59" s="5">
        <f t="shared" si="6"/>
        <v>3.4061135371178932</v>
      </c>
      <c r="T59" s="5">
        <f t="shared" si="7"/>
        <v>3.9029535864978886</v>
      </c>
      <c r="U59" s="4">
        <f t="shared" si="8"/>
        <v>590.55118110236231</v>
      </c>
      <c r="V59" s="4">
        <f t="shared" si="9"/>
        <v>295.27559055118138</v>
      </c>
      <c r="W59" s="4">
        <f t="shared" si="10"/>
        <v>885.82677165354369</v>
      </c>
      <c r="X59" s="4">
        <f t="shared" si="11"/>
        <v>570.43633737922517</v>
      </c>
      <c r="Y59" s="4">
        <f t="shared" si="12"/>
        <v>283.7511212997112</v>
      </c>
      <c r="Z59" s="4">
        <f t="shared" si="13"/>
        <v>854.18745867893631</v>
      </c>
      <c r="AA59" t="s">
        <v>160</v>
      </c>
      <c r="AB59" s="10">
        <v>44154</v>
      </c>
      <c r="AC59" s="4">
        <v>38.799999999999997</v>
      </c>
      <c r="AD59" s="15">
        <v>1.0289999999999999</v>
      </c>
      <c r="AE59" s="4">
        <v>78.599999999999994</v>
      </c>
      <c r="AF59" s="4">
        <v>25.8</v>
      </c>
      <c r="AG59" s="4">
        <v>5.8</v>
      </c>
      <c r="AH59" s="4">
        <v>80.8</v>
      </c>
      <c r="AI59" s="4">
        <v>9.1999999999999993</v>
      </c>
      <c r="AJ59" s="4" t="s">
        <v>161</v>
      </c>
      <c r="AK59" s="16">
        <v>11</v>
      </c>
      <c r="AL59" s="5">
        <v>0.19</v>
      </c>
      <c r="AM59" s="4">
        <v>14.5</v>
      </c>
      <c r="AN59" s="1">
        <v>267.39999999999998</v>
      </c>
      <c r="AO59" s="1">
        <v>810.2</v>
      </c>
      <c r="AQ59" s="14" t="s">
        <v>848</v>
      </c>
      <c r="AR59" s="1" t="s">
        <v>106</v>
      </c>
      <c r="AS59" s="11">
        <f>D59</f>
        <v>44126</v>
      </c>
      <c r="AT59" s="2">
        <f>SUM(E59:E60)</f>
        <v>1.9300000000000002</v>
      </c>
      <c r="AU59" s="2">
        <f>SUM(F59:F60)</f>
        <v>0.33</v>
      </c>
      <c r="AV59" s="2">
        <f>AT59-AU59</f>
        <v>1.6</v>
      </c>
      <c r="AW59" s="1">
        <f>AV59/(2*$A$43)*$A$44</f>
        <v>1968.5039370078741</v>
      </c>
      <c r="AX59" s="1">
        <v>2680.9368676209951</v>
      </c>
      <c r="AY59" s="11">
        <f>I59</f>
        <v>44134</v>
      </c>
      <c r="AZ59" s="2">
        <f>SUM(J59:J60)</f>
        <v>1.08</v>
      </c>
      <c r="BA59" s="2">
        <f>SUM(K59:K60)</f>
        <v>3.7</v>
      </c>
      <c r="BB59" s="7">
        <f>(AZ59-2*$A$45)/AV59</f>
        <v>0.32500000000000001</v>
      </c>
      <c r="BC59" s="7">
        <f>(BA59-2*$A$46)/AV59</f>
        <v>0.21250000000000019</v>
      </c>
      <c r="BD59" s="7">
        <f>1-BB59-BC59</f>
        <v>0.46249999999999986</v>
      </c>
      <c r="BE59" s="2">
        <f>SUM(O59:O60)</f>
        <v>85.56</v>
      </c>
      <c r="BF59" s="2">
        <f>SUM(P59:P60)</f>
        <v>80.81</v>
      </c>
      <c r="BG59" s="2">
        <f>SUM(Q59:Q60)</f>
        <v>155.87</v>
      </c>
      <c r="BH59" s="2">
        <f>SUM(R59:R60)</f>
        <v>149.91</v>
      </c>
      <c r="BI59" s="2">
        <f>(BE59-BF59)/BE59*100</f>
        <v>5.551659654043946</v>
      </c>
      <c r="BJ59" s="2">
        <f>(BG59-BH59)/BG59*100</f>
        <v>3.8236992365432787</v>
      </c>
      <c r="BK59" s="1">
        <f>AX59*BB59</f>
        <v>871.30448197682347</v>
      </c>
      <c r="BL59" s="1">
        <f>AX59*BC59</f>
        <v>569.69908436946196</v>
      </c>
      <c r="BM59" s="1">
        <f>BK59+BL59</f>
        <v>1441.0035663462854</v>
      </c>
      <c r="BN59" s="1">
        <f>BK59*(1-BI59/100)</f>
        <v>822.93262258703953</v>
      </c>
      <c r="BO59" s="1">
        <f>BL59*(1-BJ59/100)</f>
        <v>547.9155048298328</v>
      </c>
      <c r="BP59" s="1">
        <f>BN59+BO59</f>
        <v>1370.8481274168723</v>
      </c>
      <c r="BQ59" s="11" t="str">
        <f>AA59</f>
        <v>992013013206</v>
      </c>
      <c r="BR59" s="11">
        <f>AB59</f>
        <v>44154</v>
      </c>
      <c r="BS59" s="1">
        <f>AVERAGE(AC59:AC60)</f>
        <v>37.099999999999994</v>
      </c>
      <c r="BT59" s="9">
        <f t="shared" ref="BT59" si="23">AVERAGE(AD59:AD60)</f>
        <v>1.02</v>
      </c>
      <c r="BU59" s="1">
        <f t="shared" ref="BU59" si="24">AVERAGE(AE59:AE60)</f>
        <v>78.599999999999994</v>
      </c>
      <c r="BV59" s="1">
        <f t="shared" ref="BV59" si="25">AVERAGE(AF59:AF60)</f>
        <v>25.450000000000003</v>
      </c>
      <c r="BW59" s="1">
        <f t="shared" ref="BW59" si="26">AVERAGE(AG59:AG60)</f>
        <v>5.85</v>
      </c>
      <c r="BX59" s="1">
        <f t="shared" ref="BX59" si="27">AVERAGE(AH59:AH60)</f>
        <v>79.849999999999994</v>
      </c>
      <c r="BY59" s="1">
        <f t="shared" ref="BY59" si="28">AVERAGE(AI59:AI60)</f>
        <v>9.1</v>
      </c>
      <c r="BZ59" s="1"/>
      <c r="CA59" s="8">
        <f t="shared" ref="CA59" si="29">AVERAGE(AK59:AK60)</f>
        <v>8.5</v>
      </c>
      <c r="CB59" s="2">
        <f t="shared" ref="CB59" si="30">AVERAGE(AL59:AL60)</f>
        <v>0.125</v>
      </c>
      <c r="CC59" s="1">
        <f t="shared" ref="CC59" si="31">AVERAGE(AM59:AM60)</f>
        <v>14.5</v>
      </c>
    </row>
    <row r="60" spans="1:81" x14ac:dyDescent="0.3">
      <c r="A60">
        <v>6</v>
      </c>
      <c r="B60" s="3" t="s">
        <v>219</v>
      </c>
      <c r="C60" s="3" t="s">
        <v>106</v>
      </c>
      <c r="D60" s="13">
        <v>44126</v>
      </c>
      <c r="E60" s="2">
        <v>1.02</v>
      </c>
      <c r="F60" s="2">
        <v>0.17</v>
      </c>
      <c r="G60" s="2">
        <f t="shared" si="1"/>
        <v>0.85</v>
      </c>
      <c r="H60" s="4">
        <f t="shared" si="2"/>
        <v>2091.535433070866</v>
      </c>
      <c r="I60" s="10">
        <v>44134</v>
      </c>
      <c r="J60" s="2">
        <v>0.56000000000000005</v>
      </c>
      <c r="K60" s="2">
        <v>1.9</v>
      </c>
      <c r="L60" s="6">
        <f t="shared" si="3"/>
        <v>0.3294117647058824</v>
      </c>
      <c r="M60" s="6">
        <f t="shared" si="4"/>
        <v>0.25882352941176467</v>
      </c>
      <c r="N60" s="6">
        <f t="shared" si="5"/>
        <v>0.41176470588235292</v>
      </c>
      <c r="O60" s="2">
        <v>39.76</v>
      </c>
      <c r="P60" s="2">
        <v>36.57</v>
      </c>
      <c r="Q60" s="2">
        <v>70.55</v>
      </c>
      <c r="R60" s="2">
        <v>67.92</v>
      </c>
      <c r="S60" s="5">
        <f t="shared" si="6"/>
        <v>8.0231388329979829</v>
      </c>
      <c r="T60" s="5">
        <f t="shared" si="7"/>
        <v>3.7278525868178534</v>
      </c>
      <c r="U60" s="4">
        <f t="shared" si="8"/>
        <v>688.97637795275602</v>
      </c>
      <c r="V60" s="4">
        <f t="shared" si="9"/>
        <v>541.33858267716528</v>
      </c>
      <c r="W60" s="4">
        <f t="shared" si="10"/>
        <v>1230.3149606299212</v>
      </c>
      <c r="X60" s="4">
        <f t="shared" si="11"/>
        <v>633.69884662304548</v>
      </c>
      <c r="Y60" s="4">
        <f t="shared" si="12"/>
        <v>521.15827831939146</v>
      </c>
      <c r="Z60" s="4">
        <f t="shared" si="13"/>
        <v>1154.8571249424369</v>
      </c>
      <c r="AA60" s="8" t="s">
        <v>186</v>
      </c>
      <c r="AB60" s="10">
        <v>44154</v>
      </c>
      <c r="AC60" s="4">
        <v>35.4</v>
      </c>
      <c r="AD60" s="15">
        <v>1.0109999999999999</v>
      </c>
      <c r="AE60" s="4">
        <v>78.599999999999994</v>
      </c>
      <c r="AF60" s="4">
        <v>25.1</v>
      </c>
      <c r="AG60" s="4">
        <v>5.9</v>
      </c>
      <c r="AH60" s="4">
        <v>78.900000000000006</v>
      </c>
      <c r="AI60" s="4">
        <v>9</v>
      </c>
      <c r="AJ60" s="4" t="s">
        <v>159</v>
      </c>
      <c r="AK60" s="16">
        <v>6</v>
      </c>
      <c r="AL60" s="5">
        <v>0.06</v>
      </c>
      <c r="AM60" s="4">
        <v>14.5</v>
      </c>
      <c r="AN60" s="1">
        <v>399</v>
      </c>
      <c r="AO60" s="1">
        <v>1209.2</v>
      </c>
      <c r="AQ60" s="14"/>
      <c r="AR60" s="1"/>
      <c r="AS60" s="1"/>
      <c r="AT60" s="2"/>
      <c r="AU60" s="2"/>
      <c r="AV60" s="2"/>
      <c r="AW60" s="1"/>
      <c r="AX60" s="1"/>
      <c r="AY60" s="2"/>
      <c r="AZ60" s="2"/>
      <c r="BA60" s="2"/>
      <c r="BB60" s="7"/>
      <c r="BC60" s="7"/>
      <c r="BD60" s="7"/>
      <c r="BE60" s="2"/>
      <c r="BF60" s="2"/>
      <c r="BG60" s="2"/>
      <c r="BH60" s="2"/>
      <c r="BI60" s="2"/>
      <c r="BJ60" s="2"/>
      <c r="BK60" s="1"/>
      <c r="BL60" s="1"/>
      <c r="BM60" s="1"/>
      <c r="BN60" s="1"/>
      <c r="BO60" s="1"/>
      <c r="BP60" s="1"/>
      <c r="BQ60" s="11"/>
      <c r="BR60" s="1"/>
      <c r="BS60" s="1"/>
      <c r="BT60" s="9"/>
      <c r="BU60" s="1"/>
      <c r="BV60" s="1"/>
      <c r="BW60" s="1"/>
      <c r="BX60" s="1"/>
      <c r="BY60" s="1"/>
      <c r="CA60" s="8"/>
      <c r="CB60" s="2"/>
      <c r="CC60" s="1"/>
    </row>
    <row r="61" spans="1:81" x14ac:dyDescent="0.3">
      <c r="A61">
        <v>7</v>
      </c>
      <c r="B61" s="3" t="s">
        <v>220</v>
      </c>
      <c r="C61" s="3" t="s">
        <v>106</v>
      </c>
      <c r="D61" s="13">
        <v>44126</v>
      </c>
      <c r="E61" s="2">
        <v>1.87</v>
      </c>
      <c r="F61" s="2">
        <v>0.19</v>
      </c>
      <c r="G61" s="2">
        <f t="shared" si="1"/>
        <v>1.6800000000000002</v>
      </c>
      <c r="H61" s="4">
        <f t="shared" si="2"/>
        <v>4133.8582677165359</v>
      </c>
      <c r="I61" s="10">
        <v>44134</v>
      </c>
      <c r="J61" s="2">
        <v>0.9</v>
      </c>
      <c r="K61" s="2">
        <v>2.3199999999999998</v>
      </c>
      <c r="L61" s="6">
        <f t="shared" si="3"/>
        <v>0.36904761904761901</v>
      </c>
      <c r="M61" s="6">
        <f t="shared" si="4"/>
        <v>0.38095238095238088</v>
      </c>
      <c r="N61" s="6">
        <f t="shared" si="5"/>
        <v>0.25000000000000006</v>
      </c>
      <c r="O61" s="2">
        <v>53.79</v>
      </c>
      <c r="P61" s="2">
        <v>52.03</v>
      </c>
      <c r="Q61" s="2">
        <v>148.01</v>
      </c>
      <c r="R61" s="2">
        <v>142.43</v>
      </c>
      <c r="S61" s="5">
        <f t="shared" si="6"/>
        <v>3.2719836400817957</v>
      </c>
      <c r="T61" s="5">
        <f t="shared" si="7"/>
        <v>3.7700155394905641</v>
      </c>
      <c r="U61" s="4">
        <f t="shared" si="8"/>
        <v>1525.5905511811025</v>
      </c>
      <c r="V61" s="4">
        <f t="shared" si="9"/>
        <v>1574.803149606299</v>
      </c>
      <c r="W61" s="4">
        <f t="shared" si="10"/>
        <v>3100.3937007874015</v>
      </c>
      <c r="X61" s="4">
        <f t="shared" si="11"/>
        <v>1475.6734779318231</v>
      </c>
      <c r="Y61" s="4">
        <f t="shared" si="12"/>
        <v>1515.4328261497546</v>
      </c>
      <c r="Z61" s="4">
        <f t="shared" si="13"/>
        <v>2991.1063040815779</v>
      </c>
      <c r="AA61" t="s">
        <v>162</v>
      </c>
      <c r="AB61" s="10">
        <v>44154</v>
      </c>
      <c r="AC61" s="4">
        <v>45.199999999999996</v>
      </c>
      <c r="AD61" s="15">
        <v>1.085</v>
      </c>
      <c r="AE61" s="4">
        <v>79.8</v>
      </c>
      <c r="AF61" s="4">
        <v>27.8</v>
      </c>
      <c r="AG61" s="4">
        <v>5.9</v>
      </c>
      <c r="AH61" s="4">
        <v>82.1</v>
      </c>
      <c r="AI61" s="4">
        <v>8.5</v>
      </c>
      <c r="AJ61" s="4" t="s">
        <v>163</v>
      </c>
      <c r="AK61" s="16">
        <v>4</v>
      </c>
      <c r="AL61" s="5">
        <v>0.04</v>
      </c>
      <c r="AM61" s="4">
        <v>10.8</v>
      </c>
      <c r="AN61" s="1">
        <v>1013.9</v>
      </c>
      <c r="AO61" s="1">
        <v>3072.3</v>
      </c>
      <c r="AQ61" s="14" t="s">
        <v>849</v>
      </c>
      <c r="AR61" s="1" t="s">
        <v>106</v>
      </c>
      <c r="AS61" s="11">
        <f>D61</f>
        <v>44126</v>
      </c>
      <c r="AT61" s="2">
        <f>SUM(E61:E62)</f>
        <v>3.22</v>
      </c>
      <c r="AU61" s="2">
        <f>SUM(F61:F62)</f>
        <v>0.36</v>
      </c>
      <c r="AV61" s="2">
        <f>AT61-AU61</f>
        <v>2.8600000000000003</v>
      </c>
      <c r="AW61" s="1">
        <f>AV61/(2*$A$43)*$A$44</f>
        <v>3518.7007874015753</v>
      </c>
      <c r="AX61" s="1">
        <v>3379.9174781355177</v>
      </c>
      <c r="AY61" s="11">
        <f>I61</f>
        <v>44134</v>
      </c>
      <c r="AZ61" s="2">
        <f>SUM(J61:J62)</f>
        <v>1.6</v>
      </c>
      <c r="BA61" s="2">
        <f>SUM(K61:K62)</f>
        <v>4.38</v>
      </c>
      <c r="BB61" s="7">
        <f>(AZ61-2*$A$45)/AV61</f>
        <v>0.36363636363636359</v>
      </c>
      <c r="BC61" s="7">
        <f>(BA61-2*$A$46)/AV61</f>
        <v>0.35664335664335661</v>
      </c>
      <c r="BD61" s="7">
        <f>1-BB61-BC61</f>
        <v>0.27972027972027985</v>
      </c>
      <c r="BE61" s="2">
        <f>SUM(O61:O62)</f>
        <v>104.82</v>
      </c>
      <c r="BF61" s="2">
        <f>SUM(P61:P62)</f>
        <v>101.37</v>
      </c>
      <c r="BG61" s="2">
        <f>SUM(Q61:Q62)</f>
        <v>257.38</v>
      </c>
      <c r="BH61" s="2">
        <f>SUM(R61:R62)</f>
        <v>247.73000000000002</v>
      </c>
      <c r="BI61" s="2">
        <f>(BE61-BF61)/BE61*100</f>
        <v>3.2913566113337045</v>
      </c>
      <c r="BJ61" s="2">
        <f>(BG61-BH61)/BG61*100</f>
        <v>3.7493200714896173</v>
      </c>
      <c r="BK61" s="1">
        <f>AX61*BB61</f>
        <v>1229.0609011401882</v>
      </c>
      <c r="BL61" s="1">
        <f>AX61*BC61</f>
        <v>1205.4251145798</v>
      </c>
      <c r="BM61" s="1">
        <f>BK61+BL61</f>
        <v>2434.4860157199882</v>
      </c>
      <c r="BN61" s="1">
        <f>BK61*(1-BI61/100)</f>
        <v>1188.6081239131929</v>
      </c>
      <c r="BO61" s="1">
        <f>BL61*(1-BJ61/100)</f>
        <v>1160.2298688120829</v>
      </c>
      <c r="BP61" s="1">
        <f>BN61+BO61</f>
        <v>2348.8379927252759</v>
      </c>
      <c r="BQ61" s="11" t="str">
        <f>AA61</f>
        <v>992013014208</v>
      </c>
      <c r="BR61" s="11">
        <f>AB61</f>
        <v>44154</v>
      </c>
      <c r="BS61" s="1">
        <f>AVERAGE(AC61:AC62)</f>
        <v>42.699999999999996</v>
      </c>
      <c r="BT61" s="9">
        <f t="shared" ref="BT61" si="32">AVERAGE(AD61:AD62)</f>
        <v>1.0525</v>
      </c>
      <c r="BU61" s="1">
        <f t="shared" ref="BU61" si="33">AVERAGE(AE61:AE62)</f>
        <v>79.05</v>
      </c>
      <c r="BV61" s="1">
        <f t="shared" ref="BV61" si="34">AVERAGE(AF61:AF62)</f>
        <v>27</v>
      </c>
      <c r="BW61" s="1">
        <f t="shared" ref="BW61" si="35">AVERAGE(AG61:AG62)</f>
        <v>5.95</v>
      </c>
      <c r="BX61" s="1">
        <f t="shared" ref="BX61" si="36">AVERAGE(AH61:AH62)</f>
        <v>81.75</v>
      </c>
      <c r="BY61" s="1">
        <f t="shared" ref="BY61" si="37">AVERAGE(AI61:AI62)</f>
        <v>8.5500000000000007</v>
      </c>
      <c r="BZ61" s="1"/>
      <c r="CA61" s="8">
        <f t="shared" ref="CA61" si="38">AVERAGE(AK61:AK62)</f>
        <v>8</v>
      </c>
      <c r="CB61" s="2">
        <f t="shared" ref="CB61" si="39">AVERAGE(AL61:AL62)</f>
        <v>0.08</v>
      </c>
      <c r="CC61" s="1">
        <f t="shared" ref="CC61" si="40">AVERAGE(AM61:AM62)</f>
        <v>13.05</v>
      </c>
    </row>
    <row r="62" spans="1:81" x14ac:dyDescent="0.3">
      <c r="A62">
        <v>8</v>
      </c>
      <c r="B62" s="3" t="s">
        <v>221</v>
      </c>
      <c r="C62" s="3" t="s">
        <v>106</v>
      </c>
      <c r="D62" s="13">
        <v>44126</v>
      </c>
      <c r="E62" s="2">
        <v>1.35</v>
      </c>
      <c r="F62" s="2">
        <v>0.17</v>
      </c>
      <c r="G62" s="2">
        <f t="shared" si="1"/>
        <v>1.1800000000000002</v>
      </c>
      <c r="H62" s="4">
        <f t="shared" si="2"/>
        <v>2903.5433070866147</v>
      </c>
      <c r="I62" s="10">
        <v>44134</v>
      </c>
      <c r="J62" s="2">
        <v>0.7</v>
      </c>
      <c r="K62" s="2">
        <v>2.06</v>
      </c>
      <c r="L62" s="6">
        <f t="shared" si="3"/>
        <v>0.35593220338983039</v>
      </c>
      <c r="M62" s="6">
        <f t="shared" si="4"/>
        <v>0.32203389830508478</v>
      </c>
      <c r="N62" s="6">
        <f t="shared" si="5"/>
        <v>0.32203389830508478</v>
      </c>
      <c r="O62" s="2">
        <v>51.03</v>
      </c>
      <c r="P62" s="2">
        <v>49.34</v>
      </c>
      <c r="Q62" s="2">
        <v>109.37</v>
      </c>
      <c r="R62" s="2">
        <v>105.3</v>
      </c>
      <c r="S62" s="5">
        <f t="shared" si="6"/>
        <v>3.3117773858514554</v>
      </c>
      <c r="T62" s="5">
        <f t="shared" si="7"/>
        <v>3.7213129743074038</v>
      </c>
      <c r="U62" s="4">
        <f t="shared" si="8"/>
        <v>1033.4645669291338</v>
      </c>
      <c r="V62" s="4">
        <f t="shared" si="9"/>
        <v>935.03937007874038</v>
      </c>
      <c r="W62" s="4">
        <f t="shared" si="10"/>
        <v>1968.5039370078741</v>
      </c>
      <c r="X62" s="4">
        <f t="shared" si="11"/>
        <v>999.23852111078702</v>
      </c>
      <c r="Y62" s="4">
        <f t="shared" si="12"/>
        <v>900.24362868511798</v>
      </c>
      <c r="Z62" s="4">
        <f t="shared" si="13"/>
        <v>1899.4821497959051</v>
      </c>
      <c r="AA62" t="s">
        <v>187</v>
      </c>
      <c r="AB62" s="10">
        <v>44154</v>
      </c>
      <c r="AC62" s="4">
        <v>40.199999999999996</v>
      </c>
      <c r="AD62" s="15">
        <v>1.02</v>
      </c>
      <c r="AE62" s="4">
        <v>78.3</v>
      </c>
      <c r="AF62" s="4">
        <v>26.2</v>
      </c>
      <c r="AG62" s="4">
        <v>6</v>
      </c>
      <c r="AH62" s="4">
        <v>81.400000000000006</v>
      </c>
      <c r="AI62" s="4">
        <v>8.6</v>
      </c>
      <c r="AJ62" s="4" t="s">
        <v>159</v>
      </c>
      <c r="AK62" s="16">
        <v>12</v>
      </c>
      <c r="AL62" s="5">
        <v>0.12</v>
      </c>
      <c r="AM62" s="4">
        <v>15.3</v>
      </c>
      <c r="AN62" s="1">
        <v>591.29999999999995</v>
      </c>
      <c r="AO62" s="1">
        <v>1791.8</v>
      </c>
      <c r="AQ62" s="14"/>
      <c r="AR62" s="1"/>
      <c r="AS62" s="1"/>
      <c r="AT62" s="2"/>
      <c r="AU62" s="2"/>
      <c r="AV62" s="2"/>
      <c r="AW62" s="1"/>
      <c r="AX62" s="1"/>
      <c r="AY62" s="2"/>
      <c r="AZ62" s="2"/>
      <c r="BA62" s="2"/>
      <c r="BB62" s="7"/>
      <c r="BC62" s="7"/>
      <c r="BD62" s="7"/>
      <c r="BE62" s="2"/>
      <c r="BF62" s="2"/>
      <c r="BG62" s="2"/>
      <c r="BH62" s="2"/>
      <c r="BI62" s="2"/>
      <c r="BJ62" s="2"/>
      <c r="BK62" s="1"/>
      <c r="BL62" s="1"/>
      <c r="BM62" s="1"/>
      <c r="BN62" s="1"/>
      <c r="BO62" s="1"/>
      <c r="BP62" s="1"/>
      <c r="BQ62" s="11"/>
      <c r="BR62" s="1"/>
      <c r="BS62" s="1"/>
      <c r="BT62" s="9"/>
      <c r="BU62" s="1"/>
      <c r="BV62" s="1"/>
      <c r="BW62" s="1"/>
      <c r="BX62" s="1"/>
      <c r="BY62" s="1"/>
      <c r="CA62" s="8"/>
      <c r="CB62" s="2"/>
      <c r="CC62" s="1"/>
    </row>
    <row r="63" spans="1:81" x14ac:dyDescent="0.3">
      <c r="A63">
        <v>9</v>
      </c>
      <c r="B63" s="3" t="s">
        <v>222</v>
      </c>
      <c r="C63" s="3" t="s">
        <v>106</v>
      </c>
      <c r="D63" s="13">
        <v>44126</v>
      </c>
      <c r="E63" s="2">
        <v>1.76</v>
      </c>
      <c r="F63" s="2">
        <v>0.18</v>
      </c>
      <c r="G63" s="2">
        <f t="shared" si="1"/>
        <v>1.58</v>
      </c>
      <c r="H63" s="4">
        <f t="shared" si="2"/>
        <v>3887.7952755905517</v>
      </c>
      <c r="I63" s="10">
        <v>44134</v>
      </c>
      <c r="J63" s="2">
        <v>0.88</v>
      </c>
      <c r="K63" s="2">
        <v>2.2799999999999998</v>
      </c>
      <c r="L63" s="6">
        <f t="shared" si="3"/>
        <v>0.37974683544303794</v>
      </c>
      <c r="M63" s="6">
        <f t="shared" si="4"/>
        <v>0.37974683544303789</v>
      </c>
      <c r="N63" s="6">
        <f t="shared" si="5"/>
        <v>0.24050632911392411</v>
      </c>
      <c r="O63" s="2">
        <v>51.18</v>
      </c>
      <c r="P63" s="2">
        <v>49.9</v>
      </c>
      <c r="Q63" s="2">
        <v>128.1</v>
      </c>
      <c r="R63" s="2">
        <v>123.15</v>
      </c>
      <c r="S63" s="5">
        <f t="shared" si="6"/>
        <v>2.5009769441187988</v>
      </c>
      <c r="T63" s="5">
        <f t="shared" si="7"/>
        <v>3.8641686182669699</v>
      </c>
      <c r="U63" s="4">
        <f t="shared" si="8"/>
        <v>1476.3779527559057</v>
      </c>
      <c r="V63" s="4">
        <f t="shared" si="9"/>
        <v>1476.3779527559054</v>
      </c>
      <c r="W63" s="4">
        <f t="shared" si="10"/>
        <v>2952.7559055118109</v>
      </c>
      <c r="X63" s="4">
        <f t="shared" si="11"/>
        <v>1439.4540805494273</v>
      </c>
      <c r="Y63" s="4">
        <f t="shared" si="12"/>
        <v>1419.3282192184993</v>
      </c>
      <c r="Z63" s="4">
        <f t="shared" si="13"/>
        <v>2858.7822997679268</v>
      </c>
      <c r="AA63" t="s">
        <v>164</v>
      </c>
      <c r="AB63" s="10">
        <v>44154</v>
      </c>
      <c r="AC63" s="4">
        <v>41.3</v>
      </c>
      <c r="AD63" s="15">
        <v>1.056</v>
      </c>
      <c r="AE63" s="4">
        <v>79.2</v>
      </c>
      <c r="AF63" s="4">
        <v>26.5</v>
      </c>
      <c r="AG63" s="4">
        <v>6.1</v>
      </c>
      <c r="AH63" s="4">
        <v>81.5</v>
      </c>
      <c r="AI63" s="4">
        <v>8.6999999999999993</v>
      </c>
      <c r="AJ63" s="4" t="s">
        <v>161</v>
      </c>
      <c r="AK63" s="16">
        <v>11</v>
      </c>
      <c r="AL63" s="5">
        <v>0.21</v>
      </c>
      <c r="AM63" s="4">
        <v>12.9</v>
      </c>
      <c r="AN63" s="1">
        <v>830.7</v>
      </c>
      <c r="AO63" s="1">
        <v>2517.1</v>
      </c>
      <c r="AQ63" s="14" t="s">
        <v>850</v>
      </c>
      <c r="AR63" s="1" t="s">
        <v>106</v>
      </c>
      <c r="AS63" s="11">
        <f>D63</f>
        <v>44126</v>
      </c>
      <c r="AT63" s="2">
        <f>SUM(E63:E64)</f>
        <v>3.4</v>
      </c>
      <c r="AU63" s="2">
        <f>SUM(F63:F64)</f>
        <v>0.33999999999999997</v>
      </c>
      <c r="AV63" s="2">
        <f>AT63-AU63</f>
        <v>3.06</v>
      </c>
      <c r="AW63" s="1">
        <f>AV63/(2*$A$43)*$A$44</f>
        <v>3764.7637795275591</v>
      </c>
      <c r="AX63" s="1">
        <v>3378.8278628409048</v>
      </c>
      <c r="AY63" s="11">
        <f>I63</f>
        <v>44134</v>
      </c>
      <c r="AZ63" s="2">
        <f>SUM(J63:J64)</f>
        <v>1.6600000000000001</v>
      </c>
      <c r="BA63" s="2">
        <f>SUM(K63:K64)</f>
        <v>4.4800000000000004</v>
      </c>
      <c r="BB63" s="7">
        <f>(AZ63-2*$A$45)/AV63</f>
        <v>0.35947712418300654</v>
      </c>
      <c r="BC63" s="7">
        <f>(BA63-2*$A$46)/AV63</f>
        <v>0.36601307189542504</v>
      </c>
      <c r="BD63" s="7">
        <f>1-BB63-BC63</f>
        <v>0.27450980392156837</v>
      </c>
      <c r="BE63" s="2">
        <f>SUM(O63:O64)</f>
        <v>102.66</v>
      </c>
      <c r="BF63" s="2">
        <f>SUM(P63:P64)</f>
        <v>97.94</v>
      </c>
      <c r="BG63" s="2">
        <f>SUM(Q63:Q64)</f>
        <v>240.8</v>
      </c>
      <c r="BH63" s="2">
        <f>SUM(R63:R64)</f>
        <v>231.57</v>
      </c>
      <c r="BI63" s="2">
        <f>(BE63-BF63)/BE63*100</f>
        <v>4.5977011494252862</v>
      </c>
      <c r="BJ63" s="2">
        <f>(BG63-BH63)/BG63*100</f>
        <v>3.8330564784053229</v>
      </c>
      <c r="BK63" s="1">
        <f>AX63*BB63</f>
        <v>1214.6113232434625</v>
      </c>
      <c r="BL63" s="1">
        <f>AX63*BC63</f>
        <v>1236.6951654842535</v>
      </c>
      <c r="BM63" s="1">
        <f>BK63+BL63</f>
        <v>2451.306488727716</v>
      </c>
      <c r="BN63" s="1">
        <f>BK63*(1-BI63/100)</f>
        <v>1158.7671244736482</v>
      </c>
      <c r="BO63" s="1">
        <f>BL63*(1-BJ63/100)</f>
        <v>1189.2919413255338</v>
      </c>
      <c r="BP63" s="1">
        <f>BN63+BO63</f>
        <v>2348.059065799182</v>
      </c>
      <c r="BQ63" s="11" t="str">
        <f>AA63</f>
        <v>992013021210</v>
      </c>
      <c r="BR63" s="11">
        <f>AB63</f>
        <v>44154</v>
      </c>
      <c r="BS63" s="1">
        <f>AVERAGE(AC63:AC64)</f>
        <v>42.4</v>
      </c>
      <c r="BT63" s="9">
        <f t="shared" ref="BT63" si="41">AVERAGE(AD63:AD64)</f>
        <v>1.0409999999999999</v>
      </c>
      <c r="BU63" s="1">
        <f t="shared" ref="BU63" si="42">AVERAGE(AE63:AE64)</f>
        <v>78.800000000000011</v>
      </c>
      <c r="BV63" s="1">
        <f t="shared" ref="BV63" si="43">AVERAGE(AF63:AF64)</f>
        <v>26.15</v>
      </c>
      <c r="BW63" s="1">
        <f t="shared" ref="BW63" si="44">AVERAGE(AG63:AG64)</f>
        <v>6</v>
      </c>
      <c r="BX63" s="1">
        <f t="shared" ref="BX63" si="45">AVERAGE(AH63:AH64)</f>
        <v>81.400000000000006</v>
      </c>
      <c r="BY63" s="1">
        <f t="shared" ref="BY63" si="46">AVERAGE(AI63:AI64)</f>
        <v>8.6</v>
      </c>
      <c r="BZ63" s="1"/>
      <c r="CA63" s="8">
        <f t="shared" ref="CA63" si="47">AVERAGE(AK63:AK64)</f>
        <v>11</v>
      </c>
      <c r="CB63" s="2">
        <f t="shared" ref="CB63" si="48">AVERAGE(AL63:AL64)</f>
        <v>0.29499999999999998</v>
      </c>
      <c r="CC63" s="1">
        <f t="shared" ref="CC63" si="49">AVERAGE(AM63:AM64)</f>
        <v>13.8</v>
      </c>
    </row>
    <row r="64" spans="1:81" x14ac:dyDescent="0.3">
      <c r="A64">
        <v>10</v>
      </c>
      <c r="B64" s="3" t="s">
        <v>223</v>
      </c>
      <c r="C64" s="3" t="s">
        <v>106</v>
      </c>
      <c r="D64" s="13">
        <v>44126</v>
      </c>
      <c r="E64" s="2">
        <v>1.64</v>
      </c>
      <c r="F64" s="2">
        <v>0.16</v>
      </c>
      <c r="G64" s="2">
        <f t="shared" si="1"/>
        <v>1.48</v>
      </c>
      <c r="H64" s="4">
        <f t="shared" si="2"/>
        <v>3641.7322834645665</v>
      </c>
      <c r="I64" s="10">
        <v>44134</v>
      </c>
      <c r="J64" s="2">
        <v>0.78</v>
      </c>
      <c r="K64" s="2">
        <v>2.2000000000000002</v>
      </c>
      <c r="L64" s="6">
        <f t="shared" si="3"/>
        <v>0.33783783783783783</v>
      </c>
      <c r="M64" s="6">
        <f t="shared" si="4"/>
        <v>0.35135135135135154</v>
      </c>
      <c r="N64" s="6">
        <f t="shared" si="5"/>
        <v>0.31081081081081063</v>
      </c>
      <c r="O64" s="2">
        <v>51.48</v>
      </c>
      <c r="P64" s="2">
        <v>48.04</v>
      </c>
      <c r="Q64" s="2">
        <v>112.7</v>
      </c>
      <c r="R64" s="2">
        <v>108.42</v>
      </c>
      <c r="S64" s="5">
        <f t="shared" si="6"/>
        <v>6.6822066822066777</v>
      </c>
      <c r="T64" s="5">
        <f t="shared" si="7"/>
        <v>3.7976929902395749</v>
      </c>
      <c r="U64" s="4">
        <f t="shared" si="8"/>
        <v>1230.3149606299212</v>
      </c>
      <c r="V64" s="4">
        <f t="shared" si="9"/>
        <v>1279.5275590551187</v>
      </c>
      <c r="W64" s="4">
        <f t="shared" si="10"/>
        <v>2509.8425196850399</v>
      </c>
      <c r="X64" s="4">
        <f t="shared" si="11"/>
        <v>1148.1027721185201</v>
      </c>
      <c r="Y64" s="4">
        <f t="shared" si="12"/>
        <v>1230.9350306366989</v>
      </c>
      <c r="Z64" s="4">
        <f t="shared" si="13"/>
        <v>2379.0378027552188</v>
      </c>
      <c r="AA64" s="8" t="s">
        <v>188</v>
      </c>
      <c r="AB64" s="10">
        <v>44154</v>
      </c>
      <c r="AC64" s="4">
        <v>43.5</v>
      </c>
      <c r="AD64" s="15">
        <v>1.026</v>
      </c>
      <c r="AE64" s="4">
        <v>78.400000000000006</v>
      </c>
      <c r="AF64" s="4">
        <v>25.8</v>
      </c>
      <c r="AG64" s="4">
        <v>5.9</v>
      </c>
      <c r="AH64" s="4">
        <v>81.3</v>
      </c>
      <c r="AI64" s="4">
        <v>8.5</v>
      </c>
      <c r="AJ64" s="4" t="s">
        <v>159</v>
      </c>
      <c r="AK64" s="16">
        <v>11</v>
      </c>
      <c r="AL64" s="5">
        <v>0.38</v>
      </c>
      <c r="AM64" s="4">
        <v>14.7</v>
      </c>
      <c r="AN64" s="1">
        <v>779.8</v>
      </c>
      <c r="AO64" s="1">
        <v>2363.1</v>
      </c>
      <c r="AQ64" s="14"/>
      <c r="AR64" s="1"/>
      <c r="AS64" s="1"/>
      <c r="AT64" s="2"/>
      <c r="AU64" s="2"/>
      <c r="AV64" s="2"/>
      <c r="AW64" s="1"/>
      <c r="AX64" s="1"/>
      <c r="AY64" s="2"/>
      <c r="AZ64" s="2"/>
      <c r="BA64" s="2"/>
      <c r="BB64" s="7"/>
      <c r="BC64" s="7"/>
      <c r="BD64" s="7"/>
      <c r="BE64" s="2"/>
      <c r="BF64" s="2"/>
      <c r="BG64" s="2"/>
      <c r="BH64" s="2"/>
      <c r="BI64" s="2"/>
      <c r="BJ64" s="2"/>
      <c r="BK64" s="1"/>
      <c r="BL64" s="1"/>
      <c r="BM64" s="1"/>
      <c r="BN64" s="1"/>
      <c r="BO64" s="1"/>
      <c r="BP64" s="1"/>
      <c r="BQ64" s="11"/>
      <c r="BR64" s="1"/>
      <c r="BS64" s="1"/>
      <c r="BT64" s="9"/>
      <c r="BU64" s="1"/>
      <c r="BV64" s="1"/>
      <c r="BW64" s="1"/>
      <c r="BX64" s="1"/>
      <c r="BY64" s="1"/>
      <c r="CA64" s="8"/>
      <c r="CB64" s="2"/>
      <c r="CC64" s="1"/>
    </row>
    <row r="65" spans="1:81" x14ac:dyDescent="0.3">
      <c r="A65">
        <v>11</v>
      </c>
      <c r="B65" s="3" t="s">
        <v>224</v>
      </c>
      <c r="C65" s="3" t="s">
        <v>106</v>
      </c>
      <c r="D65" s="13">
        <v>44126</v>
      </c>
      <c r="E65" s="2">
        <v>2.1</v>
      </c>
      <c r="F65" s="2">
        <v>0.19</v>
      </c>
      <c r="G65" s="2">
        <f t="shared" si="1"/>
        <v>1.9100000000000001</v>
      </c>
      <c r="H65" s="4">
        <f t="shared" si="2"/>
        <v>4699.8031496062995</v>
      </c>
      <c r="I65" s="10">
        <v>44134</v>
      </c>
      <c r="J65" s="2">
        <v>1.01</v>
      </c>
      <c r="K65" s="2">
        <v>2.46</v>
      </c>
      <c r="L65" s="6">
        <f t="shared" si="3"/>
        <v>0.38219895287958111</v>
      </c>
      <c r="M65" s="6">
        <f t="shared" si="4"/>
        <v>0.40837696335078533</v>
      </c>
      <c r="N65" s="6">
        <f t="shared" si="5"/>
        <v>0.20942408376963362</v>
      </c>
      <c r="O65" s="2">
        <v>79.489999999999995</v>
      </c>
      <c r="P65" s="2">
        <v>76.650000000000006</v>
      </c>
      <c r="Q65" s="2">
        <v>144.69999999999999</v>
      </c>
      <c r="R65" s="2">
        <v>138.77000000000001</v>
      </c>
      <c r="S65" s="5">
        <f t="shared" si="6"/>
        <v>3.5727764498678947</v>
      </c>
      <c r="T65" s="5">
        <f t="shared" si="7"/>
        <v>4.098134070490655</v>
      </c>
      <c r="U65" s="4">
        <f t="shared" si="8"/>
        <v>1796.259842519685</v>
      </c>
      <c r="V65" s="4">
        <f t="shared" si="9"/>
        <v>1919.2913385826773</v>
      </c>
      <c r="W65" s="4">
        <f t="shared" si="10"/>
        <v>3715.5511811023625</v>
      </c>
      <c r="X65" s="4">
        <f t="shared" si="11"/>
        <v>1732.0834938877074</v>
      </c>
      <c r="Y65" s="4">
        <f t="shared" si="12"/>
        <v>1840.6362063242445</v>
      </c>
      <c r="Z65" s="4">
        <f t="shared" si="13"/>
        <v>3572.7197002119519</v>
      </c>
      <c r="AA65" t="s">
        <v>165</v>
      </c>
      <c r="AB65" s="10">
        <v>44154</v>
      </c>
      <c r="AC65" s="4">
        <v>40.5</v>
      </c>
      <c r="AD65" s="15">
        <v>1.0840000000000001</v>
      </c>
      <c r="AE65" s="4">
        <v>79.599999999999994</v>
      </c>
      <c r="AF65" s="4">
        <v>27.7</v>
      </c>
      <c r="AG65" s="4">
        <v>6</v>
      </c>
      <c r="AH65" s="4">
        <v>83.1</v>
      </c>
      <c r="AI65" s="4">
        <v>8.8000000000000007</v>
      </c>
      <c r="AJ65" s="4" t="s">
        <v>161</v>
      </c>
      <c r="AK65" s="16">
        <v>14</v>
      </c>
      <c r="AL65" s="5">
        <v>0.17</v>
      </c>
      <c r="AM65" s="4">
        <v>12.2</v>
      </c>
      <c r="AN65" s="1">
        <v>1013.6</v>
      </c>
      <c r="AO65" s="1">
        <v>3071.7</v>
      </c>
      <c r="AQ65" s="14" t="s">
        <v>851</v>
      </c>
      <c r="AR65" s="1" t="s">
        <v>106</v>
      </c>
      <c r="AS65" s="11">
        <f>D65</f>
        <v>44126</v>
      </c>
      <c r="AT65" s="2">
        <f>SUM(E65:E66)</f>
        <v>4.0199999999999996</v>
      </c>
      <c r="AU65" s="2">
        <f>SUM(F65:F66)</f>
        <v>0.36</v>
      </c>
      <c r="AV65" s="2">
        <f>AT65-AU65</f>
        <v>3.6599999999999997</v>
      </c>
      <c r="AW65" s="1">
        <f>AV65/(2*$A$43)*$A$44</f>
        <v>4502.9527559055114</v>
      </c>
      <c r="AX65" s="1">
        <v>3978.4595355871156</v>
      </c>
      <c r="AY65" s="11">
        <f>I65</f>
        <v>44134</v>
      </c>
      <c r="AZ65" s="2">
        <f>SUM(J65:J66)</f>
        <v>1.9300000000000002</v>
      </c>
      <c r="BA65" s="2">
        <f>SUM(K65:K66)</f>
        <v>4.82</v>
      </c>
      <c r="BB65" s="7">
        <f>(AZ65-2*$A$45)/AV65</f>
        <v>0.37431693989071047</v>
      </c>
      <c r="BC65" s="7">
        <f>(BA65-2*$A$46)/AV65</f>
        <v>0.39890710382513678</v>
      </c>
      <c r="BD65" s="7">
        <f>1-BB65-BC65</f>
        <v>0.22677595628415276</v>
      </c>
      <c r="BE65" s="2">
        <f>SUM(O65:O66)</f>
        <v>144.03</v>
      </c>
      <c r="BF65" s="2">
        <f>SUM(P65:P66)</f>
        <v>138.93</v>
      </c>
      <c r="BG65" s="2">
        <f>SUM(Q65:Q66)</f>
        <v>274.88</v>
      </c>
      <c r="BH65" s="2">
        <f>SUM(R65:R66)</f>
        <v>263.67</v>
      </c>
      <c r="BI65" s="2">
        <f>(BE65-BF65)/BE65*100</f>
        <v>3.5409289731305935</v>
      </c>
      <c r="BJ65" s="2">
        <f>(BG65-BH65)/BG65*100</f>
        <v>4.0781431897555223</v>
      </c>
      <c r="BK65" s="1">
        <f>AX65*BB65</f>
        <v>1489.2047988399863</v>
      </c>
      <c r="BL65" s="1">
        <f>AX65*BC65</f>
        <v>1587.035771026555</v>
      </c>
      <c r="BM65" s="1">
        <f>BK65+BL65</f>
        <v>3076.2405698665416</v>
      </c>
      <c r="BN65" s="1">
        <f>BK65*(1-BI65/100)</f>
        <v>1436.4731146486101</v>
      </c>
      <c r="BO65" s="1">
        <f>BL65*(1-BJ65/100)</f>
        <v>1522.3141798114516</v>
      </c>
      <c r="BP65" s="1">
        <f>BN65+BO65</f>
        <v>2958.7872944600617</v>
      </c>
      <c r="BQ65" s="11" t="str">
        <f>AA65</f>
        <v>992013022212</v>
      </c>
      <c r="BR65" s="11">
        <f>AB65</f>
        <v>44154</v>
      </c>
      <c r="BS65" s="1">
        <f>AVERAGE(AC65:AC66)</f>
        <v>42</v>
      </c>
      <c r="BT65" s="9">
        <f t="shared" ref="BT65" si="50">AVERAGE(AD65:AD66)</f>
        <v>1.0845</v>
      </c>
      <c r="BU65" s="1">
        <f t="shared" ref="BU65" si="51">AVERAGE(AE65:AE66)</f>
        <v>79</v>
      </c>
      <c r="BV65" s="1">
        <f t="shared" ref="BV65" si="52">AVERAGE(AF65:AF66)</f>
        <v>27.6</v>
      </c>
      <c r="BW65" s="1">
        <f t="shared" ref="BW65" si="53">AVERAGE(AG65:AG66)</f>
        <v>6.05</v>
      </c>
      <c r="BX65" s="1">
        <f t="shared" ref="BX65" si="54">AVERAGE(AH65:AH66)</f>
        <v>82.1</v>
      </c>
      <c r="BY65" s="1">
        <f t="shared" ref="BY65" si="55">AVERAGE(AI65:AI66)</f>
        <v>8.6999999999999993</v>
      </c>
      <c r="BZ65" s="1"/>
      <c r="CA65" s="8">
        <f t="shared" ref="CA65" si="56">AVERAGE(AK65:AK66)</f>
        <v>8</v>
      </c>
      <c r="CB65" s="2">
        <f t="shared" ref="CB65" si="57">AVERAGE(AL65:AL66)</f>
        <v>0.10500000000000001</v>
      </c>
      <c r="CC65" s="1">
        <f t="shared" ref="CC65" si="58">AVERAGE(AM65:AM66)</f>
        <v>12.649999999999999</v>
      </c>
    </row>
    <row r="66" spans="1:81" x14ac:dyDescent="0.3">
      <c r="A66">
        <v>12</v>
      </c>
      <c r="B66" s="3" t="s">
        <v>225</v>
      </c>
      <c r="C66" s="3" t="s">
        <v>106</v>
      </c>
      <c r="D66" s="13">
        <v>44126</v>
      </c>
      <c r="E66" s="2">
        <v>1.92</v>
      </c>
      <c r="F66" s="2">
        <v>0.17</v>
      </c>
      <c r="G66" s="2">
        <f t="shared" si="1"/>
        <v>1.75</v>
      </c>
      <c r="H66" s="4">
        <f t="shared" si="2"/>
        <v>4306.1023622047242</v>
      </c>
      <c r="I66" s="10">
        <v>44134</v>
      </c>
      <c r="J66" s="2">
        <v>0.92</v>
      </c>
      <c r="K66" s="2">
        <v>2.36</v>
      </c>
      <c r="L66" s="6">
        <f t="shared" si="3"/>
        <v>0.36571428571428571</v>
      </c>
      <c r="M66" s="6">
        <f t="shared" si="4"/>
        <v>0.38857142857142851</v>
      </c>
      <c r="N66" s="6">
        <f t="shared" si="5"/>
        <v>0.24571428571428583</v>
      </c>
      <c r="O66" s="2">
        <v>64.540000000000006</v>
      </c>
      <c r="P66" s="2">
        <v>62.28</v>
      </c>
      <c r="Q66" s="2">
        <v>130.18</v>
      </c>
      <c r="R66" s="2">
        <v>124.9</v>
      </c>
      <c r="S66" s="5">
        <f t="shared" si="6"/>
        <v>3.5017043693833356</v>
      </c>
      <c r="T66" s="5">
        <f t="shared" si="7"/>
        <v>4.0559225687509608</v>
      </c>
      <c r="U66" s="4">
        <f t="shared" si="8"/>
        <v>1574.803149606299</v>
      </c>
      <c r="V66" s="4">
        <f t="shared" si="9"/>
        <v>1673.2283464566926</v>
      </c>
      <c r="W66" s="4">
        <f t="shared" si="10"/>
        <v>3248.0314960629917</v>
      </c>
      <c r="X66" s="4">
        <f t="shared" si="11"/>
        <v>1519.6581989073488</v>
      </c>
      <c r="Y66" s="4">
        <f t="shared" si="12"/>
        <v>1605.3635003260172</v>
      </c>
      <c r="Z66" s="4">
        <f t="shared" si="13"/>
        <v>3125.0216992333662</v>
      </c>
      <c r="AA66" s="8" t="s">
        <v>189</v>
      </c>
      <c r="AB66" s="10">
        <v>44154</v>
      </c>
      <c r="AC66" s="4">
        <v>43.5</v>
      </c>
      <c r="AD66" s="15">
        <v>1.085</v>
      </c>
      <c r="AE66" s="4">
        <v>78.400000000000006</v>
      </c>
      <c r="AF66" s="4">
        <v>27.5</v>
      </c>
      <c r="AG66" s="4">
        <v>6.1</v>
      </c>
      <c r="AH66" s="4">
        <v>81.099999999999994</v>
      </c>
      <c r="AI66" s="4">
        <v>8.6</v>
      </c>
      <c r="AJ66" s="4" t="s">
        <v>159</v>
      </c>
      <c r="AK66" s="16">
        <v>2</v>
      </c>
      <c r="AL66" s="5">
        <v>0.04</v>
      </c>
      <c r="AM66" s="4">
        <v>13.1</v>
      </c>
      <c r="AN66" s="1">
        <v>1235.2</v>
      </c>
      <c r="AO66" s="1">
        <v>3743</v>
      </c>
      <c r="AQ66" s="14"/>
      <c r="AR66" s="1"/>
      <c r="AS66" s="1"/>
      <c r="AT66" s="2"/>
      <c r="AU66" s="2"/>
      <c r="AV66" s="2"/>
      <c r="AW66" s="1"/>
      <c r="AX66" s="1"/>
      <c r="AY66" s="2"/>
      <c r="AZ66" s="2"/>
      <c r="BA66" s="2"/>
      <c r="BB66" s="7"/>
      <c r="BC66" s="7"/>
      <c r="BD66" s="7"/>
      <c r="BE66" s="2"/>
      <c r="BF66" s="2"/>
      <c r="BG66" s="2"/>
      <c r="BH66" s="2"/>
      <c r="BI66" s="2"/>
      <c r="BJ66" s="2"/>
      <c r="BK66" s="1"/>
      <c r="BL66" s="1"/>
      <c r="BM66" s="1"/>
      <c r="BN66" s="1"/>
      <c r="BO66" s="1"/>
      <c r="BP66" s="1"/>
      <c r="BQ66" s="11"/>
      <c r="BR66" s="1"/>
      <c r="BS66" s="1"/>
      <c r="BT66" s="9"/>
      <c r="BU66" s="1"/>
      <c r="BV66" s="1"/>
      <c r="BW66" s="1"/>
      <c r="BX66" s="1"/>
      <c r="BY66" s="1"/>
      <c r="CA66" s="8"/>
      <c r="CB66" s="2"/>
      <c r="CC66" s="1"/>
    </row>
    <row r="67" spans="1:81" x14ac:dyDescent="0.3">
      <c r="A67">
        <v>13</v>
      </c>
      <c r="B67" s="3" t="s">
        <v>226</v>
      </c>
      <c r="C67" s="3" t="s">
        <v>106</v>
      </c>
      <c r="D67" s="13">
        <v>44126</v>
      </c>
      <c r="E67" s="2">
        <v>1.51</v>
      </c>
      <c r="F67" s="2">
        <v>0.18</v>
      </c>
      <c r="G67" s="2">
        <f t="shared" si="1"/>
        <v>1.33</v>
      </c>
      <c r="H67" s="4">
        <f t="shared" si="2"/>
        <v>3272.6377952755906</v>
      </c>
      <c r="I67" s="10">
        <v>44134</v>
      </c>
      <c r="J67" s="2">
        <v>0.76</v>
      </c>
      <c r="K67" s="2">
        <v>2.14</v>
      </c>
      <c r="L67" s="6">
        <f t="shared" si="3"/>
        <v>0.36090225563909772</v>
      </c>
      <c r="M67" s="6">
        <f t="shared" si="4"/>
        <v>0.34586466165413549</v>
      </c>
      <c r="N67" s="6">
        <f t="shared" si="5"/>
        <v>0.29323308270676679</v>
      </c>
      <c r="O67" s="2">
        <v>68.010000000000005</v>
      </c>
      <c r="P67" s="2">
        <v>65.680000000000007</v>
      </c>
      <c r="Q67" s="2">
        <v>168.15</v>
      </c>
      <c r="R67" s="2">
        <v>161.88</v>
      </c>
      <c r="S67" s="5">
        <f t="shared" si="6"/>
        <v>3.4259667695927041</v>
      </c>
      <c r="T67" s="5">
        <f t="shared" si="7"/>
        <v>3.7288135593220395</v>
      </c>
      <c r="U67" s="4">
        <f t="shared" si="8"/>
        <v>1181.1023622047244</v>
      </c>
      <c r="V67" s="4">
        <f t="shared" si="9"/>
        <v>1131.889763779528</v>
      </c>
      <c r="W67" s="4">
        <f t="shared" si="10"/>
        <v>2312.9921259842522</v>
      </c>
      <c r="X67" s="4">
        <f t="shared" si="11"/>
        <v>1140.6381877607162</v>
      </c>
      <c r="Y67" s="4">
        <f t="shared" si="12"/>
        <v>1089.6837047911388</v>
      </c>
      <c r="Z67" s="4">
        <f t="shared" si="13"/>
        <v>2230.3218925518549</v>
      </c>
      <c r="AA67" t="s">
        <v>166</v>
      </c>
      <c r="AB67" s="10">
        <v>44154</v>
      </c>
      <c r="AC67" s="4">
        <v>39.200000000000003</v>
      </c>
      <c r="AD67" s="15">
        <v>1.046</v>
      </c>
      <c r="AE67" s="4">
        <v>77.8</v>
      </c>
      <c r="AF67" s="4">
        <v>26.3</v>
      </c>
      <c r="AG67" s="4">
        <v>5.9</v>
      </c>
      <c r="AH67" s="4">
        <v>81.7</v>
      </c>
      <c r="AI67" s="4">
        <v>8.6999999999999993</v>
      </c>
      <c r="AJ67" s="4" t="s">
        <v>161</v>
      </c>
      <c r="AK67" s="16">
        <v>9</v>
      </c>
      <c r="AL67" s="5">
        <v>0.15</v>
      </c>
      <c r="AM67" s="4">
        <v>14.9</v>
      </c>
      <c r="AN67" s="1">
        <v>764.6</v>
      </c>
      <c r="AO67" s="1">
        <v>2316.9</v>
      </c>
      <c r="AQ67" s="14" t="s">
        <v>852</v>
      </c>
      <c r="AR67" s="1" t="s">
        <v>106</v>
      </c>
      <c r="AS67" s="11">
        <f>D67</f>
        <v>44126</v>
      </c>
      <c r="AT67" s="2">
        <f>SUM(E67:E68)</f>
        <v>2.8200000000000003</v>
      </c>
      <c r="AU67" s="2">
        <f>SUM(F67:F68)</f>
        <v>0.36</v>
      </c>
      <c r="AV67" s="2">
        <f>AT67-AU67</f>
        <v>2.4600000000000004</v>
      </c>
      <c r="AW67" s="1">
        <f>AV67/(2*$A$43)*$A$44</f>
        <v>3026.5748031496069</v>
      </c>
      <c r="AX67" s="1">
        <v>3056.6623626325722</v>
      </c>
      <c r="AY67" s="11">
        <f>I67</f>
        <v>44134</v>
      </c>
      <c r="AZ67" s="2">
        <f>SUM(J67:J68)</f>
        <v>1.4</v>
      </c>
      <c r="BA67" s="2">
        <f>SUM(K67:K68)</f>
        <v>4.1400000000000006</v>
      </c>
      <c r="BB67" s="7">
        <f>(AZ67-2*$A$45)/AV67</f>
        <v>0.3414634146341462</v>
      </c>
      <c r="BC67" s="7">
        <f>(BA67-2*$A$46)/AV67</f>
        <v>0.31707317073170754</v>
      </c>
      <c r="BD67" s="7">
        <f>1-BB67-BC67</f>
        <v>0.34146341463414626</v>
      </c>
      <c r="BE67" s="2">
        <f>SUM(O67:O68)</f>
        <v>126.55000000000001</v>
      </c>
      <c r="BF67" s="2">
        <f>SUM(P67:P68)</f>
        <v>122.24000000000001</v>
      </c>
      <c r="BG67" s="2">
        <f>SUM(Q67:Q68)</f>
        <v>268.52</v>
      </c>
      <c r="BH67" s="2">
        <f>SUM(R67:R68)</f>
        <v>258.51</v>
      </c>
      <c r="BI67" s="2">
        <f>(BE67-BF67)/BE67*100</f>
        <v>3.4057684709600968</v>
      </c>
      <c r="BJ67" s="2">
        <f>(BG67-BH67)/BG67*100</f>
        <v>3.727841501564126</v>
      </c>
      <c r="BK67" s="1">
        <f>AX67*BB67</f>
        <v>1043.738367728195</v>
      </c>
      <c r="BL67" s="1">
        <f>AX67*BC67</f>
        <v>969.18562717618215</v>
      </c>
      <c r="BM67" s="1">
        <f>BK67+BL67</f>
        <v>2012.9239949043772</v>
      </c>
      <c r="BN67" s="1">
        <f>BK67*(1-BI67/100)</f>
        <v>1008.1910554807946</v>
      </c>
      <c r="BO67" s="1">
        <f>BL67*(1-BJ67/100)</f>
        <v>933.05592313911393</v>
      </c>
      <c r="BP67" s="1">
        <f>BN67+BO67</f>
        <v>1941.2469786199085</v>
      </c>
      <c r="BQ67" s="11" t="str">
        <f>AA67</f>
        <v>992013023214</v>
      </c>
      <c r="BR67" s="11">
        <f>AB67</f>
        <v>44154</v>
      </c>
      <c r="BS67" s="1">
        <f>AVERAGE(AC67:AC68)</f>
        <v>38.549999999999997</v>
      </c>
      <c r="BT67" s="9">
        <f t="shared" ref="BT67" si="59">AVERAGE(AD67:AD68)</f>
        <v>1.0565</v>
      </c>
      <c r="BU67" s="1">
        <f t="shared" ref="BU67" si="60">AVERAGE(AE67:AE68)</f>
        <v>78.099999999999994</v>
      </c>
      <c r="BV67" s="1">
        <f t="shared" ref="BV67" si="61">AVERAGE(AF67:AF68)</f>
        <v>26.35</v>
      </c>
      <c r="BW67" s="1">
        <f t="shared" ref="BW67" si="62">AVERAGE(AG67:AG68)</f>
        <v>6</v>
      </c>
      <c r="BX67" s="1">
        <f t="shared" ref="BX67" si="63">AVERAGE(AH67:AH68)</f>
        <v>82.1</v>
      </c>
      <c r="BY67" s="1">
        <f t="shared" ref="BY67" si="64">AVERAGE(AI67:AI68)</f>
        <v>8.8000000000000007</v>
      </c>
      <c r="BZ67" s="1"/>
      <c r="CA67" s="8">
        <f t="shared" ref="CA67" si="65">AVERAGE(AK67:AK68)</f>
        <v>7.5</v>
      </c>
      <c r="CB67" s="2">
        <f t="shared" ref="CB67" si="66">AVERAGE(AL67:AL68)</f>
        <v>0.13</v>
      </c>
      <c r="CC67" s="1">
        <f t="shared" ref="CC67" si="67">AVERAGE(AM67:AM68)</f>
        <v>13.8</v>
      </c>
    </row>
    <row r="68" spans="1:81" x14ac:dyDescent="0.3">
      <c r="A68">
        <v>14</v>
      </c>
      <c r="B68" s="3" t="s">
        <v>227</v>
      </c>
      <c r="C68" s="3" t="s">
        <v>106</v>
      </c>
      <c r="D68" s="13">
        <v>44126</v>
      </c>
      <c r="E68" s="2">
        <v>1.31</v>
      </c>
      <c r="F68" s="2">
        <v>0.18</v>
      </c>
      <c r="G68" s="2">
        <f t="shared" si="1"/>
        <v>1.1300000000000001</v>
      </c>
      <c r="H68" s="4">
        <f t="shared" si="2"/>
        <v>2780.5118110236222</v>
      </c>
      <c r="I68" s="10">
        <v>44134</v>
      </c>
      <c r="J68" s="2">
        <v>0.64</v>
      </c>
      <c r="K68" s="2">
        <v>2</v>
      </c>
      <c r="L68" s="6">
        <f t="shared" si="3"/>
        <v>0.31858407079646012</v>
      </c>
      <c r="M68" s="6">
        <f t="shared" si="4"/>
        <v>0.28318584070796465</v>
      </c>
      <c r="N68" s="6">
        <f t="shared" si="5"/>
        <v>0.39823008849557523</v>
      </c>
      <c r="O68" s="2">
        <v>58.54</v>
      </c>
      <c r="P68" s="2">
        <v>56.56</v>
      </c>
      <c r="Q68" s="2">
        <v>100.37</v>
      </c>
      <c r="R68" s="2">
        <v>96.63</v>
      </c>
      <c r="S68" s="5">
        <f t="shared" si="6"/>
        <v>3.3823026990092195</v>
      </c>
      <c r="T68" s="5">
        <f t="shared" si="7"/>
        <v>3.7262130118561414</v>
      </c>
      <c r="U68" s="4">
        <f t="shared" si="8"/>
        <v>885.82677165354312</v>
      </c>
      <c r="V68" s="4">
        <f t="shared" si="9"/>
        <v>787.40157480314974</v>
      </c>
      <c r="W68" s="4">
        <f t="shared" si="10"/>
        <v>1673.2283464566929</v>
      </c>
      <c r="X68" s="4">
        <f t="shared" si="11"/>
        <v>855.86542884735911</v>
      </c>
      <c r="Y68" s="4">
        <f t="shared" si="12"/>
        <v>758.06131486727463</v>
      </c>
      <c r="Z68" s="4">
        <f t="shared" si="13"/>
        <v>1613.9267437146336</v>
      </c>
      <c r="AA68" s="8" t="s">
        <v>190</v>
      </c>
      <c r="AB68" s="10">
        <v>44154</v>
      </c>
      <c r="AC68" s="4">
        <v>37.9</v>
      </c>
      <c r="AD68" s="15">
        <v>1.0669999999999999</v>
      </c>
      <c r="AE68" s="4">
        <v>78.400000000000006</v>
      </c>
      <c r="AF68" s="4">
        <v>26.4</v>
      </c>
      <c r="AG68" s="4">
        <v>6.1</v>
      </c>
      <c r="AH68" s="4">
        <v>82.5</v>
      </c>
      <c r="AI68" s="4">
        <v>8.9</v>
      </c>
      <c r="AJ68" s="4" t="s">
        <v>161</v>
      </c>
      <c r="AK68" s="16">
        <v>6</v>
      </c>
      <c r="AL68" s="5">
        <v>0.11</v>
      </c>
      <c r="AM68" s="4">
        <v>12.7</v>
      </c>
      <c r="AN68" s="1">
        <v>611</v>
      </c>
      <c r="AO68" s="1">
        <v>1851.5</v>
      </c>
      <c r="AQ68" s="14"/>
      <c r="AR68" s="1"/>
      <c r="AS68" s="1"/>
      <c r="AT68" s="2"/>
      <c r="AU68" s="2"/>
      <c r="AV68" s="2"/>
      <c r="AW68" s="1"/>
      <c r="AX68" s="1"/>
      <c r="AY68" s="2"/>
      <c r="AZ68" s="2"/>
      <c r="BA68" s="2"/>
      <c r="BB68" s="7"/>
      <c r="BC68" s="7"/>
      <c r="BD68" s="7"/>
      <c r="BE68" s="2"/>
      <c r="BF68" s="2"/>
      <c r="BG68" s="2"/>
      <c r="BH68" s="2"/>
      <c r="BI68" s="2"/>
      <c r="BJ68" s="2"/>
      <c r="BK68" s="1"/>
      <c r="BL68" s="1"/>
      <c r="BM68" s="1"/>
      <c r="BN68" s="1"/>
      <c r="BO68" s="1"/>
      <c r="BP68" s="1"/>
      <c r="BQ68" s="11"/>
      <c r="BR68" s="1"/>
      <c r="BS68" s="1"/>
      <c r="BT68" s="9"/>
      <c r="BU68" s="1"/>
      <c r="BV68" s="1"/>
      <c r="BW68" s="1"/>
      <c r="BX68" s="1"/>
      <c r="BY68" s="1"/>
      <c r="CA68" s="8"/>
      <c r="CB68" s="2"/>
      <c r="CC68" s="1"/>
    </row>
    <row r="69" spans="1:81" x14ac:dyDescent="0.3">
      <c r="A69">
        <v>15</v>
      </c>
      <c r="B69" s="3" t="s">
        <v>228</v>
      </c>
      <c r="C69" s="3" t="s">
        <v>106</v>
      </c>
      <c r="D69" s="13">
        <v>44126</v>
      </c>
      <c r="E69" s="2">
        <v>1.47</v>
      </c>
      <c r="F69" s="2">
        <v>0.18</v>
      </c>
      <c r="G69" s="2">
        <f t="shared" si="1"/>
        <v>1.29</v>
      </c>
      <c r="H69" s="4">
        <f t="shared" si="2"/>
        <v>3174.2125984251966</v>
      </c>
      <c r="I69" s="10">
        <v>44134</v>
      </c>
      <c r="J69" s="2">
        <v>0.74</v>
      </c>
      <c r="K69" s="2">
        <v>2.1</v>
      </c>
      <c r="L69" s="6">
        <f t="shared" si="3"/>
        <v>0.35658914728682167</v>
      </c>
      <c r="M69" s="6">
        <f t="shared" si="4"/>
        <v>0.32558139534883734</v>
      </c>
      <c r="N69" s="6">
        <f t="shared" si="5"/>
        <v>0.31782945736434098</v>
      </c>
      <c r="O69" s="2">
        <v>58.64</v>
      </c>
      <c r="P69" s="2">
        <v>56.69</v>
      </c>
      <c r="Q69" s="2">
        <v>112.54</v>
      </c>
      <c r="R69" s="2">
        <v>108.32</v>
      </c>
      <c r="S69" s="5">
        <f t="shared" si="6"/>
        <v>3.3253751705320647</v>
      </c>
      <c r="T69" s="5">
        <f t="shared" si="7"/>
        <v>3.7497778567620514</v>
      </c>
      <c r="U69" s="4">
        <f t="shared" si="8"/>
        <v>1131.8897637795274</v>
      </c>
      <c r="V69" s="4">
        <f t="shared" si="9"/>
        <v>1033.4645669291342</v>
      </c>
      <c r="W69" s="4">
        <f t="shared" si="10"/>
        <v>2165.3543307086616</v>
      </c>
      <c r="X69" s="4">
        <f t="shared" si="11"/>
        <v>1094.2501826170089</v>
      </c>
      <c r="Y69" s="4">
        <f t="shared" si="12"/>
        <v>994.71194144094375</v>
      </c>
      <c r="Z69" s="4">
        <f t="shared" si="13"/>
        <v>2088.9621240579527</v>
      </c>
      <c r="AA69" t="s">
        <v>167</v>
      </c>
      <c r="AB69" s="10">
        <v>44154</v>
      </c>
      <c r="AC69" s="4">
        <v>42.199999999999996</v>
      </c>
      <c r="AD69" s="15">
        <v>0.999</v>
      </c>
      <c r="AE69" s="4">
        <v>76.5</v>
      </c>
      <c r="AF69" s="4">
        <v>24.5</v>
      </c>
      <c r="AG69" s="4">
        <v>6.2</v>
      </c>
      <c r="AH69" s="4">
        <v>81.099999999999994</v>
      </c>
      <c r="AI69" s="4">
        <v>8.9</v>
      </c>
      <c r="AJ69" s="4" t="s">
        <v>163</v>
      </c>
      <c r="AK69" s="16">
        <v>12</v>
      </c>
      <c r="AL69" s="5">
        <v>0.2</v>
      </c>
      <c r="AM69" s="4">
        <v>18.5</v>
      </c>
      <c r="AN69" s="1">
        <v>840.2</v>
      </c>
      <c r="AO69" s="1">
        <v>2545.9</v>
      </c>
      <c r="AQ69" s="14" t="s">
        <v>853</v>
      </c>
      <c r="AR69" s="1" t="s">
        <v>106</v>
      </c>
      <c r="AS69" s="11">
        <f>D69</f>
        <v>44126</v>
      </c>
      <c r="AT69" s="2">
        <f>SUM(E69:E70)</f>
        <v>3.0300000000000002</v>
      </c>
      <c r="AU69" s="2">
        <f>SUM(F69:F70)</f>
        <v>0.35</v>
      </c>
      <c r="AV69" s="2">
        <f>AT69-AU69</f>
        <v>2.68</v>
      </c>
      <c r="AW69" s="1">
        <f>AV69/(2*$A$43)*$A$44</f>
        <v>3297.2440944881891</v>
      </c>
      <c r="AX69" s="1">
        <v>3610.9796266098451</v>
      </c>
      <c r="AY69" s="11">
        <f>I69</f>
        <v>44134</v>
      </c>
      <c r="AZ69" s="2">
        <f>SUM(J69:J70)</f>
        <v>1.52</v>
      </c>
      <c r="BA69" s="2">
        <f>SUM(K69:K70)</f>
        <v>4.26</v>
      </c>
      <c r="BB69" s="7">
        <f>(AZ69-2*$A$45)/AV69</f>
        <v>0.35820895522388058</v>
      </c>
      <c r="BC69" s="7">
        <f>(BA69-2*$A$46)/AV69</f>
        <v>0.33582089552238803</v>
      </c>
      <c r="BD69" s="7">
        <f>1-BB69-BC69</f>
        <v>0.30597014925373145</v>
      </c>
      <c r="BE69" s="2">
        <f>SUM(O69:O70)</f>
        <v>116.49000000000001</v>
      </c>
      <c r="BF69" s="2">
        <f>SUM(P69:P70)</f>
        <v>112.61</v>
      </c>
      <c r="BG69" s="2">
        <f>SUM(Q69:Q70)</f>
        <v>254.57999999999998</v>
      </c>
      <c r="BH69" s="2">
        <f>SUM(R69:R70)</f>
        <v>244.92</v>
      </c>
      <c r="BI69" s="2">
        <f>(BE69-BF69)/BE69*100</f>
        <v>3.3307580049789758</v>
      </c>
      <c r="BJ69" s="2">
        <f>(BG69-BH69)/BG69*100</f>
        <v>3.7944850341739325</v>
      </c>
      <c r="BK69" s="1">
        <f>AX69*BB69</f>
        <v>1293.4852393826311</v>
      </c>
      <c r="BL69" s="1">
        <f>AX69*BC69</f>
        <v>1212.6424119212165</v>
      </c>
      <c r="BM69" s="1">
        <f>BK69+BL69</f>
        <v>2506.1276513038474</v>
      </c>
      <c r="BN69" s="1">
        <f>BK69*(1-BI69/100)</f>
        <v>1250.4023762286727</v>
      </c>
      <c r="BO69" s="1">
        <f>BL69*(1-BJ69/100)</f>
        <v>1166.6288770828201</v>
      </c>
      <c r="BP69" s="1">
        <f>BN69+BO69</f>
        <v>2417.0312533114929</v>
      </c>
      <c r="BQ69" s="11" t="str">
        <f>AA69</f>
        <v>992013024216</v>
      </c>
      <c r="BR69" s="11">
        <f>AB69</f>
        <v>44154</v>
      </c>
      <c r="BS69" s="1">
        <f>AVERAGE(AC69:AC70)</f>
        <v>41.25</v>
      </c>
      <c r="BT69" s="9">
        <f t="shared" ref="BT69" si="68">AVERAGE(AD69:AD70)</f>
        <v>1.0405</v>
      </c>
      <c r="BU69" s="1">
        <f t="shared" ref="BU69" si="69">AVERAGE(AE69:AE70)</f>
        <v>77.8</v>
      </c>
      <c r="BV69" s="1">
        <f t="shared" ref="BV69" si="70">AVERAGE(AF69:AF70)</f>
        <v>25.9</v>
      </c>
      <c r="BW69" s="1">
        <f t="shared" ref="BW69" si="71">AVERAGE(AG69:AG70)</f>
        <v>6.1</v>
      </c>
      <c r="BX69" s="1">
        <f t="shared" ref="BX69" si="72">AVERAGE(AH69:AH70)</f>
        <v>81.55</v>
      </c>
      <c r="BY69" s="1">
        <f t="shared" ref="BY69" si="73">AVERAGE(AI69:AI70)</f>
        <v>8.75</v>
      </c>
      <c r="BZ69" s="1"/>
      <c r="CA69" s="8">
        <f t="shared" ref="CA69" si="74">AVERAGE(AK69:AK70)</f>
        <v>10</v>
      </c>
      <c r="CB69" s="2">
        <f t="shared" ref="CB69" si="75">AVERAGE(AL69:AL70)</f>
        <v>0.17</v>
      </c>
      <c r="CC69" s="1">
        <f t="shared" ref="CC69" si="76">AVERAGE(AM69:AM70)</f>
        <v>15.4</v>
      </c>
    </row>
    <row r="70" spans="1:81" x14ac:dyDescent="0.3">
      <c r="A70">
        <v>16</v>
      </c>
      <c r="B70" s="3" t="s">
        <v>229</v>
      </c>
      <c r="C70" s="3" t="s">
        <v>106</v>
      </c>
      <c r="D70" s="13">
        <v>44126</v>
      </c>
      <c r="E70" s="2">
        <v>1.56</v>
      </c>
      <c r="F70" s="2">
        <v>0.17</v>
      </c>
      <c r="G70" s="2">
        <f t="shared" si="1"/>
        <v>1.3900000000000001</v>
      </c>
      <c r="H70" s="4">
        <f t="shared" si="2"/>
        <v>3420.2755905511813</v>
      </c>
      <c r="I70" s="10">
        <v>44134</v>
      </c>
      <c r="J70" s="2">
        <v>0.78</v>
      </c>
      <c r="K70" s="2">
        <v>2.16</v>
      </c>
      <c r="L70" s="6">
        <f t="shared" si="3"/>
        <v>0.35971223021582732</v>
      </c>
      <c r="M70" s="6">
        <f t="shared" si="4"/>
        <v>0.34532374100719437</v>
      </c>
      <c r="N70" s="6">
        <f t="shared" si="5"/>
        <v>0.2949640287769783</v>
      </c>
      <c r="O70" s="2">
        <v>57.85</v>
      </c>
      <c r="P70" s="2">
        <v>55.92</v>
      </c>
      <c r="Q70" s="2">
        <v>142.04</v>
      </c>
      <c r="R70" s="2">
        <v>136.6</v>
      </c>
      <c r="S70" s="5">
        <f t="shared" si="6"/>
        <v>3.3362143474503019</v>
      </c>
      <c r="T70" s="5">
        <f t="shared" si="7"/>
        <v>3.8299070684314263</v>
      </c>
      <c r="U70" s="4">
        <f t="shared" si="8"/>
        <v>1230.3149606299212</v>
      </c>
      <c r="V70" s="4">
        <f t="shared" si="9"/>
        <v>1181.1023622047248</v>
      </c>
      <c r="W70" s="4">
        <f t="shared" si="10"/>
        <v>2411.4173228346463</v>
      </c>
      <c r="X70" s="4">
        <f t="shared" si="11"/>
        <v>1189.2690163945581</v>
      </c>
      <c r="Y70" s="4">
        <f t="shared" si="12"/>
        <v>1135.8672393492354</v>
      </c>
      <c r="Z70" s="4">
        <f t="shared" si="13"/>
        <v>2325.1362557437933</v>
      </c>
      <c r="AA70" s="8" t="s">
        <v>191</v>
      </c>
      <c r="AB70" s="10">
        <v>44154</v>
      </c>
      <c r="AC70" s="4">
        <v>40.300000000000004</v>
      </c>
      <c r="AD70" s="15">
        <v>1.0820000000000001</v>
      </c>
      <c r="AE70" s="4">
        <v>79.099999999999994</v>
      </c>
      <c r="AF70" s="4">
        <v>27.3</v>
      </c>
      <c r="AG70" s="4">
        <v>6</v>
      </c>
      <c r="AH70" s="4">
        <v>82</v>
      </c>
      <c r="AI70" s="4">
        <v>8.6</v>
      </c>
      <c r="AJ70" s="4" t="s">
        <v>163</v>
      </c>
      <c r="AK70" s="16">
        <v>8</v>
      </c>
      <c r="AL70" s="5">
        <v>0.14000000000000001</v>
      </c>
      <c r="AM70" s="4">
        <v>12.3</v>
      </c>
      <c r="AN70" s="1">
        <v>800.4</v>
      </c>
      <c r="AO70" s="1">
        <v>2425.5</v>
      </c>
      <c r="AQ70" s="14"/>
      <c r="AR70" s="1"/>
      <c r="AS70" s="1"/>
      <c r="AT70" s="2"/>
      <c r="AU70" s="2"/>
      <c r="AV70" s="2"/>
      <c r="AW70" s="1"/>
      <c r="AX70" s="1"/>
      <c r="AY70" s="2"/>
      <c r="AZ70" s="2"/>
      <c r="BA70" s="2"/>
      <c r="BB70" s="7"/>
      <c r="BC70" s="7"/>
      <c r="BD70" s="7"/>
      <c r="BE70" s="2"/>
      <c r="BF70" s="2"/>
      <c r="BG70" s="2"/>
      <c r="BH70" s="2"/>
      <c r="BI70" s="2"/>
      <c r="BJ70" s="2"/>
      <c r="BK70" s="1"/>
      <c r="BL70" s="1"/>
      <c r="BM70" s="1"/>
      <c r="BN70" s="1"/>
      <c r="BO70" s="1"/>
      <c r="BP70" s="1"/>
      <c r="BQ70" s="11"/>
      <c r="BR70" s="1"/>
      <c r="BS70" s="1"/>
      <c r="BT70" s="9"/>
      <c r="BU70" s="1"/>
      <c r="BV70" s="1"/>
      <c r="BW70" s="1"/>
      <c r="BX70" s="1"/>
      <c r="BY70" s="1"/>
      <c r="CA70" s="8"/>
      <c r="CB70" s="2"/>
      <c r="CC70" s="1"/>
    </row>
    <row r="71" spans="1:81" x14ac:dyDescent="0.3">
      <c r="A71">
        <v>17</v>
      </c>
      <c r="B71" s="3" t="s">
        <v>230</v>
      </c>
      <c r="C71" s="3" t="s">
        <v>106</v>
      </c>
      <c r="D71" s="13">
        <v>44126</v>
      </c>
      <c r="E71" s="2">
        <v>1.63</v>
      </c>
      <c r="F71" s="2">
        <v>0.17</v>
      </c>
      <c r="G71" s="2">
        <f t="shared" si="1"/>
        <v>1.46</v>
      </c>
      <c r="H71" s="4">
        <f t="shared" si="2"/>
        <v>3592.51968503937</v>
      </c>
      <c r="I71" s="10">
        <v>44134</v>
      </c>
      <c r="J71" s="2">
        <v>0.78</v>
      </c>
      <c r="K71" s="2">
        <v>2.2200000000000002</v>
      </c>
      <c r="L71" s="6">
        <f t="shared" si="3"/>
        <v>0.34246575342465752</v>
      </c>
      <c r="M71" s="6">
        <f t="shared" si="4"/>
        <v>0.36986301369863034</v>
      </c>
      <c r="N71" s="6">
        <f t="shared" si="5"/>
        <v>0.28767123287671209</v>
      </c>
      <c r="O71" s="2">
        <v>60.98</v>
      </c>
      <c r="P71" s="2">
        <v>59.16</v>
      </c>
      <c r="Q71" s="2">
        <v>140.97999999999999</v>
      </c>
      <c r="R71" s="2">
        <v>135.44999999999999</v>
      </c>
      <c r="S71" s="5">
        <f t="shared" si="6"/>
        <v>2.9845851098720901</v>
      </c>
      <c r="T71" s="5">
        <f t="shared" si="7"/>
        <v>3.9225422045680247</v>
      </c>
      <c r="U71" s="4">
        <f t="shared" si="8"/>
        <v>1230.3149606299212</v>
      </c>
      <c r="V71" s="4">
        <f t="shared" si="9"/>
        <v>1328.7401574803157</v>
      </c>
      <c r="W71" s="4">
        <f t="shared" si="10"/>
        <v>2559.0551181102369</v>
      </c>
      <c r="X71" s="4">
        <f t="shared" si="11"/>
        <v>1193.5951635104318</v>
      </c>
      <c r="Y71" s="4">
        <f t="shared" si="12"/>
        <v>1276.6197640141067</v>
      </c>
      <c r="Z71" s="4">
        <f t="shared" si="13"/>
        <v>2470.2149275245383</v>
      </c>
      <c r="AA71" t="s">
        <v>168</v>
      </c>
      <c r="AB71" s="10">
        <v>44154</v>
      </c>
      <c r="AC71" s="4">
        <v>40.300000000000004</v>
      </c>
      <c r="AD71" s="15">
        <v>1.0509999999999999</v>
      </c>
      <c r="AE71" s="4">
        <v>79.099999999999994</v>
      </c>
      <c r="AF71" s="4">
        <v>27.1</v>
      </c>
      <c r="AG71" s="4">
        <v>6</v>
      </c>
      <c r="AH71" s="4">
        <v>82.7</v>
      </c>
      <c r="AI71" s="4">
        <v>8.9</v>
      </c>
      <c r="AJ71" s="4" t="s">
        <v>161</v>
      </c>
      <c r="AK71" s="16">
        <v>6</v>
      </c>
      <c r="AL71" s="5">
        <v>0.12</v>
      </c>
      <c r="AM71" s="4">
        <v>13</v>
      </c>
      <c r="AN71" s="1">
        <v>840.1</v>
      </c>
      <c r="AO71" s="1">
        <v>2545.8000000000002</v>
      </c>
      <c r="AQ71" s="14" t="s">
        <v>854</v>
      </c>
      <c r="AR71" s="1" t="s">
        <v>106</v>
      </c>
      <c r="AS71" s="11">
        <f>D71</f>
        <v>44126</v>
      </c>
      <c r="AT71" s="2">
        <f>SUM(E71:E72)</f>
        <v>3.15</v>
      </c>
      <c r="AU71" s="2">
        <f>SUM(F71:F72)</f>
        <v>0.34</v>
      </c>
      <c r="AV71" s="2">
        <f>AT71-AU71</f>
        <v>2.81</v>
      </c>
      <c r="AW71" s="1">
        <f>AV71/(2*$A$43)*$A$44</f>
        <v>3457.1850393700788</v>
      </c>
      <c r="AX71" s="1">
        <v>3317.9665055355595</v>
      </c>
      <c r="AY71" s="11">
        <f>I71</f>
        <v>44134</v>
      </c>
      <c r="AZ71" s="2">
        <f>SUM(J71:J72)</f>
        <v>1.54</v>
      </c>
      <c r="BA71" s="2">
        <f>SUM(K71:K72)</f>
        <v>4.3600000000000003</v>
      </c>
      <c r="BB71" s="7">
        <f>(AZ71-2*$A$45)/AV71</f>
        <v>0.3487544483985765</v>
      </c>
      <c r="BC71" s="7">
        <f>(BA71-2*$A$46)/AV71</f>
        <v>0.35587188612099657</v>
      </c>
      <c r="BD71" s="7">
        <f>1-BB71-BC71</f>
        <v>0.29537366548042693</v>
      </c>
      <c r="BE71" s="2">
        <f>SUM(O71:O72)</f>
        <v>104.8</v>
      </c>
      <c r="BF71" s="2">
        <f>SUM(P71:P72)</f>
        <v>101.53</v>
      </c>
      <c r="BG71" s="2">
        <f>SUM(Q71:Q72)</f>
        <v>279.33</v>
      </c>
      <c r="BH71" s="2">
        <f>SUM(R71:R72)</f>
        <v>268.27999999999997</v>
      </c>
      <c r="BI71" s="2">
        <f>(BE71-BF71)/BE71*100</f>
        <v>3.1202290076335841</v>
      </c>
      <c r="BJ71" s="2">
        <f>(BG71-BH71)/BG71*100</f>
        <v>3.9558944617477581</v>
      </c>
      <c r="BK71" s="1">
        <f>AX71*BB71</f>
        <v>1157.1555784430066</v>
      </c>
      <c r="BL71" s="1">
        <f>AX71*BC71</f>
        <v>1180.7709984112316</v>
      </c>
      <c r="BM71" s="1">
        <f>BK71+BL71</f>
        <v>2337.9265768542382</v>
      </c>
      <c r="BN71" s="1">
        <f>BK71*(1-BI71/100)</f>
        <v>1121.0496744209777</v>
      </c>
      <c r="BO71" s="1">
        <f>BL71*(1-BJ71/100)</f>
        <v>1134.060943879158</v>
      </c>
      <c r="BP71" s="1">
        <f>BN71+BO71</f>
        <v>2255.1106183001357</v>
      </c>
      <c r="BQ71" s="11" t="str">
        <f>AA71</f>
        <v>992013031218</v>
      </c>
      <c r="BR71" s="11">
        <f>AB71</f>
        <v>44154</v>
      </c>
      <c r="BS71" s="1">
        <f>AVERAGE(AC71:AC72)</f>
        <v>40.75</v>
      </c>
      <c r="BT71" s="9">
        <f t="shared" ref="BT71" si="77">AVERAGE(AD71:AD72)</f>
        <v>1.0514999999999999</v>
      </c>
      <c r="BU71" s="1">
        <f t="shared" ref="BU71" si="78">AVERAGE(AE71:AE72)</f>
        <v>79.099999999999994</v>
      </c>
      <c r="BV71" s="1">
        <f t="shared" ref="BV71" si="79">AVERAGE(AF71:AF72)</f>
        <v>26.950000000000003</v>
      </c>
      <c r="BW71" s="1">
        <f t="shared" ref="BW71" si="80">AVERAGE(AG71:AG72)</f>
        <v>6</v>
      </c>
      <c r="BX71" s="1">
        <f t="shared" ref="BX71" si="81">AVERAGE(AH71:AH72)</f>
        <v>80</v>
      </c>
      <c r="BY71" s="1">
        <f t="shared" ref="BY71" si="82">AVERAGE(AI71:AI72)</f>
        <v>8.6000000000000014</v>
      </c>
      <c r="BZ71" s="1"/>
      <c r="CA71" s="8">
        <f t="shared" ref="CA71" si="83">AVERAGE(AK71:AK72)</f>
        <v>6.5</v>
      </c>
      <c r="CB71" s="2">
        <f t="shared" ref="CB71" si="84">AVERAGE(AL71:AL72)</f>
        <v>0.09</v>
      </c>
      <c r="CC71" s="1">
        <f t="shared" ref="CC71" si="85">AVERAGE(AM71:AM72)</f>
        <v>13.25</v>
      </c>
    </row>
    <row r="72" spans="1:81" x14ac:dyDescent="0.3">
      <c r="A72">
        <v>18</v>
      </c>
      <c r="B72" s="3" t="s">
        <v>231</v>
      </c>
      <c r="C72" s="3" t="s">
        <v>106</v>
      </c>
      <c r="D72" s="13">
        <v>44126</v>
      </c>
      <c r="E72" s="2">
        <v>1.52</v>
      </c>
      <c r="F72" s="2">
        <v>0.17</v>
      </c>
      <c r="G72" s="2">
        <f t="shared" si="1"/>
        <v>1.35</v>
      </c>
      <c r="H72" s="4">
        <f t="shared" si="2"/>
        <v>3321.8503937007877</v>
      </c>
      <c r="I72" s="10">
        <v>44134</v>
      </c>
      <c r="J72" s="2">
        <v>0.76</v>
      </c>
      <c r="K72" s="2">
        <v>2.14</v>
      </c>
      <c r="L72" s="6">
        <f t="shared" si="3"/>
        <v>0.35555555555555551</v>
      </c>
      <c r="M72" s="6">
        <f t="shared" si="4"/>
        <v>0.34074074074074084</v>
      </c>
      <c r="N72" s="6">
        <f t="shared" si="5"/>
        <v>0.30370370370370364</v>
      </c>
      <c r="O72" s="2">
        <v>43.82</v>
      </c>
      <c r="P72" s="2">
        <v>42.37</v>
      </c>
      <c r="Q72" s="2">
        <v>138.35</v>
      </c>
      <c r="R72" s="2">
        <v>132.83000000000001</v>
      </c>
      <c r="S72" s="5">
        <f t="shared" si="6"/>
        <v>3.3089913281606638</v>
      </c>
      <c r="T72" s="5">
        <f t="shared" si="7"/>
        <v>3.9898807372605578</v>
      </c>
      <c r="U72" s="4">
        <f t="shared" si="8"/>
        <v>1181.1023622047244</v>
      </c>
      <c r="V72" s="4">
        <f t="shared" si="9"/>
        <v>1131.889763779528</v>
      </c>
      <c r="W72" s="4">
        <f t="shared" si="10"/>
        <v>2312.9921259842522</v>
      </c>
      <c r="X72" s="4">
        <f t="shared" si="11"/>
        <v>1142.0197874626695</v>
      </c>
      <c r="Y72" s="4">
        <f t="shared" si="12"/>
        <v>1086.7287121274646</v>
      </c>
      <c r="Z72" s="4">
        <f t="shared" si="13"/>
        <v>2228.7484995901341</v>
      </c>
      <c r="AA72" s="8" t="s">
        <v>192</v>
      </c>
      <c r="AB72" s="10">
        <v>44154</v>
      </c>
      <c r="AC72" s="4">
        <v>41.2</v>
      </c>
      <c r="AD72" s="15">
        <v>1.052</v>
      </c>
      <c r="AE72" s="4">
        <v>79.099999999999994</v>
      </c>
      <c r="AF72" s="4">
        <v>26.8</v>
      </c>
      <c r="AG72" s="4">
        <v>6</v>
      </c>
      <c r="AH72" s="4">
        <v>77.3</v>
      </c>
      <c r="AI72" s="4">
        <v>8.3000000000000007</v>
      </c>
      <c r="AJ72" s="4" t="s">
        <v>193</v>
      </c>
      <c r="AK72" s="16">
        <v>7</v>
      </c>
      <c r="AL72" s="5">
        <v>0.06</v>
      </c>
      <c r="AM72" s="4">
        <v>13.5</v>
      </c>
      <c r="AN72" s="1">
        <v>612</v>
      </c>
      <c r="AO72" s="1">
        <v>1854.7</v>
      </c>
      <c r="AQ72" s="14"/>
      <c r="AR72" s="1"/>
      <c r="AS72" s="1"/>
      <c r="AT72" s="2"/>
      <c r="AU72" s="2"/>
      <c r="AV72" s="2"/>
      <c r="AW72" s="1"/>
      <c r="AX72" s="1"/>
      <c r="AY72" s="2"/>
      <c r="AZ72" s="2"/>
      <c r="BA72" s="2"/>
      <c r="BB72" s="7"/>
      <c r="BC72" s="7"/>
      <c r="BD72" s="7"/>
      <c r="BE72" s="2"/>
      <c r="BF72" s="2"/>
      <c r="BG72" s="2"/>
      <c r="BH72" s="2"/>
      <c r="BI72" s="2"/>
      <c r="BJ72" s="2"/>
      <c r="BK72" s="1"/>
      <c r="BL72" s="1"/>
      <c r="BM72" s="1"/>
      <c r="BN72" s="1"/>
      <c r="BO72" s="1"/>
      <c r="BP72" s="1"/>
      <c r="BQ72" s="11"/>
      <c r="BR72" s="1"/>
      <c r="BS72" s="1"/>
      <c r="BT72" s="9"/>
      <c r="BU72" s="1"/>
      <c r="BV72" s="1"/>
      <c r="BW72" s="1"/>
      <c r="BX72" s="1"/>
      <c r="BY72" s="1"/>
      <c r="CA72" s="8"/>
      <c r="CB72" s="2"/>
      <c r="CC72" s="1"/>
    </row>
    <row r="73" spans="1:81" x14ac:dyDescent="0.3">
      <c r="A73">
        <v>19</v>
      </c>
      <c r="B73" s="3" t="s">
        <v>232</v>
      </c>
      <c r="C73" s="3" t="s">
        <v>106</v>
      </c>
      <c r="D73" s="13">
        <v>44126</v>
      </c>
      <c r="E73" s="2">
        <v>2.11</v>
      </c>
      <c r="F73" s="2">
        <v>0.17</v>
      </c>
      <c r="G73" s="2">
        <f t="shared" si="1"/>
        <v>1.94</v>
      </c>
      <c r="H73" s="4">
        <f t="shared" si="2"/>
        <v>4773.6220472440946</v>
      </c>
      <c r="I73" s="10">
        <v>44134</v>
      </c>
      <c r="J73" s="2">
        <v>1</v>
      </c>
      <c r="K73" s="2">
        <v>2.5</v>
      </c>
      <c r="L73" s="6">
        <f t="shared" si="3"/>
        <v>0.37113402061855671</v>
      </c>
      <c r="M73" s="6">
        <f t="shared" si="4"/>
        <v>0.42268041237113407</v>
      </c>
      <c r="N73" s="6">
        <f t="shared" si="5"/>
        <v>0.20618556701030921</v>
      </c>
      <c r="O73" s="2">
        <v>62.93</v>
      </c>
      <c r="P73" s="2">
        <v>61.04</v>
      </c>
      <c r="Q73" s="2">
        <v>196.31</v>
      </c>
      <c r="R73" s="2">
        <v>188.78</v>
      </c>
      <c r="S73" s="5">
        <f t="shared" si="6"/>
        <v>3.0033370411568416</v>
      </c>
      <c r="T73" s="5">
        <f t="shared" si="7"/>
        <v>3.8357699556823395</v>
      </c>
      <c r="U73" s="4">
        <f t="shared" si="8"/>
        <v>1771.6535433070867</v>
      </c>
      <c r="V73" s="4">
        <f t="shared" si="9"/>
        <v>2017.7165354330712</v>
      </c>
      <c r="W73" s="4">
        <f t="shared" si="10"/>
        <v>3789.3700787401576</v>
      </c>
      <c r="X73" s="4">
        <f t="shared" si="11"/>
        <v>1718.4448161999774</v>
      </c>
      <c r="Y73" s="4">
        <f t="shared" si="12"/>
        <v>1940.3215707760946</v>
      </c>
      <c r="Z73" s="4">
        <f t="shared" si="13"/>
        <v>3658.7663869760718</v>
      </c>
      <c r="AA73" t="s">
        <v>169</v>
      </c>
      <c r="AB73" s="10">
        <v>44154</v>
      </c>
      <c r="AC73" s="4">
        <v>41.7</v>
      </c>
      <c r="AD73" s="15">
        <v>1.1240000000000001</v>
      </c>
      <c r="AE73" s="4">
        <v>80.2</v>
      </c>
      <c r="AF73" s="4">
        <v>28.2</v>
      </c>
      <c r="AG73" s="4">
        <v>6</v>
      </c>
      <c r="AH73" s="4">
        <v>83</v>
      </c>
      <c r="AI73" s="4">
        <v>8.8000000000000007</v>
      </c>
      <c r="AJ73" s="4" t="s">
        <v>161</v>
      </c>
      <c r="AK73" s="16">
        <v>6</v>
      </c>
      <c r="AL73" s="5">
        <v>0.09</v>
      </c>
      <c r="AM73" s="4">
        <v>10.1</v>
      </c>
      <c r="AN73" s="1">
        <v>1220.8</v>
      </c>
      <c r="AO73" s="1">
        <v>3699.5</v>
      </c>
      <c r="AQ73" s="14" t="s">
        <v>855</v>
      </c>
      <c r="AR73" s="1" t="s">
        <v>106</v>
      </c>
      <c r="AS73" s="11">
        <f>D73</f>
        <v>44126</v>
      </c>
      <c r="AT73" s="2">
        <f>SUM(E73:E74)</f>
        <v>3.9699999999999998</v>
      </c>
      <c r="AU73" s="2">
        <f>SUM(F73:F74)</f>
        <v>0.33</v>
      </c>
      <c r="AV73" s="2">
        <f>AT73-AU73</f>
        <v>3.6399999999999997</v>
      </c>
      <c r="AW73" s="1">
        <f>AV73/(2*$A$43)*$A$44</f>
        <v>4478.3464566929133</v>
      </c>
      <c r="AX73" s="1">
        <v>4144.0088474536979</v>
      </c>
      <c r="AY73" s="11">
        <f>I73</f>
        <v>44134</v>
      </c>
      <c r="AZ73" s="2">
        <f>SUM(J73:J74)</f>
        <v>1.9</v>
      </c>
      <c r="BA73" s="2">
        <f>SUM(K73:K74)</f>
        <v>4.8599999999999994</v>
      </c>
      <c r="BB73" s="7">
        <f>(AZ73-2*$A$45)/AV73</f>
        <v>0.3681318681318681</v>
      </c>
      <c r="BC73" s="7">
        <f>(BA73-2*$A$46)/AV73</f>
        <v>0.41208791208791201</v>
      </c>
      <c r="BD73" s="7">
        <f>1-BB73-BC73</f>
        <v>0.21978021978021983</v>
      </c>
      <c r="BE73" s="2">
        <f>SUM(O73:O74)</f>
        <v>114.32</v>
      </c>
      <c r="BF73" s="2">
        <f>SUM(P73:P74)</f>
        <v>110.82</v>
      </c>
      <c r="BG73" s="2">
        <f>SUM(Q73:Q74)</f>
        <v>349.6</v>
      </c>
      <c r="BH73" s="2">
        <f>SUM(R73:R74)</f>
        <v>336.13</v>
      </c>
      <c r="BI73" s="2">
        <f>(BE73-BF73)/BE73*100</f>
        <v>3.0615815255423375</v>
      </c>
      <c r="BJ73" s="2">
        <f>(BG73-BH73)/BG73*100</f>
        <v>3.8529748283752934</v>
      </c>
      <c r="BK73" s="1">
        <f>AX73*BB73</f>
        <v>1525.5417185681194</v>
      </c>
      <c r="BL73" s="1">
        <f>AX73*BC73</f>
        <v>1707.695953621029</v>
      </c>
      <c r="BM73" s="1">
        <f>BK73+BL73</f>
        <v>3233.2376721891487</v>
      </c>
      <c r="BN73" s="1">
        <f>BK73*(1-BI73/100)</f>
        <v>1478.8360151479969</v>
      </c>
      <c r="BO73" s="1">
        <f>BL73*(1-BJ73/100)</f>
        <v>1641.8988583828275</v>
      </c>
      <c r="BP73" s="1">
        <f>BN73+BO73</f>
        <v>3120.7348735308242</v>
      </c>
      <c r="BQ73" s="11" t="str">
        <f>AA73</f>
        <v>992013032220</v>
      </c>
      <c r="BR73" s="11">
        <f>AB73</f>
        <v>44154</v>
      </c>
      <c r="BS73" s="1">
        <f>AVERAGE(AC73:AC74)</f>
        <v>41.05</v>
      </c>
      <c r="BT73" s="9">
        <f t="shared" ref="BT73" si="86">AVERAGE(AD73:AD74)</f>
        <v>1.0950000000000002</v>
      </c>
      <c r="BU73" s="1">
        <f t="shared" ref="BU73" si="87">AVERAGE(AE73:AE74)</f>
        <v>79.650000000000006</v>
      </c>
      <c r="BV73" s="1">
        <f t="shared" ref="BV73" si="88">AVERAGE(AF73:AF74)</f>
        <v>28.1</v>
      </c>
      <c r="BW73" s="1">
        <f t="shared" ref="BW73" si="89">AVERAGE(AG73:AG74)</f>
        <v>6</v>
      </c>
      <c r="BX73" s="1">
        <f t="shared" ref="BX73" si="90">AVERAGE(AH73:AH74)</f>
        <v>83</v>
      </c>
      <c r="BY73" s="1">
        <f t="shared" ref="BY73" si="91">AVERAGE(AI73:AI74)</f>
        <v>8.8000000000000007</v>
      </c>
      <c r="BZ73" s="1"/>
      <c r="CA73" s="8">
        <f t="shared" ref="CA73" si="92">AVERAGE(AK73:AK74)</f>
        <v>5</v>
      </c>
      <c r="CB73" s="2">
        <f t="shared" ref="CB73" si="93">AVERAGE(AL73:AL74)</f>
        <v>0.13500000000000001</v>
      </c>
      <c r="CC73" s="1">
        <f t="shared" ref="CC73" si="94">AVERAGE(AM73:AM74)</f>
        <v>10.649999999999999</v>
      </c>
    </row>
    <row r="74" spans="1:81" x14ac:dyDescent="0.3">
      <c r="A74">
        <v>20</v>
      </c>
      <c r="B74" s="3" t="s">
        <v>233</v>
      </c>
      <c r="C74" s="3" t="s">
        <v>106</v>
      </c>
      <c r="D74" s="13">
        <v>44126</v>
      </c>
      <c r="E74" s="2">
        <v>1.86</v>
      </c>
      <c r="F74" s="2">
        <v>0.16</v>
      </c>
      <c r="G74" s="2">
        <f t="shared" si="1"/>
        <v>1.7000000000000002</v>
      </c>
      <c r="H74" s="4">
        <f t="shared" si="2"/>
        <v>4183.0708661417329</v>
      </c>
      <c r="I74" s="10">
        <v>44134</v>
      </c>
      <c r="J74" s="2">
        <v>0.9</v>
      </c>
      <c r="K74" s="2">
        <v>2.36</v>
      </c>
      <c r="L74" s="6">
        <f t="shared" si="3"/>
        <v>0.36470588235294116</v>
      </c>
      <c r="M74" s="6">
        <f t="shared" si="4"/>
        <v>0.39999999999999991</v>
      </c>
      <c r="N74" s="6">
        <f t="shared" si="5"/>
        <v>0.23529411764705888</v>
      </c>
      <c r="O74" s="2">
        <v>51.39</v>
      </c>
      <c r="P74" s="2">
        <v>49.78</v>
      </c>
      <c r="Q74" s="2">
        <v>153.29</v>
      </c>
      <c r="R74" s="2">
        <v>147.35</v>
      </c>
      <c r="S74" s="5">
        <f t="shared" si="6"/>
        <v>3.1329052344814152</v>
      </c>
      <c r="T74" s="5">
        <f t="shared" si="7"/>
        <v>3.8750081544784383</v>
      </c>
      <c r="U74" s="4">
        <f t="shared" si="8"/>
        <v>1525.5905511811025</v>
      </c>
      <c r="V74" s="4">
        <f t="shared" si="9"/>
        <v>1673.2283464566929</v>
      </c>
      <c r="W74" s="4">
        <f t="shared" si="10"/>
        <v>3198.8188976377951</v>
      </c>
      <c r="X74" s="4">
        <f t="shared" si="11"/>
        <v>1477.7952449463958</v>
      </c>
      <c r="Y74" s="4">
        <f t="shared" si="12"/>
        <v>1608.3906115884513</v>
      </c>
      <c r="Z74" s="4">
        <f t="shared" si="13"/>
        <v>3086.1858565348471</v>
      </c>
      <c r="AA74" s="8" t="s">
        <v>194</v>
      </c>
      <c r="AB74" s="10">
        <v>44154</v>
      </c>
      <c r="AC74" s="4">
        <v>40.4</v>
      </c>
      <c r="AD74" s="15">
        <v>1.0660000000000001</v>
      </c>
      <c r="AE74" s="4">
        <v>79.099999999999994</v>
      </c>
      <c r="AF74" s="4">
        <v>28</v>
      </c>
      <c r="AG74" s="4">
        <v>6</v>
      </c>
      <c r="AH74" s="4">
        <v>83</v>
      </c>
      <c r="AI74" s="4">
        <v>8.8000000000000007</v>
      </c>
      <c r="AJ74" s="4" t="s">
        <v>161</v>
      </c>
      <c r="AK74" s="16">
        <v>4</v>
      </c>
      <c r="AL74" s="5">
        <v>0.18</v>
      </c>
      <c r="AM74" s="4">
        <v>11.2</v>
      </c>
      <c r="AN74" s="1">
        <v>964.8</v>
      </c>
      <c r="AO74" s="1">
        <v>2923.6</v>
      </c>
      <c r="AQ74" s="14"/>
      <c r="AR74" s="1"/>
      <c r="AS74" s="1"/>
      <c r="AT74" s="2"/>
      <c r="AU74" s="2"/>
      <c r="AV74" s="2"/>
      <c r="AW74" s="1"/>
      <c r="AX74" s="1"/>
      <c r="AY74" s="2"/>
      <c r="AZ74" s="2"/>
      <c r="BA74" s="2"/>
      <c r="BB74" s="7"/>
      <c r="BC74" s="7"/>
      <c r="BD74" s="7"/>
      <c r="BE74" s="2"/>
      <c r="BF74" s="2"/>
      <c r="BG74" s="2"/>
      <c r="BH74" s="2"/>
      <c r="BI74" s="2"/>
      <c r="BJ74" s="2"/>
      <c r="BK74" s="1"/>
      <c r="BL74" s="1"/>
      <c r="BM74" s="1"/>
      <c r="BN74" s="1"/>
      <c r="BO74" s="1"/>
      <c r="BP74" s="1"/>
      <c r="BQ74" s="11"/>
      <c r="BR74" s="1"/>
      <c r="BS74" s="1"/>
      <c r="BT74" s="9"/>
      <c r="BU74" s="1"/>
      <c r="BV74" s="1"/>
      <c r="BW74" s="1"/>
      <c r="BX74" s="1"/>
      <c r="BY74" s="1"/>
      <c r="CA74" s="8"/>
      <c r="CB74" s="2"/>
      <c r="CC74" s="1"/>
    </row>
    <row r="75" spans="1:81" x14ac:dyDescent="0.3">
      <c r="A75">
        <v>21</v>
      </c>
      <c r="B75" s="3" t="s">
        <v>234</v>
      </c>
      <c r="C75" s="3" t="s">
        <v>106</v>
      </c>
      <c r="D75" s="13">
        <v>44126</v>
      </c>
      <c r="E75" s="2">
        <v>1.54</v>
      </c>
      <c r="F75" s="2">
        <v>0.17</v>
      </c>
      <c r="G75" s="2">
        <f t="shared" si="1"/>
        <v>1.37</v>
      </c>
      <c r="H75" s="4">
        <f t="shared" si="2"/>
        <v>3371.0629921259842</v>
      </c>
      <c r="I75" s="10">
        <v>44134</v>
      </c>
      <c r="J75" s="2">
        <v>0.74</v>
      </c>
      <c r="K75" s="2">
        <v>2.14</v>
      </c>
      <c r="L75" s="6">
        <f t="shared" si="3"/>
        <v>0.33576642335766416</v>
      </c>
      <c r="M75" s="6">
        <f t="shared" si="4"/>
        <v>0.33576642335766432</v>
      </c>
      <c r="N75" s="6">
        <f t="shared" si="5"/>
        <v>0.32846715328467152</v>
      </c>
      <c r="O75" s="2">
        <v>51.92</v>
      </c>
      <c r="P75" s="2">
        <v>50.18</v>
      </c>
      <c r="Q75" s="2">
        <v>140.27000000000001</v>
      </c>
      <c r="R75" s="2">
        <v>134.77000000000001</v>
      </c>
      <c r="S75" s="5">
        <f t="shared" si="6"/>
        <v>3.3513097072419145</v>
      </c>
      <c r="T75" s="5">
        <f t="shared" si="7"/>
        <v>3.921009481713837</v>
      </c>
      <c r="U75" s="4">
        <f t="shared" si="8"/>
        <v>1131.8897637795274</v>
      </c>
      <c r="V75" s="4">
        <f t="shared" si="9"/>
        <v>1131.8897637795278</v>
      </c>
      <c r="W75" s="4">
        <f t="shared" si="10"/>
        <v>2263.7795275590552</v>
      </c>
      <c r="X75" s="4">
        <f t="shared" si="11"/>
        <v>1093.9566322507064</v>
      </c>
      <c r="Y75" s="4">
        <f t="shared" si="12"/>
        <v>1087.5082588191842</v>
      </c>
      <c r="Z75" s="4">
        <f t="shared" si="13"/>
        <v>2181.4648910698907</v>
      </c>
      <c r="AA75" t="s">
        <v>170</v>
      </c>
      <c r="AB75" s="10">
        <v>44154</v>
      </c>
      <c r="AC75" s="4">
        <v>36.800000000000004</v>
      </c>
      <c r="AD75" s="15">
        <v>1.0369999999999999</v>
      </c>
      <c r="AE75" s="4">
        <v>79.2</v>
      </c>
      <c r="AF75" s="4">
        <v>26.9</v>
      </c>
      <c r="AG75" s="4">
        <v>6</v>
      </c>
      <c r="AH75" s="4">
        <v>81.8</v>
      </c>
      <c r="AI75" s="4">
        <v>8.5</v>
      </c>
      <c r="AJ75" s="4" t="s">
        <v>163</v>
      </c>
      <c r="AK75" s="16">
        <v>10</v>
      </c>
      <c r="AL75" s="5">
        <v>0.11</v>
      </c>
      <c r="AM75" s="4">
        <v>13.3</v>
      </c>
      <c r="AN75" s="1">
        <v>780.3</v>
      </c>
      <c r="AO75" s="1">
        <v>2364.6999999999998</v>
      </c>
      <c r="AQ75" s="14" t="s">
        <v>856</v>
      </c>
      <c r="AR75" s="1" t="s">
        <v>106</v>
      </c>
      <c r="AS75" s="11">
        <f>D75</f>
        <v>44126</v>
      </c>
      <c r="AT75" s="2">
        <f>SUM(E75:E76)</f>
        <v>3.1799999999999997</v>
      </c>
      <c r="AU75" s="2">
        <f>SUM(F75:F76)</f>
        <v>0.34</v>
      </c>
      <c r="AV75" s="2">
        <f>AT75-AU75</f>
        <v>2.84</v>
      </c>
      <c r="AW75" s="1">
        <f>AV75/(2*$A$43)*$A$44</f>
        <v>3494.0944881889764</v>
      </c>
      <c r="AX75" s="1">
        <v>3876.7263580492363</v>
      </c>
      <c r="AY75" s="11">
        <f>I75</f>
        <v>44134</v>
      </c>
      <c r="AZ75" s="2">
        <f>SUM(J75:J76)</f>
        <v>1.56</v>
      </c>
      <c r="BA75" s="2">
        <f>SUM(K75:K76)</f>
        <v>4.3600000000000003</v>
      </c>
      <c r="BB75" s="7">
        <f>(AZ75-2*$A$45)/AV75</f>
        <v>0.35211267605633806</v>
      </c>
      <c r="BC75" s="7">
        <f>(BA75-2*$A$46)/AV75</f>
        <v>0.35211267605633823</v>
      </c>
      <c r="BD75" s="7">
        <f>1-BB75-BC75</f>
        <v>0.29577464788732377</v>
      </c>
      <c r="BE75" s="2">
        <f>SUM(O75:O76)</f>
        <v>120.45</v>
      </c>
      <c r="BF75" s="2">
        <f>SUM(P75:P76)</f>
        <v>117.44</v>
      </c>
      <c r="BG75" s="2">
        <f>SUM(Q75:Q76)</f>
        <v>264.86</v>
      </c>
      <c r="BH75" s="2">
        <f>SUM(R75:R76)</f>
        <v>254.55</v>
      </c>
      <c r="BI75" s="2">
        <f>(BE75-BF75)/BE75*100</f>
        <v>2.4989622249896262</v>
      </c>
      <c r="BJ75" s="2">
        <f>(BG75-BH75)/BG75*100</f>
        <v>3.8926225175564455</v>
      </c>
      <c r="BK75" s="1">
        <f>AX75*BB75</f>
        <v>1365.044492270858</v>
      </c>
      <c r="BL75" s="1">
        <f>AX75*BC75</f>
        <v>1365.0444922708587</v>
      </c>
      <c r="BM75" s="1">
        <f>BK75+BL75</f>
        <v>2730.0889845417169</v>
      </c>
      <c r="BN75" s="1">
        <f>BK75*(1-BI75/100)</f>
        <v>1330.9325460547077</v>
      </c>
      <c r="BO75" s="1">
        <f>BL75*(1-BJ75/100)</f>
        <v>1311.9084629900592</v>
      </c>
      <c r="BP75" s="1">
        <f>BN75+BO75</f>
        <v>2642.8410090447669</v>
      </c>
      <c r="BQ75" s="11" t="str">
        <f>AA75</f>
        <v>992013033222</v>
      </c>
      <c r="BR75" s="11">
        <f>AB75</f>
        <v>44154</v>
      </c>
      <c r="BS75" s="1">
        <f>AVERAGE(AC75:AC76)</f>
        <v>39.150000000000006</v>
      </c>
      <c r="BT75" s="9">
        <f t="shared" ref="BT75" si="95">AVERAGE(AD75:AD76)</f>
        <v>1.0449999999999999</v>
      </c>
      <c r="BU75" s="1">
        <f t="shared" ref="BU75" si="96">AVERAGE(AE75:AE76)</f>
        <v>78.849999999999994</v>
      </c>
      <c r="BV75" s="1">
        <f t="shared" ref="BV75" si="97">AVERAGE(AF75:AF76)</f>
        <v>27.049999999999997</v>
      </c>
      <c r="BW75" s="1">
        <f t="shared" ref="BW75" si="98">AVERAGE(AG75:AG76)</f>
        <v>6.05</v>
      </c>
      <c r="BX75" s="1">
        <f t="shared" ref="BX75" si="99">AVERAGE(AH75:AH76)</f>
        <v>81.75</v>
      </c>
      <c r="BY75" s="1">
        <f t="shared" ref="BY75" si="100">AVERAGE(AI75:AI76)</f>
        <v>8.3000000000000007</v>
      </c>
      <c r="BZ75" s="1"/>
      <c r="CA75" s="8">
        <f t="shared" ref="CA75" si="101">AVERAGE(AK75:AK76)</f>
        <v>10</v>
      </c>
      <c r="CB75" s="2">
        <f t="shared" ref="CB75" si="102">AVERAGE(AL75:AL76)</f>
        <v>9.5000000000000001E-2</v>
      </c>
      <c r="CC75" s="1">
        <f t="shared" ref="CC75" si="103">AVERAGE(AM75:AM76)</f>
        <v>13.55</v>
      </c>
    </row>
    <row r="76" spans="1:81" x14ac:dyDescent="0.3">
      <c r="A76">
        <v>22</v>
      </c>
      <c r="B76" s="3" t="s">
        <v>235</v>
      </c>
      <c r="C76" s="3" t="s">
        <v>106</v>
      </c>
      <c r="D76" s="13">
        <v>44126</v>
      </c>
      <c r="E76" s="2">
        <v>1.64</v>
      </c>
      <c r="F76" s="2">
        <v>0.17</v>
      </c>
      <c r="G76" s="2">
        <f t="shared" si="1"/>
        <v>1.47</v>
      </c>
      <c r="H76" s="4">
        <f t="shared" si="2"/>
        <v>3617.125984251968</v>
      </c>
      <c r="I76" s="10">
        <v>44134</v>
      </c>
      <c r="J76" s="2">
        <v>0.82</v>
      </c>
      <c r="K76" s="2">
        <v>2.2200000000000002</v>
      </c>
      <c r="L76" s="6">
        <f t="shared" si="3"/>
        <v>0.36734693877551017</v>
      </c>
      <c r="M76" s="6">
        <f t="shared" si="4"/>
        <v>0.36734693877551039</v>
      </c>
      <c r="N76" s="6">
        <f t="shared" si="5"/>
        <v>0.26530612244897944</v>
      </c>
      <c r="O76" s="2">
        <v>68.53</v>
      </c>
      <c r="P76" s="2">
        <v>67.260000000000005</v>
      </c>
      <c r="Q76" s="2">
        <v>124.59</v>
      </c>
      <c r="R76" s="2">
        <v>119.78</v>
      </c>
      <c r="S76" s="5">
        <f t="shared" si="6"/>
        <v>1.8532029767984763</v>
      </c>
      <c r="T76" s="5">
        <f t="shared" si="7"/>
        <v>3.8606629745565475</v>
      </c>
      <c r="U76" s="4">
        <f t="shared" si="8"/>
        <v>1328.7401574803146</v>
      </c>
      <c r="V76" s="4">
        <f t="shared" si="9"/>
        <v>1328.7401574803155</v>
      </c>
      <c r="W76" s="4">
        <f t="shared" si="10"/>
        <v>2657.48031496063</v>
      </c>
      <c r="X76" s="4">
        <f t="shared" si="11"/>
        <v>1304.1159053279725</v>
      </c>
      <c r="Y76" s="4">
        <f t="shared" si="12"/>
        <v>1277.4419781924084</v>
      </c>
      <c r="Z76" s="4">
        <f t="shared" si="13"/>
        <v>2581.557883520381</v>
      </c>
      <c r="AA76" s="8" t="s">
        <v>195</v>
      </c>
      <c r="AB76" s="10">
        <v>44154</v>
      </c>
      <c r="AC76" s="4">
        <v>41.5</v>
      </c>
      <c r="AD76" s="15">
        <v>1.0529999999999999</v>
      </c>
      <c r="AE76" s="4">
        <v>78.5</v>
      </c>
      <c r="AF76" s="4">
        <v>27.2</v>
      </c>
      <c r="AG76" s="4">
        <v>6.1</v>
      </c>
      <c r="AH76" s="4">
        <v>81.7</v>
      </c>
      <c r="AI76" s="4">
        <v>8.1</v>
      </c>
      <c r="AJ76" s="4" t="s">
        <v>159</v>
      </c>
      <c r="AK76" s="16">
        <v>10</v>
      </c>
      <c r="AL76" s="5">
        <v>0.08</v>
      </c>
      <c r="AM76" s="4">
        <v>13.8</v>
      </c>
      <c r="AN76" s="1">
        <v>780.2</v>
      </c>
      <c r="AO76" s="1">
        <v>2364.1999999999998</v>
      </c>
      <c r="AQ76" s="14"/>
      <c r="AR76" s="1"/>
      <c r="AS76" s="1"/>
      <c r="AT76" s="2"/>
      <c r="AU76" s="2"/>
      <c r="AV76" s="2"/>
      <c r="AW76" s="1"/>
      <c r="AX76" s="1"/>
      <c r="AY76" s="2"/>
      <c r="AZ76" s="2"/>
      <c r="BA76" s="2"/>
      <c r="BB76" s="7"/>
      <c r="BC76" s="7"/>
      <c r="BD76" s="7"/>
      <c r="BE76" s="2"/>
      <c r="BF76" s="2"/>
      <c r="BG76" s="2"/>
      <c r="BH76" s="2"/>
      <c r="BI76" s="2"/>
      <c r="BJ76" s="2"/>
      <c r="BK76" s="1"/>
      <c r="BL76" s="1"/>
      <c r="BM76" s="1"/>
      <c r="BN76" s="1"/>
      <c r="BO76" s="1"/>
      <c r="BP76" s="1"/>
      <c r="BQ76" s="11"/>
      <c r="BR76" s="1"/>
      <c r="BS76" s="1"/>
      <c r="BT76" s="9"/>
      <c r="BU76" s="1"/>
      <c r="BV76" s="1"/>
      <c r="BW76" s="1"/>
      <c r="BX76" s="1"/>
      <c r="BY76" s="1"/>
      <c r="CA76" s="8"/>
      <c r="CB76" s="2"/>
      <c r="CC76" s="1"/>
    </row>
    <row r="77" spans="1:81" x14ac:dyDescent="0.3">
      <c r="A77">
        <v>23</v>
      </c>
      <c r="B77" s="3" t="s">
        <v>236</v>
      </c>
      <c r="C77" s="3" t="s">
        <v>106</v>
      </c>
      <c r="D77" s="13">
        <v>44126</v>
      </c>
      <c r="E77" s="2">
        <v>1.84</v>
      </c>
      <c r="F77" s="2">
        <v>0.18</v>
      </c>
      <c r="G77" s="2">
        <f t="shared" si="1"/>
        <v>1.6600000000000001</v>
      </c>
      <c r="H77" s="4">
        <f t="shared" si="2"/>
        <v>4084.6456692913389</v>
      </c>
      <c r="I77" s="10">
        <v>44134</v>
      </c>
      <c r="J77" s="2">
        <v>0.84</v>
      </c>
      <c r="K77" s="2">
        <v>2.3199999999999998</v>
      </c>
      <c r="L77" s="6">
        <f t="shared" si="3"/>
        <v>0.33734939759036137</v>
      </c>
      <c r="M77" s="6">
        <f t="shared" si="4"/>
        <v>0.3855421686746987</v>
      </c>
      <c r="N77" s="6">
        <f t="shared" si="5"/>
        <v>0.27710843373493987</v>
      </c>
      <c r="O77" s="2">
        <v>59.11</v>
      </c>
      <c r="P77" s="2">
        <v>57.34</v>
      </c>
      <c r="Q77" s="2">
        <v>132.21</v>
      </c>
      <c r="R77" s="2">
        <v>127.03</v>
      </c>
      <c r="S77" s="5">
        <f t="shared" si="6"/>
        <v>2.9944171882930064</v>
      </c>
      <c r="T77" s="5">
        <f t="shared" si="7"/>
        <v>3.9180092277437462</v>
      </c>
      <c r="U77" s="4">
        <f t="shared" si="8"/>
        <v>1377.9527559055116</v>
      </c>
      <c r="V77" s="4">
        <f t="shared" si="9"/>
        <v>1574.803149606299</v>
      </c>
      <c r="W77" s="4">
        <f t="shared" si="10"/>
        <v>2952.7559055118109</v>
      </c>
      <c r="X77" s="4">
        <f t="shared" si="11"/>
        <v>1336.6911017361197</v>
      </c>
      <c r="Y77" s="4">
        <f t="shared" si="12"/>
        <v>1513.1022168859251</v>
      </c>
      <c r="Z77" s="4">
        <f t="shared" si="13"/>
        <v>2849.7933186220448</v>
      </c>
      <c r="AA77" t="s">
        <v>171</v>
      </c>
      <c r="AB77" s="10">
        <v>44154</v>
      </c>
      <c r="AC77" s="4">
        <v>41.900000000000006</v>
      </c>
      <c r="AD77" s="15">
        <v>1.1200000000000001</v>
      </c>
      <c r="AE77" s="4">
        <v>80.3</v>
      </c>
      <c r="AF77" s="4">
        <v>28.7</v>
      </c>
      <c r="AG77" s="4">
        <v>5.9</v>
      </c>
      <c r="AH77" s="4">
        <v>82.7</v>
      </c>
      <c r="AI77" s="4">
        <v>8.4</v>
      </c>
      <c r="AJ77" s="4" t="s">
        <v>161</v>
      </c>
      <c r="AK77" s="16">
        <v>11</v>
      </c>
      <c r="AL77" s="5">
        <v>0.1</v>
      </c>
      <c r="AM77" s="4">
        <v>9.5</v>
      </c>
      <c r="AN77" s="1">
        <v>907.4</v>
      </c>
      <c r="AO77" s="1">
        <v>2749.6</v>
      </c>
      <c r="AQ77" s="14" t="s">
        <v>857</v>
      </c>
      <c r="AR77" s="1" t="s">
        <v>106</v>
      </c>
      <c r="AS77" s="11">
        <f>D77</f>
        <v>44126</v>
      </c>
      <c r="AT77" s="2">
        <f>SUM(E77:E78)</f>
        <v>3.3200000000000003</v>
      </c>
      <c r="AU77" s="2">
        <f>SUM(F77:F78)</f>
        <v>0.36</v>
      </c>
      <c r="AV77" s="2">
        <f>AT77-AU77</f>
        <v>2.9600000000000004</v>
      </c>
      <c r="AW77" s="1">
        <f>AV77/(2*$A$43)*$A$44</f>
        <v>3641.732283464567</v>
      </c>
      <c r="AX77" s="1">
        <v>3521.8209887889266</v>
      </c>
      <c r="AY77" s="11">
        <f>I77</f>
        <v>44134</v>
      </c>
      <c r="AZ77" s="2">
        <f>SUM(J77:J78)</f>
        <v>1.54</v>
      </c>
      <c r="BA77" s="2">
        <f>SUM(K77:K78)</f>
        <v>4.46</v>
      </c>
      <c r="BB77" s="7">
        <f>(AZ77-2*$A$45)/AV77</f>
        <v>0.33108108108108103</v>
      </c>
      <c r="BC77" s="7">
        <f>(BA77-2*$A$46)/AV77</f>
        <v>0.3716216216216216</v>
      </c>
      <c r="BD77" s="7">
        <f>1-BB77-BC77</f>
        <v>0.29729729729729737</v>
      </c>
      <c r="BE77" s="2">
        <f>SUM(O77:O78)</f>
        <v>114.62</v>
      </c>
      <c r="BF77" s="2">
        <f>SUM(P77:P78)</f>
        <v>111.07</v>
      </c>
      <c r="BG77" s="2">
        <f>SUM(Q77:Q78)</f>
        <v>287.87</v>
      </c>
      <c r="BH77" s="2">
        <f>SUM(R77:R78)</f>
        <v>276.39999999999998</v>
      </c>
      <c r="BI77" s="2">
        <f>(BE77-BF77)/BE77*100</f>
        <v>3.0971907171523392</v>
      </c>
      <c r="BJ77" s="2">
        <f>(BG77-BH77)/BG77*100</f>
        <v>3.9844374196686099</v>
      </c>
      <c r="BK77" s="1">
        <f>AX77*BB77</f>
        <v>1166.0083003422797</v>
      </c>
      <c r="BL77" s="1">
        <f>AX77*BC77</f>
        <v>1308.7848269148037</v>
      </c>
      <c r="BM77" s="1">
        <f>BK77+BL77</f>
        <v>2474.7931272570831</v>
      </c>
      <c r="BN77" s="1">
        <f>BK77*(1-BI77/100)</f>
        <v>1129.8947995028527</v>
      </c>
      <c r="BO77" s="1">
        <f>BL77*(1-BJ77/100)</f>
        <v>1256.6371145282653</v>
      </c>
      <c r="BP77" s="1">
        <f>BN77+BO77</f>
        <v>2386.531914031118</v>
      </c>
      <c r="BQ77" s="11" t="str">
        <f>AA77</f>
        <v>992013034224</v>
      </c>
      <c r="BR77" s="11">
        <f>AB77</f>
        <v>44154</v>
      </c>
      <c r="BS77" s="1">
        <f>AVERAGE(AC77:AC78)</f>
        <v>40</v>
      </c>
      <c r="BT77" s="9">
        <f t="shared" ref="BT77" si="104">AVERAGE(AD77:AD78)</f>
        <v>1.0870000000000002</v>
      </c>
      <c r="BU77" s="1">
        <f t="shared" ref="BU77" si="105">AVERAGE(AE77:AE78)</f>
        <v>79.099999999999994</v>
      </c>
      <c r="BV77" s="1">
        <f t="shared" ref="BV77" si="106">AVERAGE(AF77:AF78)</f>
        <v>27.45</v>
      </c>
      <c r="BW77" s="1">
        <f t="shared" ref="BW77" si="107">AVERAGE(AG77:AG78)</f>
        <v>6</v>
      </c>
      <c r="BX77" s="1">
        <f t="shared" ref="BX77" si="108">AVERAGE(AH77:AH78)</f>
        <v>82.4</v>
      </c>
      <c r="BY77" s="1">
        <f t="shared" ref="BY77" si="109">AVERAGE(AI77:AI78)</f>
        <v>8.5</v>
      </c>
      <c r="BZ77" s="1"/>
      <c r="CA77" s="8">
        <f t="shared" ref="CA77" si="110">AVERAGE(AK77:AK78)</f>
        <v>7</v>
      </c>
      <c r="CB77" s="2">
        <f t="shared" ref="CB77" si="111">AVERAGE(AL77:AL78)</f>
        <v>7.0000000000000007E-2</v>
      </c>
      <c r="CC77" s="1">
        <f t="shared" ref="CC77" si="112">AVERAGE(AM77:AM78)</f>
        <v>11.65</v>
      </c>
    </row>
    <row r="78" spans="1:81" x14ac:dyDescent="0.3">
      <c r="A78">
        <v>24</v>
      </c>
      <c r="B78" s="3" t="s">
        <v>237</v>
      </c>
      <c r="C78" s="3" t="s">
        <v>106</v>
      </c>
      <c r="D78" s="13">
        <v>44126</v>
      </c>
      <c r="E78" s="2">
        <v>1.48</v>
      </c>
      <c r="F78" s="2">
        <v>0.18</v>
      </c>
      <c r="G78" s="2">
        <f t="shared" si="1"/>
        <v>1.3</v>
      </c>
      <c r="H78" s="4">
        <f t="shared" si="2"/>
        <v>3198.8188976377951</v>
      </c>
      <c r="I78" s="10">
        <v>44134</v>
      </c>
      <c r="J78" s="2">
        <v>0.7</v>
      </c>
      <c r="K78" s="2">
        <v>2.14</v>
      </c>
      <c r="L78" s="6">
        <f t="shared" si="3"/>
        <v>0.32307692307692298</v>
      </c>
      <c r="M78" s="6">
        <f t="shared" si="4"/>
        <v>0.35384615384615398</v>
      </c>
      <c r="N78" s="6">
        <f t="shared" si="5"/>
        <v>0.32307692307692298</v>
      </c>
      <c r="O78" s="2">
        <v>55.51</v>
      </c>
      <c r="P78" s="2">
        <v>53.73</v>
      </c>
      <c r="Q78" s="2">
        <v>155.66</v>
      </c>
      <c r="R78" s="2">
        <v>149.37</v>
      </c>
      <c r="S78" s="5">
        <f t="shared" si="6"/>
        <v>3.2066294361376348</v>
      </c>
      <c r="T78" s="5">
        <f t="shared" si="7"/>
        <v>4.0408582808685551</v>
      </c>
      <c r="U78" s="4">
        <f t="shared" si="8"/>
        <v>1033.4645669291335</v>
      </c>
      <c r="V78" s="4">
        <f t="shared" si="9"/>
        <v>1131.8897637795278</v>
      </c>
      <c r="W78" s="4">
        <f t="shared" si="10"/>
        <v>2165.3543307086611</v>
      </c>
      <c r="X78" s="4">
        <f t="shared" si="11"/>
        <v>1000.3251879139316</v>
      </c>
      <c r="Y78" s="4">
        <f t="shared" si="12"/>
        <v>1086.1517025295393</v>
      </c>
      <c r="Z78" s="4">
        <f t="shared" si="13"/>
        <v>2086.4768904434709</v>
      </c>
      <c r="AA78" s="8" t="s">
        <v>196</v>
      </c>
      <c r="AB78" s="10">
        <v>44154</v>
      </c>
      <c r="AC78" s="4">
        <v>38.1</v>
      </c>
      <c r="AD78" s="15">
        <v>1.054</v>
      </c>
      <c r="AE78" s="4">
        <v>77.900000000000006</v>
      </c>
      <c r="AF78" s="4">
        <v>26.2</v>
      </c>
      <c r="AG78" s="4">
        <v>6.1</v>
      </c>
      <c r="AH78" s="4">
        <v>82.1</v>
      </c>
      <c r="AI78" s="4">
        <v>8.6</v>
      </c>
      <c r="AJ78" s="4" t="s">
        <v>163</v>
      </c>
      <c r="AK78" s="16">
        <v>3</v>
      </c>
      <c r="AL78" s="5">
        <v>0.04</v>
      </c>
      <c r="AM78" s="4">
        <v>13.8</v>
      </c>
      <c r="AN78" s="1">
        <v>525.79999999999995</v>
      </c>
      <c r="AO78" s="1">
        <v>1593.3</v>
      </c>
      <c r="AQ78" s="14"/>
      <c r="AR78" s="1"/>
      <c r="AS78" s="1"/>
      <c r="AT78" s="2"/>
      <c r="AU78" s="2"/>
      <c r="AV78" s="2"/>
      <c r="AW78" s="1"/>
      <c r="AX78" s="1"/>
      <c r="AY78" s="2"/>
      <c r="AZ78" s="2"/>
      <c r="BA78" s="2"/>
      <c r="BB78" s="7"/>
      <c r="BC78" s="7"/>
      <c r="BD78" s="7"/>
      <c r="BE78" s="2"/>
      <c r="BF78" s="2"/>
      <c r="BG78" s="2"/>
      <c r="BH78" s="2"/>
      <c r="BI78" s="2"/>
      <c r="BJ78" s="2"/>
      <c r="BK78" s="1"/>
      <c r="BL78" s="1"/>
      <c r="BM78" s="1"/>
      <c r="BN78" s="1"/>
      <c r="BO78" s="1"/>
      <c r="BP78" s="1"/>
      <c r="BQ78" s="11"/>
      <c r="BR78" s="1"/>
      <c r="BS78" s="1"/>
      <c r="BT78" s="9"/>
      <c r="BU78" s="1"/>
      <c r="BV78" s="1"/>
      <c r="BW78" s="1"/>
      <c r="BX78" s="1"/>
      <c r="BY78" s="1"/>
      <c r="CA78" s="8"/>
      <c r="CB78" s="2"/>
      <c r="CC78" s="1"/>
    </row>
    <row r="79" spans="1:81" x14ac:dyDescent="0.3">
      <c r="A79">
        <v>25</v>
      </c>
      <c r="B79" s="3" t="s">
        <v>238</v>
      </c>
      <c r="C79" s="3" t="s">
        <v>106</v>
      </c>
      <c r="D79" s="13">
        <v>43761</v>
      </c>
      <c r="E79" s="2">
        <v>1.33</v>
      </c>
      <c r="F79" s="2">
        <v>0.17</v>
      </c>
      <c r="G79" s="2">
        <f t="shared" si="1"/>
        <v>1.1600000000000001</v>
      </c>
      <c r="H79" s="4">
        <f t="shared" si="2"/>
        <v>2854.3307086614177</v>
      </c>
      <c r="I79" s="10">
        <v>44134</v>
      </c>
      <c r="J79" s="2">
        <v>0.7</v>
      </c>
      <c r="K79" s="2">
        <v>2</v>
      </c>
      <c r="L79" s="6">
        <f t="shared" si="3"/>
        <v>0.36206896551724127</v>
      </c>
      <c r="M79" s="6">
        <f t="shared" si="4"/>
        <v>0.27586206896551724</v>
      </c>
      <c r="N79" s="6">
        <f t="shared" si="5"/>
        <v>0.36206896551724144</v>
      </c>
      <c r="O79" s="2">
        <v>32.39</v>
      </c>
      <c r="P79" s="2">
        <v>31.52</v>
      </c>
      <c r="Q79" s="2">
        <v>129.93</v>
      </c>
      <c r="R79" s="2">
        <v>125.27</v>
      </c>
      <c r="S79" s="5">
        <f t="shared" si="6"/>
        <v>2.6860142019141739</v>
      </c>
      <c r="T79" s="5">
        <f t="shared" si="7"/>
        <v>3.5865466020164787</v>
      </c>
      <c r="U79" s="4">
        <f t="shared" si="8"/>
        <v>1033.4645669291338</v>
      </c>
      <c r="V79" s="4">
        <f t="shared" si="9"/>
        <v>787.40157480314974</v>
      </c>
      <c r="W79" s="4">
        <f t="shared" si="10"/>
        <v>1820.8661417322835</v>
      </c>
      <c r="X79" s="4">
        <f t="shared" si="11"/>
        <v>1005.7055618896663</v>
      </c>
      <c r="Y79" s="4">
        <f t="shared" si="12"/>
        <v>759.16105037782313</v>
      </c>
      <c r="Z79" s="4">
        <f t="shared" si="13"/>
        <v>1764.8666122674895</v>
      </c>
      <c r="AA79" t="s">
        <v>172</v>
      </c>
      <c r="AB79" s="10">
        <v>44154</v>
      </c>
      <c r="AC79" s="4">
        <v>41.2</v>
      </c>
      <c r="AD79" s="15">
        <v>1.014</v>
      </c>
      <c r="AE79" s="4">
        <v>77.900000000000006</v>
      </c>
      <c r="AF79" s="4">
        <v>25.2</v>
      </c>
      <c r="AG79" s="4">
        <v>6.1</v>
      </c>
      <c r="AH79" s="4">
        <v>81.400000000000006</v>
      </c>
      <c r="AI79" s="4">
        <v>9</v>
      </c>
      <c r="AJ79" s="4" t="s">
        <v>163</v>
      </c>
      <c r="AK79" s="16">
        <v>4</v>
      </c>
      <c r="AL79" s="5">
        <v>0.05</v>
      </c>
      <c r="AM79" s="4">
        <v>17.8</v>
      </c>
      <c r="AN79" s="1">
        <v>769.4</v>
      </c>
      <c r="AO79" s="1">
        <v>2331.5</v>
      </c>
      <c r="AQ79" s="14" t="s">
        <v>858</v>
      </c>
      <c r="AR79" s="1" t="s">
        <v>106</v>
      </c>
      <c r="AS79" s="11">
        <f>D79</f>
        <v>43761</v>
      </c>
      <c r="AT79" s="2">
        <f>SUM(E79:E80)</f>
        <v>2.7199999999999998</v>
      </c>
      <c r="AU79" s="2">
        <f>SUM(F79:F80)</f>
        <v>0.33</v>
      </c>
      <c r="AV79" s="2">
        <f>AT79-AU79</f>
        <v>2.3899999999999997</v>
      </c>
      <c r="AW79" s="1">
        <f>AV79/(2*$A$43)*$A$44</f>
        <v>2940.4527559055114</v>
      </c>
      <c r="AX79" s="1">
        <v>3118.235168550606</v>
      </c>
      <c r="AY79" s="11">
        <f>I79</f>
        <v>44134</v>
      </c>
      <c r="AZ79" s="2">
        <f>SUM(J79:J80)</f>
        <v>1.42</v>
      </c>
      <c r="BA79" s="2">
        <f>SUM(K79:K80)</f>
        <v>4.08</v>
      </c>
      <c r="BB79" s="7">
        <f>(AZ79-2*$A$45)/AV79</f>
        <v>0.35983263598326359</v>
      </c>
      <c r="BC79" s="7">
        <f>(BA79-2*$A$46)/AV79</f>
        <v>0.30125523012552313</v>
      </c>
      <c r="BD79" s="7">
        <f>1-BB79-BC79</f>
        <v>0.33891213389121333</v>
      </c>
      <c r="BE79" s="2">
        <f>SUM(O79:O80)</f>
        <v>91.710000000000008</v>
      </c>
      <c r="BF79" s="2">
        <f>SUM(P79:P80)</f>
        <v>89</v>
      </c>
      <c r="BG79" s="2">
        <f>SUM(Q79:Q80)</f>
        <v>245.06</v>
      </c>
      <c r="BH79" s="2">
        <f>SUM(R79:R80)</f>
        <v>236.32</v>
      </c>
      <c r="BI79" s="2">
        <f>(BE79-BF79)/BE79*100</f>
        <v>2.954966742994229</v>
      </c>
      <c r="BJ79" s="2">
        <f>(BG79-BH79)/BG79*100</f>
        <v>3.5664735166897934</v>
      </c>
      <c r="BK79" s="1">
        <f>AX79*BB79</f>
        <v>1122.0427803152809</v>
      </c>
      <c r="BL79" s="1">
        <f>AX79*BC79</f>
        <v>939.38465328721225</v>
      </c>
      <c r="BM79" s="1">
        <f>BK79+BL79</f>
        <v>2061.4274336024932</v>
      </c>
      <c r="BN79" s="1">
        <f>BK79*(1-BI79/100)</f>
        <v>1088.8867893147965</v>
      </c>
      <c r="BO79" s="1">
        <f>BL79*(1-BJ79/100)</f>
        <v>905.88174840787553</v>
      </c>
      <c r="BP79" s="1">
        <f>BN79+BO79</f>
        <v>1994.7685377226721</v>
      </c>
      <c r="BQ79" s="11" t="str">
        <f>AA79</f>
        <v>992013041226</v>
      </c>
      <c r="BR79" s="11">
        <f>AB79</f>
        <v>44154</v>
      </c>
      <c r="BS79" s="1">
        <f>AVERAGE(AC79:AC80)</f>
        <v>39.5</v>
      </c>
      <c r="BT79" s="9">
        <f t="shared" ref="BT79" si="113">AVERAGE(AD79:AD80)</f>
        <v>0.99199999999999999</v>
      </c>
      <c r="BU79" s="1">
        <f t="shared" ref="BU79" si="114">AVERAGE(AE79:AE80)</f>
        <v>76.7</v>
      </c>
      <c r="BV79" s="1">
        <f t="shared" ref="BV79" si="115">AVERAGE(AF79:AF80)</f>
        <v>24.2</v>
      </c>
      <c r="BW79" s="1">
        <f t="shared" ref="BW79" si="116">AVERAGE(AG79:AG80)</f>
        <v>6.1999999999999993</v>
      </c>
      <c r="BX79" s="1">
        <f t="shared" ref="BX79" si="117">AVERAGE(AH79:AH80)</f>
        <v>80.7</v>
      </c>
      <c r="BY79" s="1">
        <f t="shared" ref="BY79" si="118">AVERAGE(AI79:AI80)</f>
        <v>8.85</v>
      </c>
      <c r="BZ79" s="1"/>
      <c r="CA79" s="8">
        <f t="shared" ref="CA79" si="119">AVERAGE(AK79:AK80)</f>
        <v>9.5</v>
      </c>
      <c r="CB79" s="2">
        <f t="shared" ref="CB79" si="120">AVERAGE(AL79:AL80)</f>
        <v>0.125</v>
      </c>
      <c r="CC79" s="1">
        <f t="shared" ref="CC79" si="121">AVERAGE(AM79:AM80)</f>
        <v>18.75</v>
      </c>
    </row>
    <row r="80" spans="1:81" x14ac:dyDescent="0.3">
      <c r="A80">
        <v>26</v>
      </c>
      <c r="B80" s="3" t="s">
        <v>239</v>
      </c>
      <c r="C80" s="3" t="s">
        <v>106</v>
      </c>
      <c r="D80" s="13">
        <v>43761</v>
      </c>
      <c r="E80" s="2">
        <v>1.39</v>
      </c>
      <c r="F80" s="2">
        <v>0.16</v>
      </c>
      <c r="G80" s="2">
        <f t="shared" si="1"/>
        <v>1.23</v>
      </c>
      <c r="H80" s="4">
        <f t="shared" si="2"/>
        <v>3026.5748031496064</v>
      </c>
      <c r="I80" s="10">
        <v>44134</v>
      </c>
      <c r="J80" s="2">
        <v>0.72</v>
      </c>
      <c r="K80" s="2">
        <v>2.08</v>
      </c>
      <c r="L80" s="6">
        <f t="shared" si="3"/>
        <v>0.35772357723577231</v>
      </c>
      <c r="M80" s="6">
        <f t="shared" si="4"/>
        <v>0.32520325203252043</v>
      </c>
      <c r="N80" s="6">
        <f t="shared" si="5"/>
        <v>0.31707317073170727</v>
      </c>
      <c r="O80" s="2">
        <v>59.32</v>
      </c>
      <c r="P80" s="2">
        <v>57.48</v>
      </c>
      <c r="Q80" s="2">
        <v>115.13</v>
      </c>
      <c r="R80" s="2">
        <v>111.05</v>
      </c>
      <c r="S80" s="5">
        <f t="shared" si="6"/>
        <v>3.1018206338503092</v>
      </c>
      <c r="T80" s="5">
        <f t="shared" si="7"/>
        <v>3.5438200295318323</v>
      </c>
      <c r="U80" s="4">
        <f t="shared" si="8"/>
        <v>1082.6771653543306</v>
      </c>
      <c r="V80" s="4">
        <f t="shared" si="9"/>
        <v>984.25196850393741</v>
      </c>
      <c r="W80" s="4">
        <f t="shared" si="10"/>
        <v>2066.929133858268</v>
      </c>
      <c r="X80" s="4">
        <f t="shared" si="11"/>
        <v>1049.0944616413844</v>
      </c>
      <c r="Y80" s="4">
        <f t="shared" si="12"/>
        <v>949.37185010303358</v>
      </c>
      <c r="Z80" s="4">
        <f t="shared" si="13"/>
        <v>1998.4663117444179</v>
      </c>
      <c r="AA80" s="8" t="s">
        <v>197</v>
      </c>
      <c r="AB80" s="10">
        <v>44154</v>
      </c>
      <c r="AC80" s="4">
        <v>37.799999999999997</v>
      </c>
      <c r="AD80" s="15">
        <v>0.97</v>
      </c>
      <c r="AE80" s="4">
        <v>75.5</v>
      </c>
      <c r="AF80" s="4">
        <v>23.2</v>
      </c>
      <c r="AG80" s="4">
        <v>6.3</v>
      </c>
      <c r="AH80" s="4">
        <v>80</v>
      </c>
      <c r="AI80" s="4">
        <v>8.6999999999999993</v>
      </c>
      <c r="AJ80" s="4" t="s">
        <v>159</v>
      </c>
      <c r="AK80" s="16">
        <v>15</v>
      </c>
      <c r="AL80" s="5">
        <v>0.2</v>
      </c>
      <c r="AM80" s="4">
        <v>19.7</v>
      </c>
      <c r="AN80" s="1">
        <v>495.9</v>
      </c>
      <c r="AO80" s="1">
        <v>1502.8</v>
      </c>
      <c r="AQ80" s="14"/>
      <c r="AR80" s="1"/>
      <c r="AS80" s="1"/>
      <c r="AT80" s="2"/>
      <c r="AU80" s="2"/>
      <c r="AV80" s="2"/>
      <c r="AW80" s="1"/>
      <c r="AX80" s="1"/>
      <c r="AY80" s="2"/>
      <c r="AZ80" s="2"/>
      <c r="BA80" s="2"/>
      <c r="BB80" s="7"/>
      <c r="BC80" s="7"/>
      <c r="BD80" s="7"/>
      <c r="BE80" s="2"/>
      <c r="BF80" s="2"/>
      <c r="BG80" s="2"/>
      <c r="BH80" s="2"/>
      <c r="BI80" s="2"/>
      <c r="BJ80" s="2"/>
      <c r="BK80" s="1"/>
      <c r="BL80" s="1"/>
      <c r="BM80" s="1"/>
      <c r="BN80" s="1"/>
      <c r="BO80" s="1"/>
      <c r="BP80" s="1"/>
      <c r="BQ80" s="11"/>
      <c r="BR80" s="1"/>
      <c r="BS80" s="1"/>
      <c r="BT80" s="9"/>
      <c r="BU80" s="1"/>
      <c r="BV80" s="1"/>
      <c r="BW80" s="1"/>
      <c r="BX80" s="1"/>
      <c r="BY80" s="1"/>
      <c r="CA80" s="8"/>
      <c r="CB80" s="2"/>
      <c r="CC80" s="1"/>
    </row>
    <row r="81" spans="1:81" x14ac:dyDescent="0.3">
      <c r="A81">
        <v>27</v>
      </c>
      <c r="B81" s="3" t="s">
        <v>240</v>
      </c>
      <c r="C81" s="3" t="s">
        <v>106</v>
      </c>
      <c r="D81" s="13">
        <v>43761</v>
      </c>
      <c r="E81" s="2">
        <v>1.87</v>
      </c>
      <c r="F81" s="2">
        <v>0.17</v>
      </c>
      <c r="G81" s="2">
        <f t="shared" si="1"/>
        <v>1.7000000000000002</v>
      </c>
      <c r="H81" s="4">
        <f t="shared" si="2"/>
        <v>4183.0708661417329</v>
      </c>
      <c r="I81" s="10">
        <v>44134</v>
      </c>
      <c r="J81" s="2">
        <v>0.9</v>
      </c>
      <c r="K81" s="2">
        <v>2.3199999999999998</v>
      </c>
      <c r="L81" s="6">
        <f t="shared" si="3"/>
        <v>0.36470588235294116</v>
      </c>
      <c r="M81" s="6">
        <f t="shared" si="4"/>
        <v>0.376470588235294</v>
      </c>
      <c r="N81" s="6">
        <f t="shared" si="5"/>
        <v>0.25882352941176479</v>
      </c>
      <c r="O81" s="2">
        <v>50.99</v>
      </c>
      <c r="P81" s="2">
        <v>49.49</v>
      </c>
      <c r="Q81" s="2">
        <v>172.5</v>
      </c>
      <c r="R81" s="2">
        <v>165.4</v>
      </c>
      <c r="S81" s="5">
        <f t="shared" si="6"/>
        <v>2.9417532849578349</v>
      </c>
      <c r="T81" s="5">
        <f t="shared" si="7"/>
        <v>4.1159420289855042</v>
      </c>
      <c r="U81" s="4">
        <f t="shared" si="8"/>
        <v>1525.5905511811025</v>
      </c>
      <c r="V81" s="4">
        <f t="shared" si="9"/>
        <v>1574.803149606299</v>
      </c>
      <c r="W81" s="4">
        <f t="shared" si="10"/>
        <v>3100.3937007874015</v>
      </c>
      <c r="X81" s="4">
        <f t="shared" si="11"/>
        <v>1480.7114410267261</v>
      </c>
      <c r="Y81" s="4">
        <f t="shared" si="12"/>
        <v>1509.9851648978658</v>
      </c>
      <c r="Z81" s="4">
        <f t="shared" si="13"/>
        <v>2990.6966059245919</v>
      </c>
      <c r="AA81" t="s">
        <v>173</v>
      </c>
      <c r="AB81" s="10">
        <v>44154</v>
      </c>
      <c r="AC81" s="4">
        <v>44</v>
      </c>
      <c r="AD81" s="15">
        <v>1.0669999999999999</v>
      </c>
      <c r="AE81" s="4">
        <v>78.099999999999994</v>
      </c>
      <c r="AF81" s="4">
        <v>27.3</v>
      </c>
      <c r="AG81" s="4">
        <v>6</v>
      </c>
      <c r="AH81" s="4">
        <v>82.6</v>
      </c>
      <c r="AI81" s="4">
        <v>8.6</v>
      </c>
      <c r="AJ81" s="4" t="s">
        <v>161</v>
      </c>
      <c r="AK81" s="16">
        <v>6</v>
      </c>
      <c r="AL81" s="5">
        <v>0.06</v>
      </c>
      <c r="AM81" s="4">
        <v>13.5</v>
      </c>
      <c r="AN81" s="1">
        <v>914.1</v>
      </c>
      <c r="AO81" s="1">
        <v>2769.9</v>
      </c>
      <c r="AQ81" s="14" t="s">
        <v>859</v>
      </c>
      <c r="AR81" s="1" t="s">
        <v>106</v>
      </c>
      <c r="AS81" s="11">
        <f>D81</f>
        <v>43761</v>
      </c>
      <c r="AT81" s="2">
        <f>SUM(E81:E82)</f>
        <v>3.67</v>
      </c>
      <c r="AU81" s="2">
        <f>SUM(F81:F82)</f>
        <v>0.34</v>
      </c>
      <c r="AV81" s="2">
        <f>AT81-AU81</f>
        <v>3.33</v>
      </c>
      <c r="AW81" s="1">
        <f>AV81/(2*$A$43)*$A$44</f>
        <v>4096.9488188976375</v>
      </c>
      <c r="AX81" s="1">
        <v>4310.7336511363601</v>
      </c>
      <c r="AY81" s="11">
        <f>I81</f>
        <v>44134</v>
      </c>
      <c r="AZ81" s="2">
        <f>SUM(J81:J82)</f>
        <v>1.82</v>
      </c>
      <c r="BA81" s="2">
        <f>SUM(K81:K82)</f>
        <v>4.6399999999999997</v>
      </c>
      <c r="BB81" s="7">
        <f>(AZ81-2*$A$45)/AV81</f>
        <v>0.3783783783783784</v>
      </c>
      <c r="BC81" s="7">
        <f>(BA81-2*$A$46)/AV81</f>
        <v>0.38438438438438433</v>
      </c>
      <c r="BD81" s="7">
        <f>1-BB81-BC81</f>
        <v>0.23723723723723728</v>
      </c>
      <c r="BE81" s="2">
        <f>SUM(O81:O82)</f>
        <v>108.77000000000001</v>
      </c>
      <c r="BF81" s="2">
        <f>SUM(P81:P82)</f>
        <v>105.55000000000001</v>
      </c>
      <c r="BG81" s="2">
        <f>SUM(Q81:Q82)</f>
        <v>357.88</v>
      </c>
      <c r="BH81" s="2">
        <f>SUM(R81:R82)</f>
        <v>343.74</v>
      </c>
      <c r="BI81" s="2">
        <f>(BE81-BF81)/BE81*100</f>
        <v>2.9603751034292531</v>
      </c>
      <c r="BJ81" s="2">
        <f>(BG81-BH81)/BG81*100</f>
        <v>3.9510450430311796</v>
      </c>
      <c r="BK81" s="1">
        <f>AX81*BB81</f>
        <v>1631.0884085380824</v>
      </c>
      <c r="BL81" s="1">
        <f>AX81*BC81</f>
        <v>1656.9787007370992</v>
      </c>
      <c r="BM81" s="1">
        <f>BK81+BL81</f>
        <v>3288.0671092751818</v>
      </c>
      <c r="BN81" s="1">
        <f>BK81*(1-BI81/100)</f>
        <v>1582.8020733768005</v>
      </c>
      <c r="BO81" s="1">
        <f>BL81*(1-BJ81/100)</f>
        <v>1591.5107259175436</v>
      </c>
      <c r="BP81" s="1">
        <f>BN81+BO81</f>
        <v>3174.3127992943441</v>
      </c>
      <c r="BQ81" s="11" t="str">
        <f>AA81</f>
        <v>992013042228</v>
      </c>
      <c r="BR81" s="11">
        <f>AB81</f>
        <v>44154</v>
      </c>
      <c r="BS81" s="1">
        <f>AVERAGE(AC81:AC82)</f>
        <v>44.1</v>
      </c>
      <c r="BT81" s="9">
        <f t="shared" ref="BT81" si="122">AVERAGE(AD81:AD82)</f>
        <v>1.0659999999999998</v>
      </c>
      <c r="BU81" s="1">
        <f t="shared" ref="BU81" si="123">AVERAGE(AE81:AE82)</f>
        <v>78.8</v>
      </c>
      <c r="BV81" s="1">
        <f t="shared" ref="BV81" si="124">AVERAGE(AF81:AF82)</f>
        <v>27.3</v>
      </c>
      <c r="BW81" s="1">
        <f t="shared" ref="BW81" si="125">AVERAGE(AG81:AG82)</f>
        <v>5.95</v>
      </c>
      <c r="BX81" s="1">
        <f t="shared" ref="BX81" si="126">AVERAGE(AH81:AH82)</f>
        <v>82.25</v>
      </c>
      <c r="BY81" s="1">
        <f t="shared" ref="BY81" si="127">AVERAGE(AI81:AI82)</f>
        <v>8.5</v>
      </c>
      <c r="BZ81" s="1"/>
      <c r="CA81" s="8">
        <f t="shared" ref="CA81" si="128">AVERAGE(AK81:AK82)</f>
        <v>6.5</v>
      </c>
      <c r="CB81" s="2">
        <f t="shared" ref="CB81" si="129">AVERAGE(AL81:AL82)</f>
        <v>0.115</v>
      </c>
      <c r="CC81" s="1">
        <f t="shared" ref="CC81" si="130">AVERAGE(AM81:AM82)</f>
        <v>12.9</v>
      </c>
    </row>
    <row r="82" spans="1:81" x14ac:dyDescent="0.3">
      <c r="A82">
        <v>28</v>
      </c>
      <c r="B82" s="3" t="s">
        <v>241</v>
      </c>
      <c r="C82" s="3" t="s">
        <v>106</v>
      </c>
      <c r="D82" s="13">
        <v>43761</v>
      </c>
      <c r="E82" s="2">
        <v>1.8</v>
      </c>
      <c r="F82" s="2">
        <v>0.17</v>
      </c>
      <c r="G82" s="2">
        <f t="shared" si="1"/>
        <v>1.6300000000000001</v>
      </c>
      <c r="H82" s="4">
        <f t="shared" si="2"/>
        <v>4010.8267716535433</v>
      </c>
      <c r="I82" s="10">
        <v>44134</v>
      </c>
      <c r="J82" s="2">
        <v>0.92</v>
      </c>
      <c r="K82" s="2">
        <v>2.3199999999999998</v>
      </c>
      <c r="L82" s="6">
        <f t="shared" si="3"/>
        <v>0.3926380368098159</v>
      </c>
      <c r="M82" s="6">
        <f t="shared" si="4"/>
        <v>0.39263803680981585</v>
      </c>
      <c r="N82" s="6">
        <f t="shared" si="5"/>
        <v>0.21472392638036825</v>
      </c>
      <c r="O82" s="2">
        <v>57.78</v>
      </c>
      <c r="P82" s="2">
        <v>56.06</v>
      </c>
      <c r="Q82" s="2">
        <v>185.38</v>
      </c>
      <c r="R82" s="2">
        <v>178.34</v>
      </c>
      <c r="S82" s="5">
        <f t="shared" si="6"/>
        <v>2.9768085842852177</v>
      </c>
      <c r="T82" s="5">
        <f t="shared" si="7"/>
        <v>3.7976049196245509</v>
      </c>
      <c r="U82" s="4">
        <f t="shared" si="8"/>
        <v>1574.803149606299</v>
      </c>
      <c r="V82" s="4">
        <f t="shared" si="9"/>
        <v>1574.8031496062988</v>
      </c>
      <c r="W82" s="4">
        <f t="shared" si="10"/>
        <v>3149.6062992125981</v>
      </c>
      <c r="X82" s="4">
        <f t="shared" si="11"/>
        <v>1527.9242742632248</v>
      </c>
      <c r="Y82" s="4">
        <f t="shared" si="12"/>
        <v>1514.9983477224475</v>
      </c>
      <c r="Z82" s="4">
        <f t="shared" si="13"/>
        <v>3042.9226219856723</v>
      </c>
      <c r="AA82" s="8" t="s">
        <v>198</v>
      </c>
      <c r="AB82" s="10">
        <v>44154</v>
      </c>
      <c r="AC82" s="4">
        <v>44.2</v>
      </c>
      <c r="AD82" s="15">
        <v>1.0649999999999999</v>
      </c>
      <c r="AE82" s="4">
        <v>79.5</v>
      </c>
      <c r="AF82" s="4">
        <v>27.3</v>
      </c>
      <c r="AG82" s="4">
        <v>5.9</v>
      </c>
      <c r="AH82" s="4">
        <v>81.900000000000006</v>
      </c>
      <c r="AI82" s="4">
        <v>8.4</v>
      </c>
      <c r="AJ82" s="4" t="s">
        <v>163</v>
      </c>
      <c r="AK82" s="16">
        <v>7</v>
      </c>
      <c r="AL82" s="5">
        <v>0.17</v>
      </c>
      <c r="AM82" s="4">
        <v>12.3</v>
      </c>
      <c r="AN82" s="1">
        <v>1136.7</v>
      </c>
      <c r="AO82" s="1">
        <v>3444.5</v>
      </c>
      <c r="AQ82" s="14"/>
      <c r="AR82" s="1"/>
      <c r="AS82" s="1"/>
      <c r="AT82" s="2"/>
      <c r="AU82" s="2"/>
      <c r="AV82" s="2"/>
      <c r="AW82" s="1"/>
      <c r="AX82" s="1"/>
      <c r="AY82" s="2"/>
      <c r="AZ82" s="2"/>
      <c r="BA82" s="2"/>
      <c r="BB82" s="7"/>
      <c r="BC82" s="7"/>
      <c r="BD82" s="7"/>
      <c r="BE82" s="2"/>
      <c r="BF82" s="2"/>
      <c r="BG82" s="2"/>
      <c r="BH82" s="2"/>
      <c r="BI82" s="2"/>
      <c r="BJ82" s="2"/>
      <c r="BK82" s="1"/>
      <c r="BL82" s="1"/>
      <c r="BM82" s="1"/>
      <c r="BN82" s="1"/>
      <c r="BO82" s="1"/>
      <c r="BP82" s="1"/>
      <c r="BQ82" s="11"/>
      <c r="BR82" s="1"/>
      <c r="BS82" s="1"/>
      <c r="BT82" s="9"/>
      <c r="BU82" s="1"/>
      <c r="BV82" s="1"/>
      <c r="BW82" s="1"/>
      <c r="BX82" s="1"/>
      <c r="BY82" s="1"/>
      <c r="CA82" s="8"/>
      <c r="CB82" s="2"/>
      <c r="CC82" s="1"/>
    </row>
    <row r="83" spans="1:81" x14ac:dyDescent="0.3">
      <c r="A83">
        <v>29</v>
      </c>
      <c r="B83" s="3" t="s">
        <v>242</v>
      </c>
      <c r="C83" s="3" t="s">
        <v>106</v>
      </c>
      <c r="D83" s="13">
        <v>43761</v>
      </c>
      <c r="E83" s="2">
        <v>1.48</v>
      </c>
      <c r="F83" s="2">
        <v>0.19</v>
      </c>
      <c r="G83" s="2">
        <f t="shared" si="1"/>
        <v>1.29</v>
      </c>
      <c r="H83" s="4">
        <f t="shared" si="2"/>
        <v>3174.2125984251966</v>
      </c>
      <c r="I83" s="10">
        <v>44134</v>
      </c>
      <c r="J83" s="2">
        <v>0.76</v>
      </c>
      <c r="K83" s="2">
        <v>2.16</v>
      </c>
      <c r="L83" s="6">
        <f t="shared" si="3"/>
        <v>0.37209302325581395</v>
      </c>
      <c r="M83" s="6">
        <f t="shared" si="4"/>
        <v>0.37209302325581411</v>
      </c>
      <c r="N83" s="6">
        <f t="shared" si="5"/>
        <v>0.25581395348837194</v>
      </c>
      <c r="O83" s="2">
        <v>54.43</v>
      </c>
      <c r="P83" s="2">
        <v>52.89</v>
      </c>
      <c r="Q83" s="2">
        <v>153.44999999999999</v>
      </c>
      <c r="R83" s="2">
        <v>147.84</v>
      </c>
      <c r="S83" s="5">
        <f t="shared" si="6"/>
        <v>2.8293220650376614</v>
      </c>
      <c r="T83" s="5">
        <f t="shared" si="7"/>
        <v>3.6559139784946142</v>
      </c>
      <c r="U83" s="4">
        <f t="shared" si="8"/>
        <v>1181.1023622047244</v>
      </c>
      <c r="V83" s="4">
        <f t="shared" si="9"/>
        <v>1181.1023622047248</v>
      </c>
      <c r="W83" s="4">
        <f t="shared" si="10"/>
        <v>2362.2047244094492</v>
      </c>
      <c r="X83" s="4">
        <f t="shared" si="11"/>
        <v>1147.685172460185</v>
      </c>
      <c r="Y83" s="4">
        <f t="shared" si="12"/>
        <v>1137.9222758445521</v>
      </c>
      <c r="Z83" s="4">
        <f t="shared" si="13"/>
        <v>2285.6074483047369</v>
      </c>
      <c r="AA83" t="s">
        <v>174</v>
      </c>
      <c r="AB83" s="10">
        <v>44154</v>
      </c>
      <c r="AC83" s="4">
        <v>37.9</v>
      </c>
      <c r="AD83" s="15">
        <v>1.0620000000000001</v>
      </c>
      <c r="AE83" s="4">
        <v>77.8</v>
      </c>
      <c r="AF83" s="4">
        <v>27.2</v>
      </c>
      <c r="AG83" s="4">
        <v>6</v>
      </c>
      <c r="AH83" s="4">
        <v>83.3</v>
      </c>
      <c r="AI83" s="4">
        <v>8.8000000000000007</v>
      </c>
      <c r="AJ83" s="4" t="s">
        <v>161</v>
      </c>
      <c r="AK83" s="16">
        <v>5</v>
      </c>
      <c r="AL83" s="5">
        <v>0.09</v>
      </c>
      <c r="AM83" s="4">
        <v>13.3</v>
      </c>
      <c r="AN83" s="1">
        <v>563.1</v>
      </c>
      <c r="AO83" s="1">
        <v>1706.2</v>
      </c>
      <c r="AQ83" s="14" t="s">
        <v>860</v>
      </c>
      <c r="AR83" s="1" t="s">
        <v>106</v>
      </c>
      <c r="AS83" s="11">
        <f>D83</f>
        <v>43761</v>
      </c>
      <c r="AT83" s="2">
        <f>SUM(E83:E84)</f>
        <v>3.29</v>
      </c>
      <c r="AU83" s="2">
        <f>SUM(F83:F84)</f>
        <v>0.37</v>
      </c>
      <c r="AV83" s="2">
        <f>AT83-AU83</f>
        <v>2.92</v>
      </c>
      <c r="AW83" s="1">
        <f>AV83/(2*$A$43)*$A$44</f>
        <v>3592.51968503937</v>
      </c>
      <c r="AX83" s="1">
        <v>3075.5653466813933</v>
      </c>
      <c r="AY83" s="11">
        <f>I83</f>
        <v>44134</v>
      </c>
      <c r="AZ83" s="2">
        <f>SUM(J83:J84)</f>
        <v>1.62</v>
      </c>
      <c r="BA83" s="2">
        <f>SUM(K83:K84)</f>
        <v>4.4800000000000004</v>
      </c>
      <c r="BB83" s="7">
        <f>(AZ83-2*$A$45)/AV83</f>
        <v>0.36301369863013699</v>
      </c>
      <c r="BC83" s="7">
        <f>(BA83-2*$A$46)/AV83</f>
        <v>0.38356164383561664</v>
      </c>
      <c r="BD83" s="7">
        <f>1-BB83-BC83</f>
        <v>0.25342465753424637</v>
      </c>
      <c r="BE83" s="2">
        <f>SUM(O83:O84)</f>
        <v>94.57</v>
      </c>
      <c r="BF83" s="2">
        <f>SUM(P83:P84)</f>
        <v>91.85</v>
      </c>
      <c r="BG83" s="2">
        <f>SUM(Q83:Q84)</f>
        <v>304.54999999999995</v>
      </c>
      <c r="BH83" s="2">
        <f>SUM(R83:R84)</f>
        <v>293.70000000000005</v>
      </c>
      <c r="BI83" s="2">
        <f>(BE83-BF83)/BE83*100</f>
        <v>2.8761763772866646</v>
      </c>
      <c r="BJ83" s="2">
        <f>(BG83-BH83)/BG83*100</f>
        <v>3.5626333935314105</v>
      </c>
      <c r="BK83" s="1">
        <f>AX83*BB83</f>
        <v>1116.4723518774922</v>
      </c>
      <c r="BL83" s="1">
        <f>AX83*BC83</f>
        <v>1179.6689000969734</v>
      </c>
      <c r="BM83" s="1">
        <f>BK83+BL83</f>
        <v>2296.1412519744654</v>
      </c>
      <c r="BN83" s="1">
        <f>BK83*(1-BI83/100)</f>
        <v>1084.360637833855</v>
      </c>
      <c r="BO83" s="1">
        <f>BL83*(1-BJ83/100)</f>
        <v>1137.641621929014</v>
      </c>
      <c r="BP83" s="1">
        <f>BN83+BO83</f>
        <v>2222.002259762869</v>
      </c>
      <c r="BQ83" s="11" t="str">
        <f>AA83</f>
        <v>992013043230</v>
      </c>
      <c r="BR83" s="11">
        <f>AB83</f>
        <v>44154</v>
      </c>
      <c r="BS83" s="1">
        <f>AVERAGE(AC83:AC84)</f>
        <v>38.049999999999997</v>
      </c>
      <c r="BT83" s="9">
        <f t="shared" ref="BT83" si="131">AVERAGE(AD83:AD84)</f>
        <v>1.0660000000000001</v>
      </c>
      <c r="BU83" s="1">
        <f t="shared" ref="BU83" si="132">AVERAGE(AE83:AE84)</f>
        <v>78.199999999999989</v>
      </c>
      <c r="BV83" s="1">
        <f t="shared" ref="BV83" si="133">AVERAGE(AF83:AF84)</f>
        <v>27.6</v>
      </c>
      <c r="BW83" s="1">
        <f t="shared" ref="BW83" si="134">AVERAGE(AG83:AG84)</f>
        <v>5.95</v>
      </c>
      <c r="BX83" s="1">
        <f t="shared" ref="BX83" si="135">AVERAGE(AH83:AH84)</f>
        <v>82.65</v>
      </c>
      <c r="BY83" s="1">
        <f t="shared" ref="BY83" si="136">AVERAGE(AI83:AI84)</f>
        <v>8.6999999999999993</v>
      </c>
      <c r="BZ83" s="1"/>
      <c r="CA83" s="8">
        <f t="shared" ref="CA83" si="137">AVERAGE(AK83:AK84)</f>
        <v>10</v>
      </c>
      <c r="CB83" s="2">
        <f t="shared" ref="CB83" si="138">AVERAGE(AL83:AL84)</f>
        <v>0.15</v>
      </c>
      <c r="CC83" s="1">
        <f t="shared" ref="CC83" si="139">AVERAGE(AM83:AM84)</f>
        <v>13.05</v>
      </c>
    </row>
    <row r="84" spans="1:81" x14ac:dyDescent="0.3">
      <c r="A84">
        <v>30</v>
      </c>
      <c r="B84" s="3" t="s">
        <v>243</v>
      </c>
      <c r="C84" s="3" t="s">
        <v>106</v>
      </c>
      <c r="D84" s="13">
        <v>43761</v>
      </c>
      <c r="E84" s="2">
        <v>1.81</v>
      </c>
      <c r="F84" s="2">
        <v>0.18</v>
      </c>
      <c r="G84" s="2">
        <f t="shared" si="1"/>
        <v>1.6300000000000001</v>
      </c>
      <c r="H84" s="4">
        <f t="shared" si="2"/>
        <v>4010.8267716535433</v>
      </c>
      <c r="I84" s="10">
        <v>44134</v>
      </c>
      <c r="J84" s="2">
        <v>0.86</v>
      </c>
      <c r="K84" s="2">
        <v>2.3199999999999998</v>
      </c>
      <c r="L84" s="6">
        <f t="shared" si="3"/>
        <v>0.35582822085889565</v>
      </c>
      <c r="M84" s="6">
        <f t="shared" si="4"/>
        <v>0.39263803680981585</v>
      </c>
      <c r="N84" s="6">
        <f t="shared" si="5"/>
        <v>0.2515337423312885</v>
      </c>
      <c r="O84" s="2">
        <v>40.14</v>
      </c>
      <c r="P84" s="2">
        <v>38.96</v>
      </c>
      <c r="Q84" s="2">
        <v>151.1</v>
      </c>
      <c r="R84" s="2">
        <v>145.86000000000001</v>
      </c>
      <c r="S84" s="5">
        <f t="shared" si="6"/>
        <v>2.9397110114598899</v>
      </c>
      <c r="T84" s="5">
        <f t="shared" si="7"/>
        <v>3.4679020516214298</v>
      </c>
      <c r="U84" s="4">
        <f t="shared" si="8"/>
        <v>1427.1653543307084</v>
      </c>
      <c r="V84" s="4">
        <f t="shared" si="9"/>
        <v>1574.8031496062988</v>
      </c>
      <c r="W84" s="4">
        <f t="shared" si="10"/>
        <v>3001.968503937007</v>
      </c>
      <c r="X84" s="4">
        <f t="shared" si="11"/>
        <v>1385.210817257708</v>
      </c>
      <c r="Y84" s="4">
        <f t="shared" si="12"/>
        <v>1520.190518872103</v>
      </c>
      <c r="Z84" s="4">
        <f t="shared" si="13"/>
        <v>2905.4013361298112</v>
      </c>
      <c r="AA84" s="8" t="s">
        <v>199</v>
      </c>
      <c r="AB84" s="10">
        <v>44154</v>
      </c>
      <c r="AC84" s="4">
        <v>38.199999999999996</v>
      </c>
      <c r="AD84" s="15">
        <v>1.07</v>
      </c>
      <c r="AE84" s="4">
        <v>78.599999999999994</v>
      </c>
      <c r="AF84" s="4">
        <v>28</v>
      </c>
      <c r="AG84" s="4">
        <v>5.9</v>
      </c>
      <c r="AH84" s="4">
        <v>82</v>
      </c>
      <c r="AI84" s="4">
        <v>8.6</v>
      </c>
      <c r="AJ84" s="4" t="s">
        <v>163</v>
      </c>
      <c r="AK84" s="16">
        <v>15</v>
      </c>
      <c r="AL84" s="5">
        <v>0.21</v>
      </c>
      <c r="AM84" s="4">
        <v>12.8</v>
      </c>
      <c r="AN84" s="1">
        <v>809</v>
      </c>
      <c r="AO84" s="1">
        <v>2451.5</v>
      </c>
      <c r="AQ84" s="14"/>
      <c r="AR84" s="1"/>
      <c r="AS84" s="1"/>
      <c r="AT84" s="2"/>
      <c r="AU84" s="2"/>
      <c r="AV84" s="2"/>
      <c r="AW84" s="1"/>
      <c r="AX84" s="1"/>
      <c r="AY84" s="2"/>
      <c r="AZ84" s="2"/>
      <c r="BA84" s="2"/>
      <c r="BB84" s="7"/>
      <c r="BC84" s="7"/>
      <c r="BD84" s="7"/>
      <c r="BE84" s="2"/>
      <c r="BF84" s="2"/>
      <c r="BG84" s="2"/>
      <c r="BH84" s="2"/>
      <c r="BI84" s="2"/>
      <c r="BJ84" s="2"/>
      <c r="BK84" s="1"/>
      <c r="BL84" s="1"/>
      <c r="BM84" s="1"/>
      <c r="BN84" s="1"/>
      <c r="BO84" s="1"/>
      <c r="BP84" s="1"/>
      <c r="BQ84" s="11"/>
      <c r="BR84" s="1"/>
      <c r="BS84" s="1"/>
      <c r="BT84" s="9"/>
      <c r="BU84" s="1"/>
      <c r="BV84" s="1"/>
      <c r="BW84" s="1"/>
      <c r="BX84" s="1"/>
      <c r="BY84" s="1"/>
      <c r="CA84" s="8"/>
      <c r="CB84" s="2"/>
      <c r="CC84" s="1"/>
    </row>
    <row r="85" spans="1:81" x14ac:dyDescent="0.3">
      <c r="A85">
        <v>31</v>
      </c>
      <c r="B85" s="3" t="s">
        <v>244</v>
      </c>
      <c r="C85" s="3" t="s">
        <v>106</v>
      </c>
      <c r="D85" s="13">
        <v>43761</v>
      </c>
      <c r="E85" s="2">
        <v>1.0900000000000001</v>
      </c>
      <c r="F85" s="2">
        <v>0.17</v>
      </c>
      <c r="G85" s="2">
        <f t="shared" si="1"/>
        <v>0.92</v>
      </c>
      <c r="H85" s="4">
        <f t="shared" si="2"/>
        <v>2263.7795275590552</v>
      </c>
      <c r="I85" s="10">
        <v>44134</v>
      </c>
      <c r="J85" s="2">
        <v>0.57999999999999996</v>
      </c>
      <c r="K85" s="2">
        <v>1.9</v>
      </c>
      <c r="L85" s="6">
        <f t="shared" si="3"/>
        <v>0.32608695652173902</v>
      </c>
      <c r="M85" s="6">
        <f t="shared" si="4"/>
        <v>0.23913043478260865</v>
      </c>
      <c r="N85" s="6">
        <f t="shared" si="5"/>
        <v>0.43478260869565233</v>
      </c>
      <c r="O85" s="2">
        <v>50.52</v>
      </c>
      <c r="P85" s="2">
        <v>48.87</v>
      </c>
      <c r="Q85" s="2">
        <v>102.14</v>
      </c>
      <c r="R85" s="2">
        <v>98.21</v>
      </c>
      <c r="S85" s="5">
        <f t="shared" si="6"/>
        <v>3.2660332541567803</v>
      </c>
      <c r="T85" s="5">
        <f t="shared" si="7"/>
        <v>3.8476600744076821</v>
      </c>
      <c r="U85" s="4">
        <f t="shared" si="8"/>
        <v>738.18897637795249</v>
      </c>
      <c r="V85" s="4">
        <f t="shared" si="9"/>
        <v>541.33858267716528</v>
      </c>
      <c r="W85" s="4">
        <f t="shared" si="10"/>
        <v>1279.5275590551178</v>
      </c>
      <c r="X85" s="4">
        <f t="shared" si="11"/>
        <v>714.0794789309291</v>
      </c>
      <c r="Y85" s="4">
        <f t="shared" si="12"/>
        <v>520.50971416413165</v>
      </c>
      <c r="Z85" s="4">
        <f t="shared" si="13"/>
        <v>1234.5891930950606</v>
      </c>
      <c r="AA85" t="s">
        <v>175</v>
      </c>
      <c r="AB85" s="10">
        <v>44154</v>
      </c>
      <c r="AC85" s="4">
        <v>38</v>
      </c>
      <c r="AD85" s="15">
        <v>1.0149999999999999</v>
      </c>
      <c r="AE85" s="4">
        <v>76.7</v>
      </c>
      <c r="AF85" s="4">
        <v>24.7</v>
      </c>
      <c r="AG85" s="4">
        <v>6.3</v>
      </c>
      <c r="AH85" s="4">
        <v>81.400000000000006</v>
      </c>
      <c r="AI85" s="4">
        <v>8.9</v>
      </c>
      <c r="AJ85" s="4" t="s">
        <v>163</v>
      </c>
      <c r="AK85" s="16">
        <v>7</v>
      </c>
      <c r="AL85" s="5">
        <v>0.21</v>
      </c>
      <c r="AM85" s="4">
        <v>17.899999999999999</v>
      </c>
      <c r="AN85" s="1">
        <v>407.3</v>
      </c>
      <c r="AO85" s="1">
        <v>1234.4000000000001</v>
      </c>
      <c r="AQ85" s="14" t="s">
        <v>861</v>
      </c>
      <c r="AR85" s="1" t="s">
        <v>106</v>
      </c>
      <c r="AS85" s="11">
        <f>D85</f>
        <v>43761</v>
      </c>
      <c r="AT85" s="2">
        <f>SUM(E85:E86)</f>
        <v>2.27</v>
      </c>
      <c r="AU85" s="2">
        <f>SUM(F85:F86)</f>
        <v>0.35</v>
      </c>
      <c r="AV85" s="2">
        <f>AT85-AU85</f>
        <v>1.92</v>
      </c>
      <c r="AW85" s="1">
        <f>AV85/(2*$A$43)*$A$44</f>
        <v>2362.2047244094488</v>
      </c>
      <c r="AX85" s="1">
        <v>2437.9582041066892</v>
      </c>
      <c r="AY85" s="11">
        <f>I85</f>
        <v>44134</v>
      </c>
      <c r="AZ85" s="2">
        <f>SUM(J85:J86)</f>
        <v>1.1599999999999999</v>
      </c>
      <c r="BA85" s="2">
        <f>SUM(K85:K86)</f>
        <v>3.84</v>
      </c>
      <c r="BB85" s="7">
        <f>(AZ85-2*$A$45)/AV85</f>
        <v>0.31249999999999994</v>
      </c>
      <c r="BC85" s="7">
        <f>(BA85-2*$A$46)/AV85</f>
        <v>0.25</v>
      </c>
      <c r="BD85" s="7">
        <f>1-BB85-BC85</f>
        <v>0.4375</v>
      </c>
      <c r="BE85" s="2">
        <f>SUM(O85:O86)</f>
        <v>96.830000000000013</v>
      </c>
      <c r="BF85" s="2">
        <f>SUM(P85:P86)</f>
        <v>93.64</v>
      </c>
      <c r="BG85" s="2">
        <f>SUM(Q85:Q86)</f>
        <v>223.17000000000002</v>
      </c>
      <c r="BH85" s="2">
        <f>SUM(R85:R86)</f>
        <v>214.51999999999998</v>
      </c>
      <c r="BI85" s="2">
        <f>(BE85-BF85)/BE85*100</f>
        <v>3.294433543323362</v>
      </c>
      <c r="BJ85" s="2">
        <f>(BG85-BH85)/BG85*100</f>
        <v>3.8759689922480773</v>
      </c>
      <c r="BK85" s="1">
        <f>AX85*BB85</f>
        <v>761.86193878334029</v>
      </c>
      <c r="BL85" s="1">
        <f>AX85*BC85</f>
        <v>609.4895510266723</v>
      </c>
      <c r="BM85" s="1">
        <f>BK85+BL85</f>
        <v>1371.3514898100125</v>
      </c>
      <c r="BN85" s="1">
        <f>BK85*(1-BI85/100)</f>
        <v>736.76290351824821</v>
      </c>
      <c r="BO85" s="1">
        <f>BL85*(1-BJ85/100)</f>
        <v>585.86592501788641</v>
      </c>
      <c r="BP85" s="1">
        <f>BN85+BO85</f>
        <v>1322.6288285361347</v>
      </c>
      <c r="BQ85" s="11" t="str">
        <f>AA85</f>
        <v>992013044232</v>
      </c>
      <c r="BR85" s="11">
        <f>AB85</f>
        <v>44154</v>
      </c>
      <c r="BS85" s="1">
        <f>AVERAGE(AC85:AC86)</f>
        <v>38.049999999999997</v>
      </c>
      <c r="BT85" s="9">
        <f t="shared" ref="BT85" si="140">AVERAGE(AD85:AD86)</f>
        <v>1.0024999999999999</v>
      </c>
      <c r="BU85" s="1">
        <f t="shared" ref="BU85" si="141">AVERAGE(AE85:AE86)</f>
        <v>76.400000000000006</v>
      </c>
      <c r="BV85" s="1">
        <f t="shared" ref="BV85" si="142">AVERAGE(AF85:AF86)</f>
        <v>24.6</v>
      </c>
      <c r="BW85" s="1">
        <f t="shared" ref="BW85" si="143">AVERAGE(AG85:AG86)</f>
        <v>6.25</v>
      </c>
      <c r="BX85" s="1">
        <f t="shared" ref="BX85" si="144">AVERAGE(AH85:AH86)</f>
        <v>81.349999999999994</v>
      </c>
      <c r="BY85" s="1">
        <f t="shared" ref="BY85" si="145">AVERAGE(AI85:AI86)</f>
        <v>9</v>
      </c>
      <c r="BZ85" s="1"/>
      <c r="CA85" s="8">
        <f t="shared" ref="CA85" si="146">AVERAGE(AK85:AK86)</f>
        <v>6</v>
      </c>
      <c r="CB85" s="2">
        <f t="shared" ref="CB85" si="147">AVERAGE(AL85:AL86)</f>
        <v>0.16</v>
      </c>
      <c r="CC85" s="1">
        <f t="shared" ref="CC85" si="148">AVERAGE(AM85:AM86)</f>
        <v>18</v>
      </c>
    </row>
    <row r="86" spans="1:81" x14ac:dyDescent="0.3">
      <c r="A86">
        <v>32</v>
      </c>
      <c r="B86" s="3" t="s">
        <v>245</v>
      </c>
      <c r="C86" s="3" t="s">
        <v>106</v>
      </c>
      <c r="D86" s="13">
        <v>43761</v>
      </c>
      <c r="E86" s="2">
        <v>1.18</v>
      </c>
      <c r="F86" s="2">
        <v>0.18</v>
      </c>
      <c r="G86" s="2">
        <f t="shared" si="1"/>
        <v>1</v>
      </c>
      <c r="H86" s="4">
        <f t="shared" si="2"/>
        <v>2460.6299212598424</v>
      </c>
      <c r="I86" s="10">
        <v>44134</v>
      </c>
      <c r="J86" s="2">
        <v>0.57999999999999996</v>
      </c>
      <c r="K86" s="2">
        <v>1.94</v>
      </c>
      <c r="L86" s="6">
        <f t="shared" si="3"/>
        <v>0.29999999999999993</v>
      </c>
      <c r="M86" s="6">
        <f t="shared" si="4"/>
        <v>0.26</v>
      </c>
      <c r="N86" s="6">
        <f t="shared" si="5"/>
        <v>0.44000000000000006</v>
      </c>
      <c r="O86" s="2">
        <v>46.31</v>
      </c>
      <c r="P86" s="2">
        <v>44.77</v>
      </c>
      <c r="Q86" s="2">
        <v>121.03</v>
      </c>
      <c r="R86" s="2">
        <v>116.31</v>
      </c>
      <c r="S86" s="5">
        <f t="shared" si="6"/>
        <v>3.3254156769596177</v>
      </c>
      <c r="T86" s="5">
        <f t="shared" si="7"/>
        <v>3.8998595389572821</v>
      </c>
      <c r="U86" s="4">
        <f t="shared" si="8"/>
        <v>738.1889763779526</v>
      </c>
      <c r="V86" s="4">
        <f t="shared" si="9"/>
        <v>639.763779527559</v>
      </c>
      <c r="W86" s="4">
        <f t="shared" si="10"/>
        <v>1377.9527559055116</v>
      </c>
      <c r="X86" s="4">
        <f t="shared" si="11"/>
        <v>713.64112443189242</v>
      </c>
      <c r="Y86" s="4">
        <f t="shared" si="12"/>
        <v>614.8138907448598</v>
      </c>
      <c r="Z86" s="4">
        <f t="shared" si="13"/>
        <v>1328.4550151767521</v>
      </c>
      <c r="AA86" s="8" t="s">
        <v>200</v>
      </c>
      <c r="AB86" s="10">
        <v>44154</v>
      </c>
      <c r="AC86" s="4">
        <v>38.1</v>
      </c>
      <c r="AD86" s="15">
        <v>0.99</v>
      </c>
      <c r="AE86" s="4">
        <v>76.099999999999994</v>
      </c>
      <c r="AF86" s="4">
        <v>24.5</v>
      </c>
      <c r="AG86" s="4">
        <v>6.2</v>
      </c>
      <c r="AH86" s="4">
        <v>81.3</v>
      </c>
      <c r="AI86" s="4">
        <v>9.1</v>
      </c>
      <c r="AJ86" s="4" t="s">
        <v>163</v>
      </c>
      <c r="AK86" s="16">
        <v>5</v>
      </c>
      <c r="AL86" s="5">
        <v>0.11</v>
      </c>
      <c r="AM86" s="4">
        <v>18.100000000000001</v>
      </c>
      <c r="AN86" s="1">
        <v>306.7</v>
      </c>
      <c r="AO86" s="1">
        <v>929.4</v>
      </c>
      <c r="AQ86" s="14"/>
      <c r="AR86" s="1"/>
      <c r="AS86" s="1"/>
      <c r="AT86" s="2"/>
      <c r="AU86" s="2"/>
      <c r="AV86" s="2"/>
      <c r="AW86" s="1"/>
      <c r="AX86" s="1"/>
      <c r="AY86" s="2"/>
      <c r="AZ86" s="2"/>
      <c r="BA86" s="2"/>
      <c r="BB86" s="7"/>
      <c r="BC86" s="7"/>
      <c r="BD86" s="7"/>
      <c r="BE86" s="2"/>
      <c r="BF86" s="2"/>
      <c r="BG86" s="2"/>
      <c r="BH86" s="2"/>
      <c r="BI86" s="2"/>
      <c r="BJ86" s="2"/>
      <c r="BK86" s="1"/>
      <c r="BL86" s="1"/>
      <c r="BM86" s="1"/>
      <c r="BN86" s="1"/>
      <c r="BO86" s="1"/>
      <c r="BP86" s="1"/>
      <c r="BQ86" s="11"/>
      <c r="BR86" s="1"/>
      <c r="BS86" s="1"/>
      <c r="BT86" s="9"/>
      <c r="BU86" s="1"/>
      <c r="BV86" s="1"/>
      <c r="BW86" s="1"/>
      <c r="BX86" s="1"/>
      <c r="BY86" s="1"/>
      <c r="CA86" s="8"/>
      <c r="CB86" s="2"/>
      <c r="CC86" s="1"/>
    </row>
    <row r="87" spans="1:81" x14ac:dyDescent="0.3">
      <c r="A87">
        <v>33</v>
      </c>
      <c r="B87" s="3" t="s">
        <v>246</v>
      </c>
      <c r="C87" s="3" t="s">
        <v>106</v>
      </c>
      <c r="D87" s="13">
        <v>43761</v>
      </c>
      <c r="E87" s="2">
        <v>2.17</v>
      </c>
      <c r="F87" s="2">
        <v>0.17</v>
      </c>
      <c r="G87" s="2">
        <f t="shared" si="1"/>
        <v>2</v>
      </c>
      <c r="H87" s="4">
        <f t="shared" si="2"/>
        <v>4921.2598425196848</v>
      </c>
      <c r="I87" s="10">
        <v>44134</v>
      </c>
      <c r="J87" s="2">
        <v>1.02</v>
      </c>
      <c r="K87" s="2">
        <v>2.52</v>
      </c>
      <c r="L87" s="6">
        <f t="shared" si="3"/>
        <v>0.37</v>
      </c>
      <c r="M87" s="6">
        <f t="shared" si="4"/>
        <v>0.42000000000000004</v>
      </c>
      <c r="N87" s="6">
        <f t="shared" si="5"/>
        <v>0.20999999999999996</v>
      </c>
      <c r="O87" s="2">
        <v>62.71</v>
      </c>
      <c r="P87" s="2">
        <v>60.97</v>
      </c>
      <c r="Q87" s="2">
        <v>199.02</v>
      </c>
      <c r="R87" s="2">
        <v>191.49</v>
      </c>
      <c r="S87" s="5">
        <f t="shared" si="6"/>
        <v>2.7746770849944218</v>
      </c>
      <c r="T87" s="5">
        <f t="shared" si="7"/>
        <v>3.7835393427796205</v>
      </c>
      <c r="U87" s="4">
        <f t="shared" si="8"/>
        <v>1820.8661417322833</v>
      </c>
      <c r="V87" s="4">
        <f t="shared" si="9"/>
        <v>2066.929133858268</v>
      </c>
      <c r="W87" s="4">
        <f t="shared" si="10"/>
        <v>3887.7952755905512</v>
      </c>
      <c r="X87" s="4">
        <f t="shared" si="11"/>
        <v>1770.3429861492154</v>
      </c>
      <c r="Y87" s="4">
        <f t="shared" si="12"/>
        <v>1988.7260568913664</v>
      </c>
      <c r="Z87" s="4">
        <f t="shared" si="13"/>
        <v>3759.0690430405821</v>
      </c>
      <c r="AA87" t="s">
        <v>176</v>
      </c>
      <c r="AB87" s="10">
        <v>44154</v>
      </c>
      <c r="AC87" s="4">
        <v>41.8</v>
      </c>
      <c r="AD87" s="15">
        <v>1.042</v>
      </c>
      <c r="AE87" s="4">
        <v>77.8</v>
      </c>
      <c r="AF87" s="4">
        <v>25.3</v>
      </c>
      <c r="AG87" s="4">
        <v>6.1</v>
      </c>
      <c r="AH87" s="4">
        <v>81.3</v>
      </c>
      <c r="AI87" s="4">
        <v>8.8000000000000007</v>
      </c>
      <c r="AJ87" s="4" t="s">
        <v>163</v>
      </c>
      <c r="AK87" s="16">
        <v>6</v>
      </c>
      <c r="AL87" s="5">
        <v>0.08</v>
      </c>
      <c r="AM87" s="4">
        <v>14.5</v>
      </c>
      <c r="AN87" s="1">
        <v>1022.6</v>
      </c>
      <c r="AO87" s="1">
        <v>3098.7</v>
      </c>
      <c r="AQ87" s="14" t="s">
        <v>862</v>
      </c>
      <c r="AR87" s="1" t="s">
        <v>106</v>
      </c>
      <c r="AS87" s="11">
        <f>D87</f>
        <v>43761</v>
      </c>
      <c r="AT87" s="2">
        <f>SUM(E87:E88)</f>
        <v>4.2300000000000004</v>
      </c>
      <c r="AU87" s="2">
        <f>SUM(F87:F88)</f>
        <v>0.35</v>
      </c>
      <c r="AV87" s="2">
        <f>AT87-AU87</f>
        <v>3.8800000000000003</v>
      </c>
      <c r="AW87" s="1">
        <f>AV87/(2*$A$43)*$A$44</f>
        <v>4773.6220472440946</v>
      </c>
      <c r="AX87" s="1">
        <v>4219.9918911931782</v>
      </c>
      <c r="AY87" s="11">
        <f>I87</f>
        <v>44134</v>
      </c>
      <c r="AZ87" s="2">
        <f>SUM(J87:J88)</f>
        <v>2.02</v>
      </c>
      <c r="BA87" s="2">
        <f>SUM(K87:K88)</f>
        <v>4.96</v>
      </c>
      <c r="BB87" s="7">
        <f>(AZ87-2*$A$45)/AV87</f>
        <v>0.37628865979381437</v>
      </c>
      <c r="BC87" s="7">
        <f>(BA87-2*$A$46)/AV87</f>
        <v>0.41237113402061853</v>
      </c>
      <c r="BD87" s="7">
        <f>1-BB87-BC87</f>
        <v>0.21134020618556704</v>
      </c>
      <c r="BE87" s="2">
        <f>SUM(O87:O88)</f>
        <v>132.21</v>
      </c>
      <c r="BF87" s="2">
        <f>SUM(P87:P88)</f>
        <v>128.48000000000002</v>
      </c>
      <c r="BG87" s="2">
        <f>SUM(Q87:Q88)</f>
        <v>356.68</v>
      </c>
      <c r="BH87" s="2">
        <f>SUM(R87:R88)</f>
        <v>343.5</v>
      </c>
      <c r="BI87" s="2">
        <f>(BE87-BF87)/BE87*100</f>
        <v>2.8212691929506009</v>
      </c>
      <c r="BJ87" s="2">
        <f>(BG87-BH87)/BG87*100</f>
        <v>3.6951889648985103</v>
      </c>
      <c r="BK87" s="1">
        <f>AX87*BB87</f>
        <v>1587.9350930778451</v>
      </c>
      <c r="BL87" s="1">
        <f>AX87*BC87</f>
        <v>1740.2028417291456</v>
      </c>
      <c r="BM87" s="1">
        <f>BK87+BL87</f>
        <v>3328.1379348069904</v>
      </c>
      <c r="BN87" s="1">
        <f>BK87*(1-BI87/100)</f>
        <v>1543.1351694927882</v>
      </c>
      <c r="BO87" s="1">
        <f>BL87*(1-BJ87/100)</f>
        <v>1675.89905835472</v>
      </c>
      <c r="BP87" s="1">
        <f>BN87+BO87</f>
        <v>3219.0342278475082</v>
      </c>
      <c r="BQ87" s="11" t="str">
        <f>AA87</f>
        <v>992013051234</v>
      </c>
      <c r="BR87" s="11">
        <f>AB87</f>
        <v>44154</v>
      </c>
      <c r="BS87" s="1">
        <f>AVERAGE(AC87:AC88)</f>
        <v>42.599999999999994</v>
      </c>
      <c r="BT87" s="9">
        <f t="shared" ref="BT87" si="149">AVERAGE(AD87:AD88)</f>
        <v>1.0590000000000002</v>
      </c>
      <c r="BU87" s="1">
        <f t="shared" ref="BU87" si="150">AVERAGE(AE87:AE88)</f>
        <v>78.3</v>
      </c>
      <c r="BV87" s="1">
        <f t="shared" ref="BV87" si="151">AVERAGE(AF87:AF88)</f>
        <v>26.75</v>
      </c>
      <c r="BW87" s="1">
        <f t="shared" ref="BW87" si="152">AVERAGE(AG87:AG88)</f>
        <v>6</v>
      </c>
      <c r="BX87" s="1">
        <f t="shared" ref="BX87" si="153">AVERAGE(AH87:AH88)</f>
        <v>81.699999999999989</v>
      </c>
      <c r="BY87" s="1">
        <f t="shared" ref="BY87" si="154">AVERAGE(AI87:AI88)</f>
        <v>8.5</v>
      </c>
      <c r="BZ87" s="1"/>
      <c r="CA87" s="8">
        <f t="shared" ref="CA87" si="155">AVERAGE(AK87:AK88)</f>
        <v>8</v>
      </c>
      <c r="CB87" s="2">
        <f t="shared" ref="CB87" si="156">AVERAGE(AL87:AL88)</f>
        <v>0.125</v>
      </c>
      <c r="CC87" s="1">
        <f t="shared" ref="CC87" si="157">AVERAGE(AM87:AM88)</f>
        <v>13.6</v>
      </c>
    </row>
    <row r="88" spans="1:81" x14ac:dyDescent="0.3">
      <c r="A88">
        <v>34</v>
      </c>
      <c r="B88" s="3" t="s">
        <v>247</v>
      </c>
      <c r="C88" s="3" t="s">
        <v>106</v>
      </c>
      <c r="D88" s="13">
        <v>43761</v>
      </c>
      <c r="E88" s="2">
        <v>2.06</v>
      </c>
      <c r="F88" s="2">
        <v>0.18</v>
      </c>
      <c r="G88" s="2">
        <f t="shared" si="1"/>
        <v>1.8800000000000001</v>
      </c>
      <c r="H88" s="4">
        <f t="shared" si="2"/>
        <v>4625.9842519685044</v>
      </c>
      <c r="I88" s="10">
        <v>44134</v>
      </c>
      <c r="J88" s="2">
        <v>1</v>
      </c>
      <c r="K88" s="2">
        <v>2.44</v>
      </c>
      <c r="L88" s="6">
        <f t="shared" si="3"/>
        <v>0.38297872340425526</v>
      </c>
      <c r="M88" s="6">
        <f t="shared" si="4"/>
        <v>0.40425531914893614</v>
      </c>
      <c r="N88" s="6">
        <f t="shared" si="5"/>
        <v>0.21276595744680865</v>
      </c>
      <c r="O88" s="2">
        <v>69.5</v>
      </c>
      <c r="P88" s="2">
        <v>67.510000000000005</v>
      </c>
      <c r="Q88" s="2">
        <v>157.66</v>
      </c>
      <c r="R88" s="2">
        <v>152.01</v>
      </c>
      <c r="S88" s="5">
        <f t="shared" si="6"/>
        <v>2.8633093525179785</v>
      </c>
      <c r="T88" s="5">
        <f t="shared" si="7"/>
        <v>3.5836610427502253</v>
      </c>
      <c r="U88" s="4">
        <f t="shared" si="8"/>
        <v>1771.6535433070865</v>
      </c>
      <c r="V88" s="4">
        <f t="shared" si="9"/>
        <v>1870.0787401574803</v>
      </c>
      <c r="W88" s="4">
        <f t="shared" si="10"/>
        <v>3641.7322834645665</v>
      </c>
      <c r="X88" s="4">
        <f t="shared" si="11"/>
        <v>1720.9256217073587</v>
      </c>
      <c r="Y88" s="4">
        <f t="shared" si="12"/>
        <v>1803.0614568777023</v>
      </c>
      <c r="Z88" s="4">
        <f t="shared" si="13"/>
        <v>3523.9870785850608</v>
      </c>
      <c r="AA88" s="8" t="s">
        <v>201</v>
      </c>
      <c r="AB88" s="10">
        <v>44154</v>
      </c>
      <c r="AC88" s="4">
        <v>43.4</v>
      </c>
      <c r="AD88" s="15">
        <v>1.0760000000000001</v>
      </c>
      <c r="AE88" s="4">
        <v>78.8</v>
      </c>
      <c r="AF88" s="4">
        <v>28.2</v>
      </c>
      <c r="AG88" s="4">
        <v>5.9</v>
      </c>
      <c r="AH88" s="4">
        <v>82.1</v>
      </c>
      <c r="AI88" s="4">
        <v>8.1999999999999993</v>
      </c>
      <c r="AJ88" s="4" t="s">
        <v>159</v>
      </c>
      <c r="AK88" s="16">
        <v>10</v>
      </c>
      <c r="AL88" s="5">
        <v>0.17</v>
      </c>
      <c r="AM88" s="4">
        <v>12.7</v>
      </c>
      <c r="AN88" s="1">
        <v>1034.3</v>
      </c>
      <c r="AO88" s="1">
        <v>3134.3</v>
      </c>
      <c r="AQ88" s="14"/>
      <c r="AR88" s="1"/>
      <c r="AS88" s="1"/>
      <c r="AT88" s="2"/>
      <c r="AU88" s="2"/>
      <c r="AV88" s="2"/>
      <c r="AW88" s="1"/>
      <c r="AX88" s="1"/>
      <c r="AY88" s="2"/>
      <c r="AZ88" s="2"/>
      <c r="BA88" s="2"/>
      <c r="BB88" s="7"/>
      <c r="BC88" s="7"/>
      <c r="BD88" s="7"/>
      <c r="BE88" s="2"/>
      <c r="BF88" s="2"/>
      <c r="BG88" s="2"/>
      <c r="BH88" s="2"/>
      <c r="BI88" s="2"/>
      <c r="BJ88" s="2"/>
      <c r="BK88" s="1"/>
      <c r="BL88" s="1"/>
      <c r="BM88" s="1"/>
      <c r="BN88" s="1"/>
      <c r="BO88" s="1"/>
      <c r="BP88" s="1"/>
      <c r="BQ88" s="11"/>
      <c r="BR88" s="1"/>
      <c r="BS88" s="1"/>
      <c r="BT88" s="9"/>
      <c r="BU88" s="1"/>
      <c r="BV88" s="1"/>
      <c r="BW88" s="1"/>
      <c r="BX88" s="1"/>
      <c r="BY88" s="1"/>
      <c r="CA88" s="8"/>
      <c r="CB88" s="2"/>
      <c r="CC88" s="1"/>
    </row>
    <row r="89" spans="1:81" x14ac:dyDescent="0.3">
      <c r="A89">
        <v>35</v>
      </c>
      <c r="B89" s="3" t="s">
        <v>248</v>
      </c>
      <c r="C89" s="3" t="s">
        <v>106</v>
      </c>
      <c r="D89" s="13">
        <v>43761</v>
      </c>
      <c r="E89" s="2">
        <v>1.96</v>
      </c>
      <c r="F89" s="2">
        <v>0.18</v>
      </c>
      <c r="G89" s="2">
        <f t="shared" si="1"/>
        <v>1.78</v>
      </c>
      <c r="H89" s="4">
        <f t="shared" si="2"/>
        <v>4379.9212598425192</v>
      </c>
      <c r="I89" s="10">
        <v>44134</v>
      </c>
      <c r="J89" s="2">
        <v>0.96</v>
      </c>
      <c r="K89" s="2">
        <v>2.44</v>
      </c>
      <c r="L89" s="6">
        <f t="shared" si="3"/>
        <v>0.38202247191011229</v>
      </c>
      <c r="M89" s="6">
        <f t="shared" si="4"/>
        <v>0.42696629213483145</v>
      </c>
      <c r="N89" s="6">
        <f t="shared" si="5"/>
        <v>0.19101123595505626</v>
      </c>
      <c r="O89" s="2">
        <v>70.900000000000006</v>
      </c>
      <c r="P89" s="2">
        <v>69.06</v>
      </c>
      <c r="Q89" s="2">
        <v>172.65</v>
      </c>
      <c r="R89" s="2">
        <v>165.83</v>
      </c>
      <c r="S89" s="5">
        <f t="shared" si="6"/>
        <v>2.5952045133991581</v>
      </c>
      <c r="T89" s="5">
        <f t="shared" si="7"/>
        <v>3.9501882421083074</v>
      </c>
      <c r="U89" s="4">
        <f t="shared" si="8"/>
        <v>1673.2283464566924</v>
      </c>
      <c r="V89" s="4">
        <f t="shared" si="9"/>
        <v>1870.0787401574801</v>
      </c>
      <c r="W89" s="4">
        <f t="shared" si="10"/>
        <v>3543.3070866141725</v>
      </c>
      <c r="X89" s="4">
        <f t="shared" si="11"/>
        <v>1629.804648889974</v>
      </c>
      <c r="Y89" s="4">
        <f t="shared" si="12"/>
        <v>1796.207109645612</v>
      </c>
      <c r="Z89" s="4">
        <f t="shared" si="13"/>
        <v>3426.0117585355861</v>
      </c>
      <c r="AA89" t="s">
        <v>177</v>
      </c>
      <c r="AB89" s="10">
        <v>44154</v>
      </c>
      <c r="AC89" s="4">
        <v>45.599999999999994</v>
      </c>
      <c r="AD89" s="15">
        <v>1.0609999999999999</v>
      </c>
      <c r="AE89" s="4">
        <v>78</v>
      </c>
      <c r="AF89" s="4">
        <v>26.5</v>
      </c>
      <c r="AG89" s="4">
        <v>6.1</v>
      </c>
      <c r="AH89" s="4">
        <v>82.6</v>
      </c>
      <c r="AI89" s="4">
        <v>8.6</v>
      </c>
      <c r="AJ89" s="4" t="s">
        <v>161</v>
      </c>
      <c r="AK89" s="16">
        <v>4</v>
      </c>
      <c r="AL89" s="5">
        <v>0.06</v>
      </c>
      <c r="AM89" s="4">
        <v>14.1</v>
      </c>
      <c r="AN89" s="1">
        <v>1282.3</v>
      </c>
      <c r="AO89" s="1">
        <v>3885.9</v>
      </c>
      <c r="AQ89" s="14" t="s">
        <v>863</v>
      </c>
      <c r="AR89" s="1" t="s">
        <v>106</v>
      </c>
      <c r="AS89" s="11">
        <f>D89</f>
        <v>43761</v>
      </c>
      <c r="AT89" s="2">
        <f>SUM(E89:E90)</f>
        <v>4.24</v>
      </c>
      <c r="AU89" s="2">
        <f>SUM(F89:F90)</f>
        <v>0.37</v>
      </c>
      <c r="AV89" s="2">
        <f>AT89-AU89</f>
        <v>3.87</v>
      </c>
      <c r="AW89" s="1">
        <f>AV89/(2*$A$43)*$A$44</f>
        <v>4761.3188976377951</v>
      </c>
      <c r="AX89" s="1">
        <v>4447.7459821338334</v>
      </c>
      <c r="AY89" s="11">
        <f>I89</f>
        <v>44134</v>
      </c>
      <c r="AZ89" s="2">
        <f>SUM(J89:J90)</f>
        <v>2</v>
      </c>
      <c r="BA89" s="2">
        <f>SUM(K89:K90)</f>
        <v>4.9800000000000004</v>
      </c>
      <c r="BB89" s="7">
        <f>(AZ89-2*$A$45)/AV89</f>
        <v>0.37209302325581395</v>
      </c>
      <c r="BC89" s="7">
        <f>(BA89-2*$A$46)/AV89</f>
        <v>0.41860465116279083</v>
      </c>
      <c r="BD89" s="7">
        <f>1-BB89-BC89</f>
        <v>0.20930232558139522</v>
      </c>
      <c r="BE89" s="2">
        <f>SUM(O89:O90)</f>
        <v>134.63</v>
      </c>
      <c r="BF89" s="2">
        <f>SUM(P89:P90)</f>
        <v>130.01</v>
      </c>
      <c r="BG89" s="2">
        <f>SUM(Q89:Q90)</f>
        <v>337.78999999999996</v>
      </c>
      <c r="BH89" s="2">
        <f>SUM(R89:R90)</f>
        <v>324.35000000000002</v>
      </c>
      <c r="BI89" s="2">
        <f>(BE89-BF89)/BE89*100</f>
        <v>3.4316274233083304</v>
      </c>
      <c r="BJ89" s="2">
        <f>(BG89-BH89)/BG89*100</f>
        <v>3.9788033985612188</v>
      </c>
      <c r="BK89" s="1">
        <f>AX89*BB89</f>
        <v>1654.9752491660774</v>
      </c>
      <c r="BL89" s="1">
        <f>AX89*BC89</f>
        <v>1861.8471553118379</v>
      </c>
      <c r="BM89" s="1">
        <f>BK89+BL89</f>
        <v>3516.8224044779154</v>
      </c>
      <c r="BN89" s="1">
        <f>BK89*(1-BI89/100)</f>
        <v>1598.1826646667291</v>
      </c>
      <c r="BO89" s="1">
        <f>BL89*(1-BJ89/100)</f>
        <v>1787.7679174202751</v>
      </c>
      <c r="BP89" s="1">
        <f>BN89+BO89</f>
        <v>3385.9505820870045</v>
      </c>
      <c r="BQ89" s="11" t="str">
        <f>AA89</f>
        <v>992013052236</v>
      </c>
      <c r="BR89" s="11">
        <f>AB89</f>
        <v>44154</v>
      </c>
      <c r="BS89" s="1">
        <f>AVERAGE(AC89:AC90)</f>
        <v>43.099999999999994</v>
      </c>
      <c r="BT89" s="9">
        <f t="shared" ref="BT89" si="158">AVERAGE(AD89:AD90)</f>
        <v>1.0775000000000001</v>
      </c>
      <c r="BU89" s="1">
        <f t="shared" ref="BU89" si="159">AVERAGE(AE89:AE90)</f>
        <v>79.2</v>
      </c>
      <c r="BV89" s="1">
        <f t="shared" ref="BV89" si="160">AVERAGE(AF89:AF90)</f>
        <v>27.15</v>
      </c>
      <c r="BW89" s="1">
        <f t="shared" ref="BW89" si="161">AVERAGE(AG89:AG90)</f>
        <v>6.1</v>
      </c>
      <c r="BX89" s="1">
        <f t="shared" ref="BX89" si="162">AVERAGE(AH89:AH90)</f>
        <v>82.65</v>
      </c>
      <c r="BY89" s="1">
        <f t="shared" ref="BY89" si="163">AVERAGE(AI89:AI90)</f>
        <v>8.1999999999999993</v>
      </c>
      <c r="BZ89" s="1"/>
      <c r="CA89" s="8">
        <f t="shared" ref="CA89" si="164">AVERAGE(AK89:AK90)</f>
        <v>5.5</v>
      </c>
      <c r="CB89" s="2">
        <f t="shared" ref="CB89" si="165">AVERAGE(AL89:AL90)</f>
        <v>9.5000000000000001E-2</v>
      </c>
      <c r="CC89" s="1">
        <f t="shared" ref="CC89" si="166">AVERAGE(AM89:AM90)</f>
        <v>12.7</v>
      </c>
    </row>
    <row r="90" spans="1:81" x14ac:dyDescent="0.3">
      <c r="A90">
        <v>36</v>
      </c>
      <c r="B90" s="3" t="s">
        <v>249</v>
      </c>
      <c r="C90" s="3" t="s">
        <v>106</v>
      </c>
      <c r="D90" s="13">
        <v>43761</v>
      </c>
      <c r="E90" s="2">
        <v>2.2799999999999998</v>
      </c>
      <c r="F90" s="2">
        <v>0.19</v>
      </c>
      <c r="G90" s="2">
        <f t="shared" si="1"/>
        <v>2.09</v>
      </c>
      <c r="H90" s="4">
        <f t="shared" si="2"/>
        <v>5142.7165354330709</v>
      </c>
      <c r="I90" s="10">
        <v>44134</v>
      </c>
      <c r="J90" s="2">
        <v>1.04</v>
      </c>
      <c r="K90" s="2">
        <v>2.54</v>
      </c>
      <c r="L90" s="6">
        <f t="shared" si="3"/>
        <v>0.36363636363636365</v>
      </c>
      <c r="M90" s="6">
        <f t="shared" si="4"/>
        <v>0.41148325358851684</v>
      </c>
      <c r="N90" s="6">
        <f t="shared" si="5"/>
        <v>0.22488038277511951</v>
      </c>
      <c r="O90" s="2">
        <v>63.73</v>
      </c>
      <c r="P90" s="2">
        <v>60.95</v>
      </c>
      <c r="Q90" s="2">
        <v>165.14</v>
      </c>
      <c r="R90" s="2">
        <v>158.52000000000001</v>
      </c>
      <c r="S90" s="5">
        <f t="shared" si="6"/>
        <v>4.3621528322610921</v>
      </c>
      <c r="T90" s="5">
        <f t="shared" si="7"/>
        <v>4.0087198740462497</v>
      </c>
      <c r="U90" s="4">
        <f t="shared" si="8"/>
        <v>1870.0787401574803</v>
      </c>
      <c r="V90" s="4">
        <f t="shared" si="9"/>
        <v>2116.141732283465</v>
      </c>
      <c r="W90" s="4">
        <f t="shared" si="10"/>
        <v>3986.2204724409453</v>
      </c>
      <c r="X90" s="4">
        <f t="shared" si="11"/>
        <v>1788.5030474281882</v>
      </c>
      <c r="Y90" s="4">
        <f t="shared" si="12"/>
        <v>2031.3115380984311</v>
      </c>
      <c r="Z90" s="4">
        <f t="shared" si="13"/>
        <v>3819.8145855266193</v>
      </c>
      <c r="AA90" s="8" t="s">
        <v>202</v>
      </c>
      <c r="AB90" s="10">
        <v>44154</v>
      </c>
      <c r="AC90" s="4">
        <v>40.599999999999994</v>
      </c>
      <c r="AD90" s="15">
        <v>1.0940000000000001</v>
      </c>
      <c r="AE90" s="4">
        <v>80.400000000000006</v>
      </c>
      <c r="AF90" s="4">
        <v>27.8</v>
      </c>
      <c r="AG90" s="4">
        <v>6.1</v>
      </c>
      <c r="AH90" s="4">
        <v>82.7</v>
      </c>
      <c r="AI90" s="4">
        <v>7.8</v>
      </c>
      <c r="AJ90" s="4" t="s">
        <v>159</v>
      </c>
      <c r="AK90" s="16">
        <v>7</v>
      </c>
      <c r="AL90" s="5">
        <v>0.13</v>
      </c>
      <c r="AM90" s="4">
        <v>11.3</v>
      </c>
      <c r="AN90" s="1">
        <v>1304.0999999999999</v>
      </c>
      <c r="AO90" s="1">
        <v>3951.7</v>
      </c>
      <c r="AQ90" s="14"/>
      <c r="AR90" s="1"/>
      <c r="AS90" s="1"/>
      <c r="AT90" s="2"/>
      <c r="AU90" s="2"/>
      <c r="AV90" s="2"/>
      <c r="AW90" s="1"/>
      <c r="AX90" s="1"/>
      <c r="AY90" s="2"/>
      <c r="AZ90" s="2"/>
      <c r="BA90" s="2"/>
      <c r="BB90" s="7"/>
      <c r="BC90" s="7"/>
      <c r="BD90" s="7"/>
      <c r="BE90" s="2"/>
      <c r="BF90" s="2"/>
      <c r="BG90" s="2"/>
      <c r="BH90" s="2"/>
      <c r="BI90" s="2"/>
      <c r="BJ90" s="2"/>
      <c r="BK90" s="1"/>
      <c r="BL90" s="1"/>
      <c r="BM90" s="1"/>
      <c r="BN90" s="1"/>
      <c r="BO90" s="1"/>
      <c r="BP90" s="1"/>
      <c r="BQ90" s="11"/>
      <c r="BR90" s="1"/>
      <c r="BS90" s="1"/>
      <c r="BT90" s="9"/>
      <c r="BU90" s="1"/>
      <c r="BV90" s="1"/>
      <c r="BW90" s="1"/>
      <c r="BX90" s="1"/>
      <c r="BY90" s="1"/>
      <c r="CA90" s="8"/>
      <c r="CB90" s="2"/>
      <c r="CC90" s="1"/>
    </row>
    <row r="91" spans="1:81" x14ac:dyDescent="0.3">
      <c r="A91">
        <v>37</v>
      </c>
      <c r="B91" s="3" t="s">
        <v>250</v>
      </c>
      <c r="C91" s="3" t="s">
        <v>106</v>
      </c>
      <c r="D91" s="13">
        <v>43761</v>
      </c>
      <c r="E91" s="2">
        <v>1.5</v>
      </c>
      <c r="F91" s="2">
        <v>0.17</v>
      </c>
      <c r="G91" s="2">
        <f t="shared" si="1"/>
        <v>1.33</v>
      </c>
      <c r="H91" s="4">
        <f t="shared" si="2"/>
        <v>3272.6377952755906</v>
      </c>
      <c r="I91" s="10">
        <v>44134</v>
      </c>
      <c r="J91" s="2">
        <v>0.74</v>
      </c>
      <c r="K91" s="2">
        <v>2.1</v>
      </c>
      <c r="L91" s="6">
        <f t="shared" si="3"/>
        <v>0.34586466165413532</v>
      </c>
      <c r="M91" s="6">
        <f t="shared" si="4"/>
        <v>0.31578947368421062</v>
      </c>
      <c r="N91" s="6">
        <f t="shared" si="5"/>
        <v>0.33834586466165406</v>
      </c>
      <c r="O91" s="2">
        <v>49.98</v>
      </c>
      <c r="P91" s="2">
        <v>48.56</v>
      </c>
      <c r="Q91" s="2">
        <v>136.37</v>
      </c>
      <c r="R91" s="2">
        <v>131.43</v>
      </c>
      <c r="S91" s="5">
        <f t="shared" si="6"/>
        <v>2.8411364545818221</v>
      </c>
      <c r="T91" s="5">
        <f t="shared" si="7"/>
        <v>3.6224976167778817</v>
      </c>
      <c r="U91" s="4">
        <f t="shared" si="8"/>
        <v>1131.8897637795276</v>
      </c>
      <c r="V91" s="4">
        <f t="shared" si="9"/>
        <v>1033.4645669291342</v>
      </c>
      <c r="W91" s="4">
        <f t="shared" si="10"/>
        <v>2165.354330708662</v>
      </c>
      <c r="X91" s="4">
        <f t="shared" si="11"/>
        <v>1099.7312310751072</v>
      </c>
      <c r="Y91" s="4">
        <f t="shared" si="12"/>
        <v>996.02733762188245</v>
      </c>
      <c r="Z91" s="4">
        <f t="shared" si="13"/>
        <v>2095.7585686969896</v>
      </c>
      <c r="AA91" t="s">
        <v>178</v>
      </c>
      <c r="AB91" s="10">
        <v>44154</v>
      </c>
      <c r="AC91" s="4">
        <v>40.700000000000003</v>
      </c>
      <c r="AD91" s="15">
        <v>1.0289999999999999</v>
      </c>
      <c r="AE91" s="4">
        <v>77.400000000000006</v>
      </c>
      <c r="AF91" s="4">
        <v>26.5</v>
      </c>
      <c r="AG91" s="4">
        <v>5.9</v>
      </c>
      <c r="AH91" s="4">
        <v>81.599999999999994</v>
      </c>
      <c r="AI91" s="4">
        <v>9</v>
      </c>
      <c r="AJ91" s="4" t="s">
        <v>161</v>
      </c>
      <c r="AK91" s="16">
        <v>11</v>
      </c>
      <c r="AL91" s="5">
        <v>0.56000000000000005</v>
      </c>
      <c r="AM91" s="4">
        <v>15.9</v>
      </c>
      <c r="AN91" s="1">
        <v>719.2</v>
      </c>
      <c r="AO91" s="1">
        <v>2179.4</v>
      </c>
      <c r="AQ91" s="14" t="s">
        <v>864</v>
      </c>
      <c r="AR91" s="1" t="s">
        <v>106</v>
      </c>
      <c r="AS91" s="11">
        <f>D91</f>
        <v>43761</v>
      </c>
      <c r="AT91" s="2">
        <f>SUM(E91:E92)</f>
        <v>2.8899999999999997</v>
      </c>
      <c r="AU91" s="2">
        <f>SUM(F91:F92)</f>
        <v>0.34</v>
      </c>
      <c r="AV91" s="2">
        <f>AT91-AU91</f>
        <v>2.5499999999999998</v>
      </c>
      <c r="AW91" s="1">
        <f>AV91/(2*$A$43)*$A$44</f>
        <v>3137.303149606299</v>
      </c>
      <c r="AX91" s="1">
        <v>3071.3107406144723</v>
      </c>
      <c r="AY91" s="11">
        <f>I91</f>
        <v>44134</v>
      </c>
      <c r="AZ91" s="2">
        <f>SUM(J91:J92)</f>
        <v>1.46</v>
      </c>
      <c r="BA91" s="2">
        <f>SUM(K91:K92)</f>
        <v>4.16</v>
      </c>
      <c r="BB91" s="7">
        <f>(AZ91-2*$A$45)/AV91</f>
        <v>0.3529411764705882</v>
      </c>
      <c r="BC91" s="7">
        <f>(BA91-2*$A$46)/AV91</f>
        <v>0.31372549019607854</v>
      </c>
      <c r="BD91" s="7">
        <f>1-BB91-BC91</f>
        <v>0.33333333333333326</v>
      </c>
      <c r="BE91" s="2">
        <f>SUM(O91:O92)</f>
        <v>110.91</v>
      </c>
      <c r="BF91" s="2">
        <f>SUM(P91:P92)</f>
        <v>107.89</v>
      </c>
      <c r="BG91" s="2">
        <f>SUM(Q91:Q92)</f>
        <v>272.89999999999998</v>
      </c>
      <c r="BH91" s="2">
        <f>SUM(R91:R92)</f>
        <v>263.21000000000004</v>
      </c>
      <c r="BI91" s="2">
        <f>(BE91-BF91)/BE91*100</f>
        <v>2.7229285005860571</v>
      </c>
      <c r="BJ91" s="2">
        <f>(BG91-BH91)/BG91*100</f>
        <v>3.550751190912401</v>
      </c>
      <c r="BK91" s="1">
        <f>AX91*BB91</f>
        <v>1083.9920260992253</v>
      </c>
      <c r="BL91" s="1">
        <f>AX91*BC91</f>
        <v>963.54846764375634</v>
      </c>
      <c r="BM91" s="1">
        <f>BK91+BL91</f>
        <v>2047.5404937429817</v>
      </c>
      <c r="BN91" s="1">
        <f>BK91*(1-BI91/100)</f>
        <v>1054.4756982764893</v>
      </c>
      <c r="BO91" s="1">
        <f>BL91*(1-BJ91/100)</f>
        <v>929.33525895387743</v>
      </c>
      <c r="BP91" s="1">
        <f>BN91+BO91</f>
        <v>1983.8109572303667</v>
      </c>
      <c r="BQ91" s="11" t="str">
        <f>AA91</f>
        <v>992013053238</v>
      </c>
      <c r="BR91" s="11">
        <f>AB91</f>
        <v>44154</v>
      </c>
      <c r="BS91" s="1">
        <f>AVERAGE(AC91:AC92)</f>
        <v>41.25</v>
      </c>
      <c r="BT91" s="9">
        <f t="shared" ref="BT91" si="167">AVERAGE(AD91:AD92)</f>
        <v>1.04</v>
      </c>
      <c r="BU91" s="1">
        <f t="shared" ref="BU91" si="168">AVERAGE(AE91:AE92)</f>
        <v>77.900000000000006</v>
      </c>
      <c r="BV91" s="1">
        <f t="shared" ref="BV91" si="169">AVERAGE(AF91:AF92)</f>
        <v>26.3</v>
      </c>
      <c r="BW91" s="1">
        <f t="shared" ref="BW91" si="170">AVERAGE(AG91:AG92)</f>
        <v>5.85</v>
      </c>
      <c r="BX91" s="1">
        <f t="shared" ref="BX91" si="171">AVERAGE(AH91:AH92)</f>
        <v>82.1</v>
      </c>
      <c r="BY91" s="1">
        <f t="shared" ref="BY91" si="172">AVERAGE(AI91:AI92)</f>
        <v>8.85</v>
      </c>
      <c r="BZ91" s="1"/>
      <c r="CA91" s="8">
        <f t="shared" ref="CA91" si="173">AVERAGE(AK91:AK92)</f>
        <v>6</v>
      </c>
      <c r="CB91" s="2">
        <f t="shared" ref="CB91" si="174">AVERAGE(AL91:AL92)</f>
        <v>0.29500000000000004</v>
      </c>
      <c r="CC91" s="1">
        <f t="shared" ref="CC91" si="175">AVERAGE(AM91:AM92)</f>
        <v>14.5</v>
      </c>
    </row>
    <row r="92" spans="1:81" x14ac:dyDescent="0.3">
      <c r="A92">
        <v>38</v>
      </c>
      <c r="B92" s="3" t="s">
        <v>251</v>
      </c>
      <c r="C92" s="3" t="s">
        <v>106</v>
      </c>
      <c r="D92" s="13">
        <v>43761</v>
      </c>
      <c r="E92" s="2">
        <v>1.39</v>
      </c>
      <c r="F92" s="2">
        <v>0.17</v>
      </c>
      <c r="G92" s="2">
        <f t="shared" si="1"/>
        <v>1.22</v>
      </c>
      <c r="H92" s="4">
        <f t="shared" si="2"/>
        <v>3001.9685039370074</v>
      </c>
      <c r="I92" s="10">
        <v>44134</v>
      </c>
      <c r="J92" s="2">
        <v>0.72</v>
      </c>
      <c r="K92" s="2">
        <v>2.06</v>
      </c>
      <c r="L92" s="6">
        <f t="shared" si="3"/>
        <v>0.36065573770491799</v>
      </c>
      <c r="M92" s="6">
        <f t="shared" si="4"/>
        <v>0.3114754098360657</v>
      </c>
      <c r="N92" s="6">
        <f t="shared" si="5"/>
        <v>0.32786885245901631</v>
      </c>
      <c r="O92" s="2">
        <v>60.93</v>
      </c>
      <c r="P92" s="2">
        <v>59.33</v>
      </c>
      <c r="Q92" s="2">
        <v>136.53</v>
      </c>
      <c r="R92" s="2">
        <v>131.78</v>
      </c>
      <c r="S92" s="5">
        <f t="shared" si="6"/>
        <v>2.6259642212374881</v>
      </c>
      <c r="T92" s="5">
        <f t="shared" si="7"/>
        <v>3.4790888449425039</v>
      </c>
      <c r="U92" s="4">
        <f t="shared" si="8"/>
        <v>1082.6771653543303</v>
      </c>
      <c r="V92" s="4">
        <f t="shared" si="9"/>
        <v>935.03937007874038</v>
      </c>
      <c r="W92" s="4">
        <f t="shared" si="10"/>
        <v>2017.7165354330707</v>
      </c>
      <c r="X92" s="4">
        <f t="shared" si="11"/>
        <v>1054.2464503606175</v>
      </c>
      <c r="Y92" s="4">
        <f t="shared" si="12"/>
        <v>902.50851965851029</v>
      </c>
      <c r="Z92" s="4">
        <f t="shared" si="13"/>
        <v>1956.7549700191278</v>
      </c>
      <c r="AA92" s="8" t="s">
        <v>203</v>
      </c>
      <c r="AB92" s="10">
        <v>44154</v>
      </c>
      <c r="AC92" s="4">
        <v>41.8</v>
      </c>
      <c r="AD92" s="15">
        <v>1.0509999999999999</v>
      </c>
      <c r="AE92" s="4">
        <v>78.400000000000006</v>
      </c>
      <c r="AF92" s="4">
        <v>26.1</v>
      </c>
      <c r="AG92" s="4">
        <v>5.8</v>
      </c>
      <c r="AH92" s="4">
        <v>82.6</v>
      </c>
      <c r="AI92" s="4">
        <v>8.6999999999999993</v>
      </c>
      <c r="AJ92" s="4" t="s">
        <v>161</v>
      </c>
      <c r="AK92" s="16">
        <v>1</v>
      </c>
      <c r="AL92" s="5">
        <v>0.03</v>
      </c>
      <c r="AM92" s="4">
        <v>13.1</v>
      </c>
      <c r="AN92" s="1">
        <v>592</v>
      </c>
      <c r="AO92" s="1">
        <v>1793.8</v>
      </c>
      <c r="AQ92" s="14"/>
      <c r="AR92" s="1"/>
      <c r="AS92" s="1"/>
      <c r="AT92" s="2"/>
      <c r="AU92" s="2"/>
      <c r="AV92" s="2"/>
      <c r="AW92" s="1"/>
      <c r="AX92" s="1"/>
      <c r="AY92" s="2"/>
      <c r="AZ92" s="2"/>
      <c r="BA92" s="2"/>
      <c r="BB92" s="7"/>
      <c r="BC92" s="7"/>
      <c r="BD92" s="7"/>
      <c r="BE92" s="2"/>
      <c r="BF92" s="2"/>
      <c r="BG92" s="2"/>
      <c r="BH92" s="2"/>
      <c r="BI92" s="2"/>
      <c r="BJ92" s="2"/>
      <c r="BK92" s="1"/>
      <c r="BL92" s="1"/>
      <c r="BM92" s="1"/>
      <c r="BN92" s="1"/>
      <c r="BO92" s="1"/>
      <c r="BP92" s="1"/>
      <c r="BQ92" s="11"/>
      <c r="BR92" s="1"/>
      <c r="BS92" s="1"/>
      <c r="BT92" s="9"/>
      <c r="BU92" s="1"/>
      <c r="BV92" s="1"/>
      <c r="BW92" s="1"/>
      <c r="BX92" s="1"/>
      <c r="BY92" s="1"/>
      <c r="CA92" s="8"/>
      <c r="CB92" s="2"/>
      <c r="CC92" s="1"/>
    </row>
    <row r="93" spans="1:81" x14ac:dyDescent="0.3">
      <c r="A93">
        <v>39</v>
      </c>
      <c r="B93" s="3" t="s">
        <v>252</v>
      </c>
      <c r="C93" s="3" t="s">
        <v>106</v>
      </c>
      <c r="D93" s="13">
        <v>43761</v>
      </c>
      <c r="E93" s="2">
        <v>1.31</v>
      </c>
      <c r="F93" s="2">
        <v>0.18</v>
      </c>
      <c r="G93" s="2">
        <f t="shared" si="1"/>
        <v>1.1300000000000001</v>
      </c>
      <c r="H93" s="4">
        <f t="shared" si="2"/>
        <v>2780.5118110236222</v>
      </c>
      <c r="I93" s="10">
        <v>44134</v>
      </c>
      <c r="J93" s="2">
        <v>0.68</v>
      </c>
      <c r="K93" s="2">
        <v>2</v>
      </c>
      <c r="L93" s="6">
        <f t="shared" si="3"/>
        <v>0.35398230088495575</v>
      </c>
      <c r="M93" s="6">
        <f t="shared" si="4"/>
        <v>0.28318584070796465</v>
      </c>
      <c r="N93" s="6">
        <f t="shared" si="5"/>
        <v>0.3628318584070796</v>
      </c>
      <c r="O93" s="2">
        <v>52.6</v>
      </c>
      <c r="P93" s="2">
        <v>51.2</v>
      </c>
      <c r="Q93" s="2">
        <v>114</v>
      </c>
      <c r="R93" s="2">
        <v>109.5</v>
      </c>
      <c r="S93" s="5">
        <f t="shared" si="6"/>
        <v>2.6615969581749019</v>
      </c>
      <c r="T93" s="5">
        <f t="shared" si="7"/>
        <v>3.9473684210526314</v>
      </c>
      <c r="U93" s="4">
        <f t="shared" si="8"/>
        <v>984.25196850393706</v>
      </c>
      <c r="V93" s="4">
        <f t="shared" si="9"/>
        <v>787.40157480314974</v>
      </c>
      <c r="W93" s="4">
        <f t="shared" si="10"/>
        <v>1771.6535433070867</v>
      </c>
      <c r="X93" s="4">
        <f t="shared" si="11"/>
        <v>958.0551480494596</v>
      </c>
      <c r="Y93" s="4">
        <f t="shared" si="12"/>
        <v>756.31993369249903</v>
      </c>
      <c r="Z93" s="4">
        <f t="shared" si="13"/>
        <v>1714.3750817419586</v>
      </c>
      <c r="AA93" t="s">
        <v>179</v>
      </c>
      <c r="AB93" s="10">
        <v>44154</v>
      </c>
      <c r="AC93" s="4">
        <v>38.199999999999996</v>
      </c>
      <c r="AD93" s="15">
        <v>1.0289999999999999</v>
      </c>
      <c r="AE93" s="4">
        <v>77.099999999999994</v>
      </c>
      <c r="AF93" s="4">
        <v>25.6</v>
      </c>
      <c r="AG93" s="4">
        <v>6.1</v>
      </c>
      <c r="AH93" s="4">
        <v>80.5</v>
      </c>
      <c r="AI93" s="4">
        <v>8.5</v>
      </c>
      <c r="AJ93" s="4" t="s">
        <v>159</v>
      </c>
      <c r="AK93" s="16">
        <v>5</v>
      </c>
      <c r="AL93" s="5">
        <v>0.1</v>
      </c>
      <c r="AM93" s="4">
        <v>15.5</v>
      </c>
      <c r="AN93" s="1">
        <v>557.4</v>
      </c>
      <c r="AO93" s="1">
        <v>1689.2</v>
      </c>
      <c r="AQ93" s="14" t="s">
        <v>865</v>
      </c>
      <c r="AR93" s="1" t="s">
        <v>106</v>
      </c>
      <c r="AS93" s="11">
        <f>D93</f>
        <v>43761</v>
      </c>
      <c r="AT93" s="2">
        <f>SUM(E93:E94)</f>
        <v>2.48</v>
      </c>
      <c r="AU93" s="2">
        <f>SUM(F93:F94)</f>
        <v>0.35</v>
      </c>
      <c r="AV93" s="2">
        <f>AT93-AU93</f>
        <v>2.13</v>
      </c>
      <c r="AW93" s="1">
        <f>AV93/(2*$A$43)*$A$44</f>
        <v>2620.570866141732</v>
      </c>
      <c r="AX93" s="1">
        <v>2744.167712847217</v>
      </c>
      <c r="AY93" s="11">
        <f>I93</f>
        <v>44134</v>
      </c>
      <c r="AZ93" s="2">
        <f>SUM(J93:J94)</f>
        <v>1.3</v>
      </c>
      <c r="BA93" s="2">
        <f>SUM(K93:K94)</f>
        <v>4</v>
      </c>
      <c r="BB93" s="7">
        <f>(AZ93-2*$A$45)/AV93</f>
        <v>0.34741784037558687</v>
      </c>
      <c r="BC93" s="7">
        <f>(BA93-2*$A$46)/AV93</f>
        <v>0.30046948356807518</v>
      </c>
      <c r="BD93" s="7">
        <f>1-BB93-BC93</f>
        <v>0.35211267605633795</v>
      </c>
      <c r="BE93" s="2">
        <f>SUM(O93:O94)</f>
        <v>104.75999999999999</v>
      </c>
      <c r="BF93" s="2">
        <f>SUM(P93:P94)</f>
        <v>101.94</v>
      </c>
      <c r="BG93" s="2">
        <f>SUM(Q93:Q94)</f>
        <v>231.44</v>
      </c>
      <c r="BH93" s="2">
        <f>SUM(R93:R94)</f>
        <v>222.57</v>
      </c>
      <c r="BI93" s="2">
        <f>(BE93-BF93)/BE93*100</f>
        <v>2.6918671248568091</v>
      </c>
      <c r="BJ93" s="2">
        <f>(BG93-BH93)/BG93*100</f>
        <v>3.8325267888005548</v>
      </c>
      <c r="BK93" s="1">
        <f>AX93*BB93</f>
        <v>953.37282042579375</v>
      </c>
      <c r="BL93" s="1">
        <f>AX93*BC93</f>
        <v>824.53865550338935</v>
      </c>
      <c r="BM93" s="1">
        <f>BK93+BL93</f>
        <v>1777.9114759291831</v>
      </c>
      <c r="BN93" s="1">
        <f>BK93*(1-BI93/100)</f>
        <v>927.70929089543165</v>
      </c>
      <c r="BO93" s="1">
        <f>BL93*(1-BJ93/100)</f>
        <v>792.93799064720611</v>
      </c>
      <c r="BP93" s="1">
        <f>BN93+BO93</f>
        <v>1720.6472815426378</v>
      </c>
      <c r="BQ93" s="11" t="str">
        <f>AA93</f>
        <v>992013054240</v>
      </c>
      <c r="BR93" s="11">
        <f>AB93</f>
        <v>44154</v>
      </c>
      <c r="BS93" s="1">
        <f>AVERAGE(AC93:AC94)</f>
        <v>38.099999999999994</v>
      </c>
      <c r="BT93" s="9">
        <f t="shared" ref="BT93" si="176">AVERAGE(AD93:AD94)</f>
        <v>1.0095000000000001</v>
      </c>
      <c r="BU93" s="1">
        <f t="shared" ref="BU93" si="177">AVERAGE(AE93:AE94)</f>
        <v>76.849999999999994</v>
      </c>
      <c r="BV93" s="1">
        <f t="shared" ref="BV93" si="178">AVERAGE(AF93:AF94)</f>
        <v>25.15</v>
      </c>
      <c r="BW93" s="1">
        <f t="shared" ref="BW93" si="179">AVERAGE(AG93:AG94)</f>
        <v>6</v>
      </c>
      <c r="BX93" s="1">
        <f t="shared" ref="BX93" si="180">AVERAGE(AH93:AH94)</f>
        <v>81.05</v>
      </c>
      <c r="BY93" s="1">
        <f t="shared" ref="BY93" si="181">AVERAGE(AI93:AI94)</f>
        <v>8.75</v>
      </c>
      <c r="BZ93" s="1"/>
      <c r="CA93" s="8">
        <f t="shared" ref="CA93" si="182">AVERAGE(AK93:AK94)</f>
        <v>6.5</v>
      </c>
      <c r="CB93" s="2">
        <f t="shared" ref="CB93" si="183">AVERAGE(AL93:AL94)</f>
        <v>0.11</v>
      </c>
      <c r="CC93" s="1">
        <f t="shared" ref="CC93" si="184">AVERAGE(AM93:AM94)</f>
        <v>16.2</v>
      </c>
    </row>
    <row r="94" spans="1:81" x14ac:dyDescent="0.3">
      <c r="A94">
        <v>40</v>
      </c>
      <c r="B94" s="3" t="s">
        <v>253</v>
      </c>
      <c r="C94" s="3" t="s">
        <v>106</v>
      </c>
      <c r="D94" s="13">
        <v>43761</v>
      </c>
      <c r="E94" s="2">
        <v>1.17</v>
      </c>
      <c r="F94" s="2">
        <v>0.17</v>
      </c>
      <c r="G94" s="2">
        <f t="shared" si="1"/>
        <v>0.99999999999999989</v>
      </c>
      <c r="H94" s="4">
        <f t="shared" si="2"/>
        <v>2460.6299212598424</v>
      </c>
      <c r="I94" s="10">
        <v>44134</v>
      </c>
      <c r="J94" s="2">
        <v>0.62</v>
      </c>
      <c r="K94" s="2">
        <v>2</v>
      </c>
      <c r="L94" s="6">
        <f t="shared" si="3"/>
        <v>0.34</v>
      </c>
      <c r="M94" s="6">
        <f t="shared" si="4"/>
        <v>0.32000000000000012</v>
      </c>
      <c r="N94" s="6">
        <f t="shared" si="5"/>
        <v>0.3399999999999998</v>
      </c>
      <c r="O94" s="2">
        <v>52.16</v>
      </c>
      <c r="P94" s="2">
        <v>50.74</v>
      </c>
      <c r="Q94" s="2">
        <v>117.44</v>
      </c>
      <c r="R94" s="2">
        <v>113.07</v>
      </c>
      <c r="S94" s="5">
        <f t="shared" si="6"/>
        <v>2.7223926380367995</v>
      </c>
      <c r="T94" s="5">
        <f t="shared" si="7"/>
        <v>3.72104904632153</v>
      </c>
      <c r="U94" s="4">
        <f t="shared" si="8"/>
        <v>836.61417322834643</v>
      </c>
      <c r="V94" s="4">
        <f t="shared" si="9"/>
        <v>787.40157480314986</v>
      </c>
      <c r="W94" s="4">
        <f t="shared" si="10"/>
        <v>1624.0157480314963</v>
      </c>
      <c r="X94" s="4">
        <f t="shared" si="11"/>
        <v>813.83825056760554</v>
      </c>
      <c r="Y94" s="4">
        <f t="shared" si="12"/>
        <v>758.10197601321647</v>
      </c>
      <c r="Z94" s="4">
        <f t="shared" si="13"/>
        <v>1571.9402265808221</v>
      </c>
      <c r="AA94" s="8" t="s">
        <v>204</v>
      </c>
      <c r="AB94" s="10">
        <v>44154</v>
      </c>
      <c r="AC94" s="4">
        <v>38</v>
      </c>
      <c r="AD94" s="15">
        <v>0.99</v>
      </c>
      <c r="AE94" s="4">
        <v>76.599999999999994</v>
      </c>
      <c r="AF94" s="4">
        <v>24.7</v>
      </c>
      <c r="AG94" s="4">
        <v>5.9</v>
      </c>
      <c r="AH94" s="4">
        <v>81.599999999999994</v>
      </c>
      <c r="AI94" s="4">
        <v>9</v>
      </c>
      <c r="AJ94" s="4" t="s">
        <v>161</v>
      </c>
      <c r="AK94" s="16">
        <v>8</v>
      </c>
      <c r="AL94" s="5">
        <v>0.12</v>
      </c>
      <c r="AM94" s="4">
        <v>16.899999999999999</v>
      </c>
      <c r="AN94" s="1">
        <v>407.3</v>
      </c>
      <c r="AO94" s="1">
        <v>1234.4000000000001</v>
      </c>
      <c r="AQ94" s="14"/>
      <c r="AR94" s="1"/>
      <c r="AS94" s="1"/>
      <c r="AT94" s="2"/>
      <c r="AU94" s="2"/>
      <c r="AV94" s="2"/>
      <c r="AW94" s="1"/>
      <c r="AX94" s="1"/>
      <c r="AY94" s="2"/>
      <c r="AZ94" s="2"/>
      <c r="BA94" s="2"/>
      <c r="BB94" s="7"/>
      <c r="BC94" s="7"/>
      <c r="BD94" s="7"/>
      <c r="BE94" s="2"/>
      <c r="BF94" s="2"/>
      <c r="BG94" s="2"/>
      <c r="BH94" s="2"/>
      <c r="BI94" s="2"/>
      <c r="BJ94" s="2"/>
      <c r="BK94" s="1"/>
      <c r="BL94" s="1"/>
      <c r="BM94" s="1"/>
      <c r="BN94" s="1"/>
      <c r="BO94" s="1"/>
      <c r="BP94" s="1"/>
      <c r="BQ94" s="11"/>
      <c r="BR94" s="1"/>
      <c r="BS94" s="1"/>
      <c r="BT94" s="9"/>
      <c r="BU94" s="1"/>
      <c r="BV94" s="1"/>
      <c r="BW94" s="1"/>
      <c r="BX94" s="1"/>
      <c r="BY94" s="1"/>
      <c r="CA94" s="8"/>
      <c r="CB94" s="2"/>
      <c r="CC94" s="1"/>
    </row>
    <row r="95" spans="1:81" x14ac:dyDescent="0.3">
      <c r="A95">
        <v>41</v>
      </c>
      <c r="B95" s="3" t="s">
        <v>254</v>
      </c>
      <c r="C95" s="3" t="s">
        <v>106</v>
      </c>
      <c r="D95" s="13">
        <v>43761</v>
      </c>
      <c r="E95" s="2">
        <v>1.4</v>
      </c>
      <c r="F95" s="2">
        <v>0.19</v>
      </c>
      <c r="G95" s="2">
        <f t="shared" si="1"/>
        <v>1.21</v>
      </c>
      <c r="H95" s="4">
        <f t="shared" si="2"/>
        <v>2977.3622047244094</v>
      </c>
      <c r="I95" s="10">
        <v>44134</v>
      </c>
      <c r="J95" s="2">
        <v>0.68</v>
      </c>
      <c r="K95" s="2">
        <v>2.04</v>
      </c>
      <c r="L95" s="6">
        <f t="shared" si="3"/>
        <v>0.33057851239669422</v>
      </c>
      <c r="M95" s="6">
        <f t="shared" si="4"/>
        <v>0.29752066115702486</v>
      </c>
      <c r="N95" s="6">
        <f t="shared" si="5"/>
        <v>0.37190082644628092</v>
      </c>
      <c r="O95" s="2">
        <v>47.02</v>
      </c>
      <c r="P95" s="2">
        <v>45.68</v>
      </c>
      <c r="Q95" s="2">
        <v>109.74</v>
      </c>
      <c r="R95" s="2">
        <v>105.41</v>
      </c>
      <c r="S95" s="5">
        <f t="shared" si="6"/>
        <v>2.8498511271799307</v>
      </c>
      <c r="T95" s="5">
        <f t="shared" si="7"/>
        <v>3.945689812283578</v>
      </c>
      <c r="U95" s="4">
        <f t="shared" si="8"/>
        <v>984.25196850393706</v>
      </c>
      <c r="V95" s="4">
        <f t="shared" si="9"/>
        <v>885.82677165354346</v>
      </c>
      <c r="W95" s="4">
        <f t="shared" si="10"/>
        <v>1870.0787401574805</v>
      </c>
      <c r="X95" s="4">
        <f t="shared" si="11"/>
        <v>956.202252685237</v>
      </c>
      <c r="Y95" s="4">
        <f t="shared" si="12"/>
        <v>850.8747949699291</v>
      </c>
      <c r="Z95" s="4">
        <f t="shared" si="13"/>
        <v>1807.0770476551661</v>
      </c>
      <c r="AA95" t="s">
        <v>180</v>
      </c>
      <c r="AB95" s="10">
        <v>44154</v>
      </c>
      <c r="AC95" s="4">
        <v>35.9</v>
      </c>
      <c r="AD95" s="15">
        <v>1.0269999999999999</v>
      </c>
      <c r="AE95" s="4">
        <v>78.400000000000006</v>
      </c>
      <c r="AF95" s="4">
        <v>25.4</v>
      </c>
      <c r="AG95" s="4">
        <v>6.2</v>
      </c>
      <c r="AH95" s="4">
        <v>80.900000000000006</v>
      </c>
      <c r="AI95" s="4">
        <v>8.6</v>
      </c>
      <c r="AJ95" s="4" t="s">
        <v>159</v>
      </c>
      <c r="AK95" s="16">
        <v>21</v>
      </c>
      <c r="AL95" s="5">
        <v>0.51</v>
      </c>
      <c r="AM95" s="4">
        <v>14.2</v>
      </c>
      <c r="AN95" s="1">
        <v>585.6</v>
      </c>
      <c r="AO95" s="1">
        <v>1774.4</v>
      </c>
      <c r="AQ95" s="14" t="s">
        <v>866</v>
      </c>
      <c r="AR95" s="1" t="s">
        <v>106</v>
      </c>
      <c r="AS95" s="11">
        <f>D95</f>
        <v>43761</v>
      </c>
      <c r="AT95" s="2">
        <f>SUM(E95:E96)</f>
        <v>2.75</v>
      </c>
      <c r="AU95" s="2">
        <f>SUM(F95:F96)</f>
        <v>0.38</v>
      </c>
      <c r="AV95" s="2">
        <f>AT95-AU95</f>
        <v>2.37</v>
      </c>
      <c r="AW95" s="1">
        <f>AV95/(2*$A$43)*$A$44</f>
        <v>2915.8464566929133</v>
      </c>
      <c r="AX95" s="1">
        <v>3369.8540582278092</v>
      </c>
      <c r="AY95" s="11">
        <f>I95</f>
        <v>44134</v>
      </c>
      <c r="AZ95" s="2">
        <f>SUM(J95:J96)</f>
        <v>1.38</v>
      </c>
      <c r="BA95" s="2">
        <f>SUM(K95:K96)</f>
        <v>4.08</v>
      </c>
      <c r="BB95" s="7">
        <f>(AZ95-2*$A$45)/AV95</f>
        <v>0.34599156118143454</v>
      </c>
      <c r="BC95" s="7">
        <f>(BA95-2*$A$46)/AV95</f>
        <v>0.30379746835443044</v>
      </c>
      <c r="BD95" s="7">
        <f>1-BB95-BC95</f>
        <v>0.35021097046413496</v>
      </c>
      <c r="BE95" s="2">
        <f>SUM(O95:O96)</f>
        <v>105.86000000000001</v>
      </c>
      <c r="BF95" s="2">
        <f>SUM(P95:P96)</f>
        <v>103.05</v>
      </c>
      <c r="BG95" s="2">
        <f>SUM(Q95:Q96)</f>
        <v>288.27999999999997</v>
      </c>
      <c r="BH95" s="2">
        <f>SUM(R95:R96)</f>
        <v>277.29999999999995</v>
      </c>
      <c r="BI95" s="2">
        <f>(BE95-BF95)/BE95*100</f>
        <v>2.6544492726242357</v>
      </c>
      <c r="BJ95" s="2">
        <f>(BG95-BH95)/BG95*100</f>
        <v>3.8087970029138405</v>
      </c>
      <c r="BK95" s="1">
        <f>AX95*BB95</f>
        <v>1165.9410665598325</v>
      </c>
      <c r="BL95" s="1">
        <f>AX95*BC95</f>
        <v>1023.7531316135119</v>
      </c>
      <c r="BM95" s="1">
        <f>BK95+BL95</f>
        <v>2189.6941981733444</v>
      </c>
      <c r="BN95" s="1">
        <f>BK95*(1-BI95/100)</f>
        <v>1134.9917523993076</v>
      </c>
      <c r="BO95" s="1">
        <f>BL95*(1-BJ95/100)</f>
        <v>984.76045301937984</v>
      </c>
      <c r="BP95" s="1">
        <f>BN95+BO95</f>
        <v>2119.7522054186875</v>
      </c>
      <c r="BQ95" s="11" t="str">
        <f>AA95</f>
        <v>992013061242</v>
      </c>
      <c r="BR95" s="11">
        <f>AB95</f>
        <v>44154</v>
      </c>
      <c r="BS95" s="1">
        <f>AVERAGE(AC95:AC96)</f>
        <v>39.9</v>
      </c>
      <c r="BT95" s="9">
        <f t="shared" ref="BT95" si="185">AVERAGE(AD95:AD96)</f>
        <v>1.0335000000000001</v>
      </c>
      <c r="BU95" s="1">
        <f t="shared" ref="BU95" si="186">AVERAGE(AE95:AE96)</f>
        <v>78.75</v>
      </c>
      <c r="BV95" s="1">
        <f t="shared" ref="BV95" si="187">AVERAGE(AF95:AF96)</f>
        <v>26.1</v>
      </c>
      <c r="BW95" s="1">
        <f t="shared" ref="BW95" si="188">AVERAGE(AG95:AG96)</f>
        <v>6</v>
      </c>
      <c r="BX95" s="1">
        <f t="shared" ref="BX95" si="189">AVERAGE(AH95:AH96)</f>
        <v>81.2</v>
      </c>
      <c r="BY95" s="1">
        <f t="shared" ref="BY95" si="190">AVERAGE(AI95:AI96)</f>
        <v>8.6</v>
      </c>
      <c r="BZ95" s="1"/>
      <c r="CA95" s="8">
        <f t="shared" ref="CA95" si="191">AVERAGE(AK95:AK96)</f>
        <v>16.5</v>
      </c>
      <c r="CB95" s="2">
        <f t="shared" ref="CB95" si="192">AVERAGE(AL95:AL96)</f>
        <v>0.36</v>
      </c>
      <c r="CC95" s="1">
        <f t="shared" ref="CC95" si="193">AVERAGE(AM95:AM96)</f>
        <v>13.6</v>
      </c>
    </row>
    <row r="96" spans="1:81" x14ac:dyDescent="0.3">
      <c r="A96">
        <v>42</v>
      </c>
      <c r="B96" s="3" t="s">
        <v>255</v>
      </c>
      <c r="C96" s="3" t="s">
        <v>106</v>
      </c>
      <c r="D96" s="13">
        <v>43761</v>
      </c>
      <c r="E96" s="2">
        <v>1.35</v>
      </c>
      <c r="F96" s="2">
        <v>0.19</v>
      </c>
      <c r="G96" s="2">
        <f t="shared" si="1"/>
        <v>1.1600000000000001</v>
      </c>
      <c r="H96" s="4">
        <f t="shared" si="2"/>
        <v>2854.3307086614177</v>
      </c>
      <c r="I96" s="10">
        <v>44134</v>
      </c>
      <c r="J96" s="2">
        <v>0.7</v>
      </c>
      <c r="K96" s="2">
        <v>2.04</v>
      </c>
      <c r="L96" s="6">
        <f t="shared" si="3"/>
        <v>0.36206896551724127</v>
      </c>
      <c r="M96" s="6">
        <f t="shared" si="4"/>
        <v>0.31034482758620696</v>
      </c>
      <c r="N96" s="6">
        <f t="shared" si="5"/>
        <v>0.32758620689655171</v>
      </c>
      <c r="O96" s="2">
        <v>58.84</v>
      </c>
      <c r="P96" s="2">
        <v>57.37</v>
      </c>
      <c r="Q96" s="2">
        <v>178.54</v>
      </c>
      <c r="R96" s="2">
        <v>171.89</v>
      </c>
      <c r="S96" s="5">
        <f t="shared" si="6"/>
        <v>2.4983004758667673</v>
      </c>
      <c r="T96" s="5">
        <f t="shared" si="7"/>
        <v>3.7246555393749334</v>
      </c>
      <c r="U96" s="4">
        <f t="shared" si="8"/>
        <v>1033.4645669291338</v>
      </c>
      <c r="V96" s="4">
        <f t="shared" si="9"/>
        <v>885.82677165354357</v>
      </c>
      <c r="W96" s="4">
        <f t="shared" si="10"/>
        <v>1919.2913385826773</v>
      </c>
      <c r="X96" s="4">
        <f t="shared" si="11"/>
        <v>1007.6455167356288</v>
      </c>
      <c r="Y96" s="4">
        <f t="shared" si="12"/>
        <v>852.83277573388375</v>
      </c>
      <c r="Z96" s="4">
        <f t="shared" si="13"/>
        <v>1860.4782924695126</v>
      </c>
      <c r="AA96" s="8" t="s">
        <v>205</v>
      </c>
      <c r="AB96" s="10">
        <v>44154</v>
      </c>
      <c r="AC96" s="4">
        <v>43.9</v>
      </c>
      <c r="AD96" s="15">
        <v>1.04</v>
      </c>
      <c r="AE96" s="4">
        <v>79.099999999999994</v>
      </c>
      <c r="AF96" s="4">
        <v>26.8</v>
      </c>
      <c r="AG96" s="4">
        <v>5.8</v>
      </c>
      <c r="AH96" s="4">
        <v>81.5</v>
      </c>
      <c r="AI96" s="4">
        <v>8.6</v>
      </c>
      <c r="AJ96" s="4" t="s">
        <v>163</v>
      </c>
      <c r="AK96" s="16">
        <v>12</v>
      </c>
      <c r="AL96" s="5">
        <v>0.21</v>
      </c>
      <c r="AM96" s="4">
        <v>13</v>
      </c>
      <c r="AN96" s="1">
        <v>657</v>
      </c>
      <c r="AO96" s="1">
        <v>1991</v>
      </c>
      <c r="AQ96" s="14"/>
      <c r="AR96" s="1"/>
      <c r="AS96" s="1"/>
      <c r="AT96" s="2"/>
      <c r="AU96" s="2"/>
      <c r="AV96" s="2"/>
      <c r="AW96" s="1"/>
      <c r="AX96" s="1"/>
      <c r="AY96" s="2"/>
      <c r="AZ96" s="2"/>
      <c r="BA96" s="2"/>
      <c r="BB96" s="7"/>
      <c r="BC96" s="7"/>
      <c r="BD96" s="7"/>
      <c r="BE96" s="2"/>
      <c r="BF96" s="2"/>
      <c r="BG96" s="2"/>
      <c r="BH96" s="2"/>
      <c r="BI96" s="2"/>
      <c r="BJ96" s="2"/>
      <c r="BK96" s="1"/>
      <c r="BL96" s="1"/>
      <c r="BM96" s="1"/>
      <c r="BN96" s="1"/>
      <c r="BO96" s="1"/>
      <c r="BP96" s="1"/>
      <c r="BQ96" s="11"/>
      <c r="BR96" s="1"/>
      <c r="BS96" s="1"/>
      <c r="BT96" s="9"/>
      <c r="BU96" s="1"/>
      <c r="BV96" s="1"/>
      <c r="BW96" s="1"/>
      <c r="BX96" s="1"/>
      <c r="BY96" s="1"/>
      <c r="CA96" s="8"/>
      <c r="CB96" s="2"/>
      <c r="CC96" s="1"/>
    </row>
    <row r="97" spans="1:81" x14ac:dyDescent="0.3">
      <c r="A97">
        <v>43</v>
      </c>
      <c r="B97" s="3" t="s">
        <v>256</v>
      </c>
      <c r="C97" s="3" t="s">
        <v>106</v>
      </c>
      <c r="D97" s="13">
        <v>43761</v>
      </c>
      <c r="E97" s="2">
        <v>1.54</v>
      </c>
      <c r="F97" s="2">
        <v>0.18</v>
      </c>
      <c r="G97" s="2">
        <f t="shared" si="1"/>
        <v>1.36</v>
      </c>
      <c r="H97" s="4">
        <f t="shared" si="2"/>
        <v>3346.4566929133862</v>
      </c>
      <c r="I97" s="10">
        <v>44134</v>
      </c>
      <c r="J97" s="2">
        <v>0.78</v>
      </c>
      <c r="K97" s="2">
        <v>2.12</v>
      </c>
      <c r="L97" s="6">
        <f t="shared" si="3"/>
        <v>0.36764705882352938</v>
      </c>
      <c r="M97" s="6">
        <f t="shared" si="4"/>
        <v>0.32352941176470601</v>
      </c>
      <c r="N97" s="6">
        <f t="shared" si="5"/>
        <v>0.30882352941176455</v>
      </c>
      <c r="O97" s="2">
        <v>76.599999999999994</v>
      </c>
      <c r="P97" s="2">
        <v>74.36</v>
      </c>
      <c r="Q97" s="2">
        <v>132.44</v>
      </c>
      <c r="R97" s="2">
        <v>127.15</v>
      </c>
      <c r="S97" s="5">
        <f t="shared" si="6"/>
        <v>2.9242819843341974</v>
      </c>
      <c r="T97" s="5">
        <f t="shared" si="7"/>
        <v>3.9942615524010816</v>
      </c>
      <c r="U97" s="4">
        <f t="shared" si="8"/>
        <v>1230.3149606299212</v>
      </c>
      <c r="V97" s="4">
        <f t="shared" si="9"/>
        <v>1082.6771653543312</v>
      </c>
      <c r="W97" s="4">
        <f t="shared" si="10"/>
        <v>2312.9921259842522</v>
      </c>
      <c r="X97" s="4">
        <f t="shared" si="11"/>
        <v>1194.337081885652</v>
      </c>
      <c r="Y97" s="4">
        <f t="shared" si="12"/>
        <v>1039.4322076019573</v>
      </c>
      <c r="Z97" s="4">
        <f t="shared" si="13"/>
        <v>2233.7692894876091</v>
      </c>
      <c r="AA97" t="s">
        <v>181</v>
      </c>
      <c r="AB97" s="10">
        <v>44154</v>
      </c>
      <c r="AC97" s="4">
        <v>41.6</v>
      </c>
      <c r="AD97" s="15">
        <v>0.999</v>
      </c>
      <c r="AE97" s="4">
        <v>77.3</v>
      </c>
      <c r="AF97" s="4">
        <v>25</v>
      </c>
      <c r="AG97" s="4">
        <v>6.1</v>
      </c>
      <c r="AH97" s="4">
        <v>80.400000000000006</v>
      </c>
      <c r="AI97" s="4">
        <v>9.1</v>
      </c>
      <c r="AJ97" s="4" t="s">
        <v>159</v>
      </c>
      <c r="AK97" s="16">
        <v>18</v>
      </c>
      <c r="AL97" s="5">
        <v>0.54</v>
      </c>
      <c r="AM97" s="4">
        <v>17.7</v>
      </c>
      <c r="AN97" s="1">
        <v>663.7</v>
      </c>
      <c r="AO97" s="1">
        <v>2011.3</v>
      </c>
      <c r="AQ97" s="14" t="s">
        <v>867</v>
      </c>
      <c r="AR97" s="1" t="s">
        <v>106</v>
      </c>
      <c r="AS97" s="11">
        <f>D97</f>
        <v>43761</v>
      </c>
      <c r="AT97" s="2">
        <f>SUM(E97:E98)</f>
        <v>2.79</v>
      </c>
      <c r="AU97" s="2">
        <f>SUM(F97:F98)</f>
        <v>0.36</v>
      </c>
      <c r="AV97" s="2">
        <f>AT97-AU97</f>
        <v>2.4300000000000002</v>
      </c>
      <c r="AW97" s="1">
        <f>AV97/(2*$A$43)*$A$44</f>
        <v>2989.6653543307089</v>
      </c>
      <c r="AX97" s="1">
        <v>3253.6047366477219</v>
      </c>
      <c r="AY97" s="11">
        <f>I97</f>
        <v>44134</v>
      </c>
      <c r="AZ97" s="2">
        <f>SUM(J97:J98)</f>
        <v>1.42</v>
      </c>
      <c r="BA97" s="2">
        <f>SUM(K97:K98)</f>
        <v>4.12</v>
      </c>
      <c r="BB97" s="7">
        <f>(AZ97-2*$A$45)/AV97</f>
        <v>0.35390946502057608</v>
      </c>
      <c r="BC97" s="7">
        <f>(BA97-2*$A$46)/AV97</f>
        <v>0.31275720164609061</v>
      </c>
      <c r="BD97" s="7">
        <f>1-BB97-BC97</f>
        <v>0.33333333333333331</v>
      </c>
      <c r="BE97" s="2">
        <f>SUM(O97:O98)</f>
        <v>141.68</v>
      </c>
      <c r="BF97" s="2">
        <f>SUM(P97:P98)</f>
        <v>137.54</v>
      </c>
      <c r="BG97" s="2">
        <f>SUM(Q97:Q98)</f>
        <v>248.19</v>
      </c>
      <c r="BH97" s="2">
        <f>SUM(R97:R98)</f>
        <v>238.32</v>
      </c>
      <c r="BI97" s="2">
        <f>(BE97-BF97)/BE97*100</f>
        <v>2.9220779220779325</v>
      </c>
      <c r="BJ97" s="2">
        <f>(BG97-BH97)/BG97*100</f>
        <v>3.9767919738909723</v>
      </c>
      <c r="BK97" s="1">
        <f>AX97*BB97</f>
        <v>1151.4815117354076</v>
      </c>
      <c r="BL97" s="1">
        <f>AX97*BC97</f>
        <v>1017.5883126964071</v>
      </c>
      <c r="BM97" s="1">
        <f>BK97+BL97</f>
        <v>2169.0698244318146</v>
      </c>
      <c r="BN97" s="1">
        <f>BK97*(1-BI97/100)</f>
        <v>1117.834324704178</v>
      </c>
      <c r="BO97" s="1">
        <f>BL97*(1-BJ97/100)</f>
        <v>977.12094234984386</v>
      </c>
      <c r="BP97" s="1">
        <f>BN97+BO97</f>
        <v>2094.955267054022</v>
      </c>
      <c r="BQ97" s="11" t="str">
        <f>AA97</f>
        <v>992013062244</v>
      </c>
      <c r="BR97" s="11">
        <f>AB97</f>
        <v>44154</v>
      </c>
      <c r="BS97" s="1">
        <f>AVERAGE(AC97:AC98)</f>
        <v>40</v>
      </c>
      <c r="BT97" s="9">
        <f t="shared" ref="BT97" si="194">AVERAGE(AD97:AD98)</f>
        <v>1.014</v>
      </c>
      <c r="BU97" s="1">
        <f t="shared" ref="BU97" si="195">AVERAGE(AE97:AE98)</f>
        <v>77.449999999999989</v>
      </c>
      <c r="BV97" s="1">
        <f t="shared" ref="BV97" si="196">AVERAGE(AF97:AF98)</f>
        <v>25.1</v>
      </c>
      <c r="BW97" s="1">
        <f t="shared" ref="BW97" si="197">AVERAGE(AG97:AG98)</f>
        <v>6.05</v>
      </c>
      <c r="BX97" s="1">
        <f t="shared" ref="BX97" si="198">AVERAGE(AH97:AH98)</f>
        <v>80.75</v>
      </c>
      <c r="BY97" s="1">
        <f t="shared" ref="BY97" si="199">AVERAGE(AI97:AI98)</f>
        <v>8.9499999999999993</v>
      </c>
      <c r="BZ97" s="1"/>
      <c r="CA97" s="8">
        <f t="shared" ref="CA97" si="200">AVERAGE(AK97:AK98)</f>
        <v>11.5</v>
      </c>
      <c r="CB97" s="2">
        <f t="shared" ref="CB97" si="201">AVERAGE(AL97:AL98)</f>
        <v>0.29500000000000004</v>
      </c>
      <c r="CC97" s="1">
        <f t="shared" ref="CC97" si="202">AVERAGE(AM97:AM98)</f>
        <v>16.5</v>
      </c>
    </row>
    <row r="98" spans="1:81" x14ac:dyDescent="0.3">
      <c r="A98">
        <v>44</v>
      </c>
      <c r="B98" s="3" t="s">
        <v>257</v>
      </c>
      <c r="C98" s="3" t="s">
        <v>106</v>
      </c>
      <c r="D98" s="13">
        <v>43761</v>
      </c>
      <c r="E98" s="2">
        <v>1.25</v>
      </c>
      <c r="F98" s="2">
        <v>0.18</v>
      </c>
      <c r="G98" s="2">
        <f t="shared" si="1"/>
        <v>1.07</v>
      </c>
      <c r="H98" s="4">
        <f t="shared" si="2"/>
        <v>2632.874015748032</v>
      </c>
      <c r="I98" s="10">
        <v>44134</v>
      </c>
      <c r="J98" s="2">
        <v>0.64</v>
      </c>
      <c r="K98" s="2">
        <v>2</v>
      </c>
      <c r="L98" s="6">
        <f t="shared" si="3"/>
        <v>0.3364485981308411</v>
      </c>
      <c r="M98" s="6">
        <f t="shared" si="4"/>
        <v>0.2990654205607477</v>
      </c>
      <c r="N98" s="6">
        <f t="shared" si="5"/>
        <v>0.36448598130841114</v>
      </c>
      <c r="O98" s="2">
        <v>65.08</v>
      </c>
      <c r="P98" s="2">
        <v>63.18</v>
      </c>
      <c r="Q98" s="2">
        <v>115.75</v>
      </c>
      <c r="R98" s="2">
        <v>111.17</v>
      </c>
      <c r="S98" s="5">
        <f t="shared" si="6"/>
        <v>2.9194837123540238</v>
      </c>
      <c r="T98" s="5">
        <f t="shared" si="7"/>
        <v>3.9568034557235405</v>
      </c>
      <c r="U98" s="4">
        <f t="shared" si="8"/>
        <v>885.82677165354346</v>
      </c>
      <c r="V98" s="4">
        <f t="shared" si="9"/>
        <v>787.40157480314986</v>
      </c>
      <c r="W98" s="4">
        <f t="shared" si="10"/>
        <v>1673.2283464566933</v>
      </c>
      <c r="X98" s="4">
        <f t="shared" si="11"/>
        <v>859.96520333544686</v>
      </c>
      <c r="Y98" s="4">
        <f t="shared" si="12"/>
        <v>756.24564208091715</v>
      </c>
      <c r="Z98" s="4">
        <f t="shared" si="13"/>
        <v>1616.210845416364</v>
      </c>
      <c r="AA98" s="8" t="s">
        <v>206</v>
      </c>
      <c r="AB98" s="10">
        <v>44154</v>
      </c>
      <c r="AC98" s="4">
        <v>38.4</v>
      </c>
      <c r="AD98" s="15">
        <v>1.0289999999999999</v>
      </c>
      <c r="AE98" s="4">
        <v>77.599999999999994</v>
      </c>
      <c r="AF98" s="4">
        <v>25.2</v>
      </c>
      <c r="AG98" s="4">
        <v>6</v>
      </c>
      <c r="AH98" s="4">
        <v>81.099999999999994</v>
      </c>
      <c r="AI98" s="4">
        <v>8.8000000000000007</v>
      </c>
      <c r="AJ98" s="4" t="s">
        <v>163</v>
      </c>
      <c r="AK98" s="16">
        <v>5</v>
      </c>
      <c r="AL98" s="5">
        <v>0.05</v>
      </c>
      <c r="AM98" s="4">
        <v>15.3</v>
      </c>
      <c r="AN98" s="1">
        <v>713.4</v>
      </c>
      <c r="AO98" s="1">
        <v>2161.9</v>
      </c>
      <c r="AQ98" s="14"/>
      <c r="AR98" s="1"/>
      <c r="AS98" s="1"/>
      <c r="AT98" s="2"/>
      <c r="AU98" s="2"/>
      <c r="AV98" s="2"/>
      <c r="AW98" s="1"/>
      <c r="AX98" s="1"/>
      <c r="AY98" s="2"/>
      <c r="AZ98" s="2"/>
      <c r="BA98" s="2"/>
      <c r="BB98" s="7"/>
      <c r="BC98" s="7"/>
      <c r="BD98" s="7"/>
      <c r="BE98" s="2"/>
      <c r="BF98" s="2"/>
      <c r="BG98" s="2"/>
      <c r="BH98" s="2"/>
      <c r="BI98" s="2"/>
      <c r="BJ98" s="2"/>
      <c r="BK98" s="1"/>
      <c r="BL98" s="1"/>
      <c r="BM98" s="1"/>
      <c r="BN98" s="1"/>
      <c r="BO98" s="1"/>
      <c r="BP98" s="1"/>
      <c r="BQ98" s="11"/>
      <c r="BR98" s="1"/>
      <c r="BS98" s="1"/>
      <c r="BT98" s="9"/>
      <c r="BU98" s="1"/>
      <c r="BV98" s="1"/>
      <c r="BW98" s="1"/>
      <c r="BX98" s="1"/>
      <c r="BY98" s="1"/>
      <c r="CA98" s="8"/>
      <c r="CB98" s="2"/>
      <c r="CC98" s="1"/>
    </row>
    <row r="99" spans="1:81" x14ac:dyDescent="0.3">
      <c r="A99">
        <v>45</v>
      </c>
      <c r="B99" s="3" t="s">
        <v>258</v>
      </c>
      <c r="C99" s="3" t="s">
        <v>106</v>
      </c>
      <c r="D99" s="13">
        <v>43761</v>
      </c>
      <c r="E99" s="2">
        <v>1.39</v>
      </c>
      <c r="F99" s="2">
        <v>0.18</v>
      </c>
      <c r="G99" s="2">
        <f t="shared" si="1"/>
        <v>1.21</v>
      </c>
      <c r="H99" s="4">
        <f t="shared" si="2"/>
        <v>2977.3622047244094</v>
      </c>
      <c r="I99" s="10">
        <v>44134</v>
      </c>
      <c r="J99" s="2">
        <v>0.72</v>
      </c>
      <c r="K99" s="2">
        <v>2.08</v>
      </c>
      <c r="L99" s="6">
        <f t="shared" si="3"/>
        <v>0.36363636363636359</v>
      </c>
      <c r="M99" s="6">
        <f t="shared" si="4"/>
        <v>0.33057851239669434</v>
      </c>
      <c r="N99" s="6">
        <f t="shared" si="5"/>
        <v>0.30578512396694213</v>
      </c>
      <c r="O99" s="2">
        <v>43.41</v>
      </c>
      <c r="P99" s="2">
        <v>42.34</v>
      </c>
      <c r="Q99" s="2">
        <v>147.06</v>
      </c>
      <c r="R99" s="2">
        <v>141.5</v>
      </c>
      <c r="S99" s="5">
        <f t="shared" si="6"/>
        <v>2.4648698456576668</v>
      </c>
      <c r="T99" s="5">
        <f t="shared" si="7"/>
        <v>3.7807697538419704</v>
      </c>
      <c r="U99" s="4">
        <f t="shared" si="8"/>
        <v>1082.6771653543306</v>
      </c>
      <c r="V99" s="4">
        <f t="shared" si="9"/>
        <v>984.25196850393729</v>
      </c>
      <c r="W99" s="4">
        <f t="shared" si="10"/>
        <v>2066.929133858268</v>
      </c>
      <c r="X99" s="4">
        <f t="shared" si="11"/>
        <v>1055.9905823796905</v>
      </c>
      <c r="Y99" s="4">
        <f t="shared" si="12"/>
        <v>947.03966777714618</v>
      </c>
      <c r="Z99" s="4">
        <f t="shared" si="13"/>
        <v>2003.0302501568367</v>
      </c>
      <c r="AA99" t="s">
        <v>182</v>
      </c>
      <c r="AB99" s="10">
        <v>44154</v>
      </c>
      <c r="AC99" s="4">
        <v>40</v>
      </c>
      <c r="AD99" s="15">
        <v>1.0580000000000001</v>
      </c>
      <c r="AE99" s="4">
        <v>78.5</v>
      </c>
      <c r="AF99" s="4">
        <v>26.7</v>
      </c>
      <c r="AG99" s="4">
        <v>5.9</v>
      </c>
      <c r="AH99" s="4">
        <v>83.3</v>
      </c>
      <c r="AI99" s="4">
        <v>8.8000000000000007</v>
      </c>
      <c r="AJ99" s="4" t="s">
        <v>161</v>
      </c>
      <c r="AK99" s="16">
        <v>6</v>
      </c>
      <c r="AL99" s="5">
        <v>0.1</v>
      </c>
      <c r="AM99" s="4">
        <v>13.4</v>
      </c>
      <c r="AN99" s="1">
        <v>791.9</v>
      </c>
      <c r="AO99" s="1">
        <v>2399.6</v>
      </c>
      <c r="AQ99" s="14" t="s">
        <v>868</v>
      </c>
      <c r="AR99" s="1" t="s">
        <v>106</v>
      </c>
      <c r="AS99" s="11">
        <f>D99</f>
        <v>43761</v>
      </c>
      <c r="AT99" s="2">
        <f>SUM(E99:E100)</f>
        <v>3.45</v>
      </c>
      <c r="AU99" s="2">
        <f>SUM(F99:F100)</f>
        <v>0.36</v>
      </c>
      <c r="AV99" s="2">
        <f>AT99-AU99</f>
        <v>3.0900000000000003</v>
      </c>
      <c r="AW99" s="1">
        <f>AV99/(2*$A$43)*$A$44</f>
        <v>3801.6732283464571</v>
      </c>
      <c r="AX99" s="1">
        <v>3839.5554825441868</v>
      </c>
      <c r="AY99" s="11">
        <f>I99</f>
        <v>44134</v>
      </c>
      <c r="AZ99" s="2">
        <f>SUM(J99:J100)</f>
        <v>1.7</v>
      </c>
      <c r="BA99" s="2">
        <f>SUM(K99:K100)</f>
        <v>4.5199999999999996</v>
      </c>
      <c r="BB99" s="7">
        <f>(AZ99-2*$A$45)/AV99</f>
        <v>0.3689320388349514</v>
      </c>
      <c r="BC99" s="7">
        <f>(BA99-2*$A$46)/AV99</f>
        <v>0.37540453074433644</v>
      </c>
      <c r="BD99" s="7">
        <f>1-BB99-BC99</f>
        <v>0.25566343042071216</v>
      </c>
      <c r="BE99" s="2">
        <f>SUM(O99:O100)</f>
        <v>90.3</v>
      </c>
      <c r="BF99" s="2">
        <f>SUM(P99:P100)</f>
        <v>88.06</v>
      </c>
      <c r="BG99" s="2">
        <f>SUM(Q99:Q100)</f>
        <v>305.94</v>
      </c>
      <c r="BH99" s="2">
        <f>SUM(R99:R100)</f>
        <v>294.25</v>
      </c>
      <c r="BI99" s="2">
        <f>(BE99-BF99)/BE99*100</f>
        <v>2.4806201550387543</v>
      </c>
      <c r="BJ99" s="2">
        <f>(BG99-BH99)/BG99*100</f>
        <v>3.8210106556841206</v>
      </c>
      <c r="BK99" s="1">
        <f>AX99*BB99</f>
        <v>1416.5350323949426</v>
      </c>
      <c r="BL99" s="1">
        <f>AX99*BC99</f>
        <v>1441.3865241913447</v>
      </c>
      <c r="BM99" s="1">
        <f>BK99+BL99</f>
        <v>2857.9215565862874</v>
      </c>
      <c r="BN99" s="1">
        <f>BK99*(1-BI99/100)</f>
        <v>1381.3961788781689</v>
      </c>
      <c r="BO99" s="1">
        <f>BL99*(1-BJ99/100)</f>
        <v>1386.3109915123985</v>
      </c>
      <c r="BP99" s="1">
        <f>BN99+BO99</f>
        <v>2767.7071703905676</v>
      </c>
      <c r="BQ99" s="11" t="str">
        <f>AA99</f>
        <v>992013063246</v>
      </c>
      <c r="BR99" s="11">
        <f>AB99</f>
        <v>44154</v>
      </c>
      <c r="BS99" s="1">
        <f>AVERAGE(AC99:AC100)</f>
        <v>41.349999999999994</v>
      </c>
      <c r="BT99" s="9">
        <f t="shared" ref="BT99" si="203">AVERAGE(AD99:AD100)</f>
        <v>1.0585</v>
      </c>
      <c r="BU99" s="1">
        <f t="shared" ref="BU99" si="204">AVERAGE(AE99:AE100)</f>
        <v>78.849999999999994</v>
      </c>
      <c r="BV99" s="1">
        <f t="shared" ref="BV99" si="205">AVERAGE(AF99:AF100)</f>
        <v>26.7</v>
      </c>
      <c r="BW99" s="1">
        <f t="shared" ref="BW99" si="206">AVERAGE(AG99:AG100)</f>
        <v>5.95</v>
      </c>
      <c r="BX99" s="1">
        <f t="shared" ref="BX99" si="207">AVERAGE(AH99:AH100)</f>
        <v>83</v>
      </c>
      <c r="BY99" s="1">
        <f t="shared" ref="BY99" si="208">AVERAGE(AI99:AI100)</f>
        <v>8.4499999999999993</v>
      </c>
      <c r="BZ99" s="1"/>
      <c r="CA99" s="8">
        <f t="shared" ref="CA99" si="209">AVERAGE(AK99:AK100)</f>
        <v>6.5</v>
      </c>
      <c r="CB99" s="2">
        <f t="shared" ref="CB99" si="210">AVERAGE(AL99:AL100)</f>
        <v>0.115</v>
      </c>
      <c r="CC99" s="1">
        <f t="shared" ref="CC99" si="211">AVERAGE(AM99:AM100)</f>
        <v>12.9</v>
      </c>
    </row>
    <row r="100" spans="1:81" x14ac:dyDescent="0.3">
      <c r="A100">
        <v>46</v>
      </c>
      <c r="B100" s="3" t="s">
        <v>259</v>
      </c>
      <c r="C100" s="3" t="s">
        <v>106</v>
      </c>
      <c r="D100" s="13">
        <v>43761</v>
      </c>
      <c r="E100" s="2">
        <v>2.06</v>
      </c>
      <c r="F100" s="2">
        <v>0.18</v>
      </c>
      <c r="G100" s="2">
        <f t="shared" si="1"/>
        <v>1.8800000000000001</v>
      </c>
      <c r="H100" s="4">
        <f t="shared" si="2"/>
        <v>4625.9842519685044</v>
      </c>
      <c r="I100" s="10">
        <v>44134</v>
      </c>
      <c r="J100" s="2">
        <v>0.98</v>
      </c>
      <c r="K100" s="2">
        <v>2.44</v>
      </c>
      <c r="L100" s="6">
        <f t="shared" si="3"/>
        <v>0.37234042553191482</v>
      </c>
      <c r="M100" s="6">
        <f t="shared" si="4"/>
        <v>0.40425531914893614</v>
      </c>
      <c r="N100" s="6">
        <f t="shared" si="5"/>
        <v>0.22340425531914904</v>
      </c>
      <c r="O100" s="2">
        <v>46.89</v>
      </c>
      <c r="P100" s="2">
        <v>45.72</v>
      </c>
      <c r="Q100" s="2">
        <v>158.88</v>
      </c>
      <c r="R100" s="2">
        <v>152.75</v>
      </c>
      <c r="S100" s="5">
        <f t="shared" si="6"/>
        <v>2.4952015355086408</v>
      </c>
      <c r="T100" s="5">
        <f t="shared" si="7"/>
        <v>3.8582578046324243</v>
      </c>
      <c r="U100" s="4">
        <f t="shared" si="8"/>
        <v>1722.4409448818897</v>
      </c>
      <c r="V100" s="4">
        <f t="shared" si="9"/>
        <v>1870.0787401574803</v>
      </c>
      <c r="W100" s="4">
        <f t="shared" si="10"/>
        <v>3592.51968503937</v>
      </c>
      <c r="X100" s="4">
        <f t="shared" si="11"/>
        <v>1679.4625719769672</v>
      </c>
      <c r="Y100" s="4">
        <f t="shared" si="12"/>
        <v>1797.9262812125826</v>
      </c>
      <c r="Z100" s="4">
        <f t="shared" si="13"/>
        <v>3477.38885318955</v>
      </c>
      <c r="AA100" s="8" t="s">
        <v>207</v>
      </c>
      <c r="AB100" s="10">
        <v>44154</v>
      </c>
      <c r="AC100" s="4">
        <v>42.699999999999996</v>
      </c>
      <c r="AD100" s="15">
        <v>1.0589999999999999</v>
      </c>
      <c r="AE100" s="4">
        <v>79.2</v>
      </c>
      <c r="AF100" s="4">
        <v>26.7</v>
      </c>
      <c r="AG100" s="4">
        <v>6</v>
      </c>
      <c r="AH100" s="4">
        <v>82.7</v>
      </c>
      <c r="AI100" s="4">
        <v>8.1</v>
      </c>
      <c r="AJ100" s="4" t="s">
        <v>163</v>
      </c>
      <c r="AK100" s="16">
        <v>7</v>
      </c>
      <c r="AL100" s="5">
        <v>0.13</v>
      </c>
      <c r="AM100" s="4">
        <v>12.4</v>
      </c>
      <c r="AN100" s="1">
        <v>1407.8</v>
      </c>
      <c r="AO100" s="1">
        <v>4266.1000000000004</v>
      </c>
      <c r="AQ100" s="14"/>
      <c r="AR100" s="1"/>
      <c r="AS100" s="1"/>
      <c r="AT100" s="2"/>
      <c r="AU100" s="2"/>
      <c r="AV100" s="2"/>
      <c r="AW100" s="1"/>
      <c r="AX100" s="1"/>
      <c r="AY100" s="2"/>
      <c r="AZ100" s="2"/>
      <c r="BA100" s="2"/>
      <c r="BB100" s="7"/>
      <c r="BC100" s="7"/>
      <c r="BD100" s="7"/>
      <c r="BE100" s="2"/>
      <c r="BF100" s="2"/>
      <c r="BG100" s="2"/>
      <c r="BH100" s="2"/>
      <c r="BI100" s="2"/>
      <c r="BJ100" s="2"/>
      <c r="BK100" s="1"/>
      <c r="BL100" s="1"/>
      <c r="BM100" s="1"/>
      <c r="BN100" s="1"/>
      <c r="BO100" s="1"/>
      <c r="BP100" s="1"/>
      <c r="BQ100" s="11"/>
      <c r="BR100" s="1"/>
      <c r="BS100" s="1"/>
      <c r="BT100" s="9"/>
      <c r="BU100" s="1"/>
      <c r="BV100" s="1"/>
      <c r="BW100" s="1"/>
      <c r="BX100" s="1"/>
      <c r="BY100" s="1"/>
      <c r="CA100" s="8"/>
      <c r="CB100" s="2"/>
      <c r="CC100" s="1"/>
    </row>
    <row r="101" spans="1:81" x14ac:dyDescent="0.3">
      <c r="A101">
        <v>47</v>
      </c>
      <c r="B101" s="3" t="s">
        <v>260</v>
      </c>
      <c r="C101" s="3" t="s">
        <v>106</v>
      </c>
      <c r="D101" s="13">
        <v>43761</v>
      </c>
      <c r="E101" s="2">
        <v>1.48</v>
      </c>
      <c r="F101" s="2">
        <v>0.18</v>
      </c>
      <c r="G101" s="2">
        <f t="shared" si="1"/>
        <v>1.3</v>
      </c>
      <c r="H101" s="4">
        <f t="shared" si="2"/>
        <v>3198.8188976377951</v>
      </c>
      <c r="I101" s="10">
        <v>44134</v>
      </c>
      <c r="J101" s="2">
        <v>0.76</v>
      </c>
      <c r="K101" s="2">
        <v>2.14</v>
      </c>
      <c r="L101" s="6">
        <f t="shared" si="3"/>
        <v>0.3692307692307692</v>
      </c>
      <c r="M101" s="6">
        <f t="shared" si="4"/>
        <v>0.35384615384615398</v>
      </c>
      <c r="N101" s="6">
        <f t="shared" si="5"/>
        <v>0.27692307692307677</v>
      </c>
      <c r="O101" s="2">
        <v>38.21</v>
      </c>
      <c r="P101" s="2">
        <v>37.159999999999997</v>
      </c>
      <c r="Q101" s="2">
        <v>186.01</v>
      </c>
      <c r="R101" s="2">
        <v>179.28</v>
      </c>
      <c r="S101" s="5">
        <f t="shared" si="6"/>
        <v>2.7479717351478783</v>
      </c>
      <c r="T101" s="5">
        <f t="shared" si="7"/>
        <v>3.6180850491908987</v>
      </c>
      <c r="U101" s="4">
        <f t="shared" si="8"/>
        <v>1181.1023622047242</v>
      </c>
      <c r="V101" s="4">
        <f t="shared" si="9"/>
        <v>1131.8897637795278</v>
      </c>
      <c r="W101" s="4">
        <f t="shared" si="10"/>
        <v>2312.9921259842522</v>
      </c>
      <c r="X101" s="4">
        <f t="shared" si="11"/>
        <v>1148.6460031281745</v>
      </c>
      <c r="Y101" s="4">
        <f t="shared" si="12"/>
        <v>1090.9370294628984</v>
      </c>
      <c r="Z101" s="4">
        <f t="shared" si="13"/>
        <v>2239.5830325910729</v>
      </c>
      <c r="AA101" s="8" t="s">
        <v>183</v>
      </c>
      <c r="AB101" s="10">
        <v>44154</v>
      </c>
      <c r="AC101" s="4">
        <v>38.5</v>
      </c>
      <c r="AD101" s="15">
        <v>1.036</v>
      </c>
      <c r="AE101" s="4">
        <v>78.599999999999994</v>
      </c>
      <c r="AF101" s="4">
        <v>26.7</v>
      </c>
      <c r="AG101" s="4">
        <v>6.1</v>
      </c>
      <c r="AH101" s="4">
        <v>81.400000000000006</v>
      </c>
      <c r="AI101" s="4">
        <v>8.6999999999999993</v>
      </c>
      <c r="AJ101" s="4" t="s">
        <v>159</v>
      </c>
      <c r="AK101" s="16">
        <v>8</v>
      </c>
      <c r="AL101" s="5">
        <v>0.12</v>
      </c>
      <c r="AM101" s="4">
        <v>15</v>
      </c>
      <c r="AN101" s="1">
        <v>652.5</v>
      </c>
      <c r="AO101" s="1">
        <v>1977.4</v>
      </c>
      <c r="AQ101" s="14" t="s">
        <v>869</v>
      </c>
      <c r="AR101" s="1" t="s">
        <v>106</v>
      </c>
      <c r="AS101" s="11">
        <f>D101</f>
        <v>43761</v>
      </c>
      <c r="AT101" s="2">
        <f>SUM(E101:E102)</f>
        <v>2.84</v>
      </c>
      <c r="AU101" s="2">
        <f>SUM(F101:F102)</f>
        <v>0.36</v>
      </c>
      <c r="AV101" s="2">
        <f>AT101-AU101</f>
        <v>2.48</v>
      </c>
      <c r="AW101" s="1">
        <f>AV101/(2*$A$43)*$A$44</f>
        <v>3051.1811023622049</v>
      </c>
      <c r="AX101" s="1">
        <v>3473.6299174863179</v>
      </c>
      <c r="AY101" s="11">
        <f>I101</f>
        <v>44134</v>
      </c>
      <c r="AZ101" s="2">
        <f>SUM(J101:J102)</f>
        <v>1.42</v>
      </c>
      <c r="BA101" s="2">
        <f>SUM(K101:K102)</f>
        <v>4.2200000000000006</v>
      </c>
      <c r="BB101" s="7">
        <f>(AZ101-2*$A$45)/AV101</f>
        <v>0.34677419354838707</v>
      </c>
      <c r="BC101" s="7">
        <f>(BA101-2*$A$46)/AV101</f>
        <v>0.3467741935483874</v>
      </c>
      <c r="BD101" s="7">
        <f>1-BB101-BC101</f>
        <v>0.30645161290322559</v>
      </c>
      <c r="BE101" s="2">
        <f>SUM(O101:O102)</f>
        <v>92.800000000000011</v>
      </c>
      <c r="BF101" s="2">
        <f>SUM(P101:P102)</f>
        <v>90.21</v>
      </c>
      <c r="BG101" s="2">
        <f>SUM(Q101:Q102)</f>
        <v>361.09000000000003</v>
      </c>
      <c r="BH101" s="2">
        <f>SUM(R101:R102)</f>
        <v>348.40999999999997</v>
      </c>
      <c r="BI101" s="2">
        <f>(BE101-BF101)/BE101*100</f>
        <v>2.7909482758620876</v>
      </c>
      <c r="BJ101" s="2">
        <f>(BG101-BH101)/BG101*100</f>
        <v>3.5115899083331201</v>
      </c>
      <c r="BK101" s="1">
        <f>AX101*BB101</f>
        <v>1204.5652133218682</v>
      </c>
      <c r="BL101" s="1">
        <f>AX101*BC101</f>
        <v>1204.5652133218694</v>
      </c>
      <c r="BM101" s="1">
        <f>BK101+BL101</f>
        <v>2409.1304266437373</v>
      </c>
      <c r="BN101" s="1">
        <f>BK101*(1-BI101/100)</f>
        <v>1170.946421269027</v>
      </c>
      <c r="BO101" s="1">
        <f>BL101*(1-BJ101/100)</f>
        <v>1162.2658228515672</v>
      </c>
      <c r="BP101" s="1">
        <f>BN101+BO101</f>
        <v>2333.2122441205943</v>
      </c>
      <c r="BQ101" s="11" t="str">
        <f>AA101</f>
        <v>992013064248</v>
      </c>
      <c r="BR101" s="11">
        <f>AB101</f>
        <v>44154</v>
      </c>
      <c r="BS101" s="1">
        <f>AVERAGE(AC101:AC102)</f>
        <v>39.450000000000003</v>
      </c>
      <c r="BT101" s="9">
        <f t="shared" ref="BT101" si="212">AVERAGE(AD101:AD102)</f>
        <v>1.0430000000000001</v>
      </c>
      <c r="BU101" s="1">
        <f t="shared" ref="BU101" si="213">AVERAGE(AE101:AE102)</f>
        <v>77.8</v>
      </c>
      <c r="BV101" s="1">
        <f t="shared" ref="BV101" si="214">AVERAGE(AF101:AF102)</f>
        <v>26.1</v>
      </c>
      <c r="BW101" s="1">
        <f t="shared" ref="BW101" si="215">AVERAGE(AG101:AG102)</f>
        <v>6.1</v>
      </c>
      <c r="BX101" s="1">
        <f t="shared" ref="BX101" si="216">AVERAGE(AH101:AH102)</f>
        <v>81.45</v>
      </c>
      <c r="BY101" s="1">
        <f t="shared" ref="BY101" si="217">AVERAGE(AI101:AI102)</f>
        <v>8.75</v>
      </c>
      <c r="BZ101" s="1"/>
      <c r="CA101" s="8">
        <f t="shared" ref="CA101" si="218">AVERAGE(AK101:AK102)</f>
        <v>7.5</v>
      </c>
      <c r="CB101" s="2">
        <f t="shared" ref="CB101" si="219">AVERAGE(AL101:AL102)</f>
        <v>0.12</v>
      </c>
      <c r="CC101" s="1">
        <f t="shared" ref="CC101" si="220">AVERAGE(AM101:AM102)</f>
        <v>14.15</v>
      </c>
    </row>
    <row r="102" spans="1:81" x14ac:dyDescent="0.3">
      <c r="A102">
        <v>48</v>
      </c>
      <c r="B102" s="3" t="s">
        <v>261</v>
      </c>
      <c r="C102" s="3" t="s">
        <v>106</v>
      </c>
      <c r="D102" s="13">
        <v>43761</v>
      </c>
      <c r="E102" s="2">
        <v>1.36</v>
      </c>
      <c r="F102" s="2">
        <v>0.18</v>
      </c>
      <c r="G102" s="2">
        <f t="shared" si="1"/>
        <v>1.1800000000000002</v>
      </c>
      <c r="H102" s="4">
        <f t="shared" si="2"/>
        <v>2903.5433070866147</v>
      </c>
      <c r="I102" s="10">
        <v>44134</v>
      </c>
      <c r="J102" s="2">
        <v>0.66</v>
      </c>
      <c r="K102" s="2">
        <v>2.08</v>
      </c>
      <c r="L102" s="6">
        <f t="shared" si="3"/>
        <v>0.32203389830508472</v>
      </c>
      <c r="M102" s="6">
        <f t="shared" si="4"/>
        <v>0.33898305084745767</v>
      </c>
      <c r="N102" s="6">
        <f t="shared" si="5"/>
        <v>0.33898305084745756</v>
      </c>
      <c r="O102" s="2">
        <v>54.59</v>
      </c>
      <c r="P102" s="2">
        <v>53.05</v>
      </c>
      <c r="Q102" s="2">
        <v>175.08</v>
      </c>
      <c r="R102" s="2">
        <v>169.13</v>
      </c>
      <c r="S102" s="5">
        <f t="shared" si="6"/>
        <v>2.8210294925810699</v>
      </c>
      <c r="T102" s="5">
        <f t="shared" si="7"/>
        <v>3.3984464244916706</v>
      </c>
      <c r="U102" s="4">
        <f t="shared" si="8"/>
        <v>935.03937007874026</v>
      </c>
      <c r="V102" s="4">
        <f t="shared" si="9"/>
        <v>984.25196850393729</v>
      </c>
      <c r="W102" s="4">
        <f t="shared" si="10"/>
        <v>1919.2913385826776</v>
      </c>
      <c r="X102" s="4">
        <f t="shared" si="11"/>
        <v>908.6616336815747</v>
      </c>
      <c r="Y102" s="4">
        <f t="shared" si="12"/>
        <v>950.80269267232632</v>
      </c>
      <c r="Z102" s="4">
        <f t="shared" si="13"/>
        <v>1859.464326353901</v>
      </c>
      <c r="AA102" s="8" t="s">
        <v>208</v>
      </c>
      <c r="AB102" s="10">
        <v>44154</v>
      </c>
      <c r="AC102" s="4">
        <v>40.4</v>
      </c>
      <c r="AD102" s="15">
        <v>1.05</v>
      </c>
      <c r="AE102" s="4">
        <v>77</v>
      </c>
      <c r="AF102" s="4">
        <v>25.5</v>
      </c>
      <c r="AG102" s="4">
        <v>6.1</v>
      </c>
      <c r="AH102" s="4">
        <v>81.5</v>
      </c>
      <c r="AI102" s="4">
        <v>8.8000000000000007</v>
      </c>
      <c r="AJ102" s="4" t="s">
        <v>161</v>
      </c>
      <c r="AK102" s="16">
        <v>7</v>
      </c>
      <c r="AL102" s="5">
        <v>0.12</v>
      </c>
      <c r="AM102" s="4">
        <v>13.3</v>
      </c>
      <c r="AN102" s="1">
        <v>562</v>
      </c>
      <c r="AO102" s="1">
        <v>1703</v>
      </c>
      <c r="AQ102" s="14"/>
      <c r="AR102" s="1"/>
      <c r="AS102" s="1"/>
      <c r="AT102" s="2"/>
      <c r="AU102" s="2"/>
      <c r="AV102" s="2"/>
      <c r="AW102" s="1"/>
      <c r="AX102" s="1"/>
      <c r="AY102" s="2"/>
      <c r="AZ102" s="2"/>
      <c r="BA102" s="7"/>
      <c r="BB102" s="7"/>
      <c r="BC102" s="7"/>
      <c r="BD102" s="2"/>
      <c r="BE102" s="2"/>
      <c r="BF102" s="2"/>
      <c r="BG102" s="2"/>
      <c r="BH102" s="2"/>
      <c r="BI102" s="2"/>
      <c r="BJ102" s="1"/>
      <c r="BK102" s="1"/>
      <c r="BL102" s="1"/>
      <c r="BM102" s="1"/>
      <c r="BN102" s="1"/>
      <c r="BO102" s="1"/>
      <c r="BP102" s="11"/>
      <c r="BQ102" s="1"/>
      <c r="BR102" s="1"/>
      <c r="BS102" s="2"/>
      <c r="BT102" s="1"/>
      <c r="BU102" s="1"/>
      <c r="BV102" s="1"/>
      <c r="BW102" s="1"/>
    </row>
    <row r="103" spans="1:81" x14ac:dyDescent="0.3">
      <c r="I103" s="1"/>
      <c r="R103" s="1"/>
      <c r="S103" s="1"/>
      <c r="T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X103" s="1"/>
    </row>
    <row r="104" spans="1:81" x14ac:dyDescent="0.3">
      <c r="I104" s="1"/>
      <c r="R104" s="1"/>
      <c r="S104" s="1"/>
      <c r="T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X104" s="1"/>
    </row>
    <row r="105" spans="1:81" x14ac:dyDescent="0.3">
      <c r="I105" s="1"/>
      <c r="R105" s="1"/>
      <c r="S105" s="1"/>
      <c r="T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X105" s="1"/>
    </row>
    <row r="106" spans="1:81" x14ac:dyDescent="0.3">
      <c r="I106" s="1"/>
      <c r="R106" s="1"/>
      <c r="S106" s="1"/>
      <c r="T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X106" s="1"/>
    </row>
    <row r="107" spans="1:81" x14ac:dyDescent="0.3">
      <c r="I107" s="1"/>
      <c r="R107" s="1"/>
      <c r="S107" s="1"/>
      <c r="T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X107" s="1"/>
    </row>
    <row r="108" spans="1:81" x14ac:dyDescent="0.3">
      <c r="I108" s="1"/>
      <c r="R108" s="1"/>
      <c r="S108" s="1"/>
      <c r="T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X108" s="1"/>
    </row>
    <row r="109" spans="1:81" x14ac:dyDescent="0.3">
      <c r="I109" s="1"/>
      <c r="R109" s="1"/>
      <c r="S109" s="1"/>
      <c r="T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X109" s="1"/>
    </row>
    <row r="110" spans="1:81" x14ac:dyDescent="0.3">
      <c r="I110" s="1"/>
      <c r="R110" s="1"/>
      <c r="S110" s="1"/>
      <c r="T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X110" s="1"/>
    </row>
    <row r="111" spans="1:81" x14ac:dyDescent="0.3">
      <c r="I111" s="1"/>
      <c r="R111" s="1"/>
      <c r="S111" s="1"/>
      <c r="T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X111" s="1"/>
    </row>
    <row r="112" spans="1:81" x14ac:dyDescent="0.3">
      <c r="I112" s="1"/>
      <c r="R112" s="1"/>
      <c r="S112" s="1"/>
      <c r="T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X112" s="1"/>
    </row>
    <row r="113" spans="9:50" x14ac:dyDescent="0.3">
      <c r="I113" s="1"/>
      <c r="R113" s="1"/>
      <c r="S113" s="1"/>
      <c r="T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X113" s="1"/>
    </row>
    <row r="114" spans="9:50" x14ac:dyDescent="0.3">
      <c r="I114" s="1"/>
      <c r="R114" s="1"/>
      <c r="S114" s="1"/>
      <c r="T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X114" s="1"/>
    </row>
    <row r="115" spans="9:50" x14ac:dyDescent="0.3">
      <c r="I115" s="1"/>
      <c r="R115" s="1"/>
      <c r="S115" s="1"/>
      <c r="T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X115" s="1"/>
    </row>
    <row r="116" spans="9:50" x14ac:dyDescent="0.3">
      <c r="I116" s="1"/>
      <c r="R116" s="1"/>
      <c r="S116" s="1"/>
      <c r="T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X116" s="1"/>
    </row>
    <row r="117" spans="9:50" x14ac:dyDescent="0.3">
      <c r="I117" s="1"/>
      <c r="R117" s="1"/>
      <c r="S117" s="1"/>
      <c r="T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X117" s="1"/>
    </row>
    <row r="118" spans="9:50" x14ac:dyDescent="0.3">
      <c r="I118" s="1"/>
      <c r="R118" s="1"/>
      <c r="S118" s="1"/>
      <c r="T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X118" s="1"/>
    </row>
    <row r="119" spans="9:50" x14ac:dyDescent="0.3">
      <c r="I119" s="1"/>
      <c r="R119" s="1"/>
      <c r="S119" s="1"/>
      <c r="T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X119" s="1"/>
    </row>
    <row r="120" spans="9:50" x14ac:dyDescent="0.3">
      <c r="I120" s="1"/>
      <c r="R120" s="1"/>
      <c r="S120" s="1"/>
      <c r="T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X120" s="1"/>
    </row>
    <row r="121" spans="9:50" x14ac:dyDescent="0.3">
      <c r="I121" s="1"/>
      <c r="R121" s="1"/>
      <c r="S121" s="1"/>
      <c r="T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X121" s="1"/>
    </row>
    <row r="122" spans="9:50" x14ac:dyDescent="0.3">
      <c r="I122" s="1"/>
      <c r="R122" s="1"/>
      <c r="S122" s="1"/>
      <c r="T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X122" s="1"/>
    </row>
    <row r="123" spans="9:50" x14ac:dyDescent="0.3">
      <c r="I123" s="1"/>
      <c r="R123" s="1"/>
      <c r="S123" s="1"/>
      <c r="T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X123" s="1"/>
    </row>
    <row r="124" spans="9:50" x14ac:dyDescent="0.3">
      <c r="I124" s="1"/>
      <c r="R124" s="1"/>
      <c r="S124" s="1"/>
      <c r="T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X124" s="1"/>
    </row>
    <row r="125" spans="9:50" x14ac:dyDescent="0.3">
      <c r="I125" s="1"/>
      <c r="R125" s="1"/>
      <c r="S125" s="1"/>
      <c r="T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X125" s="2"/>
    </row>
    <row r="126" spans="9:50" x14ac:dyDescent="0.3">
      <c r="I126" s="1"/>
      <c r="R126" s="1"/>
      <c r="S126" s="1"/>
      <c r="T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</row>
    <row r="127" spans="9:50" x14ac:dyDescent="0.3">
      <c r="I127" s="1"/>
      <c r="R127" s="1"/>
      <c r="S127" s="1"/>
      <c r="T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</row>
    <row r="128" spans="9:50" x14ac:dyDescent="0.3">
      <c r="I128" s="1"/>
      <c r="R128" s="1"/>
      <c r="S128" s="1"/>
      <c r="T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</row>
    <row r="129" spans="9:44" x14ac:dyDescent="0.3">
      <c r="I129" s="1"/>
      <c r="R129" s="1"/>
      <c r="S129" s="1"/>
      <c r="T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</row>
    <row r="130" spans="9:44" x14ac:dyDescent="0.3">
      <c r="I130" s="1"/>
      <c r="R130" s="1"/>
      <c r="S130" s="1"/>
      <c r="T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</row>
    <row r="131" spans="9:44" x14ac:dyDescent="0.3">
      <c r="I131" s="1"/>
      <c r="R131" s="1"/>
      <c r="S131" s="1"/>
      <c r="T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</row>
    <row r="132" spans="9:44" x14ac:dyDescent="0.3">
      <c r="I132" s="1"/>
      <c r="R132" s="1"/>
      <c r="S132" s="1"/>
      <c r="T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9:44" x14ac:dyDescent="0.3">
      <c r="I133" s="1"/>
      <c r="R133" s="1"/>
      <c r="S133" s="1"/>
      <c r="T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9:44" x14ac:dyDescent="0.3">
      <c r="I134" s="1"/>
      <c r="R134" s="1"/>
      <c r="S134" s="1"/>
      <c r="T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9:44" x14ac:dyDescent="0.3">
      <c r="I135" s="1"/>
      <c r="R135" s="1"/>
      <c r="S135" s="1"/>
      <c r="T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9:44" x14ac:dyDescent="0.3">
      <c r="I136" s="1"/>
      <c r="R136" s="1"/>
      <c r="S136" s="1"/>
      <c r="T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9:44" x14ac:dyDescent="0.3">
      <c r="I137" s="1"/>
      <c r="R137" s="1"/>
      <c r="S137" s="1"/>
      <c r="T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9:44" x14ac:dyDescent="0.3">
      <c r="I138" s="1"/>
      <c r="R138" s="1"/>
      <c r="S138" s="1"/>
      <c r="T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9:44" x14ac:dyDescent="0.3">
      <c r="I139" s="1"/>
      <c r="R139" s="1"/>
      <c r="S139" s="1"/>
      <c r="T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9:44" x14ac:dyDescent="0.3">
      <c r="I140" s="1"/>
      <c r="R140" s="1"/>
      <c r="S140" s="1"/>
      <c r="T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9:44" x14ac:dyDescent="0.3">
      <c r="I141" s="1"/>
      <c r="R141" s="1"/>
      <c r="S141" s="1"/>
      <c r="T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9:44" x14ac:dyDescent="0.3">
      <c r="I142" s="1"/>
      <c r="R142" s="1"/>
      <c r="S142" s="1"/>
      <c r="T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9:44" x14ac:dyDescent="0.3">
      <c r="I143" s="1"/>
      <c r="R143" s="1"/>
      <c r="S143" s="1"/>
      <c r="T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9:44" x14ac:dyDescent="0.3">
      <c r="I144" s="1"/>
      <c r="R144" s="1"/>
      <c r="S144" s="1"/>
      <c r="T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9:44" x14ac:dyDescent="0.3">
      <c r="I145" s="1"/>
      <c r="R145" s="1"/>
      <c r="S145" s="1"/>
      <c r="T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9:44" x14ac:dyDescent="0.3">
      <c r="I146" s="1"/>
      <c r="R146" s="1"/>
      <c r="S146" s="1"/>
      <c r="T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9:44" x14ac:dyDescent="0.3">
      <c r="I147" s="1"/>
      <c r="R147" s="1"/>
      <c r="S147" s="1"/>
      <c r="T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9:44" x14ac:dyDescent="0.3">
      <c r="I148" s="1"/>
      <c r="R148" s="1"/>
      <c r="S148" s="1"/>
      <c r="T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9:44" x14ac:dyDescent="0.3">
      <c r="I149" s="1"/>
      <c r="R149" s="1"/>
      <c r="S149" s="1"/>
      <c r="T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9:44" x14ac:dyDescent="0.3">
      <c r="I150" s="1"/>
      <c r="R150" s="1"/>
      <c r="S150" s="1"/>
      <c r="T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9:44" x14ac:dyDescent="0.3">
      <c r="I151" s="1"/>
      <c r="R151" s="1"/>
      <c r="S151" s="1"/>
      <c r="T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9:44" x14ac:dyDescent="0.3">
      <c r="I152" s="1"/>
      <c r="R152" s="1"/>
      <c r="S152" s="1"/>
      <c r="T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9:44" x14ac:dyDescent="0.3">
      <c r="I153" s="1"/>
      <c r="R153" s="1"/>
      <c r="S153" s="1"/>
      <c r="T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9:44" x14ac:dyDescent="0.3">
      <c r="I154" s="1"/>
      <c r="R154" s="1"/>
      <c r="S154" s="1"/>
      <c r="T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9:44" x14ac:dyDescent="0.3">
      <c r="I155" s="1"/>
      <c r="R155" s="1"/>
      <c r="S155" s="1"/>
      <c r="T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9:44" x14ac:dyDescent="0.3">
      <c r="I156" s="1"/>
      <c r="R156" s="1"/>
      <c r="S156" s="1"/>
      <c r="T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9:44" x14ac:dyDescent="0.3">
      <c r="I157" s="1"/>
      <c r="R157" s="1"/>
      <c r="S157" s="1"/>
      <c r="T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9:44" x14ac:dyDescent="0.3">
      <c r="I158" s="1"/>
      <c r="R158" s="1"/>
      <c r="S158" s="1"/>
      <c r="T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9:44" x14ac:dyDescent="0.3">
      <c r="I159" s="1"/>
      <c r="R159" s="1"/>
      <c r="S159" s="1"/>
      <c r="T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9:44" x14ac:dyDescent="0.3">
      <c r="I160" s="1"/>
      <c r="R160" s="1"/>
      <c r="S160" s="1"/>
      <c r="T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9:44" x14ac:dyDescent="0.3">
      <c r="I161" s="1"/>
      <c r="R161" s="1"/>
      <c r="S161" s="1"/>
      <c r="T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9:44" x14ac:dyDescent="0.3">
      <c r="I162" s="1"/>
      <c r="R162" s="1"/>
      <c r="S162" s="1"/>
      <c r="T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9:44" x14ac:dyDescent="0.3">
      <c r="I163" s="1"/>
      <c r="R163" s="1"/>
      <c r="S163" s="1"/>
      <c r="T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9:44" x14ac:dyDescent="0.3">
      <c r="I164" s="1"/>
      <c r="R164" s="1"/>
      <c r="S164" s="1"/>
      <c r="T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9:44" x14ac:dyDescent="0.3">
      <c r="I165" s="1"/>
      <c r="R165" s="1"/>
      <c r="S165" s="1"/>
      <c r="T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9:44" x14ac:dyDescent="0.3">
      <c r="I166" s="1"/>
      <c r="R166" s="1"/>
      <c r="S166" s="1"/>
      <c r="T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9:44" x14ac:dyDescent="0.3">
      <c r="I167" s="1"/>
      <c r="R167" s="1"/>
      <c r="S167" s="1"/>
      <c r="T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9:44" x14ac:dyDescent="0.3">
      <c r="I168" s="1"/>
      <c r="R168" s="1"/>
      <c r="S168" s="1"/>
      <c r="T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9:44" x14ac:dyDescent="0.3">
      <c r="I169" s="1"/>
      <c r="R169" s="1"/>
      <c r="S169" s="1"/>
      <c r="T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9:44" x14ac:dyDescent="0.3">
      <c r="I170" s="1"/>
      <c r="R170" s="1"/>
      <c r="S170" s="1"/>
      <c r="T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9:44" x14ac:dyDescent="0.3">
      <c r="I171" s="1"/>
      <c r="R171" s="1"/>
      <c r="S171" s="1"/>
      <c r="T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9:44" x14ac:dyDescent="0.3">
      <c r="I172" s="1"/>
      <c r="R172" s="1"/>
      <c r="S172" s="1"/>
      <c r="T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9:44" x14ac:dyDescent="0.3">
      <c r="I173" s="1"/>
      <c r="R173" s="1"/>
      <c r="S173" s="1"/>
      <c r="T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9:44" x14ac:dyDescent="0.3">
      <c r="I174" s="1"/>
      <c r="R174" s="1"/>
      <c r="S174" s="1"/>
      <c r="T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9:44" x14ac:dyDescent="0.3">
      <c r="I175" s="1"/>
      <c r="R175" s="1"/>
      <c r="S175" s="1"/>
      <c r="T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9:44" x14ac:dyDescent="0.3">
      <c r="I176" s="1"/>
      <c r="R176" s="1"/>
      <c r="S176" s="1"/>
      <c r="T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9:44" x14ac:dyDescent="0.3">
      <c r="I177" s="1"/>
      <c r="R177" s="1"/>
      <c r="S177" s="1"/>
      <c r="T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9:44" x14ac:dyDescent="0.3">
      <c r="I178" s="1"/>
      <c r="R178" s="1"/>
      <c r="S178" s="1"/>
      <c r="T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9:44" x14ac:dyDescent="0.3">
      <c r="I179" s="1"/>
      <c r="R179" s="1"/>
      <c r="S179" s="1"/>
      <c r="T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9:44" x14ac:dyDescent="0.3">
      <c r="I180" s="1"/>
      <c r="R180" s="1"/>
      <c r="S180" s="1"/>
      <c r="T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9:44" x14ac:dyDescent="0.3">
      <c r="I181" s="1"/>
      <c r="R181" s="1"/>
      <c r="S181" s="1"/>
      <c r="T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9:44" x14ac:dyDescent="0.3">
      <c r="I182" s="1"/>
      <c r="R182" s="1"/>
      <c r="S182" s="1"/>
      <c r="T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9:44" x14ac:dyDescent="0.3">
      <c r="I183" s="1"/>
      <c r="R183" s="1"/>
      <c r="S183" s="1"/>
      <c r="T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9:44" x14ac:dyDescent="0.3">
      <c r="I184" s="1"/>
      <c r="R184" s="1"/>
      <c r="S184" s="1"/>
      <c r="T184" s="1"/>
    </row>
    <row r="185" spans="9:44" x14ac:dyDescent="0.3">
      <c r="I185" s="1"/>
      <c r="R185" s="1"/>
      <c r="S185" s="1"/>
      <c r="T185" s="1"/>
    </row>
    <row r="186" spans="9:44" x14ac:dyDescent="0.3">
      <c r="I186" s="1"/>
      <c r="R186" s="1"/>
      <c r="S186" s="1"/>
      <c r="T186" s="1"/>
    </row>
    <row r="187" spans="9:44" x14ac:dyDescent="0.3">
      <c r="I187" s="1"/>
      <c r="R187" s="1"/>
      <c r="S187" s="1"/>
      <c r="T187" s="1"/>
    </row>
    <row r="188" spans="9:44" x14ac:dyDescent="0.3">
      <c r="I188" s="1"/>
      <c r="R188" s="1"/>
      <c r="S188" s="1"/>
      <c r="T188" s="1"/>
    </row>
    <row r="189" spans="9:44" x14ac:dyDescent="0.3">
      <c r="I189" s="1"/>
      <c r="R189" s="1"/>
      <c r="S189" s="1"/>
      <c r="T189" s="1"/>
    </row>
    <row r="190" spans="9:44" x14ac:dyDescent="0.3">
      <c r="I190" s="1"/>
      <c r="R190" s="1"/>
      <c r="S190" s="1"/>
      <c r="T190" s="1"/>
    </row>
    <row r="191" spans="9:44" x14ac:dyDescent="0.3">
      <c r="I191" s="1"/>
      <c r="R191" s="1"/>
      <c r="S191" s="1"/>
      <c r="T191" s="1"/>
    </row>
    <row r="192" spans="9:44" x14ac:dyDescent="0.3">
      <c r="I192" s="1"/>
      <c r="R192" s="1"/>
      <c r="S192" s="1"/>
      <c r="T192" s="1"/>
    </row>
    <row r="193" spans="9:20" x14ac:dyDescent="0.3">
      <c r="I193" s="1"/>
      <c r="R193" s="1"/>
      <c r="S193" s="1"/>
      <c r="T193" s="1"/>
    </row>
    <row r="194" spans="9:20" x14ac:dyDescent="0.3">
      <c r="I194" s="1"/>
      <c r="R194" s="1"/>
      <c r="S194" s="1"/>
      <c r="T194" s="1"/>
    </row>
    <row r="195" spans="9:20" x14ac:dyDescent="0.3">
      <c r="I195" s="1"/>
      <c r="R195" s="1"/>
      <c r="S195" s="1"/>
      <c r="T195" s="1"/>
    </row>
    <row r="196" spans="9:20" x14ac:dyDescent="0.3">
      <c r="I196" s="1"/>
      <c r="R196" s="1"/>
      <c r="S196" s="1"/>
      <c r="T196" s="1"/>
    </row>
    <row r="197" spans="9:20" x14ac:dyDescent="0.3">
      <c r="I197" s="1"/>
      <c r="R197" s="1"/>
      <c r="S197" s="1"/>
      <c r="T197" s="1"/>
    </row>
    <row r="198" spans="9:20" x14ac:dyDescent="0.3">
      <c r="I198" s="1"/>
      <c r="R198" s="1"/>
      <c r="S198" s="1"/>
      <c r="T198" s="1"/>
    </row>
    <row r="199" spans="9:20" x14ac:dyDescent="0.3">
      <c r="I199" s="1"/>
      <c r="R199" s="1"/>
      <c r="S199" s="1"/>
      <c r="T199" s="1"/>
    </row>
    <row r="200" spans="9:20" x14ac:dyDescent="0.3">
      <c r="I200" s="1"/>
      <c r="R200" s="1"/>
      <c r="S200" s="1"/>
      <c r="T200" s="1"/>
    </row>
    <row r="201" spans="9:20" x14ac:dyDescent="0.3">
      <c r="I201" s="1"/>
      <c r="R201" s="1"/>
      <c r="S201" s="1"/>
      <c r="T201" s="1"/>
    </row>
    <row r="202" spans="9:20" x14ac:dyDescent="0.3">
      <c r="I202" s="1"/>
      <c r="R202" s="1"/>
      <c r="S202" s="1"/>
      <c r="T202" s="1"/>
    </row>
    <row r="203" spans="9:20" x14ac:dyDescent="0.3">
      <c r="I203" s="1"/>
      <c r="R203" s="1"/>
      <c r="S203" s="1"/>
      <c r="T203" s="1"/>
    </row>
    <row r="204" spans="9:20" x14ac:dyDescent="0.3">
      <c r="I204" s="1"/>
      <c r="R204" s="1"/>
      <c r="S204" s="1"/>
      <c r="T204" s="1"/>
    </row>
    <row r="205" spans="9:20" x14ac:dyDescent="0.3">
      <c r="I205" s="1"/>
      <c r="R205" s="1"/>
      <c r="S205" s="1"/>
      <c r="T205" s="1"/>
    </row>
    <row r="206" spans="9:20" x14ac:dyDescent="0.3">
      <c r="I206" s="1"/>
      <c r="R206" s="1"/>
      <c r="S206" s="1"/>
      <c r="T206" s="1"/>
    </row>
    <row r="207" spans="9:20" x14ac:dyDescent="0.3">
      <c r="I207" s="1"/>
      <c r="R207" s="1"/>
      <c r="S207" s="1"/>
      <c r="T207" s="1"/>
    </row>
    <row r="208" spans="9:20" x14ac:dyDescent="0.3">
      <c r="I208" s="1"/>
      <c r="R208" s="1"/>
      <c r="S208" s="1"/>
      <c r="T208" s="1"/>
    </row>
    <row r="209" spans="9:20" x14ac:dyDescent="0.3">
      <c r="I209" s="1"/>
      <c r="R209" s="1"/>
      <c r="S209" s="1"/>
      <c r="T209" s="1"/>
    </row>
    <row r="210" spans="9:20" x14ac:dyDescent="0.3">
      <c r="I210" s="1"/>
      <c r="R210" s="1"/>
      <c r="S210" s="1"/>
      <c r="T210" s="1"/>
    </row>
    <row r="211" spans="9:20" x14ac:dyDescent="0.3">
      <c r="I211" s="1"/>
      <c r="R211" s="1"/>
      <c r="S211" s="1"/>
      <c r="T211" s="1"/>
    </row>
    <row r="212" spans="9:20" x14ac:dyDescent="0.3">
      <c r="I212" s="1"/>
      <c r="R212" s="1"/>
      <c r="S212" s="1"/>
      <c r="T212" s="1"/>
    </row>
    <row r="213" spans="9:20" x14ac:dyDescent="0.3">
      <c r="I213" s="1"/>
      <c r="R213" s="1"/>
      <c r="S213" s="1"/>
      <c r="T213" s="1"/>
    </row>
    <row r="214" spans="9:20" x14ac:dyDescent="0.3">
      <c r="I214" s="1"/>
      <c r="R214" s="1"/>
      <c r="S214" s="1"/>
      <c r="T214" s="1"/>
    </row>
    <row r="215" spans="9:20" x14ac:dyDescent="0.3">
      <c r="I215" s="1"/>
      <c r="R215" s="1"/>
      <c r="S215" s="1"/>
      <c r="T215" s="1"/>
    </row>
    <row r="216" spans="9:20" x14ac:dyDescent="0.3">
      <c r="I216" s="1"/>
      <c r="R216" s="1"/>
      <c r="S216" s="1"/>
      <c r="T216" s="1"/>
    </row>
    <row r="217" spans="9:20" x14ac:dyDescent="0.3">
      <c r="I217" s="1"/>
      <c r="R217" s="1"/>
      <c r="S217" s="1"/>
      <c r="T217" s="1"/>
    </row>
    <row r="218" spans="9:20" x14ac:dyDescent="0.3">
      <c r="I218" s="1"/>
      <c r="R218" s="1"/>
      <c r="S218" s="1"/>
      <c r="T218" s="1"/>
    </row>
    <row r="219" spans="9:20" x14ac:dyDescent="0.3">
      <c r="I219" s="1"/>
      <c r="R219" s="1"/>
      <c r="S219" s="1"/>
      <c r="T219" s="1"/>
    </row>
    <row r="220" spans="9:20" x14ac:dyDescent="0.3">
      <c r="I220" s="1"/>
      <c r="R220" s="1"/>
      <c r="S220" s="1"/>
      <c r="T220" s="1"/>
    </row>
    <row r="221" spans="9:20" x14ac:dyDescent="0.3">
      <c r="I221" s="1"/>
      <c r="R221" s="1"/>
      <c r="S221" s="1"/>
      <c r="T221" s="1"/>
    </row>
    <row r="222" spans="9:20" x14ac:dyDescent="0.3">
      <c r="I222" s="1"/>
      <c r="R222" s="1"/>
      <c r="S222" s="1"/>
      <c r="T222" s="1"/>
    </row>
    <row r="223" spans="9:20" x14ac:dyDescent="0.3">
      <c r="I223" s="1"/>
      <c r="R223" s="1"/>
      <c r="S223" s="1"/>
      <c r="T223" s="1"/>
    </row>
    <row r="224" spans="9:20" x14ac:dyDescent="0.3">
      <c r="I224" s="1"/>
      <c r="R224" s="1"/>
      <c r="S224" s="1"/>
      <c r="T224" s="1"/>
    </row>
    <row r="225" spans="9:20" x14ac:dyDescent="0.3">
      <c r="I225" s="1"/>
      <c r="R225" s="1"/>
      <c r="S225" s="1"/>
      <c r="T225" s="1"/>
    </row>
    <row r="226" spans="9:20" x14ac:dyDescent="0.3">
      <c r="I226" s="1"/>
      <c r="R226" s="1"/>
      <c r="S226" s="1"/>
      <c r="T226" s="1"/>
    </row>
    <row r="227" spans="9:20" x14ac:dyDescent="0.3">
      <c r="I227" s="1"/>
      <c r="R227" s="1"/>
      <c r="S227" s="1"/>
      <c r="T227" s="1"/>
    </row>
    <row r="228" spans="9:20" x14ac:dyDescent="0.3">
      <c r="I228" s="1"/>
      <c r="R228" s="1"/>
      <c r="S228" s="1"/>
      <c r="T228" s="1"/>
    </row>
    <row r="229" spans="9:20" x14ac:dyDescent="0.3">
      <c r="I229" s="1"/>
      <c r="R229" s="1"/>
      <c r="S229" s="1"/>
      <c r="T229" s="1"/>
    </row>
    <row r="230" spans="9:20" x14ac:dyDescent="0.3">
      <c r="I230" s="1"/>
      <c r="R230" s="1"/>
      <c r="S230" s="1"/>
      <c r="T230" s="1"/>
    </row>
    <row r="231" spans="9:20" x14ac:dyDescent="0.3">
      <c r="I231" s="1"/>
      <c r="R231" s="1"/>
      <c r="S231" s="1"/>
      <c r="T231" s="1"/>
    </row>
    <row r="232" spans="9:20" x14ac:dyDescent="0.3">
      <c r="I232" s="1"/>
      <c r="R232" s="1"/>
      <c r="S232" s="1"/>
      <c r="T232" s="1"/>
    </row>
    <row r="233" spans="9:20" x14ac:dyDescent="0.3">
      <c r="I233" s="1"/>
      <c r="R233" s="1"/>
      <c r="S233" s="1"/>
      <c r="T233" s="1"/>
    </row>
    <row r="234" spans="9:20" x14ac:dyDescent="0.3">
      <c r="I234" s="1"/>
      <c r="R234" s="1"/>
      <c r="S234" s="1"/>
      <c r="T234" s="1"/>
    </row>
    <row r="235" spans="9:20" x14ac:dyDescent="0.3">
      <c r="I235" s="1"/>
      <c r="R235" s="1"/>
      <c r="S235" s="1"/>
      <c r="T235" s="1"/>
    </row>
    <row r="236" spans="9:20" x14ac:dyDescent="0.3">
      <c r="I236" s="1"/>
      <c r="R236" s="1"/>
      <c r="S236" s="1"/>
      <c r="T236" s="1"/>
    </row>
    <row r="237" spans="9:20" x14ac:dyDescent="0.3">
      <c r="I237" s="1"/>
      <c r="R237" s="1"/>
      <c r="S237" s="1"/>
      <c r="T237" s="1"/>
    </row>
    <row r="238" spans="9:20" x14ac:dyDescent="0.3">
      <c r="I238" s="1"/>
      <c r="R238" s="1"/>
      <c r="S238" s="1"/>
      <c r="T238" s="1"/>
    </row>
    <row r="239" spans="9:20" x14ac:dyDescent="0.3">
      <c r="I239" s="1"/>
      <c r="R239" s="1"/>
      <c r="S239" s="1"/>
      <c r="T239" s="1"/>
    </row>
    <row r="240" spans="9:20" x14ac:dyDescent="0.3">
      <c r="I240" s="1"/>
      <c r="R240" s="1"/>
      <c r="S240" s="1"/>
      <c r="T240" s="1"/>
    </row>
    <row r="241" spans="9:20" x14ac:dyDescent="0.3">
      <c r="I241" s="1"/>
      <c r="R241" s="1"/>
      <c r="S241" s="1"/>
      <c r="T241" s="1"/>
    </row>
    <row r="242" spans="9:20" x14ac:dyDescent="0.3">
      <c r="I242" s="1"/>
      <c r="R242" s="1"/>
      <c r="S242" s="1"/>
      <c r="T242" s="1"/>
    </row>
    <row r="243" spans="9:20" x14ac:dyDescent="0.3">
      <c r="I243" s="1"/>
      <c r="R243" s="1"/>
      <c r="S243" s="1"/>
      <c r="T243" s="1"/>
    </row>
    <row r="244" spans="9:20" x14ac:dyDescent="0.3">
      <c r="I244" s="1"/>
      <c r="R244" s="1"/>
      <c r="S244" s="1"/>
      <c r="T244" s="1"/>
    </row>
    <row r="245" spans="9:20" x14ac:dyDescent="0.3">
      <c r="I245" s="1"/>
      <c r="R245" s="1"/>
      <c r="S245" s="1"/>
      <c r="T245" s="1"/>
    </row>
    <row r="246" spans="9:20" x14ac:dyDescent="0.3">
      <c r="I246" s="1"/>
      <c r="R246" s="1"/>
      <c r="S246" s="1"/>
      <c r="T246" s="1"/>
    </row>
    <row r="247" spans="9:20" x14ac:dyDescent="0.3">
      <c r="I247" s="1"/>
      <c r="R247" s="1"/>
      <c r="S247" s="1"/>
      <c r="T247" s="1"/>
    </row>
    <row r="248" spans="9:20" x14ac:dyDescent="0.3">
      <c r="I248" s="1"/>
      <c r="R248" s="1"/>
      <c r="S248" s="1"/>
      <c r="T248" s="1"/>
    </row>
    <row r="249" spans="9:20" x14ac:dyDescent="0.3">
      <c r="I249" s="1"/>
      <c r="R249" s="1"/>
      <c r="S249" s="1"/>
      <c r="T249" s="1"/>
    </row>
    <row r="250" spans="9:20" x14ac:dyDescent="0.3">
      <c r="I250" s="1"/>
      <c r="R250" s="1"/>
      <c r="S250" s="1"/>
      <c r="T250" s="1"/>
    </row>
    <row r="251" spans="9:20" x14ac:dyDescent="0.3">
      <c r="I251" s="1"/>
      <c r="R251" s="1"/>
      <c r="S251" s="1"/>
      <c r="T251" s="1"/>
    </row>
    <row r="252" spans="9:20" x14ac:dyDescent="0.3">
      <c r="I252" s="1"/>
      <c r="R252" s="1"/>
      <c r="S252" s="1"/>
      <c r="T252" s="1"/>
    </row>
    <row r="253" spans="9:20" x14ac:dyDescent="0.3">
      <c r="I253" s="1"/>
      <c r="R253" s="1"/>
      <c r="S253" s="1"/>
      <c r="T253" s="1"/>
    </row>
    <row r="254" spans="9:20" x14ac:dyDescent="0.3">
      <c r="I254" s="1"/>
      <c r="R254" s="1"/>
      <c r="S254" s="1"/>
      <c r="T254" s="1"/>
    </row>
    <row r="255" spans="9:20" x14ac:dyDescent="0.3">
      <c r="I255" s="1"/>
      <c r="R255" s="1"/>
      <c r="S255" s="1"/>
      <c r="T255" s="1"/>
    </row>
    <row r="256" spans="9:20" x14ac:dyDescent="0.3">
      <c r="I256" s="1"/>
      <c r="R256" s="1"/>
      <c r="S256" s="1"/>
      <c r="T256" s="1"/>
    </row>
    <row r="257" spans="9:20" x14ac:dyDescent="0.3">
      <c r="I257" s="1"/>
      <c r="R257" s="1"/>
      <c r="S257" s="1"/>
      <c r="T257" s="1"/>
    </row>
    <row r="258" spans="9:20" x14ac:dyDescent="0.3">
      <c r="I258" s="1"/>
      <c r="R258" s="1"/>
      <c r="S258" s="1"/>
      <c r="T258" s="1"/>
    </row>
    <row r="259" spans="9:20" x14ac:dyDescent="0.3">
      <c r="I259" s="1"/>
      <c r="R259" s="1"/>
      <c r="S259" s="1"/>
      <c r="T259" s="1"/>
    </row>
    <row r="260" spans="9:20" x14ac:dyDescent="0.3">
      <c r="I260" s="1"/>
      <c r="R260" s="1"/>
      <c r="S260" s="1"/>
      <c r="T260" s="1"/>
    </row>
    <row r="261" spans="9:20" x14ac:dyDescent="0.3">
      <c r="I261" s="1"/>
      <c r="R261" s="1"/>
      <c r="S261" s="1"/>
      <c r="T261" s="1"/>
    </row>
    <row r="262" spans="9:20" x14ac:dyDescent="0.3">
      <c r="I262" s="1"/>
      <c r="R262" s="1"/>
      <c r="S262" s="1"/>
      <c r="T262" s="1"/>
    </row>
    <row r="263" spans="9:20" x14ac:dyDescent="0.3">
      <c r="I263" s="1"/>
      <c r="R263" s="1"/>
      <c r="S263" s="1"/>
      <c r="T263" s="1"/>
    </row>
    <row r="264" spans="9:20" x14ac:dyDescent="0.3">
      <c r="I264" s="1"/>
      <c r="R264" s="1"/>
      <c r="S264" s="1"/>
      <c r="T264" s="1"/>
    </row>
    <row r="265" spans="9:20" x14ac:dyDescent="0.3">
      <c r="I265" s="1"/>
      <c r="R265" s="1"/>
      <c r="S265" s="1"/>
      <c r="T265" s="1"/>
    </row>
    <row r="266" spans="9:20" x14ac:dyDescent="0.3">
      <c r="I266" s="1"/>
      <c r="R266" s="1"/>
      <c r="S266" s="1"/>
      <c r="T266" s="1"/>
    </row>
    <row r="267" spans="9:20" x14ac:dyDescent="0.3">
      <c r="I267" s="1"/>
      <c r="R267" s="1"/>
      <c r="S267" s="1"/>
      <c r="T267" s="1"/>
    </row>
    <row r="268" spans="9:20" x14ac:dyDescent="0.3">
      <c r="I268" s="1"/>
      <c r="R268" s="1"/>
      <c r="S268" s="1"/>
      <c r="T268" s="1"/>
    </row>
    <row r="269" spans="9:20" x14ac:dyDescent="0.3">
      <c r="I269" s="1"/>
      <c r="R269" s="1"/>
      <c r="S269" s="1"/>
      <c r="T269" s="1"/>
    </row>
    <row r="270" spans="9:20" x14ac:dyDescent="0.3">
      <c r="I270" s="1"/>
      <c r="R270" s="1"/>
      <c r="S270" s="1"/>
      <c r="T270" s="1"/>
    </row>
    <row r="271" spans="9:20" x14ac:dyDescent="0.3">
      <c r="I271" s="1"/>
      <c r="R271" s="1"/>
      <c r="S271" s="1"/>
      <c r="T271" s="1"/>
    </row>
    <row r="272" spans="9:20" x14ac:dyDescent="0.3">
      <c r="I272" s="1"/>
      <c r="R272" s="1"/>
      <c r="S272" s="1"/>
      <c r="T272" s="1"/>
    </row>
    <row r="273" spans="9:20" x14ac:dyDescent="0.3">
      <c r="I273" s="1"/>
      <c r="S273" s="1"/>
      <c r="T273" s="1"/>
    </row>
  </sheetData>
  <phoneticPr fontId="1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42D61-092E-4CCE-927E-822E39A81B7D}">
  <dimension ref="A1:I582"/>
  <sheetViews>
    <sheetView workbookViewId="0"/>
  </sheetViews>
  <sheetFormatPr defaultRowHeight="14.4" x14ac:dyDescent="0.3"/>
  <sheetData>
    <row r="1" spans="1:9" x14ac:dyDescent="0.3">
      <c r="A1" s="3"/>
      <c r="B1" t="s">
        <v>0</v>
      </c>
      <c r="C1" t="s">
        <v>0</v>
      </c>
      <c r="D1" s="3" t="s">
        <v>0</v>
      </c>
    </row>
    <row r="2" spans="1:9" x14ac:dyDescent="0.3">
      <c r="A2" s="3"/>
      <c r="B2" t="s">
        <v>262</v>
      </c>
      <c r="C2" t="s">
        <v>262</v>
      </c>
      <c r="D2" s="3" t="s">
        <v>843</v>
      </c>
    </row>
    <row r="3" spans="1:9" x14ac:dyDescent="0.3">
      <c r="A3" s="3"/>
      <c r="B3" t="s">
        <v>263</v>
      </c>
      <c r="C3" t="s">
        <v>263</v>
      </c>
      <c r="D3" s="3" t="s">
        <v>263</v>
      </c>
      <c r="H3" t="s">
        <v>844</v>
      </c>
      <c r="I3" t="s">
        <v>844</v>
      </c>
    </row>
    <row r="4" spans="1:9" x14ac:dyDescent="0.3">
      <c r="A4" s="3"/>
      <c r="B4" t="s">
        <v>120</v>
      </c>
      <c r="C4" t="s">
        <v>264</v>
      </c>
      <c r="D4" s="3" t="s">
        <v>264</v>
      </c>
      <c r="H4" t="s">
        <v>845</v>
      </c>
      <c r="I4" t="s">
        <v>262</v>
      </c>
    </row>
    <row r="5" spans="1:9" x14ac:dyDescent="0.3">
      <c r="A5" s="3"/>
      <c r="B5" s="2" t="s">
        <v>6</v>
      </c>
      <c r="C5" s="2" t="s">
        <v>6</v>
      </c>
      <c r="D5" s="3" t="s">
        <v>6</v>
      </c>
      <c r="F5" t="s">
        <v>33</v>
      </c>
    </row>
    <row r="6" spans="1:9" x14ac:dyDescent="0.3">
      <c r="A6" s="3" t="s">
        <v>266</v>
      </c>
      <c r="D6" s="3" t="s">
        <v>5</v>
      </c>
      <c r="F6" t="s">
        <v>5</v>
      </c>
    </row>
    <row r="7" spans="1:9" x14ac:dyDescent="0.3">
      <c r="A7" s="3" t="s">
        <v>267</v>
      </c>
      <c r="B7" s="1">
        <v>528.43272727272699</v>
      </c>
      <c r="C7" s="1">
        <v>1601.3</v>
      </c>
      <c r="D7" s="4">
        <f>0.9025*C7+1344.9</f>
        <v>2790.0732499999999</v>
      </c>
      <c r="F7" s="1">
        <f>AVERAGE(D7:D30)</f>
        <v>3534.5252773148113</v>
      </c>
      <c r="H7">
        <v>3986.2204724409448</v>
      </c>
      <c r="I7">
        <v>3534.5252773148113</v>
      </c>
    </row>
    <row r="8" spans="1:9" x14ac:dyDescent="0.3">
      <c r="A8" s="3" t="s">
        <v>268</v>
      </c>
      <c r="B8" s="1">
        <v>602.62</v>
      </c>
      <c r="C8" s="1">
        <v>1826.1072727272699</v>
      </c>
      <c r="D8" s="4">
        <f t="shared" ref="D8:D71" si="0">0.9025*C8+1344.9</f>
        <v>2992.9618136363611</v>
      </c>
      <c r="H8">
        <v>2349.9015748031493</v>
      </c>
      <c r="I8">
        <v>2861.3096857712503</v>
      </c>
    </row>
    <row r="9" spans="1:9" x14ac:dyDescent="0.3">
      <c r="A9" s="3" t="s">
        <v>269</v>
      </c>
      <c r="B9" s="1">
        <v>768.62199999999905</v>
      </c>
      <c r="C9" s="1">
        <v>2329.15</v>
      </c>
      <c r="D9" s="4">
        <f t="shared" si="0"/>
        <v>3446.9578750000001</v>
      </c>
      <c r="H9">
        <v>1968.5039370078741</v>
      </c>
      <c r="I9">
        <v>2680.9368676209951</v>
      </c>
    </row>
    <row r="10" spans="1:9" x14ac:dyDescent="0.3">
      <c r="A10" s="3" t="s">
        <v>270</v>
      </c>
      <c r="B10" s="1">
        <v>748.23699999999894</v>
      </c>
      <c r="C10" s="1">
        <v>2267.3899999999899</v>
      </c>
      <c r="D10" s="4">
        <f t="shared" si="0"/>
        <v>3391.2194749999908</v>
      </c>
      <c r="H10">
        <v>3518.7007874015753</v>
      </c>
      <c r="I10">
        <v>3379.9174781355177</v>
      </c>
    </row>
    <row r="11" spans="1:9" x14ac:dyDescent="0.3">
      <c r="A11" s="3" t="s">
        <v>271</v>
      </c>
      <c r="B11" s="1">
        <v>704.20999999999901</v>
      </c>
      <c r="C11" s="1">
        <v>2133.9699999999898</v>
      </c>
      <c r="D11" s="4">
        <f t="shared" si="0"/>
        <v>3270.807924999991</v>
      </c>
      <c r="H11">
        <v>3764.7637795275591</v>
      </c>
      <c r="I11">
        <v>3378.8278628409048</v>
      </c>
    </row>
    <row r="12" spans="1:9" x14ac:dyDescent="0.3">
      <c r="A12" s="3" t="s">
        <v>272</v>
      </c>
      <c r="B12" s="1">
        <v>785.26181818181794</v>
      </c>
      <c r="C12" s="1">
        <v>2379.5818181818099</v>
      </c>
      <c r="D12" s="4">
        <f t="shared" si="0"/>
        <v>3492.4725909090835</v>
      </c>
      <c r="H12">
        <v>4502.9527559055114</v>
      </c>
      <c r="I12">
        <v>3978.4595355871156</v>
      </c>
    </row>
    <row r="13" spans="1:9" x14ac:dyDescent="0.3">
      <c r="A13" s="3" t="s">
        <v>273</v>
      </c>
      <c r="B13" s="1">
        <v>866.375</v>
      </c>
      <c r="C13" s="1">
        <v>2625.39</v>
      </c>
      <c r="D13" s="4">
        <f t="shared" si="0"/>
        <v>3714.3144749999997</v>
      </c>
      <c r="H13">
        <v>3026.5748031496069</v>
      </c>
      <c r="I13">
        <v>3056.6623626325722</v>
      </c>
    </row>
    <row r="14" spans="1:9" x14ac:dyDescent="0.3">
      <c r="A14" s="3" t="s">
        <v>274</v>
      </c>
      <c r="B14" s="1">
        <v>884.25900000000001</v>
      </c>
      <c r="C14" s="1">
        <v>2679.5699999999902</v>
      </c>
      <c r="D14" s="4">
        <f t="shared" si="0"/>
        <v>3763.211924999991</v>
      </c>
      <c r="H14">
        <v>3297.2440944881891</v>
      </c>
      <c r="I14">
        <v>3610.9796266098451</v>
      </c>
    </row>
    <row r="15" spans="1:9" x14ac:dyDescent="0.3">
      <c r="A15" s="3" t="s">
        <v>275</v>
      </c>
      <c r="B15" s="1">
        <v>815.37909090909</v>
      </c>
      <c r="C15" s="1">
        <v>2470.8636363636301</v>
      </c>
      <c r="D15" s="4">
        <f t="shared" si="0"/>
        <v>3574.8544318181762</v>
      </c>
      <c r="H15">
        <v>3457.1850393700788</v>
      </c>
      <c r="I15">
        <v>3317.9665055355595</v>
      </c>
    </row>
    <row r="16" spans="1:9" x14ac:dyDescent="0.3">
      <c r="A16" s="3" t="s">
        <v>276</v>
      </c>
      <c r="B16" s="1">
        <v>819.37636363636295</v>
      </c>
      <c r="C16" s="1">
        <v>2482.96363636363</v>
      </c>
      <c r="D16" s="4">
        <f t="shared" si="0"/>
        <v>3585.7746818181763</v>
      </c>
      <c r="H16">
        <v>4478.3464566929133</v>
      </c>
      <c r="I16">
        <v>4144.0088474536979</v>
      </c>
    </row>
    <row r="17" spans="1:9" x14ac:dyDescent="0.3">
      <c r="A17" s="3" t="s">
        <v>277</v>
      </c>
      <c r="B17" s="1">
        <v>971.95899999999904</v>
      </c>
      <c r="C17" s="1">
        <v>2945.31</v>
      </c>
      <c r="D17" s="4">
        <f t="shared" si="0"/>
        <v>4003.0422749999998</v>
      </c>
      <c r="H17">
        <v>3494.0944881889764</v>
      </c>
      <c r="I17">
        <v>3876.7263580492363</v>
      </c>
    </row>
    <row r="18" spans="1:9" x14ac:dyDescent="0.3">
      <c r="A18" s="3" t="s">
        <v>278</v>
      </c>
      <c r="B18" s="1">
        <v>1034.81799999999</v>
      </c>
      <c r="C18" s="1">
        <v>3135.81</v>
      </c>
      <c r="D18" s="4">
        <f t="shared" si="0"/>
        <v>4174.9685250000002</v>
      </c>
      <c r="H18">
        <v>3641.732283464567</v>
      </c>
      <c r="I18">
        <v>3521.8209887889266</v>
      </c>
    </row>
    <row r="19" spans="1:9" x14ac:dyDescent="0.3">
      <c r="A19" s="3" t="s">
        <v>279</v>
      </c>
      <c r="B19" s="1">
        <v>770.35199999999895</v>
      </c>
      <c r="C19" s="1">
        <v>2334.39</v>
      </c>
      <c r="D19" s="4">
        <f t="shared" si="0"/>
        <v>3451.6869750000001</v>
      </c>
      <c r="H19">
        <v>2940.4527559055114</v>
      </c>
      <c r="I19">
        <v>3118.235168550606</v>
      </c>
    </row>
    <row r="20" spans="1:9" x14ac:dyDescent="0.3">
      <c r="A20" s="3" t="s">
        <v>280</v>
      </c>
      <c r="B20" s="1">
        <v>746.15909090908997</v>
      </c>
      <c r="C20" s="1">
        <v>2261.0909090908999</v>
      </c>
      <c r="D20" s="4">
        <f t="shared" si="0"/>
        <v>3385.5345454545372</v>
      </c>
      <c r="H20">
        <v>4096.9488188976375</v>
      </c>
      <c r="I20">
        <v>4310.7336511363601</v>
      </c>
    </row>
    <row r="21" spans="1:9" x14ac:dyDescent="0.3">
      <c r="A21" s="3" t="s">
        <v>281</v>
      </c>
      <c r="B21" s="1">
        <v>860.99090909090899</v>
      </c>
      <c r="C21" s="1">
        <v>2609.0636363636299</v>
      </c>
      <c r="D21" s="4">
        <f t="shared" si="0"/>
        <v>3699.5799318181762</v>
      </c>
      <c r="H21">
        <v>3592.51968503937</v>
      </c>
      <c r="I21">
        <v>3075.5653466813933</v>
      </c>
    </row>
    <row r="22" spans="1:9" x14ac:dyDescent="0.3">
      <c r="A22" s="3" t="s">
        <v>282</v>
      </c>
      <c r="B22" s="1">
        <v>873.35222222222205</v>
      </c>
      <c r="C22" s="1">
        <v>2646.5222222222201</v>
      </c>
      <c r="D22" s="4">
        <f t="shared" si="0"/>
        <v>3733.3863055555535</v>
      </c>
      <c r="H22">
        <v>2362.2047244094488</v>
      </c>
      <c r="I22">
        <v>2437.9582041066892</v>
      </c>
    </row>
    <row r="23" spans="1:9" x14ac:dyDescent="0.3">
      <c r="A23" s="3" t="s">
        <v>283</v>
      </c>
      <c r="B23" s="1">
        <v>693.68799999999999</v>
      </c>
      <c r="C23" s="1">
        <v>2102.0799999999899</v>
      </c>
      <c r="D23" s="4">
        <f t="shared" si="0"/>
        <v>3242.0271999999909</v>
      </c>
      <c r="H23">
        <v>4773.6220472440946</v>
      </c>
      <c r="I23">
        <v>4219.9918911931782</v>
      </c>
    </row>
    <row r="24" spans="1:9" x14ac:dyDescent="0.3">
      <c r="A24" s="3" t="s">
        <v>284</v>
      </c>
      <c r="B24" s="1">
        <v>630.94727272727198</v>
      </c>
      <c r="C24" s="1">
        <v>1911.9709090909</v>
      </c>
      <c r="D24" s="4">
        <f t="shared" si="0"/>
        <v>3070.4537454545371</v>
      </c>
      <c r="H24">
        <v>4761.3188976377951</v>
      </c>
      <c r="I24">
        <v>4447.7459821338334</v>
      </c>
    </row>
    <row r="25" spans="1:9" x14ac:dyDescent="0.3">
      <c r="A25" s="3" t="s">
        <v>285</v>
      </c>
      <c r="B25" s="1">
        <v>837.75699999999904</v>
      </c>
      <c r="C25" s="1">
        <v>2538.65</v>
      </c>
      <c r="D25" s="4">
        <f t="shared" si="0"/>
        <v>3636.0316250000001</v>
      </c>
      <c r="H25">
        <v>3137.303149606299</v>
      </c>
      <c r="I25">
        <v>3071.3107406144723</v>
      </c>
    </row>
    <row r="26" spans="1:9" x14ac:dyDescent="0.3">
      <c r="A26" s="3" t="s">
        <v>286</v>
      </c>
      <c r="B26" s="1">
        <v>857.31299999999999</v>
      </c>
      <c r="C26" s="1">
        <v>2597.92</v>
      </c>
      <c r="D26" s="4">
        <f t="shared" si="0"/>
        <v>3689.5228000000002</v>
      </c>
      <c r="H26">
        <v>2620.570866141732</v>
      </c>
      <c r="I26">
        <v>2744.167712847217</v>
      </c>
    </row>
    <row r="27" spans="1:9" x14ac:dyDescent="0.3">
      <c r="A27" s="3" t="s">
        <v>287</v>
      </c>
      <c r="B27" s="1">
        <v>907.96545454545401</v>
      </c>
      <c r="C27" s="1">
        <v>2751.4272727272701</v>
      </c>
      <c r="D27" s="4">
        <f t="shared" si="0"/>
        <v>3828.0631136363613</v>
      </c>
      <c r="H27">
        <v>2915.8464566929133</v>
      </c>
      <c r="I27">
        <v>3369.8540582278092</v>
      </c>
    </row>
    <row r="28" spans="1:9" x14ac:dyDescent="0.3">
      <c r="A28" s="3" t="s">
        <v>288</v>
      </c>
      <c r="B28" s="1">
        <v>786.35636363636297</v>
      </c>
      <c r="C28" s="1">
        <v>2382.8909090909001</v>
      </c>
      <c r="D28" s="4">
        <f t="shared" si="0"/>
        <v>3495.4590454545373</v>
      </c>
      <c r="H28">
        <v>2989.6653543307089</v>
      </c>
      <c r="I28">
        <v>3253.6047366477219</v>
      </c>
    </row>
    <row r="29" spans="1:9" x14ac:dyDescent="0.3">
      <c r="A29" s="3" t="s">
        <v>289</v>
      </c>
      <c r="B29" s="1">
        <v>776.14699999999903</v>
      </c>
      <c r="C29" s="1">
        <v>2351.9699999999898</v>
      </c>
      <c r="D29" s="4">
        <f t="shared" si="0"/>
        <v>3467.5529249999909</v>
      </c>
      <c r="H29">
        <v>3801.6732283464571</v>
      </c>
      <c r="I29">
        <v>3839.5554825441868</v>
      </c>
    </row>
    <row r="30" spans="1:9" x14ac:dyDescent="0.3">
      <c r="A30" s="3" t="s">
        <v>290</v>
      </c>
      <c r="B30" s="1">
        <v>944.75400000000002</v>
      </c>
      <c r="C30" s="1">
        <v>2862.88</v>
      </c>
      <c r="D30" s="4">
        <f t="shared" si="0"/>
        <v>3928.6492000000003</v>
      </c>
      <c r="H30">
        <v>3051.1811023622049</v>
      </c>
      <c r="I30">
        <v>3473.6299174863179</v>
      </c>
    </row>
    <row r="31" spans="1:9" x14ac:dyDescent="0.3">
      <c r="A31" s="3" t="s">
        <v>291</v>
      </c>
      <c r="B31" s="1">
        <v>693.93363636363597</v>
      </c>
      <c r="C31" s="1">
        <v>2102.8272727272702</v>
      </c>
      <c r="D31" s="4">
        <f t="shared" si="0"/>
        <v>3242.7016136363613</v>
      </c>
      <c r="F31" s="1">
        <f>AVERAGE(D31:D54)</f>
        <v>2861.3096857712503</v>
      </c>
    </row>
    <row r="32" spans="1:9" x14ac:dyDescent="0.3">
      <c r="A32" s="3" t="s">
        <v>292</v>
      </c>
      <c r="B32" s="1">
        <v>622.28181818181804</v>
      </c>
      <c r="C32" s="1">
        <v>1885.70909090909</v>
      </c>
      <c r="D32" s="4">
        <f t="shared" si="0"/>
        <v>3046.7524545454535</v>
      </c>
    </row>
    <row r="33" spans="1:4" x14ac:dyDescent="0.3">
      <c r="A33" s="3" t="s">
        <v>293</v>
      </c>
      <c r="B33" s="1">
        <v>629.31818181818096</v>
      </c>
      <c r="C33" s="1">
        <v>1907.02727272727</v>
      </c>
      <c r="D33" s="4">
        <f t="shared" si="0"/>
        <v>3065.992113636361</v>
      </c>
    </row>
    <row r="34" spans="1:4" x14ac:dyDescent="0.3">
      <c r="A34" s="3" t="s">
        <v>294</v>
      </c>
      <c r="B34" s="1">
        <v>742.27499999999895</v>
      </c>
      <c r="C34" s="1">
        <v>2249.3299999999899</v>
      </c>
      <c r="D34" s="4">
        <f t="shared" si="0"/>
        <v>3374.920324999991</v>
      </c>
    </row>
    <row r="35" spans="1:4" x14ac:dyDescent="0.3">
      <c r="A35" s="3" t="s">
        <v>295</v>
      </c>
      <c r="B35" s="1">
        <v>556.83299999999895</v>
      </c>
      <c r="C35" s="1">
        <v>1687.3699999999899</v>
      </c>
      <c r="D35" s="4">
        <f t="shared" si="0"/>
        <v>2867.7514249999908</v>
      </c>
    </row>
    <row r="36" spans="1:4" x14ac:dyDescent="0.3">
      <c r="A36" s="3" t="s">
        <v>296</v>
      </c>
      <c r="B36" s="1">
        <v>474.85399999999902</v>
      </c>
      <c r="C36" s="1">
        <v>1438.96999999999</v>
      </c>
      <c r="D36" s="4">
        <f t="shared" si="0"/>
        <v>2643.5704249999908</v>
      </c>
    </row>
    <row r="37" spans="1:4" x14ac:dyDescent="0.3">
      <c r="A37" s="3" t="s">
        <v>297</v>
      </c>
      <c r="B37" s="1">
        <v>507.39199999999897</v>
      </c>
      <c r="C37" s="1">
        <v>1537.57</v>
      </c>
      <c r="D37" s="4">
        <f t="shared" si="0"/>
        <v>2732.5569249999999</v>
      </c>
    </row>
    <row r="38" spans="1:4" x14ac:dyDescent="0.3">
      <c r="A38" s="3" t="s">
        <v>298</v>
      </c>
      <c r="B38" s="1">
        <v>501.15888888888799</v>
      </c>
      <c r="C38" s="1">
        <v>1518.6666666666599</v>
      </c>
      <c r="D38" s="4">
        <f t="shared" si="0"/>
        <v>2715.4966666666605</v>
      </c>
    </row>
    <row r="39" spans="1:4" x14ac:dyDescent="0.3">
      <c r="A39" s="3" t="s">
        <v>299</v>
      </c>
      <c r="B39" s="1">
        <v>595.90499999999895</v>
      </c>
      <c r="C39" s="1">
        <v>1805.76</v>
      </c>
      <c r="D39" s="4">
        <f t="shared" si="0"/>
        <v>2974.5983999999999</v>
      </c>
    </row>
    <row r="40" spans="1:4" x14ac:dyDescent="0.3">
      <c r="A40" s="3" t="s">
        <v>300</v>
      </c>
      <c r="B40" s="1">
        <v>488.237272727272</v>
      </c>
      <c r="C40" s="1">
        <v>1479.50636363636</v>
      </c>
      <c r="D40" s="4">
        <f t="shared" si="0"/>
        <v>2680.1544931818153</v>
      </c>
    </row>
    <row r="41" spans="1:4" x14ac:dyDescent="0.3">
      <c r="A41" s="3" t="s">
        <v>301</v>
      </c>
      <c r="B41" s="1">
        <v>525.70499999999902</v>
      </c>
      <c r="C41" s="1">
        <v>1593.04999999999</v>
      </c>
      <c r="D41" s="4">
        <f t="shared" si="0"/>
        <v>2782.627624999991</v>
      </c>
    </row>
    <row r="42" spans="1:4" x14ac:dyDescent="0.3">
      <c r="A42" s="3" t="s">
        <v>302</v>
      </c>
      <c r="B42" s="1">
        <v>610.78200000000004</v>
      </c>
      <c r="C42" s="1">
        <v>1850.8610000000001</v>
      </c>
      <c r="D42" s="4">
        <f t="shared" si="0"/>
        <v>3015.3020525000002</v>
      </c>
    </row>
    <row r="43" spans="1:4" x14ac:dyDescent="0.3">
      <c r="A43" s="3" t="s">
        <v>303</v>
      </c>
      <c r="B43" s="1">
        <v>522.83000000000004</v>
      </c>
      <c r="C43" s="1">
        <v>1584.3363636363599</v>
      </c>
      <c r="D43" s="4">
        <f t="shared" si="0"/>
        <v>2774.7635681818147</v>
      </c>
    </row>
    <row r="44" spans="1:4" x14ac:dyDescent="0.3">
      <c r="A44" s="3" t="s">
        <v>304</v>
      </c>
      <c r="B44" s="1">
        <v>411.75272727272699</v>
      </c>
      <c r="C44" s="1">
        <v>1247.72363636363</v>
      </c>
      <c r="D44" s="4">
        <f t="shared" si="0"/>
        <v>2470.9705818181765</v>
      </c>
    </row>
    <row r="45" spans="1:4" x14ac:dyDescent="0.3">
      <c r="A45" s="3" t="s">
        <v>305</v>
      </c>
      <c r="B45" s="1">
        <v>518.39399999999898</v>
      </c>
      <c r="C45" s="1">
        <v>1570.88</v>
      </c>
      <c r="D45" s="4">
        <f t="shared" si="0"/>
        <v>2762.6192000000001</v>
      </c>
    </row>
    <row r="46" spans="1:4" x14ac:dyDescent="0.3">
      <c r="A46" s="3" t="s">
        <v>306</v>
      </c>
      <c r="B46" s="1">
        <v>533.67999999999995</v>
      </c>
      <c r="C46" s="1">
        <v>1617.21999999999</v>
      </c>
      <c r="D46" s="4">
        <f t="shared" si="0"/>
        <v>2804.4410499999913</v>
      </c>
    </row>
    <row r="47" spans="1:4" x14ac:dyDescent="0.3">
      <c r="A47" s="3" t="s">
        <v>307</v>
      </c>
      <c r="B47" s="1">
        <v>712.974999999999</v>
      </c>
      <c r="C47" s="1">
        <v>2160.5300000000002</v>
      </c>
      <c r="D47" s="4">
        <f t="shared" si="0"/>
        <v>3294.7783250000002</v>
      </c>
    </row>
    <row r="48" spans="1:4" x14ac:dyDescent="0.3">
      <c r="A48" s="3" t="s">
        <v>308</v>
      </c>
      <c r="B48" s="1">
        <v>549.08909090909003</v>
      </c>
      <c r="C48" s="1">
        <v>1663.8909090909001</v>
      </c>
      <c r="D48" s="4">
        <f t="shared" si="0"/>
        <v>2846.5615454545373</v>
      </c>
    </row>
    <row r="49" spans="1:6" x14ac:dyDescent="0.3">
      <c r="A49" s="3" t="s">
        <v>309</v>
      </c>
      <c r="B49" s="1">
        <v>591.90099999999995</v>
      </c>
      <c r="C49" s="1">
        <v>1793.64</v>
      </c>
      <c r="D49" s="4">
        <f t="shared" si="0"/>
        <v>2963.6601000000001</v>
      </c>
    </row>
    <row r="50" spans="1:6" x14ac:dyDescent="0.3">
      <c r="A50" s="3" t="s">
        <v>310</v>
      </c>
      <c r="B50" s="1">
        <v>523.23555555555504</v>
      </c>
      <c r="C50" s="1">
        <v>1585.55555555555</v>
      </c>
      <c r="D50" s="4">
        <f t="shared" si="0"/>
        <v>2775.8638888888836</v>
      </c>
    </row>
    <row r="51" spans="1:6" x14ac:dyDescent="0.3">
      <c r="A51" s="3" t="s">
        <v>311</v>
      </c>
      <c r="B51" s="1">
        <v>440.35099999999898</v>
      </c>
      <c r="C51" s="1">
        <v>1334.3920000000001</v>
      </c>
      <c r="D51" s="4">
        <f t="shared" si="0"/>
        <v>2549.1887800000004</v>
      </c>
    </row>
    <row r="52" spans="1:6" x14ac:dyDescent="0.3">
      <c r="A52" s="3" t="s">
        <v>312</v>
      </c>
      <c r="B52" s="1">
        <v>464.89600000000002</v>
      </c>
      <c r="C52" s="1">
        <v>1408.7829999999999</v>
      </c>
      <c r="D52" s="4">
        <f t="shared" si="0"/>
        <v>2616.3266574999998</v>
      </c>
    </row>
    <row r="53" spans="1:6" x14ac:dyDescent="0.3">
      <c r="A53" s="3" t="s">
        <v>313</v>
      </c>
      <c r="B53" s="1">
        <v>462.97</v>
      </c>
      <c r="C53" s="1">
        <v>1402.9469999999901</v>
      </c>
      <c r="D53" s="4">
        <f t="shared" si="0"/>
        <v>2611.0596674999911</v>
      </c>
    </row>
    <row r="54" spans="1:6" x14ac:dyDescent="0.3">
      <c r="A54" s="3" t="s">
        <v>314</v>
      </c>
      <c r="B54" s="1">
        <v>626.67700000000002</v>
      </c>
      <c r="C54" s="1">
        <v>1899.02999999999</v>
      </c>
      <c r="D54" s="4">
        <f t="shared" si="0"/>
        <v>3058.7745749999913</v>
      </c>
    </row>
    <row r="55" spans="1:6" x14ac:dyDescent="0.3">
      <c r="A55" s="3" t="s">
        <v>315</v>
      </c>
      <c r="B55" s="1">
        <v>419.56299999999902</v>
      </c>
      <c r="C55" s="1">
        <v>1271.3879999999899</v>
      </c>
      <c r="D55" s="4">
        <f t="shared" si="0"/>
        <v>2492.327669999991</v>
      </c>
      <c r="F55" s="1">
        <f>AVERAGE(D55:D78)</f>
        <v>2680.9368676209951</v>
      </c>
    </row>
    <row r="56" spans="1:6" x14ac:dyDescent="0.3">
      <c r="A56" s="3" t="s">
        <v>316</v>
      </c>
      <c r="B56" s="1">
        <v>513.73363636363604</v>
      </c>
      <c r="C56" s="1">
        <v>1556.75454545454</v>
      </c>
      <c r="D56" s="4">
        <f t="shared" si="0"/>
        <v>2749.8709772727225</v>
      </c>
    </row>
    <row r="57" spans="1:6" x14ac:dyDescent="0.3">
      <c r="A57" s="3" t="s">
        <v>317</v>
      </c>
      <c r="B57" s="1">
        <v>547.61500000000001</v>
      </c>
      <c r="C57" s="1">
        <v>1659.4299999999901</v>
      </c>
      <c r="D57" s="4">
        <f t="shared" si="0"/>
        <v>2842.5355749999908</v>
      </c>
    </row>
    <row r="58" spans="1:6" x14ac:dyDescent="0.3">
      <c r="A58" s="3" t="s">
        <v>318</v>
      </c>
      <c r="B58" s="1">
        <v>586.81111111111102</v>
      </c>
      <c r="C58" s="1">
        <v>1778.2333333333299</v>
      </c>
      <c r="D58" s="4">
        <f t="shared" si="0"/>
        <v>2949.7555833333304</v>
      </c>
    </row>
    <row r="59" spans="1:6" x14ac:dyDescent="0.3">
      <c r="A59" s="3" t="s">
        <v>319</v>
      </c>
      <c r="B59" s="1">
        <v>460.04818181818098</v>
      </c>
      <c r="C59" s="1">
        <v>1394.0845454545399</v>
      </c>
      <c r="D59" s="4">
        <f t="shared" si="0"/>
        <v>2603.0613022727221</v>
      </c>
    </row>
    <row r="60" spans="1:6" x14ac:dyDescent="0.3">
      <c r="A60" s="3" t="s">
        <v>320</v>
      </c>
      <c r="B60" s="1">
        <v>450.93099999999902</v>
      </c>
      <c r="C60" s="1">
        <v>1366.44399999999</v>
      </c>
      <c r="D60" s="4">
        <f t="shared" si="0"/>
        <v>2578.1157099999909</v>
      </c>
    </row>
    <row r="61" spans="1:6" x14ac:dyDescent="0.3">
      <c r="A61" s="3" t="s">
        <v>321</v>
      </c>
      <c r="B61" s="1">
        <v>416.10300000000001</v>
      </c>
      <c r="C61" s="1">
        <v>1260.9199999999901</v>
      </c>
      <c r="D61" s="4">
        <f t="shared" si="0"/>
        <v>2482.8802999999912</v>
      </c>
    </row>
    <row r="62" spans="1:6" x14ac:dyDescent="0.3">
      <c r="A62" s="3" t="s">
        <v>322</v>
      </c>
      <c r="B62" s="1">
        <v>472.89299999999901</v>
      </c>
      <c r="C62" s="1">
        <v>1433.01999999999</v>
      </c>
      <c r="D62" s="4">
        <f t="shared" si="0"/>
        <v>2638.2005499999909</v>
      </c>
    </row>
    <row r="63" spans="1:6" x14ac:dyDescent="0.3">
      <c r="A63" s="3" t="s">
        <v>323</v>
      </c>
      <c r="B63" s="1">
        <v>484.76400000000001</v>
      </c>
      <c r="C63" s="1">
        <v>1468.98</v>
      </c>
      <c r="D63" s="4">
        <f t="shared" si="0"/>
        <v>2670.65445</v>
      </c>
    </row>
    <row r="64" spans="1:6" x14ac:dyDescent="0.3">
      <c r="A64" s="3" t="s">
        <v>324</v>
      </c>
      <c r="B64" s="1">
        <v>453.11090909090899</v>
      </c>
      <c r="C64" s="1">
        <v>1373.0709090908999</v>
      </c>
      <c r="D64" s="4">
        <f t="shared" si="0"/>
        <v>2584.096495454537</v>
      </c>
    </row>
    <row r="65" spans="1:6" x14ac:dyDescent="0.3">
      <c r="A65" s="3" t="s">
        <v>325</v>
      </c>
      <c r="B65" s="1">
        <v>349.229999999999</v>
      </c>
      <c r="C65" s="1">
        <v>1058.2829999999899</v>
      </c>
      <c r="D65" s="4">
        <f t="shared" si="0"/>
        <v>2300.0004074999911</v>
      </c>
    </row>
    <row r="66" spans="1:6" x14ac:dyDescent="0.3">
      <c r="A66" s="3" t="s">
        <v>326</v>
      </c>
      <c r="B66" s="1">
        <v>408.57600000000002</v>
      </c>
      <c r="C66" s="1">
        <v>1238.097</v>
      </c>
      <c r="D66" s="4">
        <f t="shared" si="0"/>
        <v>2462.2825425000001</v>
      </c>
    </row>
    <row r="67" spans="1:6" x14ac:dyDescent="0.3">
      <c r="A67" s="3" t="s">
        <v>327</v>
      </c>
      <c r="B67" s="1">
        <v>542.03545454545394</v>
      </c>
      <c r="C67" s="1">
        <v>1642.53636363636</v>
      </c>
      <c r="D67" s="4">
        <f t="shared" si="0"/>
        <v>2827.2890681818149</v>
      </c>
    </row>
    <row r="68" spans="1:6" x14ac:dyDescent="0.3">
      <c r="A68" s="3" t="s">
        <v>328</v>
      </c>
      <c r="B68" s="1">
        <v>429.07799999999901</v>
      </c>
      <c r="C68" s="1">
        <v>1300.2329999999899</v>
      </c>
      <c r="D68" s="4">
        <f t="shared" si="0"/>
        <v>2518.3602824999907</v>
      </c>
    </row>
    <row r="69" spans="1:6" x14ac:dyDescent="0.3">
      <c r="A69" s="3" t="s">
        <v>329</v>
      </c>
      <c r="B69" s="1">
        <v>425.07100000000003</v>
      </c>
      <c r="C69" s="1">
        <v>1288.0729999999901</v>
      </c>
      <c r="D69" s="4">
        <f t="shared" si="0"/>
        <v>2507.3858824999911</v>
      </c>
    </row>
    <row r="70" spans="1:6" x14ac:dyDescent="0.3">
      <c r="A70" s="3" t="s">
        <v>330</v>
      </c>
      <c r="B70" s="1">
        <v>401.708888888888</v>
      </c>
      <c r="C70" s="1">
        <v>1217.28666666666</v>
      </c>
      <c r="D70" s="4">
        <f t="shared" si="0"/>
        <v>2443.5012166666606</v>
      </c>
    </row>
    <row r="71" spans="1:6" x14ac:dyDescent="0.3">
      <c r="A71" s="3" t="s">
        <v>331</v>
      </c>
      <c r="B71" s="1">
        <v>572.50900000000001</v>
      </c>
      <c r="C71" s="1">
        <v>1734.8699999999899</v>
      </c>
      <c r="D71" s="4">
        <f t="shared" si="0"/>
        <v>2910.6201749999909</v>
      </c>
    </row>
    <row r="72" spans="1:6" x14ac:dyDescent="0.3">
      <c r="A72" s="3" t="s">
        <v>332</v>
      </c>
      <c r="B72" s="1">
        <v>513.79999999999995</v>
      </c>
      <c r="C72" s="1">
        <v>1556.97454545454</v>
      </c>
      <c r="D72" s="4">
        <f t="shared" ref="D72:D135" si="1">0.9025*C72+1344.9</f>
        <v>2750.0695272727226</v>
      </c>
    </row>
    <row r="73" spans="1:6" x14ac:dyDescent="0.3">
      <c r="A73" s="3" t="s">
        <v>333</v>
      </c>
      <c r="B73" s="1">
        <v>506.064545454545</v>
      </c>
      <c r="C73" s="1">
        <v>1533.51636363636</v>
      </c>
      <c r="D73" s="4">
        <f t="shared" si="1"/>
        <v>2728.8985181818152</v>
      </c>
    </row>
    <row r="74" spans="1:6" x14ac:dyDescent="0.3">
      <c r="A74" s="3" t="s">
        <v>334</v>
      </c>
      <c r="B74" s="1">
        <v>401.06599999999901</v>
      </c>
      <c r="C74" s="1">
        <v>1215.35499999999</v>
      </c>
      <c r="D74" s="4">
        <f t="shared" si="1"/>
        <v>2441.7578874999908</v>
      </c>
    </row>
    <row r="75" spans="1:6" x14ac:dyDescent="0.3">
      <c r="A75" s="3" t="s">
        <v>335</v>
      </c>
      <c r="B75" s="1">
        <v>714.38545454545397</v>
      </c>
      <c r="C75" s="1">
        <v>2164.8090909090902</v>
      </c>
      <c r="D75" s="4">
        <f t="shared" si="1"/>
        <v>3298.6402045454538</v>
      </c>
    </row>
    <row r="76" spans="1:6" x14ac:dyDescent="0.3">
      <c r="A76" s="3" t="s">
        <v>336</v>
      </c>
      <c r="B76" s="1">
        <v>451.096</v>
      </c>
      <c r="C76" s="1">
        <v>1366.95999999999</v>
      </c>
      <c r="D76" s="4">
        <f t="shared" si="1"/>
        <v>2578.5813999999909</v>
      </c>
    </row>
    <row r="77" spans="1:6" x14ac:dyDescent="0.3">
      <c r="A77" s="3" t="s">
        <v>337</v>
      </c>
      <c r="B77" s="1">
        <v>654.575999999999</v>
      </c>
      <c r="C77" s="1">
        <v>1983.54999999999</v>
      </c>
      <c r="D77" s="4">
        <f t="shared" si="1"/>
        <v>3135.053874999991</v>
      </c>
    </row>
    <row r="78" spans="1:6" x14ac:dyDescent="0.3">
      <c r="A78" s="3" t="s">
        <v>338</v>
      </c>
      <c r="B78" s="1">
        <v>549.80777777777701</v>
      </c>
      <c r="C78" s="1">
        <v>1666.0888888888801</v>
      </c>
      <c r="D78" s="4">
        <f t="shared" si="1"/>
        <v>2848.5452222222143</v>
      </c>
    </row>
    <row r="79" spans="1:6" x14ac:dyDescent="0.3">
      <c r="A79" s="3" t="s">
        <v>339</v>
      </c>
      <c r="B79" s="1">
        <v>628.02199999999903</v>
      </c>
      <c r="C79" s="1">
        <v>1903.1</v>
      </c>
      <c r="D79" s="4">
        <f t="shared" si="1"/>
        <v>3062.4477500000003</v>
      </c>
      <c r="F79" s="1">
        <f>AVERAGE(D79:D102)</f>
        <v>3379.9174781355177</v>
      </c>
    </row>
    <row r="80" spans="1:6" x14ac:dyDescent="0.3">
      <c r="A80" s="3" t="s">
        <v>340</v>
      </c>
      <c r="B80" s="1">
        <v>573.59199999999896</v>
      </c>
      <c r="C80" s="1">
        <v>1738.16</v>
      </c>
      <c r="D80" s="4">
        <f t="shared" si="1"/>
        <v>2913.5893999999998</v>
      </c>
    </row>
    <row r="81" spans="1:4" x14ac:dyDescent="0.3">
      <c r="A81" s="3" t="s">
        <v>341</v>
      </c>
      <c r="B81" s="1">
        <v>754.04272727272701</v>
      </c>
      <c r="C81" s="1">
        <v>2284.97272727272</v>
      </c>
      <c r="D81" s="4">
        <f t="shared" si="1"/>
        <v>3407.0878863636299</v>
      </c>
    </row>
    <row r="82" spans="1:4" x14ac:dyDescent="0.3">
      <c r="A82" s="3" t="s">
        <v>342</v>
      </c>
      <c r="B82" s="1">
        <v>817.03700000000003</v>
      </c>
      <c r="C82" s="1">
        <v>2475.8599999999901</v>
      </c>
      <c r="D82" s="4">
        <f t="shared" si="1"/>
        <v>3579.3636499999911</v>
      </c>
    </row>
    <row r="83" spans="1:4" x14ac:dyDescent="0.3">
      <c r="A83" s="3" t="s">
        <v>343</v>
      </c>
      <c r="B83" s="1">
        <v>618.59818181818105</v>
      </c>
      <c r="C83" s="1">
        <v>1874.5536363636299</v>
      </c>
      <c r="D83" s="4">
        <f t="shared" si="1"/>
        <v>3036.6846568181763</v>
      </c>
    </row>
    <row r="84" spans="1:4" x14ac:dyDescent="0.3">
      <c r="A84" s="3" t="s">
        <v>344</v>
      </c>
      <c r="B84" s="1">
        <v>743.26900000000001</v>
      </c>
      <c r="C84" s="1">
        <v>2252.3299999999899</v>
      </c>
      <c r="D84" s="4">
        <f t="shared" si="1"/>
        <v>3377.6278249999909</v>
      </c>
    </row>
    <row r="85" spans="1:4" x14ac:dyDescent="0.3">
      <c r="A85" s="3" t="s">
        <v>345</v>
      </c>
      <c r="B85" s="1">
        <v>907.64699999999903</v>
      </c>
      <c r="C85" s="1">
        <v>2750.44</v>
      </c>
      <c r="D85" s="4">
        <f t="shared" si="1"/>
        <v>3827.1721000000002</v>
      </c>
    </row>
    <row r="86" spans="1:4" x14ac:dyDescent="0.3">
      <c r="A86" s="3" t="s">
        <v>346</v>
      </c>
      <c r="B86" s="1">
        <v>651.59666666666601</v>
      </c>
      <c r="C86" s="1">
        <v>1974.5222222222201</v>
      </c>
      <c r="D86" s="4">
        <f t="shared" si="1"/>
        <v>3126.9063055555534</v>
      </c>
    </row>
    <row r="87" spans="1:4" x14ac:dyDescent="0.3">
      <c r="A87" s="3" t="s">
        <v>347</v>
      </c>
      <c r="B87" s="1">
        <v>906.44299999999896</v>
      </c>
      <c r="C87" s="1">
        <v>2746.78999999999</v>
      </c>
      <c r="D87" s="4">
        <f t="shared" si="1"/>
        <v>3823.8779749999908</v>
      </c>
    </row>
    <row r="88" spans="1:4" x14ac:dyDescent="0.3">
      <c r="A88" s="3" t="s">
        <v>348</v>
      </c>
      <c r="B88" s="1">
        <v>1032.8618181818099</v>
      </c>
      <c r="C88" s="1">
        <v>3129.8727272727201</v>
      </c>
      <c r="D88" s="4">
        <f t="shared" si="1"/>
        <v>4169.6101363636299</v>
      </c>
    </row>
    <row r="89" spans="1:4" x14ac:dyDescent="0.3">
      <c r="A89" s="3" t="s">
        <v>349</v>
      </c>
      <c r="B89" s="1">
        <v>950.51700000000005</v>
      </c>
      <c r="C89" s="1">
        <v>2880.36</v>
      </c>
      <c r="D89" s="4">
        <f t="shared" si="1"/>
        <v>3944.4249</v>
      </c>
    </row>
    <row r="90" spans="1:4" x14ac:dyDescent="0.3">
      <c r="A90" s="3" t="s">
        <v>350</v>
      </c>
      <c r="B90" s="1">
        <v>753.08699999999897</v>
      </c>
      <c r="C90" s="1">
        <v>2282.09</v>
      </c>
      <c r="D90" s="4">
        <f t="shared" si="1"/>
        <v>3404.4862250000001</v>
      </c>
    </row>
    <row r="91" spans="1:4" x14ac:dyDescent="0.3">
      <c r="A91" s="3" t="s">
        <v>351</v>
      </c>
      <c r="B91" s="1">
        <v>685.59818181818105</v>
      </c>
      <c r="C91" s="1">
        <v>2077.5727272727199</v>
      </c>
      <c r="D91" s="4">
        <f t="shared" si="1"/>
        <v>3219.9093863636299</v>
      </c>
    </row>
    <row r="92" spans="1:4" x14ac:dyDescent="0.3">
      <c r="A92" s="3" t="s">
        <v>352</v>
      </c>
      <c r="B92" s="1">
        <v>771.50199999999995</v>
      </c>
      <c r="C92" s="1">
        <v>2337.88</v>
      </c>
      <c r="D92" s="4">
        <f t="shared" si="1"/>
        <v>3454.8367000000003</v>
      </c>
    </row>
    <row r="93" spans="1:4" x14ac:dyDescent="0.3">
      <c r="A93" s="3" t="s">
        <v>353</v>
      </c>
      <c r="B93" s="1">
        <v>709.07545454545402</v>
      </c>
      <c r="C93" s="1">
        <v>2148.7272727272698</v>
      </c>
      <c r="D93" s="4">
        <f t="shared" si="1"/>
        <v>3284.126363636361</v>
      </c>
    </row>
    <row r="94" spans="1:4" x14ac:dyDescent="0.3">
      <c r="A94" s="3" t="s">
        <v>354</v>
      </c>
      <c r="B94" s="1">
        <v>805.06199999999899</v>
      </c>
      <c r="C94" s="1">
        <v>2439.5899999999901</v>
      </c>
      <c r="D94" s="4">
        <f t="shared" si="1"/>
        <v>3546.6299749999912</v>
      </c>
    </row>
    <row r="95" spans="1:4" x14ac:dyDescent="0.3">
      <c r="A95" s="3" t="s">
        <v>355</v>
      </c>
      <c r="B95" s="1">
        <v>527.29999999999905</v>
      </c>
      <c r="C95" s="1">
        <v>1597.8699999999899</v>
      </c>
      <c r="D95" s="4">
        <f t="shared" si="1"/>
        <v>2786.977674999991</v>
      </c>
    </row>
    <row r="96" spans="1:4" x14ac:dyDescent="0.3">
      <c r="A96" s="3" t="s">
        <v>356</v>
      </c>
      <c r="B96" s="1">
        <v>645.673</v>
      </c>
      <c r="C96" s="1">
        <v>1956.59</v>
      </c>
      <c r="D96" s="4">
        <f t="shared" si="1"/>
        <v>3110.722475</v>
      </c>
    </row>
    <row r="97" spans="1:6" x14ac:dyDescent="0.3">
      <c r="A97" s="3" t="s">
        <v>357</v>
      </c>
      <c r="B97" s="1">
        <v>744.95199999999897</v>
      </c>
      <c r="C97" s="1">
        <v>2257.4399999999901</v>
      </c>
      <c r="D97" s="4">
        <f t="shared" si="1"/>
        <v>3382.2395999999908</v>
      </c>
    </row>
    <row r="98" spans="1:6" x14ac:dyDescent="0.3">
      <c r="A98" s="3" t="s">
        <v>358</v>
      </c>
      <c r="B98" s="1">
        <v>822.10777777777696</v>
      </c>
      <c r="C98" s="1">
        <v>2491.2333333333299</v>
      </c>
      <c r="D98" s="4">
        <f t="shared" si="1"/>
        <v>3593.2380833333305</v>
      </c>
    </row>
    <row r="99" spans="1:6" x14ac:dyDescent="0.3">
      <c r="A99" s="3" t="s">
        <v>359</v>
      </c>
      <c r="B99" s="1">
        <v>555.52090909090805</v>
      </c>
      <c r="C99" s="1">
        <v>1683.3936363636301</v>
      </c>
      <c r="D99" s="4">
        <f t="shared" si="1"/>
        <v>2864.1627568181761</v>
      </c>
    </row>
    <row r="100" spans="1:6" x14ac:dyDescent="0.3">
      <c r="A100" s="3" t="s">
        <v>360</v>
      </c>
      <c r="B100" s="1">
        <v>778.99363636363603</v>
      </c>
      <c r="C100" s="1">
        <v>2360.5999999999899</v>
      </c>
      <c r="D100" s="4">
        <f t="shared" si="1"/>
        <v>3475.3414999999909</v>
      </c>
    </row>
    <row r="101" spans="1:6" x14ac:dyDescent="0.3">
      <c r="A101" s="3" t="s">
        <v>361</v>
      </c>
      <c r="B101" s="1">
        <v>741.63999999999896</v>
      </c>
      <c r="C101" s="1">
        <v>2247.38</v>
      </c>
      <c r="D101" s="4">
        <f t="shared" si="1"/>
        <v>3373.1604500000003</v>
      </c>
    </row>
    <row r="102" spans="1:6" x14ac:dyDescent="0.3">
      <c r="A102" s="3" t="s">
        <v>362</v>
      </c>
      <c r="B102" s="1">
        <v>734.41099999999904</v>
      </c>
      <c r="C102" s="1">
        <v>2225.47999999999</v>
      </c>
      <c r="D102" s="4">
        <f t="shared" si="1"/>
        <v>3353.3956999999909</v>
      </c>
    </row>
    <row r="103" spans="1:6" x14ac:dyDescent="0.3">
      <c r="A103" s="3" t="s">
        <v>363</v>
      </c>
      <c r="B103" s="1">
        <v>549.74499999999898</v>
      </c>
      <c r="C103" s="1">
        <v>1665.9</v>
      </c>
      <c r="D103" s="4">
        <f t="shared" si="1"/>
        <v>2848.3747499999999</v>
      </c>
      <c r="F103" s="1">
        <f>AVERAGE(D103:D126)</f>
        <v>3378.8278628409048</v>
      </c>
    </row>
    <row r="104" spans="1:6" x14ac:dyDescent="0.3">
      <c r="A104" s="3" t="s">
        <v>364</v>
      </c>
      <c r="B104" s="1">
        <v>500.70454545454498</v>
      </c>
      <c r="C104" s="1">
        <v>1517.28454545454</v>
      </c>
      <c r="D104" s="4">
        <f t="shared" si="1"/>
        <v>2714.2493022727222</v>
      </c>
    </row>
    <row r="105" spans="1:6" x14ac:dyDescent="0.3">
      <c r="A105" s="3" t="s">
        <v>365</v>
      </c>
      <c r="B105" s="1">
        <v>574.67700000000002</v>
      </c>
      <c r="C105" s="1">
        <v>1741.441</v>
      </c>
      <c r="D105" s="4">
        <f t="shared" si="1"/>
        <v>2916.5505025000002</v>
      </c>
    </row>
    <row r="106" spans="1:6" x14ac:dyDescent="0.3">
      <c r="A106" s="3" t="s">
        <v>366</v>
      </c>
      <c r="B106" s="1">
        <v>490.527999999999</v>
      </c>
      <c r="C106" s="1">
        <v>1486.4549999999899</v>
      </c>
      <c r="D106" s="4">
        <f t="shared" si="1"/>
        <v>2686.4256374999909</v>
      </c>
    </row>
    <row r="107" spans="1:6" x14ac:dyDescent="0.3">
      <c r="A107" s="3" t="s">
        <v>367</v>
      </c>
      <c r="B107" s="1">
        <v>717.53818181818099</v>
      </c>
      <c r="C107" s="1">
        <v>2174.3636363636301</v>
      </c>
      <c r="D107" s="4">
        <f t="shared" si="1"/>
        <v>3307.2631818181762</v>
      </c>
    </row>
    <row r="108" spans="1:6" x14ac:dyDescent="0.3">
      <c r="A108" s="3" t="s">
        <v>368</v>
      </c>
      <c r="B108" s="1">
        <v>740.76099999999894</v>
      </c>
      <c r="C108" s="1">
        <v>2244.73</v>
      </c>
      <c r="D108" s="4">
        <f t="shared" si="1"/>
        <v>3370.7688250000001</v>
      </c>
    </row>
    <row r="109" spans="1:6" x14ac:dyDescent="0.3">
      <c r="A109" s="3" t="s">
        <v>369</v>
      </c>
      <c r="B109" s="1">
        <v>736.46363636363606</v>
      </c>
      <c r="C109" s="1">
        <v>2231.7090909090898</v>
      </c>
      <c r="D109" s="4">
        <f t="shared" si="1"/>
        <v>3359.0174545454538</v>
      </c>
    </row>
    <row r="110" spans="1:6" x14ac:dyDescent="0.3">
      <c r="A110" s="3" t="s">
        <v>370</v>
      </c>
      <c r="B110" s="1">
        <v>658.19799999999896</v>
      </c>
      <c r="C110" s="1">
        <v>1994.54</v>
      </c>
      <c r="D110" s="4">
        <f t="shared" si="1"/>
        <v>3144.97235</v>
      </c>
    </row>
    <row r="111" spans="1:6" x14ac:dyDescent="0.3">
      <c r="A111" s="3" t="s">
        <v>371</v>
      </c>
      <c r="B111" s="1">
        <v>831.79100000000005</v>
      </c>
      <c r="C111" s="1">
        <v>2520.5799999999899</v>
      </c>
      <c r="D111" s="4">
        <f t="shared" si="1"/>
        <v>3619.7234499999909</v>
      </c>
    </row>
    <row r="112" spans="1:6" x14ac:dyDescent="0.3">
      <c r="A112" s="3" t="s">
        <v>372</v>
      </c>
      <c r="B112" s="1">
        <v>852.46545454545401</v>
      </c>
      <c r="C112" s="1">
        <v>2583.2272727272698</v>
      </c>
      <c r="D112" s="4">
        <f t="shared" si="1"/>
        <v>3676.262613636361</v>
      </c>
    </row>
    <row r="113" spans="1:6" x14ac:dyDescent="0.3">
      <c r="A113" s="3" t="s">
        <v>373</v>
      </c>
      <c r="B113" s="1">
        <v>708.49</v>
      </c>
      <c r="C113" s="1">
        <v>2146.9299999999998</v>
      </c>
      <c r="D113" s="4">
        <f t="shared" si="1"/>
        <v>3282.5043249999999</v>
      </c>
    </row>
    <row r="114" spans="1:6" x14ac:dyDescent="0.3">
      <c r="A114" s="3" t="s">
        <v>374</v>
      </c>
      <c r="B114" s="1">
        <v>653.12636363636295</v>
      </c>
      <c r="C114" s="1">
        <v>1979.1545454545401</v>
      </c>
      <c r="D114" s="4">
        <f t="shared" si="1"/>
        <v>3131.0869772727224</v>
      </c>
    </row>
    <row r="115" spans="1:6" x14ac:dyDescent="0.3">
      <c r="A115" s="3" t="s">
        <v>375</v>
      </c>
      <c r="B115" s="1">
        <v>934.76599999999905</v>
      </c>
      <c r="C115" s="1">
        <v>2832.5999999999899</v>
      </c>
      <c r="D115" s="4">
        <f t="shared" si="1"/>
        <v>3901.3214999999909</v>
      </c>
    </row>
    <row r="116" spans="1:6" x14ac:dyDescent="0.3">
      <c r="A116" s="3" t="s">
        <v>376</v>
      </c>
      <c r="B116" s="1">
        <v>817.47727272727195</v>
      </c>
      <c r="C116" s="1">
        <v>2477.2090909090898</v>
      </c>
      <c r="D116" s="4">
        <f t="shared" si="1"/>
        <v>3580.5812045454536</v>
      </c>
    </row>
    <row r="117" spans="1:6" x14ac:dyDescent="0.3">
      <c r="A117" s="3" t="s">
        <v>377</v>
      </c>
      <c r="B117" s="1">
        <v>700.06454545454505</v>
      </c>
      <c r="C117" s="1">
        <v>2121.4090909090901</v>
      </c>
      <c r="D117" s="4">
        <f t="shared" si="1"/>
        <v>3259.4717045454536</v>
      </c>
    </row>
    <row r="118" spans="1:6" x14ac:dyDescent="0.3">
      <c r="A118" s="3" t="s">
        <v>378</v>
      </c>
      <c r="B118" s="1">
        <v>661.35099999999898</v>
      </c>
      <c r="C118" s="1">
        <v>2004.09</v>
      </c>
      <c r="D118" s="4">
        <f t="shared" si="1"/>
        <v>3153.5912250000001</v>
      </c>
    </row>
    <row r="119" spans="1:6" x14ac:dyDescent="0.3">
      <c r="A119" s="3" t="s">
        <v>379</v>
      </c>
      <c r="B119" s="1">
        <v>959.38818181818101</v>
      </c>
      <c r="C119" s="1">
        <v>2907.2545454545402</v>
      </c>
      <c r="D119" s="4">
        <f t="shared" si="1"/>
        <v>3968.6972272727226</v>
      </c>
    </row>
    <row r="120" spans="1:6" x14ac:dyDescent="0.3">
      <c r="A120" s="3" t="s">
        <v>380</v>
      </c>
      <c r="B120" s="1">
        <v>860.22500000000002</v>
      </c>
      <c r="C120" s="1">
        <v>2606.74999999999</v>
      </c>
      <c r="D120" s="4">
        <f t="shared" si="1"/>
        <v>3697.4918749999911</v>
      </c>
    </row>
    <row r="121" spans="1:6" x14ac:dyDescent="0.3">
      <c r="A121" s="3" t="s">
        <v>381</v>
      </c>
      <c r="B121" s="1">
        <v>824.70363636363595</v>
      </c>
      <c r="C121" s="1">
        <v>2499.0909090908999</v>
      </c>
      <c r="D121" s="4">
        <f t="shared" si="1"/>
        <v>3600.3295454545373</v>
      </c>
    </row>
    <row r="122" spans="1:6" x14ac:dyDescent="0.3">
      <c r="A122" s="3" t="s">
        <v>382</v>
      </c>
      <c r="B122" s="1">
        <v>750.77800000000002</v>
      </c>
      <c r="C122" s="1">
        <v>2275.1099999999901</v>
      </c>
      <c r="D122" s="4">
        <f t="shared" si="1"/>
        <v>3398.186774999991</v>
      </c>
    </row>
    <row r="123" spans="1:6" x14ac:dyDescent="0.3">
      <c r="A123" s="3" t="s">
        <v>383</v>
      </c>
      <c r="B123" s="1">
        <v>778.85</v>
      </c>
      <c r="C123" s="1">
        <v>2360.1599999999899</v>
      </c>
      <c r="D123" s="4">
        <f t="shared" si="1"/>
        <v>3474.9443999999908</v>
      </c>
    </row>
    <row r="124" spans="1:6" x14ac:dyDescent="0.3">
      <c r="A124" s="3" t="s">
        <v>384</v>
      </c>
      <c r="B124" s="1">
        <v>710.19090909090903</v>
      </c>
      <c r="C124" s="1">
        <v>2152.0909090908999</v>
      </c>
      <c r="D124" s="4">
        <f t="shared" si="1"/>
        <v>3287.1620454545373</v>
      </c>
    </row>
    <row r="125" spans="1:6" x14ac:dyDescent="0.3">
      <c r="A125" s="3" t="s">
        <v>385</v>
      </c>
      <c r="B125" s="1">
        <v>997.745</v>
      </c>
      <c r="C125" s="1">
        <v>3023.48</v>
      </c>
      <c r="D125" s="4">
        <f t="shared" si="1"/>
        <v>4073.5907000000002</v>
      </c>
    </row>
    <row r="126" spans="1:6" x14ac:dyDescent="0.3">
      <c r="A126" s="3" t="s">
        <v>386</v>
      </c>
      <c r="B126" s="1">
        <v>838.946363636363</v>
      </c>
      <c r="C126" s="1">
        <v>2542.2727272727202</v>
      </c>
      <c r="D126" s="4">
        <f t="shared" si="1"/>
        <v>3639.3011363636301</v>
      </c>
    </row>
    <row r="127" spans="1:6" x14ac:dyDescent="0.3">
      <c r="A127" s="3" t="s">
        <v>387</v>
      </c>
      <c r="B127" s="1">
        <v>1074.7519999999899</v>
      </c>
      <c r="C127" s="1">
        <v>3256.8099999999899</v>
      </c>
      <c r="D127" s="4">
        <f t="shared" si="1"/>
        <v>4284.1710249999905</v>
      </c>
      <c r="F127" s="1">
        <f>AVERAGE(D127:D150)</f>
        <v>3978.4595355871156</v>
      </c>
    </row>
    <row r="128" spans="1:6" x14ac:dyDescent="0.3">
      <c r="A128" s="3" t="s">
        <v>388</v>
      </c>
      <c r="B128" s="1">
        <v>1079.6281818181801</v>
      </c>
      <c r="C128" s="1">
        <v>3271.5818181818099</v>
      </c>
      <c r="D128" s="4">
        <f t="shared" si="1"/>
        <v>4297.5025909090837</v>
      </c>
    </row>
    <row r="129" spans="1:4" x14ac:dyDescent="0.3">
      <c r="A129" s="3" t="s">
        <v>389</v>
      </c>
      <c r="B129" s="1">
        <v>982.75900000000001</v>
      </c>
      <c r="C129" s="1">
        <v>2978.0499999999902</v>
      </c>
      <c r="D129" s="4">
        <f t="shared" si="1"/>
        <v>4032.5901249999911</v>
      </c>
    </row>
    <row r="130" spans="1:4" x14ac:dyDescent="0.3">
      <c r="A130" s="3" t="s">
        <v>390</v>
      </c>
      <c r="B130" s="1">
        <v>678.13400000000001</v>
      </c>
      <c r="C130" s="1">
        <v>2054.9479999999899</v>
      </c>
      <c r="D130" s="4">
        <f t="shared" si="1"/>
        <v>3199.4905699999908</v>
      </c>
    </row>
    <row r="131" spans="1:4" x14ac:dyDescent="0.3">
      <c r="A131" s="3" t="s">
        <v>391</v>
      </c>
      <c r="B131" s="1">
        <v>985.02909090908997</v>
      </c>
      <c r="C131" s="1">
        <v>2984.97272727272</v>
      </c>
      <c r="D131" s="4">
        <f t="shared" si="1"/>
        <v>4038.8378863636299</v>
      </c>
    </row>
    <row r="132" spans="1:4" x14ac:dyDescent="0.3">
      <c r="A132" s="3" t="s">
        <v>392</v>
      </c>
      <c r="B132" s="1">
        <v>937.24636363636296</v>
      </c>
      <c r="C132" s="1">
        <v>2840.1090909090899</v>
      </c>
      <c r="D132" s="4">
        <f t="shared" si="1"/>
        <v>3908.0984545454535</v>
      </c>
    </row>
    <row r="133" spans="1:4" x14ac:dyDescent="0.3">
      <c r="A133" s="3" t="s">
        <v>393</v>
      </c>
      <c r="B133" s="1">
        <v>1106.222</v>
      </c>
      <c r="C133" s="1">
        <v>3352.26</v>
      </c>
      <c r="D133" s="4">
        <f t="shared" si="1"/>
        <v>4370.3146500000003</v>
      </c>
    </row>
    <row r="134" spans="1:4" x14ac:dyDescent="0.3">
      <c r="A134" s="3" t="s">
        <v>394</v>
      </c>
      <c r="B134" s="1">
        <v>793.26181818181794</v>
      </c>
      <c r="C134" s="1">
        <v>2403.8454545454501</v>
      </c>
      <c r="D134" s="4">
        <f t="shared" si="1"/>
        <v>3514.370522727269</v>
      </c>
    </row>
    <row r="135" spans="1:4" x14ac:dyDescent="0.3">
      <c r="A135" s="3" t="s">
        <v>395</v>
      </c>
      <c r="B135" s="1">
        <v>1020.427</v>
      </c>
      <c r="C135" s="1">
        <v>3092.21</v>
      </c>
      <c r="D135" s="4">
        <f t="shared" si="1"/>
        <v>4135.6195250000001</v>
      </c>
    </row>
    <row r="136" spans="1:4" x14ac:dyDescent="0.3">
      <c r="A136" s="3" t="s">
        <v>396</v>
      </c>
      <c r="B136" s="1">
        <v>1015.7039999999899</v>
      </c>
      <c r="C136" s="1">
        <v>3077.9099999999899</v>
      </c>
      <c r="D136" s="4">
        <f t="shared" ref="D136:D199" si="2">0.9025*C136+1344.9</f>
        <v>4122.7137749999911</v>
      </c>
    </row>
    <row r="137" spans="1:4" x14ac:dyDescent="0.3">
      <c r="A137" s="3" t="s">
        <v>397</v>
      </c>
      <c r="B137" s="1">
        <v>1092.94</v>
      </c>
      <c r="C137" s="1">
        <v>3311.93</v>
      </c>
      <c r="D137" s="4">
        <f t="shared" si="2"/>
        <v>4333.9168250000002</v>
      </c>
    </row>
    <row r="138" spans="1:4" x14ac:dyDescent="0.3">
      <c r="A138" s="3" t="s">
        <v>398</v>
      </c>
      <c r="B138" s="1">
        <v>817.38999999999896</v>
      </c>
      <c r="C138" s="1">
        <v>2476.9099999999899</v>
      </c>
      <c r="D138" s="4">
        <f t="shared" si="2"/>
        <v>3580.3112749999909</v>
      </c>
    </row>
    <row r="139" spans="1:4" x14ac:dyDescent="0.3">
      <c r="A139" s="3" t="s">
        <v>399</v>
      </c>
      <c r="B139" s="1">
        <v>1023.0581818181799</v>
      </c>
      <c r="C139" s="1">
        <v>3100.1818181818098</v>
      </c>
      <c r="D139" s="4">
        <f t="shared" si="2"/>
        <v>4142.8140909090835</v>
      </c>
    </row>
    <row r="140" spans="1:4" x14ac:dyDescent="0.3">
      <c r="A140" s="3" t="s">
        <v>400</v>
      </c>
      <c r="B140" s="1">
        <v>1063.2670000000001</v>
      </c>
      <c r="C140" s="1">
        <v>3222.06</v>
      </c>
      <c r="D140" s="4">
        <f t="shared" si="2"/>
        <v>4252.80915</v>
      </c>
    </row>
    <row r="141" spans="1:4" x14ac:dyDescent="0.3">
      <c r="A141" s="3" t="s">
        <v>401</v>
      </c>
      <c r="B141" s="1">
        <v>1090.96099999999</v>
      </c>
      <c r="C141" s="1">
        <v>3305.94</v>
      </c>
      <c r="D141" s="4">
        <f t="shared" si="2"/>
        <v>4328.5108500000006</v>
      </c>
    </row>
    <row r="142" spans="1:4" x14ac:dyDescent="0.3">
      <c r="A142" s="3" t="s">
        <v>402</v>
      </c>
      <c r="B142" s="1">
        <v>916.20899999999904</v>
      </c>
      <c r="C142" s="1">
        <v>2776.3699999999899</v>
      </c>
      <c r="D142" s="4">
        <f t="shared" si="2"/>
        <v>3850.573924999991</v>
      </c>
    </row>
    <row r="143" spans="1:4" x14ac:dyDescent="0.3">
      <c r="A143" s="3" t="s">
        <v>403</v>
      </c>
      <c r="B143" s="1">
        <v>1123.856</v>
      </c>
      <c r="C143" s="1">
        <v>3405.6099999999901</v>
      </c>
      <c r="D143" s="4">
        <f t="shared" si="2"/>
        <v>4418.4630249999909</v>
      </c>
    </row>
    <row r="144" spans="1:4" x14ac:dyDescent="0.3">
      <c r="A144" s="3" t="s">
        <v>404</v>
      </c>
      <c r="B144" s="1">
        <v>954.39454545454498</v>
      </c>
      <c r="C144" s="1">
        <v>2892.1090909090899</v>
      </c>
      <c r="D144" s="4">
        <f t="shared" si="2"/>
        <v>3955.0284545454538</v>
      </c>
    </row>
    <row r="145" spans="1:6" x14ac:dyDescent="0.3">
      <c r="A145" s="3" t="s">
        <v>405</v>
      </c>
      <c r="B145" s="1">
        <v>1099.749</v>
      </c>
      <c r="C145" s="1">
        <v>3332.56</v>
      </c>
      <c r="D145" s="4">
        <f t="shared" si="2"/>
        <v>4352.5353999999998</v>
      </c>
    </row>
    <row r="146" spans="1:6" x14ac:dyDescent="0.3">
      <c r="A146" s="3" t="s">
        <v>406</v>
      </c>
      <c r="B146" s="1">
        <v>1007.49818181818</v>
      </c>
      <c r="C146" s="1">
        <v>3053</v>
      </c>
      <c r="D146" s="4">
        <f t="shared" si="2"/>
        <v>4100.2325000000001</v>
      </c>
    </row>
    <row r="147" spans="1:6" x14ac:dyDescent="0.3">
      <c r="A147" s="3" t="s">
        <v>407</v>
      </c>
      <c r="B147" s="1">
        <v>706.93545454545404</v>
      </c>
      <c r="C147" s="1">
        <v>2142.2181818181798</v>
      </c>
      <c r="D147" s="4">
        <f t="shared" si="2"/>
        <v>3278.2519090909072</v>
      </c>
    </row>
    <row r="148" spans="1:6" x14ac:dyDescent="0.3">
      <c r="A148" s="3" t="s">
        <v>408</v>
      </c>
      <c r="B148" s="1">
        <v>679.40599999999904</v>
      </c>
      <c r="C148" s="1">
        <v>2058.81</v>
      </c>
      <c r="D148" s="4">
        <f t="shared" si="2"/>
        <v>3202.9760249999999</v>
      </c>
    </row>
    <row r="149" spans="1:6" x14ac:dyDescent="0.3">
      <c r="A149" s="3" t="s">
        <v>409</v>
      </c>
      <c r="B149" s="1">
        <v>854.86799999999903</v>
      </c>
      <c r="C149" s="1">
        <v>2590.4899999999898</v>
      </c>
      <c r="D149" s="4">
        <f t="shared" si="2"/>
        <v>3682.8172249999907</v>
      </c>
    </row>
    <row r="150" spans="1:6" x14ac:dyDescent="0.3">
      <c r="A150" s="3" t="s">
        <v>410</v>
      </c>
      <c r="B150" s="1">
        <v>1007.4349999999901</v>
      </c>
      <c r="C150" s="1">
        <v>3052.8299999999899</v>
      </c>
      <c r="D150" s="4">
        <f t="shared" si="2"/>
        <v>4100.0790749999906</v>
      </c>
    </row>
    <row r="151" spans="1:6" x14ac:dyDescent="0.3">
      <c r="A151" s="3" t="s">
        <v>411</v>
      </c>
      <c r="B151" s="1">
        <v>713.39272727272703</v>
      </c>
      <c r="C151" s="1">
        <v>2161.7818181818102</v>
      </c>
      <c r="D151" s="4">
        <f t="shared" si="2"/>
        <v>3295.9080909090835</v>
      </c>
      <c r="F151" s="1">
        <f>AVERAGE(D151:D174)</f>
        <v>3056.6623626325722</v>
      </c>
    </row>
    <row r="152" spans="1:6" x14ac:dyDescent="0.3">
      <c r="A152" s="3" t="s">
        <v>412</v>
      </c>
      <c r="B152" s="1">
        <v>827.99699999999905</v>
      </c>
      <c r="C152" s="1">
        <v>2509.0799999999899</v>
      </c>
      <c r="D152" s="4">
        <f t="shared" si="2"/>
        <v>3609.344699999991</v>
      </c>
    </row>
    <row r="153" spans="1:6" x14ac:dyDescent="0.3">
      <c r="A153" s="3" t="s">
        <v>413</v>
      </c>
      <c r="B153" s="1">
        <v>695.59599999999898</v>
      </c>
      <c r="C153" s="1">
        <v>2107.86</v>
      </c>
      <c r="D153" s="4">
        <f t="shared" si="2"/>
        <v>3247.2436500000003</v>
      </c>
    </row>
    <row r="154" spans="1:6" x14ac:dyDescent="0.3">
      <c r="A154" s="3" t="s">
        <v>414</v>
      </c>
      <c r="B154" s="1">
        <v>635.39700000000005</v>
      </c>
      <c r="C154" s="1">
        <v>1925.45</v>
      </c>
      <c r="D154" s="4">
        <f t="shared" si="2"/>
        <v>3082.6186250000001</v>
      </c>
    </row>
    <row r="155" spans="1:6" x14ac:dyDescent="0.3">
      <c r="A155" s="3" t="s">
        <v>415</v>
      </c>
      <c r="B155" s="1">
        <v>806.56700000000001</v>
      </c>
      <c r="C155" s="1">
        <v>2444.1199999999899</v>
      </c>
      <c r="D155" s="4">
        <f t="shared" si="2"/>
        <v>3550.7182999999909</v>
      </c>
    </row>
    <row r="156" spans="1:6" x14ac:dyDescent="0.3">
      <c r="A156" s="3" t="s">
        <v>416</v>
      </c>
      <c r="B156" s="1">
        <v>757.67363636363598</v>
      </c>
      <c r="C156" s="1">
        <v>2295.96363636363</v>
      </c>
      <c r="D156" s="4">
        <f t="shared" si="2"/>
        <v>3417.0071818181759</v>
      </c>
    </row>
    <row r="157" spans="1:6" x14ac:dyDescent="0.3">
      <c r="A157" s="3" t="s">
        <v>417</v>
      </c>
      <c r="B157" s="1">
        <v>657.46</v>
      </c>
      <c r="C157" s="1">
        <v>1992.3</v>
      </c>
      <c r="D157" s="4">
        <f t="shared" si="2"/>
        <v>3142.95075</v>
      </c>
    </row>
    <row r="158" spans="1:6" x14ac:dyDescent="0.3">
      <c r="A158" s="3" t="s">
        <v>418</v>
      </c>
      <c r="B158" s="1">
        <v>538.89499999999896</v>
      </c>
      <c r="C158" s="1">
        <v>1633.00999999999</v>
      </c>
      <c r="D158" s="4">
        <f t="shared" si="2"/>
        <v>2818.6915249999911</v>
      </c>
    </row>
    <row r="159" spans="1:6" x14ac:dyDescent="0.3">
      <c r="A159" s="3" t="s">
        <v>419</v>
      </c>
      <c r="B159" s="1">
        <v>750.13699999999903</v>
      </c>
      <c r="C159" s="1">
        <v>2273.1399999999899</v>
      </c>
      <c r="D159" s="4">
        <f t="shared" si="2"/>
        <v>3396.4088499999907</v>
      </c>
    </row>
    <row r="160" spans="1:6" x14ac:dyDescent="0.3">
      <c r="A160" s="3" t="s">
        <v>420</v>
      </c>
      <c r="B160" s="1">
        <v>758.64400000000001</v>
      </c>
      <c r="C160" s="1">
        <v>2298.92</v>
      </c>
      <c r="D160" s="4">
        <f t="shared" si="2"/>
        <v>3419.6752999999999</v>
      </c>
    </row>
    <row r="161" spans="1:6" x14ac:dyDescent="0.3">
      <c r="A161" s="3" t="s">
        <v>421</v>
      </c>
      <c r="B161" s="1">
        <v>564.91300000000001</v>
      </c>
      <c r="C161" s="1">
        <v>1711.8599999999899</v>
      </c>
      <c r="D161" s="4">
        <f t="shared" si="2"/>
        <v>2889.8536499999909</v>
      </c>
    </row>
    <row r="162" spans="1:6" x14ac:dyDescent="0.3">
      <c r="A162" s="3" t="s">
        <v>422</v>
      </c>
      <c r="B162" s="1">
        <v>475.58</v>
      </c>
      <c r="C162" s="1">
        <v>1441.1599999999901</v>
      </c>
      <c r="D162" s="4">
        <f t="shared" si="2"/>
        <v>2645.5468999999912</v>
      </c>
    </row>
    <row r="163" spans="1:6" x14ac:dyDescent="0.3">
      <c r="A163" s="3" t="s">
        <v>423</v>
      </c>
      <c r="B163" s="1">
        <v>497.43999999999897</v>
      </c>
      <c r="C163" s="1">
        <v>1507.3945454545401</v>
      </c>
      <c r="D163" s="4">
        <f t="shared" si="2"/>
        <v>2705.3235772727226</v>
      </c>
    </row>
    <row r="164" spans="1:6" x14ac:dyDescent="0.3">
      <c r="A164" s="3" t="s">
        <v>424</v>
      </c>
      <c r="B164" s="1">
        <v>732.29454545454496</v>
      </c>
      <c r="C164" s="1">
        <v>2219.0545454545399</v>
      </c>
      <c r="D164" s="4">
        <f t="shared" si="2"/>
        <v>3347.5967272727221</v>
      </c>
    </row>
    <row r="165" spans="1:6" x14ac:dyDescent="0.3">
      <c r="A165" s="3" t="s">
        <v>425</v>
      </c>
      <c r="B165" s="1">
        <v>525.54999999999995</v>
      </c>
      <c r="C165" s="1">
        <v>1592.58</v>
      </c>
      <c r="D165" s="4">
        <f t="shared" si="2"/>
        <v>2782.20345</v>
      </c>
    </row>
    <row r="166" spans="1:6" x14ac:dyDescent="0.3">
      <c r="A166" s="3" t="s">
        <v>426</v>
      </c>
      <c r="B166" s="1">
        <v>421.24700000000001</v>
      </c>
      <c r="C166" s="1">
        <v>1276.5059999999901</v>
      </c>
      <c r="D166" s="4">
        <f t="shared" si="2"/>
        <v>2496.9466649999913</v>
      </c>
    </row>
    <row r="167" spans="1:6" x14ac:dyDescent="0.3">
      <c r="A167" s="3" t="s">
        <v>427</v>
      </c>
      <c r="B167" s="1">
        <v>638.04899999999895</v>
      </c>
      <c r="C167" s="1">
        <v>1933.48</v>
      </c>
      <c r="D167" s="4">
        <f t="shared" si="2"/>
        <v>3089.8657000000003</v>
      </c>
    </row>
    <row r="168" spans="1:6" x14ac:dyDescent="0.3">
      <c r="A168" s="3" t="s">
        <v>428</v>
      </c>
      <c r="B168" s="1">
        <v>510.99599999999901</v>
      </c>
      <c r="C168" s="1">
        <v>1548.4670000000001</v>
      </c>
      <c r="D168" s="4">
        <f t="shared" si="2"/>
        <v>2742.3914675000001</v>
      </c>
    </row>
    <row r="169" spans="1:6" x14ac:dyDescent="0.3">
      <c r="A169" s="3" t="s">
        <v>429</v>
      </c>
      <c r="B169" s="1">
        <v>686.57500000000005</v>
      </c>
      <c r="C169" s="1">
        <v>2080.53999999999</v>
      </c>
      <c r="D169" s="4">
        <f t="shared" si="2"/>
        <v>3222.5873499999907</v>
      </c>
    </row>
    <row r="170" spans="1:6" x14ac:dyDescent="0.3">
      <c r="A170" s="3" t="s">
        <v>430</v>
      </c>
      <c r="B170" s="1">
        <v>368.49699999999899</v>
      </c>
      <c r="C170" s="1">
        <v>1116.6610000000001</v>
      </c>
      <c r="D170" s="4">
        <f t="shared" si="2"/>
        <v>2352.6865525000003</v>
      </c>
    </row>
    <row r="171" spans="1:6" x14ac:dyDescent="0.3">
      <c r="A171" s="3" t="s">
        <v>431</v>
      </c>
      <c r="B171" s="1">
        <v>731.43499999999904</v>
      </c>
      <c r="C171" s="1">
        <v>2216.49999999999</v>
      </c>
      <c r="D171" s="4">
        <f t="shared" si="2"/>
        <v>3345.2912499999911</v>
      </c>
    </row>
    <row r="172" spans="1:6" x14ac:dyDescent="0.3">
      <c r="A172" s="3" t="s">
        <v>432</v>
      </c>
      <c r="B172" s="1">
        <v>628.422727272727</v>
      </c>
      <c r="C172" s="1">
        <v>1904.3181818181799</v>
      </c>
      <c r="D172" s="4">
        <f t="shared" si="2"/>
        <v>3063.5471590909074</v>
      </c>
    </row>
    <row r="173" spans="1:6" x14ac:dyDescent="0.3">
      <c r="A173" s="3" t="s">
        <v>433</v>
      </c>
      <c r="B173" s="1">
        <v>642.45500000000004</v>
      </c>
      <c r="C173" s="1">
        <v>1946.84</v>
      </c>
      <c r="D173" s="4">
        <f t="shared" si="2"/>
        <v>3101.9231</v>
      </c>
    </row>
    <row r="174" spans="1:6" x14ac:dyDescent="0.3">
      <c r="A174" s="3" t="s">
        <v>434</v>
      </c>
      <c r="B174" s="1">
        <v>456.57363636363601</v>
      </c>
      <c r="C174" s="1">
        <v>1383.5636363636299</v>
      </c>
      <c r="D174" s="4">
        <f t="shared" si="2"/>
        <v>2593.5661818181761</v>
      </c>
    </row>
    <row r="175" spans="1:6" x14ac:dyDescent="0.3">
      <c r="A175" s="3" t="s">
        <v>435</v>
      </c>
      <c r="B175" s="1">
        <v>844.40300000000002</v>
      </c>
      <c r="C175" s="1">
        <v>2558.8000000000002</v>
      </c>
      <c r="D175" s="4">
        <f t="shared" si="2"/>
        <v>3654.2170000000001</v>
      </c>
      <c r="F175" s="1">
        <f>AVERAGE(D175:D198)</f>
        <v>3610.9796266098451</v>
      </c>
    </row>
    <row r="176" spans="1:6" x14ac:dyDescent="0.3">
      <c r="A176" s="3" t="s">
        <v>436</v>
      </c>
      <c r="B176" s="1">
        <v>843.66099999999904</v>
      </c>
      <c r="C176" s="1">
        <v>2556.5799999999899</v>
      </c>
      <c r="D176" s="4">
        <f t="shared" si="2"/>
        <v>3652.2134499999911</v>
      </c>
    </row>
    <row r="177" spans="1:4" x14ac:dyDescent="0.3">
      <c r="A177" s="3" t="s">
        <v>437</v>
      </c>
      <c r="B177" s="1">
        <v>951.68100000000004</v>
      </c>
      <c r="C177" s="1">
        <v>2883.86</v>
      </c>
      <c r="D177" s="4">
        <f t="shared" si="2"/>
        <v>3947.58365</v>
      </c>
    </row>
    <row r="178" spans="1:4" x14ac:dyDescent="0.3">
      <c r="A178" s="3" t="s">
        <v>438</v>
      </c>
      <c r="B178" s="1">
        <v>812.21199999999999</v>
      </c>
      <c r="C178" s="1">
        <v>2461.25</v>
      </c>
      <c r="D178" s="4">
        <f t="shared" si="2"/>
        <v>3566.1781249999999</v>
      </c>
    </row>
    <row r="179" spans="1:4" x14ac:dyDescent="0.3">
      <c r="A179" s="3" t="s">
        <v>439</v>
      </c>
      <c r="B179" s="1">
        <v>921.38454545454499</v>
      </c>
      <c r="C179" s="1">
        <v>2792.0727272727199</v>
      </c>
      <c r="D179" s="4">
        <f t="shared" si="2"/>
        <v>3864.7456363636297</v>
      </c>
    </row>
    <row r="180" spans="1:4" x14ac:dyDescent="0.3">
      <c r="A180" s="3" t="s">
        <v>440</v>
      </c>
      <c r="B180" s="1">
        <v>906.273636363636</v>
      </c>
      <c r="C180" s="1">
        <v>2746.2818181818102</v>
      </c>
      <c r="D180" s="4">
        <f t="shared" si="2"/>
        <v>3823.4193409090835</v>
      </c>
    </row>
    <row r="181" spans="1:4" x14ac:dyDescent="0.3">
      <c r="A181" s="3" t="s">
        <v>441</v>
      </c>
      <c r="B181" s="1">
        <v>946.59699999999998</v>
      </c>
      <c r="C181" s="1">
        <v>2868.46</v>
      </c>
      <c r="D181" s="4">
        <f t="shared" si="2"/>
        <v>3933.6851500000002</v>
      </c>
    </row>
    <row r="182" spans="1:4" x14ac:dyDescent="0.3">
      <c r="A182" s="3" t="s">
        <v>442</v>
      </c>
      <c r="B182" s="1">
        <v>776.16699999999901</v>
      </c>
      <c r="C182" s="1">
        <v>2352</v>
      </c>
      <c r="D182" s="4">
        <f t="shared" si="2"/>
        <v>3467.58</v>
      </c>
    </row>
    <row r="183" spans="1:4" x14ac:dyDescent="0.3">
      <c r="A183" s="3" t="s">
        <v>443</v>
      </c>
      <c r="B183" s="1">
        <v>871.84299999999996</v>
      </c>
      <c r="C183" s="1">
        <v>2641.9299999999898</v>
      </c>
      <c r="D183" s="4">
        <f t="shared" si="2"/>
        <v>3729.241824999991</v>
      </c>
    </row>
    <row r="184" spans="1:4" x14ac:dyDescent="0.3">
      <c r="A184" s="3" t="s">
        <v>444</v>
      </c>
      <c r="B184" s="1">
        <v>922.04100000000005</v>
      </c>
      <c r="C184" s="1">
        <v>2794.03999999999</v>
      </c>
      <c r="D184" s="4">
        <f t="shared" si="2"/>
        <v>3866.5210999999908</v>
      </c>
    </row>
    <row r="185" spans="1:4" x14ac:dyDescent="0.3">
      <c r="A185" s="3" t="s">
        <v>445</v>
      </c>
      <c r="B185" s="1">
        <v>1085.9969999999901</v>
      </c>
      <c r="C185" s="1">
        <v>3290.9</v>
      </c>
      <c r="D185" s="4">
        <f t="shared" si="2"/>
        <v>4314.9372499999999</v>
      </c>
    </row>
    <row r="186" spans="1:4" x14ac:dyDescent="0.3">
      <c r="A186" s="3" t="s">
        <v>446</v>
      </c>
      <c r="B186" s="1">
        <v>742.57727272727197</v>
      </c>
      <c r="C186" s="1">
        <v>2250.2363636363598</v>
      </c>
      <c r="D186" s="4">
        <f t="shared" si="2"/>
        <v>3375.738318181815</v>
      </c>
    </row>
    <row r="187" spans="1:4" x14ac:dyDescent="0.3">
      <c r="A187" s="3" t="s">
        <v>447</v>
      </c>
      <c r="B187" s="1">
        <v>907.61545454545399</v>
      </c>
      <c r="C187" s="1">
        <v>2750.3363636363601</v>
      </c>
      <c r="D187" s="4">
        <f t="shared" si="2"/>
        <v>3827.0785681818152</v>
      </c>
    </row>
    <row r="188" spans="1:4" x14ac:dyDescent="0.3">
      <c r="A188" s="3" t="s">
        <v>448</v>
      </c>
      <c r="B188" s="1">
        <v>1088.03909090909</v>
      </c>
      <c r="C188" s="1">
        <v>3297.0727272727199</v>
      </c>
      <c r="D188" s="4">
        <f t="shared" si="2"/>
        <v>4320.5081363636291</v>
      </c>
    </row>
    <row r="189" spans="1:4" x14ac:dyDescent="0.3">
      <c r="A189" s="3" t="s">
        <v>449</v>
      </c>
      <c r="B189" s="1">
        <v>866.83</v>
      </c>
      <c r="C189" s="1">
        <v>2626.75</v>
      </c>
      <c r="D189" s="4">
        <f t="shared" si="2"/>
        <v>3715.5418749999999</v>
      </c>
    </row>
    <row r="190" spans="1:4" x14ac:dyDescent="0.3">
      <c r="A190" s="3" t="s">
        <v>450</v>
      </c>
      <c r="B190" s="1">
        <v>636.51800000000003</v>
      </c>
      <c r="C190" s="1">
        <v>1928.8499999999899</v>
      </c>
      <c r="D190" s="4">
        <f t="shared" si="2"/>
        <v>3085.6871249999908</v>
      </c>
    </row>
    <row r="191" spans="1:4" x14ac:dyDescent="0.3">
      <c r="A191" s="3" t="s">
        <v>451</v>
      </c>
      <c r="B191" s="1">
        <v>694.81600000000003</v>
      </c>
      <c r="C191" s="1">
        <v>2105.5100000000002</v>
      </c>
      <c r="D191" s="4">
        <f t="shared" si="2"/>
        <v>3245.1227750000003</v>
      </c>
    </row>
    <row r="192" spans="1:4" x14ac:dyDescent="0.3">
      <c r="A192" s="3" t="s">
        <v>452</v>
      </c>
      <c r="B192" s="1">
        <v>727.34299999999905</v>
      </c>
      <c r="C192" s="1">
        <v>2204.0999999999899</v>
      </c>
      <c r="D192" s="4">
        <f t="shared" si="2"/>
        <v>3334.1002499999909</v>
      </c>
    </row>
    <row r="193" spans="1:6" x14ac:dyDescent="0.3">
      <c r="A193" s="3" t="s">
        <v>453</v>
      </c>
      <c r="B193" s="1">
        <v>805.173</v>
      </c>
      <c r="C193" s="1">
        <v>2439.9299999999898</v>
      </c>
      <c r="D193" s="4">
        <f t="shared" si="2"/>
        <v>3546.9368249999907</v>
      </c>
    </row>
    <row r="194" spans="1:6" x14ac:dyDescent="0.3">
      <c r="A194" s="3" t="s">
        <v>454</v>
      </c>
      <c r="B194" s="1">
        <v>645.48199999999997</v>
      </c>
      <c r="C194" s="1">
        <v>1956.01</v>
      </c>
      <c r="D194" s="4">
        <f t="shared" si="2"/>
        <v>3110.1990249999999</v>
      </c>
    </row>
    <row r="195" spans="1:6" x14ac:dyDescent="0.3">
      <c r="A195" s="3" t="s">
        <v>455</v>
      </c>
      <c r="B195" s="1">
        <v>713.07272727272698</v>
      </c>
      <c r="C195" s="1">
        <v>2160.8272727272702</v>
      </c>
      <c r="D195" s="4">
        <f t="shared" si="2"/>
        <v>3295.0466136363611</v>
      </c>
    </row>
    <row r="196" spans="1:6" x14ac:dyDescent="0.3">
      <c r="A196" s="3" t="s">
        <v>456</v>
      </c>
      <c r="B196" s="1">
        <v>699.19899999999996</v>
      </c>
      <c r="C196" s="1">
        <v>2118.8000000000002</v>
      </c>
      <c r="D196" s="4">
        <f t="shared" si="2"/>
        <v>3257.1170000000002</v>
      </c>
    </row>
    <row r="197" spans="1:6" x14ac:dyDescent="0.3">
      <c r="A197" s="3" t="s">
        <v>457</v>
      </c>
      <c r="B197" s="1">
        <v>802.04499999999996</v>
      </c>
      <c r="C197" s="1">
        <v>2430.4499999999898</v>
      </c>
      <c r="D197" s="4">
        <f t="shared" si="2"/>
        <v>3538.3811249999908</v>
      </c>
    </row>
    <row r="198" spans="1:6" x14ac:dyDescent="0.3">
      <c r="A198" s="3" t="s">
        <v>458</v>
      </c>
      <c r="B198" s="1">
        <v>675.29599999999903</v>
      </c>
      <c r="C198" s="1">
        <v>2046.3499999999899</v>
      </c>
      <c r="D198" s="4">
        <f t="shared" si="2"/>
        <v>3191.7308749999911</v>
      </c>
    </row>
    <row r="199" spans="1:6" x14ac:dyDescent="0.3">
      <c r="A199" s="3" t="s">
        <v>459</v>
      </c>
      <c r="B199" s="1">
        <v>682.13899999999899</v>
      </c>
      <c r="C199" s="1">
        <v>2067.09</v>
      </c>
      <c r="D199" s="4">
        <f t="shared" si="2"/>
        <v>3210.4487250000002</v>
      </c>
      <c r="F199" s="1">
        <f>AVERAGE(D199:D222)</f>
        <v>3317.9665055355595</v>
      </c>
    </row>
    <row r="200" spans="1:6" x14ac:dyDescent="0.3">
      <c r="A200" s="3" t="s">
        <v>460</v>
      </c>
      <c r="B200" s="1">
        <v>786.32727272727197</v>
      </c>
      <c r="C200" s="1">
        <v>2382.8090909090902</v>
      </c>
      <c r="D200" s="4">
        <f t="shared" ref="D200:D263" si="3">0.9025*C200+1344.9</f>
        <v>3495.3852045454537</v>
      </c>
    </row>
    <row r="201" spans="1:6" x14ac:dyDescent="0.3">
      <c r="A201" s="3" t="s">
        <v>461</v>
      </c>
      <c r="B201" s="1">
        <v>557.84399999999903</v>
      </c>
      <c r="C201" s="1">
        <v>1690.44</v>
      </c>
      <c r="D201" s="4">
        <f t="shared" si="3"/>
        <v>2870.5221000000001</v>
      </c>
    </row>
    <row r="202" spans="1:6" x14ac:dyDescent="0.3">
      <c r="A202" s="3" t="s">
        <v>462</v>
      </c>
      <c r="B202" s="1">
        <v>478.637</v>
      </c>
      <c r="C202" s="1">
        <v>1450.4090000000001</v>
      </c>
      <c r="D202" s="4">
        <f t="shared" si="3"/>
        <v>2653.8941224999999</v>
      </c>
    </row>
    <row r="203" spans="1:6" x14ac:dyDescent="0.3">
      <c r="A203" s="3" t="s">
        <v>463</v>
      </c>
      <c r="B203" s="1">
        <v>810.62900000000002</v>
      </c>
      <c r="C203" s="1">
        <v>2456.46</v>
      </c>
      <c r="D203" s="4">
        <f t="shared" si="3"/>
        <v>3561.8551499999999</v>
      </c>
    </row>
    <row r="204" spans="1:6" x14ac:dyDescent="0.3">
      <c r="A204" s="3" t="s">
        <v>464</v>
      </c>
      <c r="B204" s="1">
        <v>797.97199999999896</v>
      </c>
      <c r="C204" s="1">
        <v>2418.0999999999899</v>
      </c>
      <c r="D204" s="4">
        <f t="shared" si="3"/>
        <v>3527.2352499999911</v>
      </c>
    </row>
    <row r="205" spans="1:6" x14ac:dyDescent="0.3">
      <c r="A205" s="3" t="s">
        <v>465</v>
      </c>
      <c r="B205" s="1">
        <v>690.19799999999998</v>
      </c>
      <c r="C205" s="1">
        <v>2091.5099999999902</v>
      </c>
      <c r="D205" s="4">
        <f t="shared" si="3"/>
        <v>3232.4877749999914</v>
      </c>
    </row>
    <row r="206" spans="1:6" x14ac:dyDescent="0.3">
      <c r="A206" s="3" t="s">
        <v>466</v>
      </c>
      <c r="B206" s="1">
        <v>703.53111111111104</v>
      </c>
      <c r="C206" s="1">
        <v>2131.9222222222202</v>
      </c>
      <c r="D206" s="4">
        <f t="shared" si="3"/>
        <v>3268.9598055555534</v>
      </c>
    </row>
    <row r="207" spans="1:6" x14ac:dyDescent="0.3">
      <c r="A207" s="3" t="s">
        <v>467</v>
      </c>
      <c r="B207" s="1">
        <v>741.43799999999896</v>
      </c>
      <c r="C207" s="1">
        <v>2246.7799999999902</v>
      </c>
      <c r="D207" s="4">
        <f t="shared" si="3"/>
        <v>3372.6189499999909</v>
      </c>
    </row>
    <row r="208" spans="1:6" x14ac:dyDescent="0.3">
      <c r="A208" s="3" t="s">
        <v>468</v>
      </c>
      <c r="B208" s="1">
        <v>812.16099999999904</v>
      </c>
      <c r="C208" s="1">
        <v>2461.0999999999899</v>
      </c>
      <c r="D208" s="4">
        <f t="shared" si="3"/>
        <v>3566.042749999991</v>
      </c>
    </row>
    <row r="209" spans="1:6" x14ac:dyDescent="0.3">
      <c r="A209" s="3" t="s">
        <v>469</v>
      </c>
      <c r="B209" s="1">
        <v>776.75</v>
      </c>
      <c r="C209" s="1">
        <v>2353.7777777777701</v>
      </c>
      <c r="D209" s="4">
        <f t="shared" si="3"/>
        <v>3469.1844444444373</v>
      </c>
    </row>
    <row r="210" spans="1:6" x14ac:dyDescent="0.3">
      <c r="A210" s="3" t="s">
        <v>470</v>
      </c>
      <c r="B210" s="1">
        <v>844.30799999999897</v>
      </c>
      <c r="C210" s="1">
        <v>2558.5</v>
      </c>
      <c r="D210" s="4">
        <f t="shared" si="3"/>
        <v>3653.94625</v>
      </c>
    </row>
    <row r="211" spans="1:6" x14ac:dyDescent="0.3">
      <c r="A211" s="3" t="s">
        <v>471</v>
      </c>
      <c r="B211" s="1">
        <v>683.83199999999897</v>
      </c>
      <c r="C211" s="1">
        <v>2072.21</v>
      </c>
      <c r="D211" s="4">
        <f t="shared" si="3"/>
        <v>3215.0695249999999</v>
      </c>
    </row>
    <row r="212" spans="1:6" x14ac:dyDescent="0.3">
      <c r="A212" s="3" t="s">
        <v>472</v>
      </c>
      <c r="B212" s="1">
        <v>744.05909090908995</v>
      </c>
      <c r="C212" s="1">
        <v>2254.7272727272698</v>
      </c>
      <c r="D212" s="4">
        <f t="shared" si="3"/>
        <v>3379.791363636361</v>
      </c>
    </row>
    <row r="213" spans="1:6" x14ac:dyDescent="0.3">
      <c r="A213" s="3" t="s">
        <v>473</v>
      </c>
      <c r="B213" s="1">
        <v>726.08272727272697</v>
      </c>
      <c r="C213" s="1">
        <v>2200.2454545454498</v>
      </c>
      <c r="D213" s="4">
        <f t="shared" si="3"/>
        <v>3330.6215227272687</v>
      </c>
    </row>
    <row r="214" spans="1:6" x14ac:dyDescent="0.3">
      <c r="A214" s="3" t="s">
        <v>474</v>
      </c>
      <c r="B214" s="1">
        <v>756.61800000000005</v>
      </c>
      <c r="C214" s="1">
        <v>2292.76999999999</v>
      </c>
      <c r="D214" s="4">
        <f t="shared" si="3"/>
        <v>3414.124924999991</v>
      </c>
    </row>
    <row r="215" spans="1:6" x14ac:dyDescent="0.3">
      <c r="A215" s="3" t="s">
        <v>475</v>
      </c>
      <c r="B215" s="1">
        <v>662.48299999999904</v>
      </c>
      <c r="C215" s="1">
        <v>2007.51999999999</v>
      </c>
      <c r="D215" s="4">
        <f t="shared" si="3"/>
        <v>3156.6867999999913</v>
      </c>
    </row>
    <row r="216" spans="1:6" x14ac:dyDescent="0.3">
      <c r="A216" s="3" t="s">
        <v>476</v>
      </c>
      <c r="B216" s="1">
        <v>649.86199999999894</v>
      </c>
      <c r="C216" s="1">
        <v>1969.26</v>
      </c>
      <c r="D216" s="4">
        <f t="shared" si="3"/>
        <v>3122.15715</v>
      </c>
    </row>
    <row r="217" spans="1:6" x14ac:dyDescent="0.3">
      <c r="A217" s="3" t="s">
        <v>477</v>
      </c>
      <c r="B217" s="1">
        <v>630.743333333333</v>
      </c>
      <c r="C217" s="1">
        <v>1911.3333333333301</v>
      </c>
      <c r="D217" s="4">
        <f t="shared" si="3"/>
        <v>3069.8783333333304</v>
      </c>
    </row>
    <row r="218" spans="1:6" x14ac:dyDescent="0.3">
      <c r="A218" s="3" t="s">
        <v>478</v>
      </c>
      <c r="B218" s="1">
        <v>754.56444444444401</v>
      </c>
      <c r="C218" s="1">
        <v>2286.5444444444402</v>
      </c>
      <c r="D218" s="4">
        <f t="shared" si="3"/>
        <v>3408.5063611111073</v>
      </c>
    </row>
    <row r="219" spans="1:6" x14ac:dyDescent="0.3">
      <c r="A219" s="3" t="s">
        <v>479</v>
      </c>
      <c r="B219" s="1">
        <v>774.60299999999904</v>
      </c>
      <c r="C219" s="1">
        <v>2347.2800000000002</v>
      </c>
      <c r="D219" s="4">
        <f t="shared" si="3"/>
        <v>3463.3202000000001</v>
      </c>
    </row>
    <row r="220" spans="1:6" x14ac:dyDescent="0.3">
      <c r="A220" s="3" t="s">
        <v>480</v>
      </c>
      <c r="B220" s="1">
        <v>673.923</v>
      </c>
      <c r="C220" s="1">
        <v>2042.2</v>
      </c>
      <c r="D220" s="4">
        <f t="shared" si="3"/>
        <v>3187.9854999999998</v>
      </c>
    </row>
    <row r="221" spans="1:6" x14ac:dyDescent="0.3">
      <c r="A221" s="3" t="s">
        <v>481</v>
      </c>
      <c r="B221" s="1">
        <v>804.73299999999904</v>
      </c>
      <c r="C221" s="1">
        <v>2438.5999999999899</v>
      </c>
      <c r="D221" s="4">
        <f t="shared" si="3"/>
        <v>3545.7364999999909</v>
      </c>
    </row>
    <row r="222" spans="1:6" x14ac:dyDescent="0.3">
      <c r="A222" s="3" t="s">
        <v>482</v>
      </c>
      <c r="B222" s="1">
        <v>771.46500000000003</v>
      </c>
      <c r="C222" s="1">
        <v>2337.76999999999</v>
      </c>
      <c r="D222" s="4">
        <f t="shared" si="3"/>
        <v>3454.7374249999912</v>
      </c>
    </row>
    <row r="223" spans="1:6" x14ac:dyDescent="0.3">
      <c r="A223" s="3" t="s">
        <v>483</v>
      </c>
      <c r="B223" s="1">
        <v>1033.98199999999</v>
      </c>
      <c r="C223" s="1">
        <v>3133.27</v>
      </c>
      <c r="D223" s="4">
        <f t="shared" si="3"/>
        <v>4172.6761750000005</v>
      </c>
      <c r="F223" s="1">
        <f>AVERAGE(D223:D246)</f>
        <v>4144.0088474536979</v>
      </c>
    </row>
    <row r="224" spans="1:6" x14ac:dyDescent="0.3">
      <c r="A224" s="3" t="s">
        <v>484</v>
      </c>
      <c r="B224" s="1">
        <v>971.39300000000003</v>
      </c>
      <c r="C224" s="1">
        <v>2943.61</v>
      </c>
      <c r="D224" s="4">
        <f t="shared" si="3"/>
        <v>4001.5080250000001</v>
      </c>
    </row>
    <row r="225" spans="1:4" x14ac:dyDescent="0.3">
      <c r="A225" s="3" t="s">
        <v>485</v>
      </c>
      <c r="B225" s="1">
        <v>918.29399999999998</v>
      </c>
      <c r="C225" s="1">
        <v>2782.7399999999898</v>
      </c>
      <c r="D225" s="4">
        <f t="shared" si="3"/>
        <v>3856.3228499999909</v>
      </c>
    </row>
    <row r="226" spans="1:4" x14ac:dyDescent="0.3">
      <c r="A226" s="3" t="s">
        <v>486</v>
      </c>
      <c r="B226" s="1">
        <v>877.07299999999896</v>
      </c>
      <c r="C226" s="1">
        <v>2657.78999999999</v>
      </c>
      <c r="D226" s="4">
        <f t="shared" si="3"/>
        <v>3743.555474999991</v>
      </c>
    </row>
    <row r="227" spans="1:4" x14ac:dyDescent="0.3">
      <c r="A227" s="3" t="s">
        <v>487</v>
      </c>
      <c r="B227" s="1">
        <v>1061.913</v>
      </c>
      <c r="C227" s="1">
        <v>3217.9099999999899</v>
      </c>
      <c r="D227" s="4">
        <f t="shared" si="3"/>
        <v>4249.0637749999914</v>
      </c>
    </row>
    <row r="228" spans="1:4" x14ac:dyDescent="0.3">
      <c r="A228" s="3" t="s">
        <v>488</v>
      </c>
      <c r="B228" s="1">
        <v>1057.8579999999999</v>
      </c>
      <c r="C228" s="1">
        <v>3205.6199999999899</v>
      </c>
      <c r="D228" s="4">
        <f t="shared" si="3"/>
        <v>4237.9720499999912</v>
      </c>
    </row>
    <row r="229" spans="1:4" x14ac:dyDescent="0.3">
      <c r="A229" s="3" t="s">
        <v>489</v>
      </c>
      <c r="B229" s="1">
        <v>872.12599999999895</v>
      </c>
      <c r="C229" s="1">
        <v>2642.82</v>
      </c>
      <c r="D229" s="4">
        <f t="shared" si="3"/>
        <v>3730.0450500000002</v>
      </c>
    </row>
    <row r="230" spans="1:4" x14ac:dyDescent="0.3">
      <c r="A230" s="3" t="s">
        <v>490</v>
      </c>
      <c r="B230" s="1">
        <v>871.78899999999999</v>
      </c>
      <c r="C230" s="1">
        <v>2641.76999999999</v>
      </c>
      <c r="D230" s="4">
        <f t="shared" si="3"/>
        <v>3729.0974249999908</v>
      </c>
    </row>
    <row r="231" spans="1:4" x14ac:dyDescent="0.3">
      <c r="A231" s="3" t="s">
        <v>491</v>
      </c>
      <c r="B231" s="1">
        <v>1207.14299999999</v>
      </c>
      <c r="C231" s="1">
        <v>3658.01999999999</v>
      </c>
      <c r="D231" s="4">
        <f t="shared" si="3"/>
        <v>4646.2630499999905</v>
      </c>
    </row>
    <row r="232" spans="1:4" x14ac:dyDescent="0.3">
      <c r="A232" s="3" t="s">
        <v>492</v>
      </c>
      <c r="B232" s="1">
        <v>1151.7270000000001</v>
      </c>
      <c r="C232" s="1">
        <v>3490.0999999999899</v>
      </c>
      <c r="D232" s="4">
        <f t="shared" si="3"/>
        <v>4494.7152499999902</v>
      </c>
    </row>
    <row r="233" spans="1:4" x14ac:dyDescent="0.3">
      <c r="A233" s="3" t="s">
        <v>493</v>
      </c>
      <c r="B233" s="1">
        <v>1015.062</v>
      </c>
      <c r="C233" s="1">
        <v>3075.9299999999898</v>
      </c>
      <c r="D233" s="4">
        <f t="shared" si="3"/>
        <v>4120.9268249999914</v>
      </c>
    </row>
    <row r="234" spans="1:4" x14ac:dyDescent="0.3">
      <c r="A234" s="3" t="s">
        <v>494</v>
      </c>
      <c r="B234" s="1">
        <v>918.201111111111</v>
      </c>
      <c r="C234" s="1">
        <v>2782.4222222222202</v>
      </c>
      <c r="D234" s="4">
        <f t="shared" si="3"/>
        <v>3856.0360555555535</v>
      </c>
    </row>
    <row r="235" spans="1:4" x14ac:dyDescent="0.3">
      <c r="A235" s="3" t="s">
        <v>495</v>
      </c>
      <c r="B235" s="1">
        <v>1053.5618181818099</v>
      </c>
      <c r="C235" s="1">
        <v>3192.6454545454499</v>
      </c>
      <c r="D235" s="4">
        <f t="shared" si="3"/>
        <v>4226.2625227272683</v>
      </c>
    </row>
    <row r="236" spans="1:4" x14ac:dyDescent="0.3">
      <c r="A236" s="3" t="s">
        <v>496</v>
      </c>
      <c r="B236" s="1">
        <v>1085.75363636363</v>
      </c>
      <c r="C236" s="1">
        <v>3290.1545454545399</v>
      </c>
      <c r="D236" s="4">
        <f t="shared" si="3"/>
        <v>4314.2644772727217</v>
      </c>
    </row>
    <row r="237" spans="1:4" x14ac:dyDescent="0.3">
      <c r="A237" s="3" t="s">
        <v>497</v>
      </c>
      <c r="B237" s="1">
        <v>992.152999999999</v>
      </c>
      <c r="C237" s="1">
        <v>3006.53</v>
      </c>
      <c r="D237" s="4">
        <f t="shared" si="3"/>
        <v>4058.2933250000001</v>
      </c>
    </row>
    <row r="238" spans="1:4" x14ac:dyDescent="0.3">
      <c r="A238" s="3" t="s">
        <v>498</v>
      </c>
      <c r="B238" s="1">
        <v>998.20799999999895</v>
      </c>
      <c r="C238" s="1">
        <v>3024.8599999999901</v>
      </c>
      <c r="D238" s="4">
        <f t="shared" si="3"/>
        <v>4074.836149999991</v>
      </c>
    </row>
    <row r="239" spans="1:4" x14ac:dyDescent="0.3">
      <c r="A239" s="3" t="s">
        <v>499</v>
      </c>
      <c r="B239" s="1">
        <v>1131.998</v>
      </c>
      <c r="C239" s="1">
        <v>3430.28999999999</v>
      </c>
      <c r="D239" s="4">
        <f t="shared" si="3"/>
        <v>4440.7367249999916</v>
      </c>
    </row>
    <row r="240" spans="1:4" x14ac:dyDescent="0.3">
      <c r="A240" s="3" t="s">
        <v>500</v>
      </c>
      <c r="B240" s="1">
        <v>1122.7379999999901</v>
      </c>
      <c r="C240" s="1">
        <v>3402.21</v>
      </c>
      <c r="D240" s="4">
        <f t="shared" si="3"/>
        <v>4415.3945249999997</v>
      </c>
    </row>
    <row r="241" spans="1:6" x14ac:dyDescent="0.3">
      <c r="A241" s="3" t="s">
        <v>501</v>
      </c>
      <c r="B241" s="1">
        <v>1008.07</v>
      </c>
      <c r="C241" s="1">
        <v>3054.81</v>
      </c>
      <c r="D241" s="4">
        <f t="shared" si="3"/>
        <v>4101.8660249999994</v>
      </c>
    </row>
    <row r="242" spans="1:6" x14ac:dyDescent="0.3">
      <c r="A242" s="3" t="s">
        <v>502</v>
      </c>
      <c r="B242" s="1">
        <v>1054.19</v>
      </c>
      <c r="C242" s="1">
        <v>3194.51999999999</v>
      </c>
      <c r="D242" s="4">
        <f t="shared" si="3"/>
        <v>4227.9542999999903</v>
      </c>
    </row>
    <row r="243" spans="1:6" x14ac:dyDescent="0.3">
      <c r="A243" s="3" t="s">
        <v>503</v>
      </c>
      <c r="B243" s="1">
        <v>1153.0070000000001</v>
      </c>
      <c r="C243" s="1">
        <v>3493.9699999999898</v>
      </c>
      <c r="D243" s="4">
        <f t="shared" si="3"/>
        <v>4498.2079249999906</v>
      </c>
    </row>
    <row r="244" spans="1:6" x14ac:dyDescent="0.3">
      <c r="A244" s="3" t="s">
        <v>504</v>
      </c>
      <c r="B244" s="1">
        <v>958.87699999999904</v>
      </c>
      <c r="C244" s="1">
        <v>2905.68</v>
      </c>
      <c r="D244" s="4">
        <f t="shared" si="3"/>
        <v>3967.2761999999998</v>
      </c>
    </row>
    <row r="245" spans="1:6" x14ac:dyDescent="0.3">
      <c r="A245" s="3" t="s">
        <v>505</v>
      </c>
      <c r="B245" s="1">
        <v>963.48800000000006</v>
      </c>
      <c r="C245" s="1">
        <v>2919.63</v>
      </c>
      <c r="D245" s="4">
        <f t="shared" si="3"/>
        <v>3979.8660749999999</v>
      </c>
    </row>
    <row r="246" spans="1:6" x14ac:dyDescent="0.3">
      <c r="A246" s="3" t="s">
        <v>506</v>
      </c>
      <c r="B246" s="1">
        <v>1085.3277777777701</v>
      </c>
      <c r="C246" s="1">
        <v>3288.8333333333298</v>
      </c>
      <c r="D246" s="4">
        <f t="shared" si="3"/>
        <v>4313.0720833333307</v>
      </c>
    </row>
    <row r="247" spans="1:6" x14ac:dyDescent="0.3">
      <c r="A247" s="3" t="s">
        <v>507</v>
      </c>
      <c r="B247" s="1">
        <v>930.18600000000004</v>
      </c>
      <c r="C247" s="1">
        <v>2818.76999999999</v>
      </c>
      <c r="D247" s="4">
        <f t="shared" si="3"/>
        <v>3888.8399249999911</v>
      </c>
      <c r="F247" s="1">
        <f>AVERAGE(D247:D270)</f>
        <v>3876.7263580492363</v>
      </c>
    </row>
    <row r="248" spans="1:6" x14ac:dyDescent="0.3">
      <c r="A248" s="3" t="s">
        <v>508</v>
      </c>
      <c r="B248" s="1">
        <v>996.30200000000002</v>
      </c>
      <c r="C248" s="1">
        <v>3019.0899999999901</v>
      </c>
      <c r="D248" s="4">
        <f t="shared" si="3"/>
        <v>4069.6287249999909</v>
      </c>
    </row>
    <row r="249" spans="1:6" x14ac:dyDescent="0.3">
      <c r="A249" s="3" t="s">
        <v>509</v>
      </c>
      <c r="B249" s="1">
        <v>1052.7719999999899</v>
      </c>
      <c r="C249" s="1">
        <v>3190.22999999999</v>
      </c>
      <c r="D249" s="4">
        <f t="shared" si="3"/>
        <v>4224.0825749999913</v>
      </c>
    </row>
    <row r="250" spans="1:6" x14ac:dyDescent="0.3">
      <c r="A250" s="3" t="s">
        <v>510</v>
      </c>
      <c r="B250" s="1">
        <v>955.1</v>
      </c>
      <c r="C250" s="1">
        <v>2894.2399999999898</v>
      </c>
      <c r="D250" s="4">
        <f t="shared" si="3"/>
        <v>3956.9515999999908</v>
      </c>
    </row>
    <row r="251" spans="1:6" x14ac:dyDescent="0.3">
      <c r="A251" s="3" t="s">
        <v>511</v>
      </c>
      <c r="B251" s="1">
        <v>922.27636363636304</v>
      </c>
      <c r="C251" s="1">
        <v>2794.7727272727202</v>
      </c>
      <c r="D251" s="4">
        <f t="shared" si="3"/>
        <v>3867.18238636363</v>
      </c>
    </row>
    <row r="252" spans="1:6" x14ac:dyDescent="0.3">
      <c r="A252" s="3" t="s">
        <v>512</v>
      </c>
      <c r="B252" s="1">
        <v>926.99199999999905</v>
      </c>
      <c r="C252" s="1">
        <v>2809.1099999999901</v>
      </c>
      <c r="D252" s="4">
        <f t="shared" si="3"/>
        <v>3880.121774999991</v>
      </c>
    </row>
    <row r="253" spans="1:6" x14ac:dyDescent="0.3">
      <c r="A253" s="3" t="s">
        <v>513</v>
      </c>
      <c r="B253" s="1">
        <v>965.63800000000003</v>
      </c>
      <c r="C253" s="1">
        <v>2926.1599999999899</v>
      </c>
      <c r="D253" s="4">
        <f t="shared" si="3"/>
        <v>3985.7593999999908</v>
      </c>
    </row>
    <row r="254" spans="1:6" x14ac:dyDescent="0.3">
      <c r="A254" s="3" t="s">
        <v>514</v>
      </c>
      <c r="B254" s="1">
        <v>918.10299999999904</v>
      </c>
      <c r="C254" s="1">
        <v>2782.15</v>
      </c>
      <c r="D254" s="4">
        <f t="shared" si="3"/>
        <v>3855.790375</v>
      </c>
    </row>
    <row r="255" spans="1:6" x14ac:dyDescent="0.3">
      <c r="A255" s="3" t="s">
        <v>515</v>
      </c>
      <c r="B255" s="1">
        <v>756.36599999999896</v>
      </c>
      <c r="C255" s="1">
        <v>2292.01999999999</v>
      </c>
      <c r="D255" s="4">
        <f t="shared" si="3"/>
        <v>3413.4480499999909</v>
      </c>
    </row>
    <row r="256" spans="1:6" x14ac:dyDescent="0.3">
      <c r="A256" s="3" t="s">
        <v>516</v>
      </c>
      <c r="B256" s="1">
        <v>780.35</v>
      </c>
      <c r="C256" s="1">
        <v>2364.71</v>
      </c>
      <c r="D256" s="4">
        <f t="shared" si="3"/>
        <v>3479.0507750000002</v>
      </c>
    </row>
    <row r="257" spans="1:6" x14ac:dyDescent="0.3">
      <c r="A257" s="3" t="s">
        <v>517</v>
      </c>
      <c r="B257" s="1">
        <v>1102.04999999999</v>
      </c>
      <c r="C257" s="1">
        <v>3339.53999999999</v>
      </c>
      <c r="D257" s="4">
        <f t="shared" si="3"/>
        <v>4358.8348499999911</v>
      </c>
    </row>
    <row r="258" spans="1:6" x14ac:dyDescent="0.3">
      <c r="A258" s="3" t="s">
        <v>518</v>
      </c>
      <c r="B258" s="1">
        <v>869.87555555555502</v>
      </c>
      <c r="C258" s="1">
        <v>2636</v>
      </c>
      <c r="D258" s="4">
        <f t="shared" si="3"/>
        <v>3723.89</v>
      </c>
    </row>
    <row r="259" spans="1:6" x14ac:dyDescent="0.3">
      <c r="A259" s="3" t="s">
        <v>519</v>
      </c>
      <c r="B259" s="1">
        <v>1051.663</v>
      </c>
      <c r="C259" s="1">
        <v>3186.8699999999899</v>
      </c>
      <c r="D259" s="4">
        <f t="shared" si="3"/>
        <v>4221.0501749999912</v>
      </c>
    </row>
    <row r="260" spans="1:6" x14ac:dyDescent="0.3">
      <c r="A260" s="3" t="s">
        <v>520</v>
      </c>
      <c r="B260" s="1">
        <v>1056.74636363636</v>
      </c>
      <c r="C260" s="1">
        <v>3202.2636363636302</v>
      </c>
      <c r="D260" s="4">
        <f t="shared" si="3"/>
        <v>4234.9429318181765</v>
      </c>
    </row>
    <row r="261" spans="1:6" x14ac:dyDescent="0.3">
      <c r="A261" s="3" t="s">
        <v>521</v>
      </c>
      <c r="B261" s="1">
        <v>769.10799999999904</v>
      </c>
      <c r="C261" s="1">
        <v>2330.6199999999899</v>
      </c>
      <c r="D261" s="4">
        <f t="shared" si="3"/>
        <v>3448.2845499999908</v>
      </c>
    </row>
    <row r="262" spans="1:6" x14ac:dyDescent="0.3">
      <c r="A262" s="3" t="s">
        <v>522</v>
      </c>
      <c r="B262" s="1">
        <v>782.63099999999997</v>
      </c>
      <c r="C262" s="1">
        <v>2371.5999999999899</v>
      </c>
      <c r="D262" s="4">
        <f t="shared" si="3"/>
        <v>3485.2689999999907</v>
      </c>
    </row>
    <row r="263" spans="1:6" x14ac:dyDescent="0.3">
      <c r="A263" s="3" t="s">
        <v>523</v>
      </c>
      <c r="B263" s="1">
        <v>957.173</v>
      </c>
      <c r="C263" s="1">
        <v>2900.54</v>
      </c>
      <c r="D263" s="4">
        <f t="shared" si="3"/>
        <v>3962.63735</v>
      </c>
    </row>
    <row r="264" spans="1:6" x14ac:dyDescent="0.3">
      <c r="A264" s="3" t="s">
        <v>524</v>
      </c>
      <c r="B264" s="1">
        <v>940.97199999999896</v>
      </c>
      <c r="C264" s="1">
        <v>2851.4099999999899</v>
      </c>
      <c r="D264" s="4">
        <f t="shared" ref="D264:D327" si="4">0.9025*C264+1344.9</f>
        <v>3918.2975249999909</v>
      </c>
    </row>
    <row r="265" spans="1:6" x14ac:dyDescent="0.3">
      <c r="A265" s="3" t="s">
        <v>525</v>
      </c>
      <c r="B265" s="1">
        <v>929.44299999999896</v>
      </c>
      <c r="C265" s="1">
        <v>2816.4699999999898</v>
      </c>
      <c r="D265" s="4">
        <f t="shared" si="4"/>
        <v>3886.7641749999907</v>
      </c>
    </row>
    <row r="266" spans="1:6" x14ac:dyDescent="0.3">
      <c r="A266" s="3" t="s">
        <v>526</v>
      </c>
      <c r="B266" s="1">
        <v>792.06888888888795</v>
      </c>
      <c r="C266" s="1">
        <v>2400.1999999999898</v>
      </c>
      <c r="D266" s="4">
        <f t="shared" si="4"/>
        <v>3511.0804999999909</v>
      </c>
    </row>
    <row r="267" spans="1:6" x14ac:dyDescent="0.3">
      <c r="A267" s="3" t="s">
        <v>527</v>
      </c>
      <c r="B267" s="1">
        <v>925.53899999999999</v>
      </c>
      <c r="C267" s="1">
        <v>2804.66</v>
      </c>
      <c r="D267" s="4">
        <f t="shared" si="4"/>
        <v>3876.10565</v>
      </c>
    </row>
    <row r="268" spans="1:6" x14ac:dyDescent="0.3">
      <c r="A268" s="3" t="s">
        <v>528</v>
      </c>
      <c r="B268" s="1">
        <v>1188.7719999999899</v>
      </c>
      <c r="C268" s="1">
        <v>3602.3499999999899</v>
      </c>
      <c r="D268" s="4">
        <f t="shared" si="4"/>
        <v>4596.0208749999911</v>
      </c>
    </row>
    <row r="269" spans="1:6" x14ac:dyDescent="0.3">
      <c r="A269" s="3" t="s">
        <v>529</v>
      </c>
      <c r="B269" s="1">
        <v>833.99400000000003</v>
      </c>
      <c r="C269" s="1">
        <v>2527.25</v>
      </c>
      <c r="D269" s="4">
        <f t="shared" si="4"/>
        <v>3625.743125</v>
      </c>
    </row>
    <row r="270" spans="1:6" x14ac:dyDescent="0.3">
      <c r="A270" s="3" t="s">
        <v>530</v>
      </c>
      <c r="B270" s="1">
        <v>814.21499999999901</v>
      </c>
      <c r="C270" s="1">
        <v>2467.3200000000002</v>
      </c>
      <c r="D270" s="4">
        <f t="shared" si="4"/>
        <v>3571.6563000000001</v>
      </c>
    </row>
    <row r="271" spans="1:6" x14ac:dyDescent="0.3">
      <c r="A271" s="3" t="s">
        <v>531</v>
      </c>
      <c r="B271" s="1">
        <v>996.04899999999895</v>
      </c>
      <c r="C271" s="1">
        <v>3018.28999999999</v>
      </c>
      <c r="D271" s="4">
        <f t="shared" si="4"/>
        <v>4068.9067249999907</v>
      </c>
      <c r="F271" s="1">
        <f>AVERAGE(D271:D294)</f>
        <v>3521.8209887889266</v>
      </c>
    </row>
    <row r="272" spans="1:6" x14ac:dyDescent="0.3">
      <c r="A272" s="3" t="s">
        <v>532</v>
      </c>
      <c r="B272" s="1">
        <v>960.505</v>
      </c>
      <c r="C272" s="1">
        <v>2910.64</v>
      </c>
      <c r="D272" s="4">
        <f t="shared" si="4"/>
        <v>3971.7525999999998</v>
      </c>
    </row>
    <row r="273" spans="1:4" x14ac:dyDescent="0.3">
      <c r="A273" s="3" t="s">
        <v>533</v>
      </c>
      <c r="B273" s="1">
        <v>820.34199999999896</v>
      </c>
      <c r="C273" s="1">
        <v>2485.88</v>
      </c>
      <c r="D273" s="4">
        <f t="shared" si="4"/>
        <v>3588.4067</v>
      </c>
    </row>
    <row r="274" spans="1:4" x14ac:dyDescent="0.3">
      <c r="A274" s="3" t="s">
        <v>534</v>
      </c>
      <c r="B274" s="1">
        <v>842.67999999999904</v>
      </c>
      <c r="C274" s="1">
        <v>2553.5999999999899</v>
      </c>
      <c r="D274" s="4">
        <f t="shared" si="4"/>
        <v>3649.5239999999908</v>
      </c>
    </row>
    <row r="275" spans="1:4" x14ac:dyDescent="0.3">
      <c r="A275" s="3" t="s">
        <v>535</v>
      </c>
      <c r="B275" s="1">
        <v>875.56299999999896</v>
      </c>
      <c r="C275" s="1">
        <v>2653.23</v>
      </c>
      <c r="D275" s="4">
        <f t="shared" si="4"/>
        <v>3739.440075</v>
      </c>
    </row>
    <row r="276" spans="1:4" x14ac:dyDescent="0.3">
      <c r="A276" s="3" t="s">
        <v>536</v>
      </c>
      <c r="B276" s="1">
        <v>805.04700000000003</v>
      </c>
      <c r="C276" s="1">
        <v>2439.5500000000002</v>
      </c>
      <c r="D276" s="4">
        <f t="shared" si="4"/>
        <v>3546.593875</v>
      </c>
    </row>
    <row r="277" spans="1:4" x14ac:dyDescent="0.3">
      <c r="A277" s="3" t="s">
        <v>537</v>
      </c>
      <c r="B277" s="1">
        <v>748.92899999999895</v>
      </c>
      <c r="C277" s="1">
        <v>2269.4899999999898</v>
      </c>
      <c r="D277" s="4">
        <f t="shared" si="4"/>
        <v>3393.1147249999908</v>
      </c>
    </row>
    <row r="278" spans="1:4" x14ac:dyDescent="0.3">
      <c r="A278" s="3" t="s">
        <v>538</v>
      </c>
      <c r="B278" s="1">
        <v>799.59555555555505</v>
      </c>
      <c r="C278" s="1">
        <v>2423.0222222222201</v>
      </c>
      <c r="D278" s="4">
        <f t="shared" si="4"/>
        <v>3531.6775555555537</v>
      </c>
    </row>
    <row r="279" spans="1:4" x14ac:dyDescent="0.3">
      <c r="A279" s="3" t="s">
        <v>539</v>
      </c>
      <c r="B279" s="1">
        <v>916.00818181818101</v>
      </c>
      <c r="C279" s="1">
        <v>2775.8090909090902</v>
      </c>
      <c r="D279" s="4">
        <f t="shared" si="4"/>
        <v>3850.067704545454</v>
      </c>
    </row>
    <row r="280" spans="1:4" x14ac:dyDescent="0.3">
      <c r="A280" s="3" t="s">
        <v>540</v>
      </c>
      <c r="B280" s="1">
        <v>1009.045</v>
      </c>
      <c r="C280" s="1">
        <v>3057.76</v>
      </c>
      <c r="D280" s="4">
        <f t="shared" si="4"/>
        <v>4104.5284000000001</v>
      </c>
    </row>
    <row r="281" spans="1:4" x14ac:dyDescent="0.3">
      <c r="A281" s="3" t="s">
        <v>541</v>
      </c>
      <c r="B281" s="1">
        <v>855.22399999999902</v>
      </c>
      <c r="C281" s="1">
        <v>2591.56</v>
      </c>
      <c r="D281" s="4">
        <f t="shared" si="4"/>
        <v>3683.7829000000002</v>
      </c>
    </row>
    <row r="282" spans="1:4" x14ac:dyDescent="0.3">
      <c r="A282" s="3" t="s">
        <v>542</v>
      </c>
      <c r="B282" s="1">
        <v>705.72900000000004</v>
      </c>
      <c r="C282" s="1">
        <v>2138.5799999999899</v>
      </c>
      <c r="D282" s="4">
        <f t="shared" si="4"/>
        <v>3274.9684499999912</v>
      </c>
    </row>
    <row r="283" spans="1:4" x14ac:dyDescent="0.3">
      <c r="A283" s="3" t="s">
        <v>543</v>
      </c>
      <c r="B283" s="1">
        <v>592.774</v>
      </c>
      <c r="C283" s="1">
        <v>1796.288</v>
      </c>
      <c r="D283" s="4">
        <f t="shared" si="4"/>
        <v>2966.0499200000004</v>
      </c>
    </row>
    <row r="284" spans="1:4" x14ac:dyDescent="0.3">
      <c r="A284" s="3" t="s">
        <v>544</v>
      </c>
      <c r="B284" s="1">
        <v>743.24099999999896</v>
      </c>
      <c r="C284" s="1">
        <v>2252.25</v>
      </c>
      <c r="D284" s="4">
        <f t="shared" si="4"/>
        <v>3377.555625</v>
      </c>
    </row>
    <row r="285" spans="1:4" x14ac:dyDescent="0.3">
      <c r="A285" s="3" t="s">
        <v>545</v>
      </c>
      <c r="B285" s="1">
        <v>614.774</v>
      </c>
      <c r="C285" s="1">
        <v>1862.9459999999999</v>
      </c>
      <c r="D285" s="4">
        <f t="shared" si="4"/>
        <v>3026.2087649999999</v>
      </c>
    </row>
    <row r="286" spans="1:4" x14ac:dyDescent="0.3">
      <c r="A286" s="3" t="s">
        <v>546</v>
      </c>
      <c r="B286" s="1">
        <v>857.65444444444404</v>
      </c>
      <c r="C286" s="1">
        <v>2598.9666666666599</v>
      </c>
      <c r="D286" s="4">
        <f t="shared" si="4"/>
        <v>3690.4674166666605</v>
      </c>
    </row>
    <row r="287" spans="1:4" x14ac:dyDescent="0.3">
      <c r="A287" s="3" t="s">
        <v>547</v>
      </c>
      <c r="B287" s="1">
        <v>543.73599999999999</v>
      </c>
      <c r="C287" s="1">
        <v>1647.69199999999</v>
      </c>
      <c r="D287" s="4">
        <f t="shared" si="4"/>
        <v>2831.9420299999911</v>
      </c>
    </row>
    <row r="288" spans="1:4" x14ac:dyDescent="0.3">
      <c r="A288" s="3" t="s">
        <v>548</v>
      </c>
      <c r="B288" s="1">
        <v>785.09199999999998</v>
      </c>
      <c r="C288" s="1">
        <v>2379.0599999999899</v>
      </c>
      <c r="D288" s="4">
        <f t="shared" si="4"/>
        <v>3492.0016499999911</v>
      </c>
    </row>
    <row r="289" spans="1:6" x14ac:dyDescent="0.3">
      <c r="A289" s="3" t="s">
        <v>549</v>
      </c>
      <c r="B289" s="1">
        <v>709.28899999999896</v>
      </c>
      <c r="C289" s="1">
        <v>2149.3699999999899</v>
      </c>
      <c r="D289" s="4">
        <f t="shared" si="4"/>
        <v>3284.7064249999912</v>
      </c>
    </row>
    <row r="290" spans="1:6" x14ac:dyDescent="0.3">
      <c r="A290" s="3" t="s">
        <v>550</v>
      </c>
      <c r="B290" s="1">
        <v>513.72900000000004</v>
      </c>
      <c r="C290" s="1">
        <v>1556.7550000000001</v>
      </c>
      <c r="D290" s="4">
        <f t="shared" si="4"/>
        <v>2749.8713875000003</v>
      </c>
    </row>
    <row r="291" spans="1:6" x14ac:dyDescent="0.3">
      <c r="A291" s="3" t="s">
        <v>551</v>
      </c>
      <c r="B291" s="1">
        <v>752.95499999999902</v>
      </c>
      <c r="C291" s="1">
        <v>2281.6639999999902</v>
      </c>
      <c r="D291" s="4">
        <f t="shared" si="4"/>
        <v>3404.1017599999914</v>
      </c>
    </row>
    <row r="292" spans="1:6" x14ac:dyDescent="0.3">
      <c r="A292" s="3" t="s">
        <v>552</v>
      </c>
      <c r="B292" s="1">
        <v>824.76499999999896</v>
      </c>
      <c r="C292" s="1">
        <v>2499.28999999999</v>
      </c>
      <c r="D292" s="4">
        <f t="shared" si="4"/>
        <v>3600.5092249999911</v>
      </c>
    </row>
    <row r="293" spans="1:6" x14ac:dyDescent="0.3">
      <c r="A293" s="3" t="s">
        <v>553</v>
      </c>
      <c r="B293" s="1">
        <v>955.09500000000003</v>
      </c>
      <c r="C293" s="1">
        <v>2894.21</v>
      </c>
      <c r="D293" s="4">
        <f t="shared" si="4"/>
        <v>3956.9245249999999</v>
      </c>
    </row>
    <row r="294" spans="1:6" x14ac:dyDescent="0.3">
      <c r="A294" s="3" t="s">
        <v>554</v>
      </c>
      <c r="B294" s="1">
        <v>875.995</v>
      </c>
      <c r="C294" s="1">
        <v>2654.5166666666601</v>
      </c>
      <c r="D294" s="4">
        <f t="shared" si="4"/>
        <v>3740.6012916666609</v>
      </c>
    </row>
    <row r="295" spans="1:6" x14ac:dyDescent="0.3">
      <c r="A295" s="3" t="s">
        <v>555</v>
      </c>
      <c r="B295" s="1">
        <v>525.71333333333303</v>
      </c>
      <c r="C295" s="1">
        <v>1593.06666666666</v>
      </c>
      <c r="D295" s="4">
        <f t="shared" si="4"/>
        <v>2782.6426666666607</v>
      </c>
      <c r="F295" s="1">
        <f>AVERAGE(D295:D318)</f>
        <v>3118.235168550606</v>
      </c>
    </row>
    <row r="296" spans="1:6" x14ac:dyDescent="0.3">
      <c r="A296" s="3" t="s">
        <v>556</v>
      </c>
      <c r="B296" s="1">
        <v>643.74599999999896</v>
      </c>
      <c r="C296" s="1">
        <v>1950.75</v>
      </c>
      <c r="D296" s="4">
        <f t="shared" si="4"/>
        <v>3105.4518749999997</v>
      </c>
    </row>
    <row r="297" spans="1:6" x14ac:dyDescent="0.3">
      <c r="A297" s="3" t="s">
        <v>557</v>
      </c>
      <c r="B297" s="1">
        <v>468.73909090909001</v>
      </c>
      <c r="C297" s="1">
        <v>1420.4154545454501</v>
      </c>
      <c r="D297" s="4">
        <f t="shared" si="4"/>
        <v>2626.8249477272684</v>
      </c>
    </row>
    <row r="298" spans="1:6" x14ac:dyDescent="0.3">
      <c r="A298" s="3" t="s">
        <v>558</v>
      </c>
      <c r="B298" s="1">
        <v>478.08444444444399</v>
      </c>
      <c r="C298" s="1">
        <v>1448.73888888888</v>
      </c>
      <c r="D298" s="4">
        <f t="shared" si="4"/>
        <v>2652.3868472222139</v>
      </c>
    </row>
    <row r="299" spans="1:6" x14ac:dyDescent="0.3">
      <c r="A299" s="3" t="s">
        <v>559</v>
      </c>
      <c r="B299" s="1">
        <v>655.11300000000006</v>
      </c>
      <c r="C299" s="1">
        <v>1985.2</v>
      </c>
      <c r="D299" s="4">
        <f t="shared" si="4"/>
        <v>3136.5430000000001</v>
      </c>
    </row>
    <row r="300" spans="1:6" x14ac:dyDescent="0.3">
      <c r="A300" s="3" t="s">
        <v>560</v>
      </c>
      <c r="B300" s="1">
        <v>652.54899999999895</v>
      </c>
      <c r="C300" s="1">
        <v>1977.4</v>
      </c>
      <c r="D300" s="4">
        <f t="shared" si="4"/>
        <v>3129.5034999999998</v>
      </c>
    </row>
    <row r="301" spans="1:6" x14ac:dyDescent="0.3">
      <c r="A301" s="3" t="s">
        <v>561</v>
      </c>
      <c r="B301" s="1">
        <v>582.41899999999998</v>
      </c>
      <c r="C301" s="1">
        <v>1764.8999999999901</v>
      </c>
      <c r="D301" s="4">
        <f t="shared" si="4"/>
        <v>2937.7222499999912</v>
      </c>
    </row>
    <row r="302" spans="1:6" x14ac:dyDescent="0.3">
      <c r="A302" s="3" t="s">
        <v>562</v>
      </c>
      <c r="B302" s="1">
        <v>664.44555555555496</v>
      </c>
      <c r="C302" s="1">
        <v>2013.4666666666601</v>
      </c>
      <c r="D302" s="4">
        <f t="shared" si="4"/>
        <v>3162.0536666666608</v>
      </c>
    </row>
    <row r="303" spans="1:6" x14ac:dyDescent="0.3">
      <c r="A303" s="3" t="s">
        <v>563</v>
      </c>
      <c r="B303" s="1">
        <v>635.96600000000001</v>
      </c>
      <c r="C303" s="1">
        <v>1927.18</v>
      </c>
      <c r="D303" s="4">
        <f t="shared" si="4"/>
        <v>3084.1799500000002</v>
      </c>
    </row>
    <row r="304" spans="1:6" x14ac:dyDescent="0.3">
      <c r="A304" s="3" t="s">
        <v>564</v>
      </c>
      <c r="B304" s="1">
        <v>717.86900000000003</v>
      </c>
      <c r="C304" s="1">
        <v>2175.3599999999901</v>
      </c>
      <c r="D304" s="4">
        <f t="shared" si="4"/>
        <v>3308.1623999999911</v>
      </c>
    </row>
    <row r="305" spans="1:6" x14ac:dyDescent="0.3">
      <c r="A305" s="3" t="s">
        <v>565</v>
      </c>
      <c r="B305" s="1">
        <v>671.68555555555497</v>
      </c>
      <c r="C305" s="1">
        <v>2035.3999999999901</v>
      </c>
      <c r="D305" s="4">
        <f t="shared" si="4"/>
        <v>3181.848499999991</v>
      </c>
    </row>
    <row r="306" spans="1:6" x14ac:dyDescent="0.3">
      <c r="A306" s="3" t="s">
        <v>566</v>
      </c>
      <c r="B306" s="1">
        <v>670.52999999999895</v>
      </c>
      <c r="C306" s="1">
        <v>2031.9</v>
      </c>
      <c r="D306" s="4">
        <f t="shared" si="4"/>
        <v>3178.68975</v>
      </c>
    </row>
    <row r="307" spans="1:6" x14ac:dyDescent="0.3">
      <c r="A307" s="3" t="s">
        <v>567</v>
      </c>
      <c r="B307" s="1">
        <v>681.76700000000005</v>
      </c>
      <c r="C307" s="1">
        <v>2065.96</v>
      </c>
      <c r="D307" s="4">
        <f t="shared" si="4"/>
        <v>3209.4288999999999</v>
      </c>
    </row>
    <row r="308" spans="1:6" x14ac:dyDescent="0.3">
      <c r="A308" s="3" t="s">
        <v>568</v>
      </c>
      <c r="B308" s="1">
        <v>724.04700000000003</v>
      </c>
      <c r="C308" s="1">
        <v>2194.0700000000002</v>
      </c>
      <c r="D308" s="4">
        <f t="shared" si="4"/>
        <v>3325.0481749999999</v>
      </c>
    </row>
    <row r="309" spans="1:6" x14ac:dyDescent="0.3">
      <c r="A309" s="3" t="s">
        <v>569</v>
      </c>
      <c r="B309" s="1">
        <v>503.627777777777</v>
      </c>
      <c r="C309" s="1">
        <v>1526.1444444444401</v>
      </c>
      <c r="D309" s="4">
        <f t="shared" si="4"/>
        <v>2722.2453611111073</v>
      </c>
    </row>
    <row r="310" spans="1:6" x14ac:dyDescent="0.3">
      <c r="A310" s="3" t="s">
        <v>570</v>
      </c>
      <c r="B310" s="1">
        <v>700.34111111111099</v>
      </c>
      <c r="C310" s="1">
        <v>2122.2666666666601</v>
      </c>
      <c r="D310" s="4">
        <f t="shared" si="4"/>
        <v>3260.2456666666608</v>
      </c>
    </row>
    <row r="311" spans="1:6" x14ac:dyDescent="0.3">
      <c r="A311" s="3" t="s">
        <v>571</v>
      </c>
      <c r="B311" s="1">
        <v>712.31199999999899</v>
      </c>
      <c r="C311" s="1">
        <v>2158.5300000000002</v>
      </c>
      <c r="D311" s="4">
        <f t="shared" si="4"/>
        <v>3292.9733249999999</v>
      </c>
    </row>
    <row r="312" spans="1:6" x14ac:dyDescent="0.3">
      <c r="A312" s="3" t="s">
        <v>572</v>
      </c>
      <c r="B312" s="1">
        <v>790.97</v>
      </c>
      <c r="C312" s="1">
        <v>2396.8699999999899</v>
      </c>
      <c r="D312" s="4">
        <f t="shared" si="4"/>
        <v>3508.0751749999908</v>
      </c>
    </row>
    <row r="313" spans="1:6" x14ac:dyDescent="0.3">
      <c r="A313" s="3" t="s">
        <v>573</v>
      </c>
      <c r="B313" s="1">
        <v>565.36900000000003</v>
      </c>
      <c r="C313" s="1">
        <v>1713.23199999999</v>
      </c>
      <c r="D313" s="4">
        <f t="shared" si="4"/>
        <v>2891.0918799999909</v>
      </c>
    </row>
    <row r="314" spans="1:6" x14ac:dyDescent="0.3">
      <c r="A314" s="3" t="s">
        <v>574</v>
      </c>
      <c r="B314" s="1">
        <v>653.08099999999899</v>
      </c>
      <c r="C314" s="1">
        <v>1979.03999999999</v>
      </c>
      <c r="D314" s="4">
        <f t="shared" si="4"/>
        <v>3130.9835999999909</v>
      </c>
    </row>
    <row r="315" spans="1:6" x14ac:dyDescent="0.3">
      <c r="A315" s="3" t="s">
        <v>575</v>
      </c>
      <c r="B315" s="1">
        <v>706.24727272727205</v>
      </c>
      <c r="C315" s="1">
        <v>2140.1363636363599</v>
      </c>
      <c r="D315" s="4">
        <f t="shared" si="4"/>
        <v>3276.3730681818151</v>
      </c>
    </row>
    <row r="316" spans="1:6" x14ac:dyDescent="0.3">
      <c r="A316" s="3" t="s">
        <v>576</v>
      </c>
      <c r="B316" s="1">
        <v>716.85299999999995</v>
      </c>
      <c r="C316" s="1">
        <v>2172.28999999999</v>
      </c>
      <c r="D316" s="4">
        <f t="shared" si="4"/>
        <v>3305.3917249999909</v>
      </c>
    </row>
    <row r="317" spans="1:6" x14ac:dyDescent="0.3">
      <c r="A317" s="3" t="s">
        <v>577</v>
      </c>
      <c r="B317" s="1">
        <v>702.638888888888</v>
      </c>
      <c r="C317" s="1">
        <v>2129.1888888888798</v>
      </c>
      <c r="D317" s="4">
        <f t="shared" si="4"/>
        <v>3266.4929722222141</v>
      </c>
    </row>
    <row r="318" spans="1:6" x14ac:dyDescent="0.3">
      <c r="A318" s="3" t="s">
        <v>578</v>
      </c>
      <c r="B318" s="1">
        <v>738.02374999999904</v>
      </c>
      <c r="C318" s="1">
        <v>2236.4375</v>
      </c>
      <c r="D318" s="4">
        <f t="shared" si="4"/>
        <v>3363.2848437499997</v>
      </c>
    </row>
    <row r="319" spans="1:6" x14ac:dyDescent="0.3">
      <c r="A319" s="3" t="s">
        <v>579</v>
      </c>
      <c r="B319" s="1">
        <v>980.18</v>
      </c>
      <c r="C319" s="1">
        <v>2970.2545454545402</v>
      </c>
      <c r="D319" s="4">
        <f t="shared" si="4"/>
        <v>4025.5547272727226</v>
      </c>
      <c r="F319" s="1">
        <f>AVERAGE(D319:D342)</f>
        <v>4310.7336511363601</v>
      </c>
    </row>
    <row r="320" spans="1:6" x14ac:dyDescent="0.3">
      <c r="A320" s="3" t="s">
        <v>580</v>
      </c>
      <c r="B320" s="1">
        <v>1017.356</v>
      </c>
      <c r="C320" s="1">
        <v>3082.9</v>
      </c>
      <c r="D320" s="4">
        <f t="shared" si="4"/>
        <v>4127.2172499999997</v>
      </c>
    </row>
    <row r="321" spans="1:4" x14ac:dyDescent="0.3">
      <c r="A321" s="3" t="s">
        <v>581</v>
      </c>
      <c r="B321" s="1">
        <v>845.48800000000006</v>
      </c>
      <c r="C321" s="1">
        <v>2562.11</v>
      </c>
      <c r="D321" s="4">
        <f t="shared" si="4"/>
        <v>3657.2042750000001</v>
      </c>
    </row>
    <row r="322" spans="1:4" x14ac:dyDescent="0.3">
      <c r="A322" s="3" t="s">
        <v>582</v>
      </c>
      <c r="B322" s="1">
        <v>892.39999999999895</v>
      </c>
      <c r="C322" s="1">
        <v>2704.21</v>
      </c>
      <c r="D322" s="4">
        <f t="shared" si="4"/>
        <v>3785.449525</v>
      </c>
    </row>
    <row r="323" spans="1:4" x14ac:dyDescent="0.3">
      <c r="A323" s="3" t="s">
        <v>583</v>
      </c>
      <c r="B323" s="1">
        <v>1188.78799999999</v>
      </c>
      <c r="C323" s="1">
        <v>3602.38</v>
      </c>
      <c r="D323" s="4">
        <f t="shared" si="4"/>
        <v>4596.0479500000001</v>
      </c>
    </row>
    <row r="324" spans="1:4" x14ac:dyDescent="0.3">
      <c r="A324" s="3" t="s">
        <v>584</v>
      </c>
      <c r="B324" s="1">
        <v>1082.4659999999899</v>
      </c>
      <c r="C324" s="1">
        <v>3280.25</v>
      </c>
      <c r="D324" s="4">
        <f t="shared" si="4"/>
        <v>4305.3256249999995</v>
      </c>
    </row>
    <row r="325" spans="1:4" x14ac:dyDescent="0.3">
      <c r="A325" s="3" t="s">
        <v>585</v>
      </c>
      <c r="B325" s="1">
        <v>1340.37777777777</v>
      </c>
      <c r="C325" s="1">
        <v>4061.7222222222199</v>
      </c>
      <c r="D325" s="4">
        <f t="shared" si="4"/>
        <v>5010.6043055555529</v>
      </c>
    </row>
    <row r="326" spans="1:4" x14ac:dyDescent="0.3">
      <c r="A326" s="3" t="s">
        <v>586</v>
      </c>
      <c r="B326" s="1">
        <v>1019.73888888888</v>
      </c>
      <c r="C326" s="1">
        <v>3090.13333333333</v>
      </c>
      <c r="D326" s="4">
        <f t="shared" si="4"/>
        <v>4133.7453333333306</v>
      </c>
    </row>
    <row r="327" spans="1:4" x14ac:dyDescent="0.3">
      <c r="A327" s="3" t="s">
        <v>587</v>
      </c>
      <c r="B327" s="1">
        <v>1096.5219999999999</v>
      </c>
      <c r="C327" s="1">
        <v>3322.8199999999902</v>
      </c>
      <c r="D327" s="4">
        <f t="shared" si="4"/>
        <v>4343.7450499999904</v>
      </c>
    </row>
    <row r="328" spans="1:4" x14ac:dyDescent="0.3">
      <c r="A328" s="3" t="s">
        <v>588</v>
      </c>
      <c r="B328" s="1">
        <v>1092.4159999999899</v>
      </c>
      <c r="C328" s="1">
        <v>3310.3699999999899</v>
      </c>
      <c r="D328" s="4">
        <f t="shared" ref="D328:D391" si="5">0.9025*C328+1344.9</f>
        <v>4332.508924999991</v>
      </c>
    </row>
    <row r="329" spans="1:4" x14ac:dyDescent="0.3">
      <c r="A329" s="3" t="s">
        <v>589</v>
      </c>
      <c r="B329" s="1">
        <v>1130.104</v>
      </c>
      <c r="C329" s="1">
        <v>3424.51999999999</v>
      </c>
      <c r="D329" s="4">
        <f t="shared" si="5"/>
        <v>4435.5292999999911</v>
      </c>
    </row>
    <row r="330" spans="1:4" x14ac:dyDescent="0.3">
      <c r="A330" s="3" t="s">
        <v>590</v>
      </c>
      <c r="B330" s="1">
        <v>1254.33</v>
      </c>
      <c r="C330" s="1">
        <v>3800.9699999999898</v>
      </c>
      <c r="D330" s="4">
        <f t="shared" si="5"/>
        <v>4775.2754249999907</v>
      </c>
    </row>
    <row r="331" spans="1:4" x14ac:dyDescent="0.3">
      <c r="A331" s="3" t="s">
        <v>591</v>
      </c>
      <c r="B331" s="1">
        <v>1009.607</v>
      </c>
      <c r="C331" s="1">
        <v>3059.4199999999901</v>
      </c>
      <c r="D331" s="4">
        <f t="shared" si="5"/>
        <v>4106.0265499999914</v>
      </c>
    </row>
    <row r="332" spans="1:4" x14ac:dyDescent="0.3">
      <c r="A332" s="3" t="s">
        <v>592</v>
      </c>
      <c r="B332" s="1">
        <v>1207.471</v>
      </c>
      <c r="C332" s="1">
        <v>3659.01999999999</v>
      </c>
      <c r="D332" s="4">
        <f t="shared" si="5"/>
        <v>4647.1655499999906</v>
      </c>
    </row>
    <row r="333" spans="1:4" x14ac:dyDescent="0.3">
      <c r="A333" s="3" t="s">
        <v>593</v>
      </c>
      <c r="B333" s="1">
        <v>1154.29799999999</v>
      </c>
      <c r="C333" s="1">
        <v>3497.8499999999899</v>
      </c>
      <c r="D333" s="4">
        <f t="shared" si="5"/>
        <v>4501.7096249999904</v>
      </c>
    </row>
    <row r="334" spans="1:4" x14ac:dyDescent="0.3">
      <c r="A334" s="3" t="s">
        <v>594</v>
      </c>
      <c r="B334" s="1">
        <v>1153.0633333333301</v>
      </c>
      <c r="C334" s="1">
        <v>3494.12222222222</v>
      </c>
      <c r="D334" s="4">
        <f t="shared" si="5"/>
        <v>4498.3453055555528</v>
      </c>
    </row>
    <row r="335" spans="1:4" x14ac:dyDescent="0.3">
      <c r="A335" s="3" t="s">
        <v>595</v>
      </c>
      <c r="B335" s="1">
        <v>1055.68299999999</v>
      </c>
      <c r="C335" s="1">
        <v>3199.03999999999</v>
      </c>
      <c r="D335" s="4">
        <f t="shared" si="5"/>
        <v>4232.0335999999916</v>
      </c>
    </row>
    <row r="336" spans="1:4" x14ac:dyDescent="0.3">
      <c r="A336" s="3" t="s">
        <v>596</v>
      </c>
      <c r="B336" s="1">
        <v>1265.30799999999</v>
      </c>
      <c r="C336" s="1">
        <v>3834.27</v>
      </c>
      <c r="D336" s="4">
        <f t="shared" si="5"/>
        <v>4805.3286749999997</v>
      </c>
    </row>
    <row r="337" spans="1:6" x14ac:dyDescent="0.3">
      <c r="A337" s="3" t="s">
        <v>597</v>
      </c>
      <c r="B337" s="1">
        <v>964.00444444444395</v>
      </c>
      <c r="C337" s="1">
        <v>2921.1999999999898</v>
      </c>
      <c r="D337" s="4">
        <f t="shared" si="5"/>
        <v>3981.2829999999908</v>
      </c>
    </row>
    <row r="338" spans="1:6" x14ac:dyDescent="0.3">
      <c r="A338" s="3" t="s">
        <v>598</v>
      </c>
      <c r="B338" s="1">
        <v>1032.633</v>
      </c>
      <c r="C338" s="1">
        <v>3129.2199999999898</v>
      </c>
      <c r="D338" s="4">
        <f t="shared" si="5"/>
        <v>4169.0210499999903</v>
      </c>
    </row>
    <row r="339" spans="1:6" x14ac:dyDescent="0.3">
      <c r="A339" s="3" t="s">
        <v>599</v>
      </c>
      <c r="B339" s="1">
        <v>1118.71999999999</v>
      </c>
      <c r="C339" s="1">
        <v>3390.0999999999899</v>
      </c>
      <c r="D339" s="4">
        <f t="shared" si="5"/>
        <v>4404.4652499999911</v>
      </c>
    </row>
    <row r="340" spans="1:6" x14ac:dyDescent="0.3">
      <c r="A340" s="3" t="s">
        <v>600</v>
      </c>
      <c r="B340" s="1">
        <v>1076.646</v>
      </c>
      <c r="C340" s="1">
        <v>3262.56</v>
      </c>
      <c r="D340" s="4">
        <f t="shared" si="5"/>
        <v>4289.3603999999996</v>
      </c>
    </row>
    <row r="341" spans="1:6" x14ac:dyDescent="0.3">
      <c r="A341" s="3" t="s">
        <v>601</v>
      </c>
      <c r="B341" s="1">
        <v>993.31099999999901</v>
      </c>
      <c r="C341" s="1">
        <v>3010.05</v>
      </c>
      <c r="D341" s="4">
        <f t="shared" si="5"/>
        <v>4061.4701250000003</v>
      </c>
    </row>
    <row r="342" spans="1:6" x14ac:dyDescent="0.3">
      <c r="A342" s="3" t="s">
        <v>602</v>
      </c>
      <c r="B342" s="1">
        <v>1056.0988888888801</v>
      </c>
      <c r="C342" s="1">
        <v>3200.3222222222198</v>
      </c>
      <c r="D342" s="4">
        <f t="shared" si="5"/>
        <v>4233.1908055555532</v>
      </c>
    </row>
    <row r="343" spans="1:6" x14ac:dyDescent="0.3">
      <c r="A343" s="3" t="s">
        <v>603</v>
      </c>
      <c r="B343" s="1">
        <v>769.48099999999897</v>
      </c>
      <c r="C343" s="1">
        <v>2331.75</v>
      </c>
      <c r="D343" s="4">
        <f t="shared" si="5"/>
        <v>3449.3043750000002</v>
      </c>
      <c r="F343" s="1">
        <f>AVERAGE(D343:D366)</f>
        <v>3075.5653466813933</v>
      </c>
    </row>
    <row r="344" spans="1:6" x14ac:dyDescent="0.3">
      <c r="A344" s="3" t="s">
        <v>604</v>
      </c>
      <c r="B344" s="1">
        <v>772.15799999999899</v>
      </c>
      <c r="C344" s="1">
        <v>2339.8699999999899</v>
      </c>
      <c r="D344" s="4">
        <f t="shared" si="5"/>
        <v>3456.6326749999907</v>
      </c>
    </row>
    <row r="345" spans="1:6" x14ac:dyDescent="0.3">
      <c r="A345" s="3" t="s">
        <v>605</v>
      </c>
      <c r="B345" s="1">
        <v>527.72500000000002</v>
      </c>
      <c r="C345" s="1">
        <v>1599.18</v>
      </c>
      <c r="D345" s="4">
        <f t="shared" si="5"/>
        <v>2788.1599500000002</v>
      </c>
    </row>
    <row r="346" spans="1:6" x14ac:dyDescent="0.3">
      <c r="A346" s="3" t="s">
        <v>606</v>
      </c>
      <c r="B346" s="1">
        <v>716.59666666666601</v>
      </c>
      <c r="C346" s="1">
        <v>2171.51111111111</v>
      </c>
      <c r="D346" s="4">
        <f t="shared" si="5"/>
        <v>3304.6887777777765</v>
      </c>
    </row>
    <row r="347" spans="1:6" x14ac:dyDescent="0.3">
      <c r="A347" s="3" t="s">
        <v>607</v>
      </c>
      <c r="B347" s="1">
        <v>702.09799999999905</v>
      </c>
      <c r="C347" s="1">
        <v>2127.58</v>
      </c>
      <c r="D347" s="4">
        <f t="shared" si="5"/>
        <v>3265.0409500000001</v>
      </c>
    </row>
    <row r="348" spans="1:6" x14ac:dyDescent="0.3">
      <c r="A348" s="3" t="s">
        <v>608</v>
      </c>
      <c r="B348" s="1">
        <v>659.50099999999895</v>
      </c>
      <c r="C348" s="1">
        <v>1998.49</v>
      </c>
      <c r="D348" s="4">
        <f t="shared" si="5"/>
        <v>3148.537225</v>
      </c>
    </row>
    <row r="349" spans="1:6" x14ac:dyDescent="0.3">
      <c r="A349" s="3" t="s">
        <v>609</v>
      </c>
      <c r="B349" s="1">
        <v>614.29100000000005</v>
      </c>
      <c r="C349" s="1">
        <v>1861.48</v>
      </c>
      <c r="D349" s="4">
        <f t="shared" si="5"/>
        <v>3024.8856999999998</v>
      </c>
    </row>
    <row r="350" spans="1:6" x14ac:dyDescent="0.3">
      <c r="A350" s="3" t="s">
        <v>610</v>
      </c>
      <c r="B350" s="1">
        <v>771.32100000000003</v>
      </c>
      <c r="C350" s="1">
        <v>2337.3499999999899</v>
      </c>
      <c r="D350" s="4">
        <f t="shared" si="5"/>
        <v>3454.3583749999907</v>
      </c>
    </row>
    <row r="351" spans="1:6" x14ac:dyDescent="0.3">
      <c r="A351" s="3" t="s">
        <v>611</v>
      </c>
      <c r="B351" s="1">
        <v>626.51099999999894</v>
      </c>
      <c r="C351" s="1">
        <v>1898.52999999999</v>
      </c>
      <c r="D351" s="4">
        <f t="shared" si="5"/>
        <v>3058.3233249999912</v>
      </c>
    </row>
    <row r="352" spans="1:6" x14ac:dyDescent="0.3">
      <c r="A352" s="3" t="s">
        <v>612</v>
      </c>
      <c r="B352" s="1">
        <v>591.84888888888804</v>
      </c>
      <c r="C352" s="1">
        <v>1793.4666666666601</v>
      </c>
      <c r="D352" s="4">
        <f t="shared" si="5"/>
        <v>2963.503666666661</v>
      </c>
    </row>
    <row r="353" spans="1:6" x14ac:dyDescent="0.3">
      <c r="A353" s="3" t="s">
        <v>613</v>
      </c>
      <c r="B353" s="1">
        <v>545.356666666666</v>
      </c>
      <c r="C353" s="1">
        <v>1652.5999999999899</v>
      </c>
      <c r="D353" s="4">
        <f t="shared" si="5"/>
        <v>2836.3714999999911</v>
      </c>
    </row>
    <row r="354" spans="1:6" x14ac:dyDescent="0.3">
      <c r="A354" s="3" t="s">
        <v>614</v>
      </c>
      <c r="B354" s="1">
        <v>696.282222222222</v>
      </c>
      <c r="C354" s="1">
        <v>2109.9444444444398</v>
      </c>
      <c r="D354" s="4">
        <f t="shared" si="5"/>
        <v>3249.1248611111068</v>
      </c>
    </row>
    <row r="355" spans="1:6" x14ac:dyDescent="0.3">
      <c r="A355" s="3" t="s">
        <v>615</v>
      </c>
      <c r="B355" s="1">
        <v>548.921999999999</v>
      </c>
      <c r="C355" s="1">
        <v>1663.39</v>
      </c>
      <c r="D355" s="4">
        <f t="shared" si="5"/>
        <v>2846.1094750000002</v>
      </c>
    </row>
    <row r="356" spans="1:6" x14ac:dyDescent="0.3">
      <c r="A356" s="3" t="s">
        <v>616</v>
      </c>
      <c r="B356" s="1">
        <v>595.13999999999896</v>
      </c>
      <c r="C356" s="1">
        <v>1803.46</v>
      </c>
      <c r="D356" s="4">
        <f t="shared" si="5"/>
        <v>2972.5226499999999</v>
      </c>
    </row>
    <row r="357" spans="1:6" x14ac:dyDescent="0.3">
      <c r="A357" s="3" t="s">
        <v>617</v>
      </c>
      <c r="B357" s="1">
        <v>697.91300000000001</v>
      </c>
      <c r="C357" s="1">
        <v>2114.9</v>
      </c>
      <c r="D357" s="4">
        <f t="shared" si="5"/>
        <v>3253.5972499999998</v>
      </c>
    </row>
    <row r="358" spans="1:6" x14ac:dyDescent="0.3">
      <c r="A358" s="3" t="s">
        <v>618</v>
      </c>
      <c r="B358" s="1">
        <v>710.30555555555497</v>
      </c>
      <c r="C358" s="1">
        <v>2152.4444444444398</v>
      </c>
      <c r="D358" s="4">
        <f t="shared" si="5"/>
        <v>3287.4811111111067</v>
      </c>
    </row>
    <row r="359" spans="1:6" x14ac:dyDescent="0.3">
      <c r="A359" s="3" t="s">
        <v>619</v>
      </c>
      <c r="B359" s="1">
        <v>562.87900000000002</v>
      </c>
      <c r="C359" s="1">
        <v>1705.6899999999901</v>
      </c>
      <c r="D359" s="4">
        <f t="shared" si="5"/>
        <v>2884.285224999991</v>
      </c>
    </row>
    <row r="360" spans="1:6" x14ac:dyDescent="0.3">
      <c r="A360" s="3" t="s">
        <v>620</v>
      </c>
      <c r="B360" s="1">
        <v>600.87</v>
      </c>
      <c r="C360" s="1">
        <v>1820.81</v>
      </c>
      <c r="D360" s="4">
        <f t="shared" si="5"/>
        <v>2988.1810249999999</v>
      </c>
    </row>
    <row r="361" spans="1:6" x14ac:dyDescent="0.3">
      <c r="A361" s="3" t="s">
        <v>621</v>
      </c>
      <c r="B361" s="1">
        <v>499.98500000000001</v>
      </c>
      <c r="C361" s="1">
        <v>1515.107</v>
      </c>
      <c r="D361" s="4">
        <f t="shared" si="5"/>
        <v>2712.2840674999998</v>
      </c>
    </row>
    <row r="362" spans="1:6" x14ac:dyDescent="0.3">
      <c r="A362" s="3" t="s">
        <v>622</v>
      </c>
      <c r="B362" s="1">
        <v>494.79500000000002</v>
      </c>
      <c r="C362" s="1">
        <v>1499.3869999999999</v>
      </c>
      <c r="D362" s="4">
        <f t="shared" si="5"/>
        <v>2698.0967675000002</v>
      </c>
    </row>
    <row r="363" spans="1:6" x14ac:dyDescent="0.3">
      <c r="A363" s="3" t="s">
        <v>623</v>
      </c>
      <c r="B363" s="1">
        <v>625.90454545454497</v>
      </c>
      <c r="C363" s="1">
        <v>1896.6818181818101</v>
      </c>
      <c r="D363" s="4">
        <f t="shared" si="5"/>
        <v>3056.6553409090839</v>
      </c>
    </row>
    <row r="364" spans="1:6" x14ac:dyDescent="0.3">
      <c r="A364" s="3" t="s">
        <v>624</v>
      </c>
      <c r="B364" s="1">
        <v>763.48900000000003</v>
      </c>
      <c r="C364" s="1">
        <v>2313.6199999999899</v>
      </c>
      <c r="D364" s="4">
        <f t="shared" si="5"/>
        <v>3432.942049999991</v>
      </c>
    </row>
    <row r="365" spans="1:6" x14ac:dyDescent="0.3">
      <c r="A365" s="3" t="s">
        <v>625</v>
      </c>
      <c r="B365" s="1">
        <v>553.57777777777699</v>
      </c>
      <c r="C365" s="1">
        <v>1677.52444444444</v>
      </c>
      <c r="D365" s="4">
        <f t="shared" si="5"/>
        <v>2858.8658111111072</v>
      </c>
    </row>
    <row r="366" spans="1:6" x14ac:dyDescent="0.3">
      <c r="A366" s="3" t="s">
        <v>626</v>
      </c>
      <c r="B366" s="1">
        <v>540.69222222222197</v>
      </c>
      <c r="C366" s="1">
        <v>1638.4666666666601</v>
      </c>
      <c r="D366" s="4">
        <f t="shared" si="5"/>
        <v>2823.6161666666608</v>
      </c>
    </row>
    <row r="367" spans="1:6" x14ac:dyDescent="0.3">
      <c r="A367" s="3" t="s">
        <v>627</v>
      </c>
      <c r="B367" s="1">
        <v>662.64599999999996</v>
      </c>
      <c r="C367" s="1">
        <v>2008.01999999999</v>
      </c>
      <c r="D367" s="4">
        <f t="shared" si="5"/>
        <v>3157.1380499999909</v>
      </c>
      <c r="F367" s="1">
        <f>AVERAGE(D367:D390)</f>
        <v>2437.9582041066892</v>
      </c>
    </row>
    <row r="368" spans="1:6" x14ac:dyDescent="0.3">
      <c r="A368" s="3" t="s">
        <v>628</v>
      </c>
      <c r="B368" s="1">
        <v>566.07899999999904</v>
      </c>
      <c r="C368" s="1">
        <v>1715.39</v>
      </c>
      <c r="D368" s="4">
        <f t="shared" si="5"/>
        <v>2893.039475</v>
      </c>
    </row>
    <row r="369" spans="1:4" x14ac:dyDescent="0.3">
      <c r="A369" s="3" t="s">
        <v>629</v>
      </c>
      <c r="B369" s="1">
        <v>400.54599999999903</v>
      </c>
      <c r="C369" s="1">
        <v>1213.7670000000001</v>
      </c>
      <c r="D369" s="4">
        <f t="shared" si="5"/>
        <v>2440.3247175000001</v>
      </c>
    </row>
    <row r="370" spans="1:4" x14ac:dyDescent="0.3">
      <c r="A370" s="3" t="s">
        <v>630</v>
      </c>
      <c r="B370" s="1">
        <v>378.26222222222202</v>
      </c>
      <c r="C370" s="1">
        <v>1146.2522222222201</v>
      </c>
      <c r="D370" s="4">
        <f t="shared" si="5"/>
        <v>2379.3926305555538</v>
      </c>
    </row>
    <row r="371" spans="1:4" x14ac:dyDescent="0.3">
      <c r="A371" s="3" t="s">
        <v>631</v>
      </c>
      <c r="B371" s="1">
        <v>408.12727272727199</v>
      </c>
      <c r="C371" s="1">
        <v>1236.75181818181</v>
      </c>
      <c r="D371" s="4">
        <f t="shared" si="5"/>
        <v>2461.0685159090835</v>
      </c>
    </row>
    <row r="372" spans="1:4" x14ac:dyDescent="0.3">
      <c r="A372" s="3" t="s">
        <v>632</v>
      </c>
      <c r="B372" s="1">
        <v>535.64499999999896</v>
      </c>
      <c r="C372" s="1">
        <v>1623.16</v>
      </c>
      <c r="D372" s="4">
        <f t="shared" si="5"/>
        <v>2809.8019000000004</v>
      </c>
    </row>
    <row r="373" spans="1:4" x14ac:dyDescent="0.3">
      <c r="A373" s="3" t="s">
        <v>633</v>
      </c>
      <c r="B373" s="1">
        <v>370.358</v>
      </c>
      <c r="C373" s="1">
        <v>1122.299</v>
      </c>
      <c r="D373" s="4">
        <f t="shared" si="5"/>
        <v>2357.7748474999999</v>
      </c>
    </row>
    <row r="374" spans="1:4" x14ac:dyDescent="0.3">
      <c r="A374" s="3" t="s">
        <v>634</v>
      </c>
      <c r="B374" s="1">
        <v>372.60777777777702</v>
      </c>
      <c r="C374" s="1">
        <v>1129.1111111111099</v>
      </c>
      <c r="D374" s="4">
        <f t="shared" si="5"/>
        <v>2363.9227777777769</v>
      </c>
    </row>
    <row r="375" spans="1:4" x14ac:dyDescent="0.3">
      <c r="A375" s="3" t="s">
        <v>635</v>
      </c>
      <c r="B375" s="1">
        <v>488.23599999999999</v>
      </c>
      <c r="C375" s="1">
        <v>1479.51099999999</v>
      </c>
      <c r="D375" s="4">
        <f t="shared" si="5"/>
        <v>2680.158677499991</v>
      </c>
    </row>
    <row r="376" spans="1:4" x14ac:dyDescent="0.3">
      <c r="A376" s="3" t="s">
        <v>636</v>
      </c>
      <c r="B376" s="1">
        <v>463.42111111111097</v>
      </c>
      <c r="C376" s="1">
        <v>1404.31111111111</v>
      </c>
      <c r="D376" s="4">
        <f t="shared" si="5"/>
        <v>2612.2907777777768</v>
      </c>
    </row>
    <row r="377" spans="1:4" x14ac:dyDescent="0.3">
      <c r="A377" s="3" t="s">
        <v>637</v>
      </c>
      <c r="B377" s="1">
        <v>351.86799999999999</v>
      </c>
      <c r="C377" s="1">
        <v>1066.2750000000001</v>
      </c>
      <c r="D377" s="4">
        <f t="shared" si="5"/>
        <v>2307.2131875</v>
      </c>
    </row>
    <row r="378" spans="1:4" x14ac:dyDescent="0.3">
      <c r="A378" s="3" t="s">
        <v>638</v>
      </c>
      <c r="B378" s="1">
        <v>495.17888888888803</v>
      </c>
      <c r="C378" s="1">
        <v>1500.55555555555</v>
      </c>
      <c r="D378" s="4">
        <f t="shared" si="5"/>
        <v>2699.151388888884</v>
      </c>
    </row>
    <row r="379" spans="1:4" x14ac:dyDescent="0.3">
      <c r="A379" s="3" t="s">
        <v>639</v>
      </c>
      <c r="B379" s="1">
        <v>396.55</v>
      </c>
      <c r="C379" s="1">
        <v>1201.6759999999899</v>
      </c>
      <c r="D379" s="4">
        <f t="shared" si="5"/>
        <v>2429.4125899999908</v>
      </c>
    </row>
    <row r="380" spans="1:4" x14ac:dyDescent="0.3">
      <c r="A380" s="3" t="s">
        <v>640</v>
      </c>
      <c r="B380" s="1">
        <v>348.899</v>
      </c>
      <c r="C380" s="1">
        <v>1057.269</v>
      </c>
      <c r="D380" s="4">
        <f t="shared" si="5"/>
        <v>2299.0852725</v>
      </c>
    </row>
    <row r="381" spans="1:4" x14ac:dyDescent="0.3">
      <c r="A381" s="3" t="s">
        <v>641</v>
      </c>
      <c r="B381" s="1">
        <v>287.66444444444397</v>
      </c>
      <c r="C381" s="1">
        <v>871.70666666666602</v>
      </c>
      <c r="D381" s="4">
        <f t="shared" si="5"/>
        <v>2131.6152666666662</v>
      </c>
    </row>
    <row r="382" spans="1:4" x14ac:dyDescent="0.3">
      <c r="A382" s="3" t="s">
        <v>642</v>
      </c>
      <c r="B382" s="1">
        <v>345.52222222222201</v>
      </c>
      <c r="C382" s="1">
        <v>1047.02555555555</v>
      </c>
      <c r="D382" s="4">
        <f t="shared" si="5"/>
        <v>2289.8405638888839</v>
      </c>
    </row>
    <row r="383" spans="1:4" x14ac:dyDescent="0.3">
      <c r="A383" s="3" t="s">
        <v>643</v>
      </c>
      <c r="B383" s="1">
        <v>409.845454545454</v>
      </c>
      <c r="C383" s="1">
        <v>1241.95363636363</v>
      </c>
      <c r="D383" s="4">
        <f t="shared" si="5"/>
        <v>2465.763156818176</v>
      </c>
    </row>
    <row r="384" spans="1:4" x14ac:dyDescent="0.3">
      <c r="A384" s="3" t="s">
        <v>644</v>
      </c>
      <c r="B384" s="1">
        <v>412.426999999999</v>
      </c>
      <c r="C384" s="1">
        <v>1249.77899999999</v>
      </c>
      <c r="D384" s="4">
        <f t="shared" si="5"/>
        <v>2472.825547499991</v>
      </c>
    </row>
    <row r="385" spans="1:6" x14ac:dyDescent="0.3">
      <c r="A385" s="3" t="s">
        <v>645</v>
      </c>
      <c r="B385" s="1">
        <v>223.248999999999</v>
      </c>
      <c r="C385" s="1">
        <v>676.51199999999903</v>
      </c>
      <c r="D385" s="4">
        <f t="shared" si="5"/>
        <v>1955.4520799999991</v>
      </c>
    </row>
    <row r="386" spans="1:6" x14ac:dyDescent="0.3">
      <c r="A386" s="3" t="s">
        <v>646</v>
      </c>
      <c r="B386" s="1">
        <v>219.689999999999</v>
      </c>
      <c r="C386" s="1">
        <v>665.72199999999998</v>
      </c>
      <c r="D386" s="4">
        <f t="shared" si="5"/>
        <v>1945.714105</v>
      </c>
    </row>
    <row r="387" spans="1:6" x14ac:dyDescent="0.3">
      <c r="A387" s="3" t="s">
        <v>647</v>
      </c>
      <c r="B387" s="1">
        <v>393.25</v>
      </c>
      <c r="C387" s="1">
        <v>1191.6659999999999</v>
      </c>
      <c r="D387" s="4">
        <f t="shared" si="5"/>
        <v>2420.378565</v>
      </c>
    </row>
    <row r="388" spans="1:6" x14ac:dyDescent="0.3">
      <c r="A388" s="3" t="s">
        <v>648</v>
      </c>
      <c r="B388" s="1">
        <v>506.05200000000002</v>
      </c>
      <c r="C388" s="1">
        <v>1533.502</v>
      </c>
      <c r="D388" s="4">
        <f t="shared" si="5"/>
        <v>2728.8855549999998</v>
      </c>
    </row>
    <row r="389" spans="1:6" x14ac:dyDescent="0.3">
      <c r="A389" s="3" t="s">
        <v>649</v>
      </c>
      <c r="B389" s="1">
        <v>282.32399999999899</v>
      </c>
      <c r="C389" s="1">
        <v>855.529</v>
      </c>
      <c r="D389" s="4">
        <f t="shared" si="5"/>
        <v>2117.0149225</v>
      </c>
    </row>
    <row r="390" spans="1:6" x14ac:dyDescent="0.3">
      <c r="A390" s="3" t="s">
        <v>650</v>
      </c>
      <c r="B390" s="1">
        <v>273.81</v>
      </c>
      <c r="C390" s="1">
        <v>829.73111111111098</v>
      </c>
      <c r="D390" s="4">
        <f t="shared" si="5"/>
        <v>2093.7323277777778</v>
      </c>
    </row>
    <row r="391" spans="1:6" x14ac:dyDescent="0.3">
      <c r="A391" s="3" t="s">
        <v>651</v>
      </c>
      <c r="B391" s="1">
        <v>724.38999999999896</v>
      </c>
      <c r="C391" s="1">
        <v>2195.13</v>
      </c>
      <c r="D391" s="4">
        <f t="shared" si="5"/>
        <v>3326.004825</v>
      </c>
      <c r="F391" s="1">
        <f>AVERAGE(D391:D414)</f>
        <v>4219.9918911931782</v>
      </c>
    </row>
    <row r="392" spans="1:6" x14ac:dyDescent="0.3">
      <c r="A392" s="3" t="s">
        <v>652</v>
      </c>
      <c r="B392" s="1">
        <v>847.98777777777696</v>
      </c>
      <c r="C392" s="1">
        <v>2569.6777777777702</v>
      </c>
      <c r="D392" s="4">
        <f t="shared" ref="D392:D455" si="6">0.9025*C392+1344.9</f>
        <v>3664.0341944444376</v>
      </c>
    </row>
    <row r="393" spans="1:6" x14ac:dyDescent="0.3">
      <c r="A393" s="3" t="s">
        <v>653</v>
      </c>
      <c r="B393" s="1">
        <v>736.94199999999898</v>
      </c>
      <c r="C393" s="1">
        <v>2233.15</v>
      </c>
      <c r="D393" s="4">
        <f t="shared" si="6"/>
        <v>3360.3178750000002</v>
      </c>
    </row>
    <row r="394" spans="1:6" x14ac:dyDescent="0.3">
      <c r="A394" s="3" t="s">
        <v>654</v>
      </c>
      <c r="B394" s="1">
        <v>779.55333333333294</v>
      </c>
      <c r="C394" s="1">
        <v>2362.2888888888801</v>
      </c>
      <c r="D394" s="4">
        <f t="shared" si="6"/>
        <v>3476.8657222222141</v>
      </c>
    </row>
    <row r="395" spans="1:6" x14ac:dyDescent="0.3">
      <c r="A395" s="3" t="s">
        <v>655</v>
      </c>
      <c r="B395" s="1">
        <v>936.91700000000003</v>
      </c>
      <c r="C395" s="1">
        <v>2839.15</v>
      </c>
      <c r="D395" s="4">
        <f t="shared" si="6"/>
        <v>3907.2328750000001</v>
      </c>
    </row>
    <row r="396" spans="1:6" x14ac:dyDescent="0.3">
      <c r="A396" s="3" t="s">
        <v>656</v>
      </c>
      <c r="B396" s="1">
        <v>1067.8320000000001</v>
      </c>
      <c r="C396" s="1">
        <v>3235.8299999999899</v>
      </c>
      <c r="D396" s="4">
        <f t="shared" si="6"/>
        <v>4265.2365749999908</v>
      </c>
    </row>
    <row r="397" spans="1:6" x14ac:dyDescent="0.3">
      <c r="A397" s="3" t="s">
        <v>657</v>
      </c>
      <c r="B397" s="1">
        <v>1294.39599999999</v>
      </c>
      <c r="C397" s="1">
        <v>3922.4199999999901</v>
      </c>
      <c r="D397" s="4">
        <f t="shared" si="6"/>
        <v>4884.8840499999915</v>
      </c>
    </row>
    <row r="398" spans="1:6" x14ac:dyDescent="0.3">
      <c r="A398" s="3" t="s">
        <v>658</v>
      </c>
      <c r="B398" s="1">
        <v>1269.7</v>
      </c>
      <c r="C398" s="1">
        <v>3847.55</v>
      </c>
      <c r="D398" s="4">
        <f t="shared" si="6"/>
        <v>4817.3138749999998</v>
      </c>
    </row>
    <row r="399" spans="1:6" x14ac:dyDescent="0.3">
      <c r="A399" s="3" t="s">
        <v>659</v>
      </c>
      <c r="B399" s="1">
        <v>902.40099999999995</v>
      </c>
      <c r="C399" s="1">
        <v>2734.55</v>
      </c>
      <c r="D399" s="4">
        <f t="shared" si="6"/>
        <v>3812.8313750000002</v>
      </c>
    </row>
    <row r="400" spans="1:6" x14ac:dyDescent="0.3">
      <c r="A400" s="3" t="s">
        <v>660</v>
      </c>
      <c r="B400" s="1">
        <v>1119.9555555555501</v>
      </c>
      <c r="C400" s="1">
        <v>3393.8111111111102</v>
      </c>
      <c r="D400" s="4">
        <f t="shared" si="6"/>
        <v>4407.8145277777767</v>
      </c>
    </row>
    <row r="401" spans="1:6" x14ac:dyDescent="0.3">
      <c r="A401" s="3" t="s">
        <v>661</v>
      </c>
      <c r="B401" s="1">
        <v>1186.4455555555501</v>
      </c>
      <c r="C401" s="1">
        <v>3595.25555555555</v>
      </c>
      <c r="D401" s="4">
        <f t="shared" si="6"/>
        <v>4589.6181388888835</v>
      </c>
    </row>
    <row r="402" spans="1:6" x14ac:dyDescent="0.3">
      <c r="A402" s="3" t="s">
        <v>662</v>
      </c>
      <c r="B402" s="1">
        <v>1124.05</v>
      </c>
      <c r="C402" s="1">
        <v>3406.1777777777702</v>
      </c>
      <c r="D402" s="4">
        <f t="shared" si="6"/>
        <v>4418.975444444437</v>
      </c>
    </row>
    <row r="403" spans="1:6" x14ac:dyDescent="0.3">
      <c r="A403" s="3" t="s">
        <v>663</v>
      </c>
      <c r="B403" s="1">
        <v>872.82799999999895</v>
      </c>
      <c r="C403" s="1">
        <v>2644.92</v>
      </c>
      <c r="D403" s="4">
        <f t="shared" si="6"/>
        <v>3731.9403000000002</v>
      </c>
    </row>
    <row r="404" spans="1:6" x14ac:dyDescent="0.3">
      <c r="A404" s="3" t="s">
        <v>664</v>
      </c>
      <c r="B404" s="1">
        <v>1077.346</v>
      </c>
      <c r="C404" s="1">
        <v>3264.6699999999901</v>
      </c>
      <c r="D404" s="4">
        <f t="shared" si="6"/>
        <v>4291.2646749999913</v>
      </c>
    </row>
    <row r="405" spans="1:6" x14ac:dyDescent="0.3">
      <c r="A405" s="3" t="s">
        <v>665</v>
      </c>
      <c r="B405" s="1">
        <v>1059.67499999999</v>
      </c>
      <c r="C405" s="1">
        <v>3211.13</v>
      </c>
      <c r="D405" s="4">
        <f t="shared" si="6"/>
        <v>4242.9448250000005</v>
      </c>
    </row>
    <row r="406" spans="1:6" x14ac:dyDescent="0.3">
      <c r="A406" s="3" t="s">
        <v>666</v>
      </c>
      <c r="B406" s="1">
        <v>1169.221</v>
      </c>
      <c r="C406" s="1">
        <v>3543.09</v>
      </c>
      <c r="D406" s="4">
        <f t="shared" si="6"/>
        <v>4542.5387250000003</v>
      </c>
    </row>
    <row r="407" spans="1:6" x14ac:dyDescent="0.3">
      <c r="A407" s="3" t="s">
        <v>667</v>
      </c>
      <c r="B407" s="1">
        <v>1202.5563636363599</v>
      </c>
      <c r="C407" s="1">
        <v>3644.1272727272699</v>
      </c>
      <c r="D407" s="4">
        <f t="shared" si="6"/>
        <v>4633.7248636363611</v>
      </c>
    </row>
    <row r="408" spans="1:6" x14ac:dyDescent="0.3">
      <c r="A408" s="3" t="s">
        <v>668</v>
      </c>
      <c r="B408" s="1">
        <v>1115.6129999999901</v>
      </c>
      <c r="C408" s="1">
        <v>3380.6599999999899</v>
      </c>
      <c r="D408" s="4">
        <f t="shared" si="6"/>
        <v>4395.9456499999906</v>
      </c>
    </row>
    <row r="409" spans="1:6" x14ac:dyDescent="0.3">
      <c r="A409" s="3" t="s">
        <v>669</v>
      </c>
      <c r="B409" s="1">
        <v>1262.69299999999</v>
      </c>
      <c r="C409" s="1">
        <v>3826.38</v>
      </c>
      <c r="D409" s="4">
        <f t="shared" si="6"/>
        <v>4798.20795</v>
      </c>
    </row>
    <row r="410" spans="1:6" x14ac:dyDescent="0.3">
      <c r="A410" s="3" t="s">
        <v>670</v>
      </c>
      <c r="B410" s="1">
        <v>1197.153</v>
      </c>
      <c r="C410" s="1">
        <v>3627.6999999999898</v>
      </c>
      <c r="D410" s="4">
        <f t="shared" si="6"/>
        <v>4618.8992499999913</v>
      </c>
    </row>
    <row r="411" spans="1:6" x14ac:dyDescent="0.3">
      <c r="A411" s="3" t="s">
        <v>671</v>
      </c>
      <c r="B411" s="1">
        <v>1016.212</v>
      </c>
      <c r="C411" s="1">
        <v>3079.4399999999901</v>
      </c>
      <c r="D411" s="4">
        <f t="shared" si="6"/>
        <v>4124.0945999999913</v>
      </c>
    </row>
    <row r="412" spans="1:6" x14ac:dyDescent="0.3">
      <c r="A412" s="3" t="s">
        <v>672</v>
      </c>
      <c r="B412" s="1">
        <v>1019.43888888888</v>
      </c>
      <c r="C412" s="1">
        <v>3089.1777777777702</v>
      </c>
      <c r="D412" s="4">
        <f t="shared" si="6"/>
        <v>4132.8829444444382</v>
      </c>
    </row>
    <row r="413" spans="1:6" x14ac:dyDescent="0.3">
      <c r="A413" s="3" t="s">
        <v>673</v>
      </c>
      <c r="B413" s="1">
        <v>1022.212</v>
      </c>
      <c r="C413" s="1">
        <v>3097.64</v>
      </c>
      <c r="D413" s="4">
        <f t="shared" si="6"/>
        <v>4140.5200999999997</v>
      </c>
    </row>
    <row r="414" spans="1:6" x14ac:dyDescent="0.3">
      <c r="A414" s="3" t="s">
        <v>674</v>
      </c>
      <c r="B414" s="1">
        <v>1225.2111111111101</v>
      </c>
      <c r="C414" s="1">
        <v>3712.8111111111102</v>
      </c>
      <c r="D414" s="4">
        <f t="shared" si="6"/>
        <v>4695.7120277777776</v>
      </c>
    </row>
    <row r="415" spans="1:6" x14ac:dyDescent="0.3">
      <c r="A415" s="3" t="s">
        <v>675</v>
      </c>
      <c r="B415" s="1">
        <v>1249.1045454545399</v>
      </c>
      <c r="C415" s="1">
        <v>3785.1545454545399</v>
      </c>
      <c r="D415" s="4">
        <f t="shared" si="6"/>
        <v>4761.0019772727228</v>
      </c>
      <c r="F415" s="1">
        <f>AVERAGE(D415:D438)</f>
        <v>4447.7459821338334</v>
      </c>
    </row>
    <row r="416" spans="1:6" x14ac:dyDescent="0.3">
      <c r="A416" s="3" t="s">
        <v>676</v>
      </c>
      <c r="B416" s="1">
        <v>1082.3510000000001</v>
      </c>
      <c r="C416" s="1">
        <v>3279.84</v>
      </c>
      <c r="D416" s="4">
        <f t="shared" si="6"/>
        <v>4304.9556000000002</v>
      </c>
    </row>
    <row r="417" spans="1:4" x14ac:dyDescent="0.3">
      <c r="A417" s="3" t="s">
        <v>677</v>
      </c>
      <c r="B417" s="1">
        <v>1113.1220000000001</v>
      </c>
      <c r="C417" s="1">
        <v>3373.0999999999899</v>
      </c>
      <c r="D417" s="4">
        <f t="shared" si="6"/>
        <v>4389.1227499999914</v>
      </c>
    </row>
    <row r="418" spans="1:4" x14ac:dyDescent="0.3">
      <c r="A418" s="3" t="s">
        <v>678</v>
      </c>
      <c r="B418" s="1">
        <v>1271.01</v>
      </c>
      <c r="C418" s="1">
        <v>3851.53</v>
      </c>
      <c r="D418" s="4">
        <f t="shared" si="6"/>
        <v>4820.9058249999998</v>
      </c>
    </row>
    <row r="419" spans="1:4" x14ac:dyDescent="0.3">
      <c r="A419" s="3" t="s">
        <v>679</v>
      </c>
      <c r="B419" s="1">
        <v>1167.998</v>
      </c>
      <c r="C419" s="1">
        <v>3539.34</v>
      </c>
      <c r="D419" s="4">
        <f t="shared" si="6"/>
        <v>4539.1543500000007</v>
      </c>
    </row>
    <row r="420" spans="1:4" x14ac:dyDescent="0.3">
      <c r="A420" s="3" t="s">
        <v>680</v>
      </c>
      <c r="B420" s="1">
        <v>1218.7333333333299</v>
      </c>
      <c r="C420" s="1">
        <v>3693.1555555555501</v>
      </c>
      <c r="D420" s="4">
        <f t="shared" si="6"/>
        <v>4677.972888888884</v>
      </c>
    </row>
    <row r="421" spans="1:4" x14ac:dyDescent="0.3">
      <c r="A421" s="3" t="s">
        <v>681</v>
      </c>
      <c r="B421" s="1">
        <v>1145.51699999999</v>
      </c>
      <c r="C421" s="1">
        <v>3471.28</v>
      </c>
      <c r="D421" s="4">
        <f t="shared" si="6"/>
        <v>4477.7302</v>
      </c>
    </row>
    <row r="422" spans="1:4" x14ac:dyDescent="0.3">
      <c r="A422" s="3" t="s">
        <v>682</v>
      </c>
      <c r="B422" s="1">
        <v>1239.4777777777699</v>
      </c>
      <c r="C422" s="1">
        <v>3756.01111111111</v>
      </c>
      <c r="D422" s="4">
        <f t="shared" si="6"/>
        <v>4734.700027777777</v>
      </c>
    </row>
    <row r="423" spans="1:4" x14ac:dyDescent="0.3">
      <c r="A423" s="3" t="s">
        <v>683</v>
      </c>
      <c r="B423" s="1">
        <v>1134.6469999999999</v>
      </c>
      <c r="C423" s="1">
        <v>3438.3099999999899</v>
      </c>
      <c r="D423" s="4">
        <f t="shared" si="6"/>
        <v>4447.9747749999915</v>
      </c>
    </row>
    <row r="424" spans="1:4" x14ac:dyDescent="0.3">
      <c r="A424" s="3" t="s">
        <v>684</v>
      </c>
      <c r="B424" s="1">
        <v>1212.94299999999</v>
      </c>
      <c r="C424" s="1">
        <v>3675.59</v>
      </c>
      <c r="D424" s="4">
        <f t="shared" si="6"/>
        <v>4662.1199749999996</v>
      </c>
    </row>
    <row r="425" spans="1:4" x14ac:dyDescent="0.3">
      <c r="A425" s="3" t="s">
        <v>685</v>
      </c>
      <c r="B425" s="1">
        <v>1297.57</v>
      </c>
      <c r="C425" s="1">
        <v>3932.0599999999899</v>
      </c>
      <c r="D425" s="4">
        <f t="shared" si="6"/>
        <v>4893.5841499999915</v>
      </c>
    </row>
    <row r="426" spans="1:4" x14ac:dyDescent="0.3">
      <c r="A426" s="3" t="s">
        <v>686</v>
      </c>
      <c r="B426" s="1">
        <v>1213.95299999999</v>
      </c>
      <c r="C426" s="1">
        <v>3678.6799999999898</v>
      </c>
      <c r="D426" s="4">
        <f t="shared" si="6"/>
        <v>4664.9086999999909</v>
      </c>
    </row>
    <row r="427" spans="1:4" x14ac:dyDescent="0.3">
      <c r="A427" s="3" t="s">
        <v>687</v>
      </c>
      <c r="B427" s="1">
        <v>1072.3309090908999</v>
      </c>
      <c r="C427" s="1">
        <v>3249.48181818181</v>
      </c>
      <c r="D427" s="4">
        <f t="shared" si="6"/>
        <v>4277.557340909083</v>
      </c>
    </row>
    <row r="428" spans="1:4" x14ac:dyDescent="0.3">
      <c r="A428" s="3" t="s">
        <v>688</v>
      </c>
      <c r="B428" s="1">
        <v>1195.18888888888</v>
      </c>
      <c r="C428" s="1">
        <v>3621.7999999999902</v>
      </c>
      <c r="D428" s="4">
        <f t="shared" si="6"/>
        <v>4613.5744999999915</v>
      </c>
    </row>
    <row r="429" spans="1:4" x14ac:dyDescent="0.3">
      <c r="A429" s="3" t="s">
        <v>689</v>
      </c>
      <c r="B429" s="1">
        <v>1124.4870000000001</v>
      </c>
      <c r="C429" s="1">
        <v>3407.51</v>
      </c>
      <c r="D429" s="4">
        <f t="shared" si="6"/>
        <v>4420.1777750000001</v>
      </c>
    </row>
    <row r="430" spans="1:4" x14ac:dyDescent="0.3">
      <c r="A430" s="3" t="s">
        <v>690</v>
      </c>
      <c r="B430" s="1">
        <v>1235.37777777777</v>
      </c>
      <c r="C430" s="1">
        <v>3743.6</v>
      </c>
      <c r="D430" s="4">
        <f t="shared" si="6"/>
        <v>4723.4989999999998</v>
      </c>
    </row>
    <row r="431" spans="1:4" x14ac:dyDescent="0.3">
      <c r="A431" s="3" t="s">
        <v>691</v>
      </c>
      <c r="B431" s="1">
        <v>913.15099999999995</v>
      </c>
      <c r="C431" s="1">
        <v>2767.1199999999899</v>
      </c>
      <c r="D431" s="4">
        <f t="shared" si="6"/>
        <v>3842.2257999999911</v>
      </c>
    </row>
    <row r="432" spans="1:4" x14ac:dyDescent="0.3">
      <c r="A432" s="3" t="s">
        <v>692</v>
      </c>
      <c r="B432" s="1">
        <v>964.46900000000005</v>
      </c>
      <c r="C432" s="1">
        <v>2922.66</v>
      </c>
      <c r="D432" s="4">
        <f t="shared" si="6"/>
        <v>3982.6006499999999</v>
      </c>
    </row>
    <row r="433" spans="1:6" x14ac:dyDescent="0.3">
      <c r="A433" s="3" t="s">
        <v>693</v>
      </c>
      <c r="B433" s="1">
        <v>1102.721</v>
      </c>
      <c r="C433" s="1">
        <v>3341.5599999999899</v>
      </c>
      <c r="D433" s="4">
        <f t="shared" si="6"/>
        <v>4360.6578999999911</v>
      </c>
    </row>
    <row r="434" spans="1:6" x14ac:dyDescent="0.3">
      <c r="A434" s="3" t="s">
        <v>694</v>
      </c>
      <c r="B434" s="1">
        <v>1225.22444444444</v>
      </c>
      <c r="C434" s="1">
        <v>3712.8</v>
      </c>
      <c r="D434" s="4">
        <f t="shared" si="6"/>
        <v>4695.7020000000002</v>
      </c>
    </row>
    <row r="435" spans="1:6" x14ac:dyDescent="0.3">
      <c r="A435" s="3" t="s">
        <v>695</v>
      </c>
      <c r="B435" s="1">
        <v>922.91727272727201</v>
      </c>
      <c r="C435" s="1">
        <v>2796.6727272727198</v>
      </c>
      <c r="D435" s="4">
        <f t="shared" si="6"/>
        <v>3868.8971363636297</v>
      </c>
    </row>
    <row r="436" spans="1:6" x14ac:dyDescent="0.3">
      <c r="A436" s="3" t="s">
        <v>696</v>
      </c>
      <c r="B436" s="1">
        <v>1110.42399999999</v>
      </c>
      <c r="C436" s="1">
        <v>3364.9199999999901</v>
      </c>
      <c r="D436" s="4">
        <f t="shared" si="6"/>
        <v>4381.7402999999904</v>
      </c>
    </row>
    <row r="437" spans="1:6" x14ac:dyDescent="0.3">
      <c r="A437" s="3" t="s">
        <v>697</v>
      </c>
      <c r="B437" s="1">
        <v>905.33299999999895</v>
      </c>
      <c r="C437" s="1">
        <v>2743.46</v>
      </c>
      <c r="D437" s="4">
        <f t="shared" si="6"/>
        <v>3820.8726500000002</v>
      </c>
    </row>
    <row r="438" spans="1:6" x14ac:dyDescent="0.3">
      <c r="A438" s="3" t="s">
        <v>698</v>
      </c>
      <c r="B438" s="1">
        <v>1111.3289999999899</v>
      </c>
      <c r="C438" s="1">
        <v>3367.7199999999898</v>
      </c>
      <c r="D438" s="4">
        <f t="shared" si="6"/>
        <v>4384.2672999999904</v>
      </c>
    </row>
    <row r="439" spans="1:6" x14ac:dyDescent="0.3">
      <c r="A439" s="3" t="s">
        <v>699</v>
      </c>
      <c r="B439" s="1">
        <v>773.25199999999904</v>
      </c>
      <c r="C439" s="1">
        <v>2343.1899999999901</v>
      </c>
      <c r="D439" s="4">
        <f t="shared" si="6"/>
        <v>3459.628974999991</v>
      </c>
      <c r="F439" s="1">
        <f>AVERAGE(D439:D462)</f>
        <v>3071.3107406144723</v>
      </c>
    </row>
    <row r="440" spans="1:6" x14ac:dyDescent="0.3">
      <c r="A440" s="3" t="s">
        <v>700</v>
      </c>
      <c r="B440" s="1">
        <v>889.69299999999896</v>
      </c>
      <c r="C440" s="1">
        <v>2696.03999999999</v>
      </c>
      <c r="D440" s="4">
        <f t="shared" si="6"/>
        <v>3778.0760999999911</v>
      </c>
    </row>
    <row r="441" spans="1:6" x14ac:dyDescent="0.3">
      <c r="A441" s="3" t="s">
        <v>701</v>
      </c>
      <c r="B441" s="1">
        <v>741.20299999999997</v>
      </c>
      <c r="C441" s="1">
        <v>2246.06</v>
      </c>
      <c r="D441" s="4">
        <f t="shared" si="6"/>
        <v>3371.9691499999999</v>
      </c>
    </row>
    <row r="442" spans="1:6" x14ac:dyDescent="0.3">
      <c r="A442" s="3" t="s">
        <v>702</v>
      </c>
      <c r="B442" s="1">
        <v>934.97222222222194</v>
      </c>
      <c r="C442" s="1">
        <v>2833.2222222222199</v>
      </c>
      <c r="D442" s="4">
        <f t="shared" si="6"/>
        <v>3901.8830555555533</v>
      </c>
    </row>
    <row r="443" spans="1:6" x14ac:dyDescent="0.3">
      <c r="A443" s="3" t="s">
        <v>703</v>
      </c>
      <c r="B443" s="1">
        <v>779.18454545454495</v>
      </c>
      <c r="C443" s="1">
        <v>2361.1727272727198</v>
      </c>
      <c r="D443" s="4">
        <f t="shared" si="6"/>
        <v>3475.8583863636295</v>
      </c>
    </row>
    <row r="444" spans="1:6" x14ac:dyDescent="0.3">
      <c r="A444" s="3" t="s">
        <v>704</v>
      </c>
      <c r="B444" s="1">
        <v>596.39777777777704</v>
      </c>
      <c r="C444" s="1">
        <v>1807.2666666666601</v>
      </c>
      <c r="D444" s="4">
        <f t="shared" si="6"/>
        <v>2975.9581666666609</v>
      </c>
    </row>
    <row r="445" spans="1:6" x14ac:dyDescent="0.3">
      <c r="A445" s="3" t="s">
        <v>705</v>
      </c>
      <c r="B445" s="1">
        <v>677.344999999999</v>
      </c>
      <c r="C445" s="1">
        <v>2052.5699999999902</v>
      </c>
      <c r="D445" s="4">
        <f t="shared" si="6"/>
        <v>3197.3444249999911</v>
      </c>
    </row>
    <row r="446" spans="1:6" x14ac:dyDescent="0.3">
      <c r="A446" s="3" t="s">
        <v>706</v>
      </c>
      <c r="B446" s="1">
        <v>718.90111111111105</v>
      </c>
      <c r="C446" s="1">
        <v>2178.4777777777699</v>
      </c>
      <c r="D446" s="4">
        <f t="shared" si="6"/>
        <v>3310.9761944444372</v>
      </c>
    </row>
    <row r="447" spans="1:6" x14ac:dyDescent="0.3">
      <c r="A447" s="3" t="s">
        <v>707</v>
      </c>
      <c r="B447" s="1">
        <v>587.02899999999897</v>
      </c>
      <c r="C447" s="1">
        <v>1778.88</v>
      </c>
      <c r="D447" s="4">
        <f t="shared" si="6"/>
        <v>2950.3392000000003</v>
      </c>
    </row>
    <row r="448" spans="1:6" x14ac:dyDescent="0.3">
      <c r="A448" s="3" t="s">
        <v>708</v>
      </c>
      <c r="B448" s="1">
        <v>633.25900000000001</v>
      </c>
      <c r="C448" s="1">
        <v>1918.95999999999</v>
      </c>
      <c r="D448" s="4">
        <f t="shared" si="6"/>
        <v>3076.7613999999912</v>
      </c>
    </row>
    <row r="449" spans="1:6" x14ac:dyDescent="0.3">
      <c r="A449" s="3" t="s">
        <v>709</v>
      </c>
      <c r="B449" s="1">
        <v>823.85699999999895</v>
      </c>
      <c r="C449" s="1">
        <v>2496.53999999999</v>
      </c>
      <c r="D449" s="4">
        <f t="shared" si="6"/>
        <v>3598.0273499999907</v>
      </c>
    </row>
    <row r="450" spans="1:6" x14ac:dyDescent="0.3">
      <c r="A450" s="3" t="s">
        <v>710</v>
      </c>
      <c r="B450" s="1">
        <v>842.46222222222195</v>
      </c>
      <c r="C450" s="1">
        <v>2552.9111111111101</v>
      </c>
      <c r="D450" s="4">
        <f t="shared" si="6"/>
        <v>3648.9022777777768</v>
      </c>
    </row>
    <row r="451" spans="1:6" x14ac:dyDescent="0.3">
      <c r="A451" s="3" t="s">
        <v>711</v>
      </c>
      <c r="B451" s="1">
        <v>539.36</v>
      </c>
      <c r="C451" s="1">
        <v>1634.4272727272701</v>
      </c>
      <c r="D451" s="4">
        <f t="shared" si="6"/>
        <v>2819.9706136363611</v>
      </c>
    </row>
    <row r="452" spans="1:6" x14ac:dyDescent="0.3">
      <c r="A452" s="3" t="s">
        <v>712</v>
      </c>
      <c r="B452" s="1">
        <v>579.04999999999995</v>
      </c>
      <c r="C452" s="1">
        <v>1754.69999999999</v>
      </c>
      <c r="D452" s="4">
        <f t="shared" si="6"/>
        <v>2928.5167499999911</v>
      </c>
    </row>
    <row r="453" spans="1:6" x14ac:dyDescent="0.3">
      <c r="A453" s="3" t="s">
        <v>713</v>
      </c>
      <c r="B453" s="1">
        <v>553.55999999999995</v>
      </c>
      <c r="C453" s="1">
        <v>1677.45999999999</v>
      </c>
      <c r="D453" s="4">
        <f t="shared" si="6"/>
        <v>2858.8076499999911</v>
      </c>
    </row>
    <row r="454" spans="1:6" x14ac:dyDescent="0.3">
      <c r="A454" s="3" t="s">
        <v>714</v>
      </c>
      <c r="B454" s="1">
        <v>659.32299999999896</v>
      </c>
      <c r="C454" s="1">
        <v>1997.95999999999</v>
      </c>
      <c r="D454" s="4">
        <f t="shared" si="6"/>
        <v>3148.0588999999909</v>
      </c>
    </row>
    <row r="455" spans="1:6" x14ac:dyDescent="0.3">
      <c r="A455" s="3" t="s">
        <v>715</v>
      </c>
      <c r="B455" s="1">
        <v>499.33999999999901</v>
      </c>
      <c r="C455" s="1">
        <v>1513.16199999999</v>
      </c>
      <c r="D455" s="4">
        <f t="shared" si="6"/>
        <v>2710.5287049999911</v>
      </c>
    </row>
    <row r="456" spans="1:6" x14ac:dyDescent="0.3">
      <c r="A456" s="3" t="s">
        <v>716</v>
      </c>
      <c r="B456" s="1">
        <v>436.78099999999898</v>
      </c>
      <c r="C456" s="1">
        <v>1323.58</v>
      </c>
      <c r="D456" s="4">
        <f t="shared" ref="D456:D519" si="7">0.9025*C456+1344.9</f>
        <v>2539.4309499999999</v>
      </c>
    </row>
    <row r="457" spans="1:6" x14ac:dyDescent="0.3">
      <c r="A457" s="3" t="s">
        <v>717</v>
      </c>
      <c r="B457" s="1">
        <v>522.12999999999897</v>
      </c>
      <c r="C457" s="1">
        <v>1582.20999999999</v>
      </c>
      <c r="D457" s="4">
        <f t="shared" si="7"/>
        <v>2772.8445249999913</v>
      </c>
    </row>
    <row r="458" spans="1:6" x14ac:dyDescent="0.3">
      <c r="A458" s="3" t="s">
        <v>718</v>
      </c>
      <c r="B458" s="1">
        <v>439.93555555555503</v>
      </c>
      <c r="C458" s="1">
        <v>1333.1611111111099</v>
      </c>
      <c r="D458" s="4">
        <f t="shared" si="7"/>
        <v>2548.0779027777767</v>
      </c>
    </row>
    <row r="459" spans="1:6" x14ac:dyDescent="0.3">
      <c r="A459" s="3" t="s">
        <v>719</v>
      </c>
      <c r="B459" s="1">
        <v>564.01181818181794</v>
      </c>
      <c r="C459" s="1">
        <v>1709.1272727272701</v>
      </c>
      <c r="D459" s="4">
        <f t="shared" si="7"/>
        <v>2887.3873636363614</v>
      </c>
    </row>
    <row r="460" spans="1:6" x14ac:dyDescent="0.3">
      <c r="A460" s="3" t="s">
        <v>720</v>
      </c>
      <c r="B460" s="1">
        <v>488.68111111111102</v>
      </c>
      <c r="C460" s="1">
        <v>1480.86666666666</v>
      </c>
      <c r="D460" s="4">
        <f t="shared" si="7"/>
        <v>2681.3821666666609</v>
      </c>
    </row>
    <row r="461" spans="1:6" x14ac:dyDescent="0.3">
      <c r="A461" s="3" t="s">
        <v>721</v>
      </c>
      <c r="B461" s="1">
        <v>461.16999999999899</v>
      </c>
      <c r="C461" s="1">
        <v>1397.4880000000001</v>
      </c>
      <c r="D461" s="4">
        <f t="shared" si="7"/>
        <v>2606.13292</v>
      </c>
    </row>
    <row r="462" spans="1:6" x14ac:dyDescent="0.3">
      <c r="A462" s="3" t="s">
        <v>722</v>
      </c>
      <c r="B462" s="1">
        <v>409.42222222222199</v>
      </c>
      <c r="C462" s="1">
        <v>1240.65888888888</v>
      </c>
      <c r="D462" s="4">
        <f t="shared" si="7"/>
        <v>2464.594647222214</v>
      </c>
    </row>
    <row r="463" spans="1:6" x14ac:dyDescent="0.3">
      <c r="A463" s="3" t="s">
        <v>723</v>
      </c>
      <c r="B463" s="1">
        <v>541.33818181818106</v>
      </c>
      <c r="C463" s="1">
        <v>1640.4272727272701</v>
      </c>
      <c r="D463" s="4">
        <f t="shared" si="7"/>
        <v>2825.3856136363611</v>
      </c>
      <c r="F463" s="1">
        <f>AVERAGE(D463:D486)</f>
        <v>2744.167712847217</v>
      </c>
    </row>
    <row r="464" spans="1:6" x14ac:dyDescent="0.3">
      <c r="A464" s="3" t="s">
        <v>724</v>
      </c>
      <c r="B464" s="1">
        <v>551.53999999999905</v>
      </c>
      <c r="C464" s="1">
        <v>1671.3499999999899</v>
      </c>
      <c r="D464" s="4">
        <f t="shared" si="7"/>
        <v>2853.2933749999911</v>
      </c>
    </row>
    <row r="465" spans="1:4" x14ac:dyDescent="0.3">
      <c r="A465" s="3" t="s">
        <v>725</v>
      </c>
      <c r="B465" s="1">
        <v>562.03599999999904</v>
      </c>
      <c r="C465" s="1">
        <v>1703.14</v>
      </c>
      <c r="D465" s="4">
        <f t="shared" si="7"/>
        <v>2881.9838500000001</v>
      </c>
    </row>
    <row r="466" spans="1:4" x14ac:dyDescent="0.3">
      <c r="A466" s="3" t="s">
        <v>726</v>
      </c>
      <c r="B466" s="1">
        <v>566.84555555555505</v>
      </c>
      <c r="C466" s="1">
        <v>1717.7222222222199</v>
      </c>
      <c r="D466" s="4">
        <f t="shared" si="7"/>
        <v>2895.1443055555537</v>
      </c>
    </row>
    <row r="467" spans="1:4" x14ac:dyDescent="0.3">
      <c r="A467" s="3" t="s">
        <v>727</v>
      </c>
      <c r="B467" s="1">
        <v>504.23399999999998</v>
      </c>
      <c r="C467" s="1">
        <v>1527.98</v>
      </c>
      <c r="D467" s="4">
        <f t="shared" si="7"/>
        <v>2723.9019500000004</v>
      </c>
    </row>
    <row r="468" spans="1:4" x14ac:dyDescent="0.3">
      <c r="A468" s="3" t="s">
        <v>728</v>
      </c>
      <c r="B468" s="1">
        <v>462.41999999999899</v>
      </c>
      <c r="C468" s="1">
        <v>1401.2666666666601</v>
      </c>
      <c r="D468" s="4">
        <f t="shared" si="7"/>
        <v>2609.5431666666609</v>
      </c>
    </row>
    <row r="469" spans="1:4" x14ac:dyDescent="0.3">
      <c r="A469" s="3" t="s">
        <v>729</v>
      </c>
      <c r="B469" s="1">
        <v>629.53099999999904</v>
      </c>
      <c r="C469" s="1">
        <v>1907.6799999999901</v>
      </c>
      <c r="D469" s="4">
        <f t="shared" si="7"/>
        <v>3066.581199999991</v>
      </c>
    </row>
    <row r="470" spans="1:4" x14ac:dyDescent="0.3">
      <c r="A470" s="3" t="s">
        <v>730</v>
      </c>
      <c r="B470" s="1">
        <v>544.73888888888803</v>
      </c>
      <c r="C470" s="1">
        <v>1650.7333333333299</v>
      </c>
      <c r="D470" s="4">
        <f t="shared" si="7"/>
        <v>2834.6868333333305</v>
      </c>
    </row>
    <row r="471" spans="1:4" x14ac:dyDescent="0.3">
      <c r="A471" s="3" t="s">
        <v>731</v>
      </c>
      <c r="B471" s="1">
        <v>567.047272727272</v>
      </c>
      <c r="C471" s="1">
        <v>1718.3363636363599</v>
      </c>
      <c r="D471" s="4">
        <f t="shared" si="7"/>
        <v>2895.6985681818151</v>
      </c>
    </row>
    <row r="472" spans="1:4" x14ac:dyDescent="0.3">
      <c r="A472" s="3" t="s">
        <v>732</v>
      </c>
      <c r="B472" s="1">
        <v>474.03444444444398</v>
      </c>
      <c r="C472" s="1">
        <v>1436.46</v>
      </c>
      <c r="D472" s="4">
        <f t="shared" si="7"/>
        <v>2641.3051500000001</v>
      </c>
    </row>
    <row r="473" spans="1:4" x14ac:dyDescent="0.3">
      <c r="A473" s="3" t="s">
        <v>733</v>
      </c>
      <c r="B473" s="1">
        <v>609.02899999999897</v>
      </c>
      <c r="C473" s="1">
        <v>1845.53999999999</v>
      </c>
      <c r="D473" s="4">
        <f t="shared" si="7"/>
        <v>3010.4998499999911</v>
      </c>
    </row>
    <row r="474" spans="1:4" x14ac:dyDescent="0.3">
      <c r="A474" s="3" t="s">
        <v>734</v>
      </c>
      <c r="B474" s="1">
        <v>537.95777777777698</v>
      </c>
      <c r="C474" s="1">
        <v>1630.17777777777</v>
      </c>
      <c r="D474" s="4">
        <f t="shared" si="7"/>
        <v>2816.1354444444373</v>
      </c>
    </row>
    <row r="475" spans="1:4" x14ac:dyDescent="0.3">
      <c r="A475" s="3" t="s">
        <v>735</v>
      </c>
      <c r="B475" s="1">
        <v>565.053</v>
      </c>
      <c r="C475" s="1">
        <v>1712.28999999999</v>
      </c>
      <c r="D475" s="4">
        <f t="shared" si="7"/>
        <v>2890.2417249999908</v>
      </c>
    </row>
    <row r="476" spans="1:4" x14ac:dyDescent="0.3">
      <c r="A476" s="3" t="s">
        <v>736</v>
      </c>
      <c r="B476" s="1">
        <v>386.54999999999899</v>
      </c>
      <c r="C476" s="1">
        <v>1171.3488888888801</v>
      </c>
      <c r="D476" s="4">
        <f t="shared" si="7"/>
        <v>2402.042372222214</v>
      </c>
    </row>
    <row r="477" spans="1:4" x14ac:dyDescent="0.3">
      <c r="A477" s="3" t="s">
        <v>737</v>
      </c>
      <c r="B477" s="1">
        <v>531.85555555555504</v>
      </c>
      <c r="C477" s="1">
        <v>1611.68</v>
      </c>
      <c r="D477" s="4">
        <f t="shared" si="7"/>
        <v>2799.4412000000002</v>
      </c>
    </row>
    <row r="478" spans="1:4" x14ac:dyDescent="0.3">
      <c r="A478" s="3" t="s">
        <v>738</v>
      </c>
      <c r="B478" s="1">
        <v>585.05999999999904</v>
      </c>
      <c r="C478" s="1">
        <v>1772.9066666666599</v>
      </c>
      <c r="D478" s="4">
        <f t="shared" si="7"/>
        <v>2944.9482666666609</v>
      </c>
    </row>
    <row r="479" spans="1:4" x14ac:dyDescent="0.3">
      <c r="A479" s="3" t="s">
        <v>739</v>
      </c>
      <c r="B479" s="1">
        <v>470.37299999999999</v>
      </c>
      <c r="C479" s="1">
        <v>1425.38</v>
      </c>
      <c r="D479" s="4">
        <f t="shared" si="7"/>
        <v>2631.3054499999998</v>
      </c>
    </row>
    <row r="480" spans="1:4" x14ac:dyDescent="0.3">
      <c r="A480" s="3" t="s">
        <v>740</v>
      </c>
      <c r="B480" s="1">
        <v>424.19200000000001</v>
      </c>
      <c r="C480" s="1">
        <v>1285.44399999999</v>
      </c>
      <c r="D480" s="4">
        <f t="shared" si="7"/>
        <v>2505.013209999991</v>
      </c>
    </row>
    <row r="481" spans="1:6" x14ac:dyDescent="0.3">
      <c r="A481" s="3" t="s">
        <v>741</v>
      </c>
      <c r="B481" s="1">
        <v>455.50599999999901</v>
      </c>
      <c r="C481" s="1">
        <v>1380.3099999999899</v>
      </c>
      <c r="D481" s="4">
        <f t="shared" si="7"/>
        <v>2590.6297749999912</v>
      </c>
    </row>
    <row r="482" spans="1:6" x14ac:dyDescent="0.3">
      <c r="A482" s="3" t="s">
        <v>742</v>
      </c>
      <c r="B482" s="1">
        <v>494.43222222222198</v>
      </c>
      <c r="C482" s="1">
        <v>1498.2888888888799</v>
      </c>
      <c r="D482" s="4">
        <f t="shared" si="7"/>
        <v>2697.1057222222144</v>
      </c>
    </row>
    <row r="483" spans="1:6" x14ac:dyDescent="0.3">
      <c r="A483" s="3" t="s">
        <v>743</v>
      </c>
      <c r="B483" s="1">
        <v>428.44272727272698</v>
      </c>
      <c r="C483" s="1">
        <v>1298.3063636363599</v>
      </c>
      <c r="D483" s="4">
        <f t="shared" si="7"/>
        <v>2516.6214931818149</v>
      </c>
    </row>
    <row r="484" spans="1:6" x14ac:dyDescent="0.3">
      <c r="A484" s="3" t="s">
        <v>744</v>
      </c>
      <c r="B484" s="1">
        <v>374.43</v>
      </c>
      <c r="C484" s="1">
        <v>1134.6288888888801</v>
      </c>
      <c r="D484" s="4">
        <f t="shared" si="7"/>
        <v>2368.9025722222141</v>
      </c>
    </row>
    <row r="485" spans="1:6" x14ac:dyDescent="0.3">
      <c r="A485" s="3" t="s">
        <v>745</v>
      </c>
      <c r="B485" s="1">
        <v>525.71799999999996</v>
      </c>
      <c r="C485" s="1">
        <v>1593.0820000000001</v>
      </c>
      <c r="D485" s="4">
        <f t="shared" si="7"/>
        <v>2782.6565049999999</v>
      </c>
    </row>
    <row r="486" spans="1:6" x14ac:dyDescent="0.3">
      <c r="A486" s="3" t="s">
        <v>746</v>
      </c>
      <c r="B486" s="1">
        <v>487.07400000000001</v>
      </c>
      <c r="C486" s="1">
        <v>1475.9639999999899</v>
      </c>
      <c r="D486" s="4">
        <f t="shared" si="7"/>
        <v>2676.9575099999911</v>
      </c>
    </row>
    <row r="487" spans="1:6" x14ac:dyDescent="0.3">
      <c r="A487" s="3" t="s">
        <v>747</v>
      </c>
      <c r="B487" s="1">
        <v>704.42818181818097</v>
      </c>
      <c r="C487" s="1">
        <v>2134.6454545454499</v>
      </c>
      <c r="D487" s="4">
        <f t="shared" si="7"/>
        <v>3271.4175227272685</v>
      </c>
      <c r="F487" s="1">
        <f>AVERAGE(D487:D510)</f>
        <v>3369.8540582278092</v>
      </c>
    </row>
    <row r="488" spans="1:6" x14ac:dyDescent="0.3">
      <c r="A488" s="3" t="s">
        <v>748</v>
      </c>
      <c r="B488" s="1">
        <v>483.35099999999898</v>
      </c>
      <c r="C488" s="1">
        <v>1464.6899999999901</v>
      </c>
      <c r="D488" s="4">
        <f t="shared" si="7"/>
        <v>2666.7827249999909</v>
      </c>
    </row>
    <row r="489" spans="1:6" x14ac:dyDescent="0.3">
      <c r="A489" s="3" t="s">
        <v>749</v>
      </c>
      <c r="B489" s="1">
        <v>434.98333333333301</v>
      </c>
      <c r="C489" s="1">
        <v>1318.126</v>
      </c>
      <c r="D489" s="4">
        <f t="shared" si="7"/>
        <v>2534.5087149999999</v>
      </c>
    </row>
    <row r="490" spans="1:6" x14ac:dyDescent="0.3">
      <c r="A490" s="3" t="s">
        <v>750</v>
      </c>
      <c r="B490" s="1">
        <v>468.90111111111099</v>
      </c>
      <c r="C490" s="1">
        <v>1420.90333333333</v>
      </c>
      <c r="D490" s="4">
        <f t="shared" si="7"/>
        <v>2627.2652583333302</v>
      </c>
    </row>
    <row r="491" spans="1:6" x14ac:dyDescent="0.3">
      <c r="A491" s="3" t="s">
        <v>751</v>
      </c>
      <c r="B491" s="1">
        <v>936.76399999999899</v>
      </c>
      <c r="C491" s="1">
        <v>2838.6999999999898</v>
      </c>
      <c r="D491" s="4">
        <f t="shared" si="7"/>
        <v>3906.8267499999906</v>
      </c>
    </row>
    <row r="492" spans="1:6" x14ac:dyDescent="0.3">
      <c r="A492" s="3" t="s">
        <v>752</v>
      </c>
      <c r="B492" s="1">
        <v>827.91399999999896</v>
      </c>
      <c r="C492" s="1">
        <v>2508.84</v>
      </c>
      <c r="D492" s="4">
        <f t="shared" si="7"/>
        <v>3609.1281000000004</v>
      </c>
    </row>
    <row r="493" spans="1:6" x14ac:dyDescent="0.3">
      <c r="A493" s="3" t="s">
        <v>753</v>
      </c>
      <c r="B493" s="1">
        <v>759.53285714285698</v>
      </c>
      <c r="C493" s="1">
        <v>2301.62142857142</v>
      </c>
      <c r="D493" s="4">
        <f t="shared" si="7"/>
        <v>3422.1133392857064</v>
      </c>
    </row>
    <row r="494" spans="1:6" x14ac:dyDescent="0.3">
      <c r="A494" s="3" t="s">
        <v>754</v>
      </c>
      <c r="B494" s="1">
        <v>781.56799999999896</v>
      </c>
      <c r="C494" s="1">
        <v>2368.3899999999899</v>
      </c>
      <c r="D494" s="4">
        <f t="shared" si="7"/>
        <v>3482.3719749999909</v>
      </c>
    </row>
    <row r="495" spans="1:6" x14ac:dyDescent="0.3">
      <c r="A495" s="3" t="s">
        <v>755</v>
      </c>
      <c r="B495" s="1">
        <v>771.00699999999904</v>
      </c>
      <c r="C495" s="1">
        <v>2336.4</v>
      </c>
      <c r="D495" s="4">
        <f t="shared" si="7"/>
        <v>3453.5010000000002</v>
      </c>
    </row>
    <row r="496" spans="1:6" x14ac:dyDescent="0.3">
      <c r="A496" s="3" t="s">
        <v>756</v>
      </c>
      <c r="B496" s="1">
        <v>689.81200000000001</v>
      </c>
      <c r="C496" s="1">
        <v>2090.3200000000002</v>
      </c>
      <c r="D496" s="4">
        <f t="shared" si="7"/>
        <v>3231.4138000000003</v>
      </c>
    </row>
    <row r="497" spans="1:6" x14ac:dyDescent="0.3">
      <c r="A497" s="3" t="s">
        <v>757</v>
      </c>
      <c r="B497" s="1">
        <v>630.33181818181799</v>
      </c>
      <c r="C497" s="1">
        <v>1910.0909090908999</v>
      </c>
      <c r="D497" s="4">
        <f t="shared" si="7"/>
        <v>3068.7570454545371</v>
      </c>
    </row>
    <row r="498" spans="1:6" x14ac:dyDescent="0.3">
      <c r="A498" s="3" t="s">
        <v>758</v>
      </c>
      <c r="B498" s="1">
        <v>762.11666666666599</v>
      </c>
      <c r="C498" s="1">
        <v>2309.4444444444398</v>
      </c>
      <c r="D498" s="4">
        <f t="shared" si="7"/>
        <v>3429.1736111111068</v>
      </c>
    </row>
    <row r="499" spans="1:6" x14ac:dyDescent="0.3">
      <c r="A499" s="3" t="s">
        <v>759</v>
      </c>
      <c r="B499" s="1">
        <v>766.494545454545</v>
      </c>
      <c r="C499" s="1">
        <v>2322.6999999999898</v>
      </c>
      <c r="D499" s="4">
        <f t="shared" si="7"/>
        <v>3441.136749999991</v>
      </c>
    </row>
    <row r="500" spans="1:6" x14ac:dyDescent="0.3">
      <c r="A500" s="3" t="s">
        <v>760</v>
      </c>
      <c r="B500" s="1">
        <v>707.13199999999904</v>
      </c>
      <c r="C500" s="1">
        <v>2142.8299999999899</v>
      </c>
      <c r="D500" s="4">
        <f t="shared" si="7"/>
        <v>3278.8040749999909</v>
      </c>
    </row>
    <row r="501" spans="1:6" x14ac:dyDescent="0.3">
      <c r="A501" s="3" t="s">
        <v>761</v>
      </c>
      <c r="B501" s="1">
        <v>744.88333333333298</v>
      </c>
      <c r="C501" s="1">
        <v>2257.2222222222199</v>
      </c>
      <c r="D501" s="4">
        <f t="shared" si="7"/>
        <v>3382.0430555555536</v>
      </c>
    </row>
    <row r="502" spans="1:6" x14ac:dyDescent="0.3">
      <c r="A502" s="3" t="s">
        <v>762</v>
      </c>
      <c r="B502" s="1">
        <v>777.21888888888805</v>
      </c>
      <c r="C502" s="1">
        <v>2355.2222222222199</v>
      </c>
      <c r="D502" s="4">
        <f t="shared" si="7"/>
        <v>3470.4880555555533</v>
      </c>
    </row>
    <row r="503" spans="1:6" x14ac:dyDescent="0.3">
      <c r="A503" s="3" t="s">
        <v>763</v>
      </c>
      <c r="B503" s="1">
        <v>1158.07</v>
      </c>
      <c r="C503" s="1">
        <v>3509.3</v>
      </c>
      <c r="D503" s="4">
        <f t="shared" si="7"/>
        <v>4512.0432500000006</v>
      </c>
    </row>
    <row r="504" spans="1:6" x14ac:dyDescent="0.3">
      <c r="A504" s="3" t="s">
        <v>764</v>
      </c>
      <c r="B504" s="1">
        <v>905.74199999999905</v>
      </c>
      <c r="C504" s="1">
        <v>2744.66</v>
      </c>
      <c r="D504" s="4">
        <f t="shared" si="7"/>
        <v>3821.9556499999999</v>
      </c>
    </row>
    <row r="505" spans="1:6" x14ac:dyDescent="0.3">
      <c r="A505" s="3" t="s">
        <v>765</v>
      </c>
      <c r="B505" s="1">
        <v>649.95199999999897</v>
      </c>
      <c r="C505" s="1">
        <v>1969.53999999999</v>
      </c>
      <c r="D505" s="4">
        <f t="shared" si="7"/>
        <v>3122.4098499999909</v>
      </c>
    </row>
    <row r="506" spans="1:6" x14ac:dyDescent="0.3">
      <c r="A506" s="3" t="s">
        <v>766</v>
      </c>
      <c r="B506" s="1">
        <v>692.75400000000002</v>
      </c>
      <c r="C506" s="1">
        <v>2099.2599999999902</v>
      </c>
      <c r="D506" s="4">
        <f t="shared" si="7"/>
        <v>3239.4821499999912</v>
      </c>
    </row>
    <row r="507" spans="1:6" x14ac:dyDescent="0.3">
      <c r="A507" s="3" t="s">
        <v>767</v>
      </c>
      <c r="B507" s="1">
        <v>1009.49699999999</v>
      </c>
      <c r="C507" s="1">
        <v>3059.0799999999899</v>
      </c>
      <c r="D507" s="4">
        <f t="shared" si="7"/>
        <v>4105.7196999999906</v>
      </c>
    </row>
    <row r="508" spans="1:6" x14ac:dyDescent="0.3">
      <c r="A508" s="3" t="s">
        <v>768</v>
      </c>
      <c r="B508" s="1">
        <v>751.11699999999905</v>
      </c>
      <c r="C508" s="1">
        <v>2276.11</v>
      </c>
      <c r="D508" s="4">
        <f t="shared" si="7"/>
        <v>3399.0892750000003</v>
      </c>
    </row>
    <row r="509" spans="1:6" x14ac:dyDescent="0.3">
      <c r="A509" s="3" t="s">
        <v>769</v>
      </c>
      <c r="B509" s="1">
        <v>717.13199999999904</v>
      </c>
      <c r="C509" s="1">
        <v>2173.1199999999899</v>
      </c>
      <c r="D509" s="4">
        <f t="shared" si="7"/>
        <v>3306.140799999991</v>
      </c>
    </row>
    <row r="510" spans="1:6" x14ac:dyDescent="0.3">
      <c r="A510" s="3" t="s">
        <v>770</v>
      </c>
      <c r="B510" s="1">
        <v>639.53111111111104</v>
      </c>
      <c r="C510" s="1">
        <v>1937.9777777777699</v>
      </c>
      <c r="D510" s="4">
        <f t="shared" si="7"/>
        <v>3093.9249444444376</v>
      </c>
    </row>
    <row r="511" spans="1:6" x14ac:dyDescent="0.3">
      <c r="A511" s="3" t="s">
        <v>771</v>
      </c>
      <c r="B511" s="1">
        <v>796.19818181818096</v>
      </c>
      <c r="C511" s="1">
        <v>2412.7090909090898</v>
      </c>
      <c r="D511" s="4">
        <f t="shared" si="7"/>
        <v>3522.3699545454538</v>
      </c>
      <c r="F511" s="1">
        <f>AVERAGE(D511:D534)</f>
        <v>3253.6047366477219</v>
      </c>
    </row>
    <row r="512" spans="1:6" x14ac:dyDescent="0.3">
      <c r="A512" s="3" t="s">
        <v>772</v>
      </c>
      <c r="B512" s="1">
        <v>710.36399999999901</v>
      </c>
      <c r="C512" s="1">
        <v>2152.6299999999901</v>
      </c>
      <c r="D512" s="4">
        <f t="shared" si="7"/>
        <v>3287.6485749999911</v>
      </c>
    </row>
    <row r="513" spans="1:4" x14ac:dyDescent="0.3">
      <c r="A513" s="3" t="s">
        <v>773</v>
      </c>
      <c r="B513" s="1">
        <v>745.42222222222199</v>
      </c>
      <c r="C513" s="1">
        <v>2258.86666666666</v>
      </c>
      <c r="D513" s="4">
        <f t="shared" si="7"/>
        <v>3383.5271666666604</v>
      </c>
    </row>
    <row r="514" spans="1:4" x14ac:dyDescent="0.3">
      <c r="A514" s="3" t="s">
        <v>774</v>
      </c>
      <c r="B514" s="1">
        <v>653.82888888888795</v>
      </c>
      <c r="C514" s="1">
        <v>1981.2777777777701</v>
      </c>
      <c r="D514" s="4">
        <f t="shared" si="7"/>
        <v>3133.0031944444372</v>
      </c>
    </row>
    <row r="515" spans="1:4" x14ac:dyDescent="0.3">
      <c r="A515" s="3" t="s">
        <v>775</v>
      </c>
      <c r="B515" s="1">
        <v>740.279</v>
      </c>
      <c r="C515" s="1">
        <v>2243.28999999999</v>
      </c>
      <c r="D515" s="4">
        <f t="shared" si="7"/>
        <v>3369.4692249999907</v>
      </c>
    </row>
    <row r="516" spans="1:4" x14ac:dyDescent="0.3">
      <c r="A516" s="3" t="s">
        <v>776</v>
      </c>
      <c r="B516" s="1">
        <v>679.85500000000002</v>
      </c>
      <c r="C516" s="1">
        <v>2060.1699999999901</v>
      </c>
      <c r="D516" s="4">
        <f t="shared" si="7"/>
        <v>3204.2034249999911</v>
      </c>
    </row>
    <row r="517" spans="1:4" x14ac:dyDescent="0.3">
      <c r="A517" s="3" t="s">
        <v>777</v>
      </c>
      <c r="B517" s="1">
        <v>817.35299999999995</v>
      </c>
      <c r="C517" s="1">
        <v>2476.8399999999901</v>
      </c>
      <c r="D517" s="4">
        <f t="shared" si="7"/>
        <v>3580.2480999999912</v>
      </c>
    </row>
    <row r="518" spans="1:4" x14ac:dyDescent="0.3">
      <c r="A518" s="3" t="s">
        <v>778</v>
      </c>
      <c r="B518" s="1">
        <v>745.34400000000005</v>
      </c>
      <c r="C518" s="1">
        <v>2258.62</v>
      </c>
      <c r="D518" s="4">
        <f t="shared" si="7"/>
        <v>3383.3045499999998</v>
      </c>
    </row>
    <row r="519" spans="1:4" x14ac:dyDescent="0.3">
      <c r="A519" s="3" t="s">
        <v>779</v>
      </c>
      <c r="B519" s="1">
        <v>804.97666666666601</v>
      </c>
      <c r="C519" s="1">
        <v>2439.3000000000002</v>
      </c>
      <c r="D519" s="4">
        <f t="shared" si="7"/>
        <v>3546.36825</v>
      </c>
    </row>
    <row r="520" spans="1:4" x14ac:dyDescent="0.3">
      <c r="A520" s="3" t="s">
        <v>780</v>
      </c>
      <c r="B520" s="1">
        <v>623.65800000000002</v>
      </c>
      <c r="C520" s="1">
        <v>1889.8699999999899</v>
      </c>
      <c r="D520" s="4">
        <f t="shared" ref="D520:D582" si="8">0.9025*C520+1344.9</f>
        <v>3050.5076749999907</v>
      </c>
    </row>
    <row r="521" spans="1:4" x14ac:dyDescent="0.3">
      <c r="A521" s="3" t="s">
        <v>781</v>
      </c>
      <c r="B521" s="1">
        <v>713.048</v>
      </c>
      <c r="C521" s="1">
        <v>2160.75</v>
      </c>
      <c r="D521" s="4">
        <f t="shared" si="8"/>
        <v>3294.9768750000003</v>
      </c>
    </row>
    <row r="522" spans="1:4" x14ac:dyDescent="0.3">
      <c r="A522" s="3" t="s">
        <v>782</v>
      </c>
      <c r="B522" s="1">
        <v>747.72888888888804</v>
      </c>
      <c r="C522" s="1">
        <v>2265.8555555555499</v>
      </c>
      <c r="D522" s="4">
        <f t="shared" si="8"/>
        <v>3389.834638888884</v>
      </c>
    </row>
    <row r="523" spans="1:4" x14ac:dyDescent="0.3">
      <c r="A523" s="3" t="s">
        <v>783</v>
      </c>
      <c r="B523" s="1">
        <v>768.67499999999995</v>
      </c>
      <c r="C523" s="1">
        <v>2329.3200000000002</v>
      </c>
      <c r="D523" s="4">
        <f t="shared" si="8"/>
        <v>3447.1113</v>
      </c>
    </row>
    <row r="524" spans="1:4" x14ac:dyDescent="0.3">
      <c r="A524" s="3" t="s">
        <v>784</v>
      </c>
      <c r="B524" s="1">
        <v>686.73900000000003</v>
      </c>
      <c r="C524" s="1">
        <v>2081.0300000000002</v>
      </c>
      <c r="D524" s="4">
        <f t="shared" si="8"/>
        <v>3223.0295750000005</v>
      </c>
    </row>
    <row r="525" spans="1:4" x14ac:dyDescent="0.3">
      <c r="A525" s="3" t="s">
        <v>785</v>
      </c>
      <c r="B525" s="1">
        <v>630.638888888888</v>
      </c>
      <c r="C525" s="1">
        <v>1911.0444444444399</v>
      </c>
      <c r="D525" s="4">
        <f t="shared" si="8"/>
        <v>3069.6176111111072</v>
      </c>
    </row>
    <row r="526" spans="1:4" x14ac:dyDescent="0.3">
      <c r="A526" s="3" t="s">
        <v>786</v>
      </c>
      <c r="B526" s="1">
        <v>700.29</v>
      </c>
      <c r="C526" s="1">
        <v>2122.0777777777698</v>
      </c>
      <c r="D526" s="4">
        <f t="shared" si="8"/>
        <v>3260.0751944444373</v>
      </c>
    </row>
    <row r="527" spans="1:4" x14ac:dyDescent="0.3">
      <c r="A527" s="3" t="s">
        <v>787</v>
      </c>
      <c r="B527" s="1">
        <v>678.56888888888795</v>
      </c>
      <c r="C527" s="1">
        <v>2056.2666666666601</v>
      </c>
      <c r="D527" s="4">
        <f t="shared" si="8"/>
        <v>3200.6806666666607</v>
      </c>
    </row>
    <row r="528" spans="1:4" x14ac:dyDescent="0.3">
      <c r="A528" s="3" t="s">
        <v>788</v>
      </c>
      <c r="B528" s="1">
        <v>610.26899999999898</v>
      </c>
      <c r="C528" s="1">
        <v>1849.28999999999</v>
      </c>
      <c r="D528" s="4">
        <f t="shared" si="8"/>
        <v>3013.8842249999907</v>
      </c>
    </row>
    <row r="529" spans="1:6" x14ac:dyDescent="0.3">
      <c r="A529" s="3" t="s">
        <v>789</v>
      </c>
      <c r="B529" s="1">
        <v>671.84299999999905</v>
      </c>
      <c r="C529" s="1">
        <v>2035.88</v>
      </c>
      <c r="D529" s="4">
        <f t="shared" si="8"/>
        <v>3182.2817000000005</v>
      </c>
    </row>
    <row r="530" spans="1:6" x14ac:dyDescent="0.3">
      <c r="A530" s="3" t="s">
        <v>790</v>
      </c>
      <c r="B530" s="1">
        <v>734.43799999999896</v>
      </c>
      <c r="C530" s="1">
        <v>2225.5700000000002</v>
      </c>
      <c r="D530" s="4">
        <f t="shared" si="8"/>
        <v>3353.4769249999999</v>
      </c>
    </row>
    <row r="531" spans="1:6" x14ac:dyDescent="0.3">
      <c r="A531" s="3" t="s">
        <v>791</v>
      </c>
      <c r="B531" s="1">
        <v>645.49222222222204</v>
      </c>
      <c r="C531" s="1">
        <v>1956.0333333333299</v>
      </c>
      <c r="D531" s="4">
        <f t="shared" si="8"/>
        <v>3110.22008333333</v>
      </c>
    </row>
    <row r="532" spans="1:6" x14ac:dyDescent="0.3">
      <c r="A532" s="3" t="s">
        <v>792</v>
      </c>
      <c r="B532" s="1">
        <v>551.09909090909002</v>
      </c>
      <c r="C532" s="1">
        <v>1670</v>
      </c>
      <c r="D532" s="4">
        <f t="shared" si="8"/>
        <v>2852.0749999999998</v>
      </c>
    </row>
    <row r="533" spans="1:6" x14ac:dyDescent="0.3">
      <c r="A533" s="3" t="s">
        <v>793</v>
      </c>
      <c r="B533" s="1">
        <v>614.596</v>
      </c>
      <c r="C533" s="1">
        <v>1862.4299999999901</v>
      </c>
      <c r="D533" s="4">
        <f t="shared" si="8"/>
        <v>3025.7430749999912</v>
      </c>
    </row>
    <row r="534" spans="1:6" x14ac:dyDescent="0.3">
      <c r="A534" s="3" t="s">
        <v>794</v>
      </c>
      <c r="B534" s="1">
        <v>679.36666666666599</v>
      </c>
      <c r="C534" s="1">
        <v>2058.6777777777702</v>
      </c>
      <c r="D534" s="4">
        <f t="shared" si="8"/>
        <v>3202.8566944444374</v>
      </c>
    </row>
    <row r="535" spans="1:6" x14ac:dyDescent="0.3">
      <c r="A535" s="3" t="s">
        <v>795</v>
      </c>
      <c r="B535" s="1">
        <v>989.27499999999998</v>
      </c>
      <c r="C535" s="1">
        <v>2997.78999999999</v>
      </c>
      <c r="D535" s="4">
        <f t="shared" si="8"/>
        <v>4050.4054749999909</v>
      </c>
      <c r="F535" s="1">
        <f>AVERAGE(D535:D558)</f>
        <v>3839.5554825441868</v>
      </c>
    </row>
    <row r="536" spans="1:6" x14ac:dyDescent="0.3">
      <c r="A536" s="3" t="s">
        <v>796</v>
      </c>
      <c r="B536" s="1">
        <v>895.21083333333297</v>
      </c>
      <c r="C536" s="1">
        <v>2712.75</v>
      </c>
      <c r="D536" s="4">
        <f t="shared" si="8"/>
        <v>3793.1568750000001</v>
      </c>
    </row>
    <row r="537" spans="1:6" x14ac:dyDescent="0.3">
      <c r="A537" s="3" t="s">
        <v>797</v>
      </c>
      <c r="B537" s="1">
        <v>988.253999999999</v>
      </c>
      <c r="C537" s="1">
        <v>2994.73</v>
      </c>
      <c r="D537" s="4">
        <f t="shared" si="8"/>
        <v>4047.6438250000001</v>
      </c>
    </row>
    <row r="538" spans="1:6" x14ac:dyDescent="0.3">
      <c r="A538" s="3" t="s">
        <v>798</v>
      </c>
      <c r="B538" s="1">
        <v>1005.89777777777</v>
      </c>
      <c r="C538" s="1">
        <v>3048.1999999999898</v>
      </c>
      <c r="D538" s="4">
        <f t="shared" si="8"/>
        <v>4095.9004999999906</v>
      </c>
    </row>
    <row r="539" spans="1:6" x14ac:dyDescent="0.3">
      <c r="A539" s="3" t="s">
        <v>799</v>
      </c>
      <c r="B539" s="1">
        <v>714.31444444444401</v>
      </c>
      <c r="C539" s="1">
        <v>2164.5888888888799</v>
      </c>
      <c r="D539" s="4">
        <f t="shared" si="8"/>
        <v>3298.4414722222141</v>
      </c>
    </row>
    <row r="540" spans="1:6" x14ac:dyDescent="0.3">
      <c r="A540" s="3" t="s">
        <v>800</v>
      </c>
      <c r="B540" s="1">
        <v>777.09272727272696</v>
      </c>
      <c r="C540" s="1">
        <v>2354.8090909090902</v>
      </c>
      <c r="D540" s="4">
        <f t="shared" si="8"/>
        <v>3470.1152045454537</v>
      </c>
    </row>
    <row r="541" spans="1:6" x14ac:dyDescent="0.3">
      <c r="A541" s="3" t="s">
        <v>801</v>
      </c>
      <c r="B541" s="1">
        <v>819.772999999999</v>
      </c>
      <c r="C541" s="1">
        <v>2484.1599999999899</v>
      </c>
      <c r="D541" s="4">
        <f t="shared" si="8"/>
        <v>3586.8543999999911</v>
      </c>
    </row>
    <row r="542" spans="1:6" x14ac:dyDescent="0.3">
      <c r="A542" s="3" t="s">
        <v>802</v>
      </c>
      <c r="B542" s="1">
        <v>1022.99099999999</v>
      </c>
      <c r="C542" s="1">
        <v>3099.96</v>
      </c>
      <c r="D542" s="4">
        <f t="shared" si="8"/>
        <v>4142.6139000000003</v>
      </c>
    </row>
    <row r="543" spans="1:6" x14ac:dyDescent="0.3">
      <c r="A543" s="3" t="s">
        <v>803</v>
      </c>
      <c r="B543" s="1">
        <v>906.31600000000003</v>
      </c>
      <c r="C543" s="1">
        <v>2746.38</v>
      </c>
      <c r="D543" s="4">
        <f t="shared" si="8"/>
        <v>3823.5079500000002</v>
      </c>
    </row>
    <row r="544" spans="1:6" x14ac:dyDescent="0.3">
      <c r="A544" s="3" t="s">
        <v>804</v>
      </c>
      <c r="B544" s="1">
        <v>803.11545454545399</v>
      </c>
      <c r="C544" s="1">
        <v>2433.6999999999898</v>
      </c>
      <c r="D544" s="4">
        <f t="shared" si="8"/>
        <v>3541.3142499999908</v>
      </c>
    </row>
    <row r="545" spans="1:6" x14ac:dyDescent="0.3">
      <c r="A545" s="3" t="s">
        <v>805</v>
      </c>
      <c r="B545" s="1">
        <v>892.02909090908997</v>
      </c>
      <c r="C545" s="1">
        <v>2703.0999999999899</v>
      </c>
      <c r="D545" s="4">
        <f t="shared" si="8"/>
        <v>3784.4477499999907</v>
      </c>
    </row>
    <row r="546" spans="1:6" x14ac:dyDescent="0.3">
      <c r="A546" s="3" t="s">
        <v>806</v>
      </c>
      <c r="B546" s="1">
        <v>875.78</v>
      </c>
      <c r="C546" s="1">
        <v>2653.9</v>
      </c>
      <c r="D546" s="4">
        <f t="shared" si="8"/>
        <v>3740.04475</v>
      </c>
    </row>
    <row r="547" spans="1:6" x14ac:dyDescent="0.3">
      <c r="A547" s="3" t="s">
        <v>807</v>
      </c>
      <c r="B547" s="1">
        <v>832.06111111111102</v>
      </c>
      <c r="C547" s="1">
        <v>2521.37777777777</v>
      </c>
      <c r="D547" s="4">
        <f t="shared" si="8"/>
        <v>3620.4434444444373</v>
      </c>
    </row>
    <row r="548" spans="1:6" x14ac:dyDescent="0.3">
      <c r="A548" s="3" t="s">
        <v>808</v>
      </c>
      <c r="B548" s="1">
        <v>844.22454545454502</v>
      </c>
      <c r="C548" s="1">
        <v>2558.2363636363598</v>
      </c>
      <c r="D548" s="4">
        <f t="shared" si="8"/>
        <v>3653.7083181818148</v>
      </c>
    </row>
    <row r="549" spans="1:6" x14ac:dyDescent="0.3">
      <c r="A549" s="3" t="s">
        <v>809</v>
      </c>
      <c r="B549" s="1">
        <v>1218.2</v>
      </c>
      <c r="C549" s="1">
        <v>3691.53</v>
      </c>
      <c r="D549" s="4">
        <f t="shared" si="8"/>
        <v>4676.5058250000002</v>
      </c>
    </row>
    <row r="550" spans="1:6" x14ac:dyDescent="0.3">
      <c r="A550" s="3" t="s">
        <v>810</v>
      </c>
      <c r="B550" s="1">
        <v>1124.72888888888</v>
      </c>
      <c r="C550" s="1">
        <v>3408.25555555555</v>
      </c>
      <c r="D550" s="4">
        <f t="shared" si="8"/>
        <v>4420.8506388888836</v>
      </c>
    </row>
    <row r="551" spans="1:6" x14ac:dyDescent="0.3">
      <c r="A551" s="3" t="s">
        <v>811</v>
      </c>
      <c r="B551" s="1">
        <v>681.18299999999897</v>
      </c>
      <c r="C551" s="1">
        <v>2064.1799999999998</v>
      </c>
      <c r="D551" s="4">
        <f t="shared" si="8"/>
        <v>3207.8224499999997</v>
      </c>
    </row>
    <row r="552" spans="1:6" x14ac:dyDescent="0.3">
      <c r="A552" s="3" t="s">
        <v>812</v>
      </c>
      <c r="B552" s="1">
        <v>712.80444444444402</v>
      </c>
      <c r="C552" s="1">
        <v>2160.0100000000002</v>
      </c>
      <c r="D552" s="4">
        <f t="shared" si="8"/>
        <v>3294.3090250000005</v>
      </c>
    </row>
    <row r="553" spans="1:6" x14ac:dyDescent="0.3">
      <c r="A553" s="3" t="s">
        <v>813</v>
      </c>
      <c r="B553" s="1">
        <v>867.94399999999905</v>
      </c>
      <c r="C553" s="1">
        <v>2630.1699999999901</v>
      </c>
      <c r="D553" s="4">
        <f t="shared" si="8"/>
        <v>3718.6284249999912</v>
      </c>
    </row>
    <row r="554" spans="1:6" x14ac:dyDescent="0.3">
      <c r="A554" s="3" t="s">
        <v>814</v>
      </c>
      <c r="B554" s="1">
        <v>802.62900000000002</v>
      </c>
      <c r="C554" s="1">
        <v>2432.2199999999898</v>
      </c>
      <c r="D554" s="4">
        <f t="shared" si="8"/>
        <v>3539.9785499999907</v>
      </c>
    </row>
    <row r="555" spans="1:6" x14ac:dyDescent="0.3">
      <c r="A555" s="3" t="s">
        <v>815</v>
      </c>
      <c r="B555" s="1">
        <v>807.19666666666603</v>
      </c>
      <c r="C555" s="1">
        <v>2446.0444444444402</v>
      </c>
      <c r="D555" s="4">
        <f t="shared" si="8"/>
        <v>3552.4551111111073</v>
      </c>
    </row>
    <row r="556" spans="1:6" x14ac:dyDescent="0.3">
      <c r="A556" s="3" t="s">
        <v>816</v>
      </c>
      <c r="B556" s="1">
        <v>856.98699999999894</v>
      </c>
      <c r="C556" s="1">
        <v>2596.92</v>
      </c>
      <c r="D556" s="4">
        <f t="shared" si="8"/>
        <v>3688.6203</v>
      </c>
    </row>
    <row r="557" spans="1:6" x14ac:dyDescent="0.3">
      <c r="A557" s="3" t="s">
        <v>817</v>
      </c>
      <c r="B557" s="1">
        <v>1270.53999999999</v>
      </c>
      <c r="C557" s="1">
        <v>3850.1899999999901</v>
      </c>
      <c r="D557" s="4">
        <f t="shared" si="8"/>
        <v>4819.6964749999916</v>
      </c>
    </row>
    <row r="558" spans="1:6" x14ac:dyDescent="0.3">
      <c r="A558" s="3" t="s">
        <v>818</v>
      </c>
      <c r="B558" s="1">
        <v>1183.5888888888801</v>
      </c>
      <c r="C558" s="1">
        <v>3586.6666666666601</v>
      </c>
      <c r="D558" s="4">
        <f t="shared" si="8"/>
        <v>4581.8666666666613</v>
      </c>
    </row>
    <row r="559" spans="1:6" x14ac:dyDescent="0.3">
      <c r="A559" s="3" t="s">
        <v>819</v>
      </c>
      <c r="B559" s="1">
        <v>821.19899999999905</v>
      </c>
      <c r="C559" s="1">
        <v>2488.45999999999</v>
      </c>
      <c r="D559" s="4">
        <f t="shared" si="8"/>
        <v>3590.7351499999909</v>
      </c>
      <c r="F559" s="1">
        <f>AVERAGE(D559:D582)</f>
        <v>3473.6299174863179</v>
      </c>
    </row>
    <row r="560" spans="1:6" x14ac:dyDescent="0.3">
      <c r="A560" s="3" t="s">
        <v>820</v>
      </c>
      <c r="B560" s="1">
        <v>838.11199999999894</v>
      </c>
      <c r="C560" s="1">
        <v>2539.71</v>
      </c>
      <c r="D560" s="4">
        <f t="shared" si="8"/>
        <v>3636.9882750000002</v>
      </c>
    </row>
    <row r="561" spans="1:4" x14ac:dyDescent="0.3">
      <c r="A561" s="3" t="s">
        <v>821</v>
      </c>
      <c r="B561" s="1">
        <v>991.11800000000005</v>
      </c>
      <c r="C561" s="1">
        <v>3003.3699999999899</v>
      </c>
      <c r="D561" s="4">
        <f t="shared" si="8"/>
        <v>4055.4414249999909</v>
      </c>
    </row>
    <row r="562" spans="1:4" x14ac:dyDescent="0.3">
      <c r="A562" s="3" t="s">
        <v>822</v>
      </c>
      <c r="B562" s="1">
        <v>736.36111111111097</v>
      </c>
      <c r="C562" s="1">
        <v>2231.4111111111101</v>
      </c>
      <c r="D562" s="4">
        <f t="shared" si="8"/>
        <v>3358.7485277777769</v>
      </c>
    </row>
    <row r="563" spans="1:4" x14ac:dyDescent="0.3">
      <c r="A563" s="3" t="s">
        <v>823</v>
      </c>
      <c r="B563" s="1">
        <v>749.90444444444404</v>
      </c>
      <c r="C563" s="1">
        <v>2272.4333333333302</v>
      </c>
      <c r="D563" s="4">
        <f t="shared" si="8"/>
        <v>3395.7710833333304</v>
      </c>
    </row>
    <row r="564" spans="1:4" x14ac:dyDescent="0.3">
      <c r="A564" s="3" t="s">
        <v>824</v>
      </c>
      <c r="B564" s="1">
        <v>818.30111111111103</v>
      </c>
      <c r="C564" s="1">
        <v>2479.7222222222199</v>
      </c>
      <c r="D564" s="4">
        <f t="shared" si="8"/>
        <v>3582.8493055555537</v>
      </c>
    </row>
    <row r="565" spans="1:4" x14ac:dyDescent="0.3">
      <c r="A565" s="3" t="s">
        <v>825</v>
      </c>
      <c r="B565" s="1">
        <v>812.40699999999902</v>
      </c>
      <c r="C565" s="1">
        <v>2461.85</v>
      </c>
      <c r="D565" s="4">
        <f t="shared" si="8"/>
        <v>3566.7196249999997</v>
      </c>
    </row>
    <row r="566" spans="1:4" x14ac:dyDescent="0.3">
      <c r="A566" s="3" t="s">
        <v>826</v>
      </c>
      <c r="B566" s="1">
        <v>758.26666666666597</v>
      </c>
      <c r="C566" s="1">
        <v>2297.7777777777701</v>
      </c>
      <c r="D566" s="4">
        <f t="shared" si="8"/>
        <v>3418.6444444444373</v>
      </c>
    </row>
    <row r="567" spans="1:4" x14ac:dyDescent="0.3">
      <c r="A567" s="3" t="s">
        <v>827</v>
      </c>
      <c r="B567" s="1">
        <v>937.83799999999906</v>
      </c>
      <c r="C567" s="1">
        <v>2841.96</v>
      </c>
      <c r="D567" s="4">
        <f t="shared" si="8"/>
        <v>3909.7689</v>
      </c>
    </row>
    <row r="568" spans="1:4" x14ac:dyDescent="0.3">
      <c r="A568" s="3" t="s">
        <v>828</v>
      </c>
      <c r="B568" s="1">
        <v>790.33499999999901</v>
      </c>
      <c r="C568" s="1">
        <v>2394.9299999999898</v>
      </c>
      <c r="D568" s="4">
        <f t="shared" si="8"/>
        <v>3506.3243249999909</v>
      </c>
    </row>
    <row r="569" spans="1:4" x14ac:dyDescent="0.3">
      <c r="A569" s="3" t="s">
        <v>829</v>
      </c>
      <c r="B569" s="1">
        <v>808.14636363636305</v>
      </c>
      <c r="C569" s="1">
        <v>2448.9272727272701</v>
      </c>
      <c r="D569" s="4">
        <f t="shared" si="8"/>
        <v>3555.0568636363614</v>
      </c>
    </row>
    <row r="570" spans="1:4" x14ac:dyDescent="0.3">
      <c r="A570" s="3" t="s">
        <v>830</v>
      </c>
      <c r="B570" s="1">
        <v>818.92555555555498</v>
      </c>
      <c r="C570" s="1">
        <v>2481.5999999999899</v>
      </c>
      <c r="D570" s="4">
        <f t="shared" si="8"/>
        <v>3584.5439999999908</v>
      </c>
    </row>
    <row r="571" spans="1:4" x14ac:dyDescent="0.3">
      <c r="A571" s="3" t="s">
        <v>831</v>
      </c>
      <c r="B571" s="1">
        <v>661.00999999999897</v>
      </c>
      <c r="C571" s="1">
        <v>2003.0644444444399</v>
      </c>
      <c r="D571" s="4">
        <f t="shared" si="8"/>
        <v>3152.6656611111071</v>
      </c>
    </row>
    <row r="572" spans="1:4" x14ac:dyDescent="0.3">
      <c r="A572" s="3" t="s">
        <v>832</v>
      </c>
      <c r="B572" s="1">
        <v>719.02999999999895</v>
      </c>
      <c r="C572" s="1">
        <v>2178.86666666666</v>
      </c>
      <c r="D572" s="4">
        <f t="shared" si="8"/>
        <v>3311.3271666666606</v>
      </c>
    </row>
    <row r="573" spans="1:4" x14ac:dyDescent="0.3">
      <c r="A573" s="3" t="s">
        <v>833</v>
      </c>
      <c r="B573" s="1">
        <v>711.58500000000004</v>
      </c>
      <c r="C573" s="1">
        <v>2156.3000000000002</v>
      </c>
      <c r="D573" s="4">
        <f t="shared" si="8"/>
        <v>3290.9607500000002</v>
      </c>
    </row>
    <row r="574" spans="1:4" x14ac:dyDescent="0.3">
      <c r="A574" s="3" t="s">
        <v>834</v>
      </c>
      <c r="B574" s="1">
        <v>695.73800000000006</v>
      </c>
      <c r="C574" s="1">
        <v>2108.3000000000002</v>
      </c>
      <c r="D574" s="4">
        <f t="shared" si="8"/>
        <v>3247.6407500000005</v>
      </c>
    </row>
    <row r="575" spans="1:4" x14ac:dyDescent="0.3">
      <c r="A575" s="3" t="s">
        <v>835</v>
      </c>
      <c r="B575" s="1">
        <v>708.61099999999999</v>
      </c>
      <c r="C575" s="1">
        <v>2147.3000000000002</v>
      </c>
      <c r="D575" s="4">
        <f t="shared" si="8"/>
        <v>3282.8382500000002</v>
      </c>
    </row>
    <row r="576" spans="1:4" x14ac:dyDescent="0.3">
      <c r="A576" s="3" t="s">
        <v>836</v>
      </c>
      <c r="B576" s="1">
        <v>677.95</v>
      </c>
      <c r="C576" s="1">
        <v>2054.4</v>
      </c>
      <c r="D576" s="4">
        <f t="shared" si="8"/>
        <v>3198.9960000000001</v>
      </c>
    </row>
    <row r="577" spans="1:4" x14ac:dyDescent="0.3">
      <c r="A577" s="3" t="s">
        <v>837</v>
      </c>
      <c r="B577" s="1">
        <v>603.38199999999904</v>
      </c>
      <c r="C577" s="1">
        <v>1828.441</v>
      </c>
      <c r="D577" s="4">
        <f t="shared" si="8"/>
        <v>2995.0680025000001</v>
      </c>
    </row>
    <row r="578" spans="1:4" x14ac:dyDescent="0.3">
      <c r="A578" s="3" t="s">
        <v>838</v>
      </c>
      <c r="B578" s="1">
        <v>596.53111111111002</v>
      </c>
      <c r="C578" s="1">
        <v>1807.6666666666599</v>
      </c>
      <c r="D578" s="4">
        <f t="shared" si="8"/>
        <v>2976.3191666666607</v>
      </c>
    </row>
    <row r="579" spans="1:4" x14ac:dyDescent="0.3">
      <c r="A579" s="3" t="s">
        <v>839</v>
      </c>
      <c r="B579" s="1">
        <v>836.18222222222198</v>
      </c>
      <c r="C579" s="1">
        <v>2533.88888888888</v>
      </c>
      <c r="D579" s="4">
        <f t="shared" si="8"/>
        <v>3631.7347222222143</v>
      </c>
    </row>
    <row r="580" spans="1:4" x14ac:dyDescent="0.3">
      <c r="A580" s="3" t="s">
        <v>840</v>
      </c>
      <c r="B580" s="1">
        <v>792.23800000000006</v>
      </c>
      <c r="C580" s="1">
        <v>2400.7199999999898</v>
      </c>
      <c r="D580" s="4">
        <f t="shared" si="8"/>
        <v>3511.5497999999907</v>
      </c>
    </row>
    <row r="581" spans="1:4" x14ac:dyDescent="0.3">
      <c r="A581" s="3" t="s">
        <v>841</v>
      </c>
      <c r="B581" s="1">
        <v>877.89</v>
      </c>
      <c r="C581" s="1">
        <v>2660.3181818181802</v>
      </c>
      <c r="D581" s="4">
        <f t="shared" si="8"/>
        <v>3745.8371590909078</v>
      </c>
    </row>
    <row r="582" spans="1:4" x14ac:dyDescent="0.3">
      <c r="A582" s="3" t="s">
        <v>842</v>
      </c>
      <c r="B582" s="1">
        <v>919.86555555555503</v>
      </c>
      <c r="C582" s="1">
        <v>2787.4666666666599</v>
      </c>
      <c r="D582" s="4">
        <f t="shared" si="8"/>
        <v>3860.5886666666606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C0E53-2333-44F3-BC6F-75F93AB74A0A}">
  <dimension ref="A1:AM30"/>
  <sheetViews>
    <sheetView workbookViewId="0"/>
  </sheetViews>
  <sheetFormatPr defaultRowHeight="14.4" x14ac:dyDescent="0.3"/>
  <cols>
    <col min="3" max="3" width="10.5546875" bestFit="1" customWidth="1"/>
    <col min="8" max="8" width="8.88671875" customWidth="1"/>
    <col min="9" max="9" width="10.5546875" bestFit="1" customWidth="1"/>
    <col min="12" max="12" width="8.88671875" customWidth="1"/>
    <col min="26" max="26" width="8.77734375" customWidth="1"/>
    <col min="27" max="27" width="13.21875" bestFit="1" customWidth="1"/>
    <col min="28" max="28" width="10.5546875" bestFit="1" customWidth="1"/>
  </cols>
  <sheetData>
    <row r="1" spans="1:39" x14ac:dyDescent="0.3">
      <c r="A1" s="3"/>
      <c r="B1" s="3" t="s">
        <v>0</v>
      </c>
      <c r="C1" s="3" t="s">
        <v>0</v>
      </c>
      <c r="D1" t="s">
        <v>0</v>
      </c>
      <c r="E1" t="s">
        <v>0</v>
      </c>
      <c r="F1" t="s">
        <v>0</v>
      </c>
      <c r="G1" t="s">
        <v>0</v>
      </c>
      <c r="H1" s="3" t="s">
        <v>0</v>
      </c>
      <c r="I1" s="3" t="s">
        <v>12</v>
      </c>
      <c r="J1" t="s">
        <v>12</v>
      </c>
      <c r="K1" t="s">
        <v>12</v>
      </c>
      <c r="L1" s="3" t="s">
        <v>12</v>
      </c>
      <c r="M1" s="3" t="s">
        <v>12</v>
      </c>
      <c r="N1" s="3" t="s">
        <v>12</v>
      </c>
      <c r="O1" t="s">
        <v>11</v>
      </c>
      <c r="P1" t="s">
        <v>11</v>
      </c>
      <c r="Q1" t="s">
        <v>11</v>
      </c>
      <c r="R1" t="s">
        <v>11</v>
      </c>
      <c r="S1" s="3" t="s">
        <v>11</v>
      </c>
      <c r="T1" s="3" t="s">
        <v>11</v>
      </c>
      <c r="U1" s="3" t="s">
        <v>28</v>
      </c>
      <c r="V1" s="3" t="s">
        <v>28</v>
      </c>
      <c r="W1" s="3" t="s">
        <v>28</v>
      </c>
      <c r="X1" s="3" t="s">
        <v>28</v>
      </c>
      <c r="Y1" s="3" t="s">
        <v>28</v>
      </c>
      <c r="Z1" s="3" t="s">
        <v>28</v>
      </c>
      <c r="AB1" s="3" t="s">
        <v>41</v>
      </c>
      <c r="AC1" s="3" t="s">
        <v>41</v>
      </c>
      <c r="AD1" s="3" t="s">
        <v>41</v>
      </c>
      <c r="AE1" s="3" t="s">
        <v>41</v>
      </c>
      <c r="AF1" s="3" t="s">
        <v>41</v>
      </c>
      <c r="AG1" s="3" t="s">
        <v>41</v>
      </c>
      <c r="AH1" s="3" t="s">
        <v>41</v>
      </c>
      <c r="AI1" s="3" t="s">
        <v>41</v>
      </c>
      <c r="AJ1" t="s">
        <v>41</v>
      </c>
      <c r="AK1" s="3" t="s">
        <v>41</v>
      </c>
      <c r="AL1" s="3" t="s">
        <v>41</v>
      </c>
      <c r="AM1" s="3" t="s">
        <v>41</v>
      </c>
    </row>
    <row r="2" spans="1:39" x14ac:dyDescent="0.3">
      <c r="A2" s="3"/>
      <c r="B2" s="3"/>
      <c r="C2" s="3"/>
      <c r="G2" t="s">
        <v>106</v>
      </c>
      <c r="H2" s="3" t="s">
        <v>141</v>
      </c>
      <c r="I2" s="3"/>
      <c r="L2" s="3"/>
      <c r="M2" s="3"/>
      <c r="N2" s="3"/>
      <c r="O2" t="s">
        <v>21</v>
      </c>
      <c r="P2" t="s">
        <v>121</v>
      </c>
      <c r="Q2" t="s">
        <v>21</v>
      </c>
      <c r="R2" t="s">
        <v>22</v>
      </c>
      <c r="S2" s="3"/>
      <c r="T2" s="3"/>
      <c r="U2" s="3"/>
      <c r="V2" s="3"/>
      <c r="W2" s="3"/>
      <c r="X2" s="3"/>
      <c r="Y2" s="3"/>
      <c r="Z2" s="3"/>
      <c r="AB2" s="3"/>
      <c r="AC2" s="3"/>
      <c r="AD2" s="3"/>
      <c r="AE2" s="3"/>
      <c r="AF2" s="3"/>
      <c r="AG2" s="3"/>
      <c r="AH2" s="3"/>
      <c r="AI2" s="3"/>
      <c r="AK2" s="3"/>
      <c r="AL2" s="3"/>
      <c r="AM2" s="3"/>
    </row>
    <row r="3" spans="1:39" x14ac:dyDescent="0.3">
      <c r="A3" s="3"/>
      <c r="B3" s="3"/>
      <c r="C3" s="3"/>
      <c r="D3" t="s">
        <v>13</v>
      </c>
      <c r="E3" t="s">
        <v>24</v>
      </c>
      <c r="F3" t="s">
        <v>13</v>
      </c>
      <c r="G3" t="s">
        <v>0</v>
      </c>
      <c r="H3" s="3" t="s">
        <v>263</v>
      </c>
      <c r="I3" s="3" t="s">
        <v>45</v>
      </c>
      <c r="J3" t="s">
        <v>16</v>
      </c>
      <c r="K3" t="s">
        <v>15</v>
      </c>
      <c r="L3" s="3"/>
      <c r="M3" s="3"/>
      <c r="N3" s="3"/>
      <c r="O3" t="s">
        <v>120</v>
      </c>
      <c r="P3" t="s">
        <v>122</v>
      </c>
      <c r="Q3" t="s">
        <v>123</v>
      </c>
      <c r="R3" t="s">
        <v>19</v>
      </c>
      <c r="S3" s="3"/>
      <c r="T3" s="3"/>
      <c r="U3" s="3"/>
      <c r="V3" s="3"/>
      <c r="W3" s="3"/>
      <c r="X3" s="3"/>
      <c r="Y3" s="3"/>
      <c r="Z3" s="3"/>
      <c r="AB3" s="3"/>
      <c r="AC3" s="3"/>
      <c r="AD3" s="3"/>
      <c r="AE3" s="3"/>
      <c r="AF3" s="3"/>
      <c r="AG3" s="3"/>
      <c r="AH3" s="3"/>
      <c r="AI3" s="3"/>
      <c r="AK3" s="3"/>
      <c r="AL3" s="3"/>
      <c r="AM3" s="3"/>
    </row>
    <row r="4" spans="1:39" x14ac:dyDescent="0.3">
      <c r="A4" s="3" t="s">
        <v>32</v>
      </c>
      <c r="B4" s="3" t="s">
        <v>104</v>
      </c>
      <c r="C4" s="3" t="s">
        <v>105</v>
      </c>
      <c r="D4" t="s">
        <v>1</v>
      </c>
      <c r="E4" t="s">
        <v>20</v>
      </c>
      <c r="F4" t="s">
        <v>3</v>
      </c>
      <c r="G4" t="s">
        <v>5</v>
      </c>
      <c r="H4" s="3" t="s">
        <v>5</v>
      </c>
      <c r="I4" s="3" t="s">
        <v>44</v>
      </c>
      <c r="J4" t="s">
        <v>1</v>
      </c>
      <c r="K4" t="s">
        <v>47</v>
      </c>
      <c r="L4" s="3" t="s">
        <v>8</v>
      </c>
      <c r="M4" s="3" t="s">
        <v>9</v>
      </c>
      <c r="N4" s="3" t="s">
        <v>10</v>
      </c>
      <c r="O4" t="s">
        <v>23</v>
      </c>
      <c r="P4" t="s">
        <v>23</v>
      </c>
      <c r="Q4" t="s">
        <v>23</v>
      </c>
      <c r="R4" t="s">
        <v>23</v>
      </c>
      <c r="S4" s="3" t="s">
        <v>210</v>
      </c>
      <c r="T4" s="3" t="s">
        <v>211</v>
      </c>
      <c r="U4" s="3" t="s">
        <v>25</v>
      </c>
      <c r="V4" s="3" t="s">
        <v>26</v>
      </c>
      <c r="W4" s="3" t="s">
        <v>27</v>
      </c>
      <c r="X4" s="3" t="s">
        <v>29</v>
      </c>
      <c r="Y4" s="3" t="s">
        <v>30</v>
      </c>
      <c r="Z4" s="3" t="s">
        <v>31</v>
      </c>
      <c r="AA4" t="s">
        <v>42</v>
      </c>
      <c r="AB4" s="3" t="s">
        <v>46</v>
      </c>
      <c r="AC4" s="3" t="s">
        <v>34</v>
      </c>
      <c r="AD4" s="3" t="s">
        <v>35</v>
      </c>
      <c r="AE4" s="3" t="s">
        <v>36</v>
      </c>
      <c r="AF4" s="3" t="s">
        <v>37</v>
      </c>
      <c r="AG4" s="3" t="s">
        <v>38</v>
      </c>
      <c r="AH4" s="3" t="s">
        <v>144</v>
      </c>
      <c r="AI4" s="3" t="s">
        <v>145</v>
      </c>
      <c r="AJ4" t="s">
        <v>146</v>
      </c>
      <c r="AK4" s="3" t="s">
        <v>147</v>
      </c>
      <c r="AL4" s="3" t="s">
        <v>148</v>
      </c>
      <c r="AM4" s="3" t="s">
        <v>39</v>
      </c>
    </row>
    <row r="5" spans="1:39" x14ac:dyDescent="0.3">
      <c r="A5" s="3"/>
      <c r="B5" s="3"/>
      <c r="C5" s="3"/>
      <c r="D5" t="s">
        <v>14</v>
      </c>
      <c r="E5" t="s">
        <v>14</v>
      </c>
      <c r="F5" t="s">
        <v>14</v>
      </c>
      <c r="G5" t="s">
        <v>6</v>
      </c>
      <c r="H5" s="3" t="s">
        <v>6</v>
      </c>
      <c r="I5" s="3"/>
      <c r="J5" t="s">
        <v>14</v>
      </c>
      <c r="K5" t="s">
        <v>14</v>
      </c>
      <c r="L5" s="3" t="s">
        <v>17</v>
      </c>
      <c r="M5" s="3" t="s">
        <v>17</v>
      </c>
      <c r="N5" s="3" t="s">
        <v>17</v>
      </c>
      <c r="O5" t="s">
        <v>18</v>
      </c>
      <c r="P5" t="s">
        <v>18</v>
      </c>
      <c r="Q5" t="s">
        <v>18</v>
      </c>
      <c r="R5" t="s">
        <v>18</v>
      </c>
      <c r="S5" s="3" t="s">
        <v>7</v>
      </c>
      <c r="T5" s="3" t="s">
        <v>7</v>
      </c>
      <c r="U5" s="3" t="s">
        <v>6</v>
      </c>
      <c r="V5" s="3" t="s">
        <v>6</v>
      </c>
      <c r="W5" s="3" t="s">
        <v>6</v>
      </c>
      <c r="X5" s="3" t="s">
        <v>6</v>
      </c>
      <c r="Y5" s="3" t="s">
        <v>6</v>
      </c>
      <c r="Z5" s="3" t="s">
        <v>6</v>
      </c>
      <c r="AB5" s="3"/>
      <c r="AC5" s="3"/>
      <c r="AD5" s="3" t="s">
        <v>43</v>
      </c>
      <c r="AE5" s="3" t="s">
        <v>7</v>
      </c>
      <c r="AF5" s="3" t="s">
        <v>40</v>
      </c>
      <c r="AG5" s="3" t="s">
        <v>7</v>
      </c>
      <c r="AH5" s="3" t="s">
        <v>149</v>
      </c>
      <c r="AI5" s="3"/>
      <c r="AK5" s="3"/>
      <c r="AL5" s="3" t="s">
        <v>7</v>
      </c>
      <c r="AM5" s="3" t="s">
        <v>7</v>
      </c>
    </row>
    <row r="6" spans="1:39" x14ac:dyDescent="0.3">
      <c r="A6" s="3" t="s">
        <v>32</v>
      </c>
      <c r="B6" s="3" t="s">
        <v>104</v>
      </c>
      <c r="C6" s="3" t="s">
        <v>105</v>
      </c>
      <c r="H6" s="3" t="s">
        <v>5</v>
      </c>
      <c r="I6" s="3" t="s">
        <v>44</v>
      </c>
      <c r="L6" s="3" t="s">
        <v>8</v>
      </c>
      <c r="M6" s="3" t="s">
        <v>9</v>
      </c>
      <c r="N6" s="3" t="s">
        <v>10</v>
      </c>
      <c r="S6" s="3" t="s">
        <v>210</v>
      </c>
      <c r="T6" s="3" t="s">
        <v>211</v>
      </c>
      <c r="U6" s="3" t="s">
        <v>25</v>
      </c>
      <c r="V6" s="3" t="s">
        <v>26</v>
      </c>
      <c r="W6" s="3" t="s">
        <v>27</v>
      </c>
      <c r="X6" s="3" t="s">
        <v>29</v>
      </c>
      <c r="Y6" s="3" t="s">
        <v>30</v>
      </c>
      <c r="Z6" s="3" t="s">
        <v>31</v>
      </c>
      <c r="AB6" s="3" t="s">
        <v>46</v>
      </c>
      <c r="AC6" s="3" t="s">
        <v>34</v>
      </c>
      <c r="AD6" s="3" t="s">
        <v>35</v>
      </c>
      <c r="AE6" s="3" t="s">
        <v>36</v>
      </c>
      <c r="AF6" s="3" t="s">
        <v>37</v>
      </c>
      <c r="AG6" s="3" t="s">
        <v>38</v>
      </c>
      <c r="AH6" s="3" t="s">
        <v>144</v>
      </c>
      <c r="AI6" s="3" t="s">
        <v>145</v>
      </c>
      <c r="AJ6" t="s">
        <v>146</v>
      </c>
      <c r="AK6" s="3" t="s">
        <v>147</v>
      </c>
      <c r="AL6" s="3" t="s">
        <v>148</v>
      </c>
      <c r="AM6" s="3" t="s">
        <v>39</v>
      </c>
    </row>
    <row r="7" spans="1:39" x14ac:dyDescent="0.3">
      <c r="A7" s="12" t="s">
        <v>846</v>
      </c>
      <c r="B7" s="4" t="s">
        <v>106</v>
      </c>
      <c r="C7" s="10">
        <v>44126</v>
      </c>
      <c r="D7" s="2">
        <v>3.6</v>
      </c>
      <c r="E7" s="2">
        <v>0.36</v>
      </c>
      <c r="F7" s="2">
        <v>3.24</v>
      </c>
      <c r="G7" s="1">
        <v>3986.2204724409448</v>
      </c>
      <c r="H7" s="4">
        <v>3534.5252773148113</v>
      </c>
      <c r="I7" s="10">
        <v>44134</v>
      </c>
      <c r="J7" s="2">
        <v>1.78</v>
      </c>
      <c r="K7" s="2">
        <v>4.54</v>
      </c>
      <c r="L7" s="6">
        <v>0.37654320987654316</v>
      </c>
      <c r="M7" s="6">
        <v>0.36419753086419754</v>
      </c>
      <c r="N7" s="6">
        <v>0.25925925925925936</v>
      </c>
      <c r="O7" s="2">
        <v>96.3</v>
      </c>
      <c r="P7" s="2">
        <v>92.789999999999992</v>
      </c>
      <c r="Q7" s="2">
        <v>214.35000000000002</v>
      </c>
      <c r="R7" s="2">
        <v>206.43</v>
      </c>
      <c r="S7" s="5">
        <v>3.6448598130841177</v>
      </c>
      <c r="T7" s="5">
        <v>3.6948915325402445</v>
      </c>
      <c r="U7" s="4">
        <v>1330.9014933098979</v>
      </c>
      <c r="V7" s="4">
        <v>1287.2653787751474</v>
      </c>
      <c r="W7" s="4">
        <v>2618.1668720850453</v>
      </c>
      <c r="X7" s="4">
        <v>1282.391999628509</v>
      </c>
      <c r="Y7" s="4">
        <v>1239.7023192934623</v>
      </c>
      <c r="Z7" s="4">
        <v>2522.0943189219715</v>
      </c>
      <c r="AA7" s="11" t="s">
        <v>156</v>
      </c>
      <c r="AB7" s="10">
        <v>44154</v>
      </c>
      <c r="AC7" s="4">
        <v>42.95</v>
      </c>
      <c r="AD7" s="15">
        <v>1.0785</v>
      </c>
      <c r="AE7" s="4">
        <v>79.849999999999994</v>
      </c>
      <c r="AF7" s="4">
        <v>28.25</v>
      </c>
      <c r="AG7" s="4">
        <v>5.9</v>
      </c>
      <c r="AH7" s="4">
        <v>80.5</v>
      </c>
      <c r="AI7" s="4">
        <v>8.25</v>
      </c>
      <c r="AJ7" s="1"/>
      <c r="AK7" s="16">
        <v>6.5</v>
      </c>
      <c r="AL7" s="5">
        <v>8.5000000000000006E-2</v>
      </c>
      <c r="AM7" s="4">
        <v>11.3</v>
      </c>
    </row>
    <row r="8" spans="1:39" x14ac:dyDescent="0.3">
      <c r="A8" s="3" t="s">
        <v>847</v>
      </c>
      <c r="B8" s="4" t="s">
        <v>106</v>
      </c>
      <c r="C8" s="10">
        <v>44126</v>
      </c>
      <c r="D8" s="2">
        <v>2.2399999999999998</v>
      </c>
      <c r="E8" s="2">
        <v>0.33</v>
      </c>
      <c r="F8" s="2">
        <v>1.9099999999999997</v>
      </c>
      <c r="G8" s="1">
        <v>2349.9015748031493</v>
      </c>
      <c r="H8" s="4">
        <v>2861.3096857712503</v>
      </c>
      <c r="I8" s="10">
        <v>44134</v>
      </c>
      <c r="J8" s="2">
        <v>1.22</v>
      </c>
      <c r="K8" s="2">
        <v>3.7800000000000002</v>
      </c>
      <c r="L8" s="6">
        <v>0.34554973821989532</v>
      </c>
      <c r="M8" s="6">
        <v>0.21989528795811542</v>
      </c>
      <c r="N8" s="6">
        <v>0.43455497382198927</v>
      </c>
      <c r="O8" s="2">
        <v>73.510000000000005</v>
      </c>
      <c r="P8" s="2">
        <v>70.849999999999994</v>
      </c>
      <c r="Q8" s="2">
        <v>185.38</v>
      </c>
      <c r="R8" s="2">
        <v>178.46</v>
      </c>
      <c r="S8" s="5">
        <v>3.6185552985988445</v>
      </c>
      <c r="T8" s="5">
        <v>3.7328730175854932</v>
      </c>
      <c r="U8" s="4">
        <v>988.72481288430652</v>
      </c>
      <c r="V8" s="4">
        <v>629.18851729001381</v>
      </c>
      <c r="W8" s="4">
        <v>1617.9133301743204</v>
      </c>
      <c r="X8" s="4">
        <v>952.94725877911992</v>
      </c>
      <c r="Y8" s="4">
        <v>605.70170889834867</v>
      </c>
      <c r="Z8" s="4">
        <v>1558.6489676774686</v>
      </c>
      <c r="AA8" s="11" t="s">
        <v>158</v>
      </c>
      <c r="AB8" s="10">
        <v>44154</v>
      </c>
      <c r="AC8" s="4">
        <v>41.400000000000006</v>
      </c>
      <c r="AD8" s="15">
        <v>1.0129999999999999</v>
      </c>
      <c r="AE8" s="4">
        <v>77.95</v>
      </c>
      <c r="AF8" s="4">
        <v>24.85</v>
      </c>
      <c r="AG8" s="4">
        <v>5.8</v>
      </c>
      <c r="AH8" s="4">
        <v>80.7</v>
      </c>
      <c r="AI8" s="4">
        <v>8.8000000000000007</v>
      </c>
      <c r="AJ8" s="1"/>
      <c r="AK8" s="16">
        <v>17</v>
      </c>
      <c r="AL8" s="5">
        <v>0.45</v>
      </c>
      <c r="AM8" s="4">
        <v>15.45</v>
      </c>
    </row>
    <row r="9" spans="1:39" x14ac:dyDescent="0.3">
      <c r="A9" s="3" t="s">
        <v>848</v>
      </c>
      <c r="B9" s="4" t="s">
        <v>106</v>
      </c>
      <c r="C9" s="10">
        <v>44126</v>
      </c>
      <c r="D9" s="2">
        <v>1.9300000000000002</v>
      </c>
      <c r="E9" s="2">
        <v>0.33</v>
      </c>
      <c r="F9" s="2">
        <v>1.6</v>
      </c>
      <c r="G9" s="1">
        <v>1968.5039370078741</v>
      </c>
      <c r="H9" s="4">
        <v>2680.9368676209951</v>
      </c>
      <c r="I9" s="10">
        <v>44134</v>
      </c>
      <c r="J9" s="2">
        <v>1.08</v>
      </c>
      <c r="K9" s="2">
        <v>3.7</v>
      </c>
      <c r="L9" s="6">
        <v>0.32500000000000001</v>
      </c>
      <c r="M9" s="6">
        <v>0.21250000000000019</v>
      </c>
      <c r="N9" s="6">
        <v>0.46249999999999986</v>
      </c>
      <c r="O9" s="2">
        <v>85.56</v>
      </c>
      <c r="P9" s="2">
        <v>80.81</v>
      </c>
      <c r="Q9" s="2">
        <v>155.87</v>
      </c>
      <c r="R9" s="2">
        <v>149.91</v>
      </c>
      <c r="S9" s="5">
        <v>5.551659654043946</v>
      </c>
      <c r="T9" s="5">
        <v>3.8236992365432787</v>
      </c>
      <c r="U9" s="4">
        <v>871.30448197682347</v>
      </c>
      <c r="V9" s="4">
        <v>569.69908436946196</v>
      </c>
      <c r="W9" s="4">
        <v>1441.0035663462854</v>
      </c>
      <c r="X9" s="4">
        <v>822.93262258703953</v>
      </c>
      <c r="Y9" s="4">
        <v>547.9155048298328</v>
      </c>
      <c r="Z9" s="4">
        <v>1370.8481274168723</v>
      </c>
      <c r="AA9" s="11" t="s">
        <v>160</v>
      </c>
      <c r="AB9" s="10">
        <v>44154</v>
      </c>
      <c r="AC9" s="4">
        <v>37.099999999999994</v>
      </c>
      <c r="AD9" s="15">
        <v>1.02</v>
      </c>
      <c r="AE9" s="4">
        <v>78.599999999999994</v>
      </c>
      <c r="AF9" s="4">
        <v>25.450000000000003</v>
      </c>
      <c r="AG9" s="4">
        <v>5.85</v>
      </c>
      <c r="AH9" s="4">
        <v>79.849999999999994</v>
      </c>
      <c r="AI9" s="4">
        <v>9.1</v>
      </c>
      <c r="AJ9" s="1"/>
      <c r="AK9" s="16">
        <v>8.5</v>
      </c>
      <c r="AL9" s="5">
        <v>0.125</v>
      </c>
      <c r="AM9" s="4">
        <v>14.5</v>
      </c>
    </row>
    <row r="10" spans="1:39" x14ac:dyDescent="0.3">
      <c r="A10" s="3" t="s">
        <v>849</v>
      </c>
      <c r="B10" s="4" t="s">
        <v>106</v>
      </c>
      <c r="C10" s="10">
        <v>44126</v>
      </c>
      <c r="D10" s="2">
        <v>3.22</v>
      </c>
      <c r="E10" s="2">
        <v>0.36</v>
      </c>
      <c r="F10" s="2">
        <v>2.8600000000000003</v>
      </c>
      <c r="G10" s="1">
        <v>3518.7007874015753</v>
      </c>
      <c r="H10" s="4">
        <v>3379.9174781355177</v>
      </c>
      <c r="I10" s="10">
        <v>44134</v>
      </c>
      <c r="J10" s="2">
        <v>1.6</v>
      </c>
      <c r="K10" s="2">
        <v>4.38</v>
      </c>
      <c r="L10" s="6">
        <v>0.36363636363636359</v>
      </c>
      <c r="M10" s="6">
        <v>0.35664335664335661</v>
      </c>
      <c r="N10" s="6">
        <v>0.27972027972027985</v>
      </c>
      <c r="O10" s="2">
        <v>104.82</v>
      </c>
      <c r="P10" s="2">
        <v>101.37</v>
      </c>
      <c r="Q10" s="2">
        <v>257.38</v>
      </c>
      <c r="R10" s="2">
        <v>247.73000000000002</v>
      </c>
      <c r="S10" s="5">
        <v>3.2913566113337045</v>
      </c>
      <c r="T10" s="5">
        <v>3.7493200714896173</v>
      </c>
      <c r="U10" s="4">
        <v>1229.0609011401882</v>
      </c>
      <c r="V10" s="4">
        <v>1205.4251145798</v>
      </c>
      <c r="W10" s="4">
        <v>2434.4860157199882</v>
      </c>
      <c r="X10" s="4">
        <v>1188.6081239131929</v>
      </c>
      <c r="Y10" s="4">
        <v>1160.2298688120829</v>
      </c>
      <c r="Z10" s="4">
        <v>2348.8379927252759</v>
      </c>
      <c r="AA10" s="11" t="s">
        <v>162</v>
      </c>
      <c r="AB10" s="10">
        <v>44154</v>
      </c>
      <c r="AC10" s="4">
        <v>42.699999999999996</v>
      </c>
      <c r="AD10" s="15">
        <v>1.0525</v>
      </c>
      <c r="AE10" s="4">
        <v>79.05</v>
      </c>
      <c r="AF10" s="4">
        <v>27</v>
      </c>
      <c r="AG10" s="4">
        <v>5.95</v>
      </c>
      <c r="AH10" s="4">
        <v>81.75</v>
      </c>
      <c r="AI10" s="4">
        <v>8.5500000000000007</v>
      </c>
      <c r="AJ10" s="1"/>
      <c r="AK10" s="16">
        <v>8</v>
      </c>
      <c r="AL10" s="5">
        <v>0.08</v>
      </c>
      <c r="AM10" s="4">
        <v>13.05</v>
      </c>
    </row>
    <row r="11" spans="1:39" x14ac:dyDescent="0.3">
      <c r="A11" s="3" t="s">
        <v>850</v>
      </c>
      <c r="B11" s="4" t="s">
        <v>106</v>
      </c>
      <c r="C11" s="10">
        <v>44126</v>
      </c>
      <c r="D11" s="2">
        <v>3.4</v>
      </c>
      <c r="E11" s="2">
        <v>0.33999999999999997</v>
      </c>
      <c r="F11" s="2">
        <v>3.06</v>
      </c>
      <c r="G11" s="1">
        <v>3764.7637795275591</v>
      </c>
      <c r="H11" s="4">
        <v>3378.8278628409048</v>
      </c>
      <c r="I11" s="10">
        <v>44134</v>
      </c>
      <c r="J11" s="2">
        <v>1.6600000000000001</v>
      </c>
      <c r="K11" s="2">
        <v>4.4800000000000004</v>
      </c>
      <c r="L11" s="6">
        <v>0.35947712418300654</v>
      </c>
      <c r="M11" s="6">
        <v>0.36601307189542504</v>
      </c>
      <c r="N11" s="6">
        <v>0.27450980392156837</v>
      </c>
      <c r="O11" s="2">
        <v>102.66</v>
      </c>
      <c r="P11" s="2">
        <v>97.94</v>
      </c>
      <c r="Q11" s="2">
        <v>240.8</v>
      </c>
      <c r="R11" s="2">
        <v>231.57</v>
      </c>
      <c r="S11" s="5">
        <v>4.5977011494252862</v>
      </c>
      <c r="T11" s="5">
        <v>3.8330564784053229</v>
      </c>
      <c r="U11" s="4">
        <v>1214.6113232434625</v>
      </c>
      <c r="V11" s="4">
        <v>1236.6951654842535</v>
      </c>
      <c r="W11" s="4">
        <v>2451.306488727716</v>
      </c>
      <c r="X11" s="4">
        <v>1158.7671244736482</v>
      </c>
      <c r="Y11" s="4">
        <v>1189.2919413255338</v>
      </c>
      <c r="Z11" s="4">
        <v>2348.059065799182</v>
      </c>
      <c r="AA11" s="11" t="s">
        <v>164</v>
      </c>
      <c r="AB11" s="10">
        <v>44154</v>
      </c>
      <c r="AC11" s="4">
        <v>42.4</v>
      </c>
      <c r="AD11" s="15">
        <v>1.0409999999999999</v>
      </c>
      <c r="AE11" s="4">
        <v>78.800000000000011</v>
      </c>
      <c r="AF11" s="4">
        <v>26.15</v>
      </c>
      <c r="AG11" s="4">
        <v>6</v>
      </c>
      <c r="AH11" s="4">
        <v>81.400000000000006</v>
      </c>
      <c r="AI11" s="4">
        <v>8.6</v>
      </c>
      <c r="AJ11" s="1"/>
      <c r="AK11" s="16">
        <v>11</v>
      </c>
      <c r="AL11" s="5">
        <v>0.29499999999999998</v>
      </c>
      <c r="AM11" s="4">
        <v>13.8</v>
      </c>
    </row>
    <row r="12" spans="1:39" x14ac:dyDescent="0.3">
      <c r="A12" s="3" t="s">
        <v>851</v>
      </c>
      <c r="B12" s="4" t="s">
        <v>106</v>
      </c>
      <c r="C12" s="10">
        <v>44126</v>
      </c>
      <c r="D12" s="2">
        <v>4.0199999999999996</v>
      </c>
      <c r="E12" s="2">
        <v>0.36</v>
      </c>
      <c r="F12" s="2">
        <v>3.6599999999999997</v>
      </c>
      <c r="G12" s="1">
        <v>4502.9527559055114</v>
      </c>
      <c r="H12" s="4">
        <v>3978.4595355871156</v>
      </c>
      <c r="I12" s="10">
        <v>44134</v>
      </c>
      <c r="J12" s="2">
        <v>1.9300000000000002</v>
      </c>
      <c r="K12" s="2">
        <v>4.82</v>
      </c>
      <c r="L12" s="6">
        <v>0.37431693989071047</v>
      </c>
      <c r="M12" s="6">
        <v>0.39890710382513678</v>
      </c>
      <c r="N12" s="6">
        <v>0.22677595628415276</v>
      </c>
      <c r="O12" s="2">
        <v>144.03</v>
      </c>
      <c r="P12" s="2">
        <v>138.93</v>
      </c>
      <c r="Q12" s="2">
        <v>274.88</v>
      </c>
      <c r="R12" s="2">
        <v>263.67</v>
      </c>
      <c r="S12" s="5">
        <v>3.5409289731305935</v>
      </c>
      <c r="T12" s="5">
        <v>4.0781431897555223</v>
      </c>
      <c r="U12" s="4">
        <v>1489.2047988399863</v>
      </c>
      <c r="V12" s="4">
        <v>1587.035771026555</v>
      </c>
      <c r="W12" s="4">
        <v>3076.2405698665416</v>
      </c>
      <c r="X12" s="4">
        <v>1436.4731146486101</v>
      </c>
      <c r="Y12" s="4">
        <v>1522.3141798114516</v>
      </c>
      <c r="Z12" s="4">
        <v>2958.7872944600617</v>
      </c>
      <c r="AA12" s="11" t="s">
        <v>165</v>
      </c>
      <c r="AB12" s="10">
        <v>44154</v>
      </c>
      <c r="AC12" s="4">
        <v>42</v>
      </c>
      <c r="AD12" s="15">
        <v>1.0845</v>
      </c>
      <c r="AE12" s="4">
        <v>79</v>
      </c>
      <c r="AF12" s="4">
        <v>27.6</v>
      </c>
      <c r="AG12" s="4">
        <v>6.05</v>
      </c>
      <c r="AH12" s="4">
        <v>82.1</v>
      </c>
      <c r="AI12" s="4">
        <v>8.6999999999999993</v>
      </c>
      <c r="AJ12" s="1"/>
      <c r="AK12" s="16">
        <v>8</v>
      </c>
      <c r="AL12" s="5">
        <v>0.10500000000000001</v>
      </c>
      <c r="AM12" s="4">
        <v>12.649999999999999</v>
      </c>
    </row>
    <row r="13" spans="1:39" x14ac:dyDescent="0.3">
      <c r="A13" s="3" t="s">
        <v>852</v>
      </c>
      <c r="B13" s="3" t="s">
        <v>106</v>
      </c>
      <c r="C13" s="10">
        <v>44126</v>
      </c>
      <c r="D13" s="2">
        <v>2.8200000000000003</v>
      </c>
      <c r="E13" s="2">
        <v>0.36</v>
      </c>
      <c r="F13" s="2">
        <v>2.4600000000000004</v>
      </c>
      <c r="G13" s="1">
        <v>3026.5748031496069</v>
      </c>
      <c r="H13" s="4">
        <v>3056.6623626325722</v>
      </c>
      <c r="I13" s="10">
        <v>44134</v>
      </c>
      <c r="J13" s="2">
        <v>1.4</v>
      </c>
      <c r="K13" s="2">
        <v>4.1400000000000006</v>
      </c>
      <c r="L13" s="6">
        <v>0.3414634146341462</v>
      </c>
      <c r="M13" s="6">
        <v>0.31707317073170754</v>
      </c>
      <c r="N13" s="6">
        <v>0.34146341463414626</v>
      </c>
      <c r="O13" s="2">
        <v>126.55000000000001</v>
      </c>
      <c r="P13" s="2">
        <v>122.24000000000001</v>
      </c>
      <c r="Q13" s="2">
        <v>268.52</v>
      </c>
      <c r="R13" s="2">
        <v>258.51</v>
      </c>
      <c r="S13" s="5">
        <v>3.4057684709600968</v>
      </c>
      <c r="T13" s="5">
        <v>3.727841501564126</v>
      </c>
      <c r="U13" s="4">
        <v>1043.738367728195</v>
      </c>
      <c r="V13" s="4">
        <v>969.18562717618215</v>
      </c>
      <c r="W13" s="4">
        <v>2012.9239949043772</v>
      </c>
      <c r="X13" s="4">
        <v>1008.1910554807946</v>
      </c>
      <c r="Y13" s="4">
        <v>933.05592313911393</v>
      </c>
      <c r="Z13" s="4">
        <v>1941.2469786199085</v>
      </c>
      <c r="AA13" s="11" t="s">
        <v>166</v>
      </c>
      <c r="AB13" s="10">
        <v>44154</v>
      </c>
      <c r="AC13" s="4">
        <v>38.549999999999997</v>
      </c>
      <c r="AD13" s="15">
        <v>1.0565</v>
      </c>
      <c r="AE13" s="4">
        <v>78.099999999999994</v>
      </c>
      <c r="AF13" s="4">
        <v>26.35</v>
      </c>
      <c r="AG13" s="4">
        <v>6</v>
      </c>
      <c r="AH13" s="4">
        <v>82.1</v>
      </c>
      <c r="AI13" s="4">
        <v>8.8000000000000007</v>
      </c>
      <c r="AJ13" s="1"/>
      <c r="AK13" s="16">
        <v>7.5</v>
      </c>
      <c r="AL13" s="5">
        <v>0.13</v>
      </c>
      <c r="AM13" s="4">
        <v>13.8</v>
      </c>
    </row>
    <row r="14" spans="1:39" x14ac:dyDescent="0.3">
      <c r="A14" s="3" t="s">
        <v>853</v>
      </c>
      <c r="B14" s="3" t="s">
        <v>106</v>
      </c>
      <c r="C14" s="10">
        <v>44126</v>
      </c>
      <c r="D14" s="2">
        <v>3.0300000000000002</v>
      </c>
      <c r="E14" s="2">
        <v>0.35</v>
      </c>
      <c r="F14" s="2">
        <v>2.68</v>
      </c>
      <c r="G14" s="1">
        <v>3297.2440944881891</v>
      </c>
      <c r="H14" s="4">
        <v>3610.9796266098451</v>
      </c>
      <c r="I14" s="10">
        <v>44134</v>
      </c>
      <c r="J14" s="2">
        <v>1.52</v>
      </c>
      <c r="K14" s="2">
        <v>4.26</v>
      </c>
      <c r="L14" s="6">
        <v>0.35820895522388058</v>
      </c>
      <c r="M14" s="6">
        <v>0.33582089552238803</v>
      </c>
      <c r="N14" s="6">
        <v>0.30597014925373145</v>
      </c>
      <c r="O14" s="2">
        <v>116.49000000000001</v>
      </c>
      <c r="P14" s="2">
        <v>112.61</v>
      </c>
      <c r="Q14" s="2">
        <v>254.57999999999998</v>
      </c>
      <c r="R14" s="2">
        <v>244.92</v>
      </c>
      <c r="S14" s="5">
        <v>3.3307580049789758</v>
      </c>
      <c r="T14" s="5">
        <v>3.7944850341739325</v>
      </c>
      <c r="U14" s="4">
        <v>1293.4852393826311</v>
      </c>
      <c r="V14" s="4">
        <v>1212.6424119212165</v>
      </c>
      <c r="W14" s="4">
        <v>2506.1276513038474</v>
      </c>
      <c r="X14" s="4">
        <v>1250.4023762286727</v>
      </c>
      <c r="Y14" s="4">
        <v>1166.6288770828201</v>
      </c>
      <c r="Z14" s="4">
        <v>2417.0312533114929</v>
      </c>
      <c r="AA14" s="11" t="s">
        <v>167</v>
      </c>
      <c r="AB14" s="10">
        <v>44154</v>
      </c>
      <c r="AC14" s="4">
        <v>41.25</v>
      </c>
      <c r="AD14" s="15">
        <v>1.0405</v>
      </c>
      <c r="AE14" s="4">
        <v>77.8</v>
      </c>
      <c r="AF14" s="4">
        <v>25.9</v>
      </c>
      <c r="AG14" s="4">
        <v>6.1</v>
      </c>
      <c r="AH14" s="4">
        <v>81.55</v>
      </c>
      <c r="AI14" s="4">
        <v>8.75</v>
      </c>
      <c r="AJ14" s="1"/>
      <c r="AK14" s="16">
        <v>10</v>
      </c>
      <c r="AL14" s="5">
        <v>0.17</v>
      </c>
      <c r="AM14" s="4">
        <v>15.4</v>
      </c>
    </row>
    <row r="15" spans="1:39" x14ac:dyDescent="0.3">
      <c r="A15" s="3" t="s">
        <v>854</v>
      </c>
      <c r="B15" s="3" t="s">
        <v>106</v>
      </c>
      <c r="C15" s="10">
        <v>44126</v>
      </c>
      <c r="D15" s="2">
        <v>3.15</v>
      </c>
      <c r="E15" s="2">
        <v>0.34</v>
      </c>
      <c r="F15" s="2">
        <v>2.81</v>
      </c>
      <c r="G15" s="1">
        <v>3457.1850393700788</v>
      </c>
      <c r="H15" s="4">
        <v>3317.9665055355595</v>
      </c>
      <c r="I15" s="10">
        <v>44134</v>
      </c>
      <c r="J15" s="2">
        <v>1.54</v>
      </c>
      <c r="K15" s="2">
        <v>4.3600000000000003</v>
      </c>
      <c r="L15" s="6">
        <v>0.3487544483985765</v>
      </c>
      <c r="M15" s="6">
        <v>0.35587188612099657</v>
      </c>
      <c r="N15" s="6">
        <v>0.29537366548042693</v>
      </c>
      <c r="O15" s="2">
        <v>104.8</v>
      </c>
      <c r="P15" s="2">
        <v>101.53</v>
      </c>
      <c r="Q15" s="2">
        <v>279.33</v>
      </c>
      <c r="R15" s="2">
        <v>268.27999999999997</v>
      </c>
      <c r="S15" s="5">
        <v>3.1202290076335841</v>
      </c>
      <c r="T15" s="5">
        <v>3.9558944617477581</v>
      </c>
      <c r="U15" s="4">
        <v>1157.1555784430066</v>
      </c>
      <c r="V15" s="4">
        <v>1180.7709984112316</v>
      </c>
      <c r="W15" s="4">
        <v>2337.9265768542382</v>
      </c>
      <c r="X15" s="4">
        <v>1121.0496744209777</v>
      </c>
      <c r="Y15" s="4">
        <v>1134.060943879158</v>
      </c>
      <c r="Z15" s="4">
        <v>2255.1106183001357</v>
      </c>
      <c r="AA15" s="11" t="s">
        <v>168</v>
      </c>
      <c r="AB15" s="10">
        <v>44154</v>
      </c>
      <c r="AC15" s="4">
        <v>40.75</v>
      </c>
      <c r="AD15" s="15">
        <v>1.0514999999999999</v>
      </c>
      <c r="AE15" s="4">
        <v>79.099999999999994</v>
      </c>
      <c r="AF15" s="4">
        <v>26.950000000000003</v>
      </c>
      <c r="AG15" s="4">
        <v>6</v>
      </c>
      <c r="AH15" s="4">
        <v>80</v>
      </c>
      <c r="AI15" s="4">
        <v>8.6000000000000014</v>
      </c>
      <c r="AJ15" s="1"/>
      <c r="AK15" s="16">
        <v>6.5</v>
      </c>
      <c r="AL15" s="5">
        <v>0.09</v>
      </c>
      <c r="AM15" s="4">
        <v>13.25</v>
      </c>
    </row>
    <row r="16" spans="1:39" x14ac:dyDescent="0.3">
      <c r="A16" s="3" t="s">
        <v>855</v>
      </c>
      <c r="B16" s="3" t="s">
        <v>106</v>
      </c>
      <c r="C16" s="10">
        <v>44126</v>
      </c>
      <c r="D16" s="2">
        <v>3.9699999999999998</v>
      </c>
      <c r="E16" s="2">
        <v>0.33</v>
      </c>
      <c r="F16" s="2">
        <v>3.6399999999999997</v>
      </c>
      <c r="G16" s="1">
        <v>4478.3464566929133</v>
      </c>
      <c r="H16" s="4">
        <v>4144.0088474536979</v>
      </c>
      <c r="I16" s="10">
        <v>44134</v>
      </c>
      <c r="J16" s="2">
        <v>1.9</v>
      </c>
      <c r="K16" s="2">
        <v>4.8599999999999994</v>
      </c>
      <c r="L16" s="6">
        <v>0.3681318681318681</v>
      </c>
      <c r="M16" s="6">
        <v>0.41208791208791201</v>
      </c>
      <c r="N16" s="6">
        <v>0.21978021978021983</v>
      </c>
      <c r="O16" s="2">
        <v>114.32</v>
      </c>
      <c r="P16" s="2">
        <v>110.82</v>
      </c>
      <c r="Q16" s="2">
        <v>349.6</v>
      </c>
      <c r="R16" s="2">
        <v>336.13</v>
      </c>
      <c r="S16" s="5">
        <v>3.0615815255423375</v>
      </c>
      <c r="T16" s="5">
        <v>3.8529748283752934</v>
      </c>
      <c r="U16" s="4">
        <v>1525.5417185681194</v>
      </c>
      <c r="V16" s="4">
        <v>1707.695953621029</v>
      </c>
      <c r="W16" s="4">
        <v>3233.2376721891487</v>
      </c>
      <c r="X16" s="4">
        <v>1478.8360151479969</v>
      </c>
      <c r="Y16" s="4">
        <v>1641.8988583828275</v>
      </c>
      <c r="Z16" s="4">
        <v>3120.7348735308242</v>
      </c>
      <c r="AA16" s="11" t="s">
        <v>169</v>
      </c>
      <c r="AB16" s="10">
        <v>44154</v>
      </c>
      <c r="AC16" s="4">
        <v>41.05</v>
      </c>
      <c r="AD16" s="15">
        <v>1.0950000000000002</v>
      </c>
      <c r="AE16" s="4">
        <v>79.650000000000006</v>
      </c>
      <c r="AF16" s="4">
        <v>28.1</v>
      </c>
      <c r="AG16" s="4">
        <v>6</v>
      </c>
      <c r="AH16" s="4">
        <v>83</v>
      </c>
      <c r="AI16" s="4">
        <v>8.8000000000000007</v>
      </c>
      <c r="AJ16" s="1"/>
      <c r="AK16" s="16">
        <v>5</v>
      </c>
      <c r="AL16" s="5">
        <v>0.13500000000000001</v>
      </c>
      <c r="AM16" s="4">
        <v>10.649999999999999</v>
      </c>
    </row>
    <row r="17" spans="1:39" x14ac:dyDescent="0.3">
      <c r="A17" s="3" t="s">
        <v>856</v>
      </c>
      <c r="B17" s="3" t="s">
        <v>106</v>
      </c>
      <c r="C17" s="10">
        <v>44126</v>
      </c>
      <c r="D17" s="2">
        <v>3.1799999999999997</v>
      </c>
      <c r="E17" s="2">
        <v>0.34</v>
      </c>
      <c r="F17" s="2">
        <v>2.84</v>
      </c>
      <c r="G17" s="1">
        <v>3494.0944881889764</v>
      </c>
      <c r="H17" s="4">
        <v>3876.7263580492363</v>
      </c>
      <c r="I17" s="10">
        <v>44134</v>
      </c>
      <c r="J17" s="2">
        <v>1.56</v>
      </c>
      <c r="K17" s="2">
        <v>4.3600000000000003</v>
      </c>
      <c r="L17" s="6">
        <v>0.35211267605633806</v>
      </c>
      <c r="M17" s="6">
        <v>0.35211267605633823</v>
      </c>
      <c r="N17" s="6">
        <v>0.29577464788732377</v>
      </c>
      <c r="O17" s="2">
        <v>120.45</v>
      </c>
      <c r="P17" s="2">
        <v>117.44</v>
      </c>
      <c r="Q17" s="2">
        <v>264.86</v>
      </c>
      <c r="R17" s="2">
        <v>254.55</v>
      </c>
      <c r="S17" s="5">
        <v>2.4989622249896262</v>
      </c>
      <c r="T17" s="5">
        <v>3.8926225175564455</v>
      </c>
      <c r="U17" s="4">
        <v>1365.044492270858</v>
      </c>
      <c r="V17" s="4">
        <v>1365.0444922708587</v>
      </c>
      <c r="W17" s="4">
        <v>2730.0889845417169</v>
      </c>
      <c r="X17" s="4">
        <v>1330.9325460547077</v>
      </c>
      <c r="Y17" s="4">
        <v>1311.9084629900592</v>
      </c>
      <c r="Z17" s="4">
        <v>2642.8410090447669</v>
      </c>
      <c r="AA17" s="11" t="s">
        <v>170</v>
      </c>
      <c r="AB17" s="10">
        <v>44154</v>
      </c>
      <c r="AC17" s="4">
        <v>39.150000000000006</v>
      </c>
      <c r="AD17" s="15">
        <v>1.0449999999999999</v>
      </c>
      <c r="AE17" s="4">
        <v>78.849999999999994</v>
      </c>
      <c r="AF17" s="4">
        <v>27.049999999999997</v>
      </c>
      <c r="AG17" s="4">
        <v>6.05</v>
      </c>
      <c r="AH17" s="4">
        <v>81.75</v>
      </c>
      <c r="AI17" s="4">
        <v>8.3000000000000007</v>
      </c>
      <c r="AJ17" s="1"/>
      <c r="AK17" s="16">
        <v>10</v>
      </c>
      <c r="AL17" s="5">
        <v>9.5000000000000001E-2</v>
      </c>
      <c r="AM17" s="4">
        <v>13.55</v>
      </c>
    </row>
    <row r="18" spans="1:39" x14ac:dyDescent="0.3">
      <c r="A18" s="3" t="s">
        <v>857</v>
      </c>
      <c r="B18" s="3" t="s">
        <v>106</v>
      </c>
      <c r="C18" s="10">
        <v>44126</v>
      </c>
      <c r="D18" s="2">
        <v>3.3200000000000003</v>
      </c>
      <c r="E18" s="2">
        <v>0.36</v>
      </c>
      <c r="F18" s="2">
        <v>2.9600000000000004</v>
      </c>
      <c r="G18" s="1">
        <v>3641.732283464567</v>
      </c>
      <c r="H18" s="4">
        <v>3521.8209887889266</v>
      </c>
      <c r="I18" s="10">
        <v>44134</v>
      </c>
      <c r="J18" s="2">
        <v>1.54</v>
      </c>
      <c r="K18" s="2">
        <v>4.46</v>
      </c>
      <c r="L18" s="6">
        <v>0.33108108108108103</v>
      </c>
      <c r="M18" s="6">
        <v>0.3716216216216216</v>
      </c>
      <c r="N18" s="6">
        <v>0.29729729729729737</v>
      </c>
      <c r="O18" s="2">
        <v>114.62</v>
      </c>
      <c r="P18" s="2">
        <v>111.07</v>
      </c>
      <c r="Q18" s="2">
        <v>287.87</v>
      </c>
      <c r="R18" s="2">
        <v>276.39999999999998</v>
      </c>
      <c r="S18" s="5">
        <v>3.0971907171523392</v>
      </c>
      <c r="T18" s="5">
        <v>3.9844374196686099</v>
      </c>
      <c r="U18" s="4">
        <v>1166.0083003422797</v>
      </c>
      <c r="V18" s="4">
        <v>1308.7848269148037</v>
      </c>
      <c r="W18" s="4">
        <v>2474.7931272570831</v>
      </c>
      <c r="X18" s="4">
        <v>1129.8947995028527</v>
      </c>
      <c r="Y18" s="4">
        <v>1256.6371145282653</v>
      </c>
      <c r="Z18" s="4">
        <v>2386.531914031118</v>
      </c>
      <c r="AA18" s="11" t="s">
        <v>171</v>
      </c>
      <c r="AB18" s="10">
        <v>44154</v>
      </c>
      <c r="AC18" s="4">
        <v>40</v>
      </c>
      <c r="AD18" s="15">
        <v>1.0870000000000002</v>
      </c>
      <c r="AE18" s="4">
        <v>79.099999999999994</v>
      </c>
      <c r="AF18" s="4">
        <v>27.45</v>
      </c>
      <c r="AG18" s="4">
        <v>6</v>
      </c>
      <c r="AH18" s="4">
        <v>82.4</v>
      </c>
      <c r="AI18" s="4">
        <v>8.5</v>
      </c>
      <c r="AJ18" s="1"/>
      <c r="AK18" s="16">
        <v>7</v>
      </c>
      <c r="AL18" s="5">
        <v>7.0000000000000007E-2</v>
      </c>
      <c r="AM18" s="4">
        <v>11.65</v>
      </c>
    </row>
    <row r="19" spans="1:39" x14ac:dyDescent="0.3">
      <c r="A19" s="3" t="s">
        <v>858</v>
      </c>
      <c r="B19" s="3" t="s">
        <v>106</v>
      </c>
      <c r="C19" s="10">
        <v>43761</v>
      </c>
      <c r="D19" s="2">
        <v>2.7199999999999998</v>
      </c>
      <c r="E19" s="2">
        <v>0.33</v>
      </c>
      <c r="F19" s="2">
        <v>2.3899999999999997</v>
      </c>
      <c r="G19" s="1">
        <v>2940.4527559055114</v>
      </c>
      <c r="H19" s="4">
        <v>3118.235168550606</v>
      </c>
      <c r="I19" s="10">
        <v>44134</v>
      </c>
      <c r="J19" s="2">
        <v>1.42</v>
      </c>
      <c r="K19" s="2">
        <v>4.08</v>
      </c>
      <c r="L19" s="6">
        <v>0.35983263598326359</v>
      </c>
      <c r="M19" s="6">
        <v>0.30125523012552313</v>
      </c>
      <c r="N19" s="6">
        <v>0.33891213389121333</v>
      </c>
      <c r="O19" s="2">
        <v>91.710000000000008</v>
      </c>
      <c r="P19" s="2">
        <v>89</v>
      </c>
      <c r="Q19" s="2">
        <v>245.06</v>
      </c>
      <c r="R19" s="2">
        <v>236.32</v>
      </c>
      <c r="S19" s="5">
        <v>2.954966742994229</v>
      </c>
      <c r="T19" s="5">
        <v>3.5664735166897934</v>
      </c>
      <c r="U19" s="4">
        <v>1122.0427803152809</v>
      </c>
      <c r="V19" s="4">
        <v>939.38465328721225</v>
      </c>
      <c r="W19" s="4">
        <v>2061.4274336024932</v>
      </c>
      <c r="X19" s="4">
        <v>1088.8867893147965</v>
      </c>
      <c r="Y19" s="4">
        <v>905.88174840787553</v>
      </c>
      <c r="Z19" s="4">
        <v>1994.7685377226721</v>
      </c>
      <c r="AA19" t="s">
        <v>172</v>
      </c>
      <c r="AB19" s="10">
        <v>44154</v>
      </c>
      <c r="AC19" s="4">
        <v>39.5</v>
      </c>
      <c r="AD19" s="15">
        <v>0.99199999999999999</v>
      </c>
      <c r="AE19" s="4">
        <v>76.7</v>
      </c>
      <c r="AF19" s="4">
        <v>24.2</v>
      </c>
      <c r="AG19" s="4">
        <v>6.1999999999999993</v>
      </c>
      <c r="AH19" s="4">
        <v>80.7</v>
      </c>
      <c r="AI19" s="4">
        <v>8.85</v>
      </c>
      <c r="AJ19" s="1"/>
      <c r="AK19" s="16">
        <v>9.5</v>
      </c>
      <c r="AL19" s="5">
        <v>0.125</v>
      </c>
      <c r="AM19" s="4">
        <v>18.75</v>
      </c>
    </row>
    <row r="20" spans="1:39" x14ac:dyDescent="0.3">
      <c r="A20" s="3" t="s">
        <v>859</v>
      </c>
      <c r="B20" s="3" t="s">
        <v>106</v>
      </c>
      <c r="C20" s="10">
        <v>43761</v>
      </c>
      <c r="D20" s="2">
        <v>3.67</v>
      </c>
      <c r="E20" s="2">
        <v>0.34</v>
      </c>
      <c r="F20" s="2">
        <v>3.33</v>
      </c>
      <c r="G20" s="1">
        <v>4096.9488188976375</v>
      </c>
      <c r="H20" s="4">
        <v>4310.7336511363601</v>
      </c>
      <c r="I20" s="10">
        <v>44134</v>
      </c>
      <c r="J20" s="2">
        <v>1.82</v>
      </c>
      <c r="K20" s="2">
        <v>4.6399999999999997</v>
      </c>
      <c r="L20" s="6">
        <v>0.3783783783783784</v>
      </c>
      <c r="M20" s="6">
        <v>0.38438438438438433</v>
      </c>
      <c r="N20" s="6">
        <v>0.23723723723723728</v>
      </c>
      <c r="O20" s="2">
        <v>108.77000000000001</v>
      </c>
      <c r="P20" s="2">
        <v>105.55000000000001</v>
      </c>
      <c r="Q20" s="2">
        <v>357.88</v>
      </c>
      <c r="R20" s="2">
        <v>343.74</v>
      </c>
      <c r="S20" s="5">
        <v>2.9603751034292531</v>
      </c>
      <c r="T20" s="5">
        <v>3.9510450430311796</v>
      </c>
      <c r="U20" s="4">
        <v>1631.0884085380824</v>
      </c>
      <c r="V20" s="4">
        <v>1656.9787007370992</v>
      </c>
      <c r="W20" s="4">
        <v>3288.0671092751818</v>
      </c>
      <c r="X20" s="4">
        <v>1582.8020733768005</v>
      </c>
      <c r="Y20" s="4">
        <v>1591.5107259175436</v>
      </c>
      <c r="Z20" s="4">
        <v>3174.3127992943441</v>
      </c>
      <c r="AA20" t="s">
        <v>173</v>
      </c>
      <c r="AB20" s="10">
        <v>44154</v>
      </c>
      <c r="AC20" s="4">
        <v>44.1</v>
      </c>
      <c r="AD20" s="15">
        <v>1.0659999999999998</v>
      </c>
      <c r="AE20" s="4">
        <v>78.8</v>
      </c>
      <c r="AF20" s="4">
        <v>27.3</v>
      </c>
      <c r="AG20" s="4">
        <v>5.95</v>
      </c>
      <c r="AH20" s="4">
        <v>82.25</v>
      </c>
      <c r="AI20" s="4">
        <v>8.5</v>
      </c>
      <c r="AJ20" s="1"/>
      <c r="AK20" s="16">
        <v>6.5</v>
      </c>
      <c r="AL20" s="5">
        <v>0.115</v>
      </c>
      <c r="AM20" s="4">
        <v>12.9</v>
      </c>
    </row>
    <row r="21" spans="1:39" x14ac:dyDescent="0.3">
      <c r="A21" s="3" t="s">
        <v>860</v>
      </c>
      <c r="B21" s="3" t="s">
        <v>106</v>
      </c>
      <c r="C21" s="10">
        <v>43761</v>
      </c>
      <c r="D21" s="2">
        <v>3.29</v>
      </c>
      <c r="E21" s="2">
        <v>0.37</v>
      </c>
      <c r="F21" s="2">
        <v>2.92</v>
      </c>
      <c r="G21" s="1">
        <v>3592.51968503937</v>
      </c>
      <c r="H21" s="4">
        <v>3075.5653466813933</v>
      </c>
      <c r="I21" s="10">
        <v>44134</v>
      </c>
      <c r="J21" s="2">
        <v>1.62</v>
      </c>
      <c r="K21" s="2">
        <v>4.4800000000000004</v>
      </c>
      <c r="L21" s="6">
        <v>0.36301369863013699</v>
      </c>
      <c r="M21" s="6">
        <v>0.38356164383561664</v>
      </c>
      <c r="N21" s="6">
        <v>0.25342465753424637</v>
      </c>
      <c r="O21" s="2">
        <v>94.57</v>
      </c>
      <c r="P21" s="2">
        <v>91.85</v>
      </c>
      <c r="Q21" s="2">
        <v>304.54999999999995</v>
      </c>
      <c r="R21" s="2">
        <v>293.70000000000005</v>
      </c>
      <c r="S21" s="5">
        <v>2.8761763772866646</v>
      </c>
      <c r="T21" s="5">
        <v>3.5626333935314105</v>
      </c>
      <c r="U21" s="4">
        <v>1116.4723518774922</v>
      </c>
      <c r="V21" s="4">
        <v>1179.6689000969734</v>
      </c>
      <c r="W21" s="4">
        <v>2296.1412519744654</v>
      </c>
      <c r="X21" s="4">
        <v>1084.360637833855</v>
      </c>
      <c r="Y21" s="4">
        <v>1137.641621929014</v>
      </c>
      <c r="Z21" s="4">
        <v>2222.002259762869</v>
      </c>
      <c r="AA21" t="s">
        <v>174</v>
      </c>
      <c r="AB21" s="10">
        <v>44154</v>
      </c>
      <c r="AC21" s="4">
        <v>38.049999999999997</v>
      </c>
      <c r="AD21" s="15">
        <v>1.0660000000000001</v>
      </c>
      <c r="AE21" s="4">
        <v>78.199999999999989</v>
      </c>
      <c r="AF21" s="4">
        <v>27.6</v>
      </c>
      <c r="AG21" s="4">
        <v>5.95</v>
      </c>
      <c r="AH21" s="4">
        <v>82.65</v>
      </c>
      <c r="AI21" s="4">
        <v>8.6999999999999993</v>
      </c>
      <c r="AJ21" s="1"/>
      <c r="AK21" s="16">
        <v>10</v>
      </c>
      <c r="AL21" s="5">
        <v>0.15</v>
      </c>
      <c r="AM21" s="4">
        <v>13.05</v>
      </c>
    </row>
    <row r="22" spans="1:39" x14ac:dyDescent="0.3">
      <c r="A22" s="3" t="s">
        <v>861</v>
      </c>
      <c r="B22" s="3" t="s">
        <v>106</v>
      </c>
      <c r="C22" s="10">
        <v>43761</v>
      </c>
      <c r="D22" s="2">
        <v>2.27</v>
      </c>
      <c r="E22" s="2">
        <v>0.35</v>
      </c>
      <c r="F22" s="2">
        <v>1.92</v>
      </c>
      <c r="G22" s="1">
        <v>2362.2047244094488</v>
      </c>
      <c r="H22" s="4">
        <v>2437.9582041066892</v>
      </c>
      <c r="I22" s="10">
        <v>44134</v>
      </c>
      <c r="J22" s="2">
        <v>1.1599999999999999</v>
      </c>
      <c r="K22" s="2">
        <v>3.84</v>
      </c>
      <c r="L22" s="6">
        <v>0.31249999999999994</v>
      </c>
      <c r="M22" s="6">
        <v>0.25</v>
      </c>
      <c r="N22" s="6">
        <v>0.4375</v>
      </c>
      <c r="O22" s="2">
        <v>96.830000000000013</v>
      </c>
      <c r="P22" s="2">
        <v>93.64</v>
      </c>
      <c r="Q22" s="2">
        <v>223.17000000000002</v>
      </c>
      <c r="R22" s="2">
        <v>214.51999999999998</v>
      </c>
      <c r="S22" s="5">
        <v>3.294433543323362</v>
      </c>
      <c r="T22" s="5">
        <v>3.8759689922480773</v>
      </c>
      <c r="U22" s="4">
        <v>761.86193878334029</v>
      </c>
      <c r="V22" s="4">
        <v>609.4895510266723</v>
      </c>
      <c r="W22" s="4">
        <v>1371.3514898100125</v>
      </c>
      <c r="X22" s="4">
        <v>736.76290351824821</v>
      </c>
      <c r="Y22" s="4">
        <v>585.86592501788641</v>
      </c>
      <c r="Z22" s="4">
        <v>1322.6288285361347</v>
      </c>
      <c r="AA22" t="s">
        <v>175</v>
      </c>
      <c r="AB22" s="10">
        <v>44154</v>
      </c>
      <c r="AC22" s="4">
        <v>38.049999999999997</v>
      </c>
      <c r="AD22" s="15">
        <v>1.0024999999999999</v>
      </c>
      <c r="AE22" s="4">
        <v>76.400000000000006</v>
      </c>
      <c r="AF22" s="4">
        <v>24.6</v>
      </c>
      <c r="AG22" s="4">
        <v>6.25</v>
      </c>
      <c r="AH22" s="4">
        <v>81.349999999999994</v>
      </c>
      <c r="AI22" s="4">
        <v>9</v>
      </c>
      <c r="AJ22" s="1"/>
      <c r="AK22" s="16">
        <v>6</v>
      </c>
      <c r="AL22" s="5">
        <v>0.16</v>
      </c>
      <c r="AM22" s="4">
        <v>18</v>
      </c>
    </row>
    <row r="23" spans="1:39" x14ac:dyDescent="0.3">
      <c r="A23" s="3" t="s">
        <v>862</v>
      </c>
      <c r="B23" s="3" t="s">
        <v>106</v>
      </c>
      <c r="C23" s="10">
        <v>43761</v>
      </c>
      <c r="D23" s="2">
        <v>4.2300000000000004</v>
      </c>
      <c r="E23" s="2">
        <v>0.35</v>
      </c>
      <c r="F23" s="2">
        <v>3.8800000000000003</v>
      </c>
      <c r="G23" s="1">
        <v>4773.6220472440946</v>
      </c>
      <c r="H23" s="4">
        <v>4219.9918911931782</v>
      </c>
      <c r="I23" s="10">
        <v>44134</v>
      </c>
      <c r="J23" s="2">
        <v>2.02</v>
      </c>
      <c r="K23" s="2">
        <v>4.96</v>
      </c>
      <c r="L23" s="6">
        <v>0.37628865979381437</v>
      </c>
      <c r="M23" s="6">
        <v>0.41237113402061853</v>
      </c>
      <c r="N23" s="6">
        <v>0.21134020618556704</v>
      </c>
      <c r="O23" s="2">
        <v>132.21</v>
      </c>
      <c r="P23" s="2">
        <v>128.48000000000002</v>
      </c>
      <c r="Q23" s="2">
        <v>356.68</v>
      </c>
      <c r="R23" s="2">
        <v>343.5</v>
      </c>
      <c r="S23" s="5">
        <v>2.8212691929506009</v>
      </c>
      <c r="T23" s="5">
        <v>3.6951889648985103</v>
      </c>
      <c r="U23" s="4">
        <v>1587.9350930778451</v>
      </c>
      <c r="V23" s="4">
        <v>1740.2028417291456</v>
      </c>
      <c r="W23" s="4">
        <v>3328.1379348069904</v>
      </c>
      <c r="X23" s="4">
        <v>1543.1351694927882</v>
      </c>
      <c r="Y23" s="4">
        <v>1675.89905835472</v>
      </c>
      <c r="Z23" s="4">
        <v>3219.0342278475082</v>
      </c>
      <c r="AA23" t="s">
        <v>176</v>
      </c>
      <c r="AB23" s="10">
        <v>44154</v>
      </c>
      <c r="AC23" s="4">
        <v>42.599999999999994</v>
      </c>
      <c r="AD23" s="15">
        <v>1.0590000000000002</v>
      </c>
      <c r="AE23" s="4">
        <v>78.3</v>
      </c>
      <c r="AF23" s="4">
        <v>26.75</v>
      </c>
      <c r="AG23" s="4">
        <v>6</v>
      </c>
      <c r="AH23" s="4">
        <v>81.699999999999989</v>
      </c>
      <c r="AI23" s="4">
        <v>8.5</v>
      </c>
      <c r="AJ23" s="1"/>
      <c r="AK23" s="16">
        <v>8</v>
      </c>
      <c r="AL23" s="5">
        <v>0.125</v>
      </c>
      <c r="AM23" s="4">
        <v>13.6</v>
      </c>
    </row>
    <row r="24" spans="1:39" x14ac:dyDescent="0.3">
      <c r="A24" s="3" t="s">
        <v>863</v>
      </c>
      <c r="B24" s="3" t="s">
        <v>106</v>
      </c>
      <c r="C24" s="10">
        <v>43761</v>
      </c>
      <c r="D24" s="2">
        <v>4.24</v>
      </c>
      <c r="E24" s="2">
        <v>0.37</v>
      </c>
      <c r="F24" s="2">
        <v>3.87</v>
      </c>
      <c r="G24" s="1">
        <v>4761.3188976377951</v>
      </c>
      <c r="H24" s="4">
        <v>4447.7459821338334</v>
      </c>
      <c r="I24" s="10">
        <v>44134</v>
      </c>
      <c r="J24" s="2">
        <v>2</v>
      </c>
      <c r="K24" s="2">
        <v>4.9800000000000004</v>
      </c>
      <c r="L24" s="6">
        <v>0.37209302325581395</v>
      </c>
      <c r="M24" s="6">
        <v>0.41860465116279083</v>
      </c>
      <c r="N24" s="6">
        <v>0.20930232558139522</v>
      </c>
      <c r="O24" s="2">
        <v>134.63</v>
      </c>
      <c r="P24" s="2">
        <v>130.01</v>
      </c>
      <c r="Q24" s="2">
        <v>337.78999999999996</v>
      </c>
      <c r="R24" s="2">
        <v>324.35000000000002</v>
      </c>
      <c r="S24" s="5">
        <v>3.4316274233083304</v>
      </c>
      <c r="T24" s="5">
        <v>3.9788033985612188</v>
      </c>
      <c r="U24" s="4">
        <v>1654.9752491660774</v>
      </c>
      <c r="V24" s="4">
        <v>1861.8471553118379</v>
      </c>
      <c r="W24" s="4">
        <v>3516.8224044779154</v>
      </c>
      <c r="X24" s="4">
        <v>1598.1826646667291</v>
      </c>
      <c r="Y24" s="4">
        <v>1787.7679174202751</v>
      </c>
      <c r="Z24" s="4">
        <v>3385.9505820870045</v>
      </c>
      <c r="AA24" t="s">
        <v>177</v>
      </c>
      <c r="AB24" s="10">
        <v>44154</v>
      </c>
      <c r="AC24" s="4">
        <v>43.099999999999994</v>
      </c>
      <c r="AD24" s="15">
        <v>1.0775000000000001</v>
      </c>
      <c r="AE24" s="4">
        <v>79.2</v>
      </c>
      <c r="AF24" s="4">
        <v>27.15</v>
      </c>
      <c r="AG24" s="4">
        <v>6.1</v>
      </c>
      <c r="AH24" s="4">
        <v>82.65</v>
      </c>
      <c r="AI24" s="4">
        <v>8.1999999999999993</v>
      </c>
      <c r="AJ24" s="1"/>
      <c r="AK24" s="16">
        <v>5.5</v>
      </c>
      <c r="AL24" s="5">
        <v>9.5000000000000001E-2</v>
      </c>
      <c r="AM24" s="4">
        <v>12.7</v>
      </c>
    </row>
    <row r="25" spans="1:39" x14ac:dyDescent="0.3">
      <c r="A25" s="3" t="s">
        <v>864</v>
      </c>
      <c r="B25" s="3" t="s">
        <v>106</v>
      </c>
      <c r="C25" s="10">
        <v>43761</v>
      </c>
      <c r="D25" s="2">
        <v>2.8899999999999997</v>
      </c>
      <c r="E25" s="2">
        <v>0.34</v>
      </c>
      <c r="F25" s="2">
        <v>2.5499999999999998</v>
      </c>
      <c r="G25" s="1">
        <v>3137.303149606299</v>
      </c>
      <c r="H25" s="4">
        <v>3071.3107406144723</v>
      </c>
      <c r="I25" s="10">
        <v>44134</v>
      </c>
      <c r="J25" s="2">
        <v>1.46</v>
      </c>
      <c r="K25" s="2">
        <v>4.16</v>
      </c>
      <c r="L25" s="6">
        <v>0.3529411764705882</v>
      </c>
      <c r="M25" s="6">
        <v>0.31372549019607854</v>
      </c>
      <c r="N25" s="6">
        <v>0.33333333333333326</v>
      </c>
      <c r="O25" s="2">
        <v>110.91</v>
      </c>
      <c r="P25" s="2">
        <v>107.89</v>
      </c>
      <c r="Q25" s="2">
        <v>272.89999999999998</v>
      </c>
      <c r="R25" s="2">
        <v>263.21000000000004</v>
      </c>
      <c r="S25" s="5">
        <v>2.7229285005860571</v>
      </c>
      <c r="T25" s="5">
        <v>3.550751190912401</v>
      </c>
      <c r="U25" s="4">
        <v>1083.9920260992253</v>
      </c>
      <c r="V25" s="4">
        <v>963.54846764375634</v>
      </c>
      <c r="W25" s="4">
        <v>2047.5404937429817</v>
      </c>
      <c r="X25" s="4">
        <v>1054.4756982764893</v>
      </c>
      <c r="Y25" s="4">
        <v>929.33525895387743</v>
      </c>
      <c r="Z25" s="4">
        <v>1983.8109572303667</v>
      </c>
      <c r="AA25" t="s">
        <v>178</v>
      </c>
      <c r="AB25" s="10">
        <v>44154</v>
      </c>
      <c r="AC25" s="4">
        <v>41.25</v>
      </c>
      <c r="AD25" s="15">
        <v>1.04</v>
      </c>
      <c r="AE25" s="4">
        <v>77.900000000000006</v>
      </c>
      <c r="AF25" s="4">
        <v>26.3</v>
      </c>
      <c r="AG25" s="4">
        <v>5.85</v>
      </c>
      <c r="AH25" s="4">
        <v>82.1</v>
      </c>
      <c r="AI25" s="4">
        <v>8.85</v>
      </c>
      <c r="AJ25" s="1"/>
      <c r="AK25" s="16">
        <v>6</v>
      </c>
      <c r="AL25" s="5">
        <v>0.29500000000000004</v>
      </c>
      <c r="AM25" s="4">
        <v>14.5</v>
      </c>
    </row>
    <row r="26" spans="1:39" x14ac:dyDescent="0.3">
      <c r="A26" s="3" t="s">
        <v>865</v>
      </c>
      <c r="B26" s="3" t="s">
        <v>106</v>
      </c>
      <c r="C26" s="10">
        <v>43761</v>
      </c>
      <c r="D26" s="2">
        <v>2.48</v>
      </c>
      <c r="E26" s="2">
        <v>0.35</v>
      </c>
      <c r="F26" s="2">
        <v>2.13</v>
      </c>
      <c r="G26" s="1">
        <v>2620.570866141732</v>
      </c>
      <c r="H26" s="4">
        <v>2744.167712847217</v>
      </c>
      <c r="I26" s="10">
        <v>44134</v>
      </c>
      <c r="J26" s="2">
        <v>1.3</v>
      </c>
      <c r="K26" s="2">
        <v>4</v>
      </c>
      <c r="L26" s="6">
        <v>0.34741784037558687</v>
      </c>
      <c r="M26" s="6">
        <v>0.30046948356807518</v>
      </c>
      <c r="N26" s="6">
        <v>0.35211267605633795</v>
      </c>
      <c r="O26" s="2">
        <v>104.75999999999999</v>
      </c>
      <c r="P26" s="2">
        <v>101.94</v>
      </c>
      <c r="Q26" s="2">
        <v>231.44</v>
      </c>
      <c r="R26" s="2">
        <v>222.57</v>
      </c>
      <c r="S26" s="5">
        <v>2.6918671248568091</v>
      </c>
      <c r="T26" s="5">
        <v>3.8325267888005548</v>
      </c>
      <c r="U26" s="4">
        <v>953.37282042579375</v>
      </c>
      <c r="V26" s="4">
        <v>824.53865550338935</v>
      </c>
      <c r="W26" s="4">
        <v>1777.9114759291831</v>
      </c>
      <c r="X26" s="4">
        <v>927.70929089543165</v>
      </c>
      <c r="Y26" s="4">
        <v>792.93799064720611</v>
      </c>
      <c r="Z26" s="4">
        <v>1720.6472815426378</v>
      </c>
      <c r="AA26" t="s">
        <v>179</v>
      </c>
      <c r="AB26" s="10">
        <v>44154</v>
      </c>
      <c r="AC26" s="4">
        <v>38.099999999999994</v>
      </c>
      <c r="AD26" s="15">
        <v>1.0095000000000001</v>
      </c>
      <c r="AE26" s="4">
        <v>76.849999999999994</v>
      </c>
      <c r="AF26" s="4">
        <v>25.15</v>
      </c>
      <c r="AG26" s="4">
        <v>6</v>
      </c>
      <c r="AH26" s="4">
        <v>81.05</v>
      </c>
      <c r="AI26" s="4">
        <v>8.75</v>
      </c>
      <c r="AJ26" s="1"/>
      <c r="AK26" s="16">
        <v>6.5</v>
      </c>
      <c r="AL26" s="5">
        <v>0.11</v>
      </c>
      <c r="AM26" s="4">
        <v>16.2</v>
      </c>
    </row>
    <row r="27" spans="1:39" x14ac:dyDescent="0.3">
      <c r="A27" s="3" t="s">
        <v>866</v>
      </c>
      <c r="B27" s="3" t="s">
        <v>106</v>
      </c>
      <c r="C27" s="10">
        <v>43761</v>
      </c>
      <c r="D27" s="2">
        <v>2.75</v>
      </c>
      <c r="E27" s="2">
        <v>0.38</v>
      </c>
      <c r="F27" s="2">
        <v>2.37</v>
      </c>
      <c r="G27" s="1">
        <v>2915.8464566929133</v>
      </c>
      <c r="H27" s="4">
        <v>3369.8540582278092</v>
      </c>
      <c r="I27" s="10">
        <v>44134</v>
      </c>
      <c r="J27" s="2">
        <v>1.38</v>
      </c>
      <c r="K27" s="2">
        <v>4.08</v>
      </c>
      <c r="L27" s="6">
        <v>0.34599156118143454</v>
      </c>
      <c r="M27" s="6">
        <v>0.30379746835443044</v>
      </c>
      <c r="N27" s="6">
        <v>0.35021097046413496</v>
      </c>
      <c r="O27" s="2">
        <v>105.86000000000001</v>
      </c>
      <c r="P27" s="2">
        <v>103.05</v>
      </c>
      <c r="Q27" s="2">
        <v>288.27999999999997</v>
      </c>
      <c r="R27" s="2">
        <v>277.29999999999995</v>
      </c>
      <c r="S27" s="5">
        <v>2.6544492726242357</v>
      </c>
      <c r="T27" s="5">
        <v>3.8087970029138405</v>
      </c>
      <c r="U27" s="4">
        <v>1165.9410665598325</v>
      </c>
      <c r="V27" s="4">
        <v>1023.7531316135119</v>
      </c>
      <c r="W27" s="4">
        <v>2189.6941981733444</v>
      </c>
      <c r="X27" s="4">
        <v>1134.9917523993076</v>
      </c>
      <c r="Y27" s="4">
        <v>984.76045301937984</v>
      </c>
      <c r="Z27" s="4">
        <v>2119.7522054186875</v>
      </c>
      <c r="AA27" t="s">
        <v>180</v>
      </c>
      <c r="AB27" s="10">
        <v>44154</v>
      </c>
      <c r="AC27" s="4">
        <v>39.9</v>
      </c>
      <c r="AD27" s="15">
        <v>1.0335000000000001</v>
      </c>
      <c r="AE27" s="4">
        <v>78.75</v>
      </c>
      <c r="AF27" s="4">
        <v>26.1</v>
      </c>
      <c r="AG27" s="4">
        <v>6</v>
      </c>
      <c r="AH27" s="4">
        <v>81.2</v>
      </c>
      <c r="AI27" s="4">
        <v>8.6</v>
      </c>
      <c r="AJ27" s="1"/>
      <c r="AK27" s="16">
        <v>16.5</v>
      </c>
      <c r="AL27" s="5">
        <v>0.36</v>
      </c>
      <c r="AM27" s="4">
        <v>13.6</v>
      </c>
    </row>
    <row r="28" spans="1:39" x14ac:dyDescent="0.3">
      <c r="A28" s="3" t="s">
        <v>867</v>
      </c>
      <c r="B28" s="3" t="s">
        <v>106</v>
      </c>
      <c r="C28" s="10">
        <v>43761</v>
      </c>
      <c r="D28" s="2">
        <v>2.79</v>
      </c>
      <c r="E28" s="2">
        <v>0.36</v>
      </c>
      <c r="F28" s="2">
        <v>2.4300000000000002</v>
      </c>
      <c r="G28" s="1">
        <v>2989.6653543307089</v>
      </c>
      <c r="H28" s="4">
        <v>3253.6047366477219</v>
      </c>
      <c r="I28" s="10">
        <v>44134</v>
      </c>
      <c r="J28" s="2">
        <v>1.42</v>
      </c>
      <c r="K28" s="2">
        <v>4.12</v>
      </c>
      <c r="L28" s="6">
        <v>0.35390946502057608</v>
      </c>
      <c r="M28" s="6">
        <v>0.31275720164609061</v>
      </c>
      <c r="N28" s="6">
        <v>0.33333333333333331</v>
      </c>
      <c r="O28" s="2">
        <v>141.68</v>
      </c>
      <c r="P28" s="2">
        <v>137.54</v>
      </c>
      <c r="Q28" s="2">
        <v>248.19</v>
      </c>
      <c r="R28" s="2">
        <v>238.32</v>
      </c>
      <c r="S28" s="5">
        <v>2.9220779220779325</v>
      </c>
      <c r="T28" s="5">
        <v>3.9767919738909723</v>
      </c>
      <c r="U28" s="4">
        <v>1151.4815117354076</v>
      </c>
      <c r="V28" s="4">
        <v>1017.5883126964071</v>
      </c>
      <c r="W28" s="4">
        <v>2169.0698244318146</v>
      </c>
      <c r="X28" s="4">
        <v>1117.834324704178</v>
      </c>
      <c r="Y28" s="4">
        <v>977.12094234984386</v>
      </c>
      <c r="Z28" s="4">
        <v>2094.955267054022</v>
      </c>
      <c r="AA28" t="s">
        <v>181</v>
      </c>
      <c r="AB28" s="10">
        <v>44154</v>
      </c>
      <c r="AC28" s="4">
        <v>40</v>
      </c>
      <c r="AD28" s="15">
        <v>1.014</v>
      </c>
      <c r="AE28" s="4">
        <v>77.449999999999989</v>
      </c>
      <c r="AF28" s="4">
        <v>25.1</v>
      </c>
      <c r="AG28" s="4">
        <v>6.05</v>
      </c>
      <c r="AH28" s="4">
        <v>80.75</v>
      </c>
      <c r="AI28" s="4">
        <v>8.9499999999999993</v>
      </c>
      <c r="AJ28" s="1"/>
      <c r="AK28" s="16">
        <v>11.5</v>
      </c>
      <c r="AL28" s="5">
        <v>0.29500000000000004</v>
      </c>
      <c r="AM28" s="4">
        <v>16.5</v>
      </c>
    </row>
    <row r="29" spans="1:39" x14ac:dyDescent="0.3">
      <c r="A29" s="3" t="s">
        <v>868</v>
      </c>
      <c r="B29" s="3" t="s">
        <v>106</v>
      </c>
      <c r="C29" s="10">
        <v>43761</v>
      </c>
      <c r="D29" s="2">
        <v>3.45</v>
      </c>
      <c r="E29" s="2">
        <v>0.36</v>
      </c>
      <c r="F29" s="2">
        <v>3.0900000000000003</v>
      </c>
      <c r="G29" s="1">
        <v>3801.6732283464571</v>
      </c>
      <c r="H29" s="4">
        <v>3839.5554825441868</v>
      </c>
      <c r="I29" s="10">
        <v>44134</v>
      </c>
      <c r="J29" s="2">
        <v>1.7</v>
      </c>
      <c r="K29" s="2">
        <v>4.5199999999999996</v>
      </c>
      <c r="L29" s="6">
        <v>0.3689320388349514</v>
      </c>
      <c r="M29" s="6">
        <v>0.37540453074433644</v>
      </c>
      <c r="N29" s="6">
        <v>0.25566343042071216</v>
      </c>
      <c r="O29" s="2">
        <v>90.3</v>
      </c>
      <c r="P29" s="2">
        <v>88.06</v>
      </c>
      <c r="Q29" s="2">
        <v>305.94</v>
      </c>
      <c r="R29" s="2">
        <v>294.25</v>
      </c>
      <c r="S29" s="5">
        <v>2.4806201550387543</v>
      </c>
      <c r="T29" s="5">
        <v>3.8210106556841206</v>
      </c>
      <c r="U29" s="4">
        <v>1416.5350323949426</v>
      </c>
      <c r="V29" s="4">
        <v>1441.3865241913447</v>
      </c>
      <c r="W29" s="4">
        <v>2857.9215565862874</v>
      </c>
      <c r="X29" s="4">
        <v>1381.3961788781689</v>
      </c>
      <c r="Y29" s="4">
        <v>1386.3109915123985</v>
      </c>
      <c r="Z29" s="4">
        <v>2767.7071703905676</v>
      </c>
      <c r="AA29" t="s">
        <v>182</v>
      </c>
      <c r="AB29" s="10">
        <v>44154</v>
      </c>
      <c r="AC29" s="4">
        <v>41.349999999999994</v>
      </c>
      <c r="AD29" s="15">
        <v>1.0585</v>
      </c>
      <c r="AE29" s="4">
        <v>78.849999999999994</v>
      </c>
      <c r="AF29" s="4">
        <v>26.7</v>
      </c>
      <c r="AG29" s="4">
        <v>5.95</v>
      </c>
      <c r="AH29" s="4">
        <v>83</v>
      </c>
      <c r="AI29" s="4">
        <v>8.4499999999999993</v>
      </c>
      <c r="AJ29" s="1"/>
      <c r="AK29" s="16">
        <v>6.5</v>
      </c>
      <c r="AL29" s="5">
        <v>0.115</v>
      </c>
      <c r="AM29" s="4">
        <v>12.9</v>
      </c>
    </row>
    <row r="30" spans="1:39" x14ac:dyDescent="0.3">
      <c r="A30" s="3" t="s">
        <v>869</v>
      </c>
      <c r="B30" s="3" t="s">
        <v>106</v>
      </c>
      <c r="C30" s="10">
        <v>43761</v>
      </c>
      <c r="D30" s="2">
        <v>2.84</v>
      </c>
      <c r="E30" s="2">
        <v>0.36</v>
      </c>
      <c r="F30" s="2">
        <v>2.48</v>
      </c>
      <c r="G30" s="1">
        <v>3051.1811023622049</v>
      </c>
      <c r="H30" s="4">
        <v>3473.6299174863179</v>
      </c>
      <c r="I30" s="10">
        <v>44134</v>
      </c>
      <c r="J30" s="2">
        <v>1.42</v>
      </c>
      <c r="K30" s="2">
        <v>4.2200000000000006</v>
      </c>
      <c r="L30" s="6">
        <v>0.34677419354838707</v>
      </c>
      <c r="M30" s="6">
        <v>0.3467741935483874</v>
      </c>
      <c r="N30" s="6">
        <v>0.30645161290322559</v>
      </c>
      <c r="O30" s="2">
        <v>92.800000000000011</v>
      </c>
      <c r="P30" s="2">
        <v>90.21</v>
      </c>
      <c r="Q30" s="2">
        <v>361.09000000000003</v>
      </c>
      <c r="R30" s="2">
        <v>348.40999999999997</v>
      </c>
      <c r="S30" s="5">
        <v>2.7909482758620876</v>
      </c>
      <c r="T30" s="5">
        <v>3.5115899083331201</v>
      </c>
      <c r="U30" s="4">
        <v>1204.5652133218682</v>
      </c>
      <c r="V30" s="4">
        <v>1204.5652133218694</v>
      </c>
      <c r="W30" s="4">
        <v>2409.1304266437373</v>
      </c>
      <c r="X30" s="4">
        <v>1170.946421269027</v>
      </c>
      <c r="Y30" s="4">
        <v>1162.2658228515672</v>
      </c>
      <c r="Z30" s="4">
        <v>2333.2122441205943</v>
      </c>
      <c r="AA30" t="s">
        <v>183</v>
      </c>
      <c r="AB30" s="10">
        <v>44154</v>
      </c>
      <c r="AC30" s="4">
        <v>39.450000000000003</v>
      </c>
      <c r="AD30" s="15">
        <v>1.0430000000000001</v>
      </c>
      <c r="AE30" s="4">
        <v>77.8</v>
      </c>
      <c r="AF30" s="4">
        <v>26.1</v>
      </c>
      <c r="AG30" s="4">
        <v>6.1</v>
      </c>
      <c r="AH30" s="4">
        <v>81.45</v>
      </c>
      <c r="AI30" s="4">
        <v>8.75</v>
      </c>
      <c r="AJ30" s="1"/>
      <c r="AK30" s="16">
        <v>7.5</v>
      </c>
      <c r="AL30" s="5">
        <v>0.12</v>
      </c>
      <c r="AM30" s="4">
        <v>14.15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E5B7D-92B8-4D11-9F53-24431941E6FC}">
  <dimension ref="A1:AC55"/>
  <sheetViews>
    <sheetView workbookViewId="0"/>
  </sheetViews>
  <sheetFormatPr defaultRowHeight="14.4" x14ac:dyDescent="0.3"/>
  <cols>
    <col min="1" max="1" width="9.88671875" bestFit="1" customWidth="1"/>
  </cols>
  <sheetData>
    <row r="1" spans="1:29" x14ac:dyDescent="0.3">
      <c r="B1" t="s">
        <v>49</v>
      </c>
      <c r="C1" t="s">
        <v>49</v>
      </c>
      <c r="Q1" t="s">
        <v>49</v>
      </c>
      <c r="R1" t="s">
        <v>49</v>
      </c>
    </row>
    <row r="2" spans="1:29" x14ac:dyDescent="0.3">
      <c r="B2" t="s">
        <v>50</v>
      </c>
      <c r="C2" t="s">
        <v>50</v>
      </c>
      <c r="Q2" t="s">
        <v>50</v>
      </c>
      <c r="R2" t="s">
        <v>50</v>
      </c>
    </row>
    <row r="3" spans="1:29" x14ac:dyDescent="0.3">
      <c r="B3" t="s">
        <v>21</v>
      </c>
      <c r="C3" t="s">
        <v>21</v>
      </c>
      <c r="Q3" t="s">
        <v>22</v>
      </c>
      <c r="R3" t="s">
        <v>22</v>
      </c>
    </row>
    <row r="4" spans="1:29" x14ac:dyDescent="0.3">
      <c r="B4" t="s">
        <v>140</v>
      </c>
      <c r="C4" t="s">
        <v>140</v>
      </c>
      <c r="Q4" t="s">
        <v>140</v>
      </c>
      <c r="R4" t="s">
        <v>140</v>
      </c>
      <c r="AC4">
        <v>0</v>
      </c>
    </row>
    <row r="5" spans="1:29" x14ac:dyDescent="0.3">
      <c r="B5" t="s">
        <v>120</v>
      </c>
      <c r="C5" t="s">
        <v>123</v>
      </c>
      <c r="Q5" t="s">
        <v>120</v>
      </c>
      <c r="R5" t="s">
        <v>123</v>
      </c>
      <c r="AC5">
        <v>4000</v>
      </c>
    </row>
    <row r="6" spans="1:29" x14ac:dyDescent="0.3">
      <c r="A6" t="s">
        <v>0</v>
      </c>
      <c r="B6" t="s">
        <v>141</v>
      </c>
      <c r="C6" t="s">
        <v>141</v>
      </c>
      <c r="P6" t="s">
        <v>0</v>
      </c>
      <c r="Q6" t="s">
        <v>141</v>
      </c>
      <c r="R6" t="s">
        <v>141</v>
      </c>
    </row>
    <row r="7" spans="1:29" x14ac:dyDescent="0.3">
      <c r="A7" t="s">
        <v>143</v>
      </c>
      <c r="B7" t="s">
        <v>142</v>
      </c>
      <c r="C7" t="s">
        <v>142</v>
      </c>
      <c r="P7" t="s">
        <v>143</v>
      </c>
      <c r="Q7" t="s">
        <v>142</v>
      </c>
      <c r="R7" t="s">
        <v>142</v>
      </c>
    </row>
    <row r="8" spans="1:29" x14ac:dyDescent="0.3">
      <c r="A8" t="s">
        <v>52</v>
      </c>
      <c r="B8">
        <v>1476.3779527559054</v>
      </c>
      <c r="C8">
        <v>1377.952755905512</v>
      </c>
      <c r="P8" t="s">
        <v>52</v>
      </c>
      <c r="Q8">
        <v>1424.7121583367034</v>
      </c>
      <c r="R8">
        <v>1325.8230702246592</v>
      </c>
    </row>
    <row r="9" spans="1:29" x14ac:dyDescent="0.3">
      <c r="A9" t="s">
        <v>53</v>
      </c>
      <c r="B9">
        <v>1525.5905511811025</v>
      </c>
      <c r="C9">
        <v>1525.5905511811025</v>
      </c>
      <c r="P9" t="s">
        <v>53</v>
      </c>
      <c r="Q9">
        <v>1468.4280915044687</v>
      </c>
      <c r="R9">
        <v>1470.5580917297946</v>
      </c>
    </row>
    <row r="10" spans="1:29" x14ac:dyDescent="0.3">
      <c r="A10" t="s">
        <v>54</v>
      </c>
      <c r="B10">
        <v>1082.6771653543306</v>
      </c>
      <c r="C10">
        <v>836.61417322834666</v>
      </c>
      <c r="P10" t="s">
        <v>54</v>
      </c>
      <c r="Q10">
        <v>1045.0209693326863</v>
      </c>
      <c r="R10">
        <v>805.57834064012809</v>
      </c>
    </row>
    <row r="11" spans="1:29" x14ac:dyDescent="0.3">
      <c r="A11" t="s">
        <v>55</v>
      </c>
      <c r="B11">
        <v>541.33858267716528</v>
      </c>
      <c r="C11">
        <v>196.85039370078758</v>
      </c>
      <c r="P11" t="s">
        <v>55</v>
      </c>
      <c r="Q11">
        <v>520.61661118579684</v>
      </c>
      <c r="R11">
        <v>189.45655268536672</v>
      </c>
    </row>
    <row r="12" spans="1:29" x14ac:dyDescent="0.3">
      <c r="A12" t="s">
        <v>56</v>
      </c>
      <c r="B12">
        <v>590.55118110236219</v>
      </c>
      <c r="C12">
        <v>295.27559055118138</v>
      </c>
      <c r="P12" t="s">
        <v>56</v>
      </c>
      <c r="Q12">
        <v>570.43633737922505</v>
      </c>
      <c r="R12">
        <v>283.7511212997112</v>
      </c>
    </row>
    <row r="13" spans="1:29" x14ac:dyDescent="0.3">
      <c r="A13" t="s">
        <v>57</v>
      </c>
      <c r="B13">
        <v>688.97637795275591</v>
      </c>
      <c r="C13">
        <v>541.33858267716528</v>
      </c>
      <c r="P13" t="s">
        <v>57</v>
      </c>
      <c r="Q13">
        <v>633.69884662304537</v>
      </c>
      <c r="R13">
        <v>521.15827831939146</v>
      </c>
    </row>
    <row r="14" spans="1:29" x14ac:dyDescent="0.3">
      <c r="A14" t="s">
        <v>58</v>
      </c>
      <c r="B14">
        <v>1525.5905511811022</v>
      </c>
      <c r="C14">
        <v>1574.8031496062988</v>
      </c>
      <c r="P14" t="s">
        <v>58</v>
      </c>
      <c r="Q14">
        <v>1475.6734779318228</v>
      </c>
      <c r="R14">
        <v>1515.4328261497544</v>
      </c>
    </row>
    <row r="15" spans="1:29" x14ac:dyDescent="0.3">
      <c r="A15" t="s">
        <v>59</v>
      </c>
      <c r="B15">
        <v>1033.4645669291338</v>
      </c>
      <c r="C15">
        <v>935.03937007874026</v>
      </c>
      <c r="P15" t="s">
        <v>59</v>
      </c>
      <c r="Q15">
        <v>999.23852111078702</v>
      </c>
      <c r="R15">
        <v>900.24362868511787</v>
      </c>
    </row>
    <row r="16" spans="1:29" x14ac:dyDescent="0.3">
      <c r="A16" t="s">
        <v>60</v>
      </c>
      <c r="B16">
        <v>1476.3779527559054</v>
      </c>
      <c r="C16">
        <v>1476.3779527559052</v>
      </c>
      <c r="P16" t="s">
        <v>60</v>
      </c>
      <c r="Q16">
        <v>1439.4540805494271</v>
      </c>
      <c r="R16">
        <v>1419.328219218499</v>
      </c>
    </row>
    <row r="17" spans="1:18" x14ac:dyDescent="0.3">
      <c r="A17" t="s">
        <v>61</v>
      </c>
      <c r="B17">
        <v>1230.3149606299212</v>
      </c>
      <c r="C17">
        <v>1279.5275590551187</v>
      </c>
      <c r="P17" t="s">
        <v>61</v>
      </c>
      <c r="Q17">
        <v>1148.1027721185201</v>
      </c>
      <c r="R17">
        <v>1230.9350306366989</v>
      </c>
    </row>
    <row r="18" spans="1:18" x14ac:dyDescent="0.3">
      <c r="A18" t="s">
        <v>62</v>
      </c>
      <c r="B18">
        <v>1796.259842519685</v>
      </c>
      <c r="C18">
        <v>1919.2913385826771</v>
      </c>
      <c r="P18" t="s">
        <v>62</v>
      </c>
      <c r="Q18">
        <v>1732.0834938877074</v>
      </c>
      <c r="R18">
        <v>1840.6362063242443</v>
      </c>
    </row>
    <row r="19" spans="1:18" x14ac:dyDescent="0.3">
      <c r="A19" t="s">
        <v>63</v>
      </c>
      <c r="B19">
        <v>1574.8031496062993</v>
      </c>
      <c r="C19">
        <v>1673.2283464566931</v>
      </c>
      <c r="P19" t="s">
        <v>63</v>
      </c>
      <c r="Q19">
        <v>1519.6581989073491</v>
      </c>
      <c r="R19">
        <v>1605.3635003260176</v>
      </c>
    </row>
    <row r="20" spans="1:18" x14ac:dyDescent="0.3">
      <c r="A20" t="s">
        <v>64</v>
      </c>
      <c r="B20">
        <v>1181.1023622047242</v>
      </c>
      <c r="C20">
        <v>1131.889763779528</v>
      </c>
      <c r="P20" t="s">
        <v>64</v>
      </c>
      <c r="Q20">
        <v>1140.6381877607159</v>
      </c>
      <c r="R20">
        <v>1089.6837047911388</v>
      </c>
    </row>
    <row r="21" spans="1:18" x14ac:dyDescent="0.3">
      <c r="A21" t="s">
        <v>65</v>
      </c>
      <c r="B21">
        <v>885.82677165354312</v>
      </c>
      <c r="C21">
        <v>787.40157480314974</v>
      </c>
      <c r="P21" t="s">
        <v>65</v>
      </c>
      <c r="Q21">
        <v>855.86542884735911</v>
      </c>
      <c r="R21">
        <v>758.06131486727463</v>
      </c>
    </row>
    <row r="22" spans="1:18" x14ac:dyDescent="0.3">
      <c r="A22" t="s">
        <v>66</v>
      </c>
      <c r="B22">
        <v>1131.8897637795276</v>
      </c>
      <c r="C22">
        <v>1033.4645669291344</v>
      </c>
      <c r="P22" t="s">
        <v>66</v>
      </c>
      <c r="Q22">
        <v>1094.2501826170092</v>
      </c>
      <c r="R22">
        <v>994.71194144094397</v>
      </c>
    </row>
    <row r="23" spans="1:18" x14ac:dyDescent="0.3">
      <c r="A23" t="s">
        <v>67</v>
      </c>
      <c r="B23">
        <v>1230.3149606299212</v>
      </c>
      <c r="C23">
        <v>1181.1023622047248</v>
      </c>
      <c r="P23" t="s">
        <v>67</v>
      </c>
      <c r="Q23">
        <v>1189.2690163945581</v>
      </c>
      <c r="R23">
        <v>1135.8672393492354</v>
      </c>
    </row>
    <row r="24" spans="1:18" x14ac:dyDescent="0.3">
      <c r="A24" t="s">
        <v>68</v>
      </c>
      <c r="B24">
        <v>1230.3149606299212</v>
      </c>
      <c r="C24">
        <v>1328.7401574803157</v>
      </c>
      <c r="P24" t="s">
        <v>68</v>
      </c>
      <c r="Q24">
        <v>1193.5951635104318</v>
      </c>
      <c r="R24">
        <v>1276.6197640141067</v>
      </c>
    </row>
    <row r="25" spans="1:18" x14ac:dyDescent="0.3">
      <c r="A25" t="s">
        <v>69</v>
      </c>
      <c r="B25">
        <v>1181.1023622047242</v>
      </c>
      <c r="C25">
        <v>1131.8897637795278</v>
      </c>
      <c r="P25" t="s">
        <v>69</v>
      </c>
      <c r="Q25">
        <v>1142.0197874626692</v>
      </c>
      <c r="R25">
        <v>1086.7287121274644</v>
      </c>
    </row>
    <row r="26" spans="1:18" x14ac:dyDescent="0.3">
      <c r="A26" t="s">
        <v>70</v>
      </c>
      <c r="B26">
        <v>1771.6535433070865</v>
      </c>
      <c r="C26">
        <v>2017.7165354330712</v>
      </c>
      <c r="P26" t="s">
        <v>70</v>
      </c>
      <c r="Q26">
        <v>1718.4448161999771</v>
      </c>
      <c r="R26">
        <v>1940.3215707760946</v>
      </c>
    </row>
    <row r="27" spans="1:18" x14ac:dyDescent="0.3">
      <c r="A27" t="s">
        <v>71</v>
      </c>
      <c r="B27">
        <v>1525.5905511811027</v>
      </c>
      <c r="C27">
        <v>1673.2283464566931</v>
      </c>
      <c r="P27" t="s">
        <v>71</v>
      </c>
      <c r="Q27">
        <v>1477.795244946396</v>
      </c>
      <c r="R27">
        <v>1608.3906115884515</v>
      </c>
    </row>
    <row r="28" spans="1:18" x14ac:dyDescent="0.3">
      <c r="A28" t="s">
        <v>72</v>
      </c>
      <c r="B28">
        <v>1131.8897637795274</v>
      </c>
      <c r="C28">
        <v>1131.8897637795278</v>
      </c>
      <c r="P28" t="s">
        <v>72</v>
      </c>
      <c r="Q28">
        <v>1093.9566322507064</v>
      </c>
      <c r="R28">
        <v>1087.5082588191842</v>
      </c>
    </row>
    <row r="29" spans="1:18" x14ac:dyDescent="0.3">
      <c r="A29" t="s">
        <v>73</v>
      </c>
      <c r="B29">
        <v>1328.7401574803148</v>
      </c>
      <c r="C29">
        <v>1328.7401574803157</v>
      </c>
      <c r="P29" t="s">
        <v>73</v>
      </c>
      <c r="Q29">
        <v>1304.1159053279728</v>
      </c>
      <c r="R29">
        <v>1277.4419781924087</v>
      </c>
    </row>
    <row r="30" spans="1:18" x14ac:dyDescent="0.3">
      <c r="A30" t="s">
        <v>74</v>
      </c>
      <c r="B30">
        <v>1377.9527559055116</v>
      </c>
      <c r="C30">
        <v>1574.8031496062988</v>
      </c>
      <c r="P30" t="s">
        <v>74</v>
      </c>
      <c r="Q30">
        <v>1336.6911017361197</v>
      </c>
      <c r="R30">
        <v>1513.1022168859249</v>
      </c>
    </row>
    <row r="31" spans="1:18" x14ac:dyDescent="0.3">
      <c r="A31" t="s">
        <v>75</v>
      </c>
      <c r="B31">
        <v>1033.4645669291338</v>
      </c>
      <c r="C31">
        <v>1131.889763779528</v>
      </c>
      <c r="P31" t="s">
        <v>75</v>
      </c>
      <c r="Q31">
        <v>1000.3251879139318</v>
      </c>
      <c r="R31">
        <v>1086.1517025295395</v>
      </c>
    </row>
    <row r="32" spans="1:18" x14ac:dyDescent="0.3">
      <c r="A32" t="s">
        <v>76</v>
      </c>
      <c r="B32">
        <v>1033.4645669291338</v>
      </c>
      <c r="C32">
        <v>787.40157480314963</v>
      </c>
      <c r="P32" t="s">
        <v>76</v>
      </c>
      <c r="Q32">
        <v>1005.7055618896663</v>
      </c>
      <c r="R32">
        <v>759.16105037782302</v>
      </c>
    </row>
    <row r="33" spans="1:18" x14ac:dyDescent="0.3">
      <c r="A33" t="s">
        <v>77</v>
      </c>
      <c r="B33">
        <v>1082.6771653543306</v>
      </c>
      <c r="C33">
        <v>984.25196850393729</v>
      </c>
      <c r="P33" t="s">
        <v>77</v>
      </c>
      <c r="Q33">
        <v>1049.0944616413844</v>
      </c>
      <c r="R33">
        <v>949.37185010303347</v>
      </c>
    </row>
    <row r="34" spans="1:18" x14ac:dyDescent="0.3">
      <c r="A34" t="s">
        <v>78</v>
      </c>
      <c r="B34">
        <v>1525.5905511811027</v>
      </c>
      <c r="C34">
        <v>1574.8031496062988</v>
      </c>
      <c r="P34" t="s">
        <v>78</v>
      </c>
      <c r="Q34">
        <v>1480.7114410267261</v>
      </c>
      <c r="R34">
        <v>1509.9851648978656</v>
      </c>
    </row>
    <row r="35" spans="1:18" x14ac:dyDescent="0.3">
      <c r="A35" t="s">
        <v>79</v>
      </c>
      <c r="B35">
        <v>1574.8031496062988</v>
      </c>
      <c r="C35">
        <v>1574.8031496062988</v>
      </c>
      <c r="P35" t="s">
        <v>79</v>
      </c>
      <c r="Q35">
        <v>1527.9242742632246</v>
      </c>
      <c r="R35">
        <v>1514.9983477224475</v>
      </c>
    </row>
    <row r="36" spans="1:18" x14ac:dyDescent="0.3">
      <c r="A36" t="s">
        <v>80</v>
      </c>
      <c r="B36">
        <v>1181.1023622047246</v>
      </c>
      <c r="C36">
        <v>1181.1023622047248</v>
      </c>
      <c r="P36" t="s">
        <v>80</v>
      </c>
      <c r="Q36">
        <v>1147.6851724601852</v>
      </c>
      <c r="R36">
        <v>1137.9222758445521</v>
      </c>
    </row>
    <row r="37" spans="1:18" x14ac:dyDescent="0.3">
      <c r="A37" t="s">
        <v>81</v>
      </c>
      <c r="B37">
        <v>1427.1653543307086</v>
      </c>
      <c r="C37">
        <v>1574.8031496062988</v>
      </c>
      <c r="P37" t="s">
        <v>81</v>
      </c>
      <c r="Q37">
        <v>1385.2108172577082</v>
      </c>
      <c r="R37">
        <v>1520.190518872103</v>
      </c>
    </row>
    <row r="38" spans="1:18" x14ac:dyDescent="0.3">
      <c r="A38" t="s">
        <v>82</v>
      </c>
      <c r="B38">
        <v>738.18897637795237</v>
      </c>
      <c r="C38">
        <v>541.33858267716528</v>
      </c>
      <c r="P38" t="s">
        <v>82</v>
      </c>
      <c r="Q38">
        <v>714.07947893092899</v>
      </c>
      <c r="R38">
        <v>520.50971416413165</v>
      </c>
    </row>
    <row r="39" spans="1:18" x14ac:dyDescent="0.3">
      <c r="A39" t="s">
        <v>83</v>
      </c>
      <c r="B39">
        <v>738.1889763779526</v>
      </c>
      <c r="C39">
        <v>639.763779527559</v>
      </c>
      <c r="P39" t="s">
        <v>83</v>
      </c>
      <c r="Q39">
        <v>713.64112443189242</v>
      </c>
      <c r="R39">
        <v>614.8138907448598</v>
      </c>
    </row>
    <row r="40" spans="1:18" x14ac:dyDescent="0.3">
      <c r="A40" t="s">
        <v>84</v>
      </c>
      <c r="B40">
        <v>1820.8661417322833</v>
      </c>
      <c r="C40">
        <v>2066.9291338582684</v>
      </c>
      <c r="P40" t="s">
        <v>84</v>
      </c>
      <c r="Q40">
        <v>1770.3429861492154</v>
      </c>
      <c r="R40">
        <v>1988.7260568913669</v>
      </c>
    </row>
    <row r="41" spans="1:18" x14ac:dyDescent="0.3">
      <c r="A41" t="s">
        <v>85</v>
      </c>
      <c r="B41">
        <v>1771.6535433070865</v>
      </c>
      <c r="C41">
        <v>1870.0787401574803</v>
      </c>
      <c r="P41" t="s">
        <v>85</v>
      </c>
      <c r="Q41">
        <v>1720.9256217073587</v>
      </c>
      <c r="R41">
        <v>1803.0614568777023</v>
      </c>
    </row>
    <row r="42" spans="1:18" x14ac:dyDescent="0.3">
      <c r="A42" t="s">
        <v>86</v>
      </c>
      <c r="B42">
        <v>1673.2283464566931</v>
      </c>
      <c r="C42">
        <v>1870.0787401574803</v>
      </c>
      <c r="P42" t="s">
        <v>86</v>
      </c>
      <c r="Q42">
        <v>1629.8046488899747</v>
      </c>
      <c r="R42">
        <v>1796.2071096456123</v>
      </c>
    </row>
    <row r="43" spans="1:18" x14ac:dyDescent="0.3">
      <c r="A43" t="s">
        <v>87</v>
      </c>
      <c r="B43">
        <v>1870.0787401574803</v>
      </c>
      <c r="C43">
        <v>2116.1417322834645</v>
      </c>
      <c r="P43" t="s">
        <v>87</v>
      </c>
      <c r="Q43">
        <v>1788.5030474281882</v>
      </c>
      <c r="R43">
        <v>2031.3115380984307</v>
      </c>
    </row>
    <row r="44" spans="1:18" x14ac:dyDescent="0.3">
      <c r="A44" t="s">
        <v>88</v>
      </c>
      <c r="B44">
        <v>1131.8897637795276</v>
      </c>
      <c r="C44">
        <v>1033.4645669291342</v>
      </c>
      <c r="P44" t="s">
        <v>88</v>
      </c>
      <c r="Q44">
        <v>1099.7312310751072</v>
      </c>
      <c r="R44">
        <v>996.02733762188245</v>
      </c>
    </row>
    <row r="45" spans="1:18" x14ac:dyDescent="0.3">
      <c r="A45" t="s">
        <v>89</v>
      </c>
      <c r="B45">
        <v>1082.6771653543306</v>
      </c>
      <c r="C45">
        <v>935.03937007874049</v>
      </c>
      <c r="P45" t="s">
        <v>89</v>
      </c>
      <c r="Q45">
        <v>1054.2464503606177</v>
      </c>
      <c r="R45">
        <v>902.50851965851041</v>
      </c>
    </row>
    <row r="46" spans="1:18" x14ac:dyDescent="0.3">
      <c r="A46" t="s">
        <v>90</v>
      </c>
      <c r="B46">
        <v>984.25196850393706</v>
      </c>
      <c r="C46">
        <v>787.40157480314974</v>
      </c>
      <c r="P46" t="s">
        <v>90</v>
      </c>
      <c r="Q46">
        <v>958.0551480494596</v>
      </c>
      <c r="R46">
        <v>756.31993369249903</v>
      </c>
    </row>
    <row r="47" spans="1:18" x14ac:dyDescent="0.3">
      <c r="A47" t="s">
        <v>91</v>
      </c>
      <c r="B47">
        <v>836.6141732283462</v>
      </c>
      <c r="C47">
        <v>787.40157480314986</v>
      </c>
      <c r="P47" t="s">
        <v>91</v>
      </c>
      <c r="Q47">
        <v>813.83825056760531</v>
      </c>
      <c r="R47">
        <v>758.10197601321647</v>
      </c>
    </row>
    <row r="48" spans="1:18" x14ac:dyDescent="0.3">
      <c r="A48" t="s">
        <v>92</v>
      </c>
      <c r="B48">
        <v>984.25196850393706</v>
      </c>
      <c r="C48">
        <v>885.82677165354357</v>
      </c>
      <c r="P48" t="s">
        <v>92</v>
      </c>
      <c r="Q48">
        <v>956.202252685237</v>
      </c>
      <c r="R48">
        <v>850.87479496992921</v>
      </c>
    </row>
    <row r="49" spans="1:18" x14ac:dyDescent="0.3">
      <c r="A49" t="s">
        <v>93</v>
      </c>
      <c r="B49">
        <v>1033.4645669291338</v>
      </c>
      <c r="C49">
        <v>885.82677165354369</v>
      </c>
      <c r="P49" t="s">
        <v>93</v>
      </c>
      <c r="Q49">
        <v>1007.6455167356288</v>
      </c>
      <c r="R49">
        <v>852.83277573388386</v>
      </c>
    </row>
    <row r="50" spans="1:18" x14ac:dyDescent="0.3">
      <c r="A50" t="s">
        <v>94</v>
      </c>
      <c r="B50">
        <v>1230.3149606299212</v>
      </c>
      <c r="C50">
        <v>1082.6771653543312</v>
      </c>
      <c r="P50" t="s">
        <v>94</v>
      </c>
      <c r="Q50">
        <v>1194.337081885652</v>
      </c>
      <c r="R50">
        <v>1039.4322076019573</v>
      </c>
    </row>
    <row r="51" spans="1:18" x14ac:dyDescent="0.3">
      <c r="A51" t="s">
        <v>95</v>
      </c>
      <c r="B51">
        <v>885.82677165354323</v>
      </c>
      <c r="C51">
        <v>787.40157480314974</v>
      </c>
      <c r="P51" t="s">
        <v>95</v>
      </c>
      <c r="Q51">
        <v>859.96520333544663</v>
      </c>
      <c r="R51">
        <v>756.24564208091715</v>
      </c>
    </row>
    <row r="52" spans="1:18" x14ac:dyDescent="0.3">
      <c r="A52" t="s">
        <v>96</v>
      </c>
      <c r="B52">
        <v>1082.6771653543306</v>
      </c>
      <c r="C52">
        <v>984.25196850393729</v>
      </c>
      <c r="P52" t="s">
        <v>96</v>
      </c>
      <c r="Q52">
        <v>1055.9905823796905</v>
      </c>
      <c r="R52">
        <v>947.03966777714618</v>
      </c>
    </row>
    <row r="53" spans="1:18" x14ac:dyDescent="0.3">
      <c r="A53" t="s">
        <v>97</v>
      </c>
      <c r="B53">
        <v>1722.4409448818894</v>
      </c>
      <c r="C53">
        <v>1870.0787401574803</v>
      </c>
      <c r="P53" t="s">
        <v>97</v>
      </c>
      <c r="Q53">
        <v>1679.462571976967</v>
      </c>
      <c r="R53">
        <v>1797.9262812125826</v>
      </c>
    </row>
    <row r="54" spans="1:18" x14ac:dyDescent="0.3">
      <c r="A54" t="s">
        <v>98</v>
      </c>
      <c r="B54">
        <v>1181.1023622047244</v>
      </c>
      <c r="C54">
        <v>1131.889763779528</v>
      </c>
      <c r="P54" t="s">
        <v>98</v>
      </c>
      <c r="Q54">
        <v>1148.6460031281747</v>
      </c>
      <c r="R54">
        <v>1090.9370294628986</v>
      </c>
    </row>
    <row r="55" spans="1:18" x14ac:dyDescent="0.3">
      <c r="A55" t="s">
        <v>99</v>
      </c>
      <c r="B55">
        <v>935.03937007874015</v>
      </c>
      <c r="C55">
        <v>984.25196850393718</v>
      </c>
      <c r="P55" t="s">
        <v>99</v>
      </c>
      <c r="Q55">
        <v>908.66163368157459</v>
      </c>
      <c r="R55">
        <v>950.8026926723262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Scale</vt:lpstr>
      <vt:lpstr>Zone Scale</vt:lpstr>
      <vt:lpstr>Plot Scale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2022-05-13T17:57:34Z</dcterms:created>
  <dcterms:modified xsi:type="dcterms:W3CDTF">2023-10-16T23:07:08Z</dcterms:modified>
</cp:coreProperties>
</file>