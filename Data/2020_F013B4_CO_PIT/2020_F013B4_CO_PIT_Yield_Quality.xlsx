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tool\tool\Data\2020_F013B4_CO_PIT\"/>
    </mc:Choice>
  </mc:AlternateContent>
  <xr:revisionPtr revIDLastSave="0" documentId="13_ncr:1_{24E4E01A-2072-4BCB-AF32-5BAF74B8A3C5}" xr6:coauthVersionLast="47" xr6:coauthVersionMax="47" xr10:uidLastSave="{00000000-0000-0000-0000-000000000000}"/>
  <bookViews>
    <workbookView xWindow="-4590" yWindow="-28920" windowWidth="18240" windowHeight="29040" xr2:uid="{A0C8E5E1-3BB8-481A-9E5C-615F618DEDC4}"/>
  </bookViews>
  <sheets>
    <sheet name="Raw Scale" sheetId="1" r:id="rId1"/>
    <sheet name="Plot Scale" sheetId="2" r:id="rId2"/>
    <sheet name="Compar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6" i="1" l="1"/>
  <c r="T56" i="1"/>
  <c r="U56" i="1"/>
  <c r="W56" i="1" s="1"/>
  <c r="V56" i="1"/>
  <c r="X56" i="1"/>
  <c r="Y56" i="1"/>
  <c r="Z56" i="1"/>
  <c r="S57" i="1"/>
  <c r="T57" i="1"/>
  <c r="U57" i="1"/>
  <c r="V57" i="1"/>
  <c r="W57" i="1"/>
  <c r="X57" i="1"/>
  <c r="Y57" i="1"/>
  <c r="Z57" i="1"/>
  <c r="S58" i="1"/>
  <c r="T58" i="1"/>
  <c r="U58" i="1"/>
  <c r="V58" i="1"/>
  <c r="W58" i="1"/>
  <c r="X58" i="1"/>
  <c r="Y58" i="1"/>
  <c r="Z58" i="1"/>
  <c r="S59" i="1"/>
  <c r="T59" i="1"/>
  <c r="U59" i="1"/>
  <c r="V59" i="1"/>
  <c r="W59" i="1" s="1"/>
  <c r="X59" i="1"/>
  <c r="Y59" i="1"/>
  <c r="Z59" i="1"/>
  <c r="S60" i="1"/>
  <c r="T60" i="1"/>
  <c r="U60" i="1"/>
  <c r="V60" i="1"/>
  <c r="W60" i="1" s="1"/>
  <c r="X60" i="1"/>
  <c r="Y60" i="1"/>
  <c r="Z60" i="1"/>
  <c r="S61" i="1"/>
  <c r="T61" i="1"/>
  <c r="U61" i="1"/>
  <c r="V61" i="1"/>
  <c r="W61" i="1" s="1"/>
  <c r="X61" i="1"/>
  <c r="Y61" i="1"/>
  <c r="Z61" i="1"/>
  <c r="S62" i="1"/>
  <c r="T62" i="1"/>
  <c r="U62" i="1"/>
  <c r="W62" i="1" s="1"/>
  <c r="V62" i="1"/>
  <c r="X62" i="1"/>
  <c r="Y62" i="1"/>
  <c r="Z62" i="1"/>
  <c r="S63" i="1"/>
  <c r="T63" i="1"/>
  <c r="U63" i="1"/>
  <c r="W63" i="1" s="1"/>
  <c r="V63" i="1"/>
  <c r="X63" i="1"/>
  <c r="Y63" i="1"/>
  <c r="Z63" i="1"/>
  <c r="S64" i="1"/>
  <c r="T64" i="1"/>
  <c r="U64" i="1"/>
  <c r="W64" i="1" s="1"/>
  <c r="V64" i="1"/>
  <c r="X64" i="1"/>
  <c r="Y64" i="1"/>
  <c r="Z64" i="1"/>
  <c r="S65" i="1"/>
  <c r="T65" i="1"/>
  <c r="U65" i="1"/>
  <c r="W65" i="1" s="1"/>
  <c r="V65" i="1"/>
  <c r="X65" i="1"/>
  <c r="Y65" i="1"/>
  <c r="Z65" i="1"/>
  <c r="S66" i="1"/>
  <c r="T66" i="1"/>
  <c r="U66" i="1"/>
  <c r="W66" i="1" s="1"/>
  <c r="V66" i="1"/>
  <c r="X66" i="1"/>
  <c r="Y66" i="1"/>
  <c r="Z66" i="1"/>
  <c r="S67" i="1"/>
  <c r="T67" i="1"/>
  <c r="U67" i="1"/>
  <c r="W67" i="1" s="1"/>
  <c r="V67" i="1"/>
  <c r="X67" i="1"/>
  <c r="Y67" i="1"/>
  <c r="Z67" i="1"/>
  <c r="S68" i="1"/>
  <c r="T68" i="1"/>
  <c r="U68" i="1"/>
  <c r="W68" i="1" s="1"/>
  <c r="V68" i="1"/>
  <c r="X68" i="1"/>
  <c r="Y68" i="1"/>
  <c r="Z68" i="1"/>
  <c r="S69" i="1"/>
  <c r="T69" i="1"/>
  <c r="U69" i="1"/>
  <c r="W69" i="1" s="1"/>
  <c r="V69" i="1"/>
  <c r="X69" i="1"/>
  <c r="Y69" i="1"/>
  <c r="Z69" i="1"/>
  <c r="S70" i="1"/>
  <c r="T70" i="1"/>
  <c r="U70" i="1"/>
  <c r="W70" i="1" s="1"/>
  <c r="V70" i="1"/>
  <c r="X70" i="1"/>
  <c r="Y70" i="1"/>
  <c r="Z70" i="1"/>
  <c r="S71" i="1"/>
  <c r="T71" i="1"/>
  <c r="U71" i="1"/>
  <c r="W71" i="1" s="1"/>
  <c r="V71" i="1"/>
  <c r="X71" i="1"/>
  <c r="Y71" i="1"/>
  <c r="Z71" i="1"/>
  <c r="S72" i="1"/>
  <c r="X72" i="1" s="1"/>
  <c r="Z72" i="1" s="1"/>
  <c r="T72" i="1"/>
  <c r="U72" i="1"/>
  <c r="W72" i="1" s="1"/>
  <c r="V72" i="1"/>
  <c r="Y72" i="1"/>
  <c r="S73" i="1"/>
  <c r="T73" i="1"/>
  <c r="U73" i="1"/>
  <c r="W73" i="1" s="1"/>
  <c r="V73" i="1"/>
  <c r="X73" i="1"/>
  <c r="Y73" i="1"/>
  <c r="Z73" i="1"/>
  <c r="S74" i="1"/>
  <c r="T74" i="1"/>
  <c r="U74" i="1"/>
  <c r="W74" i="1" s="1"/>
  <c r="V74" i="1"/>
  <c r="X74" i="1"/>
  <c r="Y74" i="1"/>
  <c r="Z74" i="1"/>
  <c r="S75" i="1"/>
  <c r="X75" i="1" s="1"/>
  <c r="Z75" i="1" s="1"/>
  <c r="T75" i="1"/>
  <c r="U75" i="1"/>
  <c r="W75" i="1" s="1"/>
  <c r="V75" i="1"/>
  <c r="Y75" i="1"/>
  <c r="S76" i="1"/>
  <c r="X76" i="1" s="1"/>
  <c r="Z76" i="1" s="1"/>
  <c r="T76" i="1"/>
  <c r="U76" i="1"/>
  <c r="W76" i="1" s="1"/>
  <c r="V76" i="1"/>
  <c r="Y76" i="1"/>
  <c r="S77" i="1"/>
  <c r="X77" i="1" s="1"/>
  <c r="Z77" i="1" s="1"/>
  <c r="T77" i="1"/>
  <c r="U77" i="1"/>
  <c r="W77" i="1" s="1"/>
  <c r="V77" i="1"/>
  <c r="Y77" i="1"/>
  <c r="S78" i="1"/>
  <c r="X78" i="1" s="1"/>
  <c r="Z78" i="1" s="1"/>
  <c r="T78" i="1"/>
  <c r="U78" i="1"/>
  <c r="W78" i="1" s="1"/>
  <c r="V78" i="1"/>
  <c r="Y78" i="1"/>
  <c r="S79" i="1"/>
  <c r="X79" i="1" s="1"/>
  <c r="Z79" i="1" s="1"/>
  <c r="T79" i="1"/>
  <c r="U79" i="1"/>
  <c r="W79" i="1" s="1"/>
  <c r="V79" i="1"/>
  <c r="Y79" i="1"/>
  <c r="S80" i="1"/>
  <c r="X80" i="1" s="1"/>
  <c r="Z80" i="1" s="1"/>
  <c r="T80" i="1"/>
  <c r="U80" i="1"/>
  <c r="W80" i="1" s="1"/>
  <c r="V80" i="1"/>
  <c r="Y80" i="1"/>
  <c r="S81" i="1"/>
  <c r="X81" i="1" s="1"/>
  <c r="Z81" i="1" s="1"/>
  <c r="T81" i="1"/>
  <c r="U81" i="1"/>
  <c r="W81" i="1" s="1"/>
  <c r="V81" i="1"/>
  <c r="Y81" i="1"/>
  <c r="S82" i="1"/>
  <c r="T82" i="1"/>
  <c r="U82" i="1"/>
  <c r="W82" i="1" s="1"/>
  <c r="V82" i="1"/>
  <c r="Y82" i="1"/>
  <c r="S83" i="1"/>
  <c r="T83" i="1"/>
  <c r="U83" i="1"/>
  <c r="W83" i="1" s="1"/>
  <c r="V83" i="1"/>
  <c r="Y83" i="1"/>
  <c r="S84" i="1"/>
  <c r="T84" i="1"/>
  <c r="U84" i="1"/>
  <c r="W84" i="1" s="1"/>
  <c r="V84" i="1"/>
  <c r="Y84" i="1"/>
  <c r="S85" i="1"/>
  <c r="T85" i="1"/>
  <c r="U85" i="1"/>
  <c r="W85" i="1" s="1"/>
  <c r="V85" i="1"/>
  <c r="Y85" i="1"/>
  <c r="S86" i="1"/>
  <c r="T86" i="1"/>
  <c r="U86" i="1"/>
  <c r="W86" i="1" s="1"/>
  <c r="V86" i="1"/>
  <c r="Y86" i="1"/>
  <c r="S87" i="1"/>
  <c r="T87" i="1"/>
  <c r="U87" i="1"/>
  <c r="W87" i="1" s="1"/>
  <c r="V87" i="1"/>
  <c r="Y87" i="1"/>
  <c r="S88" i="1"/>
  <c r="T88" i="1"/>
  <c r="U88" i="1"/>
  <c r="W88" i="1" s="1"/>
  <c r="V88" i="1"/>
  <c r="Y88" i="1"/>
  <c r="S89" i="1"/>
  <c r="T89" i="1"/>
  <c r="U89" i="1"/>
  <c r="W89" i="1" s="1"/>
  <c r="V89" i="1"/>
  <c r="Y89" i="1"/>
  <c r="S90" i="1"/>
  <c r="T90" i="1"/>
  <c r="U90" i="1"/>
  <c r="W90" i="1" s="1"/>
  <c r="V90" i="1"/>
  <c r="Y90" i="1"/>
  <c r="S91" i="1"/>
  <c r="T91" i="1"/>
  <c r="U91" i="1"/>
  <c r="W91" i="1" s="1"/>
  <c r="V91" i="1"/>
  <c r="Y91" i="1"/>
  <c r="S92" i="1"/>
  <c r="T92" i="1"/>
  <c r="U92" i="1"/>
  <c r="W92" i="1" s="1"/>
  <c r="V92" i="1"/>
  <c r="Y92" i="1"/>
  <c r="S93" i="1"/>
  <c r="T93" i="1"/>
  <c r="U93" i="1"/>
  <c r="W93" i="1" s="1"/>
  <c r="V93" i="1"/>
  <c r="Y93" i="1"/>
  <c r="S94" i="1"/>
  <c r="T94" i="1"/>
  <c r="U94" i="1"/>
  <c r="W94" i="1" s="1"/>
  <c r="V94" i="1"/>
  <c r="Y94" i="1"/>
  <c r="S95" i="1"/>
  <c r="T95" i="1"/>
  <c r="U95" i="1"/>
  <c r="W95" i="1" s="1"/>
  <c r="V95" i="1"/>
  <c r="Y95" i="1"/>
  <c r="S96" i="1"/>
  <c r="T96" i="1"/>
  <c r="U96" i="1"/>
  <c r="W96" i="1" s="1"/>
  <c r="V96" i="1"/>
  <c r="Y96" i="1"/>
  <c r="S97" i="1"/>
  <c r="T97" i="1"/>
  <c r="U97" i="1"/>
  <c r="W97" i="1" s="1"/>
  <c r="V97" i="1"/>
  <c r="Y97" i="1"/>
  <c r="S98" i="1"/>
  <c r="T98" i="1"/>
  <c r="U98" i="1"/>
  <c r="W98" i="1" s="1"/>
  <c r="V98" i="1"/>
  <c r="Y98" i="1"/>
  <c r="S99" i="1"/>
  <c r="T99" i="1"/>
  <c r="U99" i="1"/>
  <c r="W99" i="1" s="1"/>
  <c r="V99" i="1"/>
  <c r="Y99" i="1"/>
  <c r="S100" i="1"/>
  <c r="T100" i="1"/>
  <c r="U100" i="1"/>
  <c r="W100" i="1" s="1"/>
  <c r="V100" i="1"/>
  <c r="Y100" i="1"/>
  <c r="S101" i="1"/>
  <c r="T101" i="1"/>
  <c r="U101" i="1"/>
  <c r="W101" i="1" s="1"/>
  <c r="V101" i="1"/>
  <c r="Y101" i="1"/>
  <c r="S102" i="1"/>
  <c r="T102" i="1"/>
  <c r="U102" i="1"/>
  <c r="W102" i="1" s="1"/>
  <c r="V102" i="1"/>
  <c r="Y102" i="1"/>
  <c r="Z55" i="1"/>
  <c r="Y55" i="1"/>
  <c r="X55" i="1"/>
  <c r="W55" i="1"/>
  <c r="V55" i="1"/>
  <c r="U55" i="1"/>
  <c r="T55" i="1"/>
  <c r="S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M55" i="1"/>
  <c r="L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55" i="1"/>
  <c r="X102" i="1" l="1"/>
  <c r="Z102" i="1" s="1"/>
  <c r="X101" i="1"/>
  <c r="Z101" i="1" s="1"/>
  <c r="X100" i="1"/>
  <c r="Z100" i="1" s="1"/>
  <c r="X99" i="1"/>
  <c r="Z99" i="1" s="1"/>
  <c r="X98" i="1"/>
  <c r="Z98" i="1" s="1"/>
  <c r="X97" i="1"/>
  <c r="Z97" i="1" s="1"/>
  <c r="X96" i="1"/>
  <c r="Z96" i="1" s="1"/>
  <c r="X95" i="1"/>
  <c r="Z95" i="1" s="1"/>
  <c r="X94" i="1"/>
  <c r="Z94" i="1" s="1"/>
  <c r="X93" i="1"/>
  <c r="Z93" i="1" s="1"/>
  <c r="X92" i="1"/>
  <c r="Z92" i="1" s="1"/>
  <c r="X91" i="1"/>
  <c r="Z91" i="1" s="1"/>
  <c r="X90" i="1"/>
  <c r="Z90" i="1" s="1"/>
  <c r="X89" i="1"/>
  <c r="Z89" i="1" s="1"/>
  <c r="X88" i="1"/>
  <c r="Z88" i="1" s="1"/>
  <c r="X87" i="1"/>
  <c r="Z87" i="1" s="1"/>
  <c r="X86" i="1"/>
  <c r="Z86" i="1" s="1"/>
  <c r="X85" i="1"/>
  <c r="Z85" i="1" s="1"/>
  <c r="X84" i="1"/>
  <c r="Z84" i="1" s="1"/>
  <c r="X83" i="1"/>
  <c r="Z83" i="1" s="1"/>
  <c r="X82" i="1"/>
  <c r="Z82" i="1" s="1"/>
  <c r="BZ101" i="1" l="1"/>
  <c r="BY101" i="1"/>
  <c r="BX101" i="1"/>
  <c r="BV101" i="1"/>
  <c r="BU101" i="1"/>
  <c r="BT101" i="1"/>
  <c r="BS101" i="1"/>
  <c r="BR101" i="1"/>
  <c r="BQ101" i="1"/>
  <c r="BP101" i="1"/>
  <c r="BO101" i="1"/>
  <c r="BN101" i="1"/>
  <c r="BE101" i="1"/>
  <c r="BD101" i="1"/>
  <c r="BG101" i="1" s="1"/>
  <c r="BC101" i="1"/>
  <c r="BB101" i="1"/>
  <c r="BF101" i="1" s="1"/>
  <c r="AX101" i="1"/>
  <c r="AZ101" i="1" s="1"/>
  <c r="AW101" i="1"/>
  <c r="AY101" i="1" s="1"/>
  <c r="AV101" i="1"/>
  <c r="AT101" i="1"/>
  <c r="AU101" i="1" s="1"/>
  <c r="AS101" i="1"/>
  <c r="AR101" i="1"/>
  <c r="AQ101" i="1"/>
  <c r="BZ99" i="1"/>
  <c r="BY99" i="1"/>
  <c r="BX99" i="1"/>
  <c r="BV99" i="1"/>
  <c r="BU99" i="1"/>
  <c r="BT99" i="1"/>
  <c r="BS99" i="1"/>
  <c r="BR99" i="1"/>
  <c r="BQ99" i="1"/>
  <c r="BP99" i="1"/>
  <c r="BO99" i="1"/>
  <c r="BN99" i="1"/>
  <c r="BF99" i="1"/>
  <c r="BE99" i="1"/>
  <c r="BG99" i="1" s="1"/>
  <c r="BD99" i="1"/>
  <c r="BC99" i="1"/>
  <c r="BB99" i="1"/>
  <c r="AX99" i="1"/>
  <c r="AZ99" i="1" s="1"/>
  <c r="AW99" i="1"/>
  <c r="AY99" i="1" s="1"/>
  <c r="AV99" i="1"/>
  <c r="AS99" i="1"/>
  <c r="AR99" i="1"/>
  <c r="AT99" i="1" s="1"/>
  <c r="AU99" i="1" s="1"/>
  <c r="AQ99" i="1"/>
  <c r="BZ97" i="1"/>
  <c r="BY97" i="1"/>
  <c r="BX97" i="1"/>
  <c r="BV97" i="1"/>
  <c r="BU97" i="1"/>
  <c r="BT97" i="1"/>
  <c r="BS97" i="1"/>
  <c r="BR97" i="1"/>
  <c r="BQ97" i="1"/>
  <c r="BP97" i="1"/>
  <c r="BO97" i="1"/>
  <c r="BN97" i="1"/>
  <c r="BF97" i="1"/>
  <c r="BE97" i="1"/>
  <c r="BD97" i="1"/>
  <c r="BG97" i="1" s="1"/>
  <c r="BC97" i="1"/>
  <c r="BB97" i="1"/>
  <c r="AX97" i="1"/>
  <c r="AW97" i="1"/>
  <c r="AY97" i="1" s="1"/>
  <c r="AV97" i="1"/>
  <c r="AS97" i="1"/>
  <c r="AR97" i="1"/>
  <c r="AT97" i="1" s="1"/>
  <c r="AQ97" i="1"/>
  <c r="BZ95" i="1"/>
  <c r="BY95" i="1"/>
  <c r="BX95" i="1"/>
  <c r="BV95" i="1"/>
  <c r="BU95" i="1"/>
  <c r="BT95" i="1"/>
  <c r="BS95" i="1"/>
  <c r="BR95" i="1"/>
  <c r="BQ95" i="1"/>
  <c r="BP95" i="1"/>
  <c r="BO95" i="1"/>
  <c r="BN95" i="1"/>
  <c r="BE95" i="1"/>
  <c r="BD95" i="1"/>
  <c r="BG95" i="1" s="1"/>
  <c r="BC95" i="1"/>
  <c r="BF95" i="1" s="1"/>
  <c r="BB95" i="1"/>
  <c r="AX95" i="1"/>
  <c r="AW95" i="1"/>
  <c r="AV95" i="1"/>
  <c r="AS95" i="1"/>
  <c r="AR95" i="1"/>
  <c r="AT95" i="1" s="1"/>
  <c r="AU95" i="1" s="1"/>
  <c r="AQ95" i="1"/>
  <c r="BZ93" i="1"/>
  <c r="BY93" i="1"/>
  <c r="BX93" i="1"/>
  <c r="BV93" i="1"/>
  <c r="BU93" i="1"/>
  <c r="BT93" i="1"/>
  <c r="BS93" i="1"/>
  <c r="BR93" i="1"/>
  <c r="BQ93" i="1"/>
  <c r="BP93" i="1"/>
  <c r="BO93" i="1"/>
  <c r="BN93" i="1"/>
  <c r="BE93" i="1"/>
  <c r="BD93" i="1"/>
  <c r="BG93" i="1" s="1"/>
  <c r="BC93" i="1"/>
  <c r="BB93" i="1"/>
  <c r="BF93" i="1" s="1"/>
  <c r="AX93" i="1"/>
  <c r="AZ93" i="1" s="1"/>
  <c r="AW93" i="1"/>
  <c r="AY93" i="1" s="1"/>
  <c r="BA93" i="1" s="1"/>
  <c r="AV93" i="1"/>
  <c r="AT93" i="1"/>
  <c r="AU93" i="1" s="1"/>
  <c r="AS93" i="1"/>
  <c r="AR93" i="1"/>
  <c r="AQ93" i="1"/>
  <c r="BZ91" i="1"/>
  <c r="BY91" i="1"/>
  <c r="BX91" i="1"/>
  <c r="BV91" i="1"/>
  <c r="BU91" i="1"/>
  <c r="BT91" i="1"/>
  <c r="BS91" i="1"/>
  <c r="BR91" i="1"/>
  <c r="BQ91" i="1"/>
  <c r="BP91" i="1"/>
  <c r="BO91" i="1"/>
  <c r="BN91" i="1"/>
  <c r="BF91" i="1"/>
  <c r="BE91" i="1"/>
  <c r="BG91" i="1" s="1"/>
  <c r="BD91" i="1"/>
  <c r="BC91" i="1"/>
  <c r="BB91" i="1"/>
  <c r="AX91" i="1"/>
  <c r="AZ91" i="1" s="1"/>
  <c r="AW91" i="1"/>
  <c r="AY91" i="1" s="1"/>
  <c r="BA91" i="1" s="1"/>
  <c r="AV91" i="1"/>
  <c r="AS91" i="1"/>
  <c r="AR91" i="1"/>
  <c r="AT91" i="1" s="1"/>
  <c r="AU91" i="1" s="1"/>
  <c r="AQ91" i="1"/>
  <c r="BZ89" i="1"/>
  <c r="BY89" i="1"/>
  <c r="BX89" i="1"/>
  <c r="BV89" i="1"/>
  <c r="BU89" i="1"/>
  <c r="BT89" i="1"/>
  <c r="BS89" i="1"/>
  <c r="BR89" i="1"/>
  <c r="BQ89" i="1"/>
  <c r="BP89" i="1"/>
  <c r="BO89" i="1"/>
  <c r="BN89" i="1"/>
  <c r="BF89" i="1"/>
  <c r="BE89" i="1"/>
  <c r="BD89" i="1"/>
  <c r="BG89" i="1" s="1"/>
  <c r="BC89" i="1"/>
  <c r="BB89" i="1"/>
  <c r="AX89" i="1"/>
  <c r="AW89" i="1"/>
  <c r="AV89" i="1"/>
  <c r="AS89" i="1"/>
  <c r="AR89" i="1"/>
  <c r="AT89" i="1" s="1"/>
  <c r="AQ89" i="1"/>
  <c r="BZ87" i="1"/>
  <c r="BY87" i="1"/>
  <c r="BX87" i="1"/>
  <c r="BV87" i="1"/>
  <c r="BU87" i="1"/>
  <c r="BT87" i="1"/>
  <c r="BS87" i="1"/>
  <c r="BR87" i="1"/>
  <c r="BQ87" i="1"/>
  <c r="BP87" i="1"/>
  <c r="BO87" i="1"/>
  <c r="BN87" i="1"/>
  <c r="BE87" i="1"/>
  <c r="BD87" i="1"/>
  <c r="BG87" i="1" s="1"/>
  <c r="BC87" i="1"/>
  <c r="BF87" i="1" s="1"/>
  <c r="BB87" i="1"/>
  <c r="AX87" i="1"/>
  <c r="AZ87" i="1" s="1"/>
  <c r="AW87" i="1"/>
  <c r="AV87" i="1"/>
  <c r="AS87" i="1"/>
  <c r="AT87" i="1" s="1"/>
  <c r="AR87" i="1"/>
  <c r="AQ87" i="1"/>
  <c r="BZ85" i="1"/>
  <c r="BY85" i="1"/>
  <c r="BX85" i="1"/>
  <c r="BV85" i="1"/>
  <c r="BU85" i="1"/>
  <c r="BT85" i="1"/>
  <c r="BS85" i="1"/>
  <c r="BR85" i="1"/>
  <c r="BQ85" i="1"/>
  <c r="BP85" i="1"/>
  <c r="BO85" i="1"/>
  <c r="BN85" i="1"/>
  <c r="BE85" i="1"/>
  <c r="BD85" i="1"/>
  <c r="BG85" i="1" s="1"/>
  <c r="BC85" i="1"/>
  <c r="BB85" i="1"/>
  <c r="BF85" i="1" s="1"/>
  <c r="AX85" i="1"/>
  <c r="AZ85" i="1" s="1"/>
  <c r="AW85" i="1"/>
  <c r="AY85" i="1" s="1"/>
  <c r="BA85" i="1" s="1"/>
  <c r="AV85" i="1"/>
  <c r="AT85" i="1"/>
  <c r="AU85" i="1" s="1"/>
  <c r="AS85" i="1"/>
  <c r="AR85" i="1"/>
  <c r="AQ85" i="1"/>
  <c r="BZ83" i="1"/>
  <c r="BY83" i="1"/>
  <c r="BX83" i="1"/>
  <c r="BV83" i="1"/>
  <c r="BU83" i="1"/>
  <c r="BT83" i="1"/>
  <c r="BS83" i="1"/>
  <c r="BR83" i="1"/>
  <c r="BQ83" i="1"/>
  <c r="BP83" i="1"/>
  <c r="BO83" i="1"/>
  <c r="BN83" i="1"/>
  <c r="BF83" i="1"/>
  <c r="BE83" i="1"/>
  <c r="BG83" i="1" s="1"/>
  <c r="BD83" i="1"/>
  <c r="BC83" i="1"/>
  <c r="BB83" i="1"/>
  <c r="AX83" i="1"/>
  <c r="AZ83" i="1" s="1"/>
  <c r="AW83" i="1"/>
  <c r="AY83" i="1" s="1"/>
  <c r="BA83" i="1" s="1"/>
  <c r="AV83" i="1"/>
  <c r="AS83" i="1"/>
  <c r="AR83" i="1"/>
  <c r="AT83" i="1" s="1"/>
  <c r="AU83" i="1" s="1"/>
  <c r="AQ83" i="1"/>
  <c r="BZ81" i="1"/>
  <c r="BY81" i="1"/>
  <c r="BX81" i="1"/>
  <c r="BV81" i="1"/>
  <c r="BU81" i="1"/>
  <c r="BT81" i="1"/>
  <c r="BS81" i="1"/>
  <c r="BR81" i="1"/>
  <c r="BQ81" i="1"/>
  <c r="BP81" i="1"/>
  <c r="BO81" i="1"/>
  <c r="BN81" i="1"/>
  <c r="BF81" i="1"/>
  <c r="BE81" i="1"/>
  <c r="BD81" i="1"/>
  <c r="BG81" i="1" s="1"/>
  <c r="BC81" i="1"/>
  <c r="BB81" i="1"/>
  <c r="AX81" i="1"/>
  <c r="AW81" i="1"/>
  <c r="AV81" i="1"/>
  <c r="AS81" i="1"/>
  <c r="AR81" i="1"/>
  <c r="AT81" i="1" s="1"/>
  <c r="AQ81" i="1"/>
  <c r="BZ79" i="1"/>
  <c r="BY79" i="1"/>
  <c r="BX79" i="1"/>
  <c r="BV79" i="1"/>
  <c r="BU79" i="1"/>
  <c r="BT79" i="1"/>
  <c r="BS79" i="1"/>
  <c r="BR79" i="1"/>
  <c r="BQ79" i="1"/>
  <c r="BP79" i="1"/>
  <c r="BO79" i="1"/>
  <c r="BN79" i="1"/>
  <c r="BE79" i="1"/>
  <c r="BD79" i="1"/>
  <c r="BG79" i="1" s="1"/>
  <c r="BC79" i="1"/>
  <c r="BF79" i="1" s="1"/>
  <c r="BB79" i="1"/>
  <c r="AX79" i="1"/>
  <c r="AW79" i="1"/>
  <c r="AV79" i="1"/>
  <c r="AS79" i="1"/>
  <c r="AR79" i="1"/>
  <c r="AT79" i="1" s="1"/>
  <c r="AQ79" i="1"/>
  <c r="BZ77" i="1"/>
  <c r="BY77" i="1"/>
  <c r="BX77" i="1"/>
  <c r="BV77" i="1"/>
  <c r="BU77" i="1"/>
  <c r="BT77" i="1"/>
  <c r="BS77" i="1"/>
  <c r="BR77" i="1"/>
  <c r="BQ77" i="1"/>
  <c r="BP77" i="1"/>
  <c r="BO77" i="1"/>
  <c r="BN77" i="1"/>
  <c r="BE77" i="1"/>
  <c r="BD77" i="1"/>
  <c r="BG77" i="1" s="1"/>
  <c r="BC77" i="1"/>
  <c r="BB77" i="1"/>
  <c r="BF77" i="1" s="1"/>
  <c r="AX77" i="1"/>
  <c r="AZ77" i="1" s="1"/>
  <c r="AW77" i="1"/>
  <c r="AY77" i="1" s="1"/>
  <c r="BA77" i="1" s="1"/>
  <c r="AV77" i="1"/>
  <c r="AT77" i="1"/>
  <c r="AU77" i="1" s="1"/>
  <c r="AS77" i="1"/>
  <c r="AR77" i="1"/>
  <c r="AQ77" i="1"/>
  <c r="BZ75" i="1"/>
  <c r="BY75" i="1"/>
  <c r="BX75" i="1"/>
  <c r="BV75" i="1"/>
  <c r="BU75" i="1"/>
  <c r="BT75" i="1"/>
  <c r="BS75" i="1"/>
  <c r="BR75" i="1"/>
  <c r="BQ75" i="1"/>
  <c r="BP75" i="1"/>
  <c r="BO75" i="1"/>
  <c r="BN75" i="1"/>
  <c r="BF75" i="1"/>
  <c r="BE75" i="1"/>
  <c r="BD75" i="1"/>
  <c r="BG75" i="1" s="1"/>
  <c r="BC75" i="1"/>
  <c r="BB75" i="1"/>
  <c r="AX75" i="1"/>
  <c r="AZ75" i="1" s="1"/>
  <c r="AW75" i="1"/>
  <c r="AY75" i="1" s="1"/>
  <c r="BA75" i="1" s="1"/>
  <c r="AV75" i="1"/>
  <c r="AS75" i="1"/>
  <c r="AR75" i="1"/>
  <c r="AT75" i="1" s="1"/>
  <c r="AU75" i="1" s="1"/>
  <c r="AQ75" i="1"/>
  <c r="BZ73" i="1"/>
  <c r="BY73" i="1"/>
  <c r="BX73" i="1"/>
  <c r="BV73" i="1"/>
  <c r="BU73" i="1"/>
  <c r="BT73" i="1"/>
  <c r="BS73" i="1"/>
  <c r="BR73" i="1"/>
  <c r="BQ73" i="1"/>
  <c r="BP73" i="1"/>
  <c r="BO73" i="1"/>
  <c r="BN73" i="1"/>
  <c r="BF73" i="1"/>
  <c r="BE73" i="1"/>
  <c r="BD73" i="1"/>
  <c r="BG73" i="1" s="1"/>
  <c r="BC73" i="1"/>
  <c r="BB73" i="1"/>
  <c r="AX73" i="1"/>
  <c r="AW73" i="1"/>
  <c r="AV73" i="1"/>
  <c r="AS73" i="1"/>
  <c r="AR73" i="1"/>
  <c r="AT73" i="1" s="1"/>
  <c r="AQ73" i="1"/>
  <c r="BZ71" i="1"/>
  <c r="BY71" i="1"/>
  <c r="BX71" i="1"/>
  <c r="BV71" i="1"/>
  <c r="BU71" i="1"/>
  <c r="BT71" i="1"/>
  <c r="BS71" i="1"/>
  <c r="BR71" i="1"/>
  <c r="BQ71" i="1"/>
  <c r="BP71" i="1"/>
  <c r="BO71" i="1"/>
  <c r="BN71" i="1"/>
  <c r="BE71" i="1"/>
  <c r="BD71" i="1"/>
  <c r="BG71" i="1" s="1"/>
  <c r="BC71" i="1"/>
  <c r="BF71" i="1" s="1"/>
  <c r="BB71" i="1"/>
  <c r="AX71" i="1"/>
  <c r="AW71" i="1"/>
  <c r="AV71" i="1"/>
  <c r="AS71" i="1"/>
  <c r="AR71" i="1"/>
  <c r="AT71" i="1" s="1"/>
  <c r="AQ71" i="1"/>
  <c r="BZ69" i="1"/>
  <c r="BY69" i="1"/>
  <c r="BX69" i="1"/>
  <c r="BV69" i="1"/>
  <c r="BU69" i="1"/>
  <c r="BT69" i="1"/>
  <c r="BS69" i="1"/>
  <c r="BR69" i="1"/>
  <c r="BQ69" i="1"/>
  <c r="BP69" i="1"/>
  <c r="BO69" i="1"/>
  <c r="BN69" i="1"/>
  <c r="BF69" i="1"/>
  <c r="BE69" i="1"/>
  <c r="BD69" i="1"/>
  <c r="BG69" i="1" s="1"/>
  <c r="BC69" i="1"/>
  <c r="BB69" i="1"/>
  <c r="AX69" i="1"/>
  <c r="AZ69" i="1" s="1"/>
  <c r="AW69" i="1"/>
  <c r="AY69" i="1" s="1"/>
  <c r="BA69" i="1" s="1"/>
  <c r="AV69" i="1"/>
  <c r="AT69" i="1"/>
  <c r="AU69" i="1" s="1"/>
  <c r="AS69" i="1"/>
  <c r="AR69" i="1"/>
  <c r="AQ69" i="1"/>
  <c r="BZ67" i="1"/>
  <c r="BY67" i="1"/>
  <c r="BX67" i="1"/>
  <c r="BV67" i="1"/>
  <c r="BU67" i="1"/>
  <c r="BT67" i="1"/>
  <c r="BS67" i="1"/>
  <c r="BR67" i="1"/>
  <c r="BQ67" i="1"/>
  <c r="BP67" i="1"/>
  <c r="BO67" i="1"/>
  <c r="BN67" i="1"/>
  <c r="BG67" i="1"/>
  <c r="BF67" i="1"/>
  <c r="BE67" i="1"/>
  <c r="BD67" i="1"/>
  <c r="BC67" i="1"/>
  <c r="BB67" i="1"/>
  <c r="AX67" i="1"/>
  <c r="AW67" i="1"/>
  <c r="AV67" i="1"/>
  <c r="AS67" i="1"/>
  <c r="AR67" i="1"/>
  <c r="AT67" i="1" s="1"/>
  <c r="AQ67" i="1"/>
  <c r="BZ65" i="1"/>
  <c r="BY65" i="1"/>
  <c r="BX65" i="1"/>
  <c r="BV65" i="1"/>
  <c r="BU65" i="1"/>
  <c r="BT65" i="1"/>
  <c r="BS65" i="1"/>
  <c r="BR65" i="1"/>
  <c r="BQ65" i="1"/>
  <c r="BP65" i="1"/>
  <c r="BO65" i="1"/>
  <c r="BN65" i="1"/>
  <c r="BE65" i="1"/>
  <c r="BD65" i="1"/>
  <c r="BG65" i="1" s="1"/>
  <c r="BC65" i="1"/>
  <c r="BB65" i="1"/>
  <c r="BF65" i="1" s="1"/>
  <c r="AX65" i="1"/>
  <c r="AZ65" i="1" s="1"/>
  <c r="AW65" i="1"/>
  <c r="AY65" i="1" s="1"/>
  <c r="BA65" i="1" s="1"/>
  <c r="AV65" i="1"/>
  <c r="AT65" i="1"/>
  <c r="AU65" i="1" s="1"/>
  <c r="AS65" i="1"/>
  <c r="AR65" i="1"/>
  <c r="AQ65" i="1"/>
  <c r="BZ63" i="1"/>
  <c r="BY63" i="1"/>
  <c r="BX63" i="1"/>
  <c r="BV63" i="1"/>
  <c r="BU63" i="1"/>
  <c r="BT63" i="1"/>
  <c r="BS63" i="1"/>
  <c r="BR63" i="1"/>
  <c r="BQ63" i="1"/>
  <c r="BP63" i="1"/>
  <c r="BO63" i="1"/>
  <c r="BN63" i="1"/>
  <c r="BF63" i="1"/>
  <c r="BE63" i="1"/>
  <c r="BD63" i="1"/>
  <c r="BG63" i="1" s="1"/>
  <c r="BC63" i="1"/>
  <c r="BB63" i="1"/>
  <c r="AX63" i="1"/>
  <c r="AW63" i="1"/>
  <c r="AV63" i="1"/>
  <c r="AS63" i="1"/>
  <c r="AR63" i="1"/>
  <c r="AT63" i="1" s="1"/>
  <c r="AU63" i="1" s="1"/>
  <c r="AQ63" i="1"/>
  <c r="BZ61" i="1"/>
  <c r="BY61" i="1"/>
  <c r="BX61" i="1"/>
  <c r="BV61" i="1"/>
  <c r="BU61" i="1"/>
  <c r="BT61" i="1"/>
  <c r="BS61" i="1"/>
  <c r="BR61" i="1"/>
  <c r="BQ61" i="1"/>
  <c r="BP61" i="1"/>
  <c r="BO61" i="1"/>
  <c r="BN61" i="1"/>
  <c r="BE61" i="1"/>
  <c r="BD61" i="1"/>
  <c r="BG61" i="1" s="1"/>
  <c r="BC61" i="1"/>
  <c r="BB61" i="1"/>
  <c r="BF61" i="1" s="1"/>
  <c r="AX61" i="1"/>
  <c r="AZ61" i="1" s="1"/>
  <c r="AW61" i="1"/>
  <c r="AY61" i="1" s="1"/>
  <c r="BA61" i="1" s="1"/>
  <c r="AV61" i="1"/>
  <c r="AT61" i="1"/>
  <c r="AU61" i="1" s="1"/>
  <c r="AS61" i="1"/>
  <c r="AR61" i="1"/>
  <c r="AQ61" i="1"/>
  <c r="BZ59" i="1"/>
  <c r="BY59" i="1"/>
  <c r="BX59" i="1"/>
  <c r="BV59" i="1"/>
  <c r="BU59" i="1"/>
  <c r="BT59" i="1"/>
  <c r="BS59" i="1"/>
  <c r="BR59" i="1"/>
  <c r="BQ59" i="1"/>
  <c r="BP59" i="1"/>
  <c r="BO59" i="1"/>
  <c r="BN59" i="1"/>
  <c r="BE59" i="1"/>
  <c r="BD59" i="1"/>
  <c r="BG59" i="1" s="1"/>
  <c r="BC59" i="1"/>
  <c r="BB59" i="1"/>
  <c r="BF59" i="1" s="1"/>
  <c r="AX59" i="1"/>
  <c r="AZ59" i="1" s="1"/>
  <c r="AW59" i="1"/>
  <c r="AY59" i="1" s="1"/>
  <c r="BA59" i="1" s="1"/>
  <c r="AV59" i="1"/>
  <c r="AT59" i="1"/>
  <c r="AU59" i="1" s="1"/>
  <c r="AS59" i="1"/>
  <c r="AR59" i="1"/>
  <c r="AQ59" i="1"/>
  <c r="BZ57" i="1"/>
  <c r="BY57" i="1"/>
  <c r="BX57" i="1"/>
  <c r="BV57" i="1"/>
  <c r="BU57" i="1"/>
  <c r="BT57" i="1"/>
  <c r="BS57" i="1"/>
  <c r="BR57" i="1"/>
  <c r="BQ57" i="1"/>
  <c r="BP57" i="1"/>
  <c r="BO57" i="1"/>
  <c r="BN57" i="1"/>
  <c r="BE57" i="1"/>
  <c r="BD57" i="1"/>
  <c r="BG57" i="1" s="1"/>
  <c r="BC57" i="1"/>
  <c r="BB57" i="1"/>
  <c r="BF57" i="1" s="1"/>
  <c r="AX57" i="1"/>
  <c r="AW57" i="1"/>
  <c r="AY57" i="1" s="1"/>
  <c r="AV57" i="1"/>
  <c r="AS57" i="1"/>
  <c r="AR57" i="1"/>
  <c r="AT57" i="1" s="1"/>
  <c r="AQ57" i="1"/>
  <c r="BQ55" i="1"/>
  <c r="BR55" i="1"/>
  <c r="BS55" i="1"/>
  <c r="BT55" i="1"/>
  <c r="BU55" i="1"/>
  <c r="BV55" i="1"/>
  <c r="BX55" i="1"/>
  <c r="BY55" i="1"/>
  <c r="BZ55" i="1"/>
  <c r="BP55" i="1"/>
  <c r="BG55" i="1"/>
  <c r="BF55" i="1"/>
  <c r="BE55" i="1"/>
  <c r="BD55" i="1"/>
  <c r="BC55" i="1"/>
  <c r="BB55" i="1"/>
  <c r="AX55" i="1"/>
  <c r="AZ55" i="1" s="1"/>
  <c r="AW55" i="1"/>
  <c r="AV55" i="1"/>
  <c r="AS55" i="1"/>
  <c r="AR55" i="1"/>
  <c r="AT55" i="1" s="1"/>
  <c r="BA97" i="1" l="1"/>
  <c r="AY95" i="1"/>
  <c r="BA95" i="1" s="1"/>
  <c r="AZ95" i="1"/>
  <c r="BI99" i="1"/>
  <c r="BL99" i="1" s="1"/>
  <c r="BH99" i="1"/>
  <c r="AU97" i="1"/>
  <c r="AZ97" i="1"/>
  <c r="BI101" i="1"/>
  <c r="BL101" i="1" s="1"/>
  <c r="BH101" i="1"/>
  <c r="BI95" i="1"/>
  <c r="BL95" i="1" s="1"/>
  <c r="BH95" i="1"/>
  <c r="BA99" i="1"/>
  <c r="BA101" i="1"/>
  <c r="BI91" i="1"/>
  <c r="BL91" i="1" s="1"/>
  <c r="BH91" i="1"/>
  <c r="AY89" i="1"/>
  <c r="BA89" i="1" s="1"/>
  <c r="AU89" i="1"/>
  <c r="AZ89" i="1"/>
  <c r="BI93" i="1"/>
  <c r="BL93" i="1" s="1"/>
  <c r="BH93" i="1"/>
  <c r="AY87" i="1"/>
  <c r="BA87" i="1" s="1"/>
  <c r="AU87" i="1"/>
  <c r="AY79" i="1"/>
  <c r="BA79" i="1" s="1"/>
  <c r="AU79" i="1"/>
  <c r="AZ79" i="1"/>
  <c r="BI83" i="1"/>
  <c r="BL83" i="1" s="1"/>
  <c r="BH83" i="1"/>
  <c r="AU81" i="1"/>
  <c r="AZ81" i="1"/>
  <c r="BI85" i="1"/>
  <c r="BL85" i="1" s="1"/>
  <c r="BH85" i="1"/>
  <c r="AY81" i="1"/>
  <c r="BA81" i="1" s="1"/>
  <c r="AY71" i="1"/>
  <c r="BA71" i="1" s="1"/>
  <c r="AU71" i="1"/>
  <c r="AZ71" i="1"/>
  <c r="BI75" i="1"/>
  <c r="BL75" i="1" s="1"/>
  <c r="BH75" i="1"/>
  <c r="AZ73" i="1"/>
  <c r="AU73" i="1"/>
  <c r="BI77" i="1"/>
  <c r="BL77" i="1" s="1"/>
  <c r="BH77" i="1"/>
  <c r="AY73" i="1"/>
  <c r="BA73" i="1" s="1"/>
  <c r="AU67" i="1"/>
  <c r="AZ67" i="1"/>
  <c r="AY67" i="1"/>
  <c r="BA67" i="1" s="1"/>
  <c r="BI63" i="1"/>
  <c r="BL63" i="1" s="1"/>
  <c r="BH63" i="1"/>
  <c r="BI65" i="1"/>
  <c r="BL65" i="1" s="1"/>
  <c r="BH65" i="1"/>
  <c r="BI69" i="1"/>
  <c r="BL69" i="1" s="1"/>
  <c r="BH69" i="1"/>
  <c r="AY63" i="1"/>
  <c r="AZ63" i="1"/>
  <c r="BI61" i="1"/>
  <c r="BL61" i="1" s="1"/>
  <c r="BH61" i="1"/>
  <c r="BI59" i="1"/>
  <c r="BL59" i="1" s="1"/>
  <c r="BH59" i="1"/>
  <c r="AZ57" i="1"/>
  <c r="BA57" i="1" s="1"/>
  <c r="AU57" i="1"/>
  <c r="AY55" i="1"/>
  <c r="BA55" i="1" s="1"/>
  <c r="BH97" i="1" l="1"/>
  <c r="BI97" i="1"/>
  <c r="BL97" i="1" s="1"/>
  <c r="BK99" i="1"/>
  <c r="BM99" i="1" s="1"/>
  <c r="BJ99" i="1"/>
  <c r="BJ95" i="1"/>
  <c r="BK95" i="1"/>
  <c r="BM95" i="1" s="1"/>
  <c r="BJ101" i="1"/>
  <c r="BK101" i="1"/>
  <c r="BM101" i="1" s="1"/>
  <c r="BJ93" i="1"/>
  <c r="BK93" i="1"/>
  <c r="BM93" i="1" s="1"/>
  <c r="BI87" i="1"/>
  <c r="BL87" i="1" s="1"/>
  <c r="BH87" i="1"/>
  <c r="BH89" i="1"/>
  <c r="BI89" i="1"/>
  <c r="BL89" i="1" s="1"/>
  <c r="BK91" i="1"/>
  <c r="BM91" i="1" s="1"/>
  <c r="BJ91" i="1"/>
  <c r="BJ85" i="1"/>
  <c r="BK85" i="1"/>
  <c r="BM85" i="1" s="1"/>
  <c r="BI81" i="1"/>
  <c r="BL81" i="1" s="1"/>
  <c r="BH81" i="1"/>
  <c r="BK83" i="1"/>
  <c r="BM83" i="1" s="1"/>
  <c r="BJ83" i="1"/>
  <c r="BI79" i="1"/>
  <c r="BL79" i="1" s="1"/>
  <c r="BH79" i="1"/>
  <c r="BH73" i="1"/>
  <c r="BI73" i="1"/>
  <c r="BL73" i="1" s="1"/>
  <c r="BK75" i="1"/>
  <c r="BM75" i="1" s="1"/>
  <c r="BJ75" i="1"/>
  <c r="BI71" i="1"/>
  <c r="BL71" i="1" s="1"/>
  <c r="BH71" i="1"/>
  <c r="BJ77" i="1"/>
  <c r="BK77" i="1"/>
  <c r="BM77" i="1" s="1"/>
  <c r="BJ65" i="1"/>
  <c r="BK65" i="1"/>
  <c r="BM65" i="1" s="1"/>
  <c r="BJ63" i="1"/>
  <c r="BK63" i="1"/>
  <c r="BM63" i="1" s="1"/>
  <c r="BA63" i="1"/>
  <c r="BK69" i="1"/>
  <c r="BM69" i="1" s="1"/>
  <c r="BJ69" i="1"/>
  <c r="BH67" i="1"/>
  <c r="BI67" i="1"/>
  <c r="BL67" i="1" s="1"/>
  <c r="BJ61" i="1"/>
  <c r="BK61" i="1"/>
  <c r="BM61" i="1" s="1"/>
  <c r="BK59" i="1"/>
  <c r="BM59" i="1" s="1"/>
  <c r="BJ59" i="1"/>
  <c r="BI57" i="1"/>
  <c r="BL57" i="1" s="1"/>
  <c r="BH57" i="1"/>
  <c r="BK97" i="1" l="1"/>
  <c r="BM97" i="1" s="1"/>
  <c r="BJ97" i="1"/>
  <c r="BJ87" i="1"/>
  <c r="BK87" i="1"/>
  <c r="BM87" i="1" s="1"/>
  <c r="BK89" i="1"/>
  <c r="BM89" i="1" s="1"/>
  <c r="BJ89" i="1"/>
  <c r="BK81" i="1"/>
  <c r="BM81" i="1" s="1"/>
  <c r="BJ81" i="1"/>
  <c r="BJ79" i="1"/>
  <c r="BK79" i="1"/>
  <c r="BM79" i="1" s="1"/>
  <c r="BJ71" i="1"/>
  <c r="BK71" i="1"/>
  <c r="BM71" i="1" s="1"/>
  <c r="BK73" i="1"/>
  <c r="BM73" i="1" s="1"/>
  <c r="BJ73" i="1"/>
  <c r="BK67" i="1"/>
  <c r="BM67" i="1" s="1"/>
  <c r="BJ67" i="1"/>
  <c r="BK57" i="1"/>
  <c r="BM57" i="1" s="1"/>
  <c r="BJ57" i="1"/>
  <c r="BO55" i="1" l="1"/>
  <c r="BN55" i="1"/>
  <c r="AQ55" i="1"/>
  <c r="A43" i="1" l="1"/>
  <c r="AU55" i="1" s="1"/>
  <c r="BI55" i="1" l="1"/>
  <c r="BL55" i="1" s="1"/>
  <c r="BH55" i="1"/>
  <c r="BK55" i="1" l="1"/>
  <c r="BM55" i="1" s="1"/>
  <c r="BJ55" i="1"/>
</calcChain>
</file>

<file path=xl/sharedStrings.xml><?xml version="1.0" encoding="utf-8"?>
<sst xmlns="http://schemas.openxmlformats.org/spreadsheetml/2006/main" count="918" uniqueCount="311">
  <si>
    <t>Harvest</t>
  </si>
  <si>
    <t>in bag</t>
  </si>
  <si>
    <t>Parameters</t>
  </si>
  <si>
    <t>less bag</t>
  </si>
  <si>
    <t>m2 per ha</t>
  </si>
  <si>
    <t>WBWAH</t>
  </si>
  <si>
    <t>(kg/ha)</t>
  </si>
  <si>
    <t>(%)</t>
  </si>
  <si>
    <t>FFRAC</t>
  </si>
  <si>
    <t>SFRAC</t>
  </si>
  <si>
    <t>TFRAC</t>
  </si>
  <si>
    <t>Moisture</t>
  </si>
  <si>
    <t>Ginning</t>
  </si>
  <si>
    <t>Bulk wt</t>
  </si>
  <si>
    <t>(kg)</t>
  </si>
  <si>
    <t>Seed wt</t>
  </si>
  <si>
    <t>Fiber wt</t>
  </si>
  <si>
    <t>(g/g)</t>
  </si>
  <si>
    <t>(g)</t>
  </si>
  <si>
    <t>Sample</t>
  </si>
  <si>
    <t>weight</t>
  </si>
  <si>
    <t>Wet</t>
  </si>
  <si>
    <t>Dry</t>
  </si>
  <si>
    <t>Weight</t>
  </si>
  <si>
    <t>Bag</t>
  </si>
  <si>
    <t>WFWAH</t>
  </si>
  <si>
    <t>WSWAH</t>
  </si>
  <si>
    <t>WSCWAH</t>
  </si>
  <si>
    <t>Compute</t>
  </si>
  <si>
    <t>DFWAH</t>
  </si>
  <si>
    <t>DSWAH</t>
  </si>
  <si>
    <t>DSCWAH</t>
  </si>
  <si>
    <t>PID</t>
  </si>
  <si>
    <t>Plot-scale calculations</t>
  </si>
  <si>
    <t>FBMIC</t>
  </si>
  <si>
    <t>FBLTH</t>
  </si>
  <si>
    <t>FBUNI</t>
  </si>
  <si>
    <t>FBSTR</t>
  </si>
  <si>
    <t>FBELO</t>
  </si>
  <si>
    <t>FBSFI</t>
  </si>
  <si>
    <t>(g/tex)</t>
  </si>
  <si>
    <t>Quality</t>
  </si>
  <si>
    <t>HVI Sample ID</t>
  </si>
  <si>
    <t>(inches)</t>
  </si>
  <si>
    <t>GNDAT</t>
  </si>
  <si>
    <t>Date</t>
  </si>
  <si>
    <t>QLDAT</t>
  </si>
  <si>
    <t>in bin</t>
  </si>
  <si>
    <t>Weight of seed bin at MAC gin (kg)</t>
  </si>
  <si>
    <t>Original</t>
  </si>
  <si>
    <t>Spreadsheet</t>
  </si>
  <si>
    <t>HID</t>
  </si>
  <si>
    <t>11W</t>
  </si>
  <si>
    <t>11E</t>
  </si>
  <si>
    <t>12W</t>
  </si>
  <si>
    <t>12E</t>
  </si>
  <si>
    <t>13W</t>
  </si>
  <si>
    <t>13E</t>
  </si>
  <si>
    <t>14W</t>
  </si>
  <si>
    <t>14E</t>
  </si>
  <si>
    <t>21W</t>
  </si>
  <si>
    <t>21E</t>
  </si>
  <si>
    <t>22W</t>
  </si>
  <si>
    <t>22E</t>
  </si>
  <si>
    <t>23W</t>
  </si>
  <si>
    <t>23E</t>
  </si>
  <si>
    <t>24W</t>
  </si>
  <si>
    <t>24E</t>
  </si>
  <si>
    <t>31W</t>
  </si>
  <si>
    <t>31E</t>
  </si>
  <si>
    <t>32W</t>
  </si>
  <si>
    <t>32E</t>
  </si>
  <si>
    <t>33W</t>
  </si>
  <si>
    <t>33E</t>
  </si>
  <si>
    <t>34W</t>
  </si>
  <si>
    <t>34E</t>
  </si>
  <si>
    <t>41W</t>
  </si>
  <si>
    <t>41E</t>
  </si>
  <si>
    <t>42W</t>
  </si>
  <si>
    <t>42E</t>
  </si>
  <si>
    <t>43W</t>
  </si>
  <si>
    <t>43E</t>
  </si>
  <si>
    <t>44W</t>
  </si>
  <si>
    <t>44E</t>
  </si>
  <si>
    <t>51W</t>
  </si>
  <si>
    <t>51E</t>
  </si>
  <si>
    <t>52W</t>
  </si>
  <si>
    <t>52E</t>
  </si>
  <si>
    <t>53W</t>
  </si>
  <si>
    <t>53E</t>
  </si>
  <si>
    <t>54W</t>
  </si>
  <si>
    <t>54E</t>
  </si>
  <si>
    <t>61W</t>
  </si>
  <si>
    <t>61E</t>
  </si>
  <si>
    <t>62W</t>
  </si>
  <si>
    <t>62E</t>
  </si>
  <si>
    <t>63W</t>
  </si>
  <si>
    <t>63E</t>
  </si>
  <si>
    <t>64W</t>
  </si>
  <si>
    <t>64E</t>
  </si>
  <si>
    <t>ID</t>
  </si>
  <si>
    <t>Column A - ID (ID)</t>
  </si>
  <si>
    <t>Column B - Harvest Area ID (HID)</t>
  </si>
  <si>
    <t>Size of harvest area (2 40-inch rows by 2 m) (m2)</t>
  </si>
  <si>
    <t>HARM</t>
  </si>
  <si>
    <t>HADAT</t>
  </si>
  <si>
    <t>Hand</t>
  </si>
  <si>
    <t>Column C - Harvest method (HARM)</t>
  </si>
  <si>
    <t>Column D - Harvest date (HADAT, mm/dd/yyyy)</t>
  </si>
  <si>
    <t>Column J - Weight of fiber in bag after ginning (kg). Weigh using scale at MAC gin.</t>
  </si>
  <si>
    <t>Column K - Weight of fuzzy seed in tub after ginning (kg). Weigh using scale at MAC gin.</t>
  </si>
  <si>
    <t>Column L - Fiber fraction of bulk harvest after ginning (FFRAC, g/g)</t>
  </si>
  <si>
    <t>Column M - Seed fraction of bulk harvest after ginning (SFRAC, g/g)</t>
  </si>
  <si>
    <t>Column N - Trash fraction of bulk harvest after ginning (TFRAC, g/g)</t>
  </si>
  <si>
    <t>Column G - Weight of bulk cotton minus bag weight (kg)</t>
  </si>
  <si>
    <t>Column H - Wet bulk weight at harvest (fiber + seed + trash) (WBWAH, kg/ha)</t>
  </si>
  <si>
    <t>Column I - Ginning Date (GNDAT, mm/dd/yyyy). Ginned using the MAC large gin with cleaners.</t>
  </si>
  <si>
    <t>Column E - Weight of bulk cotton in bag (kg). Hand harvest 2 rows by 2 m into mesh bags. Weigh using scale at MAC gin.</t>
  </si>
  <si>
    <t>Weight of yellow mesh bag for fiber (kg)</t>
  </si>
  <si>
    <t>Column F - Weight of empty bag (kg).</t>
  </si>
  <si>
    <t>Fiber</t>
  </si>
  <si>
    <t xml:space="preserve">Dry </t>
  </si>
  <si>
    <t xml:space="preserve">Fiber </t>
  </si>
  <si>
    <t>Seed</t>
  </si>
  <si>
    <t>SWCAH</t>
  </si>
  <si>
    <t>FWCAH</t>
  </si>
  <si>
    <t>Column O - Wet fiber weight prior to oven drying (g)</t>
  </si>
  <si>
    <t>Column P - Dry fiber weight after oven drying (g)</t>
  </si>
  <si>
    <t>Column R - Dry seed weight after oven drying (g)</t>
  </si>
  <si>
    <t>Column Q - Wet seed weight prior to oven drying (g)</t>
  </si>
  <si>
    <t>Column U - Wet fiber weight at harvest (WFWAH, kg/ha)</t>
  </si>
  <si>
    <t>Column W - Wet seed cotton weight at harvest (fiber + seed) (WSCWAH, kg/ha)</t>
  </si>
  <si>
    <t>Column X - Dry fiber weight at harvest (DFWAH, kg/ha)</t>
  </si>
  <si>
    <t>Column Y - Dry seed weight at harvest (DSWAH, kg/ha)</t>
  </si>
  <si>
    <t>Column Z - Dry seed cotton weight at harvest (fiber + seed) (DSCWAH, kg/ha)</t>
  </si>
  <si>
    <t>Column AB - Quality measurement date (QLDAT, mm/dd/yyyy)</t>
  </si>
  <si>
    <t>Column AC - Micronaire (FBMIC)</t>
  </si>
  <si>
    <t>Column AD - Upper half mean fiber length (FBLTH, inches)</t>
  </si>
  <si>
    <t>Column AE - Fiber uniformity (FBUNI, %)</t>
  </si>
  <si>
    <t>Column AF - Fiber strength (FBSTR, g/tex)</t>
  </si>
  <si>
    <t>Column AG - Fiber elongation (FBELO, %)</t>
  </si>
  <si>
    <t>Column AA - Sample ID for fiber samples sent to Cotton Incorporated HVI.</t>
  </si>
  <si>
    <t>12</t>
  </si>
  <si>
    <t>13</t>
  </si>
  <si>
    <t>14</t>
  </si>
  <si>
    <t>21</t>
  </si>
  <si>
    <t>22</t>
  </si>
  <si>
    <t>23</t>
  </si>
  <si>
    <t>24</t>
  </si>
  <si>
    <t>31</t>
  </si>
  <si>
    <t>32</t>
  </si>
  <si>
    <t>33</t>
  </si>
  <si>
    <t>34</t>
  </si>
  <si>
    <t>41</t>
  </si>
  <si>
    <t>42</t>
  </si>
  <si>
    <t>43</t>
  </si>
  <si>
    <t>44</t>
  </si>
  <si>
    <t>51</t>
  </si>
  <si>
    <t>52</t>
  </si>
  <si>
    <t>53</t>
  </si>
  <si>
    <t>54</t>
  </si>
  <si>
    <t>61</t>
  </si>
  <si>
    <t>62</t>
  </si>
  <si>
    <t>63</t>
  </si>
  <si>
    <t>64</t>
  </si>
  <si>
    <t>Handpick</t>
  </si>
  <si>
    <t>Yield</t>
  </si>
  <si>
    <t>kg/ha</t>
  </si>
  <si>
    <t>Area</t>
  </si>
  <si>
    <t>FBCRD</t>
  </si>
  <si>
    <t>FBCLB</t>
  </si>
  <si>
    <t>FBCGR</t>
  </si>
  <si>
    <t>FBTCT</t>
  </si>
  <si>
    <t>FBTAR</t>
  </si>
  <si>
    <t>(% ref)</t>
  </si>
  <si>
    <t>Column AH - Fiber Color Reflectance (FBCRD, % reflectance)</t>
  </si>
  <si>
    <t>Column AI - Fiber Color +b (FBCLB)</t>
  </si>
  <si>
    <t>Column AJ - Fiber Color Grade (FBCGR)</t>
  </si>
  <si>
    <t>Column AK - Trash Area (FBTCT, number of particles)</t>
  </si>
  <si>
    <t>Column AL - Trash Area (FBTAR, % of surface covered by trash)</t>
  </si>
  <si>
    <t>Column AM - Short Fiber Index (FBSFI, %)</t>
  </si>
  <si>
    <t>992013011202</t>
  </si>
  <si>
    <t>31-1</t>
  </si>
  <si>
    <t>992013012204</t>
  </si>
  <si>
    <t>21-1</t>
  </si>
  <si>
    <t>992013013206</t>
  </si>
  <si>
    <t>11-1</t>
  </si>
  <si>
    <t>992013014208</t>
  </si>
  <si>
    <t>11-2</t>
  </si>
  <si>
    <t>992013021210</t>
  </si>
  <si>
    <t>992013022212</t>
  </si>
  <si>
    <t>992013023214</t>
  </si>
  <si>
    <t>992013024216</t>
  </si>
  <si>
    <t>992013031218</t>
  </si>
  <si>
    <t>992013032220</t>
  </si>
  <si>
    <t>992013033222</t>
  </si>
  <si>
    <t>992013034224</t>
  </si>
  <si>
    <t>992013041226</t>
  </si>
  <si>
    <t>992013042228</t>
  </si>
  <si>
    <t>992013043230</t>
  </si>
  <si>
    <t>992013044232</t>
  </si>
  <si>
    <t>992013051234</t>
  </si>
  <si>
    <t>992013052236</t>
  </si>
  <si>
    <t>992013053238</t>
  </si>
  <si>
    <t>992013054240</t>
  </si>
  <si>
    <t>992013061242</t>
  </si>
  <si>
    <t>992013062244</t>
  </si>
  <si>
    <t>992013063246</t>
  </si>
  <si>
    <t>992013064248</t>
  </si>
  <si>
    <t>992013011101</t>
  </si>
  <si>
    <t>992013012103</t>
  </si>
  <si>
    <t>992013013105</t>
  </si>
  <si>
    <t>992013014107</t>
  </si>
  <si>
    <t>992013021109</t>
  </si>
  <si>
    <t>992013022111</t>
  </si>
  <si>
    <t>992013023113</t>
  </si>
  <si>
    <t>992013024115</t>
  </si>
  <si>
    <t>992013031117</t>
  </si>
  <si>
    <t>31-2</t>
  </si>
  <si>
    <t>992013032119</t>
  </si>
  <si>
    <t>992013033121</t>
  </si>
  <si>
    <t>992013034123</t>
  </si>
  <si>
    <t>992013041125</t>
  </si>
  <si>
    <t>992013042127</t>
  </si>
  <si>
    <t>992013043129</t>
  </si>
  <si>
    <t>992013044131</t>
  </si>
  <si>
    <t>992013051133</t>
  </si>
  <si>
    <t>992013052135</t>
  </si>
  <si>
    <t>992013053137</t>
  </si>
  <si>
    <t>992013054139</t>
  </si>
  <si>
    <t>992013061141</t>
  </si>
  <si>
    <t>992013062143</t>
  </si>
  <si>
    <t>992013063145</t>
  </si>
  <si>
    <t>992013064147</t>
  </si>
  <si>
    <t>Column V - Wet seed weight at harvest (WSWAH, kg/ha)</t>
  </si>
  <si>
    <t>FWCAG</t>
  </si>
  <si>
    <t>SWCAG</t>
  </si>
  <si>
    <t>Column T - Seed water content after ginning (SWCAG, %)</t>
  </si>
  <si>
    <t>Column S - Fiber water content after ginning (FWCAG, %)</t>
  </si>
  <si>
    <t>p11W</t>
  </si>
  <si>
    <t>p11E</t>
  </si>
  <si>
    <t>p12W</t>
  </si>
  <si>
    <t>p12E</t>
  </si>
  <si>
    <t>p13W</t>
  </si>
  <si>
    <t>p13E</t>
  </si>
  <si>
    <t>p14W</t>
  </si>
  <si>
    <t>p14E</t>
  </si>
  <si>
    <t>p21W</t>
  </si>
  <si>
    <t>p21E</t>
  </si>
  <si>
    <t>p22W</t>
  </si>
  <si>
    <t>p22E</t>
  </si>
  <si>
    <t>p23W</t>
  </si>
  <si>
    <t>p23E</t>
  </si>
  <si>
    <t>p24W</t>
  </si>
  <si>
    <t>p24E</t>
  </si>
  <si>
    <t>p31W</t>
  </si>
  <si>
    <t>p31E</t>
  </si>
  <si>
    <t>p32W</t>
  </si>
  <si>
    <t>p32E</t>
  </si>
  <si>
    <t>p33W</t>
  </si>
  <si>
    <t>p33E</t>
  </si>
  <si>
    <t>p34W</t>
  </si>
  <si>
    <t>p34E</t>
  </si>
  <si>
    <t>p41W</t>
  </si>
  <si>
    <t>p41E</t>
  </si>
  <si>
    <t>p42W</t>
  </si>
  <si>
    <t>p42E</t>
  </si>
  <si>
    <t>p43W</t>
  </si>
  <si>
    <t>p43E</t>
  </si>
  <si>
    <t>p44W</t>
  </si>
  <si>
    <t>p44E</t>
  </si>
  <si>
    <t>p51W</t>
  </si>
  <si>
    <t>p51E</t>
  </si>
  <si>
    <t>p52W</t>
  </si>
  <si>
    <t>p52E</t>
  </si>
  <si>
    <t>p53W</t>
  </si>
  <si>
    <t>p53E</t>
  </si>
  <si>
    <t>p54W</t>
  </si>
  <si>
    <t>p54E</t>
  </si>
  <si>
    <t>p61W</t>
  </si>
  <si>
    <t>p61E</t>
  </si>
  <si>
    <t>p62W</t>
  </si>
  <si>
    <t>p62E</t>
  </si>
  <si>
    <t>p63W</t>
  </si>
  <si>
    <t>p63E</t>
  </si>
  <si>
    <t>p64W</t>
  </si>
  <si>
    <t>p64E</t>
  </si>
  <si>
    <t>p11</t>
  </si>
  <si>
    <t>p12</t>
  </si>
  <si>
    <t>p13</t>
  </si>
  <si>
    <t>p14</t>
  </si>
  <si>
    <t>p21</t>
  </si>
  <si>
    <t>p22</t>
  </si>
  <si>
    <t>p23</t>
  </si>
  <si>
    <t>p24</t>
  </si>
  <si>
    <t>p31</t>
  </si>
  <si>
    <t>p32</t>
  </si>
  <si>
    <t>p33</t>
  </si>
  <si>
    <t>p34</t>
  </si>
  <si>
    <t>p41</t>
  </si>
  <si>
    <t>p42</t>
  </si>
  <si>
    <t>p43</t>
  </si>
  <si>
    <t>p44</t>
  </si>
  <si>
    <t>p51</t>
  </si>
  <si>
    <t>p52</t>
  </si>
  <si>
    <t>p53</t>
  </si>
  <si>
    <t>p54</t>
  </si>
  <si>
    <t>p61</t>
  </si>
  <si>
    <t>p62</t>
  </si>
  <si>
    <t>p63</t>
  </si>
  <si>
    <t>p64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</si>
</sst>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mm/dd/yyyy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17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167" fontId="0" fillId="2" borderId="0" xfId="0" applyNumberFormat="1" applyFill="1"/>
    <xf numFmtId="167" fontId="0" fillId="0" borderId="0" xfId="0" applyNumberFormat="1"/>
    <xf numFmtId="49" fontId="0" fillId="2" borderId="0" xfId="0" applyNumberFormat="1" applyFill="1"/>
    <xf numFmtId="14" fontId="0" fillId="2" borderId="0" xfId="0" applyNumberFormat="1" applyFill="1"/>
    <xf numFmtId="49" fontId="0" fillId="0" borderId="0" xfId="0" applyNumberFormat="1"/>
    <xf numFmtId="166" fontId="0" fillId="2" borderId="0" xfId="0" applyNumberFormat="1" applyFill="1"/>
    <xf numFmtId="1" fontId="0" fillId="2" borderId="0" xfId="0" applyNumberFormat="1" applyFill="1"/>
  </cellXfs>
  <cellStyles count="3">
    <cellStyle name="Normal" xfId="0" builtinId="0"/>
    <cellStyle name="Normal 2" xfId="2" xr:uid="{9975BD0D-8745-4147-A5EC-15B99D8AB865}"/>
    <cellStyle name="Normal 3" xfId="1" xr:uid="{E9664043-597C-49BE-B574-A4C570FE3A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C5-4F0F-A57D-EC477B0C2A4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Compare!$Q$8:$Q$55</c:f>
              <c:numCache>
                <c:formatCode>General</c:formatCode>
                <c:ptCount val="48"/>
                <c:pt idx="0">
                  <c:v>1424.7121583367034</c:v>
                </c:pt>
                <c:pt idx="1">
                  <c:v>1468.4280915044687</c:v>
                </c:pt>
                <c:pt idx="2">
                  <c:v>1045.0209693326863</c:v>
                </c:pt>
                <c:pt idx="3">
                  <c:v>520.61661118579684</c:v>
                </c:pt>
                <c:pt idx="4">
                  <c:v>570.43633737922505</c:v>
                </c:pt>
                <c:pt idx="5">
                  <c:v>633.69884662304537</c:v>
                </c:pt>
                <c:pt idx="6">
                  <c:v>1475.6734779318228</c:v>
                </c:pt>
                <c:pt idx="7">
                  <c:v>999.23852111078702</c:v>
                </c:pt>
                <c:pt idx="8">
                  <c:v>1439.4540805494271</c:v>
                </c:pt>
                <c:pt idx="9">
                  <c:v>1148.1027721185201</c:v>
                </c:pt>
                <c:pt idx="10">
                  <c:v>1732.0834938877074</c:v>
                </c:pt>
                <c:pt idx="11">
                  <c:v>1519.6581989073491</c:v>
                </c:pt>
                <c:pt idx="12">
                  <c:v>1140.6381877607159</c:v>
                </c:pt>
                <c:pt idx="13">
                  <c:v>855.86542884735911</c:v>
                </c:pt>
                <c:pt idx="14">
                  <c:v>1094.2501826170092</c:v>
                </c:pt>
                <c:pt idx="15">
                  <c:v>1189.2690163945581</c:v>
                </c:pt>
                <c:pt idx="16">
                  <c:v>1193.5951635104318</c:v>
                </c:pt>
                <c:pt idx="17">
                  <c:v>1142.0197874626692</c:v>
                </c:pt>
                <c:pt idx="18">
                  <c:v>1718.4448161999771</c:v>
                </c:pt>
                <c:pt idx="19">
                  <c:v>1477.795244946396</c:v>
                </c:pt>
                <c:pt idx="20">
                  <c:v>1093.9566322507064</c:v>
                </c:pt>
                <c:pt idx="21">
                  <c:v>1304.1159053279728</c:v>
                </c:pt>
                <c:pt idx="22">
                  <c:v>1336.6911017361197</c:v>
                </c:pt>
                <c:pt idx="23">
                  <c:v>1000.3251879139318</c:v>
                </c:pt>
                <c:pt idx="24">
                  <c:v>1005.7055618896663</c:v>
                </c:pt>
                <c:pt idx="25">
                  <c:v>1049.0944616413844</c:v>
                </c:pt>
                <c:pt idx="26">
                  <c:v>1480.7114410267261</c:v>
                </c:pt>
                <c:pt idx="27">
                  <c:v>1527.9242742632246</c:v>
                </c:pt>
                <c:pt idx="28">
                  <c:v>1147.6851724601852</c:v>
                </c:pt>
                <c:pt idx="29">
                  <c:v>1385.2108172577082</c:v>
                </c:pt>
                <c:pt idx="30">
                  <c:v>714.07947893092899</c:v>
                </c:pt>
                <c:pt idx="31">
                  <c:v>713.64112443189242</c:v>
                </c:pt>
                <c:pt idx="32">
                  <c:v>1770.3429861492154</c:v>
                </c:pt>
                <c:pt idx="33">
                  <c:v>1720.9256217073587</c:v>
                </c:pt>
                <c:pt idx="34">
                  <c:v>1629.8046488899747</c:v>
                </c:pt>
                <c:pt idx="35">
                  <c:v>1788.5030474281882</c:v>
                </c:pt>
                <c:pt idx="36">
                  <c:v>1099.7312310751072</c:v>
                </c:pt>
                <c:pt idx="37">
                  <c:v>1054.2464503606177</c:v>
                </c:pt>
                <c:pt idx="38">
                  <c:v>958.0551480494596</c:v>
                </c:pt>
                <c:pt idx="39">
                  <c:v>813.83825056760531</c:v>
                </c:pt>
                <c:pt idx="40">
                  <c:v>956.202252685237</c:v>
                </c:pt>
                <c:pt idx="41">
                  <c:v>1007.6455167356288</c:v>
                </c:pt>
                <c:pt idx="42">
                  <c:v>1194.337081885652</c:v>
                </c:pt>
                <c:pt idx="43">
                  <c:v>859.96520333544663</c:v>
                </c:pt>
                <c:pt idx="44">
                  <c:v>1055.9905823796905</c:v>
                </c:pt>
                <c:pt idx="45">
                  <c:v>1679.462571976967</c:v>
                </c:pt>
                <c:pt idx="46">
                  <c:v>1148.6460031281747</c:v>
                </c:pt>
                <c:pt idx="47">
                  <c:v>908.66163368157459</c:v>
                </c:pt>
              </c:numCache>
            </c:numRef>
          </c:xVal>
          <c:yVal>
            <c:numRef>
              <c:f>'Raw Scale'!$X$55:$X$102</c:f>
              <c:numCache>
                <c:formatCode>0.0</c:formatCode>
                <c:ptCount val="48"/>
                <c:pt idx="0">
                  <c:v>1424.7121583367034</c:v>
                </c:pt>
                <c:pt idx="1">
                  <c:v>1468.4280915044687</c:v>
                </c:pt>
                <c:pt idx="2">
                  <c:v>1045.0209693326863</c:v>
                </c:pt>
                <c:pt idx="3">
                  <c:v>520.61661118579684</c:v>
                </c:pt>
                <c:pt idx="4">
                  <c:v>570.43633737922517</c:v>
                </c:pt>
                <c:pt idx="5">
                  <c:v>633.69884662304548</c:v>
                </c:pt>
                <c:pt idx="6">
                  <c:v>1475.6734779318231</c:v>
                </c:pt>
                <c:pt idx="7">
                  <c:v>999.23852111078702</c:v>
                </c:pt>
                <c:pt idx="8">
                  <c:v>1439.4540805494273</c:v>
                </c:pt>
                <c:pt idx="9">
                  <c:v>1148.1027721185201</c:v>
                </c:pt>
                <c:pt idx="10">
                  <c:v>1732.0834938877074</c:v>
                </c:pt>
                <c:pt idx="11">
                  <c:v>1519.6581989073488</c:v>
                </c:pt>
                <c:pt idx="12">
                  <c:v>1140.6381877607162</c:v>
                </c:pt>
                <c:pt idx="13">
                  <c:v>855.86542884735911</c:v>
                </c:pt>
                <c:pt idx="14">
                  <c:v>1094.2501826170089</c:v>
                </c:pt>
                <c:pt idx="15">
                  <c:v>1189.2690163945581</c:v>
                </c:pt>
                <c:pt idx="16">
                  <c:v>1193.5951635104318</c:v>
                </c:pt>
                <c:pt idx="17">
                  <c:v>1142.0197874626695</c:v>
                </c:pt>
                <c:pt idx="18">
                  <c:v>1718.4448161999774</c:v>
                </c:pt>
                <c:pt idx="19">
                  <c:v>1477.7952449463958</c:v>
                </c:pt>
                <c:pt idx="20">
                  <c:v>1093.9566322507064</c:v>
                </c:pt>
                <c:pt idx="21">
                  <c:v>1304.1159053279725</c:v>
                </c:pt>
                <c:pt idx="22">
                  <c:v>1336.6911017361197</c:v>
                </c:pt>
                <c:pt idx="23">
                  <c:v>1000.3251879139316</c:v>
                </c:pt>
                <c:pt idx="24">
                  <c:v>1005.7055618896663</c:v>
                </c:pt>
                <c:pt idx="25">
                  <c:v>1049.0944616413844</c:v>
                </c:pt>
                <c:pt idx="26">
                  <c:v>1480.7114410267261</c:v>
                </c:pt>
                <c:pt idx="27">
                  <c:v>1527.9242742632248</c:v>
                </c:pt>
                <c:pt idx="28">
                  <c:v>1147.685172460185</c:v>
                </c:pt>
                <c:pt idx="29">
                  <c:v>1385.210817257708</c:v>
                </c:pt>
                <c:pt idx="30">
                  <c:v>714.0794789309291</c:v>
                </c:pt>
                <c:pt idx="31">
                  <c:v>713.64112443189242</c:v>
                </c:pt>
                <c:pt idx="32">
                  <c:v>1770.3429861492154</c:v>
                </c:pt>
                <c:pt idx="33">
                  <c:v>1720.9256217073587</c:v>
                </c:pt>
                <c:pt idx="34">
                  <c:v>1629.804648889974</c:v>
                </c:pt>
                <c:pt idx="35">
                  <c:v>1788.5030474281882</c:v>
                </c:pt>
                <c:pt idx="36">
                  <c:v>1099.7312310751072</c:v>
                </c:pt>
                <c:pt idx="37">
                  <c:v>1054.2464503606175</c:v>
                </c:pt>
                <c:pt idx="38">
                  <c:v>958.0551480494596</c:v>
                </c:pt>
                <c:pt idx="39">
                  <c:v>813.83825056760554</c:v>
                </c:pt>
                <c:pt idx="40">
                  <c:v>956.202252685237</c:v>
                </c:pt>
                <c:pt idx="41">
                  <c:v>1007.6455167356288</c:v>
                </c:pt>
                <c:pt idx="42">
                  <c:v>1194.337081885652</c:v>
                </c:pt>
                <c:pt idx="43">
                  <c:v>859.96520333544686</c:v>
                </c:pt>
                <c:pt idx="44">
                  <c:v>1055.9905823796905</c:v>
                </c:pt>
                <c:pt idx="45">
                  <c:v>1679.4625719769672</c:v>
                </c:pt>
                <c:pt idx="46">
                  <c:v>1148.6460031281745</c:v>
                </c:pt>
                <c:pt idx="47">
                  <c:v>908.6616336815747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C5-4F0F-A57D-EC477B0C2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D4-486D-B94B-DCCF1F815CE5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Compare!$R$8:$R$55</c:f>
              <c:numCache>
                <c:formatCode>General</c:formatCode>
                <c:ptCount val="48"/>
                <c:pt idx="0">
                  <c:v>1325.8230702246592</c:v>
                </c:pt>
                <c:pt idx="1">
                  <c:v>1470.5580917297946</c:v>
                </c:pt>
                <c:pt idx="2">
                  <c:v>805.57834064012809</c:v>
                </c:pt>
                <c:pt idx="3">
                  <c:v>189.45655268536672</c:v>
                </c:pt>
                <c:pt idx="4">
                  <c:v>283.7511212997112</c:v>
                </c:pt>
                <c:pt idx="5">
                  <c:v>521.15827831939146</c:v>
                </c:pt>
                <c:pt idx="6">
                  <c:v>1515.4328261497544</c:v>
                </c:pt>
                <c:pt idx="7">
                  <c:v>900.24362868511787</c:v>
                </c:pt>
                <c:pt idx="8">
                  <c:v>1419.328219218499</c:v>
                </c:pt>
                <c:pt idx="9">
                  <c:v>1230.9350306366989</c:v>
                </c:pt>
                <c:pt idx="10">
                  <c:v>1840.6362063242443</c:v>
                </c:pt>
                <c:pt idx="11">
                  <c:v>1605.3635003260176</c:v>
                </c:pt>
                <c:pt idx="12">
                  <c:v>1089.6837047911388</c:v>
                </c:pt>
                <c:pt idx="13">
                  <c:v>758.06131486727463</c:v>
                </c:pt>
                <c:pt idx="14">
                  <c:v>994.71194144094397</c:v>
                </c:pt>
                <c:pt idx="15">
                  <c:v>1135.8672393492354</c:v>
                </c:pt>
                <c:pt idx="16">
                  <c:v>1276.6197640141067</c:v>
                </c:pt>
                <c:pt idx="17">
                  <c:v>1086.7287121274644</c:v>
                </c:pt>
                <c:pt idx="18">
                  <c:v>1940.3215707760946</c:v>
                </c:pt>
                <c:pt idx="19">
                  <c:v>1608.3906115884515</c:v>
                </c:pt>
                <c:pt idx="20">
                  <c:v>1087.5082588191842</c:v>
                </c:pt>
                <c:pt idx="21">
                  <c:v>1277.4419781924087</c:v>
                </c:pt>
                <c:pt idx="22">
                  <c:v>1513.1022168859249</c:v>
                </c:pt>
                <c:pt idx="23">
                  <c:v>1086.1517025295395</c:v>
                </c:pt>
                <c:pt idx="24">
                  <c:v>759.16105037782302</c:v>
                </c:pt>
                <c:pt idx="25">
                  <c:v>949.37185010303347</c:v>
                </c:pt>
                <c:pt idx="26">
                  <c:v>1509.9851648978656</c:v>
                </c:pt>
                <c:pt idx="27">
                  <c:v>1514.9983477224475</c:v>
                </c:pt>
                <c:pt idx="28">
                  <c:v>1137.9222758445521</c:v>
                </c:pt>
                <c:pt idx="29">
                  <c:v>1520.190518872103</c:v>
                </c:pt>
                <c:pt idx="30">
                  <c:v>520.50971416413165</c:v>
                </c:pt>
                <c:pt idx="31">
                  <c:v>614.8138907448598</c:v>
                </c:pt>
                <c:pt idx="32">
                  <c:v>1988.7260568913669</c:v>
                </c:pt>
                <c:pt idx="33">
                  <c:v>1803.0614568777023</c:v>
                </c:pt>
                <c:pt idx="34">
                  <c:v>1796.2071096456123</c:v>
                </c:pt>
                <c:pt idx="35">
                  <c:v>2031.3115380984307</c:v>
                </c:pt>
                <c:pt idx="36">
                  <c:v>996.02733762188245</c:v>
                </c:pt>
                <c:pt idx="37">
                  <c:v>902.50851965851041</c:v>
                </c:pt>
                <c:pt idx="38">
                  <c:v>756.31993369249903</c:v>
                </c:pt>
                <c:pt idx="39">
                  <c:v>758.10197601321647</c:v>
                </c:pt>
                <c:pt idx="40">
                  <c:v>850.87479496992921</c:v>
                </c:pt>
                <c:pt idx="41">
                  <c:v>852.83277573388386</c:v>
                </c:pt>
                <c:pt idx="42">
                  <c:v>1039.4322076019573</c:v>
                </c:pt>
                <c:pt idx="43">
                  <c:v>756.24564208091715</c:v>
                </c:pt>
                <c:pt idx="44">
                  <c:v>947.03966777714618</c:v>
                </c:pt>
                <c:pt idx="45">
                  <c:v>1797.9262812125826</c:v>
                </c:pt>
                <c:pt idx="46">
                  <c:v>1090.9370294628986</c:v>
                </c:pt>
                <c:pt idx="47">
                  <c:v>950.8026926723262</c:v>
                </c:pt>
              </c:numCache>
            </c:numRef>
          </c:xVal>
          <c:yVal>
            <c:numRef>
              <c:f>'Raw Scale'!$Y$55:$Y$102</c:f>
              <c:numCache>
                <c:formatCode>0.0</c:formatCode>
                <c:ptCount val="48"/>
                <c:pt idx="0">
                  <c:v>1325.8230702246597</c:v>
                </c:pt>
                <c:pt idx="1">
                  <c:v>1470.5580917297943</c:v>
                </c:pt>
                <c:pt idx="2">
                  <c:v>805.57834064012809</c:v>
                </c:pt>
                <c:pt idx="3">
                  <c:v>189.45655268536672</c:v>
                </c:pt>
                <c:pt idx="4">
                  <c:v>283.7511212997112</c:v>
                </c:pt>
                <c:pt idx="5">
                  <c:v>521.15827831939146</c:v>
                </c:pt>
                <c:pt idx="6">
                  <c:v>1515.4328261497546</c:v>
                </c:pt>
                <c:pt idx="7">
                  <c:v>900.24362868511798</c:v>
                </c:pt>
                <c:pt idx="8">
                  <c:v>1419.3282192184993</c:v>
                </c:pt>
                <c:pt idx="9">
                  <c:v>1230.9350306366989</c:v>
                </c:pt>
                <c:pt idx="10">
                  <c:v>1840.6362063242445</c:v>
                </c:pt>
                <c:pt idx="11">
                  <c:v>1605.3635003260172</c:v>
                </c:pt>
                <c:pt idx="12">
                  <c:v>1089.6837047911388</c:v>
                </c:pt>
                <c:pt idx="13">
                  <c:v>758.06131486727463</c:v>
                </c:pt>
                <c:pt idx="14">
                  <c:v>994.71194144094375</c:v>
                </c:pt>
                <c:pt idx="15">
                  <c:v>1135.8672393492354</c:v>
                </c:pt>
                <c:pt idx="16">
                  <c:v>1276.6197640141067</c:v>
                </c:pt>
                <c:pt idx="17">
                  <c:v>1086.7287121274646</c:v>
                </c:pt>
                <c:pt idx="18">
                  <c:v>1940.3215707760946</c:v>
                </c:pt>
                <c:pt idx="19">
                  <c:v>1608.3906115884513</c:v>
                </c:pt>
                <c:pt idx="20">
                  <c:v>1087.5082588191842</c:v>
                </c:pt>
                <c:pt idx="21">
                  <c:v>1277.4419781924084</c:v>
                </c:pt>
                <c:pt idx="22">
                  <c:v>1513.1022168859251</c:v>
                </c:pt>
                <c:pt idx="23">
                  <c:v>1086.1517025295393</c:v>
                </c:pt>
                <c:pt idx="24">
                  <c:v>759.16105037782313</c:v>
                </c:pt>
                <c:pt idx="25">
                  <c:v>949.37185010303358</c:v>
                </c:pt>
                <c:pt idx="26">
                  <c:v>1509.9851648978658</c:v>
                </c:pt>
                <c:pt idx="27">
                  <c:v>1514.9983477224475</c:v>
                </c:pt>
                <c:pt idx="28">
                  <c:v>1137.9222758445521</c:v>
                </c:pt>
                <c:pt idx="29">
                  <c:v>1520.190518872103</c:v>
                </c:pt>
                <c:pt idx="30">
                  <c:v>520.50971416413165</c:v>
                </c:pt>
                <c:pt idx="31">
                  <c:v>614.8138907448598</c:v>
                </c:pt>
                <c:pt idx="32">
                  <c:v>1988.7260568913664</c:v>
                </c:pt>
                <c:pt idx="33">
                  <c:v>1803.0614568777023</c:v>
                </c:pt>
                <c:pt idx="34">
                  <c:v>1796.207109645612</c:v>
                </c:pt>
                <c:pt idx="35">
                  <c:v>2031.3115380984311</c:v>
                </c:pt>
                <c:pt idx="36">
                  <c:v>996.02733762188245</c:v>
                </c:pt>
                <c:pt idx="37">
                  <c:v>902.50851965851029</c:v>
                </c:pt>
                <c:pt idx="38">
                  <c:v>756.31993369249903</c:v>
                </c:pt>
                <c:pt idx="39">
                  <c:v>758.10197601321647</c:v>
                </c:pt>
                <c:pt idx="40">
                  <c:v>850.8747949699291</c:v>
                </c:pt>
                <c:pt idx="41">
                  <c:v>852.83277573388375</c:v>
                </c:pt>
                <c:pt idx="42">
                  <c:v>1039.4322076019573</c:v>
                </c:pt>
                <c:pt idx="43">
                  <c:v>756.24564208091715</c:v>
                </c:pt>
                <c:pt idx="44">
                  <c:v>947.03966777714618</c:v>
                </c:pt>
                <c:pt idx="45">
                  <c:v>1797.9262812125826</c:v>
                </c:pt>
                <c:pt idx="46">
                  <c:v>1090.9370294628984</c:v>
                </c:pt>
                <c:pt idx="47">
                  <c:v>950.80269267232632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D4-486D-B94B-DCCF1F815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rgbClr val="4472C4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0-46C8-B8E2-188286949DF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Compare!$B$8:$B$55</c:f>
              <c:numCache>
                <c:formatCode>General</c:formatCode>
                <c:ptCount val="48"/>
                <c:pt idx="0">
                  <c:v>1476.3779527559054</c:v>
                </c:pt>
                <c:pt idx="1">
                  <c:v>1525.5905511811025</c:v>
                </c:pt>
                <c:pt idx="2">
                  <c:v>1082.6771653543306</c:v>
                </c:pt>
                <c:pt idx="3">
                  <c:v>541.33858267716528</c:v>
                </c:pt>
                <c:pt idx="4">
                  <c:v>590.55118110236219</c:v>
                </c:pt>
                <c:pt idx="5">
                  <c:v>688.97637795275591</c:v>
                </c:pt>
                <c:pt idx="6">
                  <c:v>1525.5905511811022</c:v>
                </c:pt>
                <c:pt idx="7">
                  <c:v>1033.4645669291338</c:v>
                </c:pt>
                <c:pt idx="8">
                  <c:v>1476.3779527559054</c:v>
                </c:pt>
                <c:pt idx="9">
                  <c:v>1230.3149606299212</c:v>
                </c:pt>
                <c:pt idx="10">
                  <c:v>1796.259842519685</c:v>
                </c:pt>
                <c:pt idx="11">
                  <c:v>1574.8031496062993</c:v>
                </c:pt>
                <c:pt idx="12">
                  <c:v>1181.1023622047242</c:v>
                </c:pt>
                <c:pt idx="13">
                  <c:v>885.82677165354312</c:v>
                </c:pt>
                <c:pt idx="14">
                  <c:v>1131.8897637795276</c:v>
                </c:pt>
                <c:pt idx="15">
                  <c:v>1230.3149606299212</c:v>
                </c:pt>
                <c:pt idx="16">
                  <c:v>1230.3149606299212</c:v>
                </c:pt>
                <c:pt idx="17">
                  <c:v>1181.1023622047242</c:v>
                </c:pt>
                <c:pt idx="18">
                  <c:v>1771.6535433070865</c:v>
                </c:pt>
                <c:pt idx="19">
                  <c:v>1525.5905511811027</c:v>
                </c:pt>
                <c:pt idx="20">
                  <c:v>1131.8897637795274</c:v>
                </c:pt>
                <c:pt idx="21">
                  <c:v>1328.7401574803148</c:v>
                </c:pt>
                <c:pt idx="22">
                  <c:v>1377.9527559055116</c:v>
                </c:pt>
                <c:pt idx="23">
                  <c:v>1033.4645669291338</c:v>
                </c:pt>
                <c:pt idx="24">
                  <c:v>1033.4645669291338</c:v>
                </c:pt>
                <c:pt idx="25">
                  <c:v>1082.6771653543306</c:v>
                </c:pt>
                <c:pt idx="26">
                  <c:v>1525.5905511811027</c:v>
                </c:pt>
                <c:pt idx="27">
                  <c:v>1574.8031496062988</c:v>
                </c:pt>
                <c:pt idx="28">
                  <c:v>1181.1023622047246</c:v>
                </c:pt>
                <c:pt idx="29">
                  <c:v>1427.1653543307086</c:v>
                </c:pt>
                <c:pt idx="30">
                  <c:v>738.18897637795237</c:v>
                </c:pt>
                <c:pt idx="31">
                  <c:v>738.1889763779526</c:v>
                </c:pt>
                <c:pt idx="32">
                  <c:v>1820.8661417322833</c:v>
                </c:pt>
                <c:pt idx="33">
                  <c:v>1771.6535433070865</c:v>
                </c:pt>
                <c:pt idx="34">
                  <c:v>1673.2283464566931</c:v>
                </c:pt>
                <c:pt idx="35">
                  <c:v>1870.0787401574803</c:v>
                </c:pt>
                <c:pt idx="36">
                  <c:v>1131.8897637795276</c:v>
                </c:pt>
                <c:pt idx="37">
                  <c:v>1082.6771653543306</c:v>
                </c:pt>
                <c:pt idx="38">
                  <c:v>984.25196850393706</c:v>
                </c:pt>
                <c:pt idx="39">
                  <c:v>836.6141732283462</c:v>
                </c:pt>
                <c:pt idx="40">
                  <c:v>984.25196850393706</c:v>
                </c:pt>
                <c:pt idx="41">
                  <c:v>1033.4645669291338</c:v>
                </c:pt>
                <c:pt idx="42">
                  <c:v>1230.3149606299212</c:v>
                </c:pt>
                <c:pt idx="43">
                  <c:v>885.82677165354323</c:v>
                </c:pt>
                <c:pt idx="44">
                  <c:v>1082.6771653543306</c:v>
                </c:pt>
                <c:pt idx="45">
                  <c:v>1722.4409448818894</c:v>
                </c:pt>
                <c:pt idx="46">
                  <c:v>1181.1023622047244</c:v>
                </c:pt>
                <c:pt idx="47">
                  <c:v>935.03937007874015</c:v>
                </c:pt>
              </c:numCache>
            </c:numRef>
          </c:xVal>
          <c:yVal>
            <c:numRef>
              <c:f>'Raw Scale'!$U$55:$U$102</c:f>
              <c:numCache>
                <c:formatCode>0.0</c:formatCode>
                <c:ptCount val="48"/>
                <c:pt idx="0">
                  <c:v>1476.3779527559054</c:v>
                </c:pt>
                <c:pt idx="1">
                  <c:v>1525.5905511811025</c:v>
                </c:pt>
                <c:pt idx="2">
                  <c:v>1082.6771653543306</c:v>
                </c:pt>
                <c:pt idx="3">
                  <c:v>541.33858267716528</c:v>
                </c:pt>
                <c:pt idx="4">
                  <c:v>590.55118110236231</c:v>
                </c:pt>
                <c:pt idx="5">
                  <c:v>688.97637795275602</c:v>
                </c:pt>
                <c:pt idx="6">
                  <c:v>1525.5905511811025</c:v>
                </c:pt>
                <c:pt idx="7">
                  <c:v>1033.4645669291338</c:v>
                </c:pt>
                <c:pt idx="8">
                  <c:v>1476.3779527559057</c:v>
                </c:pt>
                <c:pt idx="9">
                  <c:v>1230.3149606299212</c:v>
                </c:pt>
                <c:pt idx="10">
                  <c:v>1796.259842519685</c:v>
                </c:pt>
                <c:pt idx="11">
                  <c:v>1574.803149606299</c:v>
                </c:pt>
                <c:pt idx="12">
                  <c:v>1181.1023622047244</c:v>
                </c:pt>
                <c:pt idx="13">
                  <c:v>885.82677165354312</c:v>
                </c:pt>
                <c:pt idx="14">
                  <c:v>1131.8897637795274</c:v>
                </c:pt>
                <c:pt idx="15">
                  <c:v>1230.3149606299212</c:v>
                </c:pt>
                <c:pt idx="16">
                  <c:v>1230.3149606299212</c:v>
                </c:pt>
                <c:pt idx="17">
                  <c:v>1181.1023622047244</c:v>
                </c:pt>
                <c:pt idx="18">
                  <c:v>1771.6535433070867</c:v>
                </c:pt>
                <c:pt idx="19">
                  <c:v>1525.5905511811025</c:v>
                </c:pt>
                <c:pt idx="20">
                  <c:v>1131.8897637795274</c:v>
                </c:pt>
                <c:pt idx="21">
                  <c:v>1328.7401574803146</c:v>
                </c:pt>
                <c:pt idx="22">
                  <c:v>1377.9527559055116</c:v>
                </c:pt>
                <c:pt idx="23">
                  <c:v>1033.4645669291335</c:v>
                </c:pt>
                <c:pt idx="24">
                  <c:v>1033.4645669291338</c:v>
                </c:pt>
                <c:pt idx="25">
                  <c:v>1082.6771653543306</c:v>
                </c:pt>
                <c:pt idx="26">
                  <c:v>1525.5905511811025</c:v>
                </c:pt>
                <c:pt idx="27">
                  <c:v>1574.803149606299</c:v>
                </c:pt>
                <c:pt idx="28">
                  <c:v>1181.1023622047244</c:v>
                </c:pt>
                <c:pt idx="29">
                  <c:v>1427.1653543307084</c:v>
                </c:pt>
                <c:pt idx="30">
                  <c:v>738.18897637795249</c:v>
                </c:pt>
                <c:pt idx="31">
                  <c:v>738.1889763779526</c:v>
                </c:pt>
                <c:pt idx="32">
                  <c:v>1820.8661417322833</c:v>
                </c:pt>
                <c:pt idx="33">
                  <c:v>1771.6535433070865</c:v>
                </c:pt>
                <c:pt idx="34">
                  <c:v>1673.2283464566924</c:v>
                </c:pt>
                <c:pt idx="35">
                  <c:v>1870.0787401574803</c:v>
                </c:pt>
                <c:pt idx="36">
                  <c:v>1131.8897637795276</c:v>
                </c:pt>
                <c:pt idx="37">
                  <c:v>1082.6771653543303</c:v>
                </c:pt>
                <c:pt idx="38">
                  <c:v>984.25196850393706</c:v>
                </c:pt>
                <c:pt idx="39">
                  <c:v>836.61417322834643</c:v>
                </c:pt>
                <c:pt idx="40">
                  <c:v>984.25196850393706</c:v>
                </c:pt>
                <c:pt idx="41">
                  <c:v>1033.4645669291338</c:v>
                </c:pt>
                <c:pt idx="42">
                  <c:v>1230.3149606299212</c:v>
                </c:pt>
                <c:pt idx="43">
                  <c:v>885.82677165354346</c:v>
                </c:pt>
                <c:pt idx="44">
                  <c:v>1082.6771653543306</c:v>
                </c:pt>
                <c:pt idx="45">
                  <c:v>1722.4409448818897</c:v>
                </c:pt>
                <c:pt idx="46">
                  <c:v>1181.1023622047242</c:v>
                </c:pt>
                <c:pt idx="47">
                  <c:v>935.03937007874026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60-46C8-B8E2-188286949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rgbClr val="4472C4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BE-4642-AA57-DA2C8DC727B4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Compare!$C$8:$C$55</c:f>
              <c:numCache>
                <c:formatCode>General</c:formatCode>
                <c:ptCount val="48"/>
                <c:pt idx="0">
                  <c:v>1377.952755905512</c:v>
                </c:pt>
                <c:pt idx="1">
                  <c:v>1525.5905511811025</c:v>
                </c:pt>
                <c:pt idx="2">
                  <c:v>836.61417322834666</c:v>
                </c:pt>
                <c:pt idx="3">
                  <c:v>196.85039370078758</c:v>
                </c:pt>
                <c:pt idx="4">
                  <c:v>295.27559055118138</c:v>
                </c:pt>
                <c:pt idx="5">
                  <c:v>541.33858267716528</c:v>
                </c:pt>
                <c:pt idx="6">
                  <c:v>1574.8031496062988</c:v>
                </c:pt>
                <c:pt idx="7">
                  <c:v>935.03937007874026</c:v>
                </c:pt>
                <c:pt idx="8">
                  <c:v>1476.3779527559052</c:v>
                </c:pt>
                <c:pt idx="9">
                  <c:v>1279.5275590551187</c:v>
                </c:pt>
                <c:pt idx="10">
                  <c:v>1919.2913385826771</c:v>
                </c:pt>
                <c:pt idx="11">
                  <c:v>1673.2283464566931</c:v>
                </c:pt>
                <c:pt idx="12">
                  <c:v>1131.889763779528</c:v>
                </c:pt>
                <c:pt idx="13">
                  <c:v>787.40157480314974</c:v>
                </c:pt>
                <c:pt idx="14">
                  <c:v>1033.4645669291344</c:v>
                </c:pt>
                <c:pt idx="15">
                  <c:v>1181.1023622047248</c:v>
                </c:pt>
                <c:pt idx="16">
                  <c:v>1328.7401574803157</c:v>
                </c:pt>
                <c:pt idx="17">
                  <c:v>1131.8897637795278</c:v>
                </c:pt>
                <c:pt idx="18">
                  <c:v>2017.7165354330712</c:v>
                </c:pt>
                <c:pt idx="19">
                  <c:v>1673.2283464566931</c:v>
                </c:pt>
                <c:pt idx="20">
                  <c:v>1131.8897637795278</c:v>
                </c:pt>
                <c:pt idx="21">
                  <c:v>1328.7401574803157</c:v>
                </c:pt>
                <c:pt idx="22">
                  <c:v>1574.8031496062988</c:v>
                </c:pt>
                <c:pt idx="23">
                  <c:v>1131.889763779528</c:v>
                </c:pt>
                <c:pt idx="24">
                  <c:v>787.40157480314963</c:v>
                </c:pt>
                <c:pt idx="25">
                  <c:v>984.25196850393729</c:v>
                </c:pt>
                <c:pt idx="26">
                  <c:v>1574.8031496062988</c:v>
                </c:pt>
                <c:pt idx="27">
                  <c:v>1574.8031496062988</c:v>
                </c:pt>
                <c:pt idx="28">
                  <c:v>1181.1023622047248</c:v>
                </c:pt>
                <c:pt idx="29">
                  <c:v>1574.8031496062988</c:v>
                </c:pt>
                <c:pt idx="30">
                  <c:v>541.33858267716528</c:v>
                </c:pt>
                <c:pt idx="31">
                  <c:v>639.763779527559</c:v>
                </c:pt>
                <c:pt idx="32">
                  <c:v>2066.9291338582684</c:v>
                </c:pt>
                <c:pt idx="33">
                  <c:v>1870.0787401574803</c:v>
                </c:pt>
                <c:pt idx="34">
                  <c:v>1870.0787401574803</c:v>
                </c:pt>
                <c:pt idx="35">
                  <c:v>2116.1417322834645</c:v>
                </c:pt>
                <c:pt idx="36">
                  <c:v>1033.4645669291342</c:v>
                </c:pt>
                <c:pt idx="37">
                  <c:v>935.03937007874049</c:v>
                </c:pt>
                <c:pt idx="38">
                  <c:v>787.40157480314974</c:v>
                </c:pt>
                <c:pt idx="39">
                  <c:v>787.40157480314986</c:v>
                </c:pt>
                <c:pt idx="40">
                  <c:v>885.82677165354357</c:v>
                </c:pt>
                <c:pt idx="41">
                  <c:v>885.82677165354369</c:v>
                </c:pt>
                <c:pt idx="42">
                  <c:v>1082.6771653543312</c:v>
                </c:pt>
                <c:pt idx="43">
                  <c:v>787.40157480314974</c:v>
                </c:pt>
                <c:pt idx="44">
                  <c:v>984.25196850393729</c:v>
                </c:pt>
                <c:pt idx="45">
                  <c:v>1870.0787401574803</c:v>
                </c:pt>
                <c:pt idx="46">
                  <c:v>1131.889763779528</c:v>
                </c:pt>
                <c:pt idx="47">
                  <c:v>984.25196850393718</c:v>
                </c:pt>
              </c:numCache>
            </c:numRef>
          </c:xVal>
          <c:yVal>
            <c:numRef>
              <c:f>'Raw Scale'!$V$55:$V$102</c:f>
              <c:numCache>
                <c:formatCode>0.0</c:formatCode>
                <c:ptCount val="48"/>
                <c:pt idx="0">
                  <c:v>1377.9527559055125</c:v>
                </c:pt>
                <c:pt idx="1">
                  <c:v>1525.5905511811022</c:v>
                </c:pt>
                <c:pt idx="2">
                  <c:v>836.61417322834666</c:v>
                </c:pt>
                <c:pt idx="3">
                  <c:v>196.85039370078758</c:v>
                </c:pt>
                <c:pt idx="4">
                  <c:v>295.27559055118138</c:v>
                </c:pt>
                <c:pt idx="5">
                  <c:v>541.33858267716528</c:v>
                </c:pt>
                <c:pt idx="6">
                  <c:v>1574.803149606299</c:v>
                </c:pt>
                <c:pt idx="7">
                  <c:v>935.03937007874038</c:v>
                </c:pt>
                <c:pt idx="8">
                  <c:v>1476.3779527559054</c:v>
                </c:pt>
                <c:pt idx="9">
                  <c:v>1279.5275590551187</c:v>
                </c:pt>
                <c:pt idx="10">
                  <c:v>1919.2913385826773</c:v>
                </c:pt>
                <c:pt idx="11">
                  <c:v>1673.2283464566926</c:v>
                </c:pt>
                <c:pt idx="12">
                  <c:v>1131.889763779528</c:v>
                </c:pt>
                <c:pt idx="13">
                  <c:v>787.40157480314974</c:v>
                </c:pt>
                <c:pt idx="14">
                  <c:v>1033.4645669291342</c:v>
                </c:pt>
                <c:pt idx="15">
                  <c:v>1181.1023622047248</c:v>
                </c:pt>
                <c:pt idx="16">
                  <c:v>1328.7401574803157</c:v>
                </c:pt>
                <c:pt idx="17">
                  <c:v>1131.889763779528</c:v>
                </c:pt>
                <c:pt idx="18">
                  <c:v>2017.7165354330712</c:v>
                </c:pt>
                <c:pt idx="19">
                  <c:v>1673.2283464566929</c:v>
                </c:pt>
                <c:pt idx="20">
                  <c:v>1131.8897637795278</c:v>
                </c:pt>
                <c:pt idx="21">
                  <c:v>1328.7401574803155</c:v>
                </c:pt>
                <c:pt idx="22">
                  <c:v>1574.803149606299</c:v>
                </c:pt>
                <c:pt idx="23">
                  <c:v>1131.8897637795278</c:v>
                </c:pt>
                <c:pt idx="24">
                  <c:v>787.40157480314974</c:v>
                </c:pt>
                <c:pt idx="25">
                  <c:v>984.25196850393741</c:v>
                </c:pt>
                <c:pt idx="26">
                  <c:v>1574.803149606299</c:v>
                </c:pt>
                <c:pt idx="27">
                  <c:v>1574.8031496062988</c:v>
                </c:pt>
                <c:pt idx="28">
                  <c:v>1181.1023622047248</c:v>
                </c:pt>
                <c:pt idx="29">
                  <c:v>1574.8031496062988</c:v>
                </c:pt>
                <c:pt idx="30">
                  <c:v>541.33858267716528</c:v>
                </c:pt>
                <c:pt idx="31">
                  <c:v>639.763779527559</c:v>
                </c:pt>
                <c:pt idx="32">
                  <c:v>2066.929133858268</c:v>
                </c:pt>
                <c:pt idx="33">
                  <c:v>1870.0787401574803</c:v>
                </c:pt>
                <c:pt idx="34">
                  <c:v>1870.0787401574801</c:v>
                </c:pt>
                <c:pt idx="35">
                  <c:v>2116.141732283465</c:v>
                </c:pt>
                <c:pt idx="36">
                  <c:v>1033.4645669291342</c:v>
                </c:pt>
                <c:pt idx="37">
                  <c:v>935.03937007874038</c:v>
                </c:pt>
                <c:pt idx="38">
                  <c:v>787.40157480314974</c:v>
                </c:pt>
                <c:pt idx="39">
                  <c:v>787.40157480314986</c:v>
                </c:pt>
                <c:pt idx="40">
                  <c:v>885.82677165354346</c:v>
                </c:pt>
                <c:pt idx="41">
                  <c:v>885.82677165354357</c:v>
                </c:pt>
                <c:pt idx="42">
                  <c:v>1082.6771653543312</c:v>
                </c:pt>
                <c:pt idx="43">
                  <c:v>787.40157480314986</c:v>
                </c:pt>
                <c:pt idx="44">
                  <c:v>984.25196850393729</c:v>
                </c:pt>
                <c:pt idx="45">
                  <c:v>1870.0787401574803</c:v>
                </c:pt>
                <c:pt idx="46">
                  <c:v>1131.8897637795278</c:v>
                </c:pt>
                <c:pt idx="47">
                  <c:v>984.25196850393729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1A-46F6-981C-CFD887790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472440</xdr:colOff>
      <xdr:row>2</xdr:row>
      <xdr:rowOff>85725</xdr:rowOff>
    </xdr:from>
    <xdr:to>
      <xdr:col>27</xdr:col>
      <xdr:colOff>19050</xdr:colOff>
      <xdr:row>20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9DFEE1-3226-18C6-CE37-65701BD75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476250</xdr:colOff>
      <xdr:row>21</xdr:row>
      <xdr:rowOff>104775</xdr:rowOff>
    </xdr:from>
    <xdr:to>
      <xdr:col>27</xdr:col>
      <xdr:colOff>15240</xdr:colOff>
      <xdr:row>39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2C97AF-C4F2-4CA2-9A44-D127A82BF2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3810</xdr:colOff>
      <xdr:row>3</xdr:row>
      <xdr:rowOff>0</xdr:rowOff>
    </xdr:from>
    <xdr:to>
      <xdr:col>12</xdr:col>
      <xdr:colOff>152400</xdr:colOff>
      <xdr:row>21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115021-4C05-4EE7-B541-DB5EE28F4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22</xdr:row>
      <xdr:rowOff>15240</xdr:rowOff>
    </xdr:from>
    <xdr:to>
      <xdr:col>12</xdr:col>
      <xdr:colOff>156210</xdr:colOff>
      <xdr:row>40</xdr:row>
      <xdr:rowOff>15240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FE776FD-5CCE-4FF7-A962-FAA4BEF82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81E-168C-4CB2-BE56-FDC05C3116BF}">
  <dimension ref="A1:BZ273"/>
  <sheetViews>
    <sheetView tabSelected="1" workbookViewId="0"/>
  </sheetViews>
  <sheetFormatPr defaultRowHeight="14.4" x14ac:dyDescent="0.3"/>
  <cols>
    <col min="4" max="4" width="10.5546875" bestFit="1" customWidth="1"/>
    <col min="7" max="7" width="9.88671875" bestFit="1" customWidth="1"/>
    <col min="9" max="9" width="10.5546875" bestFit="1" customWidth="1"/>
    <col min="11" max="11" width="10.5546875" bestFit="1" customWidth="1"/>
    <col min="27" max="27" width="14.109375" bestFit="1" customWidth="1"/>
    <col min="28" max="28" width="10.5546875" bestFit="1" customWidth="1"/>
    <col min="29" max="29" width="8.88671875" customWidth="1"/>
    <col min="30" max="30" width="8.77734375" customWidth="1"/>
    <col min="31" max="31" width="10.5546875" bestFit="1" customWidth="1"/>
    <col min="43" max="43" width="10.5546875" bestFit="1" customWidth="1"/>
    <col min="48" max="48" width="10.5546875" bestFit="1" customWidth="1"/>
    <col min="55" max="55" width="10.5546875" bestFit="1" customWidth="1"/>
    <col min="66" max="66" width="14.109375" bestFit="1" customWidth="1"/>
    <col min="67" max="67" width="10.5546875" bestFit="1" customWidth="1"/>
    <col min="69" max="69" width="10.5546875" bestFit="1" customWidth="1"/>
  </cols>
  <sheetData>
    <row r="1" spans="1:1" x14ac:dyDescent="0.3">
      <c r="A1" t="s">
        <v>101</v>
      </c>
    </row>
    <row r="2" spans="1:1" x14ac:dyDescent="0.3">
      <c r="A2" t="s">
        <v>102</v>
      </c>
    </row>
    <row r="3" spans="1:1" x14ac:dyDescent="0.3">
      <c r="A3" t="s">
        <v>107</v>
      </c>
    </row>
    <row r="4" spans="1:1" x14ac:dyDescent="0.3">
      <c r="A4" t="s">
        <v>108</v>
      </c>
    </row>
    <row r="5" spans="1:1" x14ac:dyDescent="0.3">
      <c r="A5" t="s">
        <v>117</v>
      </c>
    </row>
    <row r="6" spans="1:1" x14ac:dyDescent="0.3">
      <c r="A6" t="s">
        <v>119</v>
      </c>
    </row>
    <row r="7" spans="1:1" x14ac:dyDescent="0.3">
      <c r="A7" t="s">
        <v>114</v>
      </c>
    </row>
    <row r="8" spans="1:1" x14ac:dyDescent="0.3">
      <c r="A8" t="s">
        <v>115</v>
      </c>
    </row>
    <row r="9" spans="1:1" x14ac:dyDescent="0.3">
      <c r="A9" t="s">
        <v>116</v>
      </c>
    </row>
    <row r="10" spans="1:1" x14ac:dyDescent="0.3">
      <c r="A10" t="s">
        <v>109</v>
      </c>
    </row>
    <row r="11" spans="1:1" x14ac:dyDescent="0.3">
      <c r="A11" t="s">
        <v>110</v>
      </c>
    </row>
    <row r="12" spans="1:1" x14ac:dyDescent="0.3">
      <c r="A12" t="s">
        <v>111</v>
      </c>
    </row>
    <row r="13" spans="1:1" x14ac:dyDescent="0.3">
      <c r="A13" t="s">
        <v>112</v>
      </c>
    </row>
    <row r="14" spans="1:1" x14ac:dyDescent="0.3">
      <c r="A14" t="s">
        <v>113</v>
      </c>
    </row>
    <row r="15" spans="1:1" x14ac:dyDescent="0.3">
      <c r="A15" t="s">
        <v>126</v>
      </c>
    </row>
    <row r="16" spans="1:1" x14ac:dyDescent="0.3">
      <c r="A16" t="s">
        <v>127</v>
      </c>
    </row>
    <row r="17" spans="1:1" x14ac:dyDescent="0.3">
      <c r="A17" t="s">
        <v>129</v>
      </c>
    </row>
    <row r="18" spans="1:1" x14ac:dyDescent="0.3">
      <c r="A18" t="s">
        <v>128</v>
      </c>
    </row>
    <row r="19" spans="1:1" x14ac:dyDescent="0.3">
      <c r="A19" t="s">
        <v>238</v>
      </c>
    </row>
    <row r="20" spans="1:1" x14ac:dyDescent="0.3">
      <c r="A20" t="s">
        <v>237</v>
      </c>
    </row>
    <row r="21" spans="1:1" x14ac:dyDescent="0.3">
      <c r="A21" t="s">
        <v>130</v>
      </c>
    </row>
    <row r="22" spans="1:1" x14ac:dyDescent="0.3">
      <c r="A22" t="s">
        <v>234</v>
      </c>
    </row>
    <row r="23" spans="1:1" x14ac:dyDescent="0.3">
      <c r="A23" t="s">
        <v>131</v>
      </c>
    </row>
    <row r="24" spans="1:1" x14ac:dyDescent="0.3">
      <c r="A24" t="s">
        <v>132</v>
      </c>
    </row>
    <row r="25" spans="1:1" x14ac:dyDescent="0.3">
      <c r="A25" t="s">
        <v>133</v>
      </c>
    </row>
    <row r="26" spans="1:1" x14ac:dyDescent="0.3">
      <c r="A26" t="s">
        <v>134</v>
      </c>
    </row>
    <row r="27" spans="1:1" x14ac:dyDescent="0.3">
      <c r="A27" t="s">
        <v>141</v>
      </c>
    </row>
    <row r="28" spans="1:1" x14ac:dyDescent="0.3">
      <c r="A28" t="s">
        <v>135</v>
      </c>
    </row>
    <row r="29" spans="1:1" x14ac:dyDescent="0.3">
      <c r="A29" t="s">
        <v>136</v>
      </c>
    </row>
    <row r="30" spans="1:1" x14ac:dyDescent="0.3">
      <c r="A30" t="s">
        <v>137</v>
      </c>
    </row>
    <row r="31" spans="1:1" x14ac:dyDescent="0.3">
      <c r="A31" t="s">
        <v>138</v>
      </c>
    </row>
    <row r="32" spans="1:1" x14ac:dyDescent="0.3">
      <c r="A32" t="s">
        <v>139</v>
      </c>
    </row>
    <row r="33" spans="1:41" x14ac:dyDescent="0.3">
      <c r="A33" t="s">
        <v>140</v>
      </c>
    </row>
    <row r="34" spans="1:41" x14ac:dyDescent="0.3">
      <c r="A34" t="s">
        <v>175</v>
      </c>
    </row>
    <row r="35" spans="1:41" x14ac:dyDescent="0.3">
      <c r="A35" t="s">
        <v>176</v>
      </c>
    </row>
    <row r="36" spans="1:41" x14ac:dyDescent="0.3">
      <c r="A36" t="s">
        <v>177</v>
      </c>
    </row>
    <row r="37" spans="1:41" x14ac:dyDescent="0.3">
      <c r="A37" t="s">
        <v>178</v>
      </c>
    </row>
    <row r="38" spans="1:41" x14ac:dyDescent="0.3">
      <c r="A38" t="s">
        <v>179</v>
      </c>
    </row>
    <row r="39" spans="1:41" x14ac:dyDescent="0.3">
      <c r="A39" t="s">
        <v>180</v>
      </c>
    </row>
    <row r="42" spans="1:41" x14ac:dyDescent="0.3">
      <c r="A42" t="s">
        <v>2</v>
      </c>
    </row>
    <row r="43" spans="1:41" x14ac:dyDescent="0.3">
      <c r="A43">
        <f>2*1.016*2</f>
        <v>4.0640000000000001</v>
      </c>
      <c r="B43" t="s">
        <v>103</v>
      </c>
    </row>
    <row r="44" spans="1:41" x14ac:dyDescent="0.3">
      <c r="A44">
        <v>10000</v>
      </c>
      <c r="B44" t="s">
        <v>4</v>
      </c>
    </row>
    <row r="45" spans="1:41" x14ac:dyDescent="0.3">
      <c r="A45">
        <v>0.28000000000000003</v>
      </c>
      <c r="B45" t="s">
        <v>118</v>
      </c>
      <c r="I45" s="2"/>
    </row>
    <row r="46" spans="1:41" x14ac:dyDescent="0.3">
      <c r="A46">
        <v>1.68</v>
      </c>
      <c r="B46" t="s">
        <v>48</v>
      </c>
    </row>
    <row r="47" spans="1:41" x14ac:dyDescent="0.3">
      <c r="AO47" t="s">
        <v>33</v>
      </c>
    </row>
    <row r="49" spans="1:78" x14ac:dyDescent="0.3">
      <c r="B49" s="3"/>
      <c r="C49" s="3" t="s">
        <v>0</v>
      </c>
      <c r="D49" s="3" t="s">
        <v>0</v>
      </c>
      <c r="E49" t="s">
        <v>0</v>
      </c>
      <c r="F49" t="s">
        <v>0</v>
      </c>
      <c r="G49" t="s">
        <v>0</v>
      </c>
      <c r="H49" s="3" t="s">
        <v>0</v>
      </c>
      <c r="I49" s="3" t="s">
        <v>12</v>
      </c>
      <c r="J49" t="s">
        <v>12</v>
      </c>
      <c r="K49" t="s">
        <v>12</v>
      </c>
      <c r="L49" s="3" t="s">
        <v>12</v>
      </c>
      <c r="M49" s="3" t="s">
        <v>12</v>
      </c>
      <c r="N49" s="3" t="s">
        <v>12</v>
      </c>
      <c r="O49" t="s">
        <v>11</v>
      </c>
      <c r="P49" t="s">
        <v>11</v>
      </c>
      <c r="Q49" t="s">
        <v>11</v>
      </c>
      <c r="R49" t="s">
        <v>11</v>
      </c>
      <c r="S49" s="3" t="s">
        <v>11</v>
      </c>
      <c r="T49" s="3" t="s">
        <v>11</v>
      </c>
      <c r="U49" s="3" t="s">
        <v>28</v>
      </c>
      <c r="V49" s="3" t="s">
        <v>28</v>
      </c>
      <c r="W49" s="3" t="s">
        <v>28</v>
      </c>
      <c r="X49" s="3" t="s">
        <v>28</v>
      </c>
      <c r="Y49" s="3" t="s">
        <v>28</v>
      </c>
      <c r="Z49" s="3" t="s">
        <v>28</v>
      </c>
      <c r="AB49" s="3" t="s">
        <v>41</v>
      </c>
      <c r="AC49" s="3" t="s">
        <v>41</v>
      </c>
      <c r="AD49" s="3" t="s">
        <v>41</v>
      </c>
      <c r="AE49" s="3" t="s">
        <v>41</v>
      </c>
      <c r="AF49" s="3" t="s">
        <v>41</v>
      </c>
      <c r="AG49" s="3" t="s">
        <v>41</v>
      </c>
      <c r="AH49" s="3" t="s">
        <v>41</v>
      </c>
      <c r="AI49" s="3" t="s">
        <v>41</v>
      </c>
      <c r="AJ49" s="3" t="s">
        <v>41</v>
      </c>
      <c r="AK49" s="3" t="s">
        <v>41</v>
      </c>
      <c r="AL49" s="3" t="s">
        <v>41</v>
      </c>
      <c r="AM49" s="3" t="s">
        <v>41</v>
      </c>
      <c r="AP49" t="s">
        <v>0</v>
      </c>
      <c r="AQ49" t="s">
        <v>0</v>
      </c>
      <c r="AR49" t="s">
        <v>0</v>
      </c>
      <c r="AS49" t="s">
        <v>0</v>
      </c>
      <c r="AT49" t="s">
        <v>0</v>
      </c>
      <c r="AU49" t="s">
        <v>0</v>
      </c>
      <c r="AV49" t="s">
        <v>12</v>
      </c>
      <c r="AW49" t="s">
        <v>12</v>
      </c>
      <c r="AX49" t="s">
        <v>12</v>
      </c>
      <c r="AY49" t="s">
        <v>12</v>
      </c>
      <c r="AZ49" t="s">
        <v>12</v>
      </c>
      <c r="BA49" t="s">
        <v>12</v>
      </c>
      <c r="BB49" t="s">
        <v>11</v>
      </c>
      <c r="BC49" t="s">
        <v>11</v>
      </c>
      <c r="BD49" t="s">
        <v>11</v>
      </c>
      <c r="BE49" t="s">
        <v>11</v>
      </c>
      <c r="BF49" t="s">
        <v>11</v>
      </c>
      <c r="BG49" t="s">
        <v>11</v>
      </c>
      <c r="BH49" t="s">
        <v>28</v>
      </c>
      <c r="BI49" t="s">
        <v>28</v>
      </c>
      <c r="BJ49" t="s">
        <v>28</v>
      </c>
      <c r="BK49" t="s">
        <v>28</v>
      </c>
      <c r="BL49" t="s">
        <v>28</v>
      </c>
      <c r="BM49" t="s">
        <v>28</v>
      </c>
      <c r="BO49" t="s">
        <v>41</v>
      </c>
      <c r="BP49" t="s">
        <v>41</v>
      </c>
      <c r="BQ49" t="s">
        <v>41</v>
      </c>
      <c r="BR49" t="s">
        <v>41</v>
      </c>
      <c r="BS49" t="s">
        <v>41</v>
      </c>
      <c r="BT49" t="s">
        <v>41</v>
      </c>
      <c r="BU49" t="s">
        <v>41</v>
      </c>
      <c r="BV49" t="s">
        <v>41</v>
      </c>
      <c r="BW49" t="s">
        <v>41</v>
      </c>
      <c r="BX49" t="s">
        <v>41</v>
      </c>
      <c r="BY49" t="s">
        <v>41</v>
      </c>
      <c r="BZ49" t="s">
        <v>41</v>
      </c>
    </row>
    <row r="50" spans="1:78" x14ac:dyDescent="0.3">
      <c r="B50" s="3"/>
      <c r="C50" s="3"/>
      <c r="D50" s="3"/>
      <c r="H50" s="3"/>
      <c r="I50" s="3"/>
      <c r="L50" s="3"/>
      <c r="M50" s="3"/>
      <c r="N50" s="3"/>
      <c r="O50" t="s">
        <v>21</v>
      </c>
      <c r="P50" t="s">
        <v>121</v>
      </c>
      <c r="Q50" t="s">
        <v>21</v>
      </c>
      <c r="R50" t="s">
        <v>22</v>
      </c>
      <c r="S50" s="3"/>
      <c r="T50" s="3"/>
      <c r="U50" s="3"/>
      <c r="V50" s="3"/>
      <c r="W50" s="3"/>
      <c r="X50" s="3"/>
      <c r="Y50" s="3"/>
      <c r="Z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BB50" t="s">
        <v>21</v>
      </c>
      <c r="BC50" t="s">
        <v>121</v>
      </c>
      <c r="BD50" t="s">
        <v>21</v>
      </c>
      <c r="BE50" t="s">
        <v>22</v>
      </c>
    </row>
    <row r="51" spans="1:78" x14ac:dyDescent="0.3">
      <c r="B51" s="3"/>
      <c r="C51" s="3"/>
      <c r="D51" s="3"/>
      <c r="E51" t="s">
        <v>13</v>
      </c>
      <c r="F51" t="s">
        <v>24</v>
      </c>
      <c r="G51" t="s">
        <v>13</v>
      </c>
      <c r="H51" s="3"/>
      <c r="I51" s="3" t="s">
        <v>45</v>
      </c>
      <c r="J51" t="s">
        <v>16</v>
      </c>
      <c r="K51" t="s">
        <v>15</v>
      </c>
      <c r="L51" s="3"/>
      <c r="M51" s="3"/>
      <c r="N51" s="3"/>
      <c r="O51" t="s">
        <v>120</v>
      </c>
      <c r="P51" t="s">
        <v>122</v>
      </c>
      <c r="Q51" t="s">
        <v>123</v>
      </c>
      <c r="R51" t="s">
        <v>19</v>
      </c>
      <c r="S51" s="3"/>
      <c r="T51" s="3"/>
      <c r="U51" s="3"/>
      <c r="V51" s="3"/>
      <c r="W51" s="3"/>
      <c r="X51" s="3"/>
      <c r="Y51" s="3"/>
      <c r="Z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R51" t="s">
        <v>13</v>
      </c>
      <c r="AS51" t="s">
        <v>24</v>
      </c>
      <c r="AT51" t="s">
        <v>13</v>
      </c>
      <c r="AV51" t="s">
        <v>45</v>
      </c>
      <c r="AW51" t="s">
        <v>16</v>
      </c>
      <c r="AX51" t="s">
        <v>15</v>
      </c>
      <c r="BB51" t="s">
        <v>120</v>
      </c>
      <c r="BC51" t="s">
        <v>122</v>
      </c>
      <c r="BD51" t="s">
        <v>123</v>
      </c>
      <c r="BE51" t="s">
        <v>19</v>
      </c>
    </row>
    <row r="52" spans="1:78" x14ac:dyDescent="0.3">
      <c r="A52" t="s">
        <v>100</v>
      </c>
      <c r="B52" s="3" t="s">
        <v>51</v>
      </c>
      <c r="C52" s="3" t="s">
        <v>104</v>
      </c>
      <c r="D52" s="3" t="s">
        <v>105</v>
      </c>
      <c r="E52" t="s">
        <v>1</v>
      </c>
      <c r="F52" t="s">
        <v>20</v>
      </c>
      <c r="G52" t="s">
        <v>3</v>
      </c>
      <c r="H52" s="3" t="s">
        <v>5</v>
      </c>
      <c r="I52" s="3" t="s">
        <v>44</v>
      </c>
      <c r="J52" t="s">
        <v>1</v>
      </c>
      <c r="K52" t="s">
        <v>47</v>
      </c>
      <c r="L52" s="3" t="s">
        <v>8</v>
      </c>
      <c r="M52" s="3" t="s">
        <v>9</v>
      </c>
      <c r="N52" s="3" t="s">
        <v>10</v>
      </c>
      <c r="O52" t="s">
        <v>23</v>
      </c>
      <c r="P52" t="s">
        <v>23</v>
      </c>
      <c r="Q52" t="s">
        <v>23</v>
      </c>
      <c r="R52" t="s">
        <v>23</v>
      </c>
      <c r="S52" s="3" t="s">
        <v>235</v>
      </c>
      <c r="T52" s="3" t="s">
        <v>236</v>
      </c>
      <c r="U52" s="3" t="s">
        <v>25</v>
      </c>
      <c r="V52" s="3" t="s">
        <v>26</v>
      </c>
      <c r="W52" s="3" t="s">
        <v>27</v>
      </c>
      <c r="X52" s="3" t="s">
        <v>29</v>
      </c>
      <c r="Y52" s="3" t="s">
        <v>30</v>
      </c>
      <c r="Z52" s="3" t="s">
        <v>31</v>
      </c>
      <c r="AA52" t="s">
        <v>42</v>
      </c>
      <c r="AB52" s="3" t="s">
        <v>46</v>
      </c>
      <c r="AC52" s="3" t="s">
        <v>34</v>
      </c>
      <c r="AD52" s="3" t="s">
        <v>35</v>
      </c>
      <c r="AE52" s="3" t="s">
        <v>36</v>
      </c>
      <c r="AF52" s="3" t="s">
        <v>37</v>
      </c>
      <c r="AG52" s="3" t="s">
        <v>38</v>
      </c>
      <c r="AH52" s="3" t="s">
        <v>169</v>
      </c>
      <c r="AI52" s="3" t="s">
        <v>170</v>
      </c>
      <c r="AJ52" s="3" t="s">
        <v>171</v>
      </c>
      <c r="AK52" s="3" t="s">
        <v>172</v>
      </c>
      <c r="AL52" s="3" t="s">
        <v>173</v>
      </c>
      <c r="AM52" s="3" t="s">
        <v>39</v>
      </c>
      <c r="AO52" t="s">
        <v>32</v>
      </c>
      <c r="AP52" t="s">
        <v>104</v>
      </c>
      <c r="AQ52" t="s">
        <v>105</v>
      </c>
      <c r="AR52" t="s">
        <v>1</v>
      </c>
      <c r="AS52" t="s">
        <v>20</v>
      </c>
      <c r="AT52" t="s">
        <v>3</v>
      </c>
      <c r="AU52" t="s">
        <v>5</v>
      </c>
      <c r="AV52" t="s">
        <v>44</v>
      </c>
      <c r="AW52" t="s">
        <v>1</v>
      </c>
      <c r="AX52" t="s">
        <v>47</v>
      </c>
      <c r="AY52" t="s">
        <v>8</v>
      </c>
      <c r="AZ52" t="s">
        <v>9</v>
      </c>
      <c r="BA52" t="s">
        <v>10</v>
      </c>
      <c r="BB52" t="s">
        <v>23</v>
      </c>
      <c r="BC52" t="s">
        <v>23</v>
      </c>
      <c r="BD52" t="s">
        <v>23</v>
      </c>
      <c r="BE52" t="s">
        <v>23</v>
      </c>
      <c r="BF52" t="s">
        <v>125</v>
      </c>
      <c r="BG52" t="s">
        <v>124</v>
      </c>
      <c r="BH52" t="s">
        <v>25</v>
      </c>
      <c r="BI52" t="s">
        <v>26</v>
      </c>
      <c r="BJ52" t="s">
        <v>27</v>
      </c>
      <c r="BK52" t="s">
        <v>29</v>
      </c>
      <c r="BL52" t="s">
        <v>30</v>
      </c>
      <c r="BM52" t="s">
        <v>31</v>
      </c>
      <c r="BN52" t="s">
        <v>42</v>
      </c>
      <c r="BO52" t="s">
        <v>46</v>
      </c>
      <c r="BP52" t="s">
        <v>34</v>
      </c>
      <c r="BQ52" t="s">
        <v>35</v>
      </c>
      <c r="BR52" t="s">
        <v>36</v>
      </c>
      <c r="BS52" t="s">
        <v>37</v>
      </c>
      <c r="BT52" t="s">
        <v>38</v>
      </c>
      <c r="BU52" t="s">
        <v>169</v>
      </c>
      <c r="BV52" t="s">
        <v>170</v>
      </c>
      <c r="BW52" t="s">
        <v>171</v>
      </c>
      <c r="BX52" t="s">
        <v>172</v>
      </c>
      <c r="BY52" t="s">
        <v>173</v>
      </c>
      <c r="BZ52" t="s">
        <v>39</v>
      </c>
    </row>
    <row r="53" spans="1:78" x14ac:dyDescent="0.3">
      <c r="B53" s="3"/>
      <c r="C53" s="3"/>
      <c r="D53" s="3"/>
      <c r="E53" t="s">
        <v>14</v>
      </c>
      <c r="F53" t="s">
        <v>14</v>
      </c>
      <c r="G53" t="s">
        <v>14</v>
      </c>
      <c r="H53" s="3" t="s">
        <v>6</v>
      </c>
      <c r="I53" s="3"/>
      <c r="J53" s="2" t="s">
        <v>14</v>
      </c>
      <c r="K53" s="2" t="s">
        <v>14</v>
      </c>
      <c r="L53" s="5" t="s">
        <v>17</v>
      </c>
      <c r="M53" s="5" t="s">
        <v>17</v>
      </c>
      <c r="N53" s="5" t="s">
        <v>17</v>
      </c>
      <c r="O53" t="s">
        <v>18</v>
      </c>
      <c r="P53" t="s">
        <v>18</v>
      </c>
      <c r="Q53" s="2" t="s">
        <v>18</v>
      </c>
      <c r="R53" t="s">
        <v>18</v>
      </c>
      <c r="S53" s="3" t="s">
        <v>7</v>
      </c>
      <c r="T53" s="3" t="s">
        <v>7</v>
      </c>
      <c r="U53" s="5" t="s">
        <v>6</v>
      </c>
      <c r="V53" s="5" t="s">
        <v>6</v>
      </c>
      <c r="W53" s="5" t="s">
        <v>6</v>
      </c>
      <c r="X53" s="5" t="s">
        <v>6</v>
      </c>
      <c r="Y53" s="5" t="s">
        <v>6</v>
      </c>
      <c r="Z53" s="5" t="s">
        <v>6</v>
      </c>
      <c r="AA53" s="2"/>
      <c r="AB53" s="5"/>
      <c r="AC53" s="5"/>
      <c r="AD53" s="5" t="s">
        <v>43</v>
      </c>
      <c r="AE53" s="5" t="s">
        <v>7</v>
      </c>
      <c r="AF53" s="5" t="s">
        <v>40</v>
      </c>
      <c r="AG53" s="5" t="s">
        <v>7</v>
      </c>
      <c r="AH53" s="5" t="s">
        <v>174</v>
      </c>
      <c r="AI53" s="5"/>
      <c r="AJ53" s="5"/>
      <c r="AK53" s="5"/>
      <c r="AL53" s="5" t="s">
        <v>7</v>
      </c>
      <c r="AM53" s="5" t="s">
        <v>7</v>
      </c>
      <c r="AR53" t="s">
        <v>14</v>
      </c>
      <c r="AS53" t="s">
        <v>14</v>
      </c>
      <c r="AT53" t="s">
        <v>14</v>
      </c>
      <c r="AU53" t="s">
        <v>6</v>
      </c>
      <c r="AW53" s="2" t="s">
        <v>14</v>
      </c>
      <c r="AX53" s="2" t="s">
        <v>14</v>
      </c>
      <c r="AY53" s="2" t="s">
        <v>17</v>
      </c>
      <c r="AZ53" s="2" t="s">
        <v>17</v>
      </c>
      <c r="BA53" s="2" t="s">
        <v>17</v>
      </c>
      <c r="BB53" t="s">
        <v>18</v>
      </c>
      <c r="BC53" t="s">
        <v>18</v>
      </c>
      <c r="BD53" s="2" t="s">
        <v>18</v>
      </c>
      <c r="BE53" t="s">
        <v>18</v>
      </c>
      <c r="BF53" t="s">
        <v>7</v>
      </c>
      <c r="BG53" t="s">
        <v>7</v>
      </c>
      <c r="BH53" s="2" t="s">
        <v>6</v>
      </c>
      <c r="BI53" s="2" t="s">
        <v>6</v>
      </c>
      <c r="BJ53" s="2" t="s">
        <v>6</v>
      </c>
      <c r="BK53" s="2" t="s">
        <v>6</v>
      </c>
      <c r="BL53" s="2" t="s">
        <v>6</v>
      </c>
      <c r="BM53" s="2" t="s">
        <v>6</v>
      </c>
      <c r="BN53" s="2"/>
      <c r="BO53" s="2"/>
      <c r="BP53" s="2"/>
      <c r="BQ53" s="2" t="s">
        <v>43</v>
      </c>
      <c r="BR53" s="2" t="s">
        <v>7</v>
      </c>
      <c r="BS53" s="2" t="s">
        <v>40</v>
      </c>
      <c r="BT53" s="2" t="s">
        <v>7</v>
      </c>
      <c r="BU53" s="2" t="s">
        <v>174</v>
      </c>
      <c r="BV53" s="2"/>
      <c r="BW53" s="2"/>
      <c r="BX53" s="2"/>
      <c r="BY53" s="2" t="s">
        <v>7</v>
      </c>
      <c r="BZ53" s="2" t="s">
        <v>7</v>
      </c>
    </row>
    <row r="54" spans="1:78" x14ac:dyDescent="0.3">
      <c r="A54" t="s">
        <v>100</v>
      </c>
      <c r="B54" s="3" t="s">
        <v>51</v>
      </c>
      <c r="C54" s="3" t="s">
        <v>104</v>
      </c>
      <c r="D54" s="3" t="s">
        <v>105</v>
      </c>
      <c r="H54" s="3" t="s">
        <v>5</v>
      </c>
      <c r="I54" s="3" t="s">
        <v>44</v>
      </c>
      <c r="L54" s="3" t="s">
        <v>8</v>
      </c>
      <c r="M54" s="3" t="s">
        <v>9</v>
      </c>
      <c r="N54" s="3" t="s">
        <v>10</v>
      </c>
      <c r="S54" s="3" t="s">
        <v>235</v>
      </c>
      <c r="T54" s="3" t="s">
        <v>236</v>
      </c>
      <c r="U54" s="3" t="s">
        <v>25</v>
      </c>
      <c r="V54" s="3" t="s">
        <v>26</v>
      </c>
      <c r="W54" s="3" t="s">
        <v>27</v>
      </c>
      <c r="X54" s="3" t="s">
        <v>29</v>
      </c>
      <c r="Y54" s="3" t="s">
        <v>30</v>
      </c>
      <c r="Z54" s="3" t="s">
        <v>31</v>
      </c>
      <c r="AB54" s="3" t="s">
        <v>46</v>
      </c>
      <c r="AC54" s="3" t="s">
        <v>34</v>
      </c>
      <c r="AD54" s="3" t="s">
        <v>35</v>
      </c>
      <c r="AE54" s="3" t="s">
        <v>36</v>
      </c>
      <c r="AF54" s="3" t="s">
        <v>37</v>
      </c>
      <c r="AG54" s="3" t="s">
        <v>38</v>
      </c>
      <c r="AH54" s="3" t="s">
        <v>169</v>
      </c>
      <c r="AI54" s="3" t="s">
        <v>170</v>
      </c>
      <c r="AJ54" s="3" t="s">
        <v>171</v>
      </c>
      <c r="AK54" s="3" t="s">
        <v>172</v>
      </c>
      <c r="AL54" s="3" t="s">
        <v>173</v>
      </c>
      <c r="AM54" s="3" t="s">
        <v>39</v>
      </c>
      <c r="AO54" t="s">
        <v>32</v>
      </c>
      <c r="AP54" t="s">
        <v>104</v>
      </c>
      <c r="AQ54" t="s">
        <v>105</v>
      </c>
      <c r="AU54" t="s">
        <v>5</v>
      </c>
      <c r="AV54" t="s">
        <v>44</v>
      </c>
      <c r="AY54" t="s">
        <v>8</v>
      </c>
      <c r="AZ54" t="s">
        <v>9</v>
      </c>
      <c r="BA54" t="s">
        <v>10</v>
      </c>
      <c r="BF54" t="s">
        <v>125</v>
      </c>
      <c r="BG54" t="s">
        <v>124</v>
      </c>
      <c r="BH54" t="s">
        <v>25</v>
      </c>
      <c r="BI54" t="s">
        <v>26</v>
      </c>
      <c r="BJ54" t="s">
        <v>27</v>
      </c>
      <c r="BK54" t="s">
        <v>29</v>
      </c>
      <c r="BL54" t="s">
        <v>30</v>
      </c>
      <c r="BM54" t="s">
        <v>31</v>
      </c>
      <c r="BO54" t="s">
        <v>46</v>
      </c>
      <c r="BP54" t="s">
        <v>34</v>
      </c>
      <c r="BQ54" t="s">
        <v>35</v>
      </c>
      <c r="BR54" t="s">
        <v>36</v>
      </c>
      <c r="BS54" t="s">
        <v>37</v>
      </c>
      <c r="BT54" t="s">
        <v>38</v>
      </c>
      <c r="BU54" t="s">
        <v>169</v>
      </c>
      <c r="BV54" t="s">
        <v>170</v>
      </c>
      <c r="BW54" t="s">
        <v>171</v>
      </c>
      <c r="BX54" t="s">
        <v>172</v>
      </c>
      <c r="BY54" t="s">
        <v>173</v>
      </c>
      <c r="BZ54" t="s">
        <v>39</v>
      </c>
    </row>
    <row r="55" spans="1:78" x14ac:dyDescent="0.3">
      <c r="A55">
        <v>1</v>
      </c>
      <c r="B55" s="3" t="s">
        <v>239</v>
      </c>
      <c r="C55" s="3" t="s">
        <v>106</v>
      </c>
      <c r="D55" s="13">
        <v>44126</v>
      </c>
      <c r="E55" s="2">
        <v>1.76</v>
      </c>
      <c r="F55" s="2">
        <v>0.17</v>
      </c>
      <c r="G55" s="2">
        <f>E55-F55</f>
        <v>1.59</v>
      </c>
      <c r="H55" s="4">
        <f>G55/$A$43*$A$44</f>
        <v>3912.4015748031497</v>
      </c>
      <c r="I55" s="10">
        <v>44134</v>
      </c>
      <c r="J55" s="2">
        <v>0.88</v>
      </c>
      <c r="K55" s="2">
        <v>2.2400000000000002</v>
      </c>
      <c r="L55" s="6">
        <f>(J55-$A$45)/G55</f>
        <v>0.37735849056603771</v>
      </c>
      <c r="M55" s="6">
        <f>(K55-$A$46)/G55</f>
        <v>0.35220125786163536</v>
      </c>
      <c r="N55" s="6">
        <f>1-L55-M55</f>
        <v>0.27044025157232698</v>
      </c>
      <c r="O55" s="2">
        <v>39.72</v>
      </c>
      <c r="P55" s="2">
        <v>38.33</v>
      </c>
      <c r="Q55" s="2">
        <v>106.79</v>
      </c>
      <c r="R55" s="2">
        <v>102.75</v>
      </c>
      <c r="S55" s="5">
        <f>(O55-P55)/O55*100</f>
        <v>3.4994964753272928</v>
      </c>
      <c r="T55" s="5">
        <f>(Q55-R55)/Q55*100</f>
        <v>3.7831257608390354</v>
      </c>
      <c r="U55" s="4">
        <f>H55*L55</f>
        <v>1476.3779527559054</v>
      </c>
      <c r="V55" s="4">
        <f>H55*M55</f>
        <v>1377.9527559055125</v>
      </c>
      <c r="W55" s="4">
        <f>U55+V55</f>
        <v>2854.3307086614177</v>
      </c>
      <c r="X55" s="4">
        <f>U55*(1-S55/100)</f>
        <v>1424.7121583367034</v>
      </c>
      <c r="Y55" s="4">
        <f>V55*(1-T55/100)</f>
        <v>1325.8230702246597</v>
      </c>
      <c r="Z55" s="4">
        <f>X55+Y55</f>
        <v>2750.5352285613631</v>
      </c>
      <c r="AA55" t="s">
        <v>181</v>
      </c>
      <c r="AB55" s="10">
        <v>44154</v>
      </c>
      <c r="AC55" s="4">
        <v>43.9</v>
      </c>
      <c r="AD55" s="15">
        <v>1.0820000000000001</v>
      </c>
      <c r="AE55" s="4">
        <v>80.3</v>
      </c>
      <c r="AF55" s="4">
        <v>27.9</v>
      </c>
      <c r="AG55" s="4">
        <v>5.9</v>
      </c>
      <c r="AH55" s="4">
        <v>79.7</v>
      </c>
      <c r="AI55" s="4">
        <v>7.8</v>
      </c>
      <c r="AJ55" s="4" t="s">
        <v>182</v>
      </c>
      <c r="AK55" s="16">
        <v>7</v>
      </c>
      <c r="AL55" s="5">
        <v>0.1</v>
      </c>
      <c r="AM55" s="4">
        <v>10.5</v>
      </c>
      <c r="AO55" s="14">
        <v>11</v>
      </c>
      <c r="AP55" s="1" t="s">
        <v>106</v>
      </c>
      <c r="AQ55" s="11">
        <f>D55</f>
        <v>44126</v>
      </c>
      <c r="AR55" s="2">
        <f>SUM(E55:E56)</f>
        <v>3.6</v>
      </c>
      <c r="AS55" s="2">
        <f>SUM(F55:F56)</f>
        <v>0.36</v>
      </c>
      <c r="AT55" s="2">
        <f>AR55-AS55</f>
        <v>3.24</v>
      </c>
      <c r="AU55" s="1">
        <f>AT55/(2*$A$43)*$A$44</f>
        <v>3986.2204724409448</v>
      </c>
      <c r="AV55" s="11">
        <f>I55</f>
        <v>44134</v>
      </c>
      <c r="AW55" s="2">
        <f>SUM(J55:J56)</f>
        <v>1.78</v>
      </c>
      <c r="AX55" s="2">
        <f>SUM(K55:K56)</f>
        <v>4.54</v>
      </c>
      <c r="AY55" s="7">
        <f>(AW55-2*$A$45)/AT55</f>
        <v>0.37654320987654316</v>
      </c>
      <c r="AZ55" s="7">
        <f>(AX55-2*$A$46)/AT55</f>
        <v>0.36419753086419754</v>
      </c>
      <c r="BA55" s="7">
        <f>1-AY55-AZ55</f>
        <v>0.25925925925925936</v>
      </c>
      <c r="BB55" s="2">
        <f>SUM(O55:O56)</f>
        <v>96.3</v>
      </c>
      <c r="BC55" s="2">
        <f>SUM(P55:P56)</f>
        <v>92.789999999999992</v>
      </c>
      <c r="BD55" s="2">
        <f>SUM(Q55:Q56)</f>
        <v>214.35000000000002</v>
      </c>
      <c r="BE55" s="2">
        <f>SUM(R55:R56)</f>
        <v>206.43</v>
      </c>
      <c r="BF55" s="2">
        <f>(BB55-BC55)/BB55*100</f>
        <v>3.6448598130841177</v>
      </c>
      <c r="BG55" s="2">
        <f>(BD55-BE55)/BD55*100</f>
        <v>3.6948915325402445</v>
      </c>
      <c r="BH55" s="1">
        <f>AU55*AY55</f>
        <v>1500.9842519685037</v>
      </c>
      <c r="BI55" s="1">
        <f>AU55*AZ55</f>
        <v>1451.7716535433071</v>
      </c>
      <c r="BJ55" s="1">
        <f>BH55+BI55</f>
        <v>2952.7559055118109</v>
      </c>
      <c r="BK55" s="1">
        <f>BH55*(1-BF55/100)</f>
        <v>1446.2754801677825</v>
      </c>
      <c r="BL55" s="1">
        <f>BI55*(1-BG55/100)</f>
        <v>1398.130265644716</v>
      </c>
      <c r="BM55" s="1">
        <f>BK55+BL55</f>
        <v>2844.4057458124985</v>
      </c>
      <c r="BN55" s="11" t="str">
        <f>AA55</f>
        <v>992013011202</v>
      </c>
      <c r="BO55" s="11">
        <f>AB55</f>
        <v>44154</v>
      </c>
      <c r="BP55" s="1">
        <f>AVERAGE(AC55:AC56)</f>
        <v>42.95</v>
      </c>
      <c r="BQ55" s="9">
        <f t="shared" ref="BQ55:BZ55" si="0">AVERAGE(AD55:AD56)</f>
        <v>1.0785</v>
      </c>
      <c r="BR55" s="1">
        <f t="shared" si="0"/>
        <v>79.849999999999994</v>
      </c>
      <c r="BS55" s="1">
        <f t="shared" si="0"/>
        <v>28.25</v>
      </c>
      <c r="BT55" s="1">
        <f t="shared" si="0"/>
        <v>5.9</v>
      </c>
      <c r="BU55" s="1">
        <f t="shared" si="0"/>
        <v>80.5</v>
      </c>
      <c r="BV55" s="1">
        <f t="shared" si="0"/>
        <v>8.25</v>
      </c>
      <c r="BW55" s="1"/>
      <c r="BX55" s="8">
        <f t="shared" si="0"/>
        <v>6.5</v>
      </c>
      <c r="BY55" s="2">
        <f t="shared" si="0"/>
        <v>8.5000000000000006E-2</v>
      </c>
      <c r="BZ55" s="1">
        <f t="shared" si="0"/>
        <v>11.3</v>
      </c>
    </row>
    <row r="56" spans="1:78" x14ac:dyDescent="0.3">
      <c r="A56">
        <v>2</v>
      </c>
      <c r="B56" s="3" t="s">
        <v>240</v>
      </c>
      <c r="C56" s="3" t="s">
        <v>106</v>
      </c>
      <c r="D56" s="13">
        <v>44126</v>
      </c>
      <c r="E56" s="2">
        <v>1.84</v>
      </c>
      <c r="F56" s="2">
        <v>0.19</v>
      </c>
      <c r="G56" s="2">
        <f t="shared" ref="G56:G102" si="1">E56-F56</f>
        <v>1.6500000000000001</v>
      </c>
      <c r="H56" s="4">
        <f t="shared" ref="H56:H102" si="2">G56/$A$43*$A$44</f>
        <v>4060.0393700787404</v>
      </c>
      <c r="I56" s="10">
        <v>44134</v>
      </c>
      <c r="J56" s="2">
        <v>0.9</v>
      </c>
      <c r="K56" s="2">
        <v>2.2999999999999998</v>
      </c>
      <c r="L56" s="6">
        <f t="shared" ref="L56:L102" si="3">(J56-$A$45)/G56</f>
        <v>0.37575757575757573</v>
      </c>
      <c r="M56" s="6">
        <f t="shared" ref="M56:M102" si="4">(K56-$A$46)/G56</f>
        <v>0.37575757575757568</v>
      </c>
      <c r="N56" s="6">
        <f t="shared" ref="N56:N102" si="5">1-L56-M56</f>
        <v>0.24848484848484859</v>
      </c>
      <c r="O56" s="2">
        <v>56.58</v>
      </c>
      <c r="P56" s="2">
        <v>54.46</v>
      </c>
      <c r="Q56" s="2">
        <v>107.56</v>
      </c>
      <c r="R56" s="2">
        <v>103.68</v>
      </c>
      <c r="S56" s="5">
        <f t="shared" ref="S56:S102" si="6">(O56-P56)/O56*100</f>
        <v>3.7469070342877298</v>
      </c>
      <c r="T56" s="5">
        <f t="shared" ref="T56:T102" si="7">(Q56-R56)/Q56*100</f>
        <v>3.607288955001855</v>
      </c>
      <c r="U56" s="4">
        <f t="shared" ref="U56:U102" si="8">H56*L56</f>
        <v>1525.5905511811025</v>
      </c>
      <c r="V56" s="4">
        <f t="shared" ref="V56:V102" si="9">H56*M56</f>
        <v>1525.5905511811022</v>
      </c>
      <c r="W56" s="4">
        <f t="shared" ref="W56:W102" si="10">U56+V56</f>
        <v>3051.1811023622049</v>
      </c>
      <c r="X56" s="4">
        <f t="shared" ref="X56:X102" si="11">U56*(1-S56/100)</f>
        <v>1468.4280915044687</v>
      </c>
      <c r="Y56" s="4">
        <f t="shared" ref="Y56:Y102" si="12">V56*(1-T56/100)</f>
        <v>1470.5580917297943</v>
      </c>
      <c r="Z56" s="4">
        <f t="shared" ref="Z56:Z102" si="13">X56+Y56</f>
        <v>2938.9861832342631</v>
      </c>
      <c r="AA56" s="8" t="s">
        <v>209</v>
      </c>
      <c r="AB56" s="10">
        <v>44154</v>
      </c>
      <c r="AC56" s="4">
        <v>42</v>
      </c>
      <c r="AD56" s="15">
        <v>1.075</v>
      </c>
      <c r="AE56" s="4">
        <v>79.400000000000006</v>
      </c>
      <c r="AF56" s="4">
        <v>28.6</v>
      </c>
      <c r="AG56" s="4">
        <v>5.9</v>
      </c>
      <c r="AH56" s="4">
        <v>81.3</v>
      </c>
      <c r="AI56" s="4">
        <v>8.6999999999999993</v>
      </c>
      <c r="AJ56" s="4" t="s">
        <v>184</v>
      </c>
      <c r="AK56" s="16">
        <v>6</v>
      </c>
      <c r="AL56" s="5">
        <v>7.0000000000000007E-2</v>
      </c>
      <c r="AM56" s="4">
        <v>12.1</v>
      </c>
      <c r="AO56" s="14"/>
      <c r="AP56" s="1"/>
      <c r="AQ56" s="1"/>
      <c r="AR56" s="2"/>
      <c r="AS56" s="2"/>
      <c r="AT56" s="2"/>
      <c r="AU56" s="1"/>
      <c r="AV56" s="2"/>
      <c r="AW56" s="2"/>
      <c r="AX56" s="2"/>
      <c r="AY56" s="7"/>
      <c r="AZ56" s="7"/>
      <c r="BA56" s="7"/>
      <c r="BB56" s="2"/>
      <c r="BC56" s="2"/>
      <c r="BD56" s="2"/>
      <c r="BE56" s="2"/>
      <c r="BF56" s="2"/>
      <c r="BG56" s="2"/>
      <c r="BH56" s="1"/>
      <c r="BI56" s="1"/>
      <c r="BJ56" s="1"/>
      <c r="BK56" s="1"/>
      <c r="BL56" s="1"/>
      <c r="BM56" s="1"/>
      <c r="BN56" s="11"/>
      <c r="BO56" s="1"/>
      <c r="BP56" s="1"/>
      <c r="BQ56" s="9"/>
      <c r="BR56" s="1"/>
      <c r="BS56" s="1"/>
      <c r="BT56" s="1"/>
      <c r="BU56" s="1"/>
      <c r="BV56" s="1"/>
      <c r="BX56" s="8"/>
      <c r="BY56" s="2"/>
      <c r="BZ56" s="1"/>
    </row>
    <row r="57" spans="1:78" x14ac:dyDescent="0.3">
      <c r="A57">
        <v>3</v>
      </c>
      <c r="B57" s="3" t="s">
        <v>241</v>
      </c>
      <c r="C57" s="3" t="s">
        <v>106</v>
      </c>
      <c r="D57" s="13">
        <v>44126</v>
      </c>
      <c r="E57" s="2">
        <v>1.38</v>
      </c>
      <c r="F57" s="2">
        <v>0.17</v>
      </c>
      <c r="G57" s="2">
        <f t="shared" si="1"/>
        <v>1.21</v>
      </c>
      <c r="H57" s="4">
        <f t="shared" si="2"/>
        <v>2977.3622047244094</v>
      </c>
      <c r="I57" s="10">
        <v>44134</v>
      </c>
      <c r="J57" s="2">
        <v>0.72</v>
      </c>
      <c r="K57" s="2">
        <v>2.02</v>
      </c>
      <c r="L57" s="6">
        <f t="shared" si="3"/>
        <v>0.36363636363636359</v>
      </c>
      <c r="M57" s="6">
        <f t="shared" si="4"/>
        <v>0.28099173553719015</v>
      </c>
      <c r="N57" s="6">
        <f t="shared" si="5"/>
        <v>0.35537190082644632</v>
      </c>
      <c r="O57" s="2">
        <v>43.99</v>
      </c>
      <c r="P57" s="2">
        <v>42.46</v>
      </c>
      <c r="Q57" s="2">
        <v>92.73</v>
      </c>
      <c r="R57" s="2">
        <v>89.29</v>
      </c>
      <c r="S57" s="5">
        <f t="shared" si="6"/>
        <v>3.4780631961809529</v>
      </c>
      <c r="T57" s="5">
        <f t="shared" si="7"/>
        <v>3.709694812897657</v>
      </c>
      <c r="U57" s="4">
        <f t="shared" si="8"/>
        <v>1082.6771653543306</v>
      </c>
      <c r="V57" s="4">
        <f t="shared" si="9"/>
        <v>836.61417322834666</v>
      </c>
      <c r="W57" s="4">
        <f t="shared" si="10"/>
        <v>1919.2913385826773</v>
      </c>
      <c r="X57" s="4">
        <f t="shared" si="11"/>
        <v>1045.0209693326863</v>
      </c>
      <c r="Y57" s="4">
        <f t="shared" si="12"/>
        <v>805.57834064012809</v>
      </c>
      <c r="Z57" s="4">
        <f t="shared" si="13"/>
        <v>1850.5993099728144</v>
      </c>
      <c r="AA57" t="s">
        <v>183</v>
      </c>
      <c r="AB57" s="10">
        <v>44154</v>
      </c>
      <c r="AC57" s="4">
        <v>40.4</v>
      </c>
      <c r="AD57" s="15">
        <v>1.036</v>
      </c>
      <c r="AE57" s="4">
        <v>79.7</v>
      </c>
      <c r="AF57" s="4">
        <v>26.6</v>
      </c>
      <c r="AG57" s="4">
        <v>5.6</v>
      </c>
      <c r="AH57" s="4">
        <v>80.7</v>
      </c>
      <c r="AI57" s="4">
        <v>8.5</v>
      </c>
      <c r="AJ57" s="4" t="s">
        <v>184</v>
      </c>
      <c r="AK57" s="16">
        <v>16</v>
      </c>
      <c r="AL57" s="5">
        <v>0.64</v>
      </c>
      <c r="AM57" s="4">
        <v>12.2</v>
      </c>
      <c r="AO57" s="14" t="s">
        <v>142</v>
      </c>
      <c r="AP57" s="1" t="s">
        <v>106</v>
      </c>
      <c r="AQ57" s="11">
        <f>D57</f>
        <v>44126</v>
      </c>
      <c r="AR57" s="2">
        <f>SUM(E57:E58)</f>
        <v>2.2399999999999998</v>
      </c>
      <c r="AS57" s="2">
        <f>SUM(F57:F58)</f>
        <v>0.33</v>
      </c>
      <c r="AT57" s="2">
        <f>AR57-AS57</f>
        <v>1.9099999999999997</v>
      </c>
      <c r="AU57" s="1">
        <f>AT57/(2*$A$43)*$A$44</f>
        <v>2349.9015748031493</v>
      </c>
      <c r="AV57" s="11">
        <f>I57</f>
        <v>44134</v>
      </c>
      <c r="AW57" s="2">
        <f>SUM(J57:J58)</f>
        <v>1.22</v>
      </c>
      <c r="AX57" s="2">
        <f>SUM(K57:K58)</f>
        <v>3.7800000000000002</v>
      </c>
      <c r="AY57" s="7">
        <f>(AW57-2*$A$45)/AT57</f>
        <v>0.34554973821989532</v>
      </c>
      <c r="AZ57" s="7">
        <f>(AX57-2*$A$46)/AT57</f>
        <v>0.21989528795811542</v>
      </c>
      <c r="BA57" s="7">
        <f>1-AY57-AZ57</f>
        <v>0.43455497382198927</v>
      </c>
      <c r="BB57" s="2">
        <f>SUM(O57:O58)</f>
        <v>73.510000000000005</v>
      </c>
      <c r="BC57" s="2">
        <f>SUM(P57:P58)</f>
        <v>70.849999999999994</v>
      </c>
      <c r="BD57" s="2">
        <f>SUM(Q57:Q58)</f>
        <v>185.38</v>
      </c>
      <c r="BE57" s="2">
        <f>SUM(R57:R58)</f>
        <v>178.46</v>
      </c>
      <c r="BF57" s="2">
        <f>(BB57-BC57)/BB57*100</f>
        <v>3.6185552985988445</v>
      </c>
      <c r="BG57" s="2">
        <f>(BD57-BE57)/BD57*100</f>
        <v>3.7328730175854932</v>
      </c>
      <c r="BH57" s="1">
        <f>AU57*AY57</f>
        <v>812.00787401574803</v>
      </c>
      <c r="BI57" s="1">
        <f>AU57*AZ57</f>
        <v>516.73228346456744</v>
      </c>
      <c r="BJ57" s="1">
        <f>BH57+BI57</f>
        <v>1328.7401574803155</v>
      </c>
      <c r="BK57" s="1">
        <f>BH57*(1-BF57/100)</f>
        <v>782.62492006551133</v>
      </c>
      <c r="BL57" s="1">
        <f>BI57*(1-BG57/100)</f>
        <v>497.44332348196525</v>
      </c>
      <c r="BM57" s="1">
        <f>BK57+BL57</f>
        <v>1280.0682435474766</v>
      </c>
      <c r="BN57" s="11" t="str">
        <f>AA57</f>
        <v>992013012204</v>
      </c>
      <c r="BO57" s="11">
        <f>AB57</f>
        <v>44154</v>
      </c>
      <c r="BP57" s="1">
        <f>AVERAGE(AC57:AC58)</f>
        <v>41.400000000000006</v>
      </c>
      <c r="BQ57" s="9">
        <f t="shared" ref="BQ57" si="14">AVERAGE(AD57:AD58)</f>
        <v>1.0129999999999999</v>
      </c>
      <c r="BR57" s="1">
        <f t="shared" ref="BR57" si="15">AVERAGE(AE57:AE58)</f>
        <v>77.95</v>
      </c>
      <c r="BS57" s="1">
        <f t="shared" ref="BS57" si="16">AVERAGE(AF57:AF58)</f>
        <v>24.85</v>
      </c>
      <c r="BT57" s="1">
        <f t="shared" ref="BT57" si="17">AVERAGE(AG57:AG58)</f>
        <v>5.8</v>
      </c>
      <c r="BU57" s="1">
        <f t="shared" ref="BU57" si="18">AVERAGE(AH57:AH58)</f>
        <v>80.7</v>
      </c>
      <c r="BV57" s="1">
        <f t="shared" ref="BV57" si="19">AVERAGE(AI57:AI58)</f>
        <v>8.8000000000000007</v>
      </c>
      <c r="BW57" s="1"/>
      <c r="BX57" s="8">
        <f t="shared" ref="BX57" si="20">AVERAGE(AK57:AK58)</f>
        <v>17</v>
      </c>
      <c r="BY57" s="2">
        <f t="shared" ref="BY57" si="21">AVERAGE(AL57:AL58)</f>
        <v>0.45</v>
      </c>
      <c r="BZ57" s="1">
        <f t="shared" ref="BZ57" si="22">AVERAGE(AM57:AM58)</f>
        <v>15.45</v>
      </c>
    </row>
    <row r="58" spans="1:78" x14ac:dyDescent="0.3">
      <c r="A58">
        <v>4</v>
      </c>
      <c r="B58" s="3" t="s">
        <v>242</v>
      </c>
      <c r="C58" s="3" t="s">
        <v>106</v>
      </c>
      <c r="D58" s="13">
        <v>44126</v>
      </c>
      <c r="E58" s="2">
        <v>0.86</v>
      </c>
      <c r="F58" s="2">
        <v>0.16</v>
      </c>
      <c r="G58" s="2">
        <f t="shared" si="1"/>
        <v>0.7</v>
      </c>
      <c r="H58" s="4">
        <f t="shared" si="2"/>
        <v>1722.4409448818897</v>
      </c>
      <c r="I58" s="10">
        <v>44134</v>
      </c>
      <c r="J58" s="2">
        <v>0.5</v>
      </c>
      <c r="K58" s="2">
        <v>1.76</v>
      </c>
      <c r="L58" s="6">
        <f t="shared" si="3"/>
        <v>0.31428571428571428</v>
      </c>
      <c r="M58" s="6">
        <f t="shared" si="4"/>
        <v>0.11428571428571439</v>
      </c>
      <c r="N58" s="6">
        <f t="shared" si="5"/>
        <v>0.57142857142857129</v>
      </c>
      <c r="O58" s="2">
        <v>29.52</v>
      </c>
      <c r="P58" s="2">
        <v>28.39</v>
      </c>
      <c r="Q58" s="2">
        <v>92.65</v>
      </c>
      <c r="R58" s="2">
        <v>89.17</v>
      </c>
      <c r="S58" s="5">
        <f t="shared" si="6"/>
        <v>3.8279132791327877</v>
      </c>
      <c r="T58" s="5">
        <f t="shared" si="7"/>
        <v>3.7560712358337871</v>
      </c>
      <c r="U58" s="4">
        <f t="shared" si="8"/>
        <v>541.33858267716528</v>
      </c>
      <c r="V58" s="4">
        <f t="shared" si="9"/>
        <v>196.85039370078758</v>
      </c>
      <c r="W58" s="4">
        <f t="shared" si="10"/>
        <v>738.18897637795283</v>
      </c>
      <c r="X58" s="4">
        <f t="shared" si="11"/>
        <v>520.61661118579684</v>
      </c>
      <c r="Y58" s="4">
        <f t="shared" si="12"/>
        <v>189.45655268536672</v>
      </c>
      <c r="Z58" s="4">
        <f t="shared" si="13"/>
        <v>710.07316387116362</v>
      </c>
      <c r="AA58" s="8" t="s">
        <v>210</v>
      </c>
      <c r="AB58" s="10">
        <v>44154</v>
      </c>
      <c r="AC58" s="4">
        <v>42.400000000000006</v>
      </c>
      <c r="AD58" s="15">
        <v>0.99</v>
      </c>
      <c r="AE58" s="4">
        <v>76.2</v>
      </c>
      <c r="AF58" s="4">
        <v>23.1</v>
      </c>
      <c r="AG58" s="4">
        <v>6</v>
      </c>
      <c r="AH58" s="4">
        <v>80.7</v>
      </c>
      <c r="AI58" s="4">
        <v>9.1</v>
      </c>
      <c r="AJ58" s="4" t="s">
        <v>188</v>
      </c>
      <c r="AK58" s="16">
        <v>18</v>
      </c>
      <c r="AL58" s="5">
        <v>0.26</v>
      </c>
      <c r="AM58" s="4">
        <v>18.7</v>
      </c>
      <c r="AO58" s="14"/>
      <c r="AP58" s="1"/>
      <c r="AQ58" s="1"/>
      <c r="AR58" s="2"/>
      <c r="AS58" s="2"/>
      <c r="AT58" s="2"/>
      <c r="AU58" s="1"/>
      <c r="AV58" s="2"/>
      <c r="AW58" s="2"/>
      <c r="AX58" s="2"/>
      <c r="AY58" s="7"/>
      <c r="AZ58" s="7"/>
      <c r="BA58" s="7"/>
      <c r="BB58" s="2"/>
      <c r="BC58" s="2"/>
      <c r="BD58" s="2"/>
      <c r="BE58" s="2"/>
      <c r="BF58" s="2"/>
      <c r="BG58" s="2"/>
      <c r="BH58" s="1"/>
      <c r="BI58" s="1"/>
      <c r="BJ58" s="1"/>
      <c r="BK58" s="1"/>
      <c r="BL58" s="1"/>
      <c r="BM58" s="1"/>
      <c r="BN58" s="11"/>
      <c r="BO58" s="1"/>
      <c r="BP58" s="1"/>
      <c r="BQ58" s="9"/>
      <c r="BR58" s="1"/>
      <c r="BS58" s="1"/>
      <c r="BT58" s="1"/>
      <c r="BU58" s="1"/>
      <c r="BV58" s="1"/>
      <c r="BX58" s="8"/>
      <c r="BY58" s="2"/>
      <c r="BZ58" s="1"/>
    </row>
    <row r="59" spans="1:78" x14ac:dyDescent="0.3">
      <c r="A59">
        <v>5</v>
      </c>
      <c r="B59" s="3" t="s">
        <v>243</v>
      </c>
      <c r="C59" s="3" t="s">
        <v>106</v>
      </c>
      <c r="D59" s="13">
        <v>44126</v>
      </c>
      <c r="E59" s="2">
        <v>0.91</v>
      </c>
      <c r="F59" s="2">
        <v>0.16</v>
      </c>
      <c r="G59" s="2">
        <f t="shared" si="1"/>
        <v>0.75</v>
      </c>
      <c r="H59" s="4">
        <f t="shared" si="2"/>
        <v>1845.472440944882</v>
      </c>
      <c r="I59" s="10">
        <v>44134</v>
      </c>
      <c r="J59" s="2">
        <v>0.52</v>
      </c>
      <c r="K59" s="2">
        <v>1.8</v>
      </c>
      <c r="L59" s="6">
        <f t="shared" si="3"/>
        <v>0.32</v>
      </c>
      <c r="M59" s="6">
        <f t="shared" si="4"/>
        <v>0.16000000000000014</v>
      </c>
      <c r="N59" s="6">
        <f t="shared" si="5"/>
        <v>0.5199999999999998</v>
      </c>
      <c r="O59" s="2">
        <v>45.8</v>
      </c>
      <c r="P59" s="2">
        <v>44.24</v>
      </c>
      <c r="Q59" s="2">
        <v>85.32</v>
      </c>
      <c r="R59" s="2">
        <v>81.99</v>
      </c>
      <c r="S59" s="5">
        <f t="shared" si="6"/>
        <v>3.4061135371178932</v>
      </c>
      <c r="T59" s="5">
        <f t="shared" si="7"/>
        <v>3.9029535864978886</v>
      </c>
      <c r="U59" s="4">
        <f t="shared" si="8"/>
        <v>590.55118110236231</v>
      </c>
      <c r="V59" s="4">
        <f t="shared" si="9"/>
        <v>295.27559055118138</v>
      </c>
      <c r="W59" s="4">
        <f t="shared" si="10"/>
        <v>885.82677165354369</v>
      </c>
      <c r="X59" s="4">
        <f t="shared" si="11"/>
        <v>570.43633737922517</v>
      </c>
      <c r="Y59" s="4">
        <f t="shared" si="12"/>
        <v>283.7511212997112</v>
      </c>
      <c r="Z59" s="4">
        <f t="shared" si="13"/>
        <v>854.18745867893631</v>
      </c>
      <c r="AA59" t="s">
        <v>185</v>
      </c>
      <c r="AB59" s="10">
        <v>44154</v>
      </c>
      <c r="AC59" s="4">
        <v>38.799999999999997</v>
      </c>
      <c r="AD59" s="15">
        <v>1.0289999999999999</v>
      </c>
      <c r="AE59" s="4">
        <v>78.599999999999994</v>
      </c>
      <c r="AF59" s="4">
        <v>25.8</v>
      </c>
      <c r="AG59" s="4">
        <v>5.8</v>
      </c>
      <c r="AH59" s="4">
        <v>80.8</v>
      </c>
      <c r="AI59" s="4">
        <v>9.1999999999999993</v>
      </c>
      <c r="AJ59" s="4" t="s">
        <v>186</v>
      </c>
      <c r="AK59" s="16">
        <v>11</v>
      </c>
      <c r="AL59" s="5">
        <v>0.19</v>
      </c>
      <c r="AM59" s="4">
        <v>14.5</v>
      </c>
      <c r="AO59" s="14" t="s">
        <v>143</v>
      </c>
      <c r="AP59" s="1" t="s">
        <v>106</v>
      </c>
      <c r="AQ59" s="11">
        <f>D59</f>
        <v>44126</v>
      </c>
      <c r="AR59" s="2">
        <f>SUM(E59:E60)</f>
        <v>1.9300000000000002</v>
      </c>
      <c r="AS59" s="2">
        <f>SUM(F59:F60)</f>
        <v>0.33</v>
      </c>
      <c r="AT59" s="2">
        <f>AR59-AS59</f>
        <v>1.6</v>
      </c>
      <c r="AU59" s="1">
        <f>AT59/(2*$A$43)*$A$44</f>
        <v>1968.5039370078741</v>
      </c>
      <c r="AV59" s="11">
        <f>I59</f>
        <v>44134</v>
      </c>
      <c r="AW59" s="2">
        <f>SUM(J59:J60)</f>
        <v>1.08</v>
      </c>
      <c r="AX59" s="2">
        <f>SUM(K59:K60)</f>
        <v>3.7</v>
      </c>
      <c r="AY59" s="7">
        <f>(AW59-2*$A$45)/AT59</f>
        <v>0.32500000000000001</v>
      </c>
      <c r="AZ59" s="7">
        <f>(AX59-2*$A$46)/AT59</f>
        <v>0.21250000000000019</v>
      </c>
      <c r="BA59" s="7">
        <f>1-AY59-AZ59</f>
        <v>0.46249999999999986</v>
      </c>
      <c r="BB59" s="2">
        <f>SUM(O59:O60)</f>
        <v>85.56</v>
      </c>
      <c r="BC59" s="2">
        <f>SUM(P59:P60)</f>
        <v>80.81</v>
      </c>
      <c r="BD59" s="2">
        <f>SUM(Q59:Q60)</f>
        <v>155.87</v>
      </c>
      <c r="BE59" s="2">
        <f>SUM(R59:R60)</f>
        <v>149.91</v>
      </c>
      <c r="BF59" s="2">
        <f>(BB59-BC59)/BB59*100</f>
        <v>5.551659654043946</v>
      </c>
      <c r="BG59" s="2">
        <f>(BD59-BE59)/BD59*100</f>
        <v>3.8236992365432787</v>
      </c>
      <c r="BH59" s="1">
        <f>AU59*AY59</f>
        <v>639.76377952755911</v>
      </c>
      <c r="BI59" s="1">
        <f>AU59*AZ59</f>
        <v>418.30708661417361</v>
      </c>
      <c r="BJ59" s="1">
        <f>BH59+BI59</f>
        <v>1058.0708661417327</v>
      </c>
      <c r="BK59" s="1">
        <f>BH59*(1-BF59/100)</f>
        <v>604.24627189834086</v>
      </c>
      <c r="BL59" s="1">
        <f>BI59*(1-BG59/100)</f>
        <v>402.31228173690101</v>
      </c>
      <c r="BM59" s="1">
        <f>BK59+BL59</f>
        <v>1006.5585536352419</v>
      </c>
      <c r="BN59" s="11" t="str">
        <f>AA59</f>
        <v>992013013206</v>
      </c>
      <c r="BO59" s="11">
        <f>AB59</f>
        <v>44154</v>
      </c>
      <c r="BP59" s="1">
        <f>AVERAGE(AC59:AC60)</f>
        <v>37.099999999999994</v>
      </c>
      <c r="BQ59" s="9">
        <f t="shared" ref="BQ59" si="23">AVERAGE(AD59:AD60)</f>
        <v>1.02</v>
      </c>
      <c r="BR59" s="1">
        <f t="shared" ref="BR59" si="24">AVERAGE(AE59:AE60)</f>
        <v>78.599999999999994</v>
      </c>
      <c r="BS59" s="1">
        <f t="shared" ref="BS59" si="25">AVERAGE(AF59:AF60)</f>
        <v>25.450000000000003</v>
      </c>
      <c r="BT59" s="1">
        <f t="shared" ref="BT59" si="26">AVERAGE(AG59:AG60)</f>
        <v>5.85</v>
      </c>
      <c r="BU59" s="1">
        <f t="shared" ref="BU59" si="27">AVERAGE(AH59:AH60)</f>
        <v>79.849999999999994</v>
      </c>
      <c r="BV59" s="1">
        <f t="shared" ref="BV59" si="28">AVERAGE(AI59:AI60)</f>
        <v>9.1</v>
      </c>
      <c r="BW59" s="1"/>
      <c r="BX59" s="8">
        <f t="shared" ref="BX59" si="29">AVERAGE(AK59:AK60)</f>
        <v>8.5</v>
      </c>
      <c r="BY59" s="2">
        <f t="shared" ref="BY59" si="30">AVERAGE(AL59:AL60)</f>
        <v>0.125</v>
      </c>
      <c r="BZ59" s="1">
        <f t="shared" ref="BZ59" si="31">AVERAGE(AM59:AM60)</f>
        <v>14.5</v>
      </c>
    </row>
    <row r="60" spans="1:78" x14ac:dyDescent="0.3">
      <c r="A60">
        <v>6</v>
      </c>
      <c r="B60" s="3" t="s">
        <v>244</v>
      </c>
      <c r="C60" s="3" t="s">
        <v>106</v>
      </c>
      <c r="D60" s="13">
        <v>44126</v>
      </c>
      <c r="E60" s="2">
        <v>1.02</v>
      </c>
      <c r="F60" s="2">
        <v>0.17</v>
      </c>
      <c r="G60" s="2">
        <f t="shared" si="1"/>
        <v>0.85</v>
      </c>
      <c r="H60" s="4">
        <f t="shared" si="2"/>
        <v>2091.535433070866</v>
      </c>
      <c r="I60" s="10">
        <v>44134</v>
      </c>
      <c r="J60" s="2">
        <v>0.56000000000000005</v>
      </c>
      <c r="K60" s="2">
        <v>1.9</v>
      </c>
      <c r="L60" s="6">
        <f t="shared" si="3"/>
        <v>0.3294117647058824</v>
      </c>
      <c r="M60" s="6">
        <f t="shared" si="4"/>
        <v>0.25882352941176467</v>
      </c>
      <c r="N60" s="6">
        <f t="shared" si="5"/>
        <v>0.41176470588235292</v>
      </c>
      <c r="O60" s="2">
        <v>39.76</v>
      </c>
      <c r="P60" s="2">
        <v>36.57</v>
      </c>
      <c r="Q60" s="2">
        <v>70.55</v>
      </c>
      <c r="R60" s="2">
        <v>67.92</v>
      </c>
      <c r="S60" s="5">
        <f t="shared" si="6"/>
        <v>8.0231388329979829</v>
      </c>
      <c r="T60" s="5">
        <f t="shared" si="7"/>
        <v>3.7278525868178534</v>
      </c>
      <c r="U60" s="4">
        <f t="shared" si="8"/>
        <v>688.97637795275602</v>
      </c>
      <c r="V60" s="4">
        <f t="shared" si="9"/>
        <v>541.33858267716528</v>
      </c>
      <c r="W60" s="4">
        <f t="shared" si="10"/>
        <v>1230.3149606299212</v>
      </c>
      <c r="X60" s="4">
        <f t="shared" si="11"/>
        <v>633.69884662304548</v>
      </c>
      <c r="Y60" s="4">
        <f t="shared" si="12"/>
        <v>521.15827831939146</v>
      </c>
      <c r="Z60" s="4">
        <f t="shared" si="13"/>
        <v>1154.8571249424369</v>
      </c>
      <c r="AA60" s="8" t="s">
        <v>211</v>
      </c>
      <c r="AB60" s="10">
        <v>44154</v>
      </c>
      <c r="AC60" s="4">
        <v>35.4</v>
      </c>
      <c r="AD60" s="15">
        <v>1.0109999999999999</v>
      </c>
      <c r="AE60" s="4">
        <v>78.599999999999994</v>
      </c>
      <c r="AF60" s="4">
        <v>25.1</v>
      </c>
      <c r="AG60" s="4">
        <v>5.9</v>
      </c>
      <c r="AH60" s="4">
        <v>78.900000000000006</v>
      </c>
      <c r="AI60" s="4">
        <v>9</v>
      </c>
      <c r="AJ60" s="4" t="s">
        <v>184</v>
      </c>
      <c r="AK60" s="16">
        <v>6</v>
      </c>
      <c r="AL60" s="5">
        <v>0.06</v>
      </c>
      <c r="AM60" s="4">
        <v>14.5</v>
      </c>
      <c r="AO60" s="14"/>
      <c r="AP60" s="1"/>
      <c r="AQ60" s="1"/>
      <c r="AR60" s="2"/>
      <c r="AS60" s="2"/>
      <c r="AT60" s="2"/>
      <c r="AU60" s="1"/>
      <c r="AV60" s="2"/>
      <c r="AW60" s="2"/>
      <c r="AX60" s="2"/>
      <c r="AY60" s="7"/>
      <c r="AZ60" s="7"/>
      <c r="BA60" s="7"/>
      <c r="BB60" s="2"/>
      <c r="BC60" s="2"/>
      <c r="BD60" s="2"/>
      <c r="BE60" s="2"/>
      <c r="BF60" s="2"/>
      <c r="BG60" s="2"/>
      <c r="BH60" s="1"/>
      <c r="BI60" s="1"/>
      <c r="BJ60" s="1"/>
      <c r="BK60" s="1"/>
      <c r="BL60" s="1"/>
      <c r="BM60" s="1"/>
      <c r="BN60" s="11"/>
      <c r="BO60" s="1"/>
      <c r="BP60" s="1"/>
      <c r="BQ60" s="9"/>
      <c r="BR60" s="1"/>
      <c r="BS60" s="1"/>
      <c r="BT60" s="1"/>
      <c r="BU60" s="1"/>
      <c r="BV60" s="1"/>
      <c r="BX60" s="8"/>
      <c r="BY60" s="2"/>
      <c r="BZ60" s="1"/>
    </row>
    <row r="61" spans="1:78" x14ac:dyDescent="0.3">
      <c r="A61">
        <v>7</v>
      </c>
      <c r="B61" s="3" t="s">
        <v>245</v>
      </c>
      <c r="C61" s="3" t="s">
        <v>106</v>
      </c>
      <c r="D61" s="13">
        <v>44126</v>
      </c>
      <c r="E61" s="2">
        <v>1.87</v>
      </c>
      <c r="F61" s="2">
        <v>0.19</v>
      </c>
      <c r="G61" s="2">
        <f t="shared" si="1"/>
        <v>1.6800000000000002</v>
      </c>
      <c r="H61" s="4">
        <f t="shared" si="2"/>
        <v>4133.8582677165359</v>
      </c>
      <c r="I61" s="10">
        <v>44134</v>
      </c>
      <c r="J61" s="2">
        <v>0.9</v>
      </c>
      <c r="K61" s="2">
        <v>2.3199999999999998</v>
      </c>
      <c r="L61" s="6">
        <f t="shared" si="3"/>
        <v>0.36904761904761901</v>
      </c>
      <c r="M61" s="6">
        <f t="shared" si="4"/>
        <v>0.38095238095238088</v>
      </c>
      <c r="N61" s="6">
        <f t="shared" si="5"/>
        <v>0.25000000000000006</v>
      </c>
      <c r="O61" s="2">
        <v>53.79</v>
      </c>
      <c r="P61" s="2">
        <v>52.03</v>
      </c>
      <c r="Q61" s="2">
        <v>148.01</v>
      </c>
      <c r="R61" s="2">
        <v>142.43</v>
      </c>
      <c r="S61" s="5">
        <f t="shared" si="6"/>
        <v>3.2719836400817957</v>
      </c>
      <c r="T61" s="5">
        <f t="shared" si="7"/>
        <v>3.7700155394905641</v>
      </c>
      <c r="U61" s="4">
        <f t="shared" si="8"/>
        <v>1525.5905511811025</v>
      </c>
      <c r="V61" s="4">
        <f t="shared" si="9"/>
        <v>1574.803149606299</v>
      </c>
      <c r="W61" s="4">
        <f t="shared" si="10"/>
        <v>3100.3937007874015</v>
      </c>
      <c r="X61" s="4">
        <f t="shared" si="11"/>
        <v>1475.6734779318231</v>
      </c>
      <c r="Y61" s="4">
        <f t="shared" si="12"/>
        <v>1515.4328261497546</v>
      </c>
      <c r="Z61" s="4">
        <f t="shared" si="13"/>
        <v>2991.1063040815779</v>
      </c>
      <c r="AA61" t="s">
        <v>187</v>
      </c>
      <c r="AB61" s="10">
        <v>44154</v>
      </c>
      <c r="AC61" s="4">
        <v>45.199999999999996</v>
      </c>
      <c r="AD61" s="15">
        <v>1.085</v>
      </c>
      <c r="AE61" s="4">
        <v>79.8</v>
      </c>
      <c r="AF61" s="4">
        <v>27.8</v>
      </c>
      <c r="AG61" s="4">
        <v>5.9</v>
      </c>
      <c r="AH61" s="4">
        <v>82.1</v>
      </c>
      <c r="AI61" s="4">
        <v>8.5</v>
      </c>
      <c r="AJ61" s="4" t="s">
        <v>188</v>
      </c>
      <c r="AK61" s="16">
        <v>4</v>
      </c>
      <c r="AL61" s="5">
        <v>0.04</v>
      </c>
      <c r="AM61" s="4">
        <v>10.8</v>
      </c>
      <c r="AO61" s="14" t="s">
        <v>144</v>
      </c>
      <c r="AP61" s="1" t="s">
        <v>106</v>
      </c>
      <c r="AQ61" s="11">
        <f>D61</f>
        <v>44126</v>
      </c>
      <c r="AR61" s="2">
        <f>SUM(E61:E62)</f>
        <v>3.22</v>
      </c>
      <c r="AS61" s="2">
        <f>SUM(F61:F62)</f>
        <v>0.36</v>
      </c>
      <c r="AT61" s="2">
        <f>AR61-AS61</f>
        <v>2.8600000000000003</v>
      </c>
      <c r="AU61" s="1">
        <f>AT61/(2*$A$43)*$A$44</f>
        <v>3518.7007874015753</v>
      </c>
      <c r="AV61" s="11">
        <f>I61</f>
        <v>44134</v>
      </c>
      <c r="AW61" s="2">
        <f>SUM(J61:J62)</f>
        <v>1.6</v>
      </c>
      <c r="AX61" s="2">
        <f>SUM(K61:K62)</f>
        <v>4.38</v>
      </c>
      <c r="AY61" s="7">
        <f>(AW61-2*$A$45)/AT61</f>
        <v>0.36363636363636359</v>
      </c>
      <c r="AZ61" s="7">
        <f>(AX61-2*$A$46)/AT61</f>
        <v>0.35664335664335661</v>
      </c>
      <c r="BA61" s="7">
        <f>1-AY61-AZ61</f>
        <v>0.27972027972027985</v>
      </c>
      <c r="BB61" s="2">
        <f>SUM(O61:O62)</f>
        <v>104.82</v>
      </c>
      <c r="BC61" s="2">
        <f>SUM(P61:P62)</f>
        <v>101.37</v>
      </c>
      <c r="BD61" s="2">
        <f>SUM(Q61:Q62)</f>
        <v>257.38</v>
      </c>
      <c r="BE61" s="2">
        <f>SUM(R61:R62)</f>
        <v>247.73000000000002</v>
      </c>
      <c r="BF61" s="2">
        <f>(BB61-BC61)/BB61*100</f>
        <v>3.2913566113337045</v>
      </c>
      <c r="BG61" s="2">
        <f>(BD61-BE61)/BD61*100</f>
        <v>3.7493200714896173</v>
      </c>
      <c r="BH61" s="1">
        <f>AU61*AY61</f>
        <v>1279.5275590551182</v>
      </c>
      <c r="BI61" s="1">
        <f>AU61*AZ61</f>
        <v>1254.9212598425197</v>
      </c>
      <c r="BJ61" s="1">
        <f>BH61+BI61</f>
        <v>2534.4488188976379</v>
      </c>
      <c r="BK61" s="1">
        <f>BH61*(1-BF61/100)</f>
        <v>1237.4137441463208</v>
      </c>
      <c r="BL61" s="1">
        <f>BI61*(1-BG61/100)</f>
        <v>1207.8702451658537</v>
      </c>
      <c r="BM61" s="1">
        <f>BK61+BL61</f>
        <v>2445.2839893121745</v>
      </c>
      <c r="BN61" s="11" t="str">
        <f>AA61</f>
        <v>992013014208</v>
      </c>
      <c r="BO61" s="11">
        <f>AB61</f>
        <v>44154</v>
      </c>
      <c r="BP61" s="1">
        <f>AVERAGE(AC61:AC62)</f>
        <v>42.699999999999996</v>
      </c>
      <c r="BQ61" s="9">
        <f t="shared" ref="BQ61" si="32">AVERAGE(AD61:AD62)</f>
        <v>1.0525</v>
      </c>
      <c r="BR61" s="1">
        <f t="shared" ref="BR61" si="33">AVERAGE(AE61:AE62)</f>
        <v>79.05</v>
      </c>
      <c r="BS61" s="1">
        <f t="shared" ref="BS61" si="34">AVERAGE(AF61:AF62)</f>
        <v>27</v>
      </c>
      <c r="BT61" s="1">
        <f t="shared" ref="BT61" si="35">AVERAGE(AG61:AG62)</f>
        <v>5.95</v>
      </c>
      <c r="BU61" s="1">
        <f t="shared" ref="BU61" si="36">AVERAGE(AH61:AH62)</f>
        <v>81.75</v>
      </c>
      <c r="BV61" s="1">
        <f t="shared" ref="BV61" si="37">AVERAGE(AI61:AI62)</f>
        <v>8.5500000000000007</v>
      </c>
      <c r="BW61" s="1"/>
      <c r="BX61" s="8">
        <f t="shared" ref="BX61" si="38">AVERAGE(AK61:AK62)</f>
        <v>8</v>
      </c>
      <c r="BY61" s="2">
        <f t="shared" ref="BY61" si="39">AVERAGE(AL61:AL62)</f>
        <v>0.08</v>
      </c>
      <c r="BZ61" s="1">
        <f t="shared" ref="BZ61" si="40">AVERAGE(AM61:AM62)</f>
        <v>13.05</v>
      </c>
    </row>
    <row r="62" spans="1:78" x14ac:dyDescent="0.3">
      <c r="A62">
        <v>8</v>
      </c>
      <c r="B62" s="3" t="s">
        <v>246</v>
      </c>
      <c r="C62" s="3" t="s">
        <v>106</v>
      </c>
      <c r="D62" s="13">
        <v>44126</v>
      </c>
      <c r="E62" s="2">
        <v>1.35</v>
      </c>
      <c r="F62" s="2">
        <v>0.17</v>
      </c>
      <c r="G62" s="2">
        <f t="shared" si="1"/>
        <v>1.1800000000000002</v>
      </c>
      <c r="H62" s="4">
        <f t="shared" si="2"/>
        <v>2903.5433070866147</v>
      </c>
      <c r="I62" s="10">
        <v>44134</v>
      </c>
      <c r="J62" s="2">
        <v>0.7</v>
      </c>
      <c r="K62" s="2">
        <v>2.06</v>
      </c>
      <c r="L62" s="6">
        <f t="shared" si="3"/>
        <v>0.35593220338983039</v>
      </c>
      <c r="M62" s="6">
        <f t="shared" si="4"/>
        <v>0.32203389830508478</v>
      </c>
      <c r="N62" s="6">
        <f t="shared" si="5"/>
        <v>0.32203389830508478</v>
      </c>
      <c r="O62" s="2">
        <v>51.03</v>
      </c>
      <c r="P62" s="2">
        <v>49.34</v>
      </c>
      <c r="Q62" s="2">
        <v>109.37</v>
      </c>
      <c r="R62" s="2">
        <v>105.3</v>
      </c>
      <c r="S62" s="5">
        <f t="shared" si="6"/>
        <v>3.3117773858514554</v>
      </c>
      <c r="T62" s="5">
        <f t="shared" si="7"/>
        <v>3.7213129743074038</v>
      </c>
      <c r="U62" s="4">
        <f t="shared" si="8"/>
        <v>1033.4645669291338</v>
      </c>
      <c r="V62" s="4">
        <f t="shared" si="9"/>
        <v>935.03937007874038</v>
      </c>
      <c r="W62" s="4">
        <f t="shared" si="10"/>
        <v>1968.5039370078741</v>
      </c>
      <c r="X62" s="4">
        <f t="shared" si="11"/>
        <v>999.23852111078702</v>
      </c>
      <c r="Y62" s="4">
        <f t="shared" si="12"/>
        <v>900.24362868511798</v>
      </c>
      <c r="Z62" s="4">
        <f t="shared" si="13"/>
        <v>1899.4821497959051</v>
      </c>
      <c r="AA62" t="s">
        <v>212</v>
      </c>
      <c r="AB62" s="10">
        <v>44154</v>
      </c>
      <c r="AC62" s="4">
        <v>40.199999999999996</v>
      </c>
      <c r="AD62" s="15">
        <v>1.02</v>
      </c>
      <c r="AE62" s="4">
        <v>78.3</v>
      </c>
      <c r="AF62" s="4">
        <v>26.2</v>
      </c>
      <c r="AG62" s="4">
        <v>6</v>
      </c>
      <c r="AH62" s="4">
        <v>81.400000000000006</v>
      </c>
      <c r="AI62" s="4">
        <v>8.6</v>
      </c>
      <c r="AJ62" s="4" t="s">
        <v>184</v>
      </c>
      <c r="AK62" s="16">
        <v>12</v>
      </c>
      <c r="AL62" s="5">
        <v>0.12</v>
      </c>
      <c r="AM62" s="4">
        <v>15.3</v>
      </c>
      <c r="AO62" s="14"/>
      <c r="AP62" s="1"/>
      <c r="AQ62" s="1"/>
      <c r="AR62" s="2"/>
      <c r="AS62" s="2"/>
      <c r="AT62" s="2"/>
      <c r="AU62" s="1"/>
      <c r="AV62" s="2"/>
      <c r="AW62" s="2"/>
      <c r="AX62" s="2"/>
      <c r="AY62" s="7"/>
      <c r="AZ62" s="7"/>
      <c r="BA62" s="7"/>
      <c r="BB62" s="2"/>
      <c r="BC62" s="2"/>
      <c r="BD62" s="2"/>
      <c r="BE62" s="2"/>
      <c r="BF62" s="2"/>
      <c r="BG62" s="2"/>
      <c r="BH62" s="1"/>
      <c r="BI62" s="1"/>
      <c r="BJ62" s="1"/>
      <c r="BK62" s="1"/>
      <c r="BL62" s="1"/>
      <c r="BM62" s="1"/>
      <c r="BN62" s="11"/>
      <c r="BO62" s="1"/>
      <c r="BP62" s="1"/>
      <c r="BQ62" s="9"/>
      <c r="BR62" s="1"/>
      <c r="BS62" s="1"/>
      <c r="BT62" s="1"/>
      <c r="BU62" s="1"/>
      <c r="BV62" s="1"/>
      <c r="BX62" s="8"/>
      <c r="BY62" s="2"/>
      <c r="BZ62" s="1"/>
    </row>
    <row r="63" spans="1:78" x14ac:dyDescent="0.3">
      <c r="A63">
        <v>9</v>
      </c>
      <c r="B63" s="3" t="s">
        <v>247</v>
      </c>
      <c r="C63" s="3" t="s">
        <v>106</v>
      </c>
      <c r="D63" s="13">
        <v>44126</v>
      </c>
      <c r="E63" s="2">
        <v>1.76</v>
      </c>
      <c r="F63" s="2">
        <v>0.18</v>
      </c>
      <c r="G63" s="2">
        <f t="shared" si="1"/>
        <v>1.58</v>
      </c>
      <c r="H63" s="4">
        <f t="shared" si="2"/>
        <v>3887.7952755905517</v>
      </c>
      <c r="I63" s="10">
        <v>44134</v>
      </c>
      <c r="J63" s="2">
        <v>0.88</v>
      </c>
      <c r="K63" s="2">
        <v>2.2799999999999998</v>
      </c>
      <c r="L63" s="6">
        <f t="shared" si="3"/>
        <v>0.37974683544303794</v>
      </c>
      <c r="M63" s="6">
        <f t="shared" si="4"/>
        <v>0.37974683544303789</v>
      </c>
      <c r="N63" s="6">
        <f t="shared" si="5"/>
        <v>0.24050632911392411</v>
      </c>
      <c r="O63" s="2">
        <v>51.18</v>
      </c>
      <c r="P63" s="2">
        <v>49.9</v>
      </c>
      <c r="Q63" s="2">
        <v>128.1</v>
      </c>
      <c r="R63" s="2">
        <v>123.15</v>
      </c>
      <c r="S63" s="5">
        <f t="shared" si="6"/>
        <v>2.5009769441187988</v>
      </c>
      <c r="T63" s="5">
        <f t="shared" si="7"/>
        <v>3.8641686182669699</v>
      </c>
      <c r="U63" s="4">
        <f t="shared" si="8"/>
        <v>1476.3779527559057</v>
      </c>
      <c r="V63" s="4">
        <f t="shared" si="9"/>
        <v>1476.3779527559054</v>
      </c>
      <c r="W63" s="4">
        <f t="shared" si="10"/>
        <v>2952.7559055118109</v>
      </c>
      <c r="X63" s="4">
        <f t="shared" si="11"/>
        <v>1439.4540805494273</v>
      </c>
      <c r="Y63" s="4">
        <f t="shared" si="12"/>
        <v>1419.3282192184993</v>
      </c>
      <c r="Z63" s="4">
        <f t="shared" si="13"/>
        <v>2858.7822997679268</v>
      </c>
      <c r="AA63" t="s">
        <v>189</v>
      </c>
      <c r="AB63" s="10">
        <v>44154</v>
      </c>
      <c r="AC63" s="4">
        <v>41.3</v>
      </c>
      <c r="AD63" s="15">
        <v>1.056</v>
      </c>
      <c r="AE63" s="4">
        <v>79.2</v>
      </c>
      <c r="AF63" s="4">
        <v>26.5</v>
      </c>
      <c r="AG63" s="4">
        <v>6.1</v>
      </c>
      <c r="AH63" s="4">
        <v>81.5</v>
      </c>
      <c r="AI63" s="4">
        <v>8.6999999999999993</v>
      </c>
      <c r="AJ63" s="4" t="s">
        <v>186</v>
      </c>
      <c r="AK63" s="16">
        <v>11</v>
      </c>
      <c r="AL63" s="5">
        <v>0.21</v>
      </c>
      <c r="AM63" s="4">
        <v>12.9</v>
      </c>
      <c r="AO63" s="14" t="s">
        <v>145</v>
      </c>
      <c r="AP63" s="1" t="s">
        <v>106</v>
      </c>
      <c r="AQ63" s="11">
        <f>D63</f>
        <v>44126</v>
      </c>
      <c r="AR63" s="2">
        <f>SUM(E63:E64)</f>
        <v>3.4</v>
      </c>
      <c r="AS63" s="2">
        <f>SUM(F63:F64)</f>
        <v>0.33999999999999997</v>
      </c>
      <c r="AT63" s="2">
        <f>AR63-AS63</f>
        <v>3.06</v>
      </c>
      <c r="AU63" s="1">
        <f>AT63/(2*$A$43)*$A$44</f>
        <v>3764.7637795275591</v>
      </c>
      <c r="AV63" s="11">
        <f>I63</f>
        <v>44134</v>
      </c>
      <c r="AW63" s="2">
        <f>SUM(J63:J64)</f>
        <v>1.6600000000000001</v>
      </c>
      <c r="AX63" s="2">
        <f>SUM(K63:K64)</f>
        <v>4.4800000000000004</v>
      </c>
      <c r="AY63" s="7">
        <f>(AW63-2*$A$45)/AT63</f>
        <v>0.35947712418300654</v>
      </c>
      <c r="AZ63" s="7">
        <f>(AX63-2*$A$46)/AT63</f>
        <v>0.36601307189542504</v>
      </c>
      <c r="BA63" s="7">
        <f>1-AY63-AZ63</f>
        <v>0.27450980392156837</v>
      </c>
      <c r="BB63" s="2">
        <f>SUM(O63:O64)</f>
        <v>102.66</v>
      </c>
      <c r="BC63" s="2">
        <f>SUM(P63:P64)</f>
        <v>97.94</v>
      </c>
      <c r="BD63" s="2">
        <f>SUM(Q63:Q64)</f>
        <v>240.8</v>
      </c>
      <c r="BE63" s="2">
        <f>SUM(R63:R64)</f>
        <v>231.57</v>
      </c>
      <c r="BF63" s="2">
        <f>(BB63-BC63)/BB63*100</f>
        <v>4.5977011494252862</v>
      </c>
      <c r="BG63" s="2">
        <f>(BD63-BE63)/BD63*100</f>
        <v>3.8330564784053229</v>
      </c>
      <c r="BH63" s="1">
        <f>AU63*AY63</f>
        <v>1353.3464566929133</v>
      </c>
      <c r="BI63" s="1">
        <f>AU63*AZ63</f>
        <v>1377.9527559055125</v>
      </c>
      <c r="BJ63" s="1">
        <f>BH63+BI63</f>
        <v>2731.2992125984256</v>
      </c>
      <c r="BK63" s="1">
        <f>BH63*(1-BF63/100)</f>
        <v>1291.123631097837</v>
      </c>
      <c r="BL63" s="1">
        <f>BI63*(1-BG63/100)</f>
        <v>1325.1350485259115</v>
      </c>
      <c r="BM63" s="1">
        <f>BK63+BL63</f>
        <v>2616.2586796237483</v>
      </c>
      <c r="BN63" s="11" t="str">
        <f>AA63</f>
        <v>992013021210</v>
      </c>
      <c r="BO63" s="11">
        <f>AB63</f>
        <v>44154</v>
      </c>
      <c r="BP63" s="1">
        <f>AVERAGE(AC63:AC64)</f>
        <v>42.4</v>
      </c>
      <c r="BQ63" s="9">
        <f t="shared" ref="BQ63" si="41">AVERAGE(AD63:AD64)</f>
        <v>1.0409999999999999</v>
      </c>
      <c r="BR63" s="1">
        <f t="shared" ref="BR63" si="42">AVERAGE(AE63:AE64)</f>
        <v>78.800000000000011</v>
      </c>
      <c r="BS63" s="1">
        <f t="shared" ref="BS63" si="43">AVERAGE(AF63:AF64)</f>
        <v>26.15</v>
      </c>
      <c r="BT63" s="1">
        <f t="shared" ref="BT63" si="44">AVERAGE(AG63:AG64)</f>
        <v>6</v>
      </c>
      <c r="BU63" s="1">
        <f t="shared" ref="BU63" si="45">AVERAGE(AH63:AH64)</f>
        <v>81.400000000000006</v>
      </c>
      <c r="BV63" s="1">
        <f t="shared" ref="BV63" si="46">AVERAGE(AI63:AI64)</f>
        <v>8.6</v>
      </c>
      <c r="BW63" s="1"/>
      <c r="BX63" s="8">
        <f t="shared" ref="BX63" si="47">AVERAGE(AK63:AK64)</f>
        <v>11</v>
      </c>
      <c r="BY63" s="2">
        <f t="shared" ref="BY63" si="48">AVERAGE(AL63:AL64)</f>
        <v>0.29499999999999998</v>
      </c>
      <c r="BZ63" s="1">
        <f t="shared" ref="BZ63" si="49">AVERAGE(AM63:AM64)</f>
        <v>13.8</v>
      </c>
    </row>
    <row r="64" spans="1:78" x14ac:dyDescent="0.3">
      <c r="A64">
        <v>10</v>
      </c>
      <c r="B64" s="3" t="s">
        <v>248</v>
      </c>
      <c r="C64" s="3" t="s">
        <v>106</v>
      </c>
      <c r="D64" s="13">
        <v>44126</v>
      </c>
      <c r="E64" s="2">
        <v>1.64</v>
      </c>
      <c r="F64" s="2">
        <v>0.16</v>
      </c>
      <c r="G64" s="2">
        <f t="shared" si="1"/>
        <v>1.48</v>
      </c>
      <c r="H64" s="4">
        <f t="shared" si="2"/>
        <v>3641.7322834645665</v>
      </c>
      <c r="I64" s="10">
        <v>44134</v>
      </c>
      <c r="J64" s="2">
        <v>0.78</v>
      </c>
      <c r="K64" s="2">
        <v>2.2000000000000002</v>
      </c>
      <c r="L64" s="6">
        <f t="shared" si="3"/>
        <v>0.33783783783783783</v>
      </c>
      <c r="M64" s="6">
        <f t="shared" si="4"/>
        <v>0.35135135135135154</v>
      </c>
      <c r="N64" s="6">
        <f t="shared" si="5"/>
        <v>0.31081081081081063</v>
      </c>
      <c r="O64" s="2">
        <v>51.48</v>
      </c>
      <c r="P64" s="2">
        <v>48.04</v>
      </c>
      <c r="Q64" s="2">
        <v>112.7</v>
      </c>
      <c r="R64" s="2">
        <v>108.42</v>
      </c>
      <c r="S64" s="5">
        <f t="shared" si="6"/>
        <v>6.6822066822066777</v>
      </c>
      <c r="T64" s="5">
        <f t="shared" si="7"/>
        <v>3.7976929902395749</v>
      </c>
      <c r="U64" s="4">
        <f t="shared" si="8"/>
        <v>1230.3149606299212</v>
      </c>
      <c r="V64" s="4">
        <f t="shared" si="9"/>
        <v>1279.5275590551187</v>
      </c>
      <c r="W64" s="4">
        <f t="shared" si="10"/>
        <v>2509.8425196850399</v>
      </c>
      <c r="X64" s="4">
        <f t="shared" si="11"/>
        <v>1148.1027721185201</v>
      </c>
      <c r="Y64" s="4">
        <f t="shared" si="12"/>
        <v>1230.9350306366989</v>
      </c>
      <c r="Z64" s="4">
        <f t="shared" si="13"/>
        <v>2379.0378027552188</v>
      </c>
      <c r="AA64" s="8" t="s">
        <v>213</v>
      </c>
      <c r="AB64" s="10">
        <v>44154</v>
      </c>
      <c r="AC64" s="4">
        <v>43.5</v>
      </c>
      <c r="AD64" s="15">
        <v>1.026</v>
      </c>
      <c r="AE64" s="4">
        <v>78.400000000000006</v>
      </c>
      <c r="AF64" s="4">
        <v>25.8</v>
      </c>
      <c r="AG64" s="4">
        <v>5.9</v>
      </c>
      <c r="AH64" s="4">
        <v>81.3</v>
      </c>
      <c r="AI64" s="4">
        <v>8.5</v>
      </c>
      <c r="AJ64" s="4" t="s">
        <v>184</v>
      </c>
      <c r="AK64" s="16">
        <v>11</v>
      </c>
      <c r="AL64" s="5">
        <v>0.38</v>
      </c>
      <c r="AM64" s="4">
        <v>14.7</v>
      </c>
      <c r="AO64" s="14"/>
      <c r="AP64" s="1"/>
      <c r="AQ64" s="1"/>
      <c r="AR64" s="2"/>
      <c r="AS64" s="2"/>
      <c r="AT64" s="2"/>
      <c r="AU64" s="1"/>
      <c r="AV64" s="2"/>
      <c r="AW64" s="2"/>
      <c r="AX64" s="2"/>
      <c r="AY64" s="7"/>
      <c r="AZ64" s="7"/>
      <c r="BA64" s="7"/>
      <c r="BB64" s="2"/>
      <c r="BC64" s="2"/>
      <c r="BD64" s="2"/>
      <c r="BE64" s="2"/>
      <c r="BF64" s="2"/>
      <c r="BG64" s="2"/>
      <c r="BH64" s="1"/>
      <c r="BI64" s="1"/>
      <c r="BJ64" s="1"/>
      <c r="BK64" s="1"/>
      <c r="BL64" s="1"/>
      <c r="BM64" s="1"/>
      <c r="BN64" s="11"/>
      <c r="BO64" s="1"/>
      <c r="BP64" s="1"/>
      <c r="BQ64" s="9"/>
      <c r="BR64" s="1"/>
      <c r="BS64" s="1"/>
      <c r="BT64" s="1"/>
      <c r="BU64" s="1"/>
      <c r="BV64" s="1"/>
      <c r="BX64" s="8"/>
      <c r="BY64" s="2"/>
      <c r="BZ64" s="1"/>
    </row>
    <row r="65" spans="1:78" x14ac:dyDescent="0.3">
      <c r="A65">
        <v>11</v>
      </c>
      <c r="B65" s="3" t="s">
        <v>249</v>
      </c>
      <c r="C65" s="3" t="s">
        <v>106</v>
      </c>
      <c r="D65" s="13">
        <v>44126</v>
      </c>
      <c r="E65" s="2">
        <v>2.1</v>
      </c>
      <c r="F65" s="2">
        <v>0.19</v>
      </c>
      <c r="G65" s="2">
        <f t="shared" si="1"/>
        <v>1.9100000000000001</v>
      </c>
      <c r="H65" s="4">
        <f t="shared" si="2"/>
        <v>4699.8031496062995</v>
      </c>
      <c r="I65" s="10">
        <v>44134</v>
      </c>
      <c r="J65" s="2">
        <v>1.01</v>
      </c>
      <c r="K65" s="2">
        <v>2.46</v>
      </c>
      <c r="L65" s="6">
        <f t="shared" si="3"/>
        <v>0.38219895287958111</v>
      </c>
      <c r="M65" s="6">
        <f t="shared" si="4"/>
        <v>0.40837696335078533</v>
      </c>
      <c r="N65" s="6">
        <f t="shared" si="5"/>
        <v>0.20942408376963362</v>
      </c>
      <c r="O65" s="2">
        <v>79.489999999999995</v>
      </c>
      <c r="P65" s="2">
        <v>76.650000000000006</v>
      </c>
      <c r="Q65" s="2">
        <v>144.69999999999999</v>
      </c>
      <c r="R65" s="2">
        <v>138.77000000000001</v>
      </c>
      <c r="S65" s="5">
        <f t="shared" si="6"/>
        <v>3.5727764498678947</v>
      </c>
      <c r="T65" s="5">
        <f t="shared" si="7"/>
        <v>4.098134070490655</v>
      </c>
      <c r="U65" s="4">
        <f t="shared" si="8"/>
        <v>1796.259842519685</v>
      </c>
      <c r="V65" s="4">
        <f t="shared" si="9"/>
        <v>1919.2913385826773</v>
      </c>
      <c r="W65" s="4">
        <f t="shared" si="10"/>
        <v>3715.5511811023625</v>
      </c>
      <c r="X65" s="4">
        <f t="shared" si="11"/>
        <v>1732.0834938877074</v>
      </c>
      <c r="Y65" s="4">
        <f t="shared" si="12"/>
        <v>1840.6362063242445</v>
      </c>
      <c r="Z65" s="4">
        <f t="shared" si="13"/>
        <v>3572.7197002119519</v>
      </c>
      <c r="AA65" t="s">
        <v>190</v>
      </c>
      <c r="AB65" s="10">
        <v>44154</v>
      </c>
      <c r="AC65" s="4">
        <v>40.5</v>
      </c>
      <c r="AD65" s="15">
        <v>1.0840000000000001</v>
      </c>
      <c r="AE65" s="4">
        <v>79.599999999999994</v>
      </c>
      <c r="AF65" s="4">
        <v>27.7</v>
      </c>
      <c r="AG65" s="4">
        <v>6</v>
      </c>
      <c r="AH65" s="4">
        <v>83.1</v>
      </c>
      <c r="AI65" s="4">
        <v>8.8000000000000007</v>
      </c>
      <c r="AJ65" s="4" t="s">
        <v>186</v>
      </c>
      <c r="AK65" s="16">
        <v>14</v>
      </c>
      <c r="AL65" s="5">
        <v>0.17</v>
      </c>
      <c r="AM65" s="4">
        <v>12.2</v>
      </c>
      <c r="AO65" s="14" t="s">
        <v>146</v>
      </c>
      <c r="AP65" s="1" t="s">
        <v>106</v>
      </c>
      <c r="AQ65" s="11">
        <f>D65</f>
        <v>44126</v>
      </c>
      <c r="AR65" s="2">
        <f>SUM(E65:E66)</f>
        <v>4.0199999999999996</v>
      </c>
      <c r="AS65" s="2">
        <f>SUM(F65:F66)</f>
        <v>0.36</v>
      </c>
      <c r="AT65" s="2">
        <f>AR65-AS65</f>
        <v>3.6599999999999997</v>
      </c>
      <c r="AU65" s="1">
        <f>AT65/(2*$A$43)*$A$44</f>
        <v>4502.9527559055114</v>
      </c>
      <c r="AV65" s="11">
        <f>I65</f>
        <v>44134</v>
      </c>
      <c r="AW65" s="2">
        <f>SUM(J65:J66)</f>
        <v>1.9300000000000002</v>
      </c>
      <c r="AX65" s="2">
        <f>SUM(K65:K66)</f>
        <v>4.82</v>
      </c>
      <c r="AY65" s="7">
        <f>(AW65-2*$A$45)/AT65</f>
        <v>0.37431693989071047</v>
      </c>
      <c r="AZ65" s="7">
        <f>(AX65-2*$A$46)/AT65</f>
        <v>0.39890710382513678</v>
      </c>
      <c r="BA65" s="7">
        <f>1-AY65-AZ65</f>
        <v>0.22677595628415276</v>
      </c>
      <c r="BB65" s="2">
        <f>SUM(O65:O66)</f>
        <v>144.03</v>
      </c>
      <c r="BC65" s="2">
        <f>SUM(P65:P66)</f>
        <v>138.93</v>
      </c>
      <c r="BD65" s="2">
        <f>SUM(Q65:Q66)</f>
        <v>274.88</v>
      </c>
      <c r="BE65" s="2">
        <f>SUM(R65:R66)</f>
        <v>263.67</v>
      </c>
      <c r="BF65" s="2">
        <f>(BB65-BC65)/BB65*100</f>
        <v>3.5409289731305935</v>
      </c>
      <c r="BG65" s="2">
        <f>(BD65-BE65)/BD65*100</f>
        <v>4.0781431897555223</v>
      </c>
      <c r="BH65" s="1">
        <f>AU65*AY65</f>
        <v>1685.5314960629923</v>
      </c>
      <c r="BI65" s="1">
        <f>AU65*AZ65</f>
        <v>1796.2598425196857</v>
      </c>
      <c r="BJ65" s="1">
        <f>BH65+BI65</f>
        <v>3481.7913385826778</v>
      </c>
      <c r="BK65" s="1">
        <f>BH65*(1-BF65/100)</f>
        <v>1625.8480229676563</v>
      </c>
      <c r="BL65" s="1">
        <f>BI65*(1-BG65/100)</f>
        <v>1723.0057940816557</v>
      </c>
      <c r="BM65" s="1">
        <f>BK65+BL65</f>
        <v>3348.8538170493121</v>
      </c>
      <c r="BN65" s="11" t="str">
        <f>AA65</f>
        <v>992013022212</v>
      </c>
      <c r="BO65" s="11">
        <f>AB65</f>
        <v>44154</v>
      </c>
      <c r="BP65" s="1">
        <f>AVERAGE(AC65:AC66)</f>
        <v>42</v>
      </c>
      <c r="BQ65" s="9">
        <f t="shared" ref="BQ65" si="50">AVERAGE(AD65:AD66)</f>
        <v>1.0845</v>
      </c>
      <c r="BR65" s="1">
        <f t="shared" ref="BR65" si="51">AVERAGE(AE65:AE66)</f>
        <v>79</v>
      </c>
      <c r="BS65" s="1">
        <f t="shared" ref="BS65" si="52">AVERAGE(AF65:AF66)</f>
        <v>27.6</v>
      </c>
      <c r="BT65" s="1">
        <f t="shared" ref="BT65" si="53">AVERAGE(AG65:AG66)</f>
        <v>6.05</v>
      </c>
      <c r="BU65" s="1">
        <f t="shared" ref="BU65" si="54">AVERAGE(AH65:AH66)</f>
        <v>82.1</v>
      </c>
      <c r="BV65" s="1">
        <f t="shared" ref="BV65" si="55">AVERAGE(AI65:AI66)</f>
        <v>8.6999999999999993</v>
      </c>
      <c r="BW65" s="1"/>
      <c r="BX65" s="8">
        <f t="shared" ref="BX65" si="56">AVERAGE(AK65:AK66)</f>
        <v>8</v>
      </c>
      <c r="BY65" s="2">
        <f t="shared" ref="BY65" si="57">AVERAGE(AL65:AL66)</f>
        <v>0.10500000000000001</v>
      </c>
      <c r="BZ65" s="1">
        <f t="shared" ref="BZ65" si="58">AVERAGE(AM65:AM66)</f>
        <v>12.649999999999999</v>
      </c>
    </row>
    <row r="66" spans="1:78" x14ac:dyDescent="0.3">
      <c r="A66">
        <v>12</v>
      </c>
      <c r="B66" s="3" t="s">
        <v>250</v>
      </c>
      <c r="C66" s="3" t="s">
        <v>106</v>
      </c>
      <c r="D66" s="13">
        <v>44126</v>
      </c>
      <c r="E66" s="2">
        <v>1.92</v>
      </c>
      <c r="F66" s="2">
        <v>0.17</v>
      </c>
      <c r="G66" s="2">
        <f t="shared" si="1"/>
        <v>1.75</v>
      </c>
      <c r="H66" s="4">
        <f t="shared" si="2"/>
        <v>4306.1023622047242</v>
      </c>
      <c r="I66" s="10">
        <v>44134</v>
      </c>
      <c r="J66" s="2">
        <v>0.92</v>
      </c>
      <c r="K66" s="2">
        <v>2.36</v>
      </c>
      <c r="L66" s="6">
        <f t="shared" si="3"/>
        <v>0.36571428571428571</v>
      </c>
      <c r="M66" s="6">
        <f t="shared" si="4"/>
        <v>0.38857142857142851</v>
      </c>
      <c r="N66" s="6">
        <f t="shared" si="5"/>
        <v>0.24571428571428583</v>
      </c>
      <c r="O66" s="2">
        <v>64.540000000000006</v>
      </c>
      <c r="P66" s="2">
        <v>62.28</v>
      </c>
      <c r="Q66" s="2">
        <v>130.18</v>
      </c>
      <c r="R66" s="2">
        <v>124.9</v>
      </c>
      <c r="S66" s="5">
        <f t="shared" si="6"/>
        <v>3.5017043693833356</v>
      </c>
      <c r="T66" s="5">
        <f t="shared" si="7"/>
        <v>4.0559225687509608</v>
      </c>
      <c r="U66" s="4">
        <f t="shared" si="8"/>
        <v>1574.803149606299</v>
      </c>
      <c r="V66" s="4">
        <f t="shared" si="9"/>
        <v>1673.2283464566926</v>
      </c>
      <c r="W66" s="4">
        <f t="shared" si="10"/>
        <v>3248.0314960629917</v>
      </c>
      <c r="X66" s="4">
        <f t="shared" si="11"/>
        <v>1519.6581989073488</v>
      </c>
      <c r="Y66" s="4">
        <f t="shared" si="12"/>
        <v>1605.3635003260172</v>
      </c>
      <c r="Z66" s="4">
        <f t="shared" si="13"/>
        <v>3125.0216992333662</v>
      </c>
      <c r="AA66" s="8" t="s">
        <v>214</v>
      </c>
      <c r="AB66" s="10">
        <v>44154</v>
      </c>
      <c r="AC66" s="4">
        <v>43.5</v>
      </c>
      <c r="AD66" s="15">
        <v>1.085</v>
      </c>
      <c r="AE66" s="4">
        <v>78.400000000000006</v>
      </c>
      <c r="AF66" s="4">
        <v>27.5</v>
      </c>
      <c r="AG66" s="4">
        <v>6.1</v>
      </c>
      <c r="AH66" s="4">
        <v>81.099999999999994</v>
      </c>
      <c r="AI66" s="4">
        <v>8.6</v>
      </c>
      <c r="AJ66" s="4" t="s">
        <v>184</v>
      </c>
      <c r="AK66" s="16">
        <v>2</v>
      </c>
      <c r="AL66" s="5">
        <v>0.04</v>
      </c>
      <c r="AM66" s="4">
        <v>13.1</v>
      </c>
      <c r="AO66" s="14"/>
      <c r="AP66" s="1"/>
      <c r="AQ66" s="1"/>
      <c r="AR66" s="2"/>
      <c r="AS66" s="2"/>
      <c r="AT66" s="2"/>
      <c r="AU66" s="1"/>
      <c r="AV66" s="2"/>
      <c r="AW66" s="2"/>
      <c r="AX66" s="2"/>
      <c r="AY66" s="7"/>
      <c r="AZ66" s="7"/>
      <c r="BA66" s="7"/>
      <c r="BB66" s="2"/>
      <c r="BC66" s="2"/>
      <c r="BD66" s="2"/>
      <c r="BE66" s="2"/>
      <c r="BF66" s="2"/>
      <c r="BG66" s="2"/>
      <c r="BH66" s="1"/>
      <c r="BI66" s="1"/>
      <c r="BJ66" s="1"/>
      <c r="BK66" s="1"/>
      <c r="BL66" s="1"/>
      <c r="BM66" s="1"/>
      <c r="BN66" s="11"/>
      <c r="BO66" s="1"/>
      <c r="BP66" s="1"/>
      <c r="BQ66" s="9"/>
      <c r="BR66" s="1"/>
      <c r="BS66" s="1"/>
      <c r="BT66" s="1"/>
      <c r="BU66" s="1"/>
      <c r="BV66" s="1"/>
      <c r="BX66" s="8"/>
      <c r="BY66" s="2"/>
      <c r="BZ66" s="1"/>
    </row>
    <row r="67" spans="1:78" x14ac:dyDescent="0.3">
      <c r="A67">
        <v>13</v>
      </c>
      <c r="B67" s="3" t="s">
        <v>251</v>
      </c>
      <c r="C67" s="3" t="s">
        <v>106</v>
      </c>
      <c r="D67" s="13">
        <v>44126</v>
      </c>
      <c r="E67" s="2">
        <v>1.51</v>
      </c>
      <c r="F67" s="2">
        <v>0.18</v>
      </c>
      <c r="G67" s="2">
        <f t="shared" si="1"/>
        <v>1.33</v>
      </c>
      <c r="H67" s="4">
        <f t="shared" si="2"/>
        <v>3272.6377952755906</v>
      </c>
      <c r="I67" s="10">
        <v>44134</v>
      </c>
      <c r="J67" s="2">
        <v>0.76</v>
      </c>
      <c r="K67" s="2">
        <v>2.14</v>
      </c>
      <c r="L67" s="6">
        <f t="shared" si="3"/>
        <v>0.36090225563909772</v>
      </c>
      <c r="M67" s="6">
        <f t="shared" si="4"/>
        <v>0.34586466165413549</v>
      </c>
      <c r="N67" s="6">
        <f t="shared" si="5"/>
        <v>0.29323308270676679</v>
      </c>
      <c r="O67" s="2">
        <v>68.010000000000005</v>
      </c>
      <c r="P67" s="2">
        <v>65.680000000000007</v>
      </c>
      <c r="Q67" s="2">
        <v>168.15</v>
      </c>
      <c r="R67" s="2">
        <v>161.88</v>
      </c>
      <c r="S67" s="5">
        <f t="shared" si="6"/>
        <v>3.4259667695927041</v>
      </c>
      <c r="T67" s="5">
        <f t="shared" si="7"/>
        <v>3.7288135593220395</v>
      </c>
      <c r="U67" s="4">
        <f t="shared" si="8"/>
        <v>1181.1023622047244</v>
      </c>
      <c r="V67" s="4">
        <f t="shared" si="9"/>
        <v>1131.889763779528</v>
      </c>
      <c r="W67" s="4">
        <f t="shared" si="10"/>
        <v>2312.9921259842522</v>
      </c>
      <c r="X67" s="4">
        <f t="shared" si="11"/>
        <v>1140.6381877607162</v>
      </c>
      <c r="Y67" s="4">
        <f t="shared" si="12"/>
        <v>1089.6837047911388</v>
      </c>
      <c r="Z67" s="4">
        <f t="shared" si="13"/>
        <v>2230.3218925518549</v>
      </c>
      <c r="AA67" t="s">
        <v>191</v>
      </c>
      <c r="AB67" s="10">
        <v>44154</v>
      </c>
      <c r="AC67" s="4">
        <v>39.200000000000003</v>
      </c>
      <c r="AD67" s="15">
        <v>1.046</v>
      </c>
      <c r="AE67" s="4">
        <v>77.8</v>
      </c>
      <c r="AF67" s="4">
        <v>26.3</v>
      </c>
      <c r="AG67" s="4">
        <v>5.9</v>
      </c>
      <c r="AH67" s="4">
        <v>81.7</v>
      </c>
      <c r="AI67" s="4">
        <v>8.6999999999999993</v>
      </c>
      <c r="AJ67" s="4" t="s">
        <v>186</v>
      </c>
      <c r="AK67" s="16">
        <v>9</v>
      </c>
      <c r="AL67" s="5">
        <v>0.15</v>
      </c>
      <c r="AM67" s="4">
        <v>14.9</v>
      </c>
      <c r="AO67" s="14" t="s">
        <v>147</v>
      </c>
      <c r="AP67" s="1" t="s">
        <v>106</v>
      </c>
      <c r="AQ67" s="11">
        <f>D67</f>
        <v>44126</v>
      </c>
      <c r="AR67" s="2">
        <f>SUM(E67:E68)</f>
        <v>2.8200000000000003</v>
      </c>
      <c r="AS67" s="2">
        <f>SUM(F67:F68)</f>
        <v>0.36</v>
      </c>
      <c r="AT67" s="2">
        <f>AR67-AS67</f>
        <v>2.4600000000000004</v>
      </c>
      <c r="AU67" s="1">
        <f>AT67/(2*$A$43)*$A$44</f>
        <v>3026.5748031496069</v>
      </c>
      <c r="AV67" s="11">
        <f>I67</f>
        <v>44134</v>
      </c>
      <c r="AW67" s="2">
        <f>SUM(J67:J68)</f>
        <v>1.4</v>
      </c>
      <c r="AX67" s="2">
        <f>SUM(K67:K68)</f>
        <v>4.1400000000000006</v>
      </c>
      <c r="AY67" s="7">
        <f>(AW67-2*$A$45)/AT67</f>
        <v>0.3414634146341462</v>
      </c>
      <c r="AZ67" s="7">
        <f>(AX67-2*$A$46)/AT67</f>
        <v>0.31707317073170754</v>
      </c>
      <c r="BA67" s="7">
        <f>1-AY67-AZ67</f>
        <v>0.34146341463414626</v>
      </c>
      <c r="BB67" s="2">
        <f>SUM(O67:O68)</f>
        <v>126.55000000000001</v>
      </c>
      <c r="BC67" s="2">
        <f>SUM(P67:P68)</f>
        <v>122.24000000000001</v>
      </c>
      <c r="BD67" s="2">
        <f>SUM(Q67:Q68)</f>
        <v>268.52</v>
      </c>
      <c r="BE67" s="2">
        <f>SUM(R67:R68)</f>
        <v>258.51</v>
      </c>
      <c r="BF67" s="2">
        <f>(BB67-BC67)/BB67*100</f>
        <v>3.4057684709600968</v>
      </c>
      <c r="BG67" s="2">
        <f>(BD67-BE67)/BD67*100</f>
        <v>3.727841501564126</v>
      </c>
      <c r="BH67" s="1">
        <f>AU67*AY67</f>
        <v>1033.4645669291335</v>
      </c>
      <c r="BI67" s="1">
        <f>AU67*AZ67</f>
        <v>959.64566929133946</v>
      </c>
      <c r="BJ67" s="1">
        <f>BH67+BI67</f>
        <v>1993.1102362204729</v>
      </c>
      <c r="BK67" s="1">
        <f>BH67*(1-BF67/100)</f>
        <v>998.26715655011674</v>
      </c>
      <c r="BL67" s="1">
        <f>BI67*(1-BG67/100)</f>
        <v>923.87159976353416</v>
      </c>
      <c r="BM67" s="1">
        <f>BK67+BL67</f>
        <v>1922.1387563136509</v>
      </c>
      <c r="BN67" s="11" t="str">
        <f>AA67</f>
        <v>992013023214</v>
      </c>
      <c r="BO67" s="11">
        <f>AB67</f>
        <v>44154</v>
      </c>
      <c r="BP67" s="1">
        <f>AVERAGE(AC67:AC68)</f>
        <v>38.549999999999997</v>
      </c>
      <c r="BQ67" s="9">
        <f t="shared" ref="BQ67" si="59">AVERAGE(AD67:AD68)</f>
        <v>1.0565</v>
      </c>
      <c r="BR67" s="1">
        <f t="shared" ref="BR67" si="60">AVERAGE(AE67:AE68)</f>
        <v>78.099999999999994</v>
      </c>
      <c r="BS67" s="1">
        <f t="shared" ref="BS67" si="61">AVERAGE(AF67:AF68)</f>
        <v>26.35</v>
      </c>
      <c r="BT67" s="1">
        <f t="shared" ref="BT67" si="62">AVERAGE(AG67:AG68)</f>
        <v>6</v>
      </c>
      <c r="BU67" s="1">
        <f t="shared" ref="BU67" si="63">AVERAGE(AH67:AH68)</f>
        <v>82.1</v>
      </c>
      <c r="BV67" s="1">
        <f t="shared" ref="BV67" si="64">AVERAGE(AI67:AI68)</f>
        <v>8.8000000000000007</v>
      </c>
      <c r="BW67" s="1"/>
      <c r="BX67" s="8">
        <f t="shared" ref="BX67" si="65">AVERAGE(AK67:AK68)</f>
        <v>7.5</v>
      </c>
      <c r="BY67" s="2">
        <f t="shared" ref="BY67" si="66">AVERAGE(AL67:AL68)</f>
        <v>0.13</v>
      </c>
      <c r="BZ67" s="1">
        <f t="shared" ref="BZ67" si="67">AVERAGE(AM67:AM68)</f>
        <v>13.8</v>
      </c>
    </row>
    <row r="68" spans="1:78" x14ac:dyDescent="0.3">
      <c r="A68">
        <v>14</v>
      </c>
      <c r="B68" s="3" t="s">
        <v>252</v>
      </c>
      <c r="C68" s="3" t="s">
        <v>106</v>
      </c>
      <c r="D68" s="13">
        <v>44126</v>
      </c>
      <c r="E68" s="2">
        <v>1.31</v>
      </c>
      <c r="F68" s="2">
        <v>0.18</v>
      </c>
      <c r="G68" s="2">
        <f t="shared" si="1"/>
        <v>1.1300000000000001</v>
      </c>
      <c r="H68" s="4">
        <f t="shared" si="2"/>
        <v>2780.5118110236222</v>
      </c>
      <c r="I68" s="10">
        <v>44134</v>
      </c>
      <c r="J68" s="2">
        <v>0.64</v>
      </c>
      <c r="K68" s="2">
        <v>2</v>
      </c>
      <c r="L68" s="6">
        <f t="shared" si="3"/>
        <v>0.31858407079646012</v>
      </c>
      <c r="M68" s="6">
        <f t="shared" si="4"/>
        <v>0.28318584070796465</v>
      </c>
      <c r="N68" s="6">
        <f t="shared" si="5"/>
        <v>0.39823008849557523</v>
      </c>
      <c r="O68" s="2">
        <v>58.54</v>
      </c>
      <c r="P68" s="2">
        <v>56.56</v>
      </c>
      <c r="Q68" s="2">
        <v>100.37</v>
      </c>
      <c r="R68" s="2">
        <v>96.63</v>
      </c>
      <c r="S68" s="5">
        <f t="shared" si="6"/>
        <v>3.3823026990092195</v>
      </c>
      <c r="T68" s="5">
        <f t="shared" si="7"/>
        <v>3.7262130118561414</v>
      </c>
      <c r="U68" s="4">
        <f t="shared" si="8"/>
        <v>885.82677165354312</v>
      </c>
      <c r="V68" s="4">
        <f t="shared" si="9"/>
        <v>787.40157480314974</v>
      </c>
      <c r="W68" s="4">
        <f t="shared" si="10"/>
        <v>1673.2283464566929</v>
      </c>
      <c r="X68" s="4">
        <f t="shared" si="11"/>
        <v>855.86542884735911</v>
      </c>
      <c r="Y68" s="4">
        <f t="shared" si="12"/>
        <v>758.06131486727463</v>
      </c>
      <c r="Z68" s="4">
        <f t="shared" si="13"/>
        <v>1613.9267437146336</v>
      </c>
      <c r="AA68" s="8" t="s">
        <v>215</v>
      </c>
      <c r="AB68" s="10">
        <v>44154</v>
      </c>
      <c r="AC68" s="4">
        <v>37.9</v>
      </c>
      <c r="AD68" s="15">
        <v>1.0669999999999999</v>
      </c>
      <c r="AE68" s="4">
        <v>78.400000000000006</v>
      </c>
      <c r="AF68" s="4">
        <v>26.4</v>
      </c>
      <c r="AG68" s="4">
        <v>6.1</v>
      </c>
      <c r="AH68" s="4">
        <v>82.5</v>
      </c>
      <c r="AI68" s="4">
        <v>8.9</v>
      </c>
      <c r="AJ68" s="4" t="s">
        <v>186</v>
      </c>
      <c r="AK68" s="16">
        <v>6</v>
      </c>
      <c r="AL68" s="5">
        <v>0.11</v>
      </c>
      <c r="AM68" s="4">
        <v>12.7</v>
      </c>
      <c r="AO68" s="14"/>
      <c r="AP68" s="1"/>
      <c r="AQ68" s="1"/>
      <c r="AR68" s="2"/>
      <c r="AS68" s="2"/>
      <c r="AT68" s="2"/>
      <c r="AU68" s="1"/>
      <c r="AV68" s="2"/>
      <c r="AW68" s="2"/>
      <c r="AX68" s="2"/>
      <c r="AY68" s="7"/>
      <c r="AZ68" s="7"/>
      <c r="BA68" s="7"/>
      <c r="BB68" s="2"/>
      <c r="BC68" s="2"/>
      <c r="BD68" s="2"/>
      <c r="BE68" s="2"/>
      <c r="BF68" s="2"/>
      <c r="BG68" s="2"/>
      <c r="BH68" s="1"/>
      <c r="BI68" s="1"/>
      <c r="BJ68" s="1"/>
      <c r="BK68" s="1"/>
      <c r="BL68" s="1"/>
      <c r="BM68" s="1"/>
      <c r="BN68" s="11"/>
      <c r="BO68" s="1"/>
      <c r="BP68" s="1"/>
      <c r="BQ68" s="9"/>
      <c r="BR68" s="1"/>
      <c r="BS68" s="1"/>
      <c r="BT68" s="1"/>
      <c r="BU68" s="1"/>
      <c r="BV68" s="1"/>
      <c r="BX68" s="8"/>
      <c r="BY68" s="2"/>
      <c r="BZ68" s="1"/>
    </row>
    <row r="69" spans="1:78" x14ac:dyDescent="0.3">
      <c r="A69">
        <v>15</v>
      </c>
      <c r="B69" s="3" t="s">
        <v>253</v>
      </c>
      <c r="C69" s="3" t="s">
        <v>106</v>
      </c>
      <c r="D69" s="13">
        <v>44126</v>
      </c>
      <c r="E69" s="2">
        <v>1.47</v>
      </c>
      <c r="F69" s="2">
        <v>0.18</v>
      </c>
      <c r="G69" s="2">
        <f t="shared" si="1"/>
        <v>1.29</v>
      </c>
      <c r="H69" s="4">
        <f t="shared" si="2"/>
        <v>3174.2125984251966</v>
      </c>
      <c r="I69" s="10">
        <v>44134</v>
      </c>
      <c r="J69" s="2">
        <v>0.74</v>
      </c>
      <c r="K69" s="2">
        <v>2.1</v>
      </c>
      <c r="L69" s="6">
        <f t="shared" si="3"/>
        <v>0.35658914728682167</v>
      </c>
      <c r="M69" s="6">
        <f t="shared" si="4"/>
        <v>0.32558139534883734</v>
      </c>
      <c r="N69" s="6">
        <f t="shared" si="5"/>
        <v>0.31782945736434098</v>
      </c>
      <c r="O69" s="2">
        <v>58.64</v>
      </c>
      <c r="P69" s="2">
        <v>56.69</v>
      </c>
      <c r="Q69" s="2">
        <v>112.54</v>
      </c>
      <c r="R69" s="2">
        <v>108.32</v>
      </c>
      <c r="S69" s="5">
        <f t="shared" si="6"/>
        <v>3.3253751705320647</v>
      </c>
      <c r="T69" s="5">
        <f t="shared" si="7"/>
        <v>3.7497778567620514</v>
      </c>
      <c r="U69" s="4">
        <f t="shared" si="8"/>
        <v>1131.8897637795274</v>
      </c>
      <c r="V69" s="4">
        <f t="shared" si="9"/>
        <v>1033.4645669291342</v>
      </c>
      <c r="W69" s="4">
        <f t="shared" si="10"/>
        <v>2165.3543307086616</v>
      </c>
      <c r="X69" s="4">
        <f t="shared" si="11"/>
        <v>1094.2501826170089</v>
      </c>
      <c r="Y69" s="4">
        <f t="shared" si="12"/>
        <v>994.71194144094375</v>
      </c>
      <c r="Z69" s="4">
        <f t="shared" si="13"/>
        <v>2088.9621240579527</v>
      </c>
      <c r="AA69" t="s">
        <v>192</v>
      </c>
      <c r="AB69" s="10">
        <v>44154</v>
      </c>
      <c r="AC69" s="4">
        <v>42.199999999999996</v>
      </c>
      <c r="AD69" s="15">
        <v>0.999</v>
      </c>
      <c r="AE69" s="4">
        <v>76.5</v>
      </c>
      <c r="AF69" s="4">
        <v>24.5</v>
      </c>
      <c r="AG69" s="4">
        <v>6.2</v>
      </c>
      <c r="AH69" s="4">
        <v>81.099999999999994</v>
      </c>
      <c r="AI69" s="4">
        <v>8.9</v>
      </c>
      <c r="AJ69" s="4" t="s">
        <v>188</v>
      </c>
      <c r="AK69" s="16">
        <v>12</v>
      </c>
      <c r="AL69" s="5">
        <v>0.2</v>
      </c>
      <c r="AM69" s="4">
        <v>18.5</v>
      </c>
      <c r="AO69" s="14" t="s">
        <v>148</v>
      </c>
      <c r="AP69" s="1" t="s">
        <v>106</v>
      </c>
      <c r="AQ69" s="11">
        <f>D69</f>
        <v>44126</v>
      </c>
      <c r="AR69" s="2">
        <f>SUM(E69:E70)</f>
        <v>3.0300000000000002</v>
      </c>
      <c r="AS69" s="2">
        <f>SUM(F69:F70)</f>
        <v>0.35</v>
      </c>
      <c r="AT69" s="2">
        <f>AR69-AS69</f>
        <v>2.68</v>
      </c>
      <c r="AU69" s="1">
        <f>AT69/(2*$A$43)*$A$44</f>
        <v>3297.2440944881891</v>
      </c>
      <c r="AV69" s="11">
        <f>I69</f>
        <v>44134</v>
      </c>
      <c r="AW69" s="2">
        <f>SUM(J69:J70)</f>
        <v>1.52</v>
      </c>
      <c r="AX69" s="2">
        <f>SUM(K69:K70)</f>
        <v>4.26</v>
      </c>
      <c r="AY69" s="7">
        <f>(AW69-2*$A$45)/AT69</f>
        <v>0.35820895522388058</v>
      </c>
      <c r="AZ69" s="7">
        <f>(AX69-2*$A$46)/AT69</f>
        <v>0.33582089552238803</v>
      </c>
      <c r="BA69" s="7">
        <f>1-AY69-AZ69</f>
        <v>0.30597014925373145</v>
      </c>
      <c r="BB69" s="2">
        <f>SUM(O69:O70)</f>
        <v>116.49000000000001</v>
      </c>
      <c r="BC69" s="2">
        <f>SUM(P69:P70)</f>
        <v>112.61</v>
      </c>
      <c r="BD69" s="2">
        <f>SUM(Q69:Q70)</f>
        <v>254.57999999999998</v>
      </c>
      <c r="BE69" s="2">
        <f>SUM(R69:R70)</f>
        <v>244.92</v>
      </c>
      <c r="BF69" s="2">
        <f>(BB69-BC69)/BB69*100</f>
        <v>3.3307580049789758</v>
      </c>
      <c r="BG69" s="2">
        <f>(BD69-BE69)/BD69*100</f>
        <v>3.7944850341739325</v>
      </c>
      <c r="BH69" s="1">
        <f>AU69*AY69</f>
        <v>1181.1023622047244</v>
      </c>
      <c r="BI69" s="1">
        <f>AU69*AZ69</f>
        <v>1107.2834645669291</v>
      </c>
      <c r="BJ69" s="1">
        <f>BH69+BI69</f>
        <v>2288.3858267716532</v>
      </c>
      <c r="BK69" s="1">
        <f>BH69*(1-BF69/100)</f>
        <v>1141.7627007285948</v>
      </c>
      <c r="BL69" s="1">
        <f>BI69*(1-BG69/100)</f>
        <v>1065.2677592180544</v>
      </c>
      <c r="BM69" s="1">
        <f>BK69+BL69</f>
        <v>2207.030459946649</v>
      </c>
      <c r="BN69" s="11" t="str">
        <f>AA69</f>
        <v>992013024216</v>
      </c>
      <c r="BO69" s="11">
        <f>AB69</f>
        <v>44154</v>
      </c>
      <c r="BP69" s="1">
        <f>AVERAGE(AC69:AC70)</f>
        <v>41.25</v>
      </c>
      <c r="BQ69" s="9">
        <f t="shared" ref="BQ69" si="68">AVERAGE(AD69:AD70)</f>
        <v>1.0405</v>
      </c>
      <c r="BR69" s="1">
        <f t="shared" ref="BR69" si="69">AVERAGE(AE69:AE70)</f>
        <v>77.8</v>
      </c>
      <c r="BS69" s="1">
        <f t="shared" ref="BS69" si="70">AVERAGE(AF69:AF70)</f>
        <v>25.9</v>
      </c>
      <c r="BT69" s="1">
        <f t="shared" ref="BT69" si="71">AVERAGE(AG69:AG70)</f>
        <v>6.1</v>
      </c>
      <c r="BU69" s="1">
        <f t="shared" ref="BU69" si="72">AVERAGE(AH69:AH70)</f>
        <v>81.55</v>
      </c>
      <c r="BV69" s="1">
        <f t="shared" ref="BV69" si="73">AVERAGE(AI69:AI70)</f>
        <v>8.75</v>
      </c>
      <c r="BW69" s="1"/>
      <c r="BX69" s="8">
        <f t="shared" ref="BX69" si="74">AVERAGE(AK69:AK70)</f>
        <v>10</v>
      </c>
      <c r="BY69" s="2">
        <f t="shared" ref="BY69" si="75">AVERAGE(AL69:AL70)</f>
        <v>0.17</v>
      </c>
      <c r="BZ69" s="1">
        <f t="shared" ref="BZ69" si="76">AVERAGE(AM69:AM70)</f>
        <v>15.4</v>
      </c>
    </row>
    <row r="70" spans="1:78" x14ac:dyDescent="0.3">
      <c r="A70">
        <v>16</v>
      </c>
      <c r="B70" s="3" t="s">
        <v>254</v>
      </c>
      <c r="C70" s="3" t="s">
        <v>106</v>
      </c>
      <c r="D70" s="13">
        <v>44126</v>
      </c>
      <c r="E70" s="2">
        <v>1.56</v>
      </c>
      <c r="F70" s="2">
        <v>0.17</v>
      </c>
      <c r="G70" s="2">
        <f t="shared" si="1"/>
        <v>1.3900000000000001</v>
      </c>
      <c r="H70" s="4">
        <f t="shared" si="2"/>
        <v>3420.2755905511813</v>
      </c>
      <c r="I70" s="10">
        <v>44134</v>
      </c>
      <c r="J70" s="2">
        <v>0.78</v>
      </c>
      <c r="K70" s="2">
        <v>2.16</v>
      </c>
      <c r="L70" s="6">
        <f t="shared" si="3"/>
        <v>0.35971223021582732</v>
      </c>
      <c r="M70" s="6">
        <f t="shared" si="4"/>
        <v>0.34532374100719437</v>
      </c>
      <c r="N70" s="6">
        <f t="shared" si="5"/>
        <v>0.2949640287769783</v>
      </c>
      <c r="O70" s="2">
        <v>57.85</v>
      </c>
      <c r="P70" s="2">
        <v>55.92</v>
      </c>
      <c r="Q70" s="2">
        <v>142.04</v>
      </c>
      <c r="R70" s="2">
        <v>136.6</v>
      </c>
      <c r="S70" s="5">
        <f t="shared" si="6"/>
        <v>3.3362143474503019</v>
      </c>
      <c r="T70" s="5">
        <f t="shared" si="7"/>
        <v>3.8299070684314263</v>
      </c>
      <c r="U70" s="4">
        <f t="shared" si="8"/>
        <v>1230.3149606299212</v>
      </c>
      <c r="V70" s="4">
        <f t="shared" si="9"/>
        <v>1181.1023622047248</v>
      </c>
      <c r="W70" s="4">
        <f t="shared" si="10"/>
        <v>2411.4173228346463</v>
      </c>
      <c r="X70" s="4">
        <f t="shared" si="11"/>
        <v>1189.2690163945581</v>
      </c>
      <c r="Y70" s="4">
        <f t="shared" si="12"/>
        <v>1135.8672393492354</v>
      </c>
      <c r="Z70" s="4">
        <f t="shared" si="13"/>
        <v>2325.1362557437933</v>
      </c>
      <c r="AA70" s="8" t="s">
        <v>216</v>
      </c>
      <c r="AB70" s="10">
        <v>44154</v>
      </c>
      <c r="AC70" s="4">
        <v>40.300000000000004</v>
      </c>
      <c r="AD70" s="15">
        <v>1.0820000000000001</v>
      </c>
      <c r="AE70" s="4">
        <v>79.099999999999994</v>
      </c>
      <c r="AF70" s="4">
        <v>27.3</v>
      </c>
      <c r="AG70" s="4">
        <v>6</v>
      </c>
      <c r="AH70" s="4">
        <v>82</v>
      </c>
      <c r="AI70" s="4">
        <v>8.6</v>
      </c>
      <c r="AJ70" s="4" t="s">
        <v>188</v>
      </c>
      <c r="AK70" s="16">
        <v>8</v>
      </c>
      <c r="AL70" s="5">
        <v>0.14000000000000001</v>
      </c>
      <c r="AM70" s="4">
        <v>12.3</v>
      </c>
      <c r="AO70" s="14"/>
      <c r="AP70" s="1"/>
      <c r="AQ70" s="1"/>
      <c r="AR70" s="2"/>
      <c r="AS70" s="2"/>
      <c r="AT70" s="2"/>
      <c r="AU70" s="1"/>
      <c r="AV70" s="2"/>
      <c r="AW70" s="2"/>
      <c r="AX70" s="2"/>
      <c r="AY70" s="7"/>
      <c r="AZ70" s="7"/>
      <c r="BA70" s="7"/>
      <c r="BB70" s="2"/>
      <c r="BC70" s="2"/>
      <c r="BD70" s="2"/>
      <c r="BE70" s="2"/>
      <c r="BF70" s="2"/>
      <c r="BG70" s="2"/>
      <c r="BH70" s="1"/>
      <c r="BI70" s="1"/>
      <c r="BJ70" s="1"/>
      <c r="BK70" s="1"/>
      <c r="BL70" s="1"/>
      <c r="BM70" s="1"/>
      <c r="BN70" s="11"/>
      <c r="BO70" s="1"/>
      <c r="BP70" s="1"/>
      <c r="BQ70" s="9"/>
      <c r="BR70" s="1"/>
      <c r="BS70" s="1"/>
      <c r="BT70" s="1"/>
      <c r="BU70" s="1"/>
      <c r="BV70" s="1"/>
      <c r="BX70" s="8"/>
      <c r="BY70" s="2"/>
      <c r="BZ70" s="1"/>
    </row>
    <row r="71" spans="1:78" x14ac:dyDescent="0.3">
      <c r="A71">
        <v>17</v>
      </c>
      <c r="B71" s="3" t="s">
        <v>255</v>
      </c>
      <c r="C71" s="3" t="s">
        <v>106</v>
      </c>
      <c r="D71" s="13">
        <v>44126</v>
      </c>
      <c r="E71" s="2">
        <v>1.63</v>
      </c>
      <c r="F71" s="2">
        <v>0.17</v>
      </c>
      <c r="G71" s="2">
        <f t="shared" si="1"/>
        <v>1.46</v>
      </c>
      <c r="H71" s="4">
        <f t="shared" si="2"/>
        <v>3592.51968503937</v>
      </c>
      <c r="I71" s="10">
        <v>44134</v>
      </c>
      <c r="J71" s="2">
        <v>0.78</v>
      </c>
      <c r="K71" s="2">
        <v>2.2200000000000002</v>
      </c>
      <c r="L71" s="6">
        <f t="shared" si="3"/>
        <v>0.34246575342465752</v>
      </c>
      <c r="M71" s="6">
        <f t="shared" si="4"/>
        <v>0.36986301369863034</v>
      </c>
      <c r="N71" s="6">
        <f t="shared" si="5"/>
        <v>0.28767123287671209</v>
      </c>
      <c r="O71" s="2">
        <v>60.98</v>
      </c>
      <c r="P71" s="2">
        <v>59.16</v>
      </c>
      <c r="Q71" s="2">
        <v>140.97999999999999</v>
      </c>
      <c r="R71" s="2">
        <v>135.44999999999999</v>
      </c>
      <c r="S71" s="5">
        <f t="shared" si="6"/>
        <v>2.9845851098720901</v>
      </c>
      <c r="T71" s="5">
        <f t="shared" si="7"/>
        <v>3.9225422045680247</v>
      </c>
      <c r="U71" s="4">
        <f t="shared" si="8"/>
        <v>1230.3149606299212</v>
      </c>
      <c r="V71" s="4">
        <f t="shared" si="9"/>
        <v>1328.7401574803157</v>
      </c>
      <c r="W71" s="4">
        <f t="shared" si="10"/>
        <v>2559.0551181102369</v>
      </c>
      <c r="X71" s="4">
        <f t="shared" si="11"/>
        <v>1193.5951635104318</v>
      </c>
      <c r="Y71" s="4">
        <f t="shared" si="12"/>
        <v>1276.6197640141067</v>
      </c>
      <c r="Z71" s="4">
        <f t="shared" si="13"/>
        <v>2470.2149275245383</v>
      </c>
      <c r="AA71" t="s">
        <v>193</v>
      </c>
      <c r="AB71" s="10">
        <v>44154</v>
      </c>
      <c r="AC71" s="4">
        <v>40.300000000000004</v>
      </c>
      <c r="AD71" s="15">
        <v>1.0509999999999999</v>
      </c>
      <c r="AE71" s="4">
        <v>79.099999999999994</v>
      </c>
      <c r="AF71" s="4">
        <v>27.1</v>
      </c>
      <c r="AG71" s="4">
        <v>6</v>
      </c>
      <c r="AH71" s="4">
        <v>82.7</v>
      </c>
      <c r="AI71" s="4">
        <v>8.9</v>
      </c>
      <c r="AJ71" s="4" t="s">
        <v>186</v>
      </c>
      <c r="AK71" s="16">
        <v>6</v>
      </c>
      <c r="AL71" s="5">
        <v>0.12</v>
      </c>
      <c r="AM71" s="4">
        <v>13</v>
      </c>
      <c r="AO71" s="14" t="s">
        <v>149</v>
      </c>
      <c r="AP71" s="1" t="s">
        <v>106</v>
      </c>
      <c r="AQ71" s="11">
        <f>D71</f>
        <v>44126</v>
      </c>
      <c r="AR71" s="2">
        <f>SUM(E71:E72)</f>
        <v>3.15</v>
      </c>
      <c r="AS71" s="2">
        <f>SUM(F71:F72)</f>
        <v>0.34</v>
      </c>
      <c r="AT71" s="2">
        <f>AR71-AS71</f>
        <v>2.81</v>
      </c>
      <c r="AU71" s="1">
        <f>AT71/(2*$A$43)*$A$44</f>
        <v>3457.1850393700788</v>
      </c>
      <c r="AV71" s="11">
        <f>I71</f>
        <v>44134</v>
      </c>
      <c r="AW71" s="2">
        <f>SUM(J71:J72)</f>
        <v>1.54</v>
      </c>
      <c r="AX71" s="2">
        <f>SUM(K71:K72)</f>
        <v>4.3600000000000003</v>
      </c>
      <c r="AY71" s="7">
        <f>(AW71-2*$A$45)/AT71</f>
        <v>0.3487544483985765</v>
      </c>
      <c r="AZ71" s="7">
        <f>(AX71-2*$A$46)/AT71</f>
        <v>0.35587188612099657</v>
      </c>
      <c r="BA71" s="7">
        <f>1-AY71-AZ71</f>
        <v>0.29537366548042693</v>
      </c>
      <c r="BB71" s="2">
        <f>SUM(O71:O72)</f>
        <v>104.8</v>
      </c>
      <c r="BC71" s="2">
        <f>SUM(P71:P72)</f>
        <v>101.53</v>
      </c>
      <c r="BD71" s="2">
        <f>SUM(Q71:Q72)</f>
        <v>279.33</v>
      </c>
      <c r="BE71" s="2">
        <f>SUM(R71:R72)</f>
        <v>268.27999999999997</v>
      </c>
      <c r="BF71" s="2">
        <f>(BB71-BC71)/BB71*100</f>
        <v>3.1202290076335841</v>
      </c>
      <c r="BG71" s="2">
        <f>(BD71-BE71)/BD71*100</f>
        <v>3.9558944617477581</v>
      </c>
      <c r="BH71" s="1">
        <f>AU71*AY71</f>
        <v>1205.7086614173229</v>
      </c>
      <c r="BI71" s="1">
        <f>AU71*AZ71</f>
        <v>1230.3149606299216</v>
      </c>
      <c r="BJ71" s="1">
        <f>BH71+BI71</f>
        <v>2436.0236220472443</v>
      </c>
      <c r="BK71" s="1">
        <f>BH71*(1-BF71/100)</f>
        <v>1168.0877900162291</v>
      </c>
      <c r="BL71" s="1">
        <f>BI71*(1-BG71/100)</f>
        <v>1181.6449992403086</v>
      </c>
      <c r="BM71" s="1">
        <f>BK71+BL71</f>
        <v>2349.7327892565377</v>
      </c>
      <c r="BN71" s="11" t="str">
        <f>AA71</f>
        <v>992013031218</v>
      </c>
      <c r="BO71" s="11">
        <f>AB71</f>
        <v>44154</v>
      </c>
      <c r="BP71" s="1">
        <f>AVERAGE(AC71:AC72)</f>
        <v>40.75</v>
      </c>
      <c r="BQ71" s="9">
        <f t="shared" ref="BQ71" si="77">AVERAGE(AD71:AD72)</f>
        <v>1.0514999999999999</v>
      </c>
      <c r="BR71" s="1">
        <f t="shared" ref="BR71" si="78">AVERAGE(AE71:AE72)</f>
        <v>79.099999999999994</v>
      </c>
      <c r="BS71" s="1">
        <f t="shared" ref="BS71" si="79">AVERAGE(AF71:AF72)</f>
        <v>26.950000000000003</v>
      </c>
      <c r="BT71" s="1">
        <f t="shared" ref="BT71" si="80">AVERAGE(AG71:AG72)</f>
        <v>6</v>
      </c>
      <c r="BU71" s="1">
        <f t="shared" ref="BU71" si="81">AVERAGE(AH71:AH72)</f>
        <v>80</v>
      </c>
      <c r="BV71" s="1">
        <f t="shared" ref="BV71" si="82">AVERAGE(AI71:AI72)</f>
        <v>8.6000000000000014</v>
      </c>
      <c r="BW71" s="1"/>
      <c r="BX71" s="8">
        <f t="shared" ref="BX71" si="83">AVERAGE(AK71:AK72)</f>
        <v>6.5</v>
      </c>
      <c r="BY71" s="2">
        <f t="shared" ref="BY71" si="84">AVERAGE(AL71:AL72)</f>
        <v>0.09</v>
      </c>
      <c r="BZ71" s="1">
        <f t="shared" ref="BZ71" si="85">AVERAGE(AM71:AM72)</f>
        <v>13.25</v>
      </c>
    </row>
    <row r="72" spans="1:78" x14ac:dyDescent="0.3">
      <c r="A72">
        <v>18</v>
      </c>
      <c r="B72" s="3" t="s">
        <v>256</v>
      </c>
      <c r="C72" s="3" t="s">
        <v>106</v>
      </c>
      <c r="D72" s="13">
        <v>44126</v>
      </c>
      <c r="E72" s="2">
        <v>1.52</v>
      </c>
      <c r="F72" s="2">
        <v>0.17</v>
      </c>
      <c r="G72" s="2">
        <f t="shared" si="1"/>
        <v>1.35</v>
      </c>
      <c r="H72" s="4">
        <f t="shared" si="2"/>
        <v>3321.8503937007877</v>
      </c>
      <c r="I72" s="10">
        <v>44134</v>
      </c>
      <c r="J72" s="2">
        <v>0.76</v>
      </c>
      <c r="K72" s="2">
        <v>2.14</v>
      </c>
      <c r="L72" s="6">
        <f t="shared" si="3"/>
        <v>0.35555555555555551</v>
      </c>
      <c r="M72" s="6">
        <f t="shared" si="4"/>
        <v>0.34074074074074084</v>
      </c>
      <c r="N72" s="6">
        <f t="shared" si="5"/>
        <v>0.30370370370370364</v>
      </c>
      <c r="O72" s="2">
        <v>43.82</v>
      </c>
      <c r="P72" s="2">
        <v>42.37</v>
      </c>
      <c r="Q72" s="2">
        <v>138.35</v>
      </c>
      <c r="R72" s="2">
        <v>132.83000000000001</v>
      </c>
      <c r="S72" s="5">
        <f t="shared" si="6"/>
        <v>3.3089913281606638</v>
      </c>
      <c r="T72" s="5">
        <f t="shared" si="7"/>
        <v>3.9898807372605578</v>
      </c>
      <c r="U72" s="4">
        <f t="shared" si="8"/>
        <v>1181.1023622047244</v>
      </c>
      <c r="V72" s="4">
        <f t="shared" si="9"/>
        <v>1131.889763779528</v>
      </c>
      <c r="W72" s="4">
        <f t="shared" si="10"/>
        <v>2312.9921259842522</v>
      </c>
      <c r="X72" s="4">
        <f t="shared" si="11"/>
        <v>1142.0197874626695</v>
      </c>
      <c r="Y72" s="4">
        <f t="shared" si="12"/>
        <v>1086.7287121274646</v>
      </c>
      <c r="Z72" s="4">
        <f t="shared" si="13"/>
        <v>2228.7484995901341</v>
      </c>
      <c r="AA72" s="8" t="s">
        <v>217</v>
      </c>
      <c r="AB72" s="10">
        <v>44154</v>
      </c>
      <c r="AC72" s="4">
        <v>41.2</v>
      </c>
      <c r="AD72" s="15">
        <v>1.052</v>
      </c>
      <c r="AE72" s="4">
        <v>79.099999999999994</v>
      </c>
      <c r="AF72" s="4">
        <v>26.8</v>
      </c>
      <c r="AG72" s="4">
        <v>6</v>
      </c>
      <c r="AH72" s="4">
        <v>77.3</v>
      </c>
      <c r="AI72" s="4">
        <v>8.3000000000000007</v>
      </c>
      <c r="AJ72" s="4" t="s">
        <v>218</v>
      </c>
      <c r="AK72" s="16">
        <v>7</v>
      </c>
      <c r="AL72" s="5">
        <v>0.06</v>
      </c>
      <c r="AM72" s="4">
        <v>13.5</v>
      </c>
      <c r="AO72" s="14"/>
      <c r="AP72" s="1"/>
      <c r="AQ72" s="1"/>
      <c r="AR72" s="2"/>
      <c r="AS72" s="2"/>
      <c r="AT72" s="2"/>
      <c r="AU72" s="1"/>
      <c r="AV72" s="2"/>
      <c r="AW72" s="2"/>
      <c r="AX72" s="2"/>
      <c r="AY72" s="7"/>
      <c r="AZ72" s="7"/>
      <c r="BA72" s="7"/>
      <c r="BB72" s="2"/>
      <c r="BC72" s="2"/>
      <c r="BD72" s="2"/>
      <c r="BE72" s="2"/>
      <c r="BF72" s="2"/>
      <c r="BG72" s="2"/>
      <c r="BH72" s="1"/>
      <c r="BI72" s="1"/>
      <c r="BJ72" s="1"/>
      <c r="BK72" s="1"/>
      <c r="BL72" s="1"/>
      <c r="BM72" s="1"/>
      <c r="BN72" s="11"/>
      <c r="BO72" s="1"/>
      <c r="BP72" s="1"/>
      <c r="BQ72" s="9"/>
      <c r="BR72" s="1"/>
      <c r="BS72" s="1"/>
      <c r="BT72" s="1"/>
      <c r="BU72" s="1"/>
      <c r="BV72" s="1"/>
      <c r="BX72" s="8"/>
      <c r="BY72" s="2"/>
      <c r="BZ72" s="1"/>
    </row>
    <row r="73" spans="1:78" x14ac:dyDescent="0.3">
      <c r="A73">
        <v>19</v>
      </c>
      <c r="B73" s="3" t="s">
        <v>257</v>
      </c>
      <c r="C73" s="3" t="s">
        <v>106</v>
      </c>
      <c r="D73" s="13">
        <v>44126</v>
      </c>
      <c r="E73" s="2">
        <v>2.11</v>
      </c>
      <c r="F73" s="2">
        <v>0.17</v>
      </c>
      <c r="G73" s="2">
        <f t="shared" si="1"/>
        <v>1.94</v>
      </c>
      <c r="H73" s="4">
        <f t="shared" si="2"/>
        <v>4773.6220472440946</v>
      </c>
      <c r="I73" s="10">
        <v>44134</v>
      </c>
      <c r="J73" s="2">
        <v>1</v>
      </c>
      <c r="K73" s="2">
        <v>2.5</v>
      </c>
      <c r="L73" s="6">
        <f t="shared" si="3"/>
        <v>0.37113402061855671</v>
      </c>
      <c r="M73" s="6">
        <f t="shared" si="4"/>
        <v>0.42268041237113407</v>
      </c>
      <c r="N73" s="6">
        <f t="shared" si="5"/>
        <v>0.20618556701030921</v>
      </c>
      <c r="O73" s="2">
        <v>62.93</v>
      </c>
      <c r="P73" s="2">
        <v>61.04</v>
      </c>
      <c r="Q73" s="2">
        <v>196.31</v>
      </c>
      <c r="R73" s="2">
        <v>188.78</v>
      </c>
      <c r="S73" s="5">
        <f t="shared" si="6"/>
        <v>3.0033370411568416</v>
      </c>
      <c r="T73" s="5">
        <f t="shared" si="7"/>
        <v>3.8357699556823395</v>
      </c>
      <c r="U73" s="4">
        <f t="shared" si="8"/>
        <v>1771.6535433070867</v>
      </c>
      <c r="V73" s="4">
        <f t="shared" si="9"/>
        <v>2017.7165354330712</v>
      </c>
      <c r="W73" s="4">
        <f t="shared" si="10"/>
        <v>3789.3700787401576</v>
      </c>
      <c r="X73" s="4">
        <f t="shared" si="11"/>
        <v>1718.4448161999774</v>
      </c>
      <c r="Y73" s="4">
        <f t="shared" si="12"/>
        <v>1940.3215707760946</v>
      </c>
      <c r="Z73" s="4">
        <f t="shared" si="13"/>
        <v>3658.7663869760718</v>
      </c>
      <c r="AA73" t="s">
        <v>194</v>
      </c>
      <c r="AB73" s="10">
        <v>44154</v>
      </c>
      <c r="AC73" s="4">
        <v>41.7</v>
      </c>
      <c r="AD73" s="15">
        <v>1.1240000000000001</v>
      </c>
      <c r="AE73" s="4">
        <v>80.2</v>
      </c>
      <c r="AF73" s="4">
        <v>28.2</v>
      </c>
      <c r="AG73" s="4">
        <v>6</v>
      </c>
      <c r="AH73" s="4">
        <v>83</v>
      </c>
      <c r="AI73" s="4">
        <v>8.8000000000000007</v>
      </c>
      <c r="AJ73" s="4" t="s">
        <v>186</v>
      </c>
      <c r="AK73" s="16">
        <v>6</v>
      </c>
      <c r="AL73" s="5">
        <v>0.09</v>
      </c>
      <c r="AM73" s="4">
        <v>10.1</v>
      </c>
      <c r="AO73" s="14" t="s">
        <v>150</v>
      </c>
      <c r="AP73" s="1" t="s">
        <v>106</v>
      </c>
      <c r="AQ73" s="11">
        <f>D73</f>
        <v>44126</v>
      </c>
      <c r="AR73" s="2">
        <f>SUM(E73:E74)</f>
        <v>3.9699999999999998</v>
      </c>
      <c r="AS73" s="2">
        <f>SUM(F73:F74)</f>
        <v>0.33</v>
      </c>
      <c r="AT73" s="2">
        <f>AR73-AS73</f>
        <v>3.6399999999999997</v>
      </c>
      <c r="AU73" s="1">
        <f>AT73/(2*$A$43)*$A$44</f>
        <v>4478.3464566929133</v>
      </c>
      <c r="AV73" s="11">
        <f>I73</f>
        <v>44134</v>
      </c>
      <c r="AW73" s="2">
        <f>SUM(J73:J74)</f>
        <v>1.9</v>
      </c>
      <c r="AX73" s="2">
        <f>SUM(K73:K74)</f>
        <v>4.8599999999999994</v>
      </c>
      <c r="AY73" s="7">
        <f>(AW73-2*$A$45)/AT73</f>
        <v>0.3681318681318681</v>
      </c>
      <c r="AZ73" s="7">
        <f>(AX73-2*$A$46)/AT73</f>
        <v>0.41208791208791201</v>
      </c>
      <c r="BA73" s="7">
        <f>1-AY73-AZ73</f>
        <v>0.21978021978021983</v>
      </c>
      <c r="BB73" s="2">
        <f>SUM(O73:O74)</f>
        <v>114.32</v>
      </c>
      <c r="BC73" s="2">
        <f>SUM(P73:P74)</f>
        <v>110.82</v>
      </c>
      <c r="BD73" s="2">
        <f>SUM(Q73:Q74)</f>
        <v>349.6</v>
      </c>
      <c r="BE73" s="2">
        <f>SUM(R73:R74)</f>
        <v>336.13</v>
      </c>
      <c r="BF73" s="2">
        <f>(BB73-BC73)/BB73*100</f>
        <v>3.0615815255423375</v>
      </c>
      <c r="BG73" s="2">
        <f>(BD73-BE73)/BD73*100</f>
        <v>3.8529748283752934</v>
      </c>
      <c r="BH73" s="1">
        <f>AU73*AY73</f>
        <v>1648.6220472440943</v>
      </c>
      <c r="BI73" s="1">
        <f>AU73*AZ73</f>
        <v>1845.4724409448816</v>
      </c>
      <c r="BJ73" s="1">
        <f>BH73+BI73</f>
        <v>3494.0944881889759</v>
      </c>
      <c r="BK73" s="1">
        <f>BH73*(1-BF73/100)</f>
        <v>1598.1481392196513</v>
      </c>
      <c r="BL73" s="1">
        <f>BI73*(1-BG73/100)</f>
        <v>1774.3668523306721</v>
      </c>
      <c r="BM73" s="1">
        <f>BK73+BL73</f>
        <v>3372.5149915503234</v>
      </c>
      <c r="BN73" s="11" t="str">
        <f>AA73</f>
        <v>992013032220</v>
      </c>
      <c r="BO73" s="11">
        <f>AB73</f>
        <v>44154</v>
      </c>
      <c r="BP73" s="1">
        <f>AVERAGE(AC73:AC74)</f>
        <v>41.05</v>
      </c>
      <c r="BQ73" s="9">
        <f t="shared" ref="BQ73" si="86">AVERAGE(AD73:AD74)</f>
        <v>1.0950000000000002</v>
      </c>
      <c r="BR73" s="1">
        <f t="shared" ref="BR73" si="87">AVERAGE(AE73:AE74)</f>
        <v>79.650000000000006</v>
      </c>
      <c r="BS73" s="1">
        <f t="shared" ref="BS73" si="88">AVERAGE(AF73:AF74)</f>
        <v>28.1</v>
      </c>
      <c r="BT73" s="1">
        <f t="shared" ref="BT73" si="89">AVERAGE(AG73:AG74)</f>
        <v>6</v>
      </c>
      <c r="BU73" s="1">
        <f t="shared" ref="BU73" si="90">AVERAGE(AH73:AH74)</f>
        <v>83</v>
      </c>
      <c r="BV73" s="1">
        <f t="shared" ref="BV73" si="91">AVERAGE(AI73:AI74)</f>
        <v>8.8000000000000007</v>
      </c>
      <c r="BW73" s="1"/>
      <c r="BX73" s="8">
        <f t="shared" ref="BX73" si="92">AVERAGE(AK73:AK74)</f>
        <v>5</v>
      </c>
      <c r="BY73" s="2">
        <f t="shared" ref="BY73" si="93">AVERAGE(AL73:AL74)</f>
        <v>0.13500000000000001</v>
      </c>
      <c r="BZ73" s="1">
        <f t="shared" ref="BZ73" si="94">AVERAGE(AM73:AM74)</f>
        <v>10.649999999999999</v>
      </c>
    </row>
    <row r="74" spans="1:78" x14ac:dyDescent="0.3">
      <c r="A74">
        <v>20</v>
      </c>
      <c r="B74" s="3" t="s">
        <v>258</v>
      </c>
      <c r="C74" s="3" t="s">
        <v>106</v>
      </c>
      <c r="D74" s="13">
        <v>44126</v>
      </c>
      <c r="E74" s="2">
        <v>1.86</v>
      </c>
      <c r="F74" s="2">
        <v>0.16</v>
      </c>
      <c r="G74" s="2">
        <f t="shared" si="1"/>
        <v>1.7000000000000002</v>
      </c>
      <c r="H74" s="4">
        <f t="shared" si="2"/>
        <v>4183.0708661417329</v>
      </c>
      <c r="I74" s="10">
        <v>44134</v>
      </c>
      <c r="J74" s="2">
        <v>0.9</v>
      </c>
      <c r="K74" s="2">
        <v>2.36</v>
      </c>
      <c r="L74" s="6">
        <f t="shared" si="3"/>
        <v>0.36470588235294116</v>
      </c>
      <c r="M74" s="6">
        <f t="shared" si="4"/>
        <v>0.39999999999999991</v>
      </c>
      <c r="N74" s="6">
        <f t="shared" si="5"/>
        <v>0.23529411764705888</v>
      </c>
      <c r="O74" s="2">
        <v>51.39</v>
      </c>
      <c r="P74" s="2">
        <v>49.78</v>
      </c>
      <c r="Q74" s="2">
        <v>153.29</v>
      </c>
      <c r="R74" s="2">
        <v>147.35</v>
      </c>
      <c r="S74" s="5">
        <f t="shared" si="6"/>
        <v>3.1329052344814152</v>
      </c>
      <c r="T74" s="5">
        <f t="shared" si="7"/>
        <v>3.8750081544784383</v>
      </c>
      <c r="U74" s="4">
        <f t="shared" si="8"/>
        <v>1525.5905511811025</v>
      </c>
      <c r="V74" s="4">
        <f t="shared" si="9"/>
        <v>1673.2283464566929</v>
      </c>
      <c r="W74" s="4">
        <f t="shared" si="10"/>
        <v>3198.8188976377951</v>
      </c>
      <c r="X74" s="4">
        <f t="shared" si="11"/>
        <v>1477.7952449463958</v>
      </c>
      <c r="Y74" s="4">
        <f t="shared" si="12"/>
        <v>1608.3906115884513</v>
      </c>
      <c r="Z74" s="4">
        <f t="shared" si="13"/>
        <v>3086.1858565348471</v>
      </c>
      <c r="AA74" s="8" t="s">
        <v>219</v>
      </c>
      <c r="AB74" s="10">
        <v>44154</v>
      </c>
      <c r="AC74" s="4">
        <v>40.4</v>
      </c>
      <c r="AD74" s="15">
        <v>1.0660000000000001</v>
      </c>
      <c r="AE74" s="4">
        <v>79.099999999999994</v>
      </c>
      <c r="AF74" s="4">
        <v>28</v>
      </c>
      <c r="AG74" s="4">
        <v>6</v>
      </c>
      <c r="AH74" s="4">
        <v>83</v>
      </c>
      <c r="AI74" s="4">
        <v>8.8000000000000007</v>
      </c>
      <c r="AJ74" s="4" t="s">
        <v>186</v>
      </c>
      <c r="AK74" s="16">
        <v>4</v>
      </c>
      <c r="AL74" s="5">
        <v>0.18</v>
      </c>
      <c r="AM74" s="4">
        <v>11.2</v>
      </c>
      <c r="AO74" s="14"/>
      <c r="AP74" s="1"/>
      <c r="AQ74" s="1"/>
      <c r="AR74" s="2"/>
      <c r="AS74" s="2"/>
      <c r="AT74" s="2"/>
      <c r="AU74" s="1"/>
      <c r="AV74" s="2"/>
      <c r="AW74" s="2"/>
      <c r="AX74" s="2"/>
      <c r="AY74" s="7"/>
      <c r="AZ74" s="7"/>
      <c r="BA74" s="7"/>
      <c r="BB74" s="2"/>
      <c r="BC74" s="2"/>
      <c r="BD74" s="2"/>
      <c r="BE74" s="2"/>
      <c r="BF74" s="2"/>
      <c r="BG74" s="2"/>
      <c r="BH74" s="1"/>
      <c r="BI74" s="1"/>
      <c r="BJ74" s="1"/>
      <c r="BK74" s="1"/>
      <c r="BL74" s="1"/>
      <c r="BM74" s="1"/>
      <c r="BN74" s="11"/>
      <c r="BO74" s="1"/>
      <c r="BP74" s="1"/>
      <c r="BQ74" s="9"/>
      <c r="BR74" s="1"/>
      <c r="BS74" s="1"/>
      <c r="BT74" s="1"/>
      <c r="BU74" s="1"/>
      <c r="BV74" s="1"/>
      <c r="BX74" s="8"/>
      <c r="BY74" s="2"/>
      <c r="BZ74" s="1"/>
    </row>
    <row r="75" spans="1:78" x14ac:dyDescent="0.3">
      <c r="A75">
        <v>21</v>
      </c>
      <c r="B75" s="3" t="s">
        <v>259</v>
      </c>
      <c r="C75" s="3" t="s">
        <v>106</v>
      </c>
      <c r="D75" s="13">
        <v>44126</v>
      </c>
      <c r="E75" s="2">
        <v>1.54</v>
      </c>
      <c r="F75" s="2">
        <v>0.17</v>
      </c>
      <c r="G75" s="2">
        <f t="shared" si="1"/>
        <v>1.37</v>
      </c>
      <c r="H75" s="4">
        <f t="shared" si="2"/>
        <v>3371.0629921259842</v>
      </c>
      <c r="I75" s="10">
        <v>44134</v>
      </c>
      <c r="J75" s="2">
        <v>0.74</v>
      </c>
      <c r="K75" s="2">
        <v>2.14</v>
      </c>
      <c r="L75" s="6">
        <f t="shared" si="3"/>
        <v>0.33576642335766416</v>
      </c>
      <c r="M75" s="6">
        <f t="shared" si="4"/>
        <v>0.33576642335766432</v>
      </c>
      <c r="N75" s="6">
        <f t="shared" si="5"/>
        <v>0.32846715328467152</v>
      </c>
      <c r="O75" s="2">
        <v>51.92</v>
      </c>
      <c r="P75" s="2">
        <v>50.18</v>
      </c>
      <c r="Q75" s="2">
        <v>140.27000000000001</v>
      </c>
      <c r="R75" s="2">
        <v>134.77000000000001</v>
      </c>
      <c r="S75" s="5">
        <f t="shared" si="6"/>
        <v>3.3513097072419145</v>
      </c>
      <c r="T75" s="5">
        <f t="shared" si="7"/>
        <v>3.921009481713837</v>
      </c>
      <c r="U75" s="4">
        <f t="shared" si="8"/>
        <v>1131.8897637795274</v>
      </c>
      <c r="V75" s="4">
        <f t="shared" si="9"/>
        <v>1131.8897637795278</v>
      </c>
      <c r="W75" s="4">
        <f t="shared" si="10"/>
        <v>2263.7795275590552</v>
      </c>
      <c r="X75" s="4">
        <f t="shared" si="11"/>
        <v>1093.9566322507064</v>
      </c>
      <c r="Y75" s="4">
        <f t="shared" si="12"/>
        <v>1087.5082588191842</v>
      </c>
      <c r="Z75" s="4">
        <f t="shared" si="13"/>
        <v>2181.4648910698907</v>
      </c>
      <c r="AA75" t="s">
        <v>195</v>
      </c>
      <c r="AB75" s="10">
        <v>44154</v>
      </c>
      <c r="AC75" s="4">
        <v>36.800000000000004</v>
      </c>
      <c r="AD75" s="15">
        <v>1.0369999999999999</v>
      </c>
      <c r="AE75" s="4">
        <v>79.2</v>
      </c>
      <c r="AF75" s="4">
        <v>26.9</v>
      </c>
      <c r="AG75" s="4">
        <v>6</v>
      </c>
      <c r="AH75" s="4">
        <v>81.8</v>
      </c>
      <c r="AI75" s="4">
        <v>8.5</v>
      </c>
      <c r="AJ75" s="4" t="s">
        <v>188</v>
      </c>
      <c r="AK75" s="16">
        <v>10</v>
      </c>
      <c r="AL75" s="5">
        <v>0.11</v>
      </c>
      <c r="AM75" s="4">
        <v>13.3</v>
      </c>
      <c r="AO75" s="14" t="s">
        <v>151</v>
      </c>
      <c r="AP75" s="1" t="s">
        <v>106</v>
      </c>
      <c r="AQ75" s="11">
        <f>D75</f>
        <v>44126</v>
      </c>
      <c r="AR75" s="2">
        <f>SUM(E75:E76)</f>
        <v>3.1799999999999997</v>
      </c>
      <c r="AS75" s="2">
        <f>SUM(F75:F76)</f>
        <v>0.34</v>
      </c>
      <c r="AT75" s="2">
        <f>AR75-AS75</f>
        <v>2.84</v>
      </c>
      <c r="AU75" s="1">
        <f>AT75/(2*$A$43)*$A$44</f>
        <v>3494.0944881889764</v>
      </c>
      <c r="AV75" s="11">
        <f>I75</f>
        <v>44134</v>
      </c>
      <c r="AW75" s="2">
        <f>SUM(J75:J76)</f>
        <v>1.56</v>
      </c>
      <c r="AX75" s="2">
        <f>SUM(K75:K76)</f>
        <v>4.3600000000000003</v>
      </c>
      <c r="AY75" s="7">
        <f>(AW75-2*$A$45)/AT75</f>
        <v>0.35211267605633806</v>
      </c>
      <c r="AZ75" s="7">
        <f>(AX75-2*$A$46)/AT75</f>
        <v>0.35211267605633823</v>
      </c>
      <c r="BA75" s="7">
        <f>1-AY75-AZ75</f>
        <v>0.29577464788732377</v>
      </c>
      <c r="BB75" s="2">
        <f>SUM(O75:O76)</f>
        <v>120.45</v>
      </c>
      <c r="BC75" s="2">
        <f>SUM(P75:P76)</f>
        <v>117.44</v>
      </c>
      <c r="BD75" s="2">
        <f>SUM(Q75:Q76)</f>
        <v>264.86</v>
      </c>
      <c r="BE75" s="2">
        <f>SUM(R75:R76)</f>
        <v>254.55</v>
      </c>
      <c r="BF75" s="2">
        <f>(BB75-BC75)/BB75*100</f>
        <v>2.4989622249896262</v>
      </c>
      <c r="BG75" s="2">
        <f>(BD75-BE75)/BD75*100</f>
        <v>3.8926225175564455</v>
      </c>
      <c r="BH75" s="1">
        <f>AU75*AY75</f>
        <v>1230.3149606299214</v>
      </c>
      <c r="BI75" s="1">
        <f>AU75*AZ75</f>
        <v>1230.3149606299219</v>
      </c>
      <c r="BJ75" s="1">
        <f>BH75+BI75</f>
        <v>2460.6299212598433</v>
      </c>
      <c r="BK75" s="1">
        <f>BH75*(1-BF75/100)</f>
        <v>1199.5698545153837</v>
      </c>
      <c r="BL75" s="1">
        <f>BI75*(1-BG75/100)</f>
        <v>1182.4234434355758</v>
      </c>
      <c r="BM75" s="1">
        <f>BK75+BL75</f>
        <v>2381.9932979509595</v>
      </c>
      <c r="BN75" s="11" t="str">
        <f>AA75</f>
        <v>992013033222</v>
      </c>
      <c r="BO75" s="11">
        <f>AB75</f>
        <v>44154</v>
      </c>
      <c r="BP75" s="1">
        <f>AVERAGE(AC75:AC76)</f>
        <v>39.150000000000006</v>
      </c>
      <c r="BQ75" s="9">
        <f t="shared" ref="BQ75" si="95">AVERAGE(AD75:AD76)</f>
        <v>1.0449999999999999</v>
      </c>
      <c r="BR75" s="1">
        <f t="shared" ref="BR75" si="96">AVERAGE(AE75:AE76)</f>
        <v>78.849999999999994</v>
      </c>
      <c r="BS75" s="1">
        <f t="shared" ref="BS75" si="97">AVERAGE(AF75:AF76)</f>
        <v>27.049999999999997</v>
      </c>
      <c r="BT75" s="1">
        <f t="shared" ref="BT75" si="98">AVERAGE(AG75:AG76)</f>
        <v>6.05</v>
      </c>
      <c r="BU75" s="1">
        <f t="shared" ref="BU75" si="99">AVERAGE(AH75:AH76)</f>
        <v>81.75</v>
      </c>
      <c r="BV75" s="1">
        <f t="shared" ref="BV75" si="100">AVERAGE(AI75:AI76)</f>
        <v>8.3000000000000007</v>
      </c>
      <c r="BW75" s="1"/>
      <c r="BX75" s="8">
        <f t="shared" ref="BX75" si="101">AVERAGE(AK75:AK76)</f>
        <v>10</v>
      </c>
      <c r="BY75" s="2">
        <f t="shared" ref="BY75" si="102">AVERAGE(AL75:AL76)</f>
        <v>9.5000000000000001E-2</v>
      </c>
      <c r="BZ75" s="1">
        <f t="shared" ref="BZ75" si="103">AVERAGE(AM75:AM76)</f>
        <v>13.55</v>
      </c>
    </row>
    <row r="76" spans="1:78" x14ac:dyDescent="0.3">
      <c r="A76">
        <v>22</v>
      </c>
      <c r="B76" s="3" t="s">
        <v>260</v>
      </c>
      <c r="C76" s="3" t="s">
        <v>106</v>
      </c>
      <c r="D76" s="13">
        <v>44126</v>
      </c>
      <c r="E76" s="2">
        <v>1.64</v>
      </c>
      <c r="F76" s="2">
        <v>0.17</v>
      </c>
      <c r="G76" s="2">
        <f t="shared" si="1"/>
        <v>1.47</v>
      </c>
      <c r="H76" s="4">
        <f t="shared" si="2"/>
        <v>3617.125984251968</v>
      </c>
      <c r="I76" s="10">
        <v>44134</v>
      </c>
      <c r="J76" s="2">
        <v>0.82</v>
      </c>
      <c r="K76" s="2">
        <v>2.2200000000000002</v>
      </c>
      <c r="L76" s="6">
        <f t="shared" si="3"/>
        <v>0.36734693877551017</v>
      </c>
      <c r="M76" s="6">
        <f t="shared" si="4"/>
        <v>0.36734693877551039</v>
      </c>
      <c r="N76" s="6">
        <f t="shared" si="5"/>
        <v>0.26530612244897944</v>
      </c>
      <c r="O76" s="2">
        <v>68.53</v>
      </c>
      <c r="P76" s="2">
        <v>67.260000000000005</v>
      </c>
      <c r="Q76" s="2">
        <v>124.59</v>
      </c>
      <c r="R76" s="2">
        <v>119.78</v>
      </c>
      <c r="S76" s="5">
        <f t="shared" si="6"/>
        <v>1.8532029767984763</v>
      </c>
      <c r="T76" s="5">
        <f t="shared" si="7"/>
        <v>3.8606629745565475</v>
      </c>
      <c r="U76" s="4">
        <f t="shared" si="8"/>
        <v>1328.7401574803146</v>
      </c>
      <c r="V76" s="4">
        <f t="shared" si="9"/>
        <v>1328.7401574803155</v>
      </c>
      <c r="W76" s="4">
        <f t="shared" si="10"/>
        <v>2657.48031496063</v>
      </c>
      <c r="X76" s="4">
        <f t="shared" si="11"/>
        <v>1304.1159053279725</v>
      </c>
      <c r="Y76" s="4">
        <f t="shared" si="12"/>
        <v>1277.4419781924084</v>
      </c>
      <c r="Z76" s="4">
        <f t="shared" si="13"/>
        <v>2581.557883520381</v>
      </c>
      <c r="AA76" s="8" t="s">
        <v>220</v>
      </c>
      <c r="AB76" s="10">
        <v>44154</v>
      </c>
      <c r="AC76" s="4">
        <v>41.5</v>
      </c>
      <c r="AD76" s="15">
        <v>1.0529999999999999</v>
      </c>
      <c r="AE76" s="4">
        <v>78.5</v>
      </c>
      <c r="AF76" s="4">
        <v>27.2</v>
      </c>
      <c r="AG76" s="4">
        <v>6.1</v>
      </c>
      <c r="AH76" s="4">
        <v>81.7</v>
      </c>
      <c r="AI76" s="4">
        <v>8.1</v>
      </c>
      <c r="AJ76" s="4" t="s">
        <v>184</v>
      </c>
      <c r="AK76" s="16">
        <v>10</v>
      </c>
      <c r="AL76" s="5">
        <v>0.08</v>
      </c>
      <c r="AM76" s="4">
        <v>13.8</v>
      </c>
      <c r="AO76" s="14"/>
      <c r="AP76" s="1"/>
      <c r="AQ76" s="1"/>
      <c r="AR76" s="2"/>
      <c r="AS76" s="2"/>
      <c r="AT76" s="2"/>
      <c r="AU76" s="1"/>
      <c r="AV76" s="2"/>
      <c r="AW76" s="2"/>
      <c r="AX76" s="2"/>
      <c r="AY76" s="7"/>
      <c r="AZ76" s="7"/>
      <c r="BA76" s="7"/>
      <c r="BB76" s="2"/>
      <c r="BC76" s="2"/>
      <c r="BD76" s="2"/>
      <c r="BE76" s="2"/>
      <c r="BF76" s="2"/>
      <c r="BG76" s="2"/>
      <c r="BH76" s="1"/>
      <c r="BI76" s="1"/>
      <c r="BJ76" s="1"/>
      <c r="BK76" s="1"/>
      <c r="BL76" s="1"/>
      <c r="BM76" s="1"/>
      <c r="BN76" s="11"/>
      <c r="BO76" s="1"/>
      <c r="BP76" s="1"/>
      <c r="BQ76" s="9"/>
      <c r="BR76" s="1"/>
      <c r="BS76" s="1"/>
      <c r="BT76" s="1"/>
      <c r="BU76" s="1"/>
      <c r="BV76" s="1"/>
      <c r="BX76" s="8"/>
      <c r="BY76" s="2"/>
      <c r="BZ76" s="1"/>
    </row>
    <row r="77" spans="1:78" x14ac:dyDescent="0.3">
      <c r="A77">
        <v>23</v>
      </c>
      <c r="B77" s="3" t="s">
        <v>261</v>
      </c>
      <c r="C77" s="3" t="s">
        <v>106</v>
      </c>
      <c r="D77" s="13">
        <v>44126</v>
      </c>
      <c r="E77" s="2">
        <v>1.84</v>
      </c>
      <c r="F77" s="2">
        <v>0.18</v>
      </c>
      <c r="G77" s="2">
        <f t="shared" si="1"/>
        <v>1.6600000000000001</v>
      </c>
      <c r="H77" s="4">
        <f t="shared" si="2"/>
        <v>4084.6456692913389</v>
      </c>
      <c r="I77" s="10">
        <v>44134</v>
      </c>
      <c r="J77" s="2">
        <v>0.84</v>
      </c>
      <c r="K77" s="2">
        <v>2.3199999999999998</v>
      </c>
      <c r="L77" s="6">
        <f t="shared" si="3"/>
        <v>0.33734939759036137</v>
      </c>
      <c r="M77" s="6">
        <f t="shared" si="4"/>
        <v>0.3855421686746987</v>
      </c>
      <c r="N77" s="6">
        <f t="shared" si="5"/>
        <v>0.27710843373493987</v>
      </c>
      <c r="O77" s="2">
        <v>59.11</v>
      </c>
      <c r="P77" s="2">
        <v>57.34</v>
      </c>
      <c r="Q77" s="2">
        <v>132.21</v>
      </c>
      <c r="R77" s="2">
        <v>127.03</v>
      </c>
      <c r="S77" s="5">
        <f t="shared" si="6"/>
        <v>2.9944171882930064</v>
      </c>
      <c r="T77" s="5">
        <f t="shared" si="7"/>
        <v>3.9180092277437462</v>
      </c>
      <c r="U77" s="4">
        <f t="shared" si="8"/>
        <v>1377.9527559055116</v>
      </c>
      <c r="V77" s="4">
        <f t="shared" si="9"/>
        <v>1574.803149606299</v>
      </c>
      <c r="W77" s="4">
        <f t="shared" si="10"/>
        <v>2952.7559055118109</v>
      </c>
      <c r="X77" s="4">
        <f t="shared" si="11"/>
        <v>1336.6911017361197</v>
      </c>
      <c r="Y77" s="4">
        <f t="shared" si="12"/>
        <v>1513.1022168859251</v>
      </c>
      <c r="Z77" s="4">
        <f t="shared" si="13"/>
        <v>2849.7933186220448</v>
      </c>
      <c r="AA77" t="s">
        <v>196</v>
      </c>
      <c r="AB77" s="10">
        <v>44154</v>
      </c>
      <c r="AC77" s="4">
        <v>41.900000000000006</v>
      </c>
      <c r="AD77" s="15">
        <v>1.1200000000000001</v>
      </c>
      <c r="AE77" s="4">
        <v>80.3</v>
      </c>
      <c r="AF77" s="4">
        <v>28.7</v>
      </c>
      <c r="AG77" s="4">
        <v>5.9</v>
      </c>
      <c r="AH77" s="4">
        <v>82.7</v>
      </c>
      <c r="AI77" s="4">
        <v>8.4</v>
      </c>
      <c r="AJ77" s="4" t="s">
        <v>186</v>
      </c>
      <c r="AK77" s="16">
        <v>11</v>
      </c>
      <c r="AL77" s="5">
        <v>0.1</v>
      </c>
      <c r="AM77" s="4">
        <v>9.5</v>
      </c>
      <c r="AO77" s="14" t="s">
        <v>152</v>
      </c>
      <c r="AP77" s="1" t="s">
        <v>106</v>
      </c>
      <c r="AQ77" s="11">
        <f>D77</f>
        <v>44126</v>
      </c>
      <c r="AR77" s="2">
        <f>SUM(E77:E78)</f>
        <v>3.3200000000000003</v>
      </c>
      <c r="AS77" s="2">
        <f>SUM(F77:F78)</f>
        <v>0.36</v>
      </c>
      <c r="AT77" s="2">
        <f>AR77-AS77</f>
        <v>2.9600000000000004</v>
      </c>
      <c r="AU77" s="1">
        <f>AT77/(2*$A$43)*$A$44</f>
        <v>3641.732283464567</v>
      </c>
      <c r="AV77" s="11">
        <f>I77</f>
        <v>44134</v>
      </c>
      <c r="AW77" s="2">
        <f>SUM(J77:J78)</f>
        <v>1.54</v>
      </c>
      <c r="AX77" s="2">
        <f>SUM(K77:K78)</f>
        <v>4.46</v>
      </c>
      <c r="AY77" s="7">
        <f>(AW77-2*$A$45)/AT77</f>
        <v>0.33108108108108103</v>
      </c>
      <c r="AZ77" s="7">
        <f>(AX77-2*$A$46)/AT77</f>
        <v>0.3716216216216216</v>
      </c>
      <c r="BA77" s="7">
        <f>1-AY77-AZ77</f>
        <v>0.29729729729729737</v>
      </c>
      <c r="BB77" s="2">
        <f>SUM(O77:O78)</f>
        <v>114.62</v>
      </c>
      <c r="BC77" s="2">
        <f>SUM(P77:P78)</f>
        <v>111.07</v>
      </c>
      <c r="BD77" s="2">
        <f>SUM(Q77:Q78)</f>
        <v>287.87</v>
      </c>
      <c r="BE77" s="2">
        <f>SUM(R77:R78)</f>
        <v>276.39999999999998</v>
      </c>
      <c r="BF77" s="2">
        <f>(BB77-BC77)/BB77*100</f>
        <v>3.0971907171523392</v>
      </c>
      <c r="BG77" s="2">
        <f>(BD77-BE77)/BD77*100</f>
        <v>3.9844374196686099</v>
      </c>
      <c r="BH77" s="1">
        <f>AU77*AY77</f>
        <v>1205.7086614173227</v>
      </c>
      <c r="BI77" s="1">
        <f>AU77*AZ77</f>
        <v>1353.3464566929133</v>
      </c>
      <c r="BJ77" s="1">
        <f>BH77+BI77</f>
        <v>2559.055118110236</v>
      </c>
      <c r="BK77" s="1">
        <f>BH77*(1-BF77/100)</f>
        <v>1168.3655646800037</v>
      </c>
      <c r="BL77" s="1">
        <f>BI77*(1-BG77/100)</f>
        <v>1299.4232140546817</v>
      </c>
      <c r="BM77" s="1">
        <f>BK77+BL77</f>
        <v>2467.7887787346854</v>
      </c>
      <c r="BN77" s="11" t="str">
        <f>AA77</f>
        <v>992013034224</v>
      </c>
      <c r="BO77" s="11">
        <f>AB77</f>
        <v>44154</v>
      </c>
      <c r="BP77" s="1">
        <f>AVERAGE(AC77:AC78)</f>
        <v>40</v>
      </c>
      <c r="BQ77" s="9">
        <f t="shared" ref="BQ77" si="104">AVERAGE(AD77:AD78)</f>
        <v>1.0870000000000002</v>
      </c>
      <c r="BR77" s="1">
        <f t="shared" ref="BR77" si="105">AVERAGE(AE77:AE78)</f>
        <v>79.099999999999994</v>
      </c>
      <c r="BS77" s="1">
        <f t="shared" ref="BS77" si="106">AVERAGE(AF77:AF78)</f>
        <v>27.45</v>
      </c>
      <c r="BT77" s="1">
        <f t="shared" ref="BT77" si="107">AVERAGE(AG77:AG78)</f>
        <v>6</v>
      </c>
      <c r="BU77" s="1">
        <f t="shared" ref="BU77" si="108">AVERAGE(AH77:AH78)</f>
        <v>82.4</v>
      </c>
      <c r="BV77" s="1">
        <f t="shared" ref="BV77" si="109">AVERAGE(AI77:AI78)</f>
        <v>8.5</v>
      </c>
      <c r="BW77" s="1"/>
      <c r="BX77" s="8">
        <f t="shared" ref="BX77" si="110">AVERAGE(AK77:AK78)</f>
        <v>7</v>
      </c>
      <c r="BY77" s="2">
        <f t="shared" ref="BY77" si="111">AVERAGE(AL77:AL78)</f>
        <v>7.0000000000000007E-2</v>
      </c>
      <c r="BZ77" s="1">
        <f t="shared" ref="BZ77" si="112">AVERAGE(AM77:AM78)</f>
        <v>11.65</v>
      </c>
    </row>
    <row r="78" spans="1:78" x14ac:dyDescent="0.3">
      <c r="A78">
        <v>24</v>
      </c>
      <c r="B78" s="3" t="s">
        <v>262</v>
      </c>
      <c r="C78" s="3" t="s">
        <v>106</v>
      </c>
      <c r="D78" s="13">
        <v>44126</v>
      </c>
      <c r="E78" s="2">
        <v>1.48</v>
      </c>
      <c r="F78" s="2">
        <v>0.18</v>
      </c>
      <c r="G78" s="2">
        <f t="shared" si="1"/>
        <v>1.3</v>
      </c>
      <c r="H78" s="4">
        <f t="shared" si="2"/>
        <v>3198.8188976377951</v>
      </c>
      <c r="I78" s="10">
        <v>44134</v>
      </c>
      <c r="J78" s="2">
        <v>0.7</v>
      </c>
      <c r="K78" s="2">
        <v>2.14</v>
      </c>
      <c r="L78" s="6">
        <f t="shared" si="3"/>
        <v>0.32307692307692298</v>
      </c>
      <c r="M78" s="6">
        <f t="shared" si="4"/>
        <v>0.35384615384615398</v>
      </c>
      <c r="N78" s="6">
        <f t="shared" si="5"/>
        <v>0.32307692307692298</v>
      </c>
      <c r="O78" s="2">
        <v>55.51</v>
      </c>
      <c r="P78" s="2">
        <v>53.73</v>
      </c>
      <c r="Q78" s="2">
        <v>155.66</v>
      </c>
      <c r="R78" s="2">
        <v>149.37</v>
      </c>
      <c r="S78" s="5">
        <f t="shared" si="6"/>
        <v>3.2066294361376348</v>
      </c>
      <c r="T78" s="5">
        <f t="shared" si="7"/>
        <v>4.0408582808685551</v>
      </c>
      <c r="U78" s="4">
        <f t="shared" si="8"/>
        <v>1033.4645669291335</v>
      </c>
      <c r="V78" s="4">
        <f t="shared" si="9"/>
        <v>1131.8897637795278</v>
      </c>
      <c r="W78" s="4">
        <f t="shared" si="10"/>
        <v>2165.3543307086611</v>
      </c>
      <c r="X78" s="4">
        <f t="shared" si="11"/>
        <v>1000.3251879139316</v>
      </c>
      <c r="Y78" s="4">
        <f t="shared" si="12"/>
        <v>1086.1517025295393</v>
      </c>
      <c r="Z78" s="4">
        <f t="shared" si="13"/>
        <v>2086.4768904434709</v>
      </c>
      <c r="AA78" s="8" t="s">
        <v>221</v>
      </c>
      <c r="AB78" s="10">
        <v>44154</v>
      </c>
      <c r="AC78" s="4">
        <v>38.1</v>
      </c>
      <c r="AD78" s="15">
        <v>1.054</v>
      </c>
      <c r="AE78" s="4">
        <v>77.900000000000006</v>
      </c>
      <c r="AF78" s="4">
        <v>26.2</v>
      </c>
      <c r="AG78" s="4">
        <v>6.1</v>
      </c>
      <c r="AH78" s="4">
        <v>82.1</v>
      </c>
      <c r="AI78" s="4">
        <v>8.6</v>
      </c>
      <c r="AJ78" s="4" t="s">
        <v>188</v>
      </c>
      <c r="AK78" s="16">
        <v>3</v>
      </c>
      <c r="AL78" s="5">
        <v>0.04</v>
      </c>
      <c r="AM78" s="4">
        <v>13.8</v>
      </c>
      <c r="AO78" s="14"/>
      <c r="AP78" s="1"/>
      <c r="AQ78" s="1"/>
      <c r="AR78" s="2"/>
      <c r="AS78" s="2"/>
      <c r="AT78" s="2"/>
      <c r="AU78" s="1"/>
      <c r="AV78" s="2"/>
      <c r="AW78" s="2"/>
      <c r="AX78" s="2"/>
      <c r="AY78" s="7"/>
      <c r="AZ78" s="7"/>
      <c r="BA78" s="7"/>
      <c r="BB78" s="2"/>
      <c r="BC78" s="2"/>
      <c r="BD78" s="2"/>
      <c r="BE78" s="2"/>
      <c r="BF78" s="2"/>
      <c r="BG78" s="2"/>
      <c r="BH78" s="1"/>
      <c r="BI78" s="1"/>
      <c r="BJ78" s="1"/>
      <c r="BK78" s="1"/>
      <c r="BL78" s="1"/>
      <c r="BM78" s="1"/>
      <c r="BN78" s="11"/>
      <c r="BO78" s="1"/>
      <c r="BP78" s="1"/>
      <c r="BQ78" s="9"/>
      <c r="BR78" s="1"/>
      <c r="BS78" s="1"/>
      <c r="BT78" s="1"/>
      <c r="BU78" s="1"/>
      <c r="BV78" s="1"/>
      <c r="BX78" s="8"/>
      <c r="BY78" s="2"/>
      <c r="BZ78" s="1"/>
    </row>
    <row r="79" spans="1:78" x14ac:dyDescent="0.3">
      <c r="A79">
        <v>25</v>
      </c>
      <c r="B79" s="3" t="s">
        <v>263</v>
      </c>
      <c r="C79" s="3" t="s">
        <v>106</v>
      </c>
      <c r="D79" s="13">
        <v>43761</v>
      </c>
      <c r="E79" s="2">
        <v>1.33</v>
      </c>
      <c r="F79" s="2">
        <v>0.17</v>
      </c>
      <c r="G79" s="2">
        <f t="shared" si="1"/>
        <v>1.1600000000000001</v>
      </c>
      <c r="H79" s="4">
        <f t="shared" si="2"/>
        <v>2854.3307086614177</v>
      </c>
      <c r="I79" s="10">
        <v>44134</v>
      </c>
      <c r="J79" s="2">
        <v>0.7</v>
      </c>
      <c r="K79" s="2">
        <v>2</v>
      </c>
      <c r="L79" s="6">
        <f t="shared" si="3"/>
        <v>0.36206896551724127</v>
      </c>
      <c r="M79" s="6">
        <f t="shared" si="4"/>
        <v>0.27586206896551724</v>
      </c>
      <c r="N79" s="6">
        <f t="shared" si="5"/>
        <v>0.36206896551724144</v>
      </c>
      <c r="O79" s="2">
        <v>32.39</v>
      </c>
      <c r="P79" s="2">
        <v>31.52</v>
      </c>
      <c r="Q79" s="2">
        <v>129.93</v>
      </c>
      <c r="R79" s="2">
        <v>125.27</v>
      </c>
      <c r="S79" s="5">
        <f t="shared" si="6"/>
        <v>2.6860142019141739</v>
      </c>
      <c r="T79" s="5">
        <f t="shared" si="7"/>
        <v>3.5865466020164787</v>
      </c>
      <c r="U79" s="4">
        <f t="shared" si="8"/>
        <v>1033.4645669291338</v>
      </c>
      <c r="V79" s="4">
        <f t="shared" si="9"/>
        <v>787.40157480314974</v>
      </c>
      <c r="W79" s="4">
        <f t="shared" si="10"/>
        <v>1820.8661417322835</v>
      </c>
      <c r="X79" s="4">
        <f t="shared" si="11"/>
        <v>1005.7055618896663</v>
      </c>
      <c r="Y79" s="4">
        <f t="shared" si="12"/>
        <v>759.16105037782313</v>
      </c>
      <c r="Z79" s="4">
        <f t="shared" si="13"/>
        <v>1764.8666122674895</v>
      </c>
      <c r="AA79" t="s">
        <v>197</v>
      </c>
      <c r="AB79" s="10">
        <v>44154</v>
      </c>
      <c r="AC79" s="4">
        <v>41.2</v>
      </c>
      <c r="AD79" s="15">
        <v>1.014</v>
      </c>
      <c r="AE79" s="4">
        <v>77.900000000000006</v>
      </c>
      <c r="AF79" s="4">
        <v>25.2</v>
      </c>
      <c r="AG79" s="4">
        <v>6.1</v>
      </c>
      <c r="AH79" s="4">
        <v>81.400000000000006</v>
      </c>
      <c r="AI79" s="4">
        <v>9</v>
      </c>
      <c r="AJ79" s="4" t="s">
        <v>188</v>
      </c>
      <c r="AK79" s="16">
        <v>4</v>
      </c>
      <c r="AL79" s="5">
        <v>0.05</v>
      </c>
      <c r="AM79" s="4">
        <v>17.8</v>
      </c>
      <c r="AO79" s="14" t="s">
        <v>153</v>
      </c>
      <c r="AP79" s="1" t="s">
        <v>106</v>
      </c>
      <c r="AQ79" s="11">
        <f>D79</f>
        <v>43761</v>
      </c>
      <c r="AR79" s="2">
        <f>SUM(E79:E80)</f>
        <v>2.7199999999999998</v>
      </c>
      <c r="AS79" s="2">
        <f>SUM(F79:F80)</f>
        <v>0.33</v>
      </c>
      <c r="AT79" s="2">
        <f>AR79-AS79</f>
        <v>2.3899999999999997</v>
      </c>
      <c r="AU79" s="1">
        <f>AT79/(2*$A$43)*$A$44</f>
        <v>2940.4527559055114</v>
      </c>
      <c r="AV79" s="11">
        <f>I79</f>
        <v>44134</v>
      </c>
      <c r="AW79" s="2">
        <f>SUM(J79:J80)</f>
        <v>1.42</v>
      </c>
      <c r="AX79" s="2">
        <f>SUM(K79:K80)</f>
        <v>4.08</v>
      </c>
      <c r="AY79" s="7">
        <f>(AW79-2*$A$45)/AT79</f>
        <v>0.35983263598326359</v>
      </c>
      <c r="AZ79" s="7">
        <f>(AX79-2*$A$46)/AT79</f>
        <v>0.30125523012552313</v>
      </c>
      <c r="BA79" s="7">
        <f>1-AY79-AZ79</f>
        <v>0.33891213389121333</v>
      </c>
      <c r="BB79" s="2">
        <f>SUM(O79:O80)</f>
        <v>91.710000000000008</v>
      </c>
      <c r="BC79" s="2">
        <f>SUM(P79:P80)</f>
        <v>89</v>
      </c>
      <c r="BD79" s="2">
        <f>SUM(Q79:Q80)</f>
        <v>245.06</v>
      </c>
      <c r="BE79" s="2">
        <f>SUM(R79:R80)</f>
        <v>236.32</v>
      </c>
      <c r="BF79" s="2">
        <f>(BB79-BC79)/BB79*100</f>
        <v>2.954966742994229</v>
      </c>
      <c r="BG79" s="2">
        <f>(BD79-BE79)/BD79*100</f>
        <v>3.5664735166897934</v>
      </c>
      <c r="BH79" s="1">
        <f>AU79*AY79</f>
        <v>1058.070866141732</v>
      </c>
      <c r="BI79" s="1">
        <f>AU79*AZ79</f>
        <v>885.82677165354357</v>
      </c>
      <c r="BJ79" s="1">
        <f>BH79+BI79</f>
        <v>1943.8976377952756</v>
      </c>
      <c r="BK79" s="1">
        <f>BH79*(1-BF79/100)</f>
        <v>1026.8052239299329</v>
      </c>
      <c r="BL79" s="1">
        <f>BI79*(1-BG79/100)</f>
        <v>854.23399443877179</v>
      </c>
      <c r="BM79" s="1">
        <f>BK79+BL79</f>
        <v>1881.0392183687047</v>
      </c>
      <c r="BN79" s="11" t="str">
        <f>AA79</f>
        <v>992013041226</v>
      </c>
      <c r="BO79" s="11">
        <f>AB79</f>
        <v>44154</v>
      </c>
      <c r="BP79" s="1">
        <f>AVERAGE(AC79:AC80)</f>
        <v>39.5</v>
      </c>
      <c r="BQ79" s="9">
        <f t="shared" ref="BQ79" si="113">AVERAGE(AD79:AD80)</f>
        <v>0.99199999999999999</v>
      </c>
      <c r="BR79" s="1">
        <f t="shared" ref="BR79" si="114">AVERAGE(AE79:AE80)</f>
        <v>76.7</v>
      </c>
      <c r="BS79" s="1">
        <f t="shared" ref="BS79" si="115">AVERAGE(AF79:AF80)</f>
        <v>24.2</v>
      </c>
      <c r="BT79" s="1">
        <f t="shared" ref="BT79" si="116">AVERAGE(AG79:AG80)</f>
        <v>6.1999999999999993</v>
      </c>
      <c r="BU79" s="1">
        <f t="shared" ref="BU79" si="117">AVERAGE(AH79:AH80)</f>
        <v>80.7</v>
      </c>
      <c r="BV79" s="1">
        <f t="shared" ref="BV79" si="118">AVERAGE(AI79:AI80)</f>
        <v>8.85</v>
      </c>
      <c r="BW79" s="1"/>
      <c r="BX79" s="8">
        <f t="shared" ref="BX79" si="119">AVERAGE(AK79:AK80)</f>
        <v>9.5</v>
      </c>
      <c r="BY79" s="2">
        <f t="shared" ref="BY79" si="120">AVERAGE(AL79:AL80)</f>
        <v>0.125</v>
      </c>
      <c r="BZ79" s="1">
        <f t="shared" ref="BZ79" si="121">AVERAGE(AM79:AM80)</f>
        <v>18.75</v>
      </c>
    </row>
    <row r="80" spans="1:78" x14ac:dyDescent="0.3">
      <c r="A80">
        <v>26</v>
      </c>
      <c r="B80" s="3" t="s">
        <v>264</v>
      </c>
      <c r="C80" s="3" t="s">
        <v>106</v>
      </c>
      <c r="D80" s="13">
        <v>43761</v>
      </c>
      <c r="E80" s="2">
        <v>1.39</v>
      </c>
      <c r="F80" s="2">
        <v>0.16</v>
      </c>
      <c r="G80" s="2">
        <f t="shared" si="1"/>
        <v>1.23</v>
      </c>
      <c r="H80" s="4">
        <f t="shared" si="2"/>
        <v>3026.5748031496064</v>
      </c>
      <c r="I80" s="10">
        <v>44134</v>
      </c>
      <c r="J80" s="2">
        <v>0.72</v>
      </c>
      <c r="K80" s="2">
        <v>2.08</v>
      </c>
      <c r="L80" s="6">
        <f t="shared" si="3"/>
        <v>0.35772357723577231</v>
      </c>
      <c r="M80" s="6">
        <f t="shared" si="4"/>
        <v>0.32520325203252043</v>
      </c>
      <c r="N80" s="6">
        <f t="shared" si="5"/>
        <v>0.31707317073170727</v>
      </c>
      <c r="O80" s="2">
        <v>59.32</v>
      </c>
      <c r="P80" s="2">
        <v>57.48</v>
      </c>
      <c r="Q80" s="2">
        <v>115.13</v>
      </c>
      <c r="R80" s="2">
        <v>111.05</v>
      </c>
      <c r="S80" s="5">
        <f t="shared" si="6"/>
        <v>3.1018206338503092</v>
      </c>
      <c r="T80" s="5">
        <f t="shared" si="7"/>
        <v>3.5438200295318323</v>
      </c>
      <c r="U80" s="4">
        <f t="shared" si="8"/>
        <v>1082.6771653543306</v>
      </c>
      <c r="V80" s="4">
        <f t="shared" si="9"/>
        <v>984.25196850393741</v>
      </c>
      <c r="W80" s="4">
        <f t="shared" si="10"/>
        <v>2066.929133858268</v>
      </c>
      <c r="X80" s="4">
        <f t="shared" si="11"/>
        <v>1049.0944616413844</v>
      </c>
      <c r="Y80" s="4">
        <f t="shared" si="12"/>
        <v>949.37185010303358</v>
      </c>
      <c r="Z80" s="4">
        <f t="shared" si="13"/>
        <v>1998.4663117444179</v>
      </c>
      <c r="AA80" s="8" t="s">
        <v>222</v>
      </c>
      <c r="AB80" s="10">
        <v>44154</v>
      </c>
      <c r="AC80" s="4">
        <v>37.799999999999997</v>
      </c>
      <c r="AD80" s="15">
        <v>0.97</v>
      </c>
      <c r="AE80" s="4">
        <v>75.5</v>
      </c>
      <c r="AF80" s="4">
        <v>23.2</v>
      </c>
      <c r="AG80" s="4">
        <v>6.3</v>
      </c>
      <c r="AH80" s="4">
        <v>80</v>
      </c>
      <c r="AI80" s="4">
        <v>8.6999999999999993</v>
      </c>
      <c r="AJ80" s="4" t="s">
        <v>184</v>
      </c>
      <c r="AK80" s="16">
        <v>15</v>
      </c>
      <c r="AL80" s="5">
        <v>0.2</v>
      </c>
      <c r="AM80" s="4">
        <v>19.7</v>
      </c>
      <c r="AO80" s="14"/>
      <c r="AP80" s="1"/>
      <c r="AQ80" s="1"/>
      <c r="AR80" s="2"/>
      <c r="AS80" s="2"/>
      <c r="AT80" s="2"/>
      <c r="AU80" s="1"/>
      <c r="AV80" s="2"/>
      <c r="AW80" s="2"/>
      <c r="AX80" s="2"/>
      <c r="AY80" s="7"/>
      <c r="AZ80" s="7"/>
      <c r="BA80" s="7"/>
      <c r="BB80" s="2"/>
      <c r="BC80" s="2"/>
      <c r="BD80" s="2"/>
      <c r="BE80" s="2"/>
      <c r="BF80" s="2"/>
      <c r="BG80" s="2"/>
      <c r="BH80" s="1"/>
      <c r="BI80" s="1"/>
      <c r="BJ80" s="1"/>
      <c r="BK80" s="1"/>
      <c r="BL80" s="1"/>
      <c r="BM80" s="1"/>
      <c r="BN80" s="11"/>
      <c r="BO80" s="1"/>
      <c r="BP80" s="1"/>
      <c r="BQ80" s="9"/>
      <c r="BR80" s="1"/>
      <c r="BS80" s="1"/>
      <c r="BT80" s="1"/>
      <c r="BU80" s="1"/>
      <c r="BV80" s="1"/>
      <c r="BX80" s="8"/>
      <c r="BY80" s="2"/>
      <c r="BZ80" s="1"/>
    </row>
    <row r="81" spans="1:78" x14ac:dyDescent="0.3">
      <c r="A81">
        <v>27</v>
      </c>
      <c r="B81" s="3" t="s">
        <v>265</v>
      </c>
      <c r="C81" s="3" t="s">
        <v>106</v>
      </c>
      <c r="D81" s="13">
        <v>43761</v>
      </c>
      <c r="E81" s="2">
        <v>1.87</v>
      </c>
      <c r="F81" s="2">
        <v>0.17</v>
      </c>
      <c r="G81" s="2">
        <f t="shared" si="1"/>
        <v>1.7000000000000002</v>
      </c>
      <c r="H81" s="4">
        <f t="shared" si="2"/>
        <v>4183.0708661417329</v>
      </c>
      <c r="I81" s="10">
        <v>44134</v>
      </c>
      <c r="J81" s="2">
        <v>0.9</v>
      </c>
      <c r="K81" s="2">
        <v>2.3199999999999998</v>
      </c>
      <c r="L81" s="6">
        <f t="shared" si="3"/>
        <v>0.36470588235294116</v>
      </c>
      <c r="M81" s="6">
        <f t="shared" si="4"/>
        <v>0.376470588235294</v>
      </c>
      <c r="N81" s="6">
        <f t="shared" si="5"/>
        <v>0.25882352941176479</v>
      </c>
      <c r="O81" s="2">
        <v>50.99</v>
      </c>
      <c r="P81" s="2">
        <v>49.49</v>
      </c>
      <c r="Q81" s="2">
        <v>172.5</v>
      </c>
      <c r="R81" s="2">
        <v>165.4</v>
      </c>
      <c r="S81" s="5">
        <f t="shared" si="6"/>
        <v>2.9417532849578349</v>
      </c>
      <c r="T81" s="5">
        <f t="shared" si="7"/>
        <v>4.1159420289855042</v>
      </c>
      <c r="U81" s="4">
        <f t="shared" si="8"/>
        <v>1525.5905511811025</v>
      </c>
      <c r="V81" s="4">
        <f t="shared" si="9"/>
        <v>1574.803149606299</v>
      </c>
      <c r="W81" s="4">
        <f t="shared" si="10"/>
        <v>3100.3937007874015</v>
      </c>
      <c r="X81" s="4">
        <f t="shared" si="11"/>
        <v>1480.7114410267261</v>
      </c>
      <c r="Y81" s="4">
        <f t="shared" si="12"/>
        <v>1509.9851648978658</v>
      </c>
      <c r="Z81" s="4">
        <f t="shared" si="13"/>
        <v>2990.6966059245919</v>
      </c>
      <c r="AA81" t="s">
        <v>198</v>
      </c>
      <c r="AB81" s="10">
        <v>44154</v>
      </c>
      <c r="AC81" s="4">
        <v>44</v>
      </c>
      <c r="AD81" s="15">
        <v>1.0669999999999999</v>
      </c>
      <c r="AE81" s="4">
        <v>78.099999999999994</v>
      </c>
      <c r="AF81" s="4">
        <v>27.3</v>
      </c>
      <c r="AG81" s="4">
        <v>6</v>
      </c>
      <c r="AH81" s="4">
        <v>82.6</v>
      </c>
      <c r="AI81" s="4">
        <v>8.6</v>
      </c>
      <c r="AJ81" s="4" t="s">
        <v>186</v>
      </c>
      <c r="AK81" s="16">
        <v>6</v>
      </c>
      <c r="AL81" s="5">
        <v>0.06</v>
      </c>
      <c r="AM81" s="4">
        <v>13.5</v>
      </c>
      <c r="AO81" s="14" t="s">
        <v>154</v>
      </c>
      <c r="AP81" s="1" t="s">
        <v>106</v>
      </c>
      <c r="AQ81" s="11">
        <f>D81</f>
        <v>43761</v>
      </c>
      <c r="AR81" s="2">
        <f>SUM(E81:E82)</f>
        <v>3.67</v>
      </c>
      <c r="AS81" s="2">
        <f>SUM(F81:F82)</f>
        <v>0.34</v>
      </c>
      <c r="AT81" s="2">
        <f>AR81-AS81</f>
        <v>3.33</v>
      </c>
      <c r="AU81" s="1">
        <f>AT81/(2*$A$43)*$A$44</f>
        <v>4096.9488188976375</v>
      </c>
      <c r="AV81" s="11">
        <f>I81</f>
        <v>44134</v>
      </c>
      <c r="AW81" s="2">
        <f>SUM(J81:J82)</f>
        <v>1.82</v>
      </c>
      <c r="AX81" s="2">
        <f>SUM(K81:K82)</f>
        <v>4.6399999999999997</v>
      </c>
      <c r="AY81" s="7">
        <f>(AW81-2*$A$45)/AT81</f>
        <v>0.3783783783783784</v>
      </c>
      <c r="AZ81" s="7">
        <f>(AX81-2*$A$46)/AT81</f>
        <v>0.38438438438438433</v>
      </c>
      <c r="BA81" s="7">
        <f>1-AY81-AZ81</f>
        <v>0.23723723723723728</v>
      </c>
      <c r="BB81" s="2">
        <f>SUM(O81:O82)</f>
        <v>108.77000000000001</v>
      </c>
      <c r="BC81" s="2">
        <f>SUM(P81:P82)</f>
        <v>105.55000000000001</v>
      </c>
      <c r="BD81" s="2">
        <f>SUM(Q81:Q82)</f>
        <v>357.88</v>
      </c>
      <c r="BE81" s="2">
        <f>SUM(R81:R82)</f>
        <v>343.74</v>
      </c>
      <c r="BF81" s="2">
        <f>(BB81-BC81)/BB81*100</f>
        <v>2.9603751034292531</v>
      </c>
      <c r="BG81" s="2">
        <f>(BD81-BE81)/BD81*100</f>
        <v>3.9510450430311796</v>
      </c>
      <c r="BH81" s="1">
        <f>AU81*AY81</f>
        <v>1550.1968503937007</v>
      </c>
      <c r="BI81" s="1">
        <f>AU81*AZ81</f>
        <v>1574.8031496062988</v>
      </c>
      <c r="BJ81" s="1">
        <f>BH81+BI81</f>
        <v>3124.9999999999995</v>
      </c>
      <c r="BK81" s="1">
        <f>BH81*(1-BF81/100)</f>
        <v>1504.3052087805011</v>
      </c>
      <c r="BL81" s="1">
        <f>BI81*(1-BG81/100)</f>
        <v>1512.5819678262803</v>
      </c>
      <c r="BM81" s="1">
        <f>BK81+BL81</f>
        <v>3016.8871766067814</v>
      </c>
      <c r="BN81" s="11" t="str">
        <f>AA81</f>
        <v>992013042228</v>
      </c>
      <c r="BO81" s="11">
        <f>AB81</f>
        <v>44154</v>
      </c>
      <c r="BP81" s="1">
        <f>AVERAGE(AC81:AC82)</f>
        <v>44.1</v>
      </c>
      <c r="BQ81" s="9">
        <f t="shared" ref="BQ81" si="122">AVERAGE(AD81:AD82)</f>
        <v>1.0659999999999998</v>
      </c>
      <c r="BR81" s="1">
        <f t="shared" ref="BR81" si="123">AVERAGE(AE81:AE82)</f>
        <v>78.8</v>
      </c>
      <c r="BS81" s="1">
        <f t="shared" ref="BS81" si="124">AVERAGE(AF81:AF82)</f>
        <v>27.3</v>
      </c>
      <c r="BT81" s="1">
        <f t="shared" ref="BT81" si="125">AVERAGE(AG81:AG82)</f>
        <v>5.95</v>
      </c>
      <c r="BU81" s="1">
        <f t="shared" ref="BU81" si="126">AVERAGE(AH81:AH82)</f>
        <v>82.25</v>
      </c>
      <c r="BV81" s="1">
        <f t="shared" ref="BV81" si="127">AVERAGE(AI81:AI82)</f>
        <v>8.5</v>
      </c>
      <c r="BW81" s="1"/>
      <c r="BX81" s="8">
        <f t="shared" ref="BX81" si="128">AVERAGE(AK81:AK82)</f>
        <v>6.5</v>
      </c>
      <c r="BY81" s="2">
        <f t="shared" ref="BY81" si="129">AVERAGE(AL81:AL82)</f>
        <v>0.115</v>
      </c>
      <c r="BZ81" s="1">
        <f t="shared" ref="BZ81" si="130">AVERAGE(AM81:AM82)</f>
        <v>12.9</v>
      </c>
    </row>
    <row r="82" spans="1:78" x14ac:dyDescent="0.3">
      <c r="A82">
        <v>28</v>
      </c>
      <c r="B82" s="3" t="s">
        <v>266</v>
      </c>
      <c r="C82" s="3" t="s">
        <v>106</v>
      </c>
      <c r="D82" s="13">
        <v>43761</v>
      </c>
      <c r="E82" s="2">
        <v>1.8</v>
      </c>
      <c r="F82" s="2">
        <v>0.17</v>
      </c>
      <c r="G82" s="2">
        <f t="shared" si="1"/>
        <v>1.6300000000000001</v>
      </c>
      <c r="H82" s="4">
        <f t="shared" si="2"/>
        <v>4010.8267716535433</v>
      </c>
      <c r="I82" s="10">
        <v>44134</v>
      </c>
      <c r="J82" s="2">
        <v>0.92</v>
      </c>
      <c r="K82" s="2">
        <v>2.3199999999999998</v>
      </c>
      <c r="L82" s="6">
        <f t="shared" si="3"/>
        <v>0.3926380368098159</v>
      </c>
      <c r="M82" s="6">
        <f t="shared" si="4"/>
        <v>0.39263803680981585</v>
      </c>
      <c r="N82" s="6">
        <f t="shared" si="5"/>
        <v>0.21472392638036825</v>
      </c>
      <c r="O82" s="2">
        <v>57.78</v>
      </c>
      <c r="P82" s="2">
        <v>56.06</v>
      </c>
      <c r="Q82" s="2">
        <v>185.38</v>
      </c>
      <c r="R82" s="2">
        <v>178.34</v>
      </c>
      <c r="S82" s="5">
        <f t="shared" si="6"/>
        <v>2.9768085842852177</v>
      </c>
      <c r="T82" s="5">
        <f t="shared" si="7"/>
        <v>3.7976049196245509</v>
      </c>
      <c r="U82" s="4">
        <f t="shared" si="8"/>
        <v>1574.803149606299</v>
      </c>
      <c r="V82" s="4">
        <f t="shared" si="9"/>
        <v>1574.8031496062988</v>
      </c>
      <c r="W82" s="4">
        <f t="shared" si="10"/>
        <v>3149.6062992125981</v>
      </c>
      <c r="X82" s="4">
        <f t="shared" si="11"/>
        <v>1527.9242742632248</v>
      </c>
      <c r="Y82" s="4">
        <f t="shared" si="12"/>
        <v>1514.9983477224475</v>
      </c>
      <c r="Z82" s="4">
        <f t="shared" si="13"/>
        <v>3042.9226219856723</v>
      </c>
      <c r="AA82" s="8" t="s">
        <v>223</v>
      </c>
      <c r="AB82" s="10">
        <v>44154</v>
      </c>
      <c r="AC82" s="4">
        <v>44.2</v>
      </c>
      <c r="AD82" s="15">
        <v>1.0649999999999999</v>
      </c>
      <c r="AE82" s="4">
        <v>79.5</v>
      </c>
      <c r="AF82" s="4">
        <v>27.3</v>
      </c>
      <c r="AG82" s="4">
        <v>5.9</v>
      </c>
      <c r="AH82" s="4">
        <v>81.900000000000006</v>
      </c>
      <c r="AI82" s="4">
        <v>8.4</v>
      </c>
      <c r="AJ82" s="4" t="s">
        <v>188</v>
      </c>
      <c r="AK82" s="16">
        <v>7</v>
      </c>
      <c r="AL82" s="5">
        <v>0.17</v>
      </c>
      <c r="AM82" s="4">
        <v>12.3</v>
      </c>
      <c r="AO82" s="14"/>
      <c r="AP82" s="1"/>
      <c r="AQ82" s="1"/>
      <c r="AR82" s="2"/>
      <c r="AS82" s="2"/>
      <c r="AT82" s="2"/>
      <c r="AU82" s="1"/>
      <c r="AV82" s="2"/>
      <c r="AW82" s="2"/>
      <c r="AX82" s="2"/>
      <c r="AY82" s="7"/>
      <c r="AZ82" s="7"/>
      <c r="BA82" s="7"/>
      <c r="BB82" s="2"/>
      <c r="BC82" s="2"/>
      <c r="BD82" s="2"/>
      <c r="BE82" s="2"/>
      <c r="BF82" s="2"/>
      <c r="BG82" s="2"/>
      <c r="BH82" s="1"/>
      <c r="BI82" s="1"/>
      <c r="BJ82" s="1"/>
      <c r="BK82" s="1"/>
      <c r="BL82" s="1"/>
      <c r="BM82" s="1"/>
      <c r="BN82" s="11"/>
      <c r="BO82" s="1"/>
      <c r="BP82" s="1"/>
      <c r="BQ82" s="9"/>
      <c r="BR82" s="1"/>
      <c r="BS82" s="1"/>
      <c r="BT82" s="1"/>
      <c r="BU82" s="1"/>
      <c r="BV82" s="1"/>
      <c r="BX82" s="8"/>
      <c r="BY82" s="2"/>
      <c r="BZ82" s="1"/>
    </row>
    <row r="83" spans="1:78" x14ac:dyDescent="0.3">
      <c r="A83">
        <v>29</v>
      </c>
      <c r="B83" s="3" t="s">
        <v>267</v>
      </c>
      <c r="C83" s="3" t="s">
        <v>106</v>
      </c>
      <c r="D83" s="13">
        <v>43761</v>
      </c>
      <c r="E83" s="2">
        <v>1.48</v>
      </c>
      <c r="F83" s="2">
        <v>0.19</v>
      </c>
      <c r="G83" s="2">
        <f t="shared" si="1"/>
        <v>1.29</v>
      </c>
      <c r="H83" s="4">
        <f t="shared" si="2"/>
        <v>3174.2125984251966</v>
      </c>
      <c r="I83" s="10">
        <v>44134</v>
      </c>
      <c r="J83" s="2">
        <v>0.76</v>
      </c>
      <c r="K83" s="2">
        <v>2.16</v>
      </c>
      <c r="L83" s="6">
        <f t="shared" si="3"/>
        <v>0.37209302325581395</v>
      </c>
      <c r="M83" s="6">
        <f t="shared" si="4"/>
        <v>0.37209302325581411</v>
      </c>
      <c r="N83" s="6">
        <f t="shared" si="5"/>
        <v>0.25581395348837194</v>
      </c>
      <c r="O83" s="2">
        <v>54.43</v>
      </c>
      <c r="P83" s="2">
        <v>52.89</v>
      </c>
      <c r="Q83" s="2">
        <v>153.44999999999999</v>
      </c>
      <c r="R83" s="2">
        <v>147.84</v>
      </c>
      <c r="S83" s="5">
        <f t="shared" si="6"/>
        <v>2.8293220650376614</v>
      </c>
      <c r="T83" s="5">
        <f t="shared" si="7"/>
        <v>3.6559139784946142</v>
      </c>
      <c r="U83" s="4">
        <f t="shared" si="8"/>
        <v>1181.1023622047244</v>
      </c>
      <c r="V83" s="4">
        <f t="shared" si="9"/>
        <v>1181.1023622047248</v>
      </c>
      <c r="W83" s="4">
        <f t="shared" si="10"/>
        <v>2362.2047244094492</v>
      </c>
      <c r="X83" s="4">
        <f t="shared" si="11"/>
        <v>1147.685172460185</v>
      </c>
      <c r="Y83" s="4">
        <f t="shared" si="12"/>
        <v>1137.9222758445521</v>
      </c>
      <c r="Z83" s="4">
        <f t="shared" si="13"/>
        <v>2285.6074483047369</v>
      </c>
      <c r="AA83" t="s">
        <v>199</v>
      </c>
      <c r="AB83" s="10">
        <v>44154</v>
      </c>
      <c r="AC83" s="4">
        <v>37.9</v>
      </c>
      <c r="AD83" s="15">
        <v>1.0620000000000001</v>
      </c>
      <c r="AE83" s="4">
        <v>77.8</v>
      </c>
      <c r="AF83" s="4">
        <v>27.2</v>
      </c>
      <c r="AG83" s="4">
        <v>6</v>
      </c>
      <c r="AH83" s="4">
        <v>83.3</v>
      </c>
      <c r="AI83" s="4">
        <v>8.8000000000000007</v>
      </c>
      <c r="AJ83" s="4" t="s">
        <v>186</v>
      </c>
      <c r="AK83" s="16">
        <v>5</v>
      </c>
      <c r="AL83" s="5">
        <v>0.09</v>
      </c>
      <c r="AM83" s="4">
        <v>13.3</v>
      </c>
      <c r="AO83" s="14" t="s">
        <v>155</v>
      </c>
      <c r="AP83" s="1" t="s">
        <v>106</v>
      </c>
      <c r="AQ83" s="11">
        <f>D83</f>
        <v>43761</v>
      </c>
      <c r="AR83" s="2">
        <f>SUM(E83:E84)</f>
        <v>3.29</v>
      </c>
      <c r="AS83" s="2">
        <f>SUM(F83:F84)</f>
        <v>0.37</v>
      </c>
      <c r="AT83" s="2">
        <f>AR83-AS83</f>
        <v>2.92</v>
      </c>
      <c r="AU83" s="1">
        <f>AT83/(2*$A$43)*$A$44</f>
        <v>3592.51968503937</v>
      </c>
      <c r="AV83" s="11">
        <f>I83</f>
        <v>44134</v>
      </c>
      <c r="AW83" s="2">
        <f>SUM(J83:J84)</f>
        <v>1.62</v>
      </c>
      <c r="AX83" s="2">
        <f>SUM(K83:K84)</f>
        <v>4.4800000000000004</v>
      </c>
      <c r="AY83" s="7">
        <f>(AW83-2*$A$45)/AT83</f>
        <v>0.36301369863013699</v>
      </c>
      <c r="AZ83" s="7">
        <f>(AX83-2*$A$46)/AT83</f>
        <v>0.38356164383561664</v>
      </c>
      <c r="BA83" s="7">
        <f>1-AY83-AZ83</f>
        <v>0.25342465753424637</v>
      </c>
      <c r="BB83" s="2">
        <f>SUM(O83:O84)</f>
        <v>94.57</v>
      </c>
      <c r="BC83" s="2">
        <f>SUM(P83:P84)</f>
        <v>91.85</v>
      </c>
      <c r="BD83" s="2">
        <f>SUM(Q83:Q84)</f>
        <v>304.54999999999995</v>
      </c>
      <c r="BE83" s="2">
        <f>SUM(R83:R84)</f>
        <v>293.70000000000005</v>
      </c>
      <c r="BF83" s="2">
        <f>(BB83-BC83)/BB83*100</f>
        <v>2.8761763772866646</v>
      </c>
      <c r="BG83" s="2">
        <f>(BD83-BE83)/BD83*100</f>
        <v>3.5626333935314105</v>
      </c>
      <c r="BH83" s="1">
        <f>AU83*AY83</f>
        <v>1304.1338582677165</v>
      </c>
      <c r="BI83" s="1">
        <f>AU83*AZ83</f>
        <v>1377.9527559055125</v>
      </c>
      <c r="BJ83" s="1">
        <f>BH83+BI83</f>
        <v>2682.086614173229</v>
      </c>
      <c r="BK83" s="1">
        <f>BH83*(1-BF83/100)</f>
        <v>1266.6246683080233</v>
      </c>
      <c r="BL83" s="1">
        <f>BI83*(1-BG83/100)</f>
        <v>1328.8613508765363</v>
      </c>
      <c r="BM83" s="1">
        <f>BK83+BL83</f>
        <v>2595.4860191845596</v>
      </c>
      <c r="BN83" s="11" t="str">
        <f>AA83</f>
        <v>992013043230</v>
      </c>
      <c r="BO83" s="11">
        <f>AB83</f>
        <v>44154</v>
      </c>
      <c r="BP83" s="1">
        <f>AVERAGE(AC83:AC84)</f>
        <v>38.049999999999997</v>
      </c>
      <c r="BQ83" s="9">
        <f t="shared" ref="BQ83" si="131">AVERAGE(AD83:AD84)</f>
        <v>1.0660000000000001</v>
      </c>
      <c r="BR83" s="1">
        <f t="shared" ref="BR83" si="132">AVERAGE(AE83:AE84)</f>
        <v>78.199999999999989</v>
      </c>
      <c r="BS83" s="1">
        <f t="shared" ref="BS83" si="133">AVERAGE(AF83:AF84)</f>
        <v>27.6</v>
      </c>
      <c r="BT83" s="1">
        <f t="shared" ref="BT83" si="134">AVERAGE(AG83:AG84)</f>
        <v>5.95</v>
      </c>
      <c r="BU83" s="1">
        <f t="shared" ref="BU83" si="135">AVERAGE(AH83:AH84)</f>
        <v>82.65</v>
      </c>
      <c r="BV83" s="1">
        <f t="shared" ref="BV83" si="136">AVERAGE(AI83:AI84)</f>
        <v>8.6999999999999993</v>
      </c>
      <c r="BW83" s="1"/>
      <c r="BX83" s="8">
        <f t="shared" ref="BX83" si="137">AVERAGE(AK83:AK84)</f>
        <v>10</v>
      </c>
      <c r="BY83" s="2">
        <f t="shared" ref="BY83" si="138">AVERAGE(AL83:AL84)</f>
        <v>0.15</v>
      </c>
      <c r="BZ83" s="1">
        <f t="shared" ref="BZ83" si="139">AVERAGE(AM83:AM84)</f>
        <v>13.05</v>
      </c>
    </row>
    <row r="84" spans="1:78" x14ac:dyDescent="0.3">
      <c r="A84">
        <v>30</v>
      </c>
      <c r="B84" s="3" t="s">
        <v>268</v>
      </c>
      <c r="C84" s="3" t="s">
        <v>106</v>
      </c>
      <c r="D84" s="13">
        <v>43761</v>
      </c>
      <c r="E84" s="2">
        <v>1.81</v>
      </c>
      <c r="F84" s="2">
        <v>0.18</v>
      </c>
      <c r="G84" s="2">
        <f t="shared" si="1"/>
        <v>1.6300000000000001</v>
      </c>
      <c r="H84" s="4">
        <f t="shared" si="2"/>
        <v>4010.8267716535433</v>
      </c>
      <c r="I84" s="10">
        <v>44134</v>
      </c>
      <c r="J84" s="2">
        <v>0.86</v>
      </c>
      <c r="K84" s="2">
        <v>2.3199999999999998</v>
      </c>
      <c r="L84" s="6">
        <f t="shared" si="3"/>
        <v>0.35582822085889565</v>
      </c>
      <c r="M84" s="6">
        <f t="shared" si="4"/>
        <v>0.39263803680981585</v>
      </c>
      <c r="N84" s="6">
        <f t="shared" si="5"/>
        <v>0.2515337423312885</v>
      </c>
      <c r="O84" s="2">
        <v>40.14</v>
      </c>
      <c r="P84" s="2">
        <v>38.96</v>
      </c>
      <c r="Q84" s="2">
        <v>151.1</v>
      </c>
      <c r="R84" s="2">
        <v>145.86000000000001</v>
      </c>
      <c r="S84" s="5">
        <f t="shared" si="6"/>
        <v>2.9397110114598899</v>
      </c>
      <c r="T84" s="5">
        <f t="shared" si="7"/>
        <v>3.4679020516214298</v>
      </c>
      <c r="U84" s="4">
        <f t="shared" si="8"/>
        <v>1427.1653543307084</v>
      </c>
      <c r="V84" s="4">
        <f t="shared" si="9"/>
        <v>1574.8031496062988</v>
      </c>
      <c r="W84" s="4">
        <f t="shared" si="10"/>
        <v>3001.968503937007</v>
      </c>
      <c r="X84" s="4">
        <f t="shared" si="11"/>
        <v>1385.210817257708</v>
      </c>
      <c r="Y84" s="4">
        <f t="shared" si="12"/>
        <v>1520.190518872103</v>
      </c>
      <c r="Z84" s="4">
        <f t="shared" si="13"/>
        <v>2905.4013361298112</v>
      </c>
      <c r="AA84" s="8" t="s">
        <v>224</v>
      </c>
      <c r="AB84" s="10">
        <v>44154</v>
      </c>
      <c r="AC84" s="4">
        <v>38.199999999999996</v>
      </c>
      <c r="AD84" s="15">
        <v>1.07</v>
      </c>
      <c r="AE84" s="4">
        <v>78.599999999999994</v>
      </c>
      <c r="AF84" s="4">
        <v>28</v>
      </c>
      <c r="AG84" s="4">
        <v>5.9</v>
      </c>
      <c r="AH84" s="4">
        <v>82</v>
      </c>
      <c r="AI84" s="4">
        <v>8.6</v>
      </c>
      <c r="AJ84" s="4" t="s">
        <v>188</v>
      </c>
      <c r="AK84" s="16">
        <v>15</v>
      </c>
      <c r="AL84" s="5">
        <v>0.21</v>
      </c>
      <c r="AM84" s="4">
        <v>12.8</v>
      </c>
      <c r="AO84" s="14"/>
      <c r="AP84" s="1"/>
      <c r="AQ84" s="1"/>
      <c r="AR84" s="2"/>
      <c r="AS84" s="2"/>
      <c r="AT84" s="2"/>
      <c r="AU84" s="1"/>
      <c r="AV84" s="2"/>
      <c r="AW84" s="2"/>
      <c r="AX84" s="2"/>
      <c r="AY84" s="7"/>
      <c r="AZ84" s="7"/>
      <c r="BA84" s="7"/>
      <c r="BB84" s="2"/>
      <c r="BC84" s="2"/>
      <c r="BD84" s="2"/>
      <c r="BE84" s="2"/>
      <c r="BF84" s="2"/>
      <c r="BG84" s="2"/>
      <c r="BH84" s="1"/>
      <c r="BI84" s="1"/>
      <c r="BJ84" s="1"/>
      <c r="BK84" s="1"/>
      <c r="BL84" s="1"/>
      <c r="BM84" s="1"/>
      <c r="BN84" s="11"/>
      <c r="BO84" s="1"/>
      <c r="BP84" s="1"/>
      <c r="BQ84" s="9"/>
      <c r="BR84" s="1"/>
      <c r="BS84" s="1"/>
      <c r="BT84" s="1"/>
      <c r="BU84" s="1"/>
      <c r="BV84" s="1"/>
      <c r="BX84" s="8"/>
      <c r="BY84" s="2"/>
      <c r="BZ84" s="1"/>
    </row>
    <row r="85" spans="1:78" x14ac:dyDescent="0.3">
      <c r="A85">
        <v>31</v>
      </c>
      <c r="B85" s="3" t="s">
        <v>269</v>
      </c>
      <c r="C85" s="3" t="s">
        <v>106</v>
      </c>
      <c r="D85" s="13">
        <v>43761</v>
      </c>
      <c r="E85" s="2">
        <v>1.0900000000000001</v>
      </c>
      <c r="F85" s="2">
        <v>0.17</v>
      </c>
      <c r="G85" s="2">
        <f t="shared" si="1"/>
        <v>0.92</v>
      </c>
      <c r="H85" s="4">
        <f t="shared" si="2"/>
        <v>2263.7795275590552</v>
      </c>
      <c r="I85" s="10">
        <v>44134</v>
      </c>
      <c r="J85" s="2">
        <v>0.57999999999999996</v>
      </c>
      <c r="K85" s="2">
        <v>1.9</v>
      </c>
      <c r="L85" s="6">
        <f t="shared" si="3"/>
        <v>0.32608695652173902</v>
      </c>
      <c r="M85" s="6">
        <f t="shared" si="4"/>
        <v>0.23913043478260865</v>
      </c>
      <c r="N85" s="6">
        <f t="shared" si="5"/>
        <v>0.43478260869565233</v>
      </c>
      <c r="O85" s="2">
        <v>50.52</v>
      </c>
      <c r="P85" s="2">
        <v>48.87</v>
      </c>
      <c r="Q85" s="2">
        <v>102.14</v>
      </c>
      <c r="R85" s="2">
        <v>98.21</v>
      </c>
      <c r="S85" s="5">
        <f t="shared" si="6"/>
        <v>3.2660332541567803</v>
      </c>
      <c r="T85" s="5">
        <f t="shared" si="7"/>
        <v>3.8476600744076821</v>
      </c>
      <c r="U85" s="4">
        <f t="shared" si="8"/>
        <v>738.18897637795249</v>
      </c>
      <c r="V85" s="4">
        <f t="shared" si="9"/>
        <v>541.33858267716528</v>
      </c>
      <c r="W85" s="4">
        <f t="shared" si="10"/>
        <v>1279.5275590551178</v>
      </c>
      <c r="X85" s="4">
        <f t="shared" si="11"/>
        <v>714.0794789309291</v>
      </c>
      <c r="Y85" s="4">
        <f t="shared" si="12"/>
        <v>520.50971416413165</v>
      </c>
      <c r="Z85" s="4">
        <f t="shared" si="13"/>
        <v>1234.5891930950606</v>
      </c>
      <c r="AA85" t="s">
        <v>200</v>
      </c>
      <c r="AB85" s="10">
        <v>44154</v>
      </c>
      <c r="AC85" s="4">
        <v>38</v>
      </c>
      <c r="AD85" s="15">
        <v>1.0149999999999999</v>
      </c>
      <c r="AE85" s="4">
        <v>76.7</v>
      </c>
      <c r="AF85" s="4">
        <v>24.7</v>
      </c>
      <c r="AG85" s="4">
        <v>6.3</v>
      </c>
      <c r="AH85" s="4">
        <v>81.400000000000006</v>
      </c>
      <c r="AI85" s="4">
        <v>8.9</v>
      </c>
      <c r="AJ85" s="4" t="s">
        <v>188</v>
      </c>
      <c r="AK85" s="16">
        <v>7</v>
      </c>
      <c r="AL85" s="5">
        <v>0.21</v>
      </c>
      <c r="AM85" s="4">
        <v>17.899999999999999</v>
      </c>
      <c r="AO85" s="14" t="s">
        <v>156</v>
      </c>
      <c r="AP85" s="1" t="s">
        <v>106</v>
      </c>
      <c r="AQ85" s="11">
        <f>D85</f>
        <v>43761</v>
      </c>
      <c r="AR85" s="2">
        <f>SUM(E85:E86)</f>
        <v>2.27</v>
      </c>
      <c r="AS85" s="2">
        <f>SUM(F85:F86)</f>
        <v>0.35</v>
      </c>
      <c r="AT85" s="2">
        <f>AR85-AS85</f>
        <v>1.92</v>
      </c>
      <c r="AU85" s="1">
        <f>AT85/(2*$A$43)*$A$44</f>
        <v>2362.2047244094488</v>
      </c>
      <c r="AV85" s="11">
        <f>I85</f>
        <v>44134</v>
      </c>
      <c r="AW85" s="2">
        <f>SUM(J85:J86)</f>
        <v>1.1599999999999999</v>
      </c>
      <c r="AX85" s="2">
        <f>SUM(K85:K86)</f>
        <v>3.84</v>
      </c>
      <c r="AY85" s="7">
        <f>(AW85-2*$A$45)/AT85</f>
        <v>0.31249999999999994</v>
      </c>
      <c r="AZ85" s="7">
        <f>(AX85-2*$A$46)/AT85</f>
        <v>0.25</v>
      </c>
      <c r="BA85" s="7">
        <f>1-AY85-AZ85</f>
        <v>0.4375</v>
      </c>
      <c r="BB85" s="2">
        <f>SUM(O85:O86)</f>
        <v>96.830000000000013</v>
      </c>
      <c r="BC85" s="2">
        <f>SUM(P85:P86)</f>
        <v>93.64</v>
      </c>
      <c r="BD85" s="2">
        <f>SUM(Q85:Q86)</f>
        <v>223.17000000000002</v>
      </c>
      <c r="BE85" s="2">
        <f>SUM(R85:R86)</f>
        <v>214.51999999999998</v>
      </c>
      <c r="BF85" s="2">
        <f>(BB85-BC85)/BB85*100</f>
        <v>3.294433543323362</v>
      </c>
      <c r="BG85" s="2">
        <f>(BD85-BE85)/BD85*100</f>
        <v>3.8759689922480773</v>
      </c>
      <c r="BH85" s="1">
        <f>AU85*AY85</f>
        <v>738.1889763779526</v>
      </c>
      <c r="BI85" s="1">
        <f>AU85*AZ85</f>
        <v>590.55118110236219</v>
      </c>
      <c r="BJ85" s="1">
        <f>BH85+BI85</f>
        <v>1328.7401574803148</v>
      </c>
      <c r="BK85" s="1">
        <f>BH85*(1-BF85/100)</f>
        <v>713.86983112704195</v>
      </c>
      <c r="BL85" s="1">
        <f>BI85*(1-BG85/100)</f>
        <v>567.6616004394798</v>
      </c>
      <c r="BM85" s="1">
        <f>BK85+BL85</f>
        <v>1281.5314315665219</v>
      </c>
      <c r="BN85" s="11" t="str">
        <f>AA85</f>
        <v>992013044232</v>
      </c>
      <c r="BO85" s="11">
        <f>AB85</f>
        <v>44154</v>
      </c>
      <c r="BP85" s="1">
        <f>AVERAGE(AC85:AC86)</f>
        <v>38.049999999999997</v>
      </c>
      <c r="BQ85" s="9">
        <f t="shared" ref="BQ85" si="140">AVERAGE(AD85:AD86)</f>
        <v>1.0024999999999999</v>
      </c>
      <c r="BR85" s="1">
        <f t="shared" ref="BR85" si="141">AVERAGE(AE85:AE86)</f>
        <v>76.400000000000006</v>
      </c>
      <c r="BS85" s="1">
        <f t="shared" ref="BS85" si="142">AVERAGE(AF85:AF86)</f>
        <v>24.6</v>
      </c>
      <c r="BT85" s="1">
        <f t="shared" ref="BT85" si="143">AVERAGE(AG85:AG86)</f>
        <v>6.25</v>
      </c>
      <c r="BU85" s="1">
        <f t="shared" ref="BU85" si="144">AVERAGE(AH85:AH86)</f>
        <v>81.349999999999994</v>
      </c>
      <c r="BV85" s="1">
        <f t="shared" ref="BV85" si="145">AVERAGE(AI85:AI86)</f>
        <v>9</v>
      </c>
      <c r="BW85" s="1"/>
      <c r="BX85" s="8">
        <f t="shared" ref="BX85" si="146">AVERAGE(AK85:AK86)</f>
        <v>6</v>
      </c>
      <c r="BY85" s="2">
        <f t="shared" ref="BY85" si="147">AVERAGE(AL85:AL86)</f>
        <v>0.16</v>
      </c>
      <c r="BZ85" s="1">
        <f t="shared" ref="BZ85" si="148">AVERAGE(AM85:AM86)</f>
        <v>18</v>
      </c>
    </row>
    <row r="86" spans="1:78" x14ac:dyDescent="0.3">
      <c r="A86">
        <v>32</v>
      </c>
      <c r="B86" s="3" t="s">
        <v>270</v>
      </c>
      <c r="C86" s="3" t="s">
        <v>106</v>
      </c>
      <c r="D86" s="13">
        <v>43761</v>
      </c>
      <c r="E86" s="2">
        <v>1.18</v>
      </c>
      <c r="F86" s="2">
        <v>0.18</v>
      </c>
      <c r="G86" s="2">
        <f t="shared" si="1"/>
        <v>1</v>
      </c>
      <c r="H86" s="4">
        <f t="shared" si="2"/>
        <v>2460.6299212598424</v>
      </c>
      <c r="I86" s="10">
        <v>44134</v>
      </c>
      <c r="J86" s="2">
        <v>0.57999999999999996</v>
      </c>
      <c r="K86" s="2">
        <v>1.94</v>
      </c>
      <c r="L86" s="6">
        <f t="shared" si="3"/>
        <v>0.29999999999999993</v>
      </c>
      <c r="M86" s="6">
        <f t="shared" si="4"/>
        <v>0.26</v>
      </c>
      <c r="N86" s="6">
        <f t="shared" si="5"/>
        <v>0.44000000000000006</v>
      </c>
      <c r="O86" s="2">
        <v>46.31</v>
      </c>
      <c r="P86" s="2">
        <v>44.77</v>
      </c>
      <c r="Q86" s="2">
        <v>121.03</v>
      </c>
      <c r="R86" s="2">
        <v>116.31</v>
      </c>
      <c r="S86" s="5">
        <f t="shared" si="6"/>
        <v>3.3254156769596177</v>
      </c>
      <c r="T86" s="5">
        <f t="shared" si="7"/>
        <v>3.8998595389572821</v>
      </c>
      <c r="U86" s="4">
        <f t="shared" si="8"/>
        <v>738.1889763779526</v>
      </c>
      <c r="V86" s="4">
        <f t="shared" si="9"/>
        <v>639.763779527559</v>
      </c>
      <c r="W86" s="4">
        <f t="shared" si="10"/>
        <v>1377.9527559055116</v>
      </c>
      <c r="X86" s="4">
        <f t="shared" si="11"/>
        <v>713.64112443189242</v>
      </c>
      <c r="Y86" s="4">
        <f t="shared" si="12"/>
        <v>614.8138907448598</v>
      </c>
      <c r="Z86" s="4">
        <f t="shared" si="13"/>
        <v>1328.4550151767521</v>
      </c>
      <c r="AA86" s="8" t="s">
        <v>225</v>
      </c>
      <c r="AB86" s="10">
        <v>44154</v>
      </c>
      <c r="AC86" s="4">
        <v>38.1</v>
      </c>
      <c r="AD86" s="15">
        <v>0.99</v>
      </c>
      <c r="AE86" s="4">
        <v>76.099999999999994</v>
      </c>
      <c r="AF86" s="4">
        <v>24.5</v>
      </c>
      <c r="AG86" s="4">
        <v>6.2</v>
      </c>
      <c r="AH86" s="4">
        <v>81.3</v>
      </c>
      <c r="AI86" s="4">
        <v>9.1</v>
      </c>
      <c r="AJ86" s="4" t="s">
        <v>188</v>
      </c>
      <c r="AK86" s="16">
        <v>5</v>
      </c>
      <c r="AL86" s="5">
        <v>0.11</v>
      </c>
      <c r="AM86" s="4">
        <v>18.100000000000001</v>
      </c>
      <c r="AO86" s="14"/>
      <c r="AP86" s="1"/>
      <c r="AQ86" s="1"/>
      <c r="AR86" s="2"/>
      <c r="AS86" s="2"/>
      <c r="AT86" s="2"/>
      <c r="AU86" s="1"/>
      <c r="AV86" s="2"/>
      <c r="AW86" s="2"/>
      <c r="AX86" s="2"/>
      <c r="AY86" s="7"/>
      <c r="AZ86" s="7"/>
      <c r="BA86" s="7"/>
      <c r="BB86" s="2"/>
      <c r="BC86" s="2"/>
      <c r="BD86" s="2"/>
      <c r="BE86" s="2"/>
      <c r="BF86" s="2"/>
      <c r="BG86" s="2"/>
      <c r="BH86" s="1"/>
      <c r="BI86" s="1"/>
      <c r="BJ86" s="1"/>
      <c r="BK86" s="1"/>
      <c r="BL86" s="1"/>
      <c r="BM86" s="1"/>
      <c r="BN86" s="11"/>
      <c r="BO86" s="1"/>
      <c r="BP86" s="1"/>
      <c r="BQ86" s="9"/>
      <c r="BR86" s="1"/>
      <c r="BS86" s="1"/>
      <c r="BT86" s="1"/>
      <c r="BU86" s="1"/>
      <c r="BV86" s="1"/>
      <c r="BX86" s="8"/>
      <c r="BY86" s="2"/>
      <c r="BZ86" s="1"/>
    </row>
    <row r="87" spans="1:78" x14ac:dyDescent="0.3">
      <c r="A87">
        <v>33</v>
      </c>
      <c r="B87" s="3" t="s">
        <v>271</v>
      </c>
      <c r="C87" s="3" t="s">
        <v>106</v>
      </c>
      <c r="D87" s="13">
        <v>43761</v>
      </c>
      <c r="E87" s="2">
        <v>2.17</v>
      </c>
      <c r="F87" s="2">
        <v>0.17</v>
      </c>
      <c r="G87" s="2">
        <f t="shared" si="1"/>
        <v>2</v>
      </c>
      <c r="H87" s="4">
        <f t="shared" si="2"/>
        <v>4921.2598425196848</v>
      </c>
      <c r="I87" s="10">
        <v>44134</v>
      </c>
      <c r="J87" s="2">
        <v>1.02</v>
      </c>
      <c r="K87" s="2">
        <v>2.52</v>
      </c>
      <c r="L87" s="6">
        <f t="shared" si="3"/>
        <v>0.37</v>
      </c>
      <c r="M87" s="6">
        <f t="shared" si="4"/>
        <v>0.42000000000000004</v>
      </c>
      <c r="N87" s="6">
        <f t="shared" si="5"/>
        <v>0.20999999999999996</v>
      </c>
      <c r="O87" s="2">
        <v>62.71</v>
      </c>
      <c r="P87" s="2">
        <v>60.97</v>
      </c>
      <c r="Q87" s="2">
        <v>199.02</v>
      </c>
      <c r="R87" s="2">
        <v>191.49</v>
      </c>
      <c r="S87" s="5">
        <f t="shared" si="6"/>
        <v>2.7746770849944218</v>
      </c>
      <c r="T87" s="5">
        <f t="shared" si="7"/>
        <v>3.7835393427796205</v>
      </c>
      <c r="U87" s="4">
        <f t="shared" si="8"/>
        <v>1820.8661417322833</v>
      </c>
      <c r="V87" s="4">
        <f t="shared" si="9"/>
        <v>2066.929133858268</v>
      </c>
      <c r="W87" s="4">
        <f t="shared" si="10"/>
        <v>3887.7952755905512</v>
      </c>
      <c r="X87" s="4">
        <f t="shared" si="11"/>
        <v>1770.3429861492154</v>
      </c>
      <c r="Y87" s="4">
        <f t="shared" si="12"/>
        <v>1988.7260568913664</v>
      </c>
      <c r="Z87" s="4">
        <f t="shared" si="13"/>
        <v>3759.0690430405821</v>
      </c>
      <c r="AA87" t="s">
        <v>201</v>
      </c>
      <c r="AB87" s="10">
        <v>44154</v>
      </c>
      <c r="AC87" s="4">
        <v>41.8</v>
      </c>
      <c r="AD87" s="15">
        <v>1.042</v>
      </c>
      <c r="AE87" s="4">
        <v>77.8</v>
      </c>
      <c r="AF87" s="4">
        <v>25.3</v>
      </c>
      <c r="AG87" s="4">
        <v>6.1</v>
      </c>
      <c r="AH87" s="4">
        <v>81.3</v>
      </c>
      <c r="AI87" s="4">
        <v>8.8000000000000007</v>
      </c>
      <c r="AJ87" s="4" t="s">
        <v>188</v>
      </c>
      <c r="AK87" s="16">
        <v>6</v>
      </c>
      <c r="AL87" s="5">
        <v>0.08</v>
      </c>
      <c r="AM87" s="4">
        <v>14.5</v>
      </c>
      <c r="AO87" s="14" t="s">
        <v>157</v>
      </c>
      <c r="AP87" s="1" t="s">
        <v>106</v>
      </c>
      <c r="AQ87" s="11">
        <f>D87</f>
        <v>43761</v>
      </c>
      <c r="AR87" s="2">
        <f>SUM(E87:E88)</f>
        <v>4.2300000000000004</v>
      </c>
      <c r="AS87" s="2">
        <f>SUM(F87:F88)</f>
        <v>0.35</v>
      </c>
      <c r="AT87" s="2">
        <f>AR87-AS87</f>
        <v>3.8800000000000003</v>
      </c>
      <c r="AU87" s="1">
        <f>AT87/(2*$A$43)*$A$44</f>
        <v>4773.6220472440946</v>
      </c>
      <c r="AV87" s="11">
        <f>I87</f>
        <v>44134</v>
      </c>
      <c r="AW87" s="2">
        <f>SUM(J87:J88)</f>
        <v>2.02</v>
      </c>
      <c r="AX87" s="2">
        <f>SUM(K87:K88)</f>
        <v>4.96</v>
      </c>
      <c r="AY87" s="7">
        <f>(AW87-2*$A$45)/AT87</f>
        <v>0.37628865979381437</v>
      </c>
      <c r="AZ87" s="7">
        <f>(AX87-2*$A$46)/AT87</f>
        <v>0.41237113402061853</v>
      </c>
      <c r="BA87" s="7">
        <f>1-AY87-AZ87</f>
        <v>0.21134020618556704</v>
      </c>
      <c r="BB87" s="2">
        <f>SUM(O87:O88)</f>
        <v>132.21</v>
      </c>
      <c r="BC87" s="2">
        <f>SUM(P87:P88)</f>
        <v>128.48000000000002</v>
      </c>
      <c r="BD87" s="2">
        <f>SUM(Q87:Q88)</f>
        <v>356.68</v>
      </c>
      <c r="BE87" s="2">
        <f>SUM(R87:R88)</f>
        <v>343.5</v>
      </c>
      <c r="BF87" s="2">
        <f>(BB87-BC87)/BB87*100</f>
        <v>2.8212691929506009</v>
      </c>
      <c r="BG87" s="2">
        <f>(BD87-BE87)/BD87*100</f>
        <v>3.6951889648985103</v>
      </c>
      <c r="BH87" s="1">
        <f>AU87*AY87</f>
        <v>1796.2598425196848</v>
      </c>
      <c r="BI87" s="1">
        <f>AU87*AZ87</f>
        <v>1968.5039370078739</v>
      </c>
      <c r="BJ87" s="1">
        <f>BH87+BI87</f>
        <v>3764.7637795275587</v>
      </c>
      <c r="BK87" s="1">
        <f>BH87*(1-BF87/100)</f>
        <v>1745.5825169573338</v>
      </c>
      <c r="BL87" s="1">
        <f>BI87*(1-BG87/100)</f>
        <v>1895.7639967539662</v>
      </c>
      <c r="BM87" s="1">
        <f>BK87+BL87</f>
        <v>3641.3465137112998</v>
      </c>
      <c r="BN87" s="11" t="str">
        <f>AA87</f>
        <v>992013051234</v>
      </c>
      <c r="BO87" s="11">
        <f>AB87</f>
        <v>44154</v>
      </c>
      <c r="BP87" s="1">
        <f>AVERAGE(AC87:AC88)</f>
        <v>42.599999999999994</v>
      </c>
      <c r="BQ87" s="9">
        <f t="shared" ref="BQ87" si="149">AVERAGE(AD87:AD88)</f>
        <v>1.0590000000000002</v>
      </c>
      <c r="BR87" s="1">
        <f t="shared" ref="BR87" si="150">AVERAGE(AE87:AE88)</f>
        <v>78.3</v>
      </c>
      <c r="BS87" s="1">
        <f t="shared" ref="BS87" si="151">AVERAGE(AF87:AF88)</f>
        <v>26.75</v>
      </c>
      <c r="BT87" s="1">
        <f t="shared" ref="BT87" si="152">AVERAGE(AG87:AG88)</f>
        <v>6</v>
      </c>
      <c r="BU87" s="1">
        <f t="shared" ref="BU87" si="153">AVERAGE(AH87:AH88)</f>
        <v>81.699999999999989</v>
      </c>
      <c r="BV87" s="1">
        <f t="shared" ref="BV87" si="154">AVERAGE(AI87:AI88)</f>
        <v>8.5</v>
      </c>
      <c r="BW87" s="1"/>
      <c r="BX87" s="8">
        <f t="shared" ref="BX87" si="155">AVERAGE(AK87:AK88)</f>
        <v>8</v>
      </c>
      <c r="BY87" s="2">
        <f t="shared" ref="BY87" si="156">AVERAGE(AL87:AL88)</f>
        <v>0.125</v>
      </c>
      <c r="BZ87" s="1">
        <f t="shared" ref="BZ87" si="157">AVERAGE(AM87:AM88)</f>
        <v>13.6</v>
      </c>
    </row>
    <row r="88" spans="1:78" x14ac:dyDescent="0.3">
      <c r="A88">
        <v>34</v>
      </c>
      <c r="B88" s="3" t="s">
        <v>272</v>
      </c>
      <c r="C88" s="3" t="s">
        <v>106</v>
      </c>
      <c r="D88" s="13">
        <v>43761</v>
      </c>
      <c r="E88" s="2">
        <v>2.06</v>
      </c>
      <c r="F88" s="2">
        <v>0.18</v>
      </c>
      <c r="G88" s="2">
        <f t="shared" si="1"/>
        <v>1.8800000000000001</v>
      </c>
      <c r="H88" s="4">
        <f t="shared" si="2"/>
        <v>4625.9842519685044</v>
      </c>
      <c r="I88" s="10">
        <v>44134</v>
      </c>
      <c r="J88" s="2">
        <v>1</v>
      </c>
      <c r="K88" s="2">
        <v>2.44</v>
      </c>
      <c r="L88" s="6">
        <f t="shared" si="3"/>
        <v>0.38297872340425526</v>
      </c>
      <c r="M88" s="6">
        <f t="shared" si="4"/>
        <v>0.40425531914893614</v>
      </c>
      <c r="N88" s="6">
        <f t="shared" si="5"/>
        <v>0.21276595744680865</v>
      </c>
      <c r="O88" s="2">
        <v>69.5</v>
      </c>
      <c r="P88" s="2">
        <v>67.510000000000005</v>
      </c>
      <c r="Q88" s="2">
        <v>157.66</v>
      </c>
      <c r="R88" s="2">
        <v>152.01</v>
      </c>
      <c r="S88" s="5">
        <f t="shared" si="6"/>
        <v>2.8633093525179785</v>
      </c>
      <c r="T88" s="5">
        <f t="shared" si="7"/>
        <v>3.5836610427502253</v>
      </c>
      <c r="U88" s="4">
        <f t="shared" si="8"/>
        <v>1771.6535433070865</v>
      </c>
      <c r="V88" s="4">
        <f t="shared" si="9"/>
        <v>1870.0787401574803</v>
      </c>
      <c r="W88" s="4">
        <f t="shared" si="10"/>
        <v>3641.7322834645665</v>
      </c>
      <c r="X88" s="4">
        <f t="shared" si="11"/>
        <v>1720.9256217073587</v>
      </c>
      <c r="Y88" s="4">
        <f t="shared" si="12"/>
        <v>1803.0614568777023</v>
      </c>
      <c r="Z88" s="4">
        <f t="shared" si="13"/>
        <v>3523.9870785850608</v>
      </c>
      <c r="AA88" s="8" t="s">
        <v>226</v>
      </c>
      <c r="AB88" s="10">
        <v>44154</v>
      </c>
      <c r="AC88" s="4">
        <v>43.4</v>
      </c>
      <c r="AD88" s="15">
        <v>1.0760000000000001</v>
      </c>
      <c r="AE88" s="4">
        <v>78.8</v>
      </c>
      <c r="AF88" s="4">
        <v>28.2</v>
      </c>
      <c r="AG88" s="4">
        <v>5.9</v>
      </c>
      <c r="AH88" s="4">
        <v>82.1</v>
      </c>
      <c r="AI88" s="4">
        <v>8.1999999999999993</v>
      </c>
      <c r="AJ88" s="4" t="s">
        <v>184</v>
      </c>
      <c r="AK88" s="16">
        <v>10</v>
      </c>
      <c r="AL88" s="5">
        <v>0.17</v>
      </c>
      <c r="AM88" s="4">
        <v>12.7</v>
      </c>
      <c r="AO88" s="14"/>
      <c r="AP88" s="1"/>
      <c r="AQ88" s="1"/>
      <c r="AR88" s="2"/>
      <c r="AS88" s="2"/>
      <c r="AT88" s="2"/>
      <c r="AU88" s="1"/>
      <c r="AV88" s="2"/>
      <c r="AW88" s="2"/>
      <c r="AX88" s="2"/>
      <c r="AY88" s="7"/>
      <c r="AZ88" s="7"/>
      <c r="BA88" s="7"/>
      <c r="BB88" s="2"/>
      <c r="BC88" s="2"/>
      <c r="BD88" s="2"/>
      <c r="BE88" s="2"/>
      <c r="BF88" s="2"/>
      <c r="BG88" s="2"/>
      <c r="BH88" s="1"/>
      <c r="BI88" s="1"/>
      <c r="BJ88" s="1"/>
      <c r="BK88" s="1"/>
      <c r="BL88" s="1"/>
      <c r="BM88" s="1"/>
      <c r="BN88" s="11"/>
      <c r="BO88" s="1"/>
      <c r="BP88" s="1"/>
      <c r="BQ88" s="9"/>
      <c r="BR88" s="1"/>
      <c r="BS88" s="1"/>
      <c r="BT88" s="1"/>
      <c r="BU88" s="1"/>
      <c r="BV88" s="1"/>
      <c r="BX88" s="8"/>
      <c r="BY88" s="2"/>
      <c r="BZ88" s="1"/>
    </row>
    <row r="89" spans="1:78" x14ac:dyDescent="0.3">
      <c r="A89">
        <v>35</v>
      </c>
      <c r="B89" s="3" t="s">
        <v>273</v>
      </c>
      <c r="C89" s="3" t="s">
        <v>106</v>
      </c>
      <c r="D89" s="13">
        <v>43761</v>
      </c>
      <c r="E89" s="2">
        <v>1.96</v>
      </c>
      <c r="F89" s="2">
        <v>0.18</v>
      </c>
      <c r="G89" s="2">
        <f t="shared" si="1"/>
        <v>1.78</v>
      </c>
      <c r="H89" s="4">
        <f t="shared" si="2"/>
        <v>4379.9212598425192</v>
      </c>
      <c r="I89" s="10">
        <v>44134</v>
      </c>
      <c r="J89" s="2">
        <v>0.96</v>
      </c>
      <c r="K89" s="2">
        <v>2.44</v>
      </c>
      <c r="L89" s="6">
        <f t="shared" si="3"/>
        <v>0.38202247191011229</v>
      </c>
      <c r="M89" s="6">
        <f t="shared" si="4"/>
        <v>0.42696629213483145</v>
      </c>
      <c r="N89" s="6">
        <f t="shared" si="5"/>
        <v>0.19101123595505626</v>
      </c>
      <c r="O89" s="2">
        <v>70.900000000000006</v>
      </c>
      <c r="P89" s="2">
        <v>69.06</v>
      </c>
      <c r="Q89" s="2">
        <v>172.65</v>
      </c>
      <c r="R89" s="2">
        <v>165.83</v>
      </c>
      <c r="S89" s="5">
        <f t="shared" si="6"/>
        <v>2.5952045133991581</v>
      </c>
      <c r="T89" s="5">
        <f t="shared" si="7"/>
        <v>3.9501882421083074</v>
      </c>
      <c r="U89" s="4">
        <f t="shared" si="8"/>
        <v>1673.2283464566924</v>
      </c>
      <c r="V89" s="4">
        <f t="shared" si="9"/>
        <v>1870.0787401574801</v>
      </c>
      <c r="W89" s="4">
        <f t="shared" si="10"/>
        <v>3543.3070866141725</v>
      </c>
      <c r="X89" s="4">
        <f t="shared" si="11"/>
        <v>1629.804648889974</v>
      </c>
      <c r="Y89" s="4">
        <f t="shared" si="12"/>
        <v>1796.207109645612</v>
      </c>
      <c r="Z89" s="4">
        <f t="shared" si="13"/>
        <v>3426.0117585355861</v>
      </c>
      <c r="AA89" t="s">
        <v>202</v>
      </c>
      <c r="AB89" s="10">
        <v>44154</v>
      </c>
      <c r="AC89" s="4">
        <v>45.599999999999994</v>
      </c>
      <c r="AD89" s="15">
        <v>1.0609999999999999</v>
      </c>
      <c r="AE89" s="4">
        <v>78</v>
      </c>
      <c r="AF89" s="4">
        <v>26.5</v>
      </c>
      <c r="AG89" s="4">
        <v>6.1</v>
      </c>
      <c r="AH89" s="4">
        <v>82.6</v>
      </c>
      <c r="AI89" s="4">
        <v>8.6</v>
      </c>
      <c r="AJ89" s="4" t="s">
        <v>186</v>
      </c>
      <c r="AK89" s="16">
        <v>4</v>
      </c>
      <c r="AL89" s="5">
        <v>0.06</v>
      </c>
      <c r="AM89" s="4">
        <v>14.1</v>
      </c>
      <c r="AO89" s="14" t="s">
        <v>158</v>
      </c>
      <c r="AP89" s="1" t="s">
        <v>106</v>
      </c>
      <c r="AQ89" s="11">
        <f>D89</f>
        <v>43761</v>
      </c>
      <c r="AR89" s="2">
        <f>SUM(E89:E90)</f>
        <v>4.24</v>
      </c>
      <c r="AS89" s="2">
        <f>SUM(F89:F90)</f>
        <v>0.37</v>
      </c>
      <c r="AT89" s="2">
        <f>AR89-AS89</f>
        <v>3.87</v>
      </c>
      <c r="AU89" s="1">
        <f>AT89/(2*$A$43)*$A$44</f>
        <v>4761.3188976377951</v>
      </c>
      <c r="AV89" s="11">
        <f>I89</f>
        <v>44134</v>
      </c>
      <c r="AW89" s="2">
        <f>SUM(J89:J90)</f>
        <v>2</v>
      </c>
      <c r="AX89" s="2">
        <f>SUM(K89:K90)</f>
        <v>4.9800000000000004</v>
      </c>
      <c r="AY89" s="7">
        <f>(AW89-2*$A$45)/AT89</f>
        <v>0.37209302325581395</v>
      </c>
      <c r="AZ89" s="7">
        <f>(AX89-2*$A$46)/AT89</f>
        <v>0.41860465116279083</v>
      </c>
      <c r="BA89" s="7">
        <f>1-AY89-AZ89</f>
        <v>0.20930232558139522</v>
      </c>
      <c r="BB89" s="2">
        <f>SUM(O89:O90)</f>
        <v>134.63</v>
      </c>
      <c r="BC89" s="2">
        <f>SUM(P89:P90)</f>
        <v>130.01</v>
      </c>
      <c r="BD89" s="2">
        <f>SUM(Q89:Q90)</f>
        <v>337.78999999999996</v>
      </c>
      <c r="BE89" s="2">
        <f>SUM(R89:R90)</f>
        <v>324.35000000000002</v>
      </c>
      <c r="BF89" s="2">
        <f>(BB89-BC89)/BB89*100</f>
        <v>3.4316274233083304</v>
      </c>
      <c r="BG89" s="2">
        <f>(BD89-BE89)/BD89*100</f>
        <v>3.9788033985612188</v>
      </c>
      <c r="BH89" s="1">
        <f>AU89*AY89</f>
        <v>1771.6535433070865</v>
      </c>
      <c r="BI89" s="1">
        <f>AU89*AZ89</f>
        <v>1993.1102362204731</v>
      </c>
      <c r="BJ89" s="1">
        <f>BH89+BI89</f>
        <v>3764.7637795275596</v>
      </c>
      <c r="BK89" s="1">
        <f>BH89*(1-BF89/100)</f>
        <v>1710.8569944689468</v>
      </c>
      <c r="BL89" s="1">
        <f>BI89*(1-BG89/100)</f>
        <v>1913.8082984046614</v>
      </c>
      <c r="BM89" s="1">
        <f>BK89+BL89</f>
        <v>3624.6652928736085</v>
      </c>
      <c r="BN89" s="11" t="str">
        <f>AA89</f>
        <v>992013052236</v>
      </c>
      <c r="BO89" s="11">
        <f>AB89</f>
        <v>44154</v>
      </c>
      <c r="BP89" s="1">
        <f>AVERAGE(AC89:AC90)</f>
        <v>43.099999999999994</v>
      </c>
      <c r="BQ89" s="9">
        <f t="shared" ref="BQ89" si="158">AVERAGE(AD89:AD90)</f>
        <v>1.0775000000000001</v>
      </c>
      <c r="BR89" s="1">
        <f t="shared" ref="BR89" si="159">AVERAGE(AE89:AE90)</f>
        <v>79.2</v>
      </c>
      <c r="BS89" s="1">
        <f t="shared" ref="BS89" si="160">AVERAGE(AF89:AF90)</f>
        <v>27.15</v>
      </c>
      <c r="BT89" s="1">
        <f t="shared" ref="BT89" si="161">AVERAGE(AG89:AG90)</f>
        <v>6.1</v>
      </c>
      <c r="BU89" s="1">
        <f t="shared" ref="BU89" si="162">AVERAGE(AH89:AH90)</f>
        <v>82.65</v>
      </c>
      <c r="BV89" s="1">
        <f t="shared" ref="BV89" si="163">AVERAGE(AI89:AI90)</f>
        <v>8.1999999999999993</v>
      </c>
      <c r="BW89" s="1"/>
      <c r="BX89" s="8">
        <f t="shared" ref="BX89" si="164">AVERAGE(AK89:AK90)</f>
        <v>5.5</v>
      </c>
      <c r="BY89" s="2">
        <f t="shared" ref="BY89" si="165">AVERAGE(AL89:AL90)</f>
        <v>9.5000000000000001E-2</v>
      </c>
      <c r="BZ89" s="1">
        <f t="shared" ref="BZ89" si="166">AVERAGE(AM89:AM90)</f>
        <v>12.7</v>
      </c>
    </row>
    <row r="90" spans="1:78" x14ac:dyDescent="0.3">
      <c r="A90">
        <v>36</v>
      </c>
      <c r="B90" s="3" t="s">
        <v>274</v>
      </c>
      <c r="C90" s="3" t="s">
        <v>106</v>
      </c>
      <c r="D90" s="13">
        <v>43761</v>
      </c>
      <c r="E90" s="2">
        <v>2.2799999999999998</v>
      </c>
      <c r="F90" s="2">
        <v>0.19</v>
      </c>
      <c r="G90" s="2">
        <f t="shared" si="1"/>
        <v>2.09</v>
      </c>
      <c r="H90" s="4">
        <f t="shared" si="2"/>
        <v>5142.7165354330709</v>
      </c>
      <c r="I90" s="10">
        <v>44134</v>
      </c>
      <c r="J90" s="2">
        <v>1.04</v>
      </c>
      <c r="K90" s="2">
        <v>2.54</v>
      </c>
      <c r="L90" s="6">
        <f t="shared" si="3"/>
        <v>0.36363636363636365</v>
      </c>
      <c r="M90" s="6">
        <f t="shared" si="4"/>
        <v>0.41148325358851684</v>
      </c>
      <c r="N90" s="6">
        <f t="shared" si="5"/>
        <v>0.22488038277511951</v>
      </c>
      <c r="O90" s="2">
        <v>63.73</v>
      </c>
      <c r="P90" s="2">
        <v>60.95</v>
      </c>
      <c r="Q90" s="2">
        <v>165.14</v>
      </c>
      <c r="R90" s="2">
        <v>158.52000000000001</v>
      </c>
      <c r="S90" s="5">
        <f t="shared" si="6"/>
        <v>4.3621528322610921</v>
      </c>
      <c r="T90" s="5">
        <f t="shared" si="7"/>
        <v>4.0087198740462497</v>
      </c>
      <c r="U90" s="4">
        <f t="shared" si="8"/>
        <v>1870.0787401574803</v>
      </c>
      <c r="V90" s="4">
        <f t="shared" si="9"/>
        <v>2116.141732283465</v>
      </c>
      <c r="W90" s="4">
        <f t="shared" si="10"/>
        <v>3986.2204724409453</v>
      </c>
      <c r="X90" s="4">
        <f t="shared" si="11"/>
        <v>1788.5030474281882</v>
      </c>
      <c r="Y90" s="4">
        <f t="shared" si="12"/>
        <v>2031.3115380984311</v>
      </c>
      <c r="Z90" s="4">
        <f t="shared" si="13"/>
        <v>3819.8145855266193</v>
      </c>
      <c r="AA90" s="8" t="s">
        <v>227</v>
      </c>
      <c r="AB90" s="10">
        <v>44154</v>
      </c>
      <c r="AC90" s="4">
        <v>40.599999999999994</v>
      </c>
      <c r="AD90" s="15">
        <v>1.0940000000000001</v>
      </c>
      <c r="AE90" s="4">
        <v>80.400000000000006</v>
      </c>
      <c r="AF90" s="4">
        <v>27.8</v>
      </c>
      <c r="AG90" s="4">
        <v>6.1</v>
      </c>
      <c r="AH90" s="4">
        <v>82.7</v>
      </c>
      <c r="AI90" s="4">
        <v>7.8</v>
      </c>
      <c r="AJ90" s="4" t="s">
        <v>184</v>
      </c>
      <c r="AK90" s="16">
        <v>7</v>
      </c>
      <c r="AL90" s="5">
        <v>0.13</v>
      </c>
      <c r="AM90" s="4">
        <v>11.3</v>
      </c>
      <c r="AO90" s="14"/>
      <c r="AP90" s="1"/>
      <c r="AQ90" s="1"/>
      <c r="AR90" s="2"/>
      <c r="AS90" s="2"/>
      <c r="AT90" s="2"/>
      <c r="AU90" s="1"/>
      <c r="AV90" s="2"/>
      <c r="AW90" s="2"/>
      <c r="AX90" s="2"/>
      <c r="AY90" s="7"/>
      <c r="AZ90" s="7"/>
      <c r="BA90" s="7"/>
      <c r="BB90" s="2"/>
      <c r="BC90" s="2"/>
      <c r="BD90" s="2"/>
      <c r="BE90" s="2"/>
      <c r="BF90" s="2"/>
      <c r="BG90" s="2"/>
      <c r="BH90" s="1"/>
      <c r="BI90" s="1"/>
      <c r="BJ90" s="1"/>
      <c r="BK90" s="1"/>
      <c r="BL90" s="1"/>
      <c r="BM90" s="1"/>
      <c r="BN90" s="11"/>
      <c r="BO90" s="1"/>
      <c r="BP90" s="1"/>
      <c r="BQ90" s="9"/>
      <c r="BR90" s="1"/>
      <c r="BS90" s="1"/>
      <c r="BT90" s="1"/>
      <c r="BU90" s="1"/>
      <c r="BV90" s="1"/>
      <c r="BX90" s="8"/>
      <c r="BY90" s="2"/>
      <c r="BZ90" s="1"/>
    </row>
    <row r="91" spans="1:78" x14ac:dyDescent="0.3">
      <c r="A91">
        <v>37</v>
      </c>
      <c r="B91" s="3" t="s">
        <v>275</v>
      </c>
      <c r="C91" s="3" t="s">
        <v>106</v>
      </c>
      <c r="D91" s="13">
        <v>43761</v>
      </c>
      <c r="E91" s="2">
        <v>1.5</v>
      </c>
      <c r="F91" s="2">
        <v>0.17</v>
      </c>
      <c r="G91" s="2">
        <f t="shared" si="1"/>
        <v>1.33</v>
      </c>
      <c r="H91" s="4">
        <f t="shared" si="2"/>
        <v>3272.6377952755906</v>
      </c>
      <c r="I91" s="10">
        <v>44134</v>
      </c>
      <c r="J91" s="2">
        <v>0.74</v>
      </c>
      <c r="K91" s="2">
        <v>2.1</v>
      </c>
      <c r="L91" s="6">
        <f t="shared" si="3"/>
        <v>0.34586466165413532</v>
      </c>
      <c r="M91" s="6">
        <f t="shared" si="4"/>
        <v>0.31578947368421062</v>
      </c>
      <c r="N91" s="6">
        <f t="shared" si="5"/>
        <v>0.33834586466165406</v>
      </c>
      <c r="O91" s="2">
        <v>49.98</v>
      </c>
      <c r="P91" s="2">
        <v>48.56</v>
      </c>
      <c r="Q91" s="2">
        <v>136.37</v>
      </c>
      <c r="R91" s="2">
        <v>131.43</v>
      </c>
      <c r="S91" s="5">
        <f t="shared" si="6"/>
        <v>2.8411364545818221</v>
      </c>
      <c r="T91" s="5">
        <f t="shared" si="7"/>
        <v>3.6224976167778817</v>
      </c>
      <c r="U91" s="4">
        <f t="shared" si="8"/>
        <v>1131.8897637795276</v>
      </c>
      <c r="V91" s="4">
        <f t="shared" si="9"/>
        <v>1033.4645669291342</v>
      </c>
      <c r="W91" s="4">
        <f t="shared" si="10"/>
        <v>2165.354330708662</v>
      </c>
      <c r="X91" s="4">
        <f t="shared" si="11"/>
        <v>1099.7312310751072</v>
      </c>
      <c r="Y91" s="4">
        <f t="shared" si="12"/>
        <v>996.02733762188245</v>
      </c>
      <c r="Z91" s="4">
        <f t="shared" si="13"/>
        <v>2095.7585686969896</v>
      </c>
      <c r="AA91" t="s">
        <v>203</v>
      </c>
      <c r="AB91" s="10">
        <v>44154</v>
      </c>
      <c r="AC91" s="4">
        <v>40.700000000000003</v>
      </c>
      <c r="AD91" s="15">
        <v>1.0289999999999999</v>
      </c>
      <c r="AE91" s="4">
        <v>77.400000000000006</v>
      </c>
      <c r="AF91" s="4">
        <v>26.5</v>
      </c>
      <c r="AG91" s="4">
        <v>5.9</v>
      </c>
      <c r="AH91" s="4">
        <v>81.599999999999994</v>
      </c>
      <c r="AI91" s="4">
        <v>9</v>
      </c>
      <c r="AJ91" s="4" t="s">
        <v>186</v>
      </c>
      <c r="AK91" s="16">
        <v>11</v>
      </c>
      <c r="AL91" s="5">
        <v>0.56000000000000005</v>
      </c>
      <c r="AM91" s="4">
        <v>15.9</v>
      </c>
      <c r="AO91" s="14" t="s">
        <v>159</v>
      </c>
      <c r="AP91" s="1" t="s">
        <v>106</v>
      </c>
      <c r="AQ91" s="11">
        <f>D91</f>
        <v>43761</v>
      </c>
      <c r="AR91" s="2">
        <f>SUM(E91:E92)</f>
        <v>2.8899999999999997</v>
      </c>
      <c r="AS91" s="2">
        <f>SUM(F91:F92)</f>
        <v>0.34</v>
      </c>
      <c r="AT91" s="2">
        <f>AR91-AS91</f>
        <v>2.5499999999999998</v>
      </c>
      <c r="AU91" s="1">
        <f>AT91/(2*$A$43)*$A$44</f>
        <v>3137.303149606299</v>
      </c>
      <c r="AV91" s="11">
        <f>I91</f>
        <v>44134</v>
      </c>
      <c r="AW91" s="2">
        <f>SUM(J91:J92)</f>
        <v>1.46</v>
      </c>
      <c r="AX91" s="2">
        <f>SUM(K91:K92)</f>
        <v>4.16</v>
      </c>
      <c r="AY91" s="7">
        <f>(AW91-2*$A$45)/AT91</f>
        <v>0.3529411764705882</v>
      </c>
      <c r="AZ91" s="7">
        <f>(AX91-2*$A$46)/AT91</f>
        <v>0.31372549019607854</v>
      </c>
      <c r="BA91" s="7">
        <f>1-AY91-AZ91</f>
        <v>0.33333333333333326</v>
      </c>
      <c r="BB91" s="2">
        <f>SUM(O91:O92)</f>
        <v>110.91</v>
      </c>
      <c r="BC91" s="2">
        <f>SUM(P91:P92)</f>
        <v>107.89</v>
      </c>
      <c r="BD91" s="2">
        <f>SUM(Q91:Q92)</f>
        <v>272.89999999999998</v>
      </c>
      <c r="BE91" s="2">
        <f>SUM(R91:R92)</f>
        <v>263.21000000000004</v>
      </c>
      <c r="BF91" s="2">
        <f>(BB91-BC91)/BB91*100</f>
        <v>2.7229285005860571</v>
      </c>
      <c r="BG91" s="2">
        <f>(BD91-BE91)/BD91*100</f>
        <v>3.550751190912401</v>
      </c>
      <c r="BH91" s="1">
        <f>AU91*AY91</f>
        <v>1107.2834645669291</v>
      </c>
      <c r="BI91" s="1">
        <f>AU91*AZ91</f>
        <v>984.25196850393729</v>
      </c>
      <c r="BJ91" s="1">
        <f>BH91+BI91</f>
        <v>2091.5354330708665</v>
      </c>
      <c r="BK91" s="1">
        <f>BH91*(1-BF91/100)</f>
        <v>1077.1329275279595</v>
      </c>
      <c r="BL91" s="1">
        <f>BI91*(1-BG91/100)</f>
        <v>949.30363001070498</v>
      </c>
      <c r="BM91" s="1">
        <f>BK91+BL91</f>
        <v>2026.4365575386646</v>
      </c>
      <c r="BN91" s="11" t="str">
        <f>AA91</f>
        <v>992013053238</v>
      </c>
      <c r="BO91" s="11">
        <f>AB91</f>
        <v>44154</v>
      </c>
      <c r="BP91" s="1">
        <f>AVERAGE(AC91:AC92)</f>
        <v>41.25</v>
      </c>
      <c r="BQ91" s="9">
        <f t="shared" ref="BQ91" si="167">AVERAGE(AD91:AD92)</f>
        <v>1.04</v>
      </c>
      <c r="BR91" s="1">
        <f t="shared" ref="BR91" si="168">AVERAGE(AE91:AE92)</f>
        <v>77.900000000000006</v>
      </c>
      <c r="BS91" s="1">
        <f t="shared" ref="BS91" si="169">AVERAGE(AF91:AF92)</f>
        <v>26.3</v>
      </c>
      <c r="BT91" s="1">
        <f t="shared" ref="BT91" si="170">AVERAGE(AG91:AG92)</f>
        <v>5.85</v>
      </c>
      <c r="BU91" s="1">
        <f t="shared" ref="BU91" si="171">AVERAGE(AH91:AH92)</f>
        <v>82.1</v>
      </c>
      <c r="BV91" s="1">
        <f t="shared" ref="BV91" si="172">AVERAGE(AI91:AI92)</f>
        <v>8.85</v>
      </c>
      <c r="BW91" s="1"/>
      <c r="BX91" s="8">
        <f t="shared" ref="BX91" si="173">AVERAGE(AK91:AK92)</f>
        <v>6</v>
      </c>
      <c r="BY91" s="2">
        <f t="shared" ref="BY91" si="174">AVERAGE(AL91:AL92)</f>
        <v>0.29500000000000004</v>
      </c>
      <c r="BZ91" s="1">
        <f t="shared" ref="BZ91" si="175">AVERAGE(AM91:AM92)</f>
        <v>14.5</v>
      </c>
    </row>
    <row r="92" spans="1:78" x14ac:dyDescent="0.3">
      <c r="A92">
        <v>38</v>
      </c>
      <c r="B92" s="3" t="s">
        <v>276</v>
      </c>
      <c r="C92" s="3" t="s">
        <v>106</v>
      </c>
      <c r="D92" s="13">
        <v>43761</v>
      </c>
      <c r="E92" s="2">
        <v>1.39</v>
      </c>
      <c r="F92" s="2">
        <v>0.17</v>
      </c>
      <c r="G92" s="2">
        <f t="shared" si="1"/>
        <v>1.22</v>
      </c>
      <c r="H92" s="4">
        <f t="shared" si="2"/>
        <v>3001.9685039370074</v>
      </c>
      <c r="I92" s="10">
        <v>44134</v>
      </c>
      <c r="J92" s="2">
        <v>0.72</v>
      </c>
      <c r="K92" s="2">
        <v>2.06</v>
      </c>
      <c r="L92" s="6">
        <f t="shared" si="3"/>
        <v>0.36065573770491799</v>
      </c>
      <c r="M92" s="6">
        <f t="shared" si="4"/>
        <v>0.3114754098360657</v>
      </c>
      <c r="N92" s="6">
        <f t="shared" si="5"/>
        <v>0.32786885245901631</v>
      </c>
      <c r="O92" s="2">
        <v>60.93</v>
      </c>
      <c r="P92" s="2">
        <v>59.33</v>
      </c>
      <c r="Q92" s="2">
        <v>136.53</v>
      </c>
      <c r="R92" s="2">
        <v>131.78</v>
      </c>
      <c r="S92" s="5">
        <f t="shared" si="6"/>
        <v>2.6259642212374881</v>
      </c>
      <c r="T92" s="5">
        <f t="shared" si="7"/>
        <v>3.4790888449425039</v>
      </c>
      <c r="U92" s="4">
        <f t="shared" si="8"/>
        <v>1082.6771653543303</v>
      </c>
      <c r="V92" s="4">
        <f t="shared" si="9"/>
        <v>935.03937007874038</v>
      </c>
      <c r="W92" s="4">
        <f t="shared" si="10"/>
        <v>2017.7165354330707</v>
      </c>
      <c r="X92" s="4">
        <f t="shared" si="11"/>
        <v>1054.2464503606175</v>
      </c>
      <c r="Y92" s="4">
        <f t="shared" si="12"/>
        <v>902.50851965851029</v>
      </c>
      <c r="Z92" s="4">
        <f t="shared" si="13"/>
        <v>1956.7549700191278</v>
      </c>
      <c r="AA92" s="8" t="s">
        <v>228</v>
      </c>
      <c r="AB92" s="10">
        <v>44154</v>
      </c>
      <c r="AC92" s="4">
        <v>41.8</v>
      </c>
      <c r="AD92" s="15">
        <v>1.0509999999999999</v>
      </c>
      <c r="AE92" s="4">
        <v>78.400000000000006</v>
      </c>
      <c r="AF92" s="4">
        <v>26.1</v>
      </c>
      <c r="AG92" s="4">
        <v>5.8</v>
      </c>
      <c r="AH92" s="4">
        <v>82.6</v>
      </c>
      <c r="AI92" s="4">
        <v>8.6999999999999993</v>
      </c>
      <c r="AJ92" s="4" t="s">
        <v>186</v>
      </c>
      <c r="AK92" s="16">
        <v>1</v>
      </c>
      <c r="AL92" s="5">
        <v>0.03</v>
      </c>
      <c r="AM92" s="4">
        <v>13.1</v>
      </c>
      <c r="AO92" s="14"/>
      <c r="AP92" s="1"/>
      <c r="AQ92" s="1"/>
      <c r="AR92" s="2"/>
      <c r="AS92" s="2"/>
      <c r="AT92" s="2"/>
      <c r="AU92" s="1"/>
      <c r="AV92" s="2"/>
      <c r="AW92" s="2"/>
      <c r="AX92" s="2"/>
      <c r="AY92" s="7"/>
      <c r="AZ92" s="7"/>
      <c r="BA92" s="7"/>
      <c r="BB92" s="2"/>
      <c r="BC92" s="2"/>
      <c r="BD92" s="2"/>
      <c r="BE92" s="2"/>
      <c r="BF92" s="2"/>
      <c r="BG92" s="2"/>
      <c r="BH92" s="1"/>
      <c r="BI92" s="1"/>
      <c r="BJ92" s="1"/>
      <c r="BK92" s="1"/>
      <c r="BL92" s="1"/>
      <c r="BM92" s="1"/>
      <c r="BN92" s="11"/>
      <c r="BO92" s="1"/>
      <c r="BP92" s="1"/>
      <c r="BQ92" s="9"/>
      <c r="BR92" s="1"/>
      <c r="BS92" s="1"/>
      <c r="BT92" s="1"/>
      <c r="BU92" s="1"/>
      <c r="BV92" s="1"/>
      <c r="BX92" s="8"/>
      <c r="BY92" s="2"/>
      <c r="BZ92" s="1"/>
    </row>
    <row r="93" spans="1:78" x14ac:dyDescent="0.3">
      <c r="A93">
        <v>39</v>
      </c>
      <c r="B93" s="3" t="s">
        <v>277</v>
      </c>
      <c r="C93" s="3" t="s">
        <v>106</v>
      </c>
      <c r="D93" s="13">
        <v>43761</v>
      </c>
      <c r="E93" s="2">
        <v>1.31</v>
      </c>
      <c r="F93" s="2">
        <v>0.18</v>
      </c>
      <c r="G93" s="2">
        <f t="shared" si="1"/>
        <v>1.1300000000000001</v>
      </c>
      <c r="H93" s="4">
        <f t="shared" si="2"/>
        <v>2780.5118110236222</v>
      </c>
      <c r="I93" s="10">
        <v>44134</v>
      </c>
      <c r="J93" s="2">
        <v>0.68</v>
      </c>
      <c r="K93" s="2">
        <v>2</v>
      </c>
      <c r="L93" s="6">
        <f t="shared" si="3"/>
        <v>0.35398230088495575</v>
      </c>
      <c r="M93" s="6">
        <f t="shared" si="4"/>
        <v>0.28318584070796465</v>
      </c>
      <c r="N93" s="6">
        <f t="shared" si="5"/>
        <v>0.3628318584070796</v>
      </c>
      <c r="O93" s="2">
        <v>52.6</v>
      </c>
      <c r="P93" s="2">
        <v>51.2</v>
      </c>
      <c r="Q93" s="2">
        <v>114</v>
      </c>
      <c r="R93" s="2">
        <v>109.5</v>
      </c>
      <c r="S93" s="5">
        <f t="shared" si="6"/>
        <v>2.6615969581749019</v>
      </c>
      <c r="T93" s="5">
        <f t="shared" si="7"/>
        <v>3.9473684210526314</v>
      </c>
      <c r="U93" s="4">
        <f t="shared" si="8"/>
        <v>984.25196850393706</v>
      </c>
      <c r="V93" s="4">
        <f t="shared" si="9"/>
        <v>787.40157480314974</v>
      </c>
      <c r="W93" s="4">
        <f t="shared" si="10"/>
        <v>1771.6535433070867</v>
      </c>
      <c r="X93" s="4">
        <f t="shared" si="11"/>
        <v>958.0551480494596</v>
      </c>
      <c r="Y93" s="4">
        <f t="shared" si="12"/>
        <v>756.31993369249903</v>
      </c>
      <c r="Z93" s="4">
        <f t="shared" si="13"/>
        <v>1714.3750817419586</v>
      </c>
      <c r="AA93" t="s">
        <v>204</v>
      </c>
      <c r="AB93" s="10">
        <v>44154</v>
      </c>
      <c r="AC93" s="4">
        <v>38.199999999999996</v>
      </c>
      <c r="AD93" s="15">
        <v>1.0289999999999999</v>
      </c>
      <c r="AE93" s="4">
        <v>77.099999999999994</v>
      </c>
      <c r="AF93" s="4">
        <v>25.6</v>
      </c>
      <c r="AG93" s="4">
        <v>6.1</v>
      </c>
      <c r="AH93" s="4">
        <v>80.5</v>
      </c>
      <c r="AI93" s="4">
        <v>8.5</v>
      </c>
      <c r="AJ93" s="4" t="s">
        <v>184</v>
      </c>
      <c r="AK93" s="16">
        <v>5</v>
      </c>
      <c r="AL93" s="5">
        <v>0.1</v>
      </c>
      <c r="AM93" s="4">
        <v>15.5</v>
      </c>
      <c r="AO93" s="14" t="s">
        <v>160</v>
      </c>
      <c r="AP93" s="1" t="s">
        <v>106</v>
      </c>
      <c r="AQ93" s="11">
        <f>D93</f>
        <v>43761</v>
      </c>
      <c r="AR93" s="2">
        <f>SUM(E93:E94)</f>
        <v>2.48</v>
      </c>
      <c r="AS93" s="2">
        <f>SUM(F93:F94)</f>
        <v>0.35</v>
      </c>
      <c r="AT93" s="2">
        <f>AR93-AS93</f>
        <v>2.13</v>
      </c>
      <c r="AU93" s="1">
        <f>AT93/(2*$A$43)*$A$44</f>
        <v>2620.570866141732</v>
      </c>
      <c r="AV93" s="11">
        <f>I93</f>
        <v>44134</v>
      </c>
      <c r="AW93" s="2">
        <f>SUM(J93:J94)</f>
        <v>1.3</v>
      </c>
      <c r="AX93" s="2">
        <f>SUM(K93:K94)</f>
        <v>4</v>
      </c>
      <c r="AY93" s="7">
        <f>(AW93-2*$A$45)/AT93</f>
        <v>0.34741784037558687</v>
      </c>
      <c r="AZ93" s="7">
        <f>(AX93-2*$A$46)/AT93</f>
        <v>0.30046948356807518</v>
      </c>
      <c r="BA93" s="7">
        <f>1-AY93-AZ93</f>
        <v>0.35211267605633795</v>
      </c>
      <c r="BB93" s="2">
        <f>SUM(O93:O94)</f>
        <v>104.75999999999999</v>
      </c>
      <c r="BC93" s="2">
        <f>SUM(P93:P94)</f>
        <v>101.94</v>
      </c>
      <c r="BD93" s="2">
        <f>SUM(Q93:Q94)</f>
        <v>231.44</v>
      </c>
      <c r="BE93" s="2">
        <f>SUM(R93:R94)</f>
        <v>222.57</v>
      </c>
      <c r="BF93" s="2">
        <f>(BB93-BC93)/BB93*100</f>
        <v>2.6918671248568091</v>
      </c>
      <c r="BG93" s="2">
        <f>(BD93-BE93)/BD93*100</f>
        <v>3.8325267888005548</v>
      </c>
      <c r="BH93" s="1">
        <f>AU93*AY93</f>
        <v>910.43307086614175</v>
      </c>
      <c r="BI93" s="1">
        <f>AU93*AZ93</f>
        <v>787.40157480314974</v>
      </c>
      <c r="BJ93" s="1">
        <f>BH93+BI93</f>
        <v>1697.8346456692916</v>
      </c>
      <c r="BK93" s="1">
        <f>BH93*(1-BF93/100)</f>
        <v>885.92542233767176</v>
      </c>
      <c r="BL93" s="1">
        <f>BI93*(1-BG93/100)</f>
        <v>757.22419851338168</v>
      </c>
      <c r="BM93" s="1">
        <f>BK93+BL93</f>
        <v>1643.1496208510534</v>
      </c>
      <c r="BN93" s="11" t="str">
        <f>AA93</f>
        <v>992013054240</v>
      </c>
      <c r="BO93" s="11">
        <f>AB93</f>
        <v>44154</v>
      </c>
      <c r="BP93" s="1">
        <f>AVERAGE(AC93:AC94)</f>
        <v>38.099999999999994</v>
      </c>
      <c r="BQ93" s="9">
        <f t="shared" ref="BQ93" si="176">AVERAGE(AD93:AD94)</f>
        <v>1.0095000000000001</v>
      </c>
      <c r="BR93" s="1">
        <f t="shared" ref="BR93" si="177">AVERAGE(AE93:AE94)</f>
        <v>76.849999999999994</v>
      </c>
      <c r="BS93" s="1">
        <f t="shared" ref="BS93" si="178">AVERAGE(AF93:AF94)</f>
        <v>25.15</v>
      </c>
      <c r="BT93" s="1">
        <f t="shared" ref="BT93" si="179">AVERAGE(AG93:AG94)</f>
        <v>6</v>
      </c>
      <c r="BU93" s="1">
        <f t="shared" ref="BU93" si="180">AVERAGE(AH93:AH94)</f>
        <v>81.05</v>
      </c>
      <c r="BV93" s="1">
        <f t="shared" ref="BV93" si="181">AVERAGE(AI93:AI94)</f>
        <v>8.75</v>
      </c>
      <c r="BW93" s="1"/>
      <c r="BX93" s="8">
        <f t="shared" ref="BX93" si="182">AVERAGE(AK93:AK94)</f>
        <v>6.5</v>
      </c>
      <c r="BY93" s="2">
        <f t="shared" ref="BY93" si="183">AVERAGE(AL93:AL94)</f>
        <v>0.11</v>
      </c>
      <c r="BZ93" s="1">
        <f t="shared" ref="BZ93" si="184">AVERAGE(AM93:AM94)</f>
        <v>16.2</v>
      </c>
    </row>
    <row r="94" spans="1:78" x14ac:dyDescent="0.3">
      <c r="A94">
        <v>40</v>
      </c>
      <c r="B94" s="3" t="s">
        <v>278</v>
      </c>
      <c r="C94" s="3" t="s">
        <v>106</v>
      </c>
      <c r="D94" s="13">
        <v>43761</v>
      </c>
      <c r="E94" s="2">
        <v>1.17</v>
      </c>
      <c r="F94" s="2">
        <v>0.17</v>
      </c>
      <c r="G94" s="2">
        <f t="shared" si="1"/>
        <v>0.99999999999999989</v>
      </c>
      <c r="H94" s="4">
        <f t="shared" si="2"/>
        <v>2460.6299212598424</v>
      </c>
      <c r="I94" s="10">
        <v>44134</v>
      </c>
      <c r="J94" s="2">
        <v>0.62</v>
      </c>
      <c r="K94" s="2">
        <v>2</v>
      </c>
      <c r="L94" s="6">
        <f t="shared" si="3"/>
        <v>0.34</v>
      </c>
      <c r="M94" s="6">
        <f t="shared" si="4"/>
        <v>0.32000000000000012</v>
      </c>
      <c r="N94" s="6">
        <f t="shared" si="5"/>
        <v>0.3399999999999998</v>
      </c>
      <c r="O94" s="2">
        <v>52.16</v>
      </c>
      <c r="P94" s="2">
        <v>50.74</v>
      </c>
      <c r="Q94" s="2">
        <v>117.44</v>
      </c>
      <c r="R94" s="2">
        <v>113.07</v>
      </c>
      <c r="S94" s="5">
        <f t="shared" si="6"/>
        <v>2.7223926380367995</v>
      </c>
      <c r="T94" s="5">
        <f t="shared" si="7"/>
        <v>3.72104904632153</v>
      </c>
      <c r="U94" s="4">
        <f t="shared" si="8"/>
        <v>836.61417322834643</v>
      </c>
      <c r="V94" s="4">
        <f t="shared" si="9"/>
        <v>787.40157480314986</v>
      </c>
      <c r="W94" s="4">
        <f t="shared" si="10"/>
        <v>1624.0157480314963</v>
      </c>
      <c r="X94" s="4">
        <f t="shared" si="11"/>
        <v>813.83825056760554</v>
      </c>
      <c r="Y94" s="4">
        <f t="shared" si="12"/>
        <v>758.10197601321647</v>
      </c>
      <c r="Z94" s="4">
        <f t="shared" si="13"/>
        <v>1571.9402265808221</v>
      </c>
      <c r="AA94" s="8" t="s">
        <v>229</v>
      </c>
      <c r="AB94" s="10">
        <v>44154</v>
      </c>
      <c r="AC94" s="4">
        <v>38</v>
      </c>
      <c r="AD94" s="15">
        <v>0.99</v>
      </c>
      <c r="AE94" s="4">
        <v>76.599999999999994</v>
      </c>
      <c r="AF94" s="4">
        <v>24.7</v>
      </c>
      <c r="AG94" s="4">
        <v>5.9</v>
      </c>
      <c r="AH94" s="4">
        <v>81.599999999999994</v>
      </c>
      <c r="AI94" s="4">
        <v>9</v>
      </c>
      <c r="AJ94" s="4" t="s">
        <v>186</v>
      </c>
      <c r="AK94" s="16">
        <v>8</v>
      </c>
      <c r="AL94" s="5">
        <v>0.12</v>
      </c>
      <c r="AM94" s="4">
        <v>16.899999999999999</v>
      </c>
      <c r="AO94" s="14"/>
      <c r="AP94" s="1"/>
      <c r="AQ94" s="1"/>
      <c r="AR94" s="2"/>
      <c r="AS94" s="2"/>
      <c r="AT94" s="2"/>
      <c r="AU94" s="1"/>
      <c r="AV94" s="2"/>
      <c r="AW94" s="2"/>
      <c r="AX94" s="2"/>
      <c r="AY94" s="7"/>
      <c r="AZ94" s="7"/>
      <c r="BA94" s="7"/>
      <c r="BB94" s="2"/>
      <c r="BC94" s="2"/>
      <c r="BD94" s="2"/>
      <c r="BE94" s="2"/>
      <c r="BF94" s="2"/>
      <c r="BG94" s="2"/>
      <c r="BH94" s="1"/>
      <c r="BI94" s="1"/>
      <c r="BJ94" s="1"/>
      <c r="BK94" s="1"/>
      <c r="BL94" s="1"/>
      <c r="BM94" s="1"/>
      <c r="BN94" s="11"/>
      <c r="BO94" s="1"/>
      <c r="BP94" s="1"/>
      <c r="BQ94" s="9"/>
      <c r="BR94" s="1"/>
      <c r="BS94" s="1"/>
      <c r="BT94" s="1"/>
      <c r="BU94" s="1"/>
      <c r="BV94" s="1"/>
      <c r="BX94" s="8"/>
      <c r="BY94" s="2"/>
      <c r="BZ94" s="1"/>
    </row>
    <row r="95" spans="1:78" x14ac:dyDescent="0.3">
      <c r="A95">
        <v>41</v>
      </c>
      <c r="B95" s="3" t="s">
        <v>279</v>
      </c>
      <c r="C95" s="3" t="s">
        <v>106</v>
      </c>
      <c r="D95" s="13">
        <v>43761</v>
      </c>
      <c r="E95" s="2">
        <v>1.4</v>
      </c>
      <c r="F95" s="2">
        <v>0.19</v>
      </c>
      <c r="G95" s="2">
        <f t="shared" si="1"/>
        <v>1.21</v>
      </c>
      <c r="H95" s="4">
        <f t="shared" si="2"/>
        <v>2977.3622047244094</v>
      </c>
      <c r="I95" s="10">
        <v>44134</v>
      </c>
      <c r="J95" s="2">
        <v>0.68</v>
      </c>
      <c r="K95" s="2">
        <v>2.04</v>
      </c>
      <c r="L95" s="6">
        <f t="shared" si="3"/>
        <v>0.33057851239669422</v>
      </c>
      <c r="M95" s="6">
        <f t="shared" si="4"/>
        <v>0.29752066115702486</v>
      </c>
      <c r="N95" s="6">
        <f t="shared" si="5"/>
        <v>0.37190082644628092</v>
      </c>
      <c r="O95" s="2">
        <v>47.02</v>
      </c>
      <c r="P95" s="2">
        <v>45.68</v>
      </c>
      <c r="Q95" s="2">
        <v>109.74</v>
      </c>
      <c r="R95" s="2">
        <v>105.41</v>
      </c>
      <c r="S95" s="5">
        <f t="shared" si="6"/>
        <v>2.8498511271799307</v>
      </c>
      <c r="T95" s="5">
        <f t="shared" si="7"/>
        <v>3.945689812283578</v>
      </c>
      <c r="U95" s="4">
        <f t="shared" si="8"/>
        <v>984.25196850393706</v>
      </c>
      <c r="V95" s="4">
        <f t="shared" si="9"/>
        <v>885.82677165354346</v>
      </c>
      <c r="W95" s="4">
        <f t="shared" si="10"/>
        <v>1870.0787401574805</v>
      </c>
      <c r="X95" s="4">
        <f t="shared" si="11"/>
        <v>956.202252685237</v>
      </c>
      <c r="Y95" s="4">
        <f t="shared" si="12"/>
        <v>850.8747949699291</v>
      </c>
      <c r="Z95" s="4">
        <f t="shared" si="13"/>
        <v>1807.0770476551661</v>
      </c>
      <c r="AA95" t="s">
        <v>205</v>
      </c>
      <c r="AB95" s="10">
        <v>44154</v>
      </c>
      <c r="AC95" s="4">
        <v>35.9</v>
      </c>
      <c r="AD95" s="15">
        <v>1.0269999999999999</v>
      </c>
      <c r="AE95" s="4">
        <v>78.400000000000006</v>
      </c>
      <c r="AF95" s="4">
        <v>25.4</v>
      </c>
      <c r="AG95" s="4">
        <v>6.2</v>
      </c>
      <c r="AH95" s="4">
        <v>80.900000000000006</v>
      </c>
      <c r="AI95" s="4">
        <v>8.6</v>
      </c>
      <c r="AJ95" s="4" t="s">
        <v>184</v>
      </c>
      <c r="AK95" s="16">
        <v>21</v>
      </c>
      <c r="AL95" s="5">
        <v>0.51</v>
      </c>
      <c r="AM95" s="4">
        <v>14.2</v>
      </c>
      <c r="AO95" s="14" t="s">
        <v>161</v>
      </c>
      <c r="AP95" s="1" t="s">
        <v>106</v>
      </c>
      <c r="AQ95" s="11">
        <f>D95</f>
        <v>43761</v>
      </c>
      <c r="AR95" s="2">
        <f>SUM(E95:E96)</f>
        <v>2.75</v>
      </c>
      <c r="AS95" s="2">
        <f>SUM(F95:F96)</f>
        <v>0.38</v>
      </c>
      <c r="AT95" s="2">
        <f>AR95-AS95</f>
        <v>2.37</v>
      </c>
      <c r="AU95" s="1">
        <f>AT95/(2*$A$43)*$A$44</f>
        <v>2915.8464566929133</v>
      </c>
      <c r="AV95" s="11">
        <f>I95</f>
        <v>44134</v>
      </c>
      <c r="AW95" s="2">
        <f>SUM(J95:J96)</f>
        <v>1.38</v>
      </c>
      <c r="AX95" s="2">
        <f>SUM(K95:K96)</f>
        <v>4.08</v>
      </c>
      <c r="AY95" s="7">
        <f>(AW95-2*$A$45)/AT95</f>
        <v>0.34599156118143454</v>
      </c>
      <c r="AZ95" s="7">
        <f>(AX95-2*$A$46)/AT95</f>
        <v>0.30379746835443044</v>
      </c>
      <c r="BA95" s="7">
        <f>1-AY95-AZ95</f>
        <v>0.35021097046413496</v>
      </c>
      <c r="BB95" s="2">
        <f>SUM(O95:O96)</f>
        <v>105.86000000000001</v>
      </c>
      <c r="BC95" s="2">
        <f>SUM(P95:P96)</f>
        <v>103.05</v>
      </c>
      <c r="BD95" s="2">
        <f>SUM(Q95:Q96)</f>
        <v>288.27999999999997</v>
      </c>
      <c r="BE95" s="2">
        <f>SUM(R95:R96)</f>
        <v>277.29999999999995</v>
      </c>
      <c r="BF95" s="2">
        <f>(BB95-BC95)/BB95*100</f>
        <v>2.6544492726242357</v>
      </c>
      <c r="BG95" s="2">
        <f>(BD95-BE95)/BD95*100</f>
        <v>3.8087970029138405</v>
      </c>
      <c r="BH95" s="1">
        <f>AU95*AY95</f>
        <v>1008.8582677165352</v>
      </c>
      <c r="BI95" s="1">
        <f>AU95*AZ95</f>
        <v>885.82677165354346</v>
      </c>
      <c r="BJ95" s="1">
        <f>BH95+BI95</f>
        <v>1894.6850393700788</v>
      </c>
      <c r="BK95" s="1">
        <f>BH95*(1-BF95/100)</f>
        <v>982.07863676732416</v>
      </c>
      <c r="BL95" s="1">
        <f>BI95*(1-BG95/100)</f>
        <v>852.08742812379478</v>
      </c>
      <c r="BM95" s="1">
        <f>BK95+BL95</f>
        <v>1834.1660648911188</v>
      </c>
      <c r="BN95" s="11" t="str">
        <f>AA95</f>
        <v>992013061242</v>
      </c>
      <c r="BO95" s="11">
        <f>AB95</f>
        <v>44154</v>
      </c>
      <c r="BP95" s="1">
        <f>AVERAGE(AC95:AC96)</f>
        <v>39.9</v>
      </c>
      <c r="BQ95" s="9">
        <f t="shared" ref="BQ95" si="185">AVERAGE(AD95:AD96)</f>
        <v>1.0335000000000001</v>
      </c>
      <c r="BR95" s="1">
        <f t="shared" ref="BR95" si="186">AVERAGE(AE95:AE96)</f>
        <v>78.75</v>
      </c>
      <c r="BS95" s="1">
        <f t="shared" ref="BS95" si="187">AVERAGE(AF95:AF96)</f>
        <v>26.1</v>
      </c>
      <c r="BT95" s="1">
        <f t="shared" ref="BT95" si="188">AVERAGE(AG95:AG96)</f>
        <v>6</v>
      </c>
      <c r="BU95" s="1">
        <f t="shared" ref="BU95" si="189">AVERAGE(AH95:AH96)</f>
        <v>81.2</v>
      </c>
      <c r="BV95" s="1">
        <f t="shared" ref="BV95" si="190">AVERAGE(AI95:AI96)</f>
        <v>8.6</v>
      </c>
      <c r="BW95" s="1"/>
      <c r="BX95" s="8">
        <f t="shared" ref="BX95" si="191">AVERAGE(AK95:AK96)</f>
        <v>16.5</v>
      </c>
      <c r="BY95" s="2">
        <f t="shared" ref="BY95" si="192">AVERAGE(AL95:AL96)</f>
        <v>0.36</v>
      </c>
      <c r="BZ95" s="1">
        <f t="shared" ref="BZ95" si="193">AVERAGE(AM95:AM96)</f>
        <v>13.6</v>
      </c>
    </row>
    <row r="96" spans="1:78" x14ac:dyDescent="0.3">
      <c r="A96">
        <v>42</v>
      </c>
      <c r="B96" s="3" t="s">
        <v>280</v>
      </c>
      <c r="C96" s="3" t="s">
        <v>106</v>
      </c>
      <c r="D96" s="13">
        <v>43761</v>
      </c>
      <c r="E96" s="2">
        <v>1.35</v>
      </c>
      <c r="F96" s="2">
        <v>0.19</v>
      </c>
      <c r="G96" s="2">
        <f t="shared" si="1"/>
        <v>1.1600000000000001</v>
      </c>
      <c r="H96" s="4">
        <f t="shared" si="2"/>
        <v>2854.3307086614177</v>
      </c>
      <c r="I96" s="10">
        <v>44134</v>
      </c>
      <c r="J96" s="2">
        <v>0.7</v>
      </c>
      <c r="K96" s="2">
        <v>2.04</v>
      </c>
      <c r="L96" s="6">
        <f t="shared" si="3"/>
        <v>0.36206896551724127</v>
      </c>
      <c r="M96" s="6">
        <f t="shared" si="4"/>
        <v>0.31034482758620696</v>
      </c>
      <c r="N96" s="6">
        <f t="shared" si="5"/>
        <v>0.32758620689655171</v>
      </c>
      <c r="O96" s="2">
        <v>58.84</v>
      </c>
      <c r="P96" s="2">
        <v>57.37</v>
      </c>
      <c r="Q96" s="2">
        <v>178.54</v>
      </c>
      <c r="R96" s="2">
        <v>171.89</v>
      </c>
      <c r="S96" s="5">
        <f t="shared" si="6"/>
        <v>2.4983004758667673</v>
      </c>
      <c r="T96" s="5">
        <f t="shared" si="7"/>
        <v>3.7246555393749334</v>
      </c>
      <c r="U96" s="4">
        <f t="shared" si="8"/>
        <v>1033.4645669291338</v>
      </c>
      <c r="V96" s="4">
        <f t="shared" si="9"/>
        <v>885.82677165354357</v>
      </c>
      <c r="W96" s="4">
        <f t="shared" si="10"/>
        <v>1919.2913385826773</v>
      </c>
      <c r="X96" s="4">
        <f t="shared" si="11"/>
        <v>1007.6455167356288</v>
      </c>
      <c r="Y96" s="4">
        <f t="shared" si="12"/>
        <v>852.83277573388375</v>
      </c>
      <c r="Z96" s="4">
        <f t="shared" si="13"/>
        <v>1860.4782924695126</v>
      </c>
      <c r="AA96" s="8" t="s">
        <v>230</v>
      </c>
      <c r="AB96" s="10">
        <v>44154</v>
      </c>
      <c r="AC96" s="4">
        <v>43.9</v>
      </c>
      <c r="AD96" s="15">
        <v>1.04</v>
      </c>
      <c r="AE96" s="4">
        <v>79.099999999999994</v>
      </c>
      <c r="AF96" s="4">
        <v>26.8</v>
      </c>
      <c r="AG96" s="4">
        <v>5.8</v>
      </c>
      <c r="AH96" s="4">
        <v>81.5</v>
      </c>
      <c r="AI96" s="4">
        <v>8.6</v>
      </c>
      <c r="AJ96" s="4" t="s">
        <v>188</v>
      </c>
      <c r="AK96" s="16">
        <v>12</v>
      </c>
      <c r="AL96" s="5">
        <v>0.21</v>
      </c>
      <c r="AM96" s="4">
        <v>13</v>
      </c>
      <c r="AO96" s="14"/>
      <c r="AP96" s="1"/>
      <c r="AQ96" s="1"/>
      <c r="AR96" s="2"/>
      <c r="AS96" s="2"/>
      <c r="AT96" s="2"/>
      <c r="AU96" s="1"/>
      <c r="AV96" s="2"/>
      <c r="AW96" s="2"/>
      <c r="AX96" s="2"/>
      <c r="AY96" s="7"/>
      <c r="AZ96" s="7"/>
      <c r="BA96" s="7"/>
      <c r="BB96" s="2"/>
      <c r="BC96" s="2"/>
      <c r="BD96" s="2"/>
      <c r="BE96" s="2"/>
      <c r="BF96" s="2"/>
      <c r="BG96" s="2"/>
      <c r="BH96" s="1"/>
      <c r="BI96" s="1"/>
      <c r="BJ96" s="1"/>
      <c r="BK96" s="1"/>
      <c r="BL96" s="1"/>
      <c r="BM96" s="1"/>
      <c r="BN96" s="11"/>
      <c r="BO96" s="1"/>
      <c r="BP96" s="1"/>
      <c r="BQ96" s="9"/>
      <c r="BR96" s="1"/>
      <c r="BS96" s="1"/>
      <c r="BT96" s="1"/>
      <c r="BU96" s="1"/>
      <c r="BV96" s="1"/>
      <c r="BX96" s="8"/>
      <c r="BY96" s="2"/>
      <c r="BZ96" s="1"/>
    </row>
    <row r="97" spans="1:78" x14ac:dyDescent="0.3">
      <c r="A97">
        <v>43</v>
      </c>
      <c r="B97" s="3" t="s">
        <v>281</v>
      </c>
      <c r="C97" s="3" t="s">
        <v>106</v>
      </c>
      <c r="D97" s="13">
        <v>43761</v>
      </c>
      <c r="E97" s="2">
        <v>1.54</v>
      </c>
      <c r="F97" s="2">
        <v>0.18</v>
      </c>
      <c r="G97" s="2">
        <f t="shared" si="1"/>
        <v>1.36</v>
      </c>
      <c r="H97" s="4">
        <f t="shared" si="2"/>
        <v>3346.4566929133862</v>
      </c>
      <c r="I97" s="10">
        <v>44134</v>
      </c>
      <c r="J97" s="2">
        <v>0.78</v>
      </c>
      <c r="K97" s="2">
        <v>2.12</v>
      </c>
      <c r="L97" s="6">
        <f t="shared" si="3"/>
        <v>0.36764705882352938</v>
      </c>
      <c r="M97" s="6">
        <f t="shared" si="4"/>
        <v>0.32352941176470601</v>
      </c>
      <c r="N97" s="6">
        <f t="shared" si="5"/>
        <v>0.30882352941176455</v>
      </c>
      <c r="O97" s="2">
        <v>76.599999999999994</v>
      </c>
      <c r="P97" s="2">
        <v>74.36</v>
      </c>
      <c r="Q97" s="2">
        <v>132.44</v>
      </c>
      <c r="R97" s="2">
        <v>127.15</v>
      </c>
      <c r="S97" s="5">
        <f t="shared" si="6"/>
        <v>2.9242819843341974</v>
      </c>
      <c r="T97" s="5">
        <f t="shared" si="7"/>
        <v>3.9942615524010816</v>
      </c>
      <c r="U97" s="4">
        <f t="shared" si="8"/>
        <v>1230.3149606299212</v>
      </c>
      <c r="V97" s="4">
        <f t="shared" si="9"/>
        <v>1082.6771653543312</v>
      </c>
      <c r="W97" s="4">
        <f t="shared" si="10"/>
        <v>2312.9921259842522</v>
      </c>
      <c r="X97" s="4">
        <f t="shared" si="11"/>
        <v>1194.337081885652</v>
      </c>
      <c r="Y97" s="4">
        <f t="shared" si="12"/>
        <v>1039.4322076019573</v>
      </c>
      <c r="Z97" s="4">
        <f t="shared" si="13"/>
        <v>2233.7692894876091</v>
      </c>
      <c r="AA97" t="s">
        <v>206</v>
      </c>
      <c r="AB97" s="10">
        <v>44154</v>
      </c>
      <c r="AC97" s="4">
        <v>41.6</v>
      </c>
      <c r="AD97" s="15">
        <v>0.999</v>
      </c>
      <c r="AE97" s="4">
        <v>77.3</v>
      </c>
      <c r="AF97" s="4">
        <v>25</v>
      </c>
      <c r="AG97" s="4">
        <v>6.1</v>
      </c>
      <c r="AH97" s="4">
        <v>80.400000000000006</v>
      </c>
      <c r="AI97" s="4">
        <v>9.1</v>
      </c>
      <c r="AJ97" s="4" t="s">
        <v>184</v>
      </c>
      <c r="AK97" s="16">
        <v>18</v>
      </c>
      <c r="AL97" s="5">
        <v>0.54</v>
      </c>
      <c r="AM97" s="4">
        <v>17.7</v>
      </c>
      <c r="AO97" s="14" t="s">
        <v>162</v>
      </c>
      <c r="AP97" s="1" t="s">
        <v>106</v>
      </c>
      <c r="AQ97" s="11">
        <f>D97</f>
        <v>43761</v>
      </c>
      <c r="AR97" s="2">
        <f>SUM(E97:E98)</f>
        <v>2.79</v>
      </c>
      <c r="AS97" s="2">
        <f>SUM(F97:F98)</f>
        <v>0.36</v>
      </c>
      <c r="AT97" s="2">
        <f>AR97-AS97</f>
        <v>2.4300000000000002</v>
      </c>
      <c r="AU97" s="1">
        <f>AT97/(2*$A$43)*$A$44</f>
        <v>2989.6653543307089</v>
      </c>
      <c r="AV97" s="11">
        <f>I97</f>
        <v>44134</v>
      </c>
      <c r="AW97" s="2">
        <f>SUM(J97:J98)</f>
        <v>1.42</v>
      </c>
      <c r="AX97" s="2">
        <f>SUM(K97:K98)</f>
        <v>4.12</v>
      </c>
      <c r="AY97" s="7">
        <f>(AW97-2*$A$45)/AT97</f>
        <v>0.35390946502057608</v>
      </c>
      <c r="AZ97" s="7">
        <f>(AX97-2*$A$46)/AT97</f>
        <v>0.31275720164609061</v>
      </c>
      <c r="BA97" s="7">
        <f>1-AY97-AZ97</f>
        <v>0.33333333333333331</v>
      </c>
      <c r="BB97" s="2">
        <f>SUM(O97:O98)</f>
        <v>141.68</v>
      </c>
      <c r="BC97" s="2">
        <f>SUM(P97:P98)</f>
        <v>137.54</v>
      </c>
      <c r="BD97" s="2">
        <f>SUM(Q97:Q98)</f>
        <v>248.19</v>
      </c>
      <c r="BE97" s="2">
        <f>SUM(R97:R98)</f>
        <v>238.32</v>
      </c>
      <c r="BF97" s="2">
        <f>(BB97-BC97)/BB97*100</f>
        <v>2.9220779220779325</v>
      </c>
      <c r="BG97" s="2">
        <f>(BD97-BE97)/BD97*100</f>
        <v>3.9767919738909723</v>
      </c>
      <c r="BH97" s="1">
        <f>AU97*AY97</f>
        <v>1058.0708661417323</v>
      </c>
      <c r="BI97" s="1">
        <f>AU97*AZ97</f>
        <v>935.03937007874049</v>
      </c>
      <c r="BJ97" s="1">
        <f>BH97+BI97</f>
        <v>1993.1102362204729</v>
      </c>
      <c r="BK97" s="1">
        <f>BH97*(1-BF97/100)</f>
        <v>1027.1532109622658</v>
      </c>
      <c r="BL97" s="1">
        <f>BI97*(1-BG97/100)</f>
        <v>897.85479945672841</v>
      </c>
      <c r="BM97" s="1">
        <f>BK97+BL97</f>
        <v>1925.0080104189942</v>
      </c>
      <c r="BN97" s="11" t="str">
        <f>AA97</f>
        <v>992013062244</v>
      </c>
      <c r="BO97" s="11">
        <f>AB97</f>
        <v>44154</v>
      </c>
      <c r="BP97" s="1">
        <f>AVERAGE(AC97:AC98)</f>
        <v>40</v>
      </c>
      <c r="BQ97" s="9">
        <f t="shared" ref="BQ97" si="194">AVERAGE(AD97:AD98)</f>
        <v>1.014</v>
      </c>
      <c r="BR97" s="1">
        <f t="shared" ref="BR97" si="195">AVERAGE(AE97:AE98)</f>
        <v>77.449999999999989</v>
      </c>
      <c r="BS97" s="1">
        <f t="shared" ref="BS97" si="196">AVERAGE(AF97:AF98)</f>
        <v>25.1</v>
      </c>
      <c r="BT97" s="1">
        <f t="shared" ref="BT97" si="197">AVERAGE(AG97:AG98)</f>
        <v>6.05</v>
      </c>
      <c r="BU97" s="1">
        <f t="shared" ref="BU97" si="198">AVERAGE(AH97:AH98)</f>
        <v>80.75</v>
      </c>
      <c r="BV97" s="1">
        <f t="shared" ref="BV97" si="199">AVERAGE(AI97:AI98)</f>
        <v>8.9499999999999993</v>
      </c>
      <c r="BW97" s="1"/>
      <c r="BX97" s="8">
        <f t="shared" ref="BX97" si="200">AVERAGE(AK97:AK98)</f>
        <v>11.5</v>
      </c>
      <c r="BY97" s="2">
        <f t="shared" ref="BY97" si="201">AVERAGE(AL97:AL98)</f>
        <v>0.29500000000000004</v>
      </c>
      <c r="BZ97" s="1">
        <f t="shared" ref="BZ97" si="202">AVERAGE(AM97:AM98)</f>
        <v>16.5</v>
      </c>
    </row>
    <row r="98" spans="1:78" x14ac:dyDescent="0.3">
      <c r="A98">
        <v>44</v>
      </c>
      <c r="B98" s="3" t="s">
        <v>282</v>
      </c>
      <c r="C98" s="3" t="s">
        <v>106</v>
      </c>
      <c r="D98" s="13">
        <v>43761</v>
      </c>
      <c r="E98" s="2">
        <v>1.25</v>
      </c>
      <c r="F98" s="2">
        <v>0.18</v>
      </c>
      <c r="G98" s="2">
        <f t="shared" si="1"/>
        <v>1.07</v>
      </c>
      <c r="H98" s="4">
        <f t="shared" si="2"/>
        <v>2632.874015748032</v>
      </c>
      <c r="I98" s="10">
        <v>44134</v>
      </c>
      <c r="J98" s="2">
        <v>0.64</v>
      </c>
      <c r="K98" s="2">
        <v>2</v>
      </c>
      <c r="L98" s="6">
        <f t="shared" si="3"/>
        <v>0.3364485981308411</v>
      </c>
      <c r="M98" s="6">
        <f t="shared" si="4"/>
        <v>0.2990654205607477</v>
      </c>
      <c r="N98" s="6">
        <f t="shared" si="5"/>
        <v>0.36448598130841114</v>
      </c>
      <c r="O98" s="2">
        <v>65.08</v>
      </c>
      <c r="P98" s="2">
        <v>63.18</v>
      </c>
      <c r="Q98" s="2">
        <v>115.75</v>
      </c>
      <c r="R98" s="2">
        <v>111.17</v>
      </c>
      <c r="S98" s="5">
        <f t="shared" si="6"/>
        <v>2.9194837123540238</v>
      </c>
      <c r="T98" s="5">
        <f t="shared" si="7"/>
        <v>3.9568034557235405</v>
      </c>
      <c r="U98" s="4">
        <f t="shared" si="8"/>
        <v>885.82677165354346</v>
      </c>
      <c r="V98" s="4">
        <f t="shared" si="9"/>
        <v>787.40157480314986</v>
      </c>
      <c r="W98" s="4">
        <f t="shared" si="10"/>
        <v>1673.2283464566933</v>
      </c>
      <c r="X98" s="4">
        <f t="shared" si="11"/>
        <v>859.96520333544686</v>
      </c>
      <c r="Y98" s="4">
        <f t="shared" si="12"/>
        <v>756.24564208091715</v>
      </c>
      <c r="Z98" s="4">
        <f t="shared" si="13"/>
        <v>1616.210845416364</v>
      </c>
      <c r="AA98" s="8" t="s">
        <v>231</v>
      </c>
      <c r="AB98" s="10">
        <v>44154</v>
      </c>
      <c r="AC98" s="4">
        <v>38.4</v>
      </c>
      <c r="AD98" s="15">
        <v>1.0289999999999999</v>
      </c>
      <c r="AE98" s="4">
        <v>77.599999999999994</v>
      </c>
      <c r="AF98" s="4">
        <v>25.2</v>
      </c>
      <c r="AG98" s="4">
        <v>6</v>
      </c>
      <c r="AH98" s="4">
        <v>81.099999999999994</v>
      </c>
      <c r="AI98" s="4">
        <v>8.8000000000000007</v>
      </c>
      <c r="AJ98" s="4" t="s">
        <v>188</v>
      </c>
      <c r="AK98" s="16">
        <v>5</v>
      </c>
      <c r="AL98" s="5">
        <v>0.05</v>
      </c>
      <c r="AM98" s="4">
        <v>15.3</v>
      </c>
      <c r="AO98" s="14"/>
      <c r="AP98" s="1"/>
      <c r="AQ98" s="1"/>
      <c r="AR98" s="2"/>
      <c r="AS98" s="2"/>
      <c r="AT98" s="2"/>
      <c r="AU98" s="1"/>
      <c r="AV98" s="2"/>
      <c r="AW98" s="2"/>
      <c r="AX98" s="2"/>
      <c r="AY98" s="7"/>
      <c r="AZ98" s="7"/>
      <c r="BA98" s="7"/>
      <c r="BB98" s="2"/>
      <c r="BC98" s="2"/>
      <c r="BD98" s="2"/>
      <c r="BE98" s="2"/>
      <c r="BF98" s="2"/>
      <c r="BG98" s="2"/>
      <c r="BH98" s="1"/>
      <c r="BI98" s="1"/>
      <c r="BJ98" s="1"/>
      <c r="BK98" s="1"/>
      <c r="BL98" s="1"/>
      <c r="BM98" s="1"/>
      <c r="BN98" s="11"/>
      <c r="BO98" s="1"/>
      <c r="BP98" s="1"/>
      <c r="BQ98" s="9"/>
      <c r="BR98" s="1"/>
      <c r="BS98" s="1"/>
      <c r="BT98" s="1"/>
      <c r="BU98" s="1"/>
      <c r="BV98" s="1"/>
      <c r="BX98" s="8"/>
      <c r="BY98" s="2"/>
      <c r="BZ98" s="1"/>
    </row>
    <row r="99" spans="1:78" x14ac:dyDescent="0.3">
      <c r="A99">
        <v>45</v>
      </c>
      <c r="B99" s="3" t="s">
        <v>283</v>
      </c>
      <c r="C99" s="3" t="s">
        <v>106</v>
      </c>
      <c r="D99" s="13">
        <v>43761</v>
      </c>
      <c r="E99" s="2">
        <v>1.39</v>
      </c>
      <c r="F99" s="2">
        <v>0.18</v>
      </c>
      <c r="G99" s="2">
        <f t="shared" si="1"/>
        <v>1.21</v>
      </c>
      <c r="H99" s="4">
        <f t="shared" si="2"/>
        <v>2977.3622047244094</v>
      </c>
      <c r="I99" s="10">
        <v>44134</v>
      </c>
      <c r="J99" s="2">
        <v>0.72</v>
      </c>
      <c r="K99" s="2">
        <v>2.08</v>
      </c>
      <c r="L99" s="6">
        <f t="shared" si="3"/>
        <v>0.36363636363636359</v>
      </c>
      <c r="M99" s="6">
        <f t="shared" si="4"/>
        <v>0.33057851239669434</v>
      </c>
      <c r="N99" s="6">
        <f t="shared" si="5"/>
        <v>0.30578512396694213</v>
      </c>
      <c r="O99" s="2">
        <v>43.41</v>
      </c>
      <c r="P99" s="2">
        <v>42.34</v>
      </c>
      <c r="Q99" s="2">
        <v>147.06</v>
      </c>
      <c r="R99" s="2">
        <v>141.5</v>
      </c>
      <c r="S99" s="5">
        <f t="shared" si="6"/>
        <v>2.4648698456576668</v>
      </c>
      <c r="T99" s="5">
        <f t="shared" si="7"/>
        <v>3.7807697538419704</v>
      </c>
      <c r="U99" s="4">
        <f t="shared" si="8"/>
        <v>1082.6771653543306</v>
      </c>
      <c r="V99" s="4">
        <f t="shared" si="9"/>
        <v>984.25196850393729</v>
      </c>
      <c r="W99" s="4">
        <f t="shared" si="10"/>
        <v>2066.929133858268</v>
      </c>
      <c r="X99" s="4">
        <f t="shared" si="11"/>
        <v>1055.9905823796905</v>
      </c>
      <c r="Y99" s="4">
        <f t="shared" si="12"/>
        <v>947.03966777714618</v>
      </c>
      <c r="Z99" s="4">
        <f t="shared" si="13"/>
        <v>2003.0302501568367</v>
      </c>
      <c r="AA99" t="s">
        <v>207</v>
      </c>
      <c r="AB99" s="10">
        <v>44154</v>
      </c>
      <c r="AC99" s="4">
        <v>40</v>
      </c>
      <c r="AD99" s="15">
        <v>1.0580000000000001</v>
      </c>
      <c r="AE99" s="4">
        <v>78.5</v>
      </c>
      <c r="AF99" s="4">
        <v>26.7</v>
      </c>
      <c r="AG99" s="4">
        <v>5.9</v>
      </c>
      <c r="AH99" s="4">
        <v>83.3</v>
      </c>
      <c r="AI99" s="4">
        <v>8.8000000000000007</v>
      </c>
      <c r="AJ99" s="4" t="s">
        <v>186</v>
      </c>
      <c r="AK99" s="16">
        <v>6</v>
      </c>
      <c r="AL99" s="5">
        <v>0.1</v>
      </c>
      <c r="AM99" s="4">
        <v>13.4</v>
      </c>
      <c r="AO99" s="14" t="s">
        <v>163</v>
      </c>
      <c r="AP99" s="1" t="s">
        <v>106</v>
      </c>
      <c r="AQ99" s="11">
        <f>D99</f>
        <v>43761</v>
      </c>
      <c r="AR99" s="2">
        <f>SUM(E99:E100)</f>
        <v>3.45</v>
      </c>
      <c r="AS99" s="2">
        <f>SUM(F99:F100)</f>
        <v>0.36</v>
      </c>
      <c r="AT99" s="2">
        <f>AR99-AS99</f>
        <v>3.0900000000000003</v>
      </c>
      <c r="AU99" s="1">
        <f>AT99/(2*$A$43)*$A$44</f>
        <v>3801.6732283464571</v>
      </c>
      <c r="AV99" s="11">
        <f>I99</f>
        <v>44134</v>
      </c>
      <c r="AW99" s="2">
        <f>SUM(J99:J100)</f>
        <v>1.7</v>
      </c>
      <c r="AX99" s="2">
        <f>SUM(K99:K100)</f>
        <v>4.5199999999999996</v>
      </c>
      <c r="AY99" s="7">
        <f>(AW99-2*$A$45)/AT99</f>
        <v>0.3689320388349514</v>
      </c>
      <c r="AZ99" s="7">
        <f>(AX99-2*$A$46)/AT99</f>
        <v>0.37540453074433644</v>
      </c>
      <c r="BA99" s="7">
        <f>1-AY99-AZ99</f>
        <v>0.25566343042071216</v>
      </c>
      <c r="BB99" s="2">
        <f>SUM(O99:O100)</f>
        <v>90.3</v>
      </c>
      <c r="BC99" s="2">
        <f>SUM(P99:P100)</f>
        <v>88.06</v>
      </c>
      <c r="BD99" s="2">
        <f>SUM(Q99:Q100)</f>
        <v>305.94</v>
      </c>
      <c r="BE99" s="2">
        <f>SUM(R99:R100)</f>
        <v>294.25</v>
      </c>
      <c r="BF99" s="2">
        <f>(BB99-BC99)/BB99*100</f>
        <v>2.4806201550387543</v>
      </c>
      <c r="BG99" s="2">
        <f>(BD99-BE99)/BD99*100</f>
        <v>3.8210106556841206</v>
      </c>
      <c r="BH99" s="1">
        <f>AU99*AY99</f>
        <v>1402.5590551181101</v>
      </c>
      <c r="BI99" s="1">
        <f>AU99*AZ99</f>
        <v>1427.1653543307084</v>
      </c>
      <c r="BJ99" s="1">
        <f>BH99+BI99</f>
        <v>2829.7244094488187</v>
      </c>
      <c r="BK99" s="1">
        <f>BH99*(1-BF99/100)</f>
        <v>1367.766892510529</v>
      </c>
      <c r="BL99" s="1">
        <f>BI99*(1-BG99/100)</f>
        <v>1372.6332140674999</v>
      </c>
      <c r="BM99" s="1">
        <f>BK99+BL99</f>
        <v>2740.400106578029</v>
      </c>
      <c r="BN99" s="11" t="str">
        <f>AA99</f>
        <v>992013063246</v>
      </c>
      <c r="BO99" s="11">
        <f>AB99</f>
        <v>44154</v>
      </c>
      <c r="BP99" s="1">
        <f>AVERAGE(AC99:AC100)</f>
        <v>41.349999999999994</v>
      </c>
      <c r="BQ99" s="9">
        <f t="shared" ref="BQ99" si="203">AVERAGE(AD99:AD100)</f>
        <v>1.0585</v>
      </c>
      <c r="BR99" s="1">
        <f t="shared" ref="BR99" si="204">AVERAGE(AE99:AE100)</f>
        <v>78.849999999999994</v>
      </c>
      <c r="BS99" s="1">
        <f t="shared" ref="BS99" si="205">AVERAGE(AF99:AF100)</f>
        <v>26.7</v>
      </c>
      <c r="BT99" s="1">
        <f t="shared" ref="BT99" si="206">AVERAGE(AG99:AG100)</f>
        <v>5.95</v>
      </c>
      <c r="BU99" s="1">
        <f t="shared" ref="BU99" si="207">AVERAGE(AH99:AH100)</f>
        <v>83</v>
      </c>
      <c r="BV99" s="1">
        <f t="shared" ref="BV99" si="208">AVERAGE(AI99:AI100)</f>
        <v>8.4499999999999993</v>
      </c>
      <c r="BW99" s="1"/>
      <c r="BX99" s="8">
        <f t="shared" ref="BX99" si="209">AVERAGE(AK99:AK100)</f>
        <v>6.5</v>
      </c>
      <c r="BY99" s="2">
        <f t="shared" ref="BY99" si="210">AVERAGE(AL99:AL100)</f>
        <v>0.115</v>
      </c>
      <c r="BZ99" s="1">
        <f t="shared" ref="BZ99" si="211">AVERAGE(AM99:AM100)</f>
        <v>12.9</v>
      </c>
    </row>
    <row r="100" spans="1:78" x14ac:dyDescent="0.3">
      <c r="A100">
        <v>46</v>
      </c>
      <c r="B100" s="3" t="s">
        <v>284</v>
      </c>
      <c r="C100" s="3" t="s">
        <v>106</v>
      </c>
      <c r="D100" s="13">
        <v>43761</v>
      </c>
      <c r="E100" s="2">
        <v>2.06</v>
      </c>
      <c r="F100" s="2">
        <v>0.18</v>
      </c>
      <c r="G100" s="2">
        <f t="shared" si="1"/>
        <v>1.8800000000000001</v>
      </c>
      <c r="H100" s="4">
        <f t="shared" si="2"/>
        <v>4625.9842519685044</v>
      </c>
      <c r="I100" s="10">
        <v>44134</v>
      </c>
      <c r="J100" s="2">
        <v>0.98</v>
      </c>
      <c r="K100" s="2">
        <v>2.44</v>
      </c>
      <c r="L100" s="6">
        <f t="shared" si="3"/>
        <v>0.37234042553191482</v>
      </c>
      <c r="M100" s="6">
        <f t="shared" si="4"/>
        <v>0.40425531914893614</v>
      </c>
      <c r="N100" s="6">
        <f t="shared" si="5"/>
        <v>0.22340425531914904</v>
      </c>
      <c r="O100" s="2">
        <v>46.89</v>
      </c>
      <c r="P100" s="2">
        <v>45.72</v>
      </c>
      <c r="Q100" s="2">
        <v>158.88</v>
      </c>
      <c r="R100" s="2">
        <v>152.75</v>
      </c>
      <c r="S100" s="5">
        <f t="shared" si="6"/>
        <v>2.4952015355086408</v>
      </c>
      <c r="T100" s="5">
        <f t="shared" si="7"/>
        <v>3.8582578046324243</v>
      </c>
      <c r="U100" s="4">
        <f t="shared" si="8"/>
        <v>1722.4409448818897</v>
      </c>
      <c r="V100" s="4">
        <f t="shared" si="9"/>
        <v>1870.0787401574803</v>
      </c>
      <c r="W100" s="4">
        <f t="shared" si="10"/>
        <v>3592.51968503937</v>
      </c>
      <c r="X100" s="4">
        <f t="shared" si="11"/>
        <v>1679.4625719769672</v>
      </c>
      <c r="Y100" s="4">
        <f t="shared" si="12"/>
        <v>1797.9262812125826</v>
      </c>
      <c r="Z100" s="4">
        <f t="shared" si="13"/>
        <v>3477.38885318955</v>
      </c>
      <c r="AA100" s="8" t="s">
        <v>232</v>
      </c>
      <c r="AB100" s="10">
        <v>44154</v>
      </c>
      <c r="AC100" s="4">
        <v>42.699999999999996</v>
      </c>
      <c r="AD100" s="15">
        <v>1.0589999999999999</v>
      </c>
      <c r="AE100" s="4">
        <v>79.2</v>
      </c>
      <c r="AF100" s="4">
        <v>26.7</v>
      </c>
      <c r="AG100" s="4">
        <v>6</v>
      </c>
      <c r="AH100" s="4">
        <v>82.7</v>
      </c>
      <c r="AI100" s="4">
        <v>8.1</v>
      </c>
      <c r="AJ100" s="4" t="s">
        <v>188</v>
      </c>
      <c r="AK100" s="16">
        <v>7</v>
      </c>
      <c r="AL100" s="5">
        <v>0.13</v>
      </c>
      <c r="AM100" s="4">
        <v>12.4</v>
      </c>
      <c r="AO100" s="14"/>
      <c r="AP100" s="1"/>
      <c r="AQ100" s="1"/>
      <c r="AR100" s="2"/>
      <c r="AS100" s="2"/>
      <c r="AT100" s="2"/>
      <c r="AU100" s="1"/>
      <c r="AV100" s="2"/>
      <c r="AW100" s="2"/>
      <c r="AX100" s="2"/>
      <c r="AY100" s="7"/>
      <c r="AZ100" s="7"/>
      <c r="BA100" s="7"/>
      <c r="BB100" s="2"/>
      <c r="BC100" s="2"/>
      <c r="BD100" s="2"/>
      <c r="BE100" s="2"/>
      <c r="BF100" s="2"/>
      <c r="BG100" s="2"/>
      <c r="BH100" s="1"/>
      <c r="BI100" s="1"/>
      <c r="BJ100" s="1"/>
      <c r="BK100" s="1"/>
      <c r="BL100" s="1"/>
      <c r="BM100" s="1"/>
      <c r="BN100" s="11"/>
      <c r="BO100" s="1"/>
      <c r="BP100" s="1"/>
      <c r="BQ100" s="9"/>
      <c r="BR100" s="1"/>
      <c r="BS100" s="1"/>
      <c r="BT100" s="1"/>
      <c r="BU100" s="1"/>
      <c r="BV100" s="1"/>
      <c r="BX100" s="8"/>
      <c r="BY100" s="2"/>
      <c r="BZ100" s="1"/>
    </row>
    <row r="101" spans="1:78" x14ac:dyDescent="0.3">
      <c r="A101">
        <v>47</v>
      </c>
      <c r="B101" s="3" t="s">
        <v>285</v>
      </c>
      <c r="C101" s="3" t="s">
        <v>106</v>
      </c>
      <c r="D101" s="13">
        <v>43761</v>
      </c>
      <c r="E101" s="2">
        <v>1.48</v>
      </c>
      <c r="F101" s="2">
        <v>0.18</v>
      </c>
      <c r="G101" s="2">
        <f t="shared" si="1"/>
        <v>1.3</v>
      </c>
      <c r="H101" s="4">
        <f t="shared" si="2"/>
        <v>3198.8188976377951</v>
      </c>
      <c r="I101" s="10">
        <v>44134</v>
      </c>
      <c r="J101" s="2">
        <v>0.76</v>
      </c>
      <c r="K101" s="2">
        <v>2.14</v>
      </c>
      <c r="L101" s="6">
        <f t="shared" si="3"/>
        <v>0.3692307692307692</v>
      </c>
      <c r="M101" s="6">
        <f t="shared" si="4"/>
        <v>0.35384615384615398</v>
      </c>
      <c r="N101" s="6">
        <f t="shared" si="5"/>
        <v>0.27692307692307677</v>
      </c>
      <c r="O101" s="2">
        <v>38.21</v>
      </c>
      <c r="P101" s="2">
        <v>37.159999999999997</v>
      </c>
      <c r="Q101" s="2">
        <v>186.01</v>
      </c>
      <c r="R101" s="2">
        <v>179.28</v>
      </c>
      <c r="S101" s="5">
        <f t="shared" si="6"/>
        <v>2.7479717351478783</v>
      </c>
      <c r="T101" s="5">
        <f t="shared" si="7"/>
        <v>3.6180850491908987</v>
      </c>
      <c r="U101" s="4">
        <f t="shared" si="8"/>
        <v>1181.1023622047242</v>
      </c>
      <c r="V101" s="4">
        <f t="shared" si="9"/>
        <v>1131.8897637795278</v>
      </c>
      <c r="W101" s="4">
        <f t="shared" si="10"/>
        <v>2312.9921259842522</v>
      </c>
      <c r="X101" s="4">
        <f t="shared" si="11"/>
        <v>1148.6460031281745</v>
      </c>
      <c r="Y101" s="4">
        <f t="shared" si="12"/>
        <v>1090.9370294628984</v>
      </c>
      <c r="Z101" s="4">
        <f t="shared" si="13"/>
        <v>2239.5830325910729</v>
      </c>
      <c r="AA101" s="8" t="s">
        <v>208</v>
      </c>
      <c r="AB101" s="10">
        <v>44154</v>
      </c>
      <c r="AC101" s="4">
        <v>38.5</v>
      </c>
      <c r="AD101" s="15">
        <v>1.036</v>
      </c>
      <c r="AE101" s="4">
        <v>78.599999999999994</v>
      </c>
      <c r="AF101" s="4">
        <v>26.7</v>
      </c>
      <c r="AG101" s="4">
        <v>6.1</v>
      </c>
      <c r="AH101" s="4">
        <v>81.400000000000006</v>
      </c>
      <c r="AI101" s="4">
        <v>8.6999999999999993</v>
      </c>
      <c r="AJ101" s="4" t="s">
        <v>184</v>
      </c>
      <c r="AK101" s="16">
        <v>8</v>
      </c>
      <c r="AL101" s="5">
        <v>0.12</v>
      </c>
      <c r="AM101" s="4">
        <v>15</v>
      </c>
      <c r="AO101" s="14" t="s">
        <v>164</v>
      </c>
      <c r="AP101" s="1" t="s">
        <v>106</v>
      </c>
      <c r="AQ101" s="11">
        <f>D101</f>
        <v>43761</v>
      </c>
      <c r="AR101" s="2">
        <f>SUM(E101:E102)</f>
        <v>2.84</v>
      </c>
      <c r="AS101" s="2">
        <f>SUM(F101:F102)</f>
        <v>0.36</v>
      </c>
      <c r="AT101" s="2">
        <f>AR101-AS101</f>
        <v>2.48</v>
      </c>
      <c r="AU101" s="1">
        <f>AT101/(2*$A$43)*$A$44</f>
        <v>3051.1811023622049</v>
      </c>
      <c r="AV101" s="11">
        <f>I101</f>
        <v>44134</v>
      </c>
      <c r="AW101" s="2">
        <f>SUM(J101:J102)</f>
        <v>1.42</v>
      </c>
      <c r="AX101" s="2">
        <f>SUM(K101:K102)</f>
        <v>4.2200000000000006</v>
      </c>
      <c r="AY101" s="7">
        <f>(AW101-2*$A$45)/AT101</f>
        <v>0.34677419354838707</v>
      </c>
      <c r="AZ101" s="7">
        <f>(AX101-2*$A$46)/AT101</f>
        <v>0.3467741935483874</v>
      </c>
      <c r="BA101" s="7">
        <f>1-AY101-AZ101</f>
        <v>0.30645161290322559</v>
      </c>
      <c r="BB101" s="2">
        <f>SUM(O101:O102)</f>
        <v>92.800000000000011</v>
      </c>
      <c r="BC101" s="2">
        <f>SUM(P101:P102)</f>
        <v>90.21</v>
      </c>
      <c r="BD101" s="2">
        <f>SUM(Q101:Q102)</f>
        <v>361.09000000000003</v>
      </c>
      <c r="BE101" s="2">
        <f>SUM(R101:R102)</f>
        <v>348.40999999999997</v>
      </c>
      <c r="BF101" s="2">
        <f>(BB101-BC101)/BB101*100</f>
        <v>2.7909482758620876</v>
      </c>
      <c r="BG101" s="2">
        <f>(BD101-BE101)/BD101*100</f>
        <v>3.5115899083331201</v>
      </c>
      <c r="BH101" s="1">
        <f>AU101*AY101</f>
        <v>1058.0708661417323</v>
      </c>
      <c r="BI101" s="1">
        <f>AU101*AZ101</f>
        <v>1058.0708661417332</v>
      </c>
      <c r="BJ101" s="1">
        <f>BH101+BI101</f>
        <v>2116.1417322834654</v>
      </c>
      <c r="BK101" s="1">
        <f>BH101*(1-BF101/100)</f>
        <v>1028.5406555457505</v>
      </c>
      <c r="BL101" s="1">
        <f>BI101*(1-BG101/100)</f>
        <v>1020.9157563832872</v>
      </c>
      <c r="BM101" s="1">
        <f>BK101+BL101</f>
        <v>2049.4564119290376</v>
      </c>
      <c r="BN101" s="11" t="str">
        <f>AA101</f>
        <v>992013064248</v>
      </c>
      <c r="BO101" s="11">
        <f>AB101</f>
        <v>44154</v>
      </c>
      <c r="BP101" s="1">
        <f>AVERAGE(AC101:AC102)</f>
        <v>39.450000000000003</v>
      </c>
      <c r="BQ101" s="9">
        <f t="shared" ref="BQ101" si="212">AVERAGE(AD101:AD102)</f>
        <v>1.0430000000000001</v>
      </c>
      <c r="BR101" s="1">
        <f t="shared" ref="BR101" si="213">AVERAGE(AE101:AE102)</f>
        <v>77.8</v>
      </c>
      <c r="BS101" s="1">
        <f t="shared" ref="BS101" si="214">AVERAGE(AF101:AF102)</f>
        <v>26.1</v>
      </c>
      <c r="BT101" s="1">
        <f t="shared" ref="BT101" si="215">AVERAGE(AG101:AG102)</f>
        <v>6.1</v>
      </c>
      <c r="BU101" s="1">
        <f t="shared" ref="BU101" si="216">AVERAGE(AH101:AH102)</f>
        <v>81.45</v>
      </c>
      <c r="BV101" s="1">
        <f t="shared" ref="BV101" si="217">AVERAGE(AI101:AI102)</f>
        <v>8.75</v>
      </c>
      <c r="BW101" s="1"/>
      <c r="BX101" s="8">
        <f t="shared" ref="BX101" si="218">AVERAGE(AK101:AK102)</f>
        <v>7.5</v>
      </c>
      <c r="BY101" s="2">
        <f t="shared" ref="BY101" si="219">AVERAGE(AL101:AL102)</f>
        <v>0.12</v>
      </c>
      <c r="BZ101" s="1">
        <f t="shared" ref="BZ101" si="220">AVERAGE(AM101:AM102)</f>
        <v>14.15</v>
      </c>
    </row>
    <row r="102" spans="1:78" x14ac:dyDescent="0.3">
      <c r="A102">
        <v>48</v>
      </c>
      <c r="B102" s="3" t="s">
        <v>286</v>
      </c>
      <c r="C102" s="3" t="s">
        <v>106</v>
      </c>
      <c r="D102" s="13">
        <v>43761</v>
      </c>
      <c r="E102" s="2">
        <v>1.36</v>
      </c>
      <c r="F102" s="2">
        <v>0.18</v>
      </c>
      <c r="G102" s="2">
        <f t="shared" si="1"/>
        <v>1.1800000000000002</v>
      </c>
      <c r="H102" s="4">
        <f t="shared" si="2"/>
        <v>2903.5433070866147</v>
      </c>
      <c r="I102" s="10">
        <v>44134</v>
      </c>
      <c r="J102" s="2">
        <v>0.66</v>
      </c>
      <c r="K102" s="2">
        <v>2.08</v>
      </c>
      <c r="L102" s="6">
        <f t="shared" si="3"/>
        <v>0.32203389830508472</v>
      </c>
      <c r="M102" s="6">
        <f t="shared" si="4"/>
        <v>0.33898305084745767</v>
      </c>
      <c r="N102" s="6">
        <f t="shared" si="5"/>
        <v>0.33898305084745756</v>
      </c>
      <c r="O102" s="2">
        <v>54.59</v>
      </c>
      <c r="P102" s="2">
        <v>53.05</v>
      </c>
      <c r="Q102" s="2">
        <v>175.08</v>
      </c>
      <c r="R102" s="2">
        <v>169.13</v>
      </c>
      <c r="S102" s="5">
        <f t="shared" si="6"/>
        <v>2.8210294925810699</v>
      </c>
      <c r="T102" s="5">
        <f t="shared" si="7"/>
        <v>3.3984464244916706</v>
      </c>
      <c r="U102" s="4">
        <f t="shared" si="8"/>
        <v>935.03937007874026</v>
      </c>
      <c r="V102" s="4">
        <f t="shared" si="9"/>
        <v>984.25196850393729</v>
      </c>
      <c r="W102" s="4">
        <f t="shared" si="10"/>
        <v>1919.2913385826776</v>
      </c>
      <c r="X102" s="4">
        <f t="shared" si="11"/>
        <v>908.6616336815747</v>
      </c>
      <c r="Y102" s="4">
        <f t="shared" si="12"/>
        <v>950.80269267232632</v>
      </c>
      <c r="Z102" s="4">
        <f t="shared" si="13"/>
        <v>1859.464326353901</v>
      </c>
      <c r="AA102" s="8" t="s">
        <v>233</v>
      </c>
      <c r="AB102" s="10">
        <v>44154</v>
      </c>
      <c r="AC102" s="4">
        <v>40.4</v>
      </c>
      <c r="AD102" s="15">
        <v>1.05</v>
      </c>
      <c r="AE102" s="4">
        <v>77</v>
      </c>
      <c r="AF102" s="4">
        <v>25.5</v>
      </c>
      <c r="AG102" s="4">
        <v>6.1</v>
      </c>
      <c r="AH102" s="4">
        <v>81.5</v>
      </c>
      <c r="AI102" s="4">
        <v>8.8000000000000007</v>
      </c>
      <c r="AJ102" s="4" t="s">
        <v>186</v>
      </c>
      <c r="AK102" s="16">
        <v>7</v>
      </c>
      <c r="AL102" s="5">
        <v>0.12</v>
      </c>
      <c r="AM102" s="4">
        <v>13.3</v>
      </c>
      <c r="AO102" s="14"/>
      <c r="AP102" s="1"/>
      <c r="AQ102" s="1"/>
      <c r="AR102" s="2"/>
      <c r="AS102" s="2"/>
      <c r="AT102" s="2"/>
      <c r="AU102" s="1"/>
      <c r="AV102" s="2"/>
      <c r="AW102" s="2"/>
      <c r="AX102" s="2"/>
      <c r="AY102" s="7"/>
      <c r="AZ102" s="7"/>
      <c r="BA102" s="7"/>
      <c r="BB102" s="2"/>
      <c r="BC102" s="2"/>
      <c r="BD102" s="2"/>
      <c r="BE102" s="2"/>
      <c r="BF102" s="2"/>
      <c r="BG102" s="2"/>
      <c r="BH102" s="1"/>
      <c r="BI102" s="1"/>
      <c r="BJ102" s="1"/>
      <c r="BK102" s="1"/>
      <c r="BL102" s="1"/>
      <c r="BM102" s="1"/>
      <c r="BN102" s="11"/>
      <c r="BO102" s="1"/>
      <c r="BP102" s="1"/>
      <c r="BQ102" s="2"/>
      <c r="BR102" s="1"/>
      <c r="BS102" s="1"/>
      <c r="BT102" s="1"/>
      <c r="BU102" s="1"/>
    </row>
    <row r="103" spans="1:78" x14ac:dyDescent="0.3">
      <c r="I103" s="1"/>
      <c r="R103" s="1"/>
      <c r="S103" s="1"/>
      <c r="T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78" x14ac:dyDescent="0.3">
      <c r="I104" s="1"/>
      <c r="R104" s="1"/>
      <c r="S104" s="1"/>
      <c r="T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78" x14ac:dyDescent="0.3">
      <c r="I105" s="1"/>
      <c r="R105" s="1"/>
      <c r="S105" s="1"/>
      <c r="T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78" x14ac:dyDescent="0.3">
      <c r="I106" s="1"/>
      <c r="R106" s="1"/>
      <c r="S106" s="1"/>
      <c r="T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78" x14ac:dyDescent="0.3">
      <c r="I107" s="1"/>
      <c r="R107" s="1"/>
      <c r="S107" s="1"/>
      <c r="T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78" x14ac:dyDescent="0.3">
      <c r="I108" s="1"/>
      <c r="R108" s="1"/>
      <c r="S108" s="1"/>
      <c r="T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78" x14ac:dyDescent="0.3">
      <c r="I109" s="1"/>
      <c r="R109" s="1"/>
      <c r="S109" s="1"/>
      <c r="T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78" x14ac:dyDescent="0.3">
      <c r="I110" s="1"/>
      <c r="R110" s="1"/>
      <c r="S110" s="1"/>
      <c r="T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78" x14ac:dyDescent="0.3">
      <c r="I111" s="1"/>
      <c r="R111" s="1"/>
      <c r="S111" s="1"/>
      <c r="T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78" x14ac:dyDescent="0.3">
      <c r="I112" s="1"/>
      <c r="R112" s="1"/>
      <c r="S112" s="1"/>
      <c r="T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9:42" x14ac:dyDescent="0.3">
      <c r="I113" s="1"/>
      <c r="R113" s="1"/>
      <c r="S113" s="1"/>
      <c r="T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9:42" x14ac:dyDescent="0.3">
      <c r="I114" s="1"/>
      <c r="R114" s="1"/>
      <c r="S114" s="1"/>
      <c r="T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9:42" x14ac:dyDescent="0.3">
      <c r="I115" s="1"/>
      <c r="R115" s="1"/>
      <c r="S115" s="1"/>
      <c r="T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9:42" x14ac:dyDescent="0.3">
      <c r="I116" s="1"/>
      <c r="R116" s="1"/>
      <c r="S116" s="1"/>
      <c r="T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9:42" x14ac:dyDescent="0.3">
      <c r="I117" s="1"/>
      <c r="R117" s="1"/>
      <c r="S117" s="1"/>
      <c r="T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9:42" x14ac:dyDescent="0.3">
      <c r="I118" s="1"/>
      <c r="R118" s="1"/>
      <c r="S118" s="1"/>
      <c r="T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9:42" x14ac:dyDescent="0.3">
      <c r="I119" s="1"/>
      <c r="R119" s="1"/>
      <c r="S119" s="1"/>
      <c r="T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9:42" x14ac:dyDescent="0.3">
      <c r="I120" s="1"/>
      <c r="R120" s="1"/>
      <c r="S120" s="1"/>
      <c r="T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9:42" x14ac:dyDescent="0.3">
      <c r="I121" s="1"/>
      <c r="R121" s="1"/>
      <c r="S121" s="1"/>
      <c r="T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9:42" x14ac:dyDescent="0.3">
      <c r="I122" s="1"/>
      <c r="R122" s="1"/>
      <c r="S122" s="1"/>
      <c r="T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9:42" x14ac:dyDescent="0.3">
      <c r="I123" s="1"/>
      <c r="R123" s="1"/>
      <c r="S123" s="1"/>
      <c r="T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9:42" x14ac:dyDescent="0.3">
      <c r="I124" s="1"/>
      <c r="R124" s="1"/>
      <c r="S124" s="1"/>
      <c r="T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9:42" x14ac:dyDescent="0.3">
      <c r="I125" s="1"/>
      <c r="R125" s="1"/>
      <c r="S125" s="1"/>
      <c r="T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9:42" x14ac:dyDescent="0.3">
      <c r="I126" s="1"/>
      <c r="R126" s="1"/>
      <c r="S126" s="1"/>
      <c r="T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9:42" x14ac:dyDescent="0.3">
      <c r="I127" s="1"/>
      <c r="R127" s="1"/>
      <c r="S127" s="1"/>
      <c r="T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9:42" x14ac:dyDescent="0.3">
      <c r="I128" s="1"/>
      <c r="R128" s="1"/>
      <c r="S128" s="1"/>
      <c r="T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9:42" x14ac:dyDescent="0.3">
      <c r="I129" s="1"/>
      <c r="R129" s="1"/>
      <c r="S129" s="1"/>
      <c r="T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9:42" x14ac:dyDescent="0.3">
      <c r="I130" s="1"/>
      <c r="R130" s="1"/>
      <c r="S130" s="1"/>
      <c r="T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9:42" x14ac:dyDescent="0.3">
      <c r="I131" s="1"/>
      <c r="R131" s="1"/>
      <c r="S131" s="1"/>
      <c r="T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9:42" x14ac:dyDescent="0.3">
      <c r="I132" s="1"/>
      <c r="R132" s="1"/>
      <c r="S132" s="1"/>
      <c r="T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9:42" x14ac:dyDescent="0.3">
      <c r="I133" s="1"/>
      <c r="R133" s="1"/>
      <c r="S133" s="1"/>
      <c r="T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9:42" x14ac:dyDescent="0.3">
      <c r="I134" s="1"/>
      <c r="R134" s="1"/>
      <c r="S134" s="1"/>
      <c r="T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9:42" x14ac:dyDescent="0.3">
      <c r="I135" s="1"/>
      <c r="R135" s="1"/>
      <c r="S135" s="1"/>
      <c r="T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9:42" x14ac:dyDescent="0.3">
      <c r="I136" s="1"/>
      <c r="R136" s="1"/>
      <c r="S136" s="1"/>
      <c r="T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9:42" x14ac:dyDescent="0.3">
      <c r="I137" s="1"/>
      <c r="R137" s="1"/>
      <c r="S137" s="1"/>
      <c r="T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9:42" x14ac:dyDescent="0.3">
      <c r="I138" s="1"/>
      <c r="R138" s="1"/>
      <c r="S138" s="1"/>
      <c r="T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9:42" x14ac:dyDescent="0.3">
      <c r="I139" s="1"/>
      <c r="R139" s="1"/>
      <c r="S139" s="1"/>
      <c r="T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9:42" x14ac:dyDescent="0.3">
      <c r="I140" s="1"/>
      <c r="R140" s="1"/>
      <c r="S140" s="1"/>
      <c r="T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9:42" x14ac:dyDescent="0.3">
      <c r="I141" s="1"/>
      <c r="R141" s="1"/>
      <c r="S141" s="1"/>
      <c r="T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9:42" x14ac:dyDescent="0.3">
      <c r="I142" s="1"/>
      <c r="R142" s="1"/>
      <c r="S142" s="1"/>
      <c r="T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9:42" x14ac:dyDescent="0.3">
      <c r="I143" s="1"/>
      <c r="R143" s="1"/>
      <c r="S143" s="1"/>
      <c r="T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9:42" x14ac:dyDescent="0.3">
      <c r="I144" s="1"/>
      <c r="R144" s="1"/>
      <c r="S144" s="1"/>
      <c r="T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9:42" x14ac:dyDescent="0.3">
      <c r="I145" s="1"/>
      <c r="R145" s="1"/>
      <c r="S145" s="1"/>
      <c r="T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9:42" x14ac:dyDescent="0.3">
      <c r="I146" s="1"/>
      <c r="R146" s="1"/>
      <c r="S146" s="1"/>
      <c r="T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9:42" x14ac:dyDescent="0.3">
      <c r="I147" s="1"/>
      <c r="R147" s="1"/>
      <c r="S147" s="1"/>
      <c r="T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9:42" x14ac:dyDescent="0.3">
      <c r="I148" s="1"/>
      <c r="R148" s="1"/>
      <c r="S148" s="1"/>
      <c r="T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9:42" x14ac:dyDescent="0.3">
      <c r="I149" s="1"/>
      <c r="R149" s="1"/>
      <c r="S149" s="1"/>
      <c r="T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9:42" x14ac:dyDescent="0.3">
      <c r="I150" s="1"/>
      <c r="R150" s="1"/>
      <c r="S150" s="1"/>
      <c r="T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9:42" x14ac:dyDescent="0.3">
      <c r="I151" s="1"/>
      <c r="R151" s="1"/>
      <c r="S151" s="1"/>
      <c r="T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9:42" x14ac:dyDescent="0.3">
      <c r="I152" s="1"/>
      <c r="R152" s="1"/>
      <c r="S152" s="1"/>
      <c r="T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9:42" x14ac:dyDescent="0.3">
      <c r="I153" s="1"/>
      <c r="R153" s="1"/>
      <c r="S153" s="1"/>
      <c r="T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9:42" x14ac:dyDescent="0.3">
      <c r="I154" s="1"/>
      <c r="R154" s="1"/>
      <c r="S154" s="1"/>
      <c r="T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9:42" x14ac:dyDescent="0.3">
      <c r="I155" s="1"/>
      <c r="R155" s="1"/>
      <c r="S155" s="1"/>
      <c r="T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9:42" x14ac:dyDescent="0.3">
      <c r="I156" s="1"/>
      <c r="R156" s="1"/>
      <c r="S156" s="1"/>
      <c r="T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9:42" x14ac:dyDescent="0.3">
      <c r="I157" s="1"/>
      <c r="R157" s="1"/>
      <c r="S157" s="1"/>
      <c r="T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9:42" x14ac:dyDescent="0.3">
      <c r="I158" s="1"/>
      <c r="R158" s="1"/>
      <c r="S158" s="1"/>
      <c r="T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9:42" x14ac:dyDescent="0.3">
      <c r="I159" s="1"/>
      <c r="R159" s="1"/>
      <c r="S159" s="1"/>
      <c r="T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9:42" x14ac:dyDescent="0.3">
      <c r="I160" s="1"/>
      <c r="R160" s="1"/>
      <c r="S160" s="1"/>
      <c r="T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9:42" x14ac:dyDescent="0.3">
      <c r="I161" s="1"/>
      <c r="R161" s="1"/>
      <c r="S161" s="1"/>
      <c r="T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9:42" x14ac:dyDescent="0.3">
      <c r="I162" s="1"/>
      <c r="R162" s="1"/>
      <c r="S162" s="1"/>
      <c r="T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9:42" x14ac:dyDescent="0.3">
      <c r="I163" s="1"/>
      <c r="R163" s="1"/>
      <c r="S163" s="1"/>
      <c r="T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9:42" x14ac:dyDescent="0.3">
      <c r="I164" s="1"/>
      <c r="R164" s="1"/>
      <c r="S164" s="1"/>
      <c r="T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9:42" x14ac:dyDescent="0.3">
      <c r="I165" s="1"/>
      <c r="R165" s="1"/>
      <c r="S165" s="1"/>
      <c r="T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9:42" x14ac:dyDescent="0.3">
      <c r="I166" s="1"/>
      <c r="R166" s="1"/>
      <c r="S166" s="1"/>
      <c r="T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9:42" x14ac:dyDescent="0.3">
      <c r="I167" s="1"/>
      <c r="R167" s="1"/>
      <c r="S167" s="1"/>
      <c r="T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9:42" x14ac:dyDescent="0.3">
      <c r="I168" s="1"/>
      <c r="R168" s="1"/>
      <c r="S168" s="1"/>
      <c r="T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9:42" x14ac:dyDescent="0.3">
      <c r="I169" s="1"/>
      <c r="R169" s="1"/>
      <c r="S169" s="1"/>
      <c r="T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9:42" x14ac:dyDescent="0.3">
      <c r="I170" s="1"/>
      <c r="R170" s="1"/>
      <c r="S170" s="1"/>
      <c r="T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9:42" x14ac:dyDescent="0.3">
      <c r="I171" s="1"/>
      <c r="R171" s="1"/>
      <c r="S171" s="1"/>
      <c r="T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9:42" x14ac:dyDescent="0.3">
      <c r="I172" s="1"/>
      <c r="R172" s="1"/>
      <c r="S172" s="1"/>
      <c r="T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9:42" x14ac:dyDescent="0.3">
      <c r="I173" s="1"/>
      <c r="R173" s="1"/>
      <c r="S173" s="1"/>
      <c r="T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9:42" x14ac:dyDescent="0.3">
      <c r="I174" s="1"/>
      <c r="R174" s="1"/>
      <c r="S174" s="1"/>
      <c r="T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9:42" x14ac:dyDescent="0.3">
      <c r="I175" s="1"/>
      <c r="R175" s="1"/>
      <c r="S175" s="1"/>
      <c r="T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9:42" x14ac:dyDescent="0.3">
      <c r="I176" s="1"/>
      <c r="R176" s="1"/>
      <c r="S176" s="1"/>
      <c r="T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9:42" x14ac:dyDescent="0.3">
      <c r="I177" s="1"/>
      <c r="R177" s="1"/>
      <c r="S177" s="1"/>
      <c r="T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9:42" x14ac:dyDescent="0.3">
      <c r="I178" s="1"/>
      <c r="R178" s="1"/>
      <c r="S178" s="1"/>
      <c r="T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9:42" x14ac:dyDescent="0.3">
      <c r="I179" s="1"/>
      <c r="R179" s="1"/>
      <c r="S179" s="1"/>
      <c r="T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9:42" x14ac:dyDescent="0.3">
      <c r="I180" s="1"/>
      <c r="R180" s="1"/>
      <c r="S180" s="1"/>
      <c r="T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9:42" x14ac:dyDescent="0.3">
      <c r="I181" s="1"/>
      <c r="R181" s="1"/>
      <c r="S181" s="1"/>
      <c r="T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9:42" x14ac:dyDescent="0.3">
      <c r="I182" s="1"/>
      <c r="R182" s="1"/>
      <c r="S182" s="1"/>
      <c r="T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9:42" x14ac:dyDescent="0.3">
      <c r="I183" s="1"/>
      <c r="R183" s="1"/>
      <c r="S183" s="1"/>
      <c r="T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9:42" x14ac:dyDescent="0.3">
      <c r="I184" s="1"/>
      <c r="R184" s="1"/>
      <c r="S184" s="1"/>
      <c r="T184" s="1"/>
    </row>
    <row r="185" spans="9:42" x14ac:dyDescent="0.3">
      <c r="I185" s="1"/>
      <c r="R185" s="1"/>
      <c r="S185" s="1"/>
      <c r="T185" s="1"/>
    </row>
    <row r="186" spans="9:42" x14ac:dyDescent="0.3">
      <c r="I186" s="1"/>
      <c r="R186" s="1"/>
      <c r="S186" s="1"/>
      <c r="T186" s="1"/>
    </row>
    <row r="187" spans="9:42" x14ac:dyDescent="0.3">
      <c r="I187" s="1"/>
      <c r="R187" s="1"/>
      <c r="S187" s="1"/>
      <c r="T187" s="1"/>
    </row>
    <row r="188" spans="9:42" x14ac:dyDescent="0.3">
      <c r="I188" s="1"/>
      <c r="R188" s="1"/>
      <c r="S188" s="1"/>
      <c r="T188" s="1"/>
    </row>
    <row r="189" spans="9:42" x14ac:dyDescent="0.3">
      <c r="I189" s="1"/>
      <c r="R189" s="1"/>
      <c r="S189" s="1"/>
      <c r="T189" s="1"/>
    </row>
    <row r="190" spans="9:42" x14ac:dyDescent="0.3">
      <c r="I190" s="1"/>
      <c r="R190" s="1"/>
      <c r="S190" s="1"/>
      <c r="T190" s="1"/>
    </row>
    <row r="191" spans="9:42" x14ac:dyDescent="0.3">
      <c r="I191" s="1"/>
      <c r="R191" s="1"/>
      <c r="S191" s="1"/>
      <c r="T191" s="1"/>
    </row>
    <row r="192" spans="9:42" x14ac:dyDescent="0.3">
      <c r="I192" s="1"/>
      <c r="R192" s="1"/>
      <c r="S192" s="1"/>
      <c r="T192" s="1"/>
    </row>
    <row r="193" spans="9:20" x14ac:dyDescent="0.3">
      <c r="I193" s="1"/>
      <c r="R193" s="1"/>
      <c r="S193" s="1"/>
      <c r="T193" s="1"/>
    </row>
    <row r="194" spans="9:20" x14ac:dyDescent="0.3">
      <c r="I194" s="1"/>
      <c r="R194" s="1"/>
      <c r="S194" s="1"/>
      <c r="T194" s="1"/>
    </row>
    <row r="195" spans="9:20" x14ac:dyDescent="0.3">
      <c r="I195" s="1"/>
      <c r="R195" s="1"/>
      <c r="S195" s="1"/>
      <c r="T195" s="1"/>
    </row>
    <row r="196" spans="9:20" x14ac:dyDescent="0.3">
      <c r="I196" s="1"/>
      <c r="R196" s="1"/>
      <c r="S196" s="1"/>
      <c r="T196" s="1"/>
    </row>
    <row r="197" spans="9:20" x14ac:dyDescent="0.3">
      <c r="I197" s="1"/>
      <c r="R197" s="1"/>
      <c r="S197" s="1"/>
      <c r="T197" s="1"/>
    </row>
    <row r="198" spans="9:20" x14ac:dyDescent="0.3">
      <c r="I198" s="1"/>
      <c r="R198" s="1"/>
      <c r="S198" s="1"/>
      <c r="T198" s="1"/>
    </row>
    <row r="199" spans="9:20" x14ac:dyDescent="0.3">
      <c r="I199" s="1"/>
      <c r="R199" s="1"/>
      <c r="S199" s="1"/>
      <c r="T199" s="1"/>
    </row>
    <row r="200" spans="9:20" x14ac:dyDescent="0.3">
      <c r="I200" s="1"/>
      <c r="R200" s="1"/>
      <c r="S200" s="1"/>
      <c r="T200" s="1"/>
    </row>
    <row r="201" spans="9:20" x14ac:dyDescent="0.3">
      <c r="I201" s="1"/>
      <c r="R201" s="1"/>
      <c r="S201" s="1"/>
      <c r="T201" s="1"/>
    </row>
    <row r="202" spans="9:20" x14ac:dyDescent="0.3">
      <c r="I202" s="1"/>
      <c r="R202" s="1"/>
      <c r="S202" s="1"/>
      <c r="T202" s="1"/>
    </row>
    <row r="203" spans="9:20" x14ac:dyDescent="0.3">
      <c r="I203" s="1"/>
      <c r="R203" s="1"/>
      <c r="S203" s="1"/>
      <c r="T203" s="1"/>
    </row>
    <row r="204" spans="9:20" x14ac:dyDescent="0.3">
      <c r="I204" s="1"/>
      <c r="R204" s="1"/>
      <c r="S204" s="1"/>
      <c r="T204" s="1"/>
    </row>
    <row r="205" spans="9:20" x14ac:dyDescent="0.3">
      <c r="I205" s="1"/>
      <c r="R205" s="1"/>
      <c r="S205" s="1"/>
      <c r="T205" s="1"/>
    </row>
    <row r="206" spans="9:20" x14ac:dyDescent="0.3">
      <c r="I206" s="1"/>
      <c r="R206" s="1"/>
      <c r="S206" s="1"/>
      <c r="T206" s="1"/>
    </row>
    <row r="207" spans="9:20" x14ac:dyDescent="0.3">
      <c r="I207" s="1"/>
      <c r="R207" s="1"/>
      <c r="S207" s="1"/>
      <c r="T207" s="1"/>
    </row>
    <row r="208" spans="9:20" x14ac:dyDescent="0.3">
      <c r="I208" s="1"/>
      <c r="R208" s="1"/>
      <c r="S208" s="1"/>
      <c r="T208" s="1"/>
    </row>
    <row r="209" spans="9:20" x14ac:dyDescent="0.3">
      <c r="I209" s="1"/>
      <c r="R209" s="1"/>
      <c r="S209" s="1"/>
      <c r="T209" s="1"/>
    </row>
    <row r="210" spans="9:20" x14ac:dyDescent="0.3">
      <c r="I210" s="1"/>
      <c r="R210" s="1"/>
      <c r="S210" s="1"/>
      <c r="T210" s="1"/>
    </row>
    <row r="211" spans="9:20" x14ac:dyDescent="0.3">
      <c r="I211" s="1"/>
      <c r="R211" s="1"/>
      <c r="S211" s="1"/>
      <c r="T211" s="1"/>
    </row>
    <row r="212" spans="9:20" x14ac:dyDescent="0.3">
      <c r="I212" s="1"/>
      <c r="R212" s="1"/>
      <c r="S212" s="1"/>
      <c r="T212" s="1"/>
    </row>
    <row r="213" spans="9:20" x14ac:dyDescent="0.3">
      <c r="I213" s="1"/>
      <c r="R213" s="1"/>
      <c r="S213" s="1"/>
      <c r="T213" s="1"/>
    </row>
    <row r="214" spans="9:20" x14ac:dyDescent="0.3">
      <c r="I214" s="1"/>
      <c r="R214" s="1"/>
      <c r="S214" s="1"/>
      <c r="T214" s="1"/>
    </row>
    <row r="215" spans="9:20" x14ac:dyDescent="0.3">
      <c r="I215" s="1"/>
      <c r="R215" s="1"/>
      <c r="S215" s="1"/>
      <c r="T215" s="1"/>
    </row>
    <row r="216" spans="9:20" x14ac:dyDescent="0.3">
      <c r="I216" s="1"/>
      <c r="R216" s="1"/>
      <c r="S216" s="1"/>
      <c r="T216" s="1"/>
    </row>
    <row r="217" spans="9:20" x14ac:dyDescent="0.3">
      <c r="I217" s="1"/>
      <c r="R217" s="1"/>
      <c r="S217" s="1"/>
      <c r="T217" s="1"/>
    </row>
    <row r="218" spans="9:20" x14ac:dyDescent="0.3">
      <c r="I218" s="1"/>
      <c r="R218" s="1"/>
      <c r="S218" s="1"/>
      <c r="T218" s="1"/>
    </row>
    <row r="219" spans="9:20" x14ac:dyDescent="0.3">
      <c r="I219" s="1"/>
      <c r="R219" s="1"/>
      <c r="S219" s="1"/>
      <c r="T219" s="1"/>
    </row>
    <row r="220" spans="9:20" x14ac:dyDescent="0.3">
      <c r="I220" s="1"/>
      <c r="R220" s="1"/>
      <c r="S220" s="1"/>
      <c r="T220" s="1"/>
    </row>
    <row r="221" spans="9:20" x14ac:dyDescent="0.3">
      <c r="I221" s="1"/>
      <c r="R221" s="1"/>
      <c r="S221" s="1"/>
      <c r="T221" s="1"/>
    </row>
    <row r="222" spans="9:20" x14ac:dyDescent="0.3">
      <c r="I222" s="1"/>
      <c r="R222" s="1"/>
      <c r="S222" s="1"/>
      <c r="T222" s="1"/>
    </row>
    <row r="223" spans="9:20" x14ac:dyDescent="0.3">
      <c r="I223" s="1"/>
      <c r="R223" s="1"/>
      <c r="S223" s="1"/>
      <c r="T223" s="1"/>
    </row>
    <row r="224" spans="9:20" x14ac:dyDescent="0.3">
      <c r="I224" s="1"/>
      <c r="R224" s="1"/>
      <c r="S224" s="1"/>
      <c r="T224" s="1"/>
    </row>
    <row r="225" spans="9:20" x14ac:dyDescent="0.3">
      <c r="I225" s="1"/>
      <c r="R225" s="1"/>
      <c r="S225" s="1"/>
      <c r="T225" s="1"/>
    </row>
    <row r="226" spans="9:20" x14ac:dyDescent="0.3">
      <c r="I226" s="1"/>
      <c r="R226" s="1"/>
      <c r="S226" s="1"/>
      <c r="T226" s="1"/>
    </row>
    <row r="227" spans="9:20" x14ac:dyDescent="0.3">
      <c r="I227" s="1"/>
      <c r="R227" s="1"/>
      <c r="S227" s="1"/>
      <c r="T227" s="1"/>
    </row>
    <row r="228" spans="9:20" x14ac:dyDescent="0.3">
      <c r="I228" s="1"/>
      <c r="R228" s="1"/>
      <c r="S228" s="1"/>
      <c r="T228" s="1"/>
    </row>
    <row r="229" spans="9:20" x14ac:dyDescent="0.3">
      <c r="I229" s="1"/>
      <c r="R229" s="1"/>
      <c r="S229" s="1"/>
      <c r="T229" s="1"/>
    </row>
    <row r="230" spans="9:20" x14ac:dyDescent="0.3">
      <c r="I230" s="1"/>
      <c r="R230" s="1"/>
      <c r="S230" s="1"/>
      <c r="T230" s="1"/>
    </row>
    <row r="231" spans="9:20" x14ac:dyDescent="0.3">
      <c r="I231" s="1"/>
      <c r="R231" s="1"/>
      <c r="S231" s="1"/>
      <c r="T231" s="1"/>
    </row>
    <row r="232" spans="9:20" x14ac:dyDescent="0.3">
      <c r="I232" s="1"/>
      <c r="R232" s="1"/>
      <c r="S232" s="1"/>
      <c r="T232" s="1"/>
    </row>
    <row r="233" spans="9:20" x14ac:dyDescent="0.3">
      <c r="I233" s="1"/>
      <c r="R233" s="1"/>
      <c r="S233" s="1"/>
      <c r="T233" s="1"/>
    </row>
    <row r="234" spans="9:20" x14ac:dyDescent="0.3">
      <c r="I234" s="1"/>
      <c r="R234" s="1"/>
      <c r="S234" s="1"/>
      <c r="T234" s="1"/>
    </row>
    <row r="235" spans="9:20" x14ac:dyDescent="0.3">
      <c r="I235" s="1"/>
      <c r="R235" s="1"/>
      <c r="S235" s="1"/>
      <c r="T235" s="1"/>
    </row>
    <row r="236" spans="9:20" x14ac:dyDescent="0.3">
      <c r="I236" s="1"/>
      <c r="R236" s="1"/>
      <c r="S236" s="1"/>
      <c r="T236" s="1"/>
    </row>
    <row r="237" spans="9:20" x14ac:dyDescent="0.3">
      <c r="I237" s="1"/>
      <c r="R237" s="1"/>
      <c r="S237" s="1"/>
      <c r="T237" s="1"/>
    </row>
    <row r="238" spans="9:20" x14ac:dyDescent="0.3">
      <c r="I238" s="1"/>
      <c r="R238" s="1"/>
      <c r="S238" s="1"/>
      <c r="T238" s="1"/>
    </row>
    <row r="239" spans="9:20" x14ac:dyDescent="0.3">
      <c r="I239" s="1"/>
      <c r="R239" s="1"/>
      <c r="S239" s="1"/>
      <c r="T239" s="1"/>
    </row>
    <row r="240" spans="9:20" x14ac:dyDescent="0.3">
      <c r="I240" s="1"/>
      <c r="R240" s="1"/>
      <c r="S240" s="1"/>
      <c r="T240" s="1"/>
    </row>
    <row r="241" spans="9:20" x14ac:dyDescent="0.3">
      <c r="I241" s="1"/>
      <c r="R241" s="1"/>
      <c r="S241" s="1"/>
      <c r="T241" s="1"/>
    </row>
    <row r="242" spans="9:20" x14ac:dyDescent="0.3">
      <c r="I242" s="1"/>
      <c r="R242" s="1"/>
      <c r="S242" s="1"/>
      <c r="T242" s="1"/>
    </row>
    <row r="243" spans="9:20" x14ac:dyDescent="0.3">
      <c r="I243" s="1"/>
      <c r="R243" s="1"/>
      <c r="S243" s="1"/>
      <c r="T243" s="1"/>
    </row>
    <row r="244" spans="9:20" x14ac:dyDescent="0.3">
      <c r="I244" s="1"/>
      <c r="R244" s="1"/>
      <c r="S244" s="1"/>
      <c r="T244" s="1"/>
    </row>
    <row r="245" spans="9:20" x14ac:dyDescent="0.3">
      <c r="I245" s="1"/>
      <c r="R245" s="1"/>
      <c r="S245" s="1"/>
      <c r="T245" s="1"/>
    </row>
    <row r="246" spans="9:20" x14ac:dyDescent="0.3">
      <c r="I246" s="1"/>
      <c r="R246" s="1"/>
      <c r="S246" s="1"/>
      <c r="T246" s="1"/>
    </row>
    <row r="247" spans="9:20" x14ac:dyDescent="0.3">
      <c r="I247" s="1"/>
      <c r="R247" s="1"/>
      <c r="S247" s="1"/>
      <c r="T247" s="1"/>
    </row>
    <row r="248" spans="9:20" x14ac:dyDescent="0.3">
      <c r="I248" s="1"/>
      <c r="R248" s="1"/>
      <c r="S248" s="1"/>
      <c r="T248" s="1"/>
    </row>
    <row r="249" spans="9:20" x14ac:dyDescent="0.3">
      <c r="I249" s="1"/>
      <c r="R249" s="1"/>
      <c r="S249" s="1"/>
      <c r="T249" s="1"/>
    </row>
    <row r="250" spans="9:20" x14ac:dyDescent="0.3">
      <c r="I250" s="1"/>
      <c r="R250" s="1"/>
      <c r="S250" s="1"/>
      <c r="T250" s="1"/>
    </row>
    <row r="251" spans="9:20" x14ac:dyDescent="0.3">
      <c r="I251" s="1"/>
      <c r="R251" s="1"/>
      <c r="S251" s="1"/>
      <c r="T251" s="1"/>
    </row>
    <row r="252" spans="9:20" x14ac:dyDescent="0.3">
      <c r="I252" s="1"/>
      <c r="R252" s="1"/>
      <c r="S252" s="1"/>
      <c r="T252" s="1"/>
    </row>
    <row r="253" spans="9:20" x14ac:dyDescent="0.3">
      <c r="I253" s="1"/>
      <c r="R253" s="1"/>
      <c r="S253" s="1"/>
      <c r="T253" s="1"/>
    </row>
    <row r="254" spans="9:20" x14ac:dyDescent="0.3">
      <c r="I254" s="1"/>
      <c r="R254" s="1"/>
      <c r="S254" s="1"/>
      <c r="T254" s="1"/>
    </row>
    <row r="255" spans="9:20" x14ac:dyDescent="0.3">
      <c r="I255" s="1"/>
      <c r="R255" s="1"/>
      <c r="S255" s="1"/>
      <c r="T255" s="1"/>
    </row>
    <row r="256" spans="9:20" x14ac:dyDescent="0.3">
      <c r="I256" s="1"/>
      <c r="R256" s="1"/>
      <c r="S256" s="1"/>
      <c r="T256" s="1"/>
    </row>
    <row r="257" spans="9:20" x14ac:dyDescent="0.3">
      <c r="I257" s="1"/>
      <c r="R257" s="1"/>
      <c r="S257" s="1"/>
      <c r="T257" s="1"/>
    </row>
    <row r="258" spans="9:20" x14ac:dyDescent="0.3">
      <c r="I258" s="1"/>
      <c r="R258" s="1"/>
      <c r="S258" s="1"/>
      <c r="T258" s="1"/>
    </row>
    <row r="259" spans="9:20" x14ac:dyDescent="0.3">
      <c r="I259" s="1"/>
      <c r="R259" s="1"/>
      <c r="S259" s="1"/>
      <c r="T259" s="1"/>
    </row>
    <row r="260" spans="9:20" x14ac:dyDescent="0.3">
      <c r="I260" s="1"/>
      <c r="R260" s="1"/>
      <c r="S260" s="1"/>
      <c r="T260" s="1"/>
    </row>
    <row r="261" spans="9:20" x14ac:dyDescent="0.3">
      <c r="I261" s="1"/>
      <c r="R261" s="1"/>
      <c r="S261" s="1"/>
      <c r="T261" s="1"/>
    </row>
    <row r="262" spans="9:20" x14ac:dyDescent="0.3">
      <c r="I262" s="1"/>
      <c r="R262" s="1"/>
      <c r="S262" s="1"/>
      <c r="T262" s="1"/>
    </row>
    <row r="263" spans="9:20" x14ac:dyDescent="0.3">
      <c r="I263" s="1"/>
      <c r="R263" s="1"/>
      <c r="S263" s="1"/>
      <c r="T263" s="1"/>
    </row>
    <row r="264" spans="9:20" x14ac:dyDescent="0.3">
      <c r="I264" s="1"/>
      <c r="R264" s="1"/>
      <c r="S264" s="1"/>
      <c r="T264" s="1"/>
    </row>
    <row r="265" spans="9:20" x14ac:dyDescent="0.3">
      <c r="I265" s="1"/>
      <c r="R265" s="1"/>
      <c r="S265" s="1"/>
      <c r="T265" s="1"/>
    </row>
    <row r="266" spans="9:20" x14ac:dyDescent="0.3">
      <c r="I266" s="1"/>
      <c r="R266" s="1"/>
      <c r="S266" s="1"/>
      <c r="T266" s="1"/>
    </row>
    <row r="267" spans="9:20" x14ac:dyDescent="0.3">
      <c r="I267" s="1"/>
      <c r="R267" s="1"/>
      <c r="S267" s="1"/>
      <c r="T267" s="1"/>
    </row>
    <row r="268" spans="9:20" x14ac:dyDescent="0.3">
      <c r="I268" s="1"/>
      <c r="R268" s="1"/>
      <c r="S268" s="1"/>
      <c r="T268" s="1"/>
    </row>
    <row r="269" spans="9:20" x14ac:dyDescent="0.3">
      <c r="I269" s="1"/>
      <c r="R269" s="1"/>
      <c r="S269" s="1"/>
      <c r="T269" s="1"/>
    </row>
    <row r="270" spans="9:20" x14ac:dyDescent="0.3">
      <c r="I270" s="1"/>
      <c r="R270" s="1"/>
      <c r="S270" s="1"/>
      <c r="T270" s="1"/>
    </row>
    <row r="271" spans="9:20" x14ac:dyDescent="0.3">
      <c r="I271" s="1"/>
      <c r="R271" s="1"/>
      <c r="S271" s="1"/>
      <c r="T271" s="1"/>
    </row>
    <row r="272" spans="9:20" x14ac:dyDescent="0.3">
      <c r="I272" s="1"/>
      <c r="R272" s="1"/>
      <c r="S272" s="1"/>
      <c r="T272" s="1"/>
    </row>
    <row r="273" spans="9:20" x14ac:dyDescent="0.3">
      <c r="I273" s="1"/>
      <c r="S273" s="1"/>
      <c r="T273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C0E53-2333-44F3-BC6F-75F93AB74A0A}">
  <dimension ref="A1:AL30"/>
  <sheetViews>
    <sheetView workbookViewId="0"/>
  </sheetViews>
  <sheetFormatPr defaultRowHeight="14.4" x14ac:dyDescent="0.3"/>
  <cols>
    <col min="3" max="3" width="10.5546875" bestFit="1" customWidth="1"/>
    <col min="8" max="8" width="10.5546875" bestFit="1" customWidth="1"/>
    <col min="12" max="12" width="8.88671875" customWidth="1"/>
    <col min="26" max="26" width="14.109375" bestFit="1" customWidth="1"/>
    <col min="27" max="27" width="10.5546875" bestFit="1" customWidth="1"/>
  </cols>
  <sheetData>
    <row r="1" spans="1:38" x14ac:dyDescent="0.3">
      <c r="A1" s="3"/>
      <c r="B1" s="3" t="s">
        <v>0</v>
      </c>
      <c r="C1" s="3" t="s">
        <v>0</v>
      </c>
      <c r="D1" t="s">
        <v>0</v>
      </c>
      <c r="E1" t="s">
        <v>0</v>
      </c>
      <c r="F1" t="s">
        <v>0</v>
      </c>
      <c r="G1" s="3" t="s">
        <v>0</v>
      </c>
      <c r="H1" s="3" t="s">
        <v>12</v>
      </c>
      <c r="I1" t="s">
        <v>12</v>
      </c>
      <c r="J1" t="s">
        <v>12</v>
      </c>
      <c r="K1" s="3" t="s">
        <v>12</v>
      </c>
      <c r="L1" s="3" t="s">
        <v>12</v>
      </c>
      <c r="M1" s="3" t="s">
        <v>12</v>
      </c>
      <c r="N1" t="s">
        <v>11</v>
      </c>
      <c r="O1" t="s">
        <v>11</v>
      </c>
      <c r="P1" t="s">
        <v>11</v>
      </c>
      <c r="Q1" t="s">
        <v>11</v>
      </c>
      <c r="R1" s="3" t="s">
        <v>11</v>
      </c>
      <c r="S1" s="3" t="s">
        <v>11</v>
      </c>
      <c r="T1" s="3" t="s">
        <v>28</v>
      </c>
      <c r="U1" s="3" t="s">
        <v>28</v>
      </c>
      <c r="V1" s="3" t="s">
        <v>28</v>
      </c>
      <c r="W1" s="3" t="s">
        <v>28</v>
      </c>
      <c r="X1" s="3" t="s">
        <v>28</v>
      </c>
      <c r="Y1" s="3" t="s">
        <v>28</v>
      </c>
      <c r="AA1" s="3" t="s">
        <v>41</v>
      </c>
      <c r="AB1" s="3" t="s">
        <v>41</v>
      </c>
      <c r="AC1" s="3" t="s">
        <v>41</v>
      </c>
      <c r="AD1" s="3" t="s">
        <v>41</v>
      </c>
      <c r="AE1" s="3" t="s">
        <v>41</v>
      </c>
      <c r="AF1" s="3" t="s">
        <v>41</v>
      </c>
      <c r="AG1" s="3" t="s">
        <v>41</v>
      </c>
      <c r="AH1" s="3" t="s">
        <v>41</v>
      </c>
      <c r="AI1" t="s">
        <v>41</v>
      </c>
      <c r="AJ1" s="3" t="s">
        <v>41</v>
      </c>
      <c r="AK1" s="3" t="s">
        <v>41</v>
      </c>
      <c r="AL1" s="3" t="s">
        <v>41</v>
      </c>
    </row>
    <row r="2" spans="1:38" x14ac:dyDescent="0.3">
      <c r="A2" s="3"/>
      <c r="B2" s="3"/>
      <c r="C2" s="3"/>
      <c r="G2" s="3"/>
      <c r="H2" s="3"/>
      <c r="K2" s="3"/>
      <c r="L2" s="3"/>
      <c r="M2" s="3"/>
      <c r="N2" t="s">
        <v>21</v>
      </c>
      <c r="O2" t="s">
        <v>121</v>
      </c>
      <c r="P2" t="s">
        <v>21</v>
      </c>
      <c r="Q2" t="s">
        <v>22</v>
      </c>
      <c r="R2" s="3"/>
      <c r="S2" s="3"/>
      <c r="T2" s="3"/>
      <c r="U2" s="3"/>
      <c r="V2" s="3"/>
      <c r="W2" s="3"/>
      <c r="X2" s="3"/>
      <c r="Y2" s="3"/>
      <c r="AA2" s="3"/>
      <c r="AB2" s="3"/>
      <c r="AC2" s="3"/>
      <c r="AD2" s="3"/>
      <c r="AE2" s="3"/>
      <c r="AF2" s="3"/>
      <c r="AG2" s="3"/>
      <c r="AH2" s="3"/>
      <c r="AJ2" s="3"/>
      <c r="AK2" s="3"/>
      <c r="AL2" s="3"/>
    </row>
    <row r="3" spans="1:38" x14ac:dyDescent="0.3">
      <c r="A3" s="3"/>
      <c r="B3" s="3"/>
      <c r="C3" s="3"/>
      <c r="D3" t="s">
        <v>13</v>
      </c>
      <c r="E3" t="s">
        <v>24</v>
      </c>
      <c r="F3" t="s">
        <v>13</v>
      </c>
      <c r="G3" s="3"/>
      <c r="H3" s="3" t="s">
        <v>45</v>
      </c>
      <c r="I3" t="s">
        <v>16</v>
      </c>
      <c r="J3" t="s">
        <v>15</v>
      </c>
      <c r="K3" s="3"/>
      <c r="L3" s="3"/>
      <c r="M3" s="3"/>
      <c r="N3" t="s">
        <v>120</v>
      </c>
      <c r="O3" t="s">
        <v>122</v>
      </c>
      <c r="P3" t="s">
        <v>123</v>
      </c>
      <c r="Q3" t="s">
        <v>19</v>
      </c>
      <c r="R3" s="3"/>
      <c r="S3" s="3"/>
      <c r="T3" s="3"/>
      <c r="U3" s="3"/>
      <c r="V3" s="3"/>
      <c r="W3" s="3"/>
      <c r="X3" s="3"/>
      <c r="Y3" s="3"/>
      <c r="AA3" s="3"/>
      <c r="AB3" s="3"/>
      <c r="AC3" s="3"/>
      <c r="AD3" s="3"/>
      <c r="AE3" s="3"/>
      <c r="AF3" s="3"/>
      <c r="AG3" s="3"/>
      <c r="AH3" s="3"/>
      <c r="AJ3" s="3"/>
      <c r="AK3" s="3"/>
      <c r="AL3" s="3"/>
    </row>
    <row r="4" spans="1:38" x14ac:dyDescent="0.3">
      <c r="A4" s="3" t="s">
        <v>32</v>
      </c>
      <c r="B4" s="3" t="s">
        <v>104</v>
      </c>
      <c r="C4" s="3" t="s">
        <v>105</v>
      </c>
      <c r="D4" t="s">
        <v>1</v>
      </c>
      <c r="E4" t="s">
        <v>20</v>
      </c>
      <c r="F4" t="s">
        <v>3</v>
      </c>
      <c r="G4" s="3" t="s">
        <v>5</v>
      </c>
      <c r="H4" s="3" t="s">
        <v>44</v>
      </c>
      <c r="I4" t="s">
        <v>1</v>
      </c>
      <c r="J4" t="s">
        <v>47</v>
      </c>
      <c r="K4" s="3" t="s">
        <v>8</v>
      </c>
      <c r="L4" s="3" t="s">
        <v>9</v>
      </c>
      <c r="M4" s="3" t="s">
        <v>10</v>
      </c>
      <c r="N4" t="s">
        <v>23</v>
      </c>
      <c r="O4" t="s">
        <v>23</v>
      </c>
      <c r="P4" t="s">
        <v>23</v>
      </c>
      <c r="Q4" t="s">
        <v>23</v>
      </c>
      <c r="R4" s="3" t="s">
        <v>235</v>
      </c>
      <c r="S4" s="3" t="s">
        <v>236</v>
      </c>
      <c r="T4" s="3" t="s">
        <v>25</v>
      </c>
      <c r="U4" s="3" t="s">
        <v>26</v>
      </c>
      <c r="V4" s="3" t="s">
        <v>27</v>
      </c>
      <c r="W4" s="3" t="s">
        <v>29</v>
      </c>
      <c r="X4" s="3" t="s">
        <v>30</v>
      </c>
      <c r="Y4" s="3" t="s">
        <v>31</v>
      </c>
      <c r="Z4" t="s">
        <v>42</v>
      </c>
      <c r="AA4" s="3" t="s">
        <v>46</v>
      </c>
      <c r="AB4" s="3" t="s">
        <v>34</v>
      </c>
      <c r="AC4" s="3" t="s">
        <v>35</v>
      </c>
      <c r="AD4" s="3" t="s">
        <v>36</v>
      </c>
      <c r="AE4" s="3" t="s">
        <v>37</v>
      </c>
      <c r="AF4" s="3" t="s">
        <v>38</v>
      </c>
      <c r="AG4" s="3" t="s">
        <v>169</v>
      </c>
      <c r="AH4" s="3" t="s">
        <v>170</v>
      </c>
      <c r="AI4" t="s">
        <v>171</v>
      </c>
      <c r="AJ4" s="3" t="s">
        <v>172</v>
      </c>
      <c r="AK4" s="3" t="s">
        <v>173</v>
      </c>
      <c r="AL4" s="3" t="s">
        <v>39</v>
      </c>
    </row>
    <row r="5" spans="1:38" x14ac:dyDescent="0.3">
      <c r="A5" s="3"/>
      <c r="B5" s="3"/>
      <c r="C5" s="3"/>
      <c r="D5" t="s">
        <v>14</v>
      </c>
      <c r="E5" t="s">
        <v>14</v>
      </c>
      <c r="F5" t="s">
        <v>14</v>
      </c>
      <c r="G5" s="3" t="s">
        <v>6</v>
      </c>
      <c r="H5" s="3"/>
      <c r="I5" t="s">
        <v>14</v>
      </c>
      <c r="J5" t="s">
        <v>14</v>
      </c>
      <c r="K5" s="3" t="s">
        <v>17</v>
      </c>
      <c r="L5" s="3" t="s">
        <v>17</v>
      </c>
      <c r="M5" s="3" t="s">
        <v>17</v>
      </c>
      <c r="N5" t="s">
        <v>18</v>
      </c>
      <c r="O5" t="s">
        <v>18</v>
      </c>
      <c r="P5" t="s">
        <v>18</v>
      </c>
      <c r="Q5" t="s">
        <v>18</v>
      </c>
      <c r="R5" s="3" t="s">
        <v>7</v>
      </c>
      <c r="S5" s="3" t="s">
        <v>7</v>
      </c>
      <c r="T5" s="3" t="s">
        <v>6</v>
      </c>
      <c r="U5" s="3" t="s">
        <v>6</v>
      </c>
      <c r="V5" s="3" t="s">
        <v>6</v>
      </c>
      <c r="W5" s="3" t="s">
        <v>6</v>
      </c>
      <c r="X5" s="3" t="s">
        <v>6</v>
      </c>
      <c r="Y5" s="3" t="s">
        <v>6</v>
      </c>
      <c r="AA5" s="3"/>
      <c r="AB5" s="3"/>
      <c r="AC5" s="3" t="s">
        <v>43</v>
      </c>
      <c r="AD5" s="3" t="s">
        <v>7</v>
      </c>
      <c r="AE5" s="3" t="s">
        <v>40</v>
      </c>
      <c r="AF5" s="3" t="s">
        <v>7</v>
      </c>
      <c r="AG5" s="3" t="s">
        <v>174</v>
      </c>
      <c r="AH5" s="3"/>
      <c r="AJ5" s="3"/>
      <c r="AK5" s="3" t="s">
        <v>7</v>
      </c>
      <c r="AL5" s="3" t="s">
        <v>7</v>
      </c>
    </row>
    <row r="6" spans="1:38" x14ac:dyDescent="0.3">
      <c r="A6" s="3" t="s">
        <v>32</v>
      </c>
      <c r="B6" s="3" t="s">
        <v>104</v>
      </c>
      <c r="C6" s="3" t="s">
        <v>105</v>
      </c>
      <c r="G6" s="3" t="s">
        <v>5</v>
      </c>
      <c r="H6" s="3" t="s">
        <v>44</v>
      </c>
      <c r="K6" s="3" t="s">
        <v>8</v>
      </c>
      <c r="L6" s="3" t="s">
        <v>9</v>
      </c>
      <c r="M6" s="3" t="s">
        <v>10</v>
      </c>
      <c r="R6" s="3" t="s">
        <v>235</v>
      </c>
      <c r="S6" s="3" t="s">
        <v>236</v>
      </c>
      <c r="T6" s="3" t="s">
        <v>25</v>
      </c>
      <c r="U6" s="3" t="s">
        <v>26</v>
      </c>
      <c r="V6" s="3" t="s">
        <v>27</v>
      </c>
      <c r="W6" s="3" t="s">
        <v>29</v>
      </c>
      <c r="X6" s="3" t="s">
        <v>30</v>
      </c>
      <c r="Y6" s="3" t="s">
        <v>31</v>
      </c>
      <c r="AA6" s="3" t="s">
        <v>46</v>
      </c>
      <c r="AB6" s="3" t="s">
        <v>34</v>
      </c>
      <c r="AC6" s="3" t="s">
        <v>35</v>
      </c>
      <c r="AD6" s="3" t="s">
        <v>36</v>
      </c>
      <c r="AE6" s="3" t="s">
        <v>37</v>
      </c>
      <c r="AF6" s="3" t="s">
        <v>38</v>
      </c>
      <c r="AG6" s="3" t="s">
        <v>169</v>
      </c>
      <c r="AH6" s="3" t="s">
        <v>170</v>
      </c>
      <c r="AI6" t="s">
        <v>171</v>
      </c>
      <c r="AJ6" s="3" t="s">
        <v>172</v>
      </c>
      <c r="AK6" s="3" t="s">
        <v>173</v>
      </c>
      <c r="AL6" s="3" t="s">
        <v>39</v>
      </c>
    </row>
    <row r="7" spans="1:38" x14ac:dyDescent="0.3">
      <c r="A7" s="12" t="s">
        <v>287</v>
      </c>
      <c r="B7" s="4" t="s">
        <v>106</v>
      </c>
      <c r="C7" s="10">
        <v>44126</v>
      </c>
      <c r="D7" s="2">
        <v>3.6</v>
      </c>
      <c r="E7" s="2">
        <v>0.36</v>
      </c>
      <c r="F7" s="2">
        <v>3.24</v>
      </c>
      <c r="G7" s="4">
        <v>3986.2204724409448</v>
      </c>
      <c r="H7" s="10">
        <v>44134</v>
      </c>
      <c r="I7" s="2">
        <v>1.78</v>
      </c>
      <c r="J7" s="2">
        <v>4.54</v>
      </c>
      <c r="K7" s="6">
        <v>0.37654320987654316</v>
      </c>
      <c r="L7" s="6">
        <v>0.36419753086419754</v>
      </c>
      <c r="M7" s="6">
        <v>0.25925925925925936</v>
      </c>
      <c r="N7" s="2">
        <v>96.3</v>
      </c>
      <c r="O7" s="2">
        <v>92.789999999999992</v>
      </c>
      <c r="P7" s="2">
        <v>214.35000000000002</v>
      </c>
      <c r="Q7" s="2">
        <v>206.43</v>
      </c>
      <c r="R7" s="5">
        <v>3.6448598130841177</v>
      </c>
      <c r="S7" s="5">
        <v>3.6948915325402445</v>
      </c>
      <c r="T7" s="4">
        <v>1500.9842519685037</v>
      </c>
      <c r="U7" s="4">
        <v>1451.7716535433071</v>
      </c>
      <c r="V7" s="4">
        <v>2952.7559055118109</v>
      </c>
      <c r="W7" s="4">
        <v>1446.2754801677825</v>
      </c>
      <c r="X7" s="4">
        <v>1398.130265644716</v>
      </c>
      <c r="Y7" s="4">
        <v>2844.4057458124985</v>
      </c>
      <c r="Z7" s="11" t="s">
        <v>181</v>
      </c>
      <c r="AA7" s="10">
        <v>44154</v>
      </c>
      <c r="AB7" s="4">
        <v>42.95</v>
      </c>
      <c r="AC7" s="15">
        <v>1.0785</v>
      </c>
      <c r="AD7" s="4">
        <v>79.849999999999994</v>
      </c>
      <c r="AE7" s="4">
        <v>28.25</v>
      </c>
      <c r="AF7" s="4">
        <v>5.9</v>
      </c>
      <c r="AG7" s="4">
        <v>80.5</v>
      </c>
      <c r="AH7" s="4">
        <v>8.25</v>
      </c>
      <c r="AJ7" s="16">
        <v>6.5</v>
      </c>
      <c r="AK7" s="5">
        <v>8.5000000000000006E-2</v>
      </c>
      <c r="AL7" s="4">
        <v>11.3</v>
      </c>
    </row>
    <row r="8" spans="1:38" x14ac:dyDescent="0.3">
      <c r="A8" s="3" t="s">
        <v>288</v>
      </c>
      <c r="B8" s="4" t="s">
        <v>106</v>
      </c>
      <c r="C8" s="10">
        <v>44126</v>
      </c>
      <c r="D8" s="2">
        <v>2.2399999999999998</v>
      </c>
      <c r="E8" s="2">
        <v>0.33</v>
      </c>
      <c r="F8" s="2">
        <v>1.9099999999999997</v>
      </c>
      <c r="G8" s="4">
        <v>2349.9015748031493</v>
      </c>
      <c r="H8" s="10">
        <v>44134</v>
      </c>
      <c r="I8" s="2">
        <v>1.22</v>
      </c>
      <c r="J8" s="2">
        <v>3.7800000000000002</v>
      </c>
      <c r="K8" s="6">
        <v>0.34554973821989532</v>
      </c>
      <c r="L8" s="6">
        <v>0.21989528795811542</v>
      </c>
      <c r="M8" s="6">
        <v>0.43455497382198927</v>
      </c>
      <c r="N8" s="2">
        <v>73.510000000000005</v>
      </c>
      <c r="O8" s="2">
        <v>70.849999999999994</v>
      </c>
      <c r="P8" s="2">
        <v>185.38</v>
      </c>
      <c r="Q8" s="2">
        <v>178.46</v>
      </c>
      <c r="R8" s="5">
        <v>3.6185552985988445</v>
      </c>
      <c r="S8" s="5">
        <v>3.7328730175854932</v>
      </c>
      <c r="T8" s="4">
        <v>812.00787401574803</v>
      </c>
      <c r="U8" s="4">
        <v>516.73228346456744</v>
      </c>
      <c r="V8" s="4">
        <v>1328.7401574803155</v>
      </c>
      <c r="W8" s="4">
        <v>782.62492006551133</v>
      </c>
      <c r="X8" s="4">
        <v>497.44332348196525</v>
      </c>
      <c r="Y8" s="4">
        <v>1280.0682435474766</v>
      </c>
      <c r="Z8" s="11" t="s">
        <v>183</v>
      </c>
      <c r="AA8" s="10">
        <v>44154</v>
      </c>
      <c r="AB8" s="4">
        <v>41.400000000000006</v>
      </c>
      <c r="AC8" s="15">
        <v>1.0129999999999999</v>
      </c>
      <c r="AD8" s="4">
        <v>77.95</v>
      </c>
      <c r="AE8" s="4">
        <v>24.85</v>
      </c>
      <c r="AF8" s="4">
        <v>5.8</v>
      </c>
      <c r="AG8" s="4">
        <v>80.7</v>
      </c>
      <c r="AH8" s="4">
        <v>8.8000000000000007</v>
      </c>
      <c r="AJ8" s="16">
        <v>17</v>
      </c>
      <c r="AK8" s="5">
        <v>0.45</v>
      </c>
      <c r="AL8" s="4">
        <v>15.45</v>
      </c>
    </row>
    <row r="9" spans="1:38" x14ac:dyDescent="0.3">
      <c r="A9" s="3" t="s">
        <v>289</v>
      </c>
      <c r="B9" s="4" t="s">
        <v>106</v>
      </c>
      <c r="C9" s="10">
        <v>44126</v>
      </c>
      <c r="D9" s="2">
        <v>1.9300000000000002</v>
      </c>
      <c r="E9" s="2">
        <v>0.33</v>
      </c>
      <c r="F9" s="2">
        <v>1.6</v>
      </c>
      <c r="G9" s="4">
        <v>1968.5039370078741</v>
      </c>
      <c r="H9" s="10">
        <v>44134</v>
      </c>
      <c r="I9" s="2">
        <v>1.08</v>
      </c>
      <c r="J9" s="2">
        <v>3.7</v>
      </c>
      <c r="K9" s="6">
        <v>0.32500000000000001</v>
      </c>
      <c r="L9" s="6">
        <v>0.21250000000000019</v>
      </c>
      <c r="M9" s="6">
        <v>0.46249999999999986</v>
      </c>
      <c r="N9" s="2">
        <v>85.56</v>
      </c>
      <c r="O9" s="2">
        <v>80.81</v>
      </c>
      <c r="P9" s="2">
        <v>155.87</v>
      </c>
      <c r="Q9" s="2">
        <v>149.91</v>
      </c>
      <c r="R9" s="5">
        <v>5.551659654043946</v>
      </c>
      <c r="S9" s="5">
        <v>3.8236992365432787</v>
      </c>
      <c r="T9" s="4">
        <v>639.76377952755911</v>
      </c>
      <c r="U9" s="4">
        <v>418.30708661417361</v>
      </c>
      <c r="V9" s="4">
        <v>1058.0708661417327</v>
      </c>
      <c r="W9" s="4">
        <v>604.24627189834086</v>
      </c>
      <c r="X9" s="4">
        <v>402.31228173690101</v>
      </c>
      <c r="Y9" s="4">
        <v>1006.5585536352419</v>
      </c>
      <c r="Z9" s="11" t="s">
        <v>185</v>
      </c>
      <c r="AA9" s="10">
        <v>44154</v>
      </c>
      <c r="AB9" s="4">
        <v>37.099999999999994</v>
      </c>
      <c r="AC9" s="15">
        <v>1.02</v>
      </c>
      <c r="AD9" s="4">
        <v>78.599999999999994</v>
      </c>
      <c r="AE9" s="4">
        <v>25.450000000000003</v>
      </c>
      <c r="AF9" s="4">
        <v>5.85</v>
      </c>
      <c r="AG9" s="4">
        <v>79.849999999999994</v>
      </c>
      <c r="AH9" s="4">
        <v>9.1</v>
      </c>
      <c r="AJ9" s="16">
        <v>8.5</v>
      </c>
      <c r="AK9" s="5">
        <v>0.125</v>
      </c>
      <c r="AL9" s="4">
        <v>14.5</v>
      </c>
    </row>
    <row r="10" spans="1:38" x14ac:dyDescent="0.3">
      <c r="A10" s="3" t="s">
        <v>290</v>
      </c>
      <c r="B10" s="4" t="s">
        <v>106</v>
      </c>
      <c r="C10" s="10">
        <v>44126</v>
      </c>
      <c r="D10" s="2">
        <v>3.22</v>
      </c>
      <c r="E10" s="2">
        <v>0.36</v>
      </c>
      <c r="F10" s="2">
        <v>2.8600000000000003</v>
      </c>
      <c r="G10" s="4">
        <v>3518.7007874015753</v>
      </c>
      <c r="H10" s="10">
        <v>44134</v>
      </c>
      <c r="I10" s="2">
        <v>1.6</v>
      </c>
      <c r="J10" s="2">
        <v>4.38</v>
      </c>
      <c r="K10" s="6">
        <v>0.36363636363636359</v>
      </c>
      <c r="L10" s="6">
        <v>0.35664335664335661</v>
      </c>
      <c r="M10" s="6">
        <v>0.27972027972027985</v>
      </c>
      <c r="N10" s="2">
        <v>104.82</v>
      </c>
      <c r="O10" s="2">
        <v>101.37</v>
      </c>
      <c r="P10" s="2">
        <v>257.38</v>
      </c>
      <c r="Q10" s="2">
        <v>247.73000000000002</v>
      </c>
      <c r="R10" s="5">
        <v>3.2913566113337045</v>
      </c>
      <c r="S10" s="5">
        <v>3.7493200714896173</v>
      </c>
      <c r="T10" s="4">
        <v>1279.5275590551182</v>
      </c>
      <c r="U10" s="4">
        <v>1254.9212598425197</v>
      </c>
      <c r="V10" s="4">
        <v>2534.4488188976379</v>
      </c>
      <c r="W10" s="4">
        <v>1237.4137441463208</v>
      </c>
      <c r="X10" s="4">
        <v>1207.8702451658537</v>
      </c>
      <c r="Y10" s="4">
        <v>2445.2839893121745</v>
      </c>
      <c r="Z10" s="11" t="s">
        <v>187</v>
      </c>
      <c r="AA10" s="10">
        <v>44154</v>
      </c>
      <c r="AB10" s="4">
        <v>42.699999999999996</v>
      </c>
      <c r="AC10" s="15">
        <v>1.0525</v>
      </c>
      <c r="AD10" s="4">
        <v>79.05</v>
      </c>
      <c r="AE10" s="4">
        <v>27</v>
      </c>
      <c r="AF10" s="4">
        <v>5.95</v>
      </c>
      <c r="AG10" s="4">
        <v>81.75</v>
      </c>
      <c r="AH10" s="4">
        <v>8.5500000000000007</v>
      </c>
      <c r="AJ10" s="16">
        <v>8</v>
      </c>
      <c r="AK10" s="5">
        <v>0.08</v>
      </c>
      <c r="AL10" s="4">
        <v>13.05</v>
      </c>
    </row>
    <row r="11" spans="1:38" x14ac:dyDescent="0.3">
      <c r="A11" s="3" t="s">
        <v>291</v>
      </c>
      <c r="B11" s="4" t="s">
        <v>106</v>
      </c>
      <c r="C11" s="10">
        <v>44126</v>
      </c>
      <c r="D11" s="2">
        <v>3.4</v>
      </c>
      <c r="E11" s="2">
        <v>0.33999999999999997</v>
      </c>
      <c r="F11" s="2">
        <v>3.06</v>
      </c>
      <c r="G11" s="4">
        <v>3764.7637795275591</v>
      </c>
      <c r="H11" s="10">
        <v>44134</v>
      </c>
      <c r="I11" s="2">
        <v>1.6600000000000001</v>
      </c>
      <c r="J11" s="2">
        <v>4.4800000000000004</v>
      </c>
      <c r="K11" s="6">
        <v>0.35947712418300654</v>
      </c>
      <c r="L11" s="6">
        <v>0.36601307189542504</v>
      </c>
      <c r="M11" s="6">
        <v>0.27450980392156837</v>
      </c>
      <c r="N11" s="2">
        <v>102.66</v>
      </c>
      <c r="O11" s="2">
        <v>97.94</v>
      </c>
      <c r="P11" s="2">
        <v>240.8</v>
      </c>
      <c r="Q11" s="2">
        <v>231.57</v>
      </c>
      <c r="R11" s="5">
        <v>4.5977011494252862</v>
      </c>
      <c r="S11" s="5">
        <v>3.8330564784053229</v>
      </c>
      <c r="T11" s="4">
        <v>1353.3464566929133</v>
      </c>
      <c r="U11" s="4">
        <v>1377.9527559055125</v>
      </c>
      <c r="V11" s="4">
        <v>2731.2992125984256</v>
      </c>
      <c r="W11" s="4">
        <v>1291.123631097837</v>
      </c>
      <c r="X11" s="4">
        <v>1325.1350485259115</v>
      </c>
      <c r="Y11" s="4">
        <v>2616.2586796237483</v>
      </c>
      <c r="Z11" s="11" t="s">
        <v>189</v>
      </c>
      <c r="AA11" s="10">
        <v>44154</v>
      </c>
      <c r="AB11" s="4">
        <v>42.4</v>
      </c>
      <c r="AC11" s="15">
        <v>1.0409999999999999</v>
      </c>
      <c r="AD11" s="4">
        <v>78.800000000000011</v>
      </c>
      <c r="AE11" s="4">
        <v>26.15</v>
      </c>
      <c r="AF11" s="4">
        <v>6</v>
      </c>
      <c r="AG11" s="4">
        <v>81.400000000000006</v>
      </c>
      <c r="AH11" s="4">
        <v>8.6</v>
      </c>
      <c r="AJ11" s="16">
        <v>11</v>
      </c>
      <c r="AK11" s="5">
        <v>0.29499999999999998</v>
      </c>
      <c r="AL11" s="4">
        <v>13.8</v>
      </c>
    </row>
    <row r="12" spans="1:38" x14ac:dyDescent="0.3">
      <c r="A12" s="3" t="s">
        <v>292</v>
      </c>
      <c r="B12" s="4" t="s">
        <v>106</v>
      </c>
      <c r="C12" s="10">
        <v>44126</v>
      </c>
      <c r="D12" s="2">
        <v>4.0199999999999996</v>
      </c>
      <c r="E12" s="2">
        <v>0.36</v>
      </c>
      <c r="F12" s="2">
        <v>3.6599999999999997</v>
      </c>
      <c r="G12" s="4">
        <v>4502.9527559055114</v>
      </c>
      <c r="H12" s="10">
        <v>44134</v>
      </c>
      <c r="I12" s="2">
        <v>1.9300000000000002</v>
      </c>
      <c r="J12" s="2">
        <v>4.82</v>
      </c>
      <c r="K12" s="6">
        <v>0.37431693989071047</v>
      </c>
      <c r="L12" s="6">
        <v>0.39890710382513678</v>
      </c>
      <c r="M12" s="6">
        <v>0.22677595628415276</v>
      </c>
      <c r="N12" s="2">
        <v>144.03</v>
      </c>
      <c r="O12" s="2">
        <v>138.93</v>
      </c>
      <c r="P12" s="2">
        <v>274.88</v>
      </c>
      <c r="Q12" s="2">
        <v>263.67</v>
      </c>
      <c r="R12" s="5">
        <v>3.5409289731305935</v>
      </c>
      <c r="S12" s="5">
        <v>4.0781431897555223</v>
      </c>
      <c r="T12" s="4">
        <v>1685.5314960629923</v>
      </c>
      <c r="U12" s="4">
        <v>1796.2598425196857</v>
      </c>
      <c r="V12" s="4">
        <v>3481.7913385826778</v>
      </c>
      <c r="W12" s="4">
        <v>1625.8480229676563</v>
      </c>
      <c r="X12" s="4">
        <v>1723.0057940816557</v>
      </c>
      <c r="Y12" s="4">
        <v>3348.8538170493121</v>
      </c>
      <c r="Z12" s="11" t="s">
        <v>190</v>
      </c>
      <c r="AA12" s="10">
        <v>44154</v>
      </c>
      <c r="AB12" s="4">
        <v>42</v>
      </c>
      <c r="AC12" s="15">
        <v>1.0845</v>
      </c>
      <c r="AD12" s="4">
        <v>79</v>
      </c>
      <c r="AE12" s="4">
        <v>27.6</v>
      </c>
      <c r="AF12" s="4">
        <v>6.05</v>
      </c>
      <c r="AG12" s="4">
        <v>82.1</v>
      </c>
      <c r="AH12" s="4">
        <v>8.6999999999999993</v>
      </c>
      <c r="AJ12" s="16">
        <v>8</v>
      </c>
      <c r="AK12" s="5">
        <v>0.10500000000000001</v>
      </c>
      <c r="AL12" s="4">
        <v>12.649999999999999</v>
      </c>
    </row>
    <row r="13" spans="1:38" x14ac:dyDescent="0.3">
      <c r="A13" s="3" t="s">
        <v>293</v>
      </c>
      <c r="B13" s="4" t="s">
        <v>106</v>
      </c>
      <c r="C13" s="10">
        <v>44126</v>
      </c>
      <c r="D13" s="2">
        <v>2.8200000000000003</v>
      </c>
      <c r="E13" s="2">
        <v>0.36</v>
      </c>
      <c r="F13" s="2">
        <v>2.4600000000000004</v>
      </c>
      <c r="G13" s="4">
        <v>3026.5748031496069</v>
      </c>
      <c r="H13" s="10">
        <v>44134</v>
      </c>
      <c r="I13" s="2">
        <v>1.4</v>
      </c>
      <c r="J13" s="2">
        <v>4.1400000000000006</v>
      </c>
      <c r="K13" s="6">
        <v>0.3414634146341462</v>
      </c>
      <c r="L13" s="6">
        <v>0.31707317073170754</v>
      </c>
      <c r="M13" s="6">
        <v>0.34146341463414626</v>
      </c>
      <c r="N13" s="2">
        <v>126.55000000000001</v>
      </c>
      <c r="O13" s="2">
        <v>122.24000000000001</v>
      </c>
      <c r="P13" s="2">
        <v>268.52</v>
      </c>
      <c r="Q13" s="2">
        <v>258.51</v>
      </c>
      <c r="R13" s="5">
        <v>3.4057684709600968</v>
      </c>
      <c r="S13" s="5">
        <v>3.727841501564126</v>
      </c>
      <c r="T13" s="4">
        <v>1033.4645669291335</v>
      </c>
      <c r="U13" s="4">
        <v>959.64566929133946</v>
      </c>
      <c r="V13" s="4">
        <v>1993.1102362204729</v>
      </c>
      <c r="W13" s="4">
        <v>998.26715655011674</v>
      </c>
      <c r="X13" s="4">
        <v>923.87159976353416</v>
      </c>
      <c r="Y13" s="4">
        <v>1922.1387563136509</v>
      </c>
      <c r="Z13" s="11" t="s">
        <v>191</v>
      </c>
      <c r="AA13" s="10">
        <v>44154</v>
      </c>
      <c r="AB13" s="4">
        <v>38.549999999999997</v>
      </c>
      <c r="AC13" s="15">
        <v>1.0565</v>
      </c>
      <c r="AD13" s="4">
        <v>78.099999999999994</v>
      </c>
      <c r="AE13" s="4">
        <v>26.35</v>
      </c>
      <c r="AF13" s="4">
        <v>6</v>
      </c>
      <c r="AG13" s="4">
        <v>82.1</v>
      </c>
      <c r="AH13" s="4">
        <v>8.8000000000000007</v>
      </c>
      <c r="AJ13" s="16">
        <v>7.5</v>
      </c>
      <c r="AK13" s="5">
        <v>0.13</v>
      </c>
      <c r="AL13" s="4">
        <v>13.8</v>
      </c>
    </row>
    <row r="14" spans="1:38" x14ac:dyDescent="0.3">
      <c r="A14" s="3" t="s">
        <v>294</v>
      </c>
      <c r="B14" s="4" t="s">
        <v>106</v>
      </c>
      <c r="C14" s="10">
        <v>44126</v>
      </c>
      <c r="D14" s="2">
        <v>3.0300000000000002</v>
      </c>
      <c r="E14" s="2">
        <v>0.35</v>
      </c>
      <c r="F14" s="2">
        <v>2.68</v>
      </c>
      <c r="G14" s="4">
        <v>3297.2440944881891</v>
      </c>
      <c r="H14" s="10">
        <v>44134</v>
      </c>
      <c r="I14" s="2">
        <v>1.52</v>
      </c>
      <c r="J14" s="2">
        <v>4.26</v>
      </c>
      <c r="K14" s="6">
        <v>0.35820895522388058</v>
      </c>
      <c r="L14" s="6">
        <v>0.33582089552238803</v>
      </c>
      <c r="M14" s="6">
        <v>0.30597014925373145</v>
      </c>
      <c r="N14" s="2">
        <v>116.49000000000001</v>
      </c>
      <c r="O14" s="2">
        <v>112.61</v>
      </c>
      <c r="P14" s="2">
        <v>254.57999999999998</v>
      </c>
      <c r="Q14" s="2">
        <v>244.92</v>
      </c>
      <c r="R14" s="5">
        <v>3.3307580049789758</v>
      </c>
      <c r="S14" s="5">
        <v>3.7944850341739325</v>
      </c>
      <c r="T14" s="4">
        <v>1181.1023622047244</v>
      </c>
      <c r="U14" s="4">
        <v>1107.2834645669291</v>
      </c>
      <c r="V14" s="4">
        <v>2288.3858267716532</v>
      </c>
      <c r="W14" s="4">
        <v>1141.7627007285948</v>
      </c>
      <c r="X14" s="4">
        <v>1065.2677592180544</v>
      </c>
      <c r="Y14" s="4">
        <v>2207.030459946649</v>
      </c>
      <c r="Z14" s="11" t="s">
        <v>192</v>
      </c>
      <c r="AA14" s="10">
        <v>44154</v>
      </c>
      <c r="AB14" s="4">
        <v>41.25</v>
      </c>
      <c r="AC14" s="15">
        <v>1.0405</v>
      </c>
      <c r="AD14" s="4">
        <v>77.8</v>
      </c>
      <c r="AE14" s="4">
        <v>25.9</v>
      </c>
      <c r="AF14" s="4">
        <v>6.1</v>
      </c>
      <c r="AG14" s="4">
        <v>81.55</v>
      </c>
      <c r="AH14" s="4">
        <v>8.75</v>
      </c>
      <c r="AJ14" s="16">
        <v>10</v>
      </c>
      <c r="AK14" s="5">
        <v>0.17</v>
      </c>
      <c r="AL14" s="4">
        <v>15.4</v>
      </c>
    </row>
    <row r="15" spans="1:38" x14ac:dyDescent="0.3">
      <c r="A15" s="3" t="s">
        <v>295</v>
      </c>
      <c r="B15" s="4" t="s">
        <v>106</v>
      </c>
      <c r="C15" s="10">
        <v>44126</v>
      </c>
      <c r="D15" s="2">
        <v>3.15</v>
      </c>
      <c r="E15" s="2">
        <v>0.34</v>
      </c>
      <c r="F15" s="2">
        <v>2.81</v>
      </c>
      <c r="G15" s="4">
        <v>3457.1850393700788</v>
      </c>
      <c r="H15" s="10">
        <v>44134</v>
      </c>
      <c r="I15" s="2">
        <v>1.54</v>
      </c>
      <c r="J15" s="2">
        <v>4.3600000000000003</v>
      </c>
      <c r="K15" s="6">
        <v>0.3487544483985765</v>
      </c>
      <c r="L15" s="6">
        <v>0.35587188612099657</v>
      </c>
      <c r="M15" s="6">
        <v>0.29537366548042693</v>
      </c>
      <c r="N15" s="2">
        <v>104.8</v>
      </c>
      <c r="O15" s="2">
        <v>101.53</v>
      </c>
      <c r="P15" s="2">
        <v>279.33</v>
      </c>
      <c r="Q15" s="2">
        <v>268.27999999999997</v>
      </c>
      <c r="R15" s="5">
        <v>3.1202290076335841</v>
      </c>
      <c r="S15" s="5">
        <v>3.9558944617477581</v>
      </c>
      <c r="T15" s="4">
        <v>1205.7086614173229</v>
      </c>
      <c r="U15" s="4">
        <v>1230.3149606299216</v>
      </c>
      <c r="V15" s="4">
        <v>2436.0236220472443</v>
      </c>
      <c r="W15" s="4">
        <v>1168.0877900162291</v>
      </c>
      <c r="X15" s="4">
        <v>1181.6449992403086</v>
      </c>
      <c r="Y15" s="4">
        <v>2349.7327892565377</v>
      </c>
      <c r="Z15" s="11" t="s">
        <v>193</v>
      </c>
      <c r="AA15" s="10">
        <v>44154</v>
      </c>
      <c r="AB15" s="4">
        <v>40.75</v>
      </c>
      <c r="AC15" s="15">
        <v>1.0514999999999999</v>
      </c>
      <c r="AD15" s="4">
        <v>79.099999999999994</v>
      </c>
      <c r="AE15" s="4">
        <v>26.950000000000003</v>
      </c>
      <c r="AF15" s="4">
        <v>6</v>
      </c>
      <c r="AG15" s="4">
        <v>80</v>
      </c>
      <c r="AH15" s="4">
        <v>8.6000000000000014</v>
      </c>
      <c r="AJ15" s="16">
        <v>6.5</v>
      </c>
      <c r="AK15" s="5">
        <v>0.09</v>
      </c>
      <c r="AL15" s="4">
        <v>13.25</v>
      </c>
    </row>
    <row r="16" spans="1:38" x14ac:dyDescent="0.3">
      <c r="A16" s="3" t="s">
        <v>296</v>
      </c>
      <c r="B16" s="4" t="s">
        <v>106</v>
      </c>
      <c r="C16" s="10">
        <v>44126</v>
      </c>
      <c r="D16" s="2">
        <v>3.9699999999999998</v>
      </c>
      <c r="E16" s="2">
        <v>0.33</v>
      </c>
      <c r="F16" s="2">
        <v>3.6399999999999997</v>
      </c>
      <c r="G16" s="4">
        <v>4478.3464566929133</v>
      </c>
      <c r="H16" s="10">
        <v>44134</v>
      </c>
      <c r="I16" s="2">
        <v>1.9</v>
      </c>
      <c r="J16" s="2">
        <v>4.8599999999999994</v>
      </c>
      <c r="K16" s="6">
        <v>0.3681318681318681</v>
      </c>
      <c r="L16" s="6">
        <v>0.41208791208791201</v>
      </c>
      <c r="M16" s="6">
        <v>0.21978021978021983</v>
      </c>
      <c r="N16" s="2">
        <v>114.32</v>
      </c>
      <c r="O16" s="2">
        <v>110.82</v>
      </c>
      <c r="P16" s="2">
        <v>349.6</v>
      </c>
      <c r="Q16" s="2">
        <v>336.13</v>
      </c>
      <c r="R16" s="5">
        <v>3.0615815255423375</v>
      </c>
      <c r="S16" s="5">
        <v>3.8529748283752934</v>
      </c>
      <c r="T16" s="4">
        <v>1648.6220472440943</v>
      </c>
      <c r="U16" s="4">
        <v>1845.4724409448816</v>
      </c>
      <c r="V16" s="4">
        <v>3494.0944881889759</v>
      </c>
      <c r="W16" s="4">
        <v>1598.1481392196513</v>
      </c>
      <c r="X16" s="4">
        <v>1774.3668523306721</v>
      </c>
      <c r="Y16" s="4">
        <v>3372.5149915503234</v>
      </c>
      <c r="Z16" s="11" t="s">
        <v>194</v>
      </c>
      <c r="AA16" s="10">
        <v>44154</v>
      </c>
      <c r="AB16" s="4">
        <v>41.05</v>
      </c>
      <c r="AC16" s="15">
        <v>1.0950000000000002</v>
      </c>
      <c r="AD16" s="4">
        <v>79.650000000000006</v>
      </c>
      <c r="AE16" s="4">
        <v>28.1</v>
      </c>
      <c r="AF16" s="4">
        <v>6</v>
      </c>
      <c r="AG16" s="4">
        <v>83</v>
      </c>
      <c r="AH16" s="4">
        <v>8.8000000000000007</v>
      </c>
      <c r="AJ16" s="16">
        <v>5</v>
      </c>
      <c r="AK16" s="5">
        <v>0.13500000000000001</v>
      </c>
      <c r="AL16" s="4">
        <v>10.649999999999999</v>
      </c>
    </row>
    <row r="17" spans="1:38" x14ac:dyDescent="0.3">
      <c r="A17" s="3" t="s">
        <v>297</v>
      </c>
      <c r="B17" s="4" t="s">
        <v>106</v>
      </c>
      <c r="C17" s="10">
        <v>44126</v>
      </c>
      <c r="D17" s="2">
        <v>3.1799999999999997</v>
      </c>
      <c r="E17" s="2">
        <v>0.34</v>
      </c>
      <c r="F17" s="2">
        <v>2.84</v>
      </c>
      <c r="G17" s="4">
        <v>3494.0944881889764</v>
      </c>
      <c r="H17" s="10">
        <v>44134</v>
      </c>
      <c r="I17" s="2">
        <v>1.56</v>
      </c>
      <c r="J17" s="2">
        <v>4.3600000000000003</v>
      </c>
      <c r="K17" s="6">
        <v>0.35211267605633806</v>
      </c>
      <c r="L17" s="6">
        <v>0.35211267605633823</v>
      </c>
      <c r="M17" s="6">
        <v>0.29577464788732377</v>
      </c>
      <c r="N17" s="2">
        <v>120.45</v>
      </c>
      <c r="O17" s="2">
        <v>117.44</v>
      </c>
      <c r="P17" s="2">
        <v>264.86</v>
      </c>
      <c r="Q17" s="2">
        <v>254.55</v>
      </c>
      <c r="R17" s="5">
        <v>2.4989622249896262</v>
      </c>
      <c r="S17" s="5">
        <v>3.8926225175564455</v>
      </c>
      <c r="T17" s="4">
        <v>1230.3149606299214</v>
      </c>
      <c r="U17" s="4">
        <v>1230.3149606299219</v>
      </c>
      <c r="V17" s="4">
        <v>2460.6299212598433</v>
      </c>
      <c r="W17" s="4">
        <v>1199.5698545153837</v>
      </c>
      <c r="X17" s="4">
        <v>1182.4234434355758</v>
      </c>
      <c r="Y17" s="4">
        <v>2381.9932979509595</v>
      </c>
      <c r="Z17" s="11" t="s">
        <v>195</v>
      </c>
      <c r="AA17" s="10">
        <v>44154</v>
      </c>
      <c r="AB17" s="4">
        <v>39.150000000000006</v>
      </c>
      <c r="AC17" s="15">
        <v>1.0449999999999999</v>
      </c>
      <c r="AD17" s="4">
        <v>78.849999999999994</v>
      </c>
      <c r="AE17" s="4">
        <v>27.049999999999997</v>
      </c>
      <c r="AF17" s="4">
        <v>6.05</v>
      </c>
      <c r="AG17" s="4">
        <v>81.75</v>
      </c>
      <c r="AH17" s="4">
        <v>8.3000000000000007</v>
      </c>
      <c r="AJ17" s="16">
        <v>10</v>
      </c>
      <c r="AK17" s="5">
        <v>9.5000000000000001E-2</v>
      </c>
      <c r="AL17" s="4">
        <v>13.55</v>
      </c>
    </row>
    <row r="18" spans="1:38" x14ac:dyDescent="0.3">
      <c r="A18" s="3" t="s">
        <v>298</v>
      </c>
      <c r="B18" s="4" t="s">
        <v>106</v>
      </c>
      <c r="C18" s="10">
        <v>44126</v>
      </c>
      <c r="D18" s="2">
        <v>3.3200000000000003</v>
      </c>
      <c r="E18" s="2">
        <v>0.36</v>
      </c>
      <c r="F18" s="2">
        <v>2.9600000000000004</v>
      </c>
      <c r="G18" s="4">
        <v>3641.732283464567</v>
      </c>
      <c r="H18" s="10">
        <v>44134</v>
      </c>
      <c r="I18" s="2">
        <v>1.54</v>
      </c>
      <c r="J18" s="2">
        <v>4.46</v>
      </c>
      <c r="K18" s="6">
        <v>0.33108108108108103</v>
      </c>
      <c r="L18" s="6">
        <v>0.3716216216216216</v>
      </c>
      <c r="M18" s="6">
        <v>0.29729729729729737</v>
      </c>
      <c r="N18" s="2">
        <v>114.62</v>
      </c>
      <c r="O18" s="2">
        <v>111.07</v>
      </c>
      <c r="P18" s="2">
        <v>287.87</v>
      </c>
      <c r="Q18" s="2">
        <v>276.39999999999998</v>
      </c>
      <c r="R18" s="5">
        <v>3.0971907171523392</v>
      </c>
      <c r="S18" s="5">
        <v>3.9844374196686099</v>
      </c>
      <c r="T18" s="4">
        <v>1205.7086614173227</v>
      </c>
      <c r="U18" s="4">
        <v>1353.3464566929133</v>
      </c>
      <c r="V18" s="4">
        <v>2559.055118110236</v>
      </c>
      <c r="W18" s="4">
        <v>1168.3655646800037</v>
      </c>
      <c r="X18" s="4">
        <v>1299.4232140546817</v>
      </c>
      <c r="Y18" s="4">
        <v>2467.7887787346854</v>
      </c>
      <c r="Z18" s="11" t="s">
        <v>196</v>
      </c>
      <c r="AA18" s="10">
        <v>44154</v>
      </c>
      <c r="AB18" s="4">
        <v>40</v>
      </c>
      <c r="AC18" s="15">
        <v>1.0870000000000002</v>
      </c>
      <c r="AD18" s="4">
        <v>79.099999999999994</v>
      </c>
      <c r="AE18" s="4">
        <v>27.45</v>
      </c>
      <c r="AF18" s="4">
        <v>6</v>
      </c>
      <c r="AG18" s="4">
        <v>82.4</v>
      </c>
      <c r="AH18" s="4">
        <v>8.5</v>
      </c>
      <c r="AJ18" s="16">
        <v>7</v>
      </c>
      <c r="AK18" s="5">
        <v>7.0000000000000007E-2</v>
      </c>
      <c r="AL18" s="4">
        <v>11.65</v>
      </c>
    </row>
    <row r="19" spans="1:38" x14ac:dyDescent="0.3">
      <c r="A19" s="3" t="s">
        <v>299</v>
      </c>
      <c r="B19" s="3" t="s">
        <v>106</v>
      </c>
      <c r="C19" s="10">
        <v>43761</v>
      </c>
      <c r="D19" s="2">
        <v>2.7199999999999998</v>
      </c>
      <c r="E19" s="2">
        <v>0.33</v>
      </c>
      <c r="F19" s="2">
        <v>2.3899999999999997</v>
      </c>
      <c r="G19" s="4">
        <v>2940.4527559055114</v>
      </c>
      <c r="H19" s="10">
        <v>44134</v>
      </c>
      <c r="I19" s="2">
        <v>1.42</v>
      </c>
      <c r="J19" s="2">
        <v>4.08</v>
      </c>
      <c r="K19" s="6">
        <v>0.35983263598326359</v>
      </c>
      <c r="L19" s="6">
        <v>0.30125523012552313</v>
      </c>
      <c r="M19" s="6">
        <v>0.33891213389121333</v>
      </c>
      <c r="N19" s="2">
        <v>91.710000000000008</v>
      </c>
      <c r="O19" s="2">
        <v>89</v>
      </c>
      <c r="P19" s="2">
        <v>245.06</v>
      </c>
      <c r="Q19" s="2">
        <v>236.32</v>
      </c>
      <c r="R19" s="5">
        <v>2.954966742994229</v>
      </c>
      <c r="S19" s="5">
        <v>3.5664735166897934</v>
      </c>
      <c r="T19" s="4">
        <v>1058.070866141732</v>
      </c>
      <c r="U19" s="4">
        <v>885.82677165354357</v>
      </c>
      <c r="V19" s="4">
        <v>1943.8976377952756</v>
      </c>
      <c r="W19" s="4">
        <v>1026.8052239299329</v>
      </c>
      <c r="X19" s="4">
        <v>854.23399443877179</v>
      </c>
      <c r="Y19" s="4">
        <v>1881.0392183687047</v>
      </c>
      <c r="Z19" t="s">
        <v>197</v>
      </c>
      <c r="AA19" s="10">
        <v>44154</v>
      </c>
      <c r="AB19" s="4">
        <v>39.5</v>
      </c>
      <c r="AC19" s="15">
        <v>0.99199999999999999</v>
      </c>
      <c r="AD19" s="4">
        <v>76.7</v>
      </c>
      <c r="AE19" s="4">
        <v>24.2</v>
      </c>
      <c r="AF19" s="4">
        <v>6.1999999999999993</v>
      </c>
      <c r="AG19" s="4">
        <v>80.7</v>
      </c>
      <c r="AH19" s="4">
        <v>8.85</v>
      </c>
      <c r="AJ19" s="16">
        <v>9.5</v>
      </c>
      <c r="AK19" s="5">
        <v>0.125</v>
      </c>
      <c r="AL19" s="4">
        <v>18.75</v>
      </c>
    </row>
    <row r="20" spans="1:38" x14ac:dyDescent="0.3">
      <c r="A20" s="3" t="s">
        <v>300</v>
      </c>
      <c r="B20" s="3" t="s">
        <v>106</v>
      </c>
      <c r="C20" s="10">
        <v>43761</v>
      </c>
      <c r="D20" s="2">
        <v>3.67</v>
      </c>
      <c r="E20" s="2">
        <v>0.34</v>
      </c>
      <c r="F20" s="2">
        <v>3.33</v>
      </c>
      <c r="G20" s="4">
        <v>4096.9488188976375</v>
      </c>
      <c r="H20" s="10">
        <v>44134</v>
      </c>
      <c r="I20" s="2">
        <v>1.82</v>
      </c>
      <c r="J20" s="2">
        <v>4.6399999999999997</v>
      </c>
      <c r="K20" s="6">
        <v>0.3783783783783784</v>
      </c>
      <c r="L20" s="6">
        <v>0.38438438438438433</v>
      </c>
      <c r="M20" s="6">
        <v>0.23723723723723728</v>
      </c>
      <c r="N20" s="2">
        <v>108.77000000000001</v>
      </c>
      <c r="O20" s="2">
        <v>105.55000000000001</v>
      </c>
      <c r="P20" s="2">
        <v>357.88</v>
      </c>
      <c r="Q20" s="2">
        <v>343.74</v>
      </c>
      <c r="R20" s="5">
        <v>2.9603751034292531</v>
      </c>
      <c r="S20" s="5">
        <v>3.9510450430311796</v>
      </c>
      <c r="T20" s="4">
        <v>1550.1968503937007</v>
      </c>
      <c r="U20" s="4">
        <v>1574.8031496062988</v>
      </c>
      <c r="V20" s="4">
        <v>3124.9999999999995</v>
      </c>
      <c r="W20" s="4">
        <v>1504.3052087805011</v>
      </c>
      <c r="X20" s="4">
        <v>1512.5819678262803</v>
      </c>
      <c r="Y20" s="4">
        <v>3016.8871766067814</v>
      </c>
      <c r="Z20" t="s">
        <v>198</v>
      </c>
      <c r="AA20" s="10">
        <v>44154</v>
      </c>
      <c r="AB20" s="4">
        <v>44.1</v>
      </c>
      <c r="AC20" s="15">
        <v>1.0659999999999998</v>
      </c>
      <c r="AD20" s="4">
        <v>78.8</v>
      </c>
      <c r="AE20" s="4">
        <v>27.3</v>
      </c>
      <c r="AF20" s="4">
        <v>5.95</v>
      </c>
      <c r="AG20" s="4">
        <v>82.25</v>
      </c>
      <c r="AH20" s="4">
        <v>8.5</v>
      </c>
      <c r="AJ20" s="16">
        <v>6.5</v>
      </c>
      <c r="AK20" s="5">
        <v>0.115</v>
      </c>
      <c r="AL20" s="4">
        <v>12.9</v>
      </c>
    </row>
    <row r="21" spans="1:38" x14ac:dyDescent="0.3">
      <c r="A21" s="3" t="s">
        <v>301</v>
      </c>
      <c r="B21" s="3" t="s">
        <v>106</v>
      </c>
      <c r="C21" s="10">
        <v>43761</v>
      </c>
      <c r="D21" s="2">
        <v>3.29</v>
      </c>
      <c r="E21" s="2">
        <v>0.37</v>
      </c>
      <c r="F21" s="2">
        <v>2.92</v>
      </c>
      <c r="G21" s="4">
        <v>3592.51968503937</v>
      </c>
      <c r="H21" s="10">
        <v>44134</v>
      </c>
      <c r="I21" s="2">
        <v>1.62</v>
      </c>
      <c r="J21" s="2">
        <v>4.4800000000000004</v>
      </c>
      <c r="K21" s="6">
        <v>0.36301369863013699</v>
      </c>
      <c r="L21" s="6">
        <v>0.38356164383561664</v>
      </c>
      <c r="M21" s="6">
        <v>0.25342465753424637</v>
      </c>
      <c r="N21" s="2">
        <v>94.57</v>
      </c>
      <c r="O21" s="2">
        <v>91.85</v>
      </c>
      <c r="P21" s="2">
        <v>304.54999999999995</v>
      </c>
      <c r="Q21" s="2">
        <v>293.70000000000005</v>
      </c>
      <c r="R21" s="5">
        <v>2.8761763772866646</v>
      </c>
      <c r="S21" s="5">
        <v>3.5626333935314105</v>
      </c>
      <c r="T21" s="4">
        <v>1304.1338582677165</v>
      </c>
      <c r="U21" s="4">
        <v>1377.9527559055125</v>
      </c>
      <c r="V21" s="4">
        <v>2682.086614173229</v>
      </c>
      <c r="W21" s="4">
        <v>1266.6246683080233</v>
      </c>
      <c r="X21" s="4">
        <v>1328.8613508765363</v>
      </c>
      <c r="Y21" s="4">
        <v>2595.4860191845596</v>
      </c>
      <c r="Z21" t="s">
        <v>199</v>
      </c>
      <c r="AA21" s="10">
        <v>44154</v>
      </c>
      <c r="AB21" s="4">
        <v>38.049999999999997</v>
      </c>
      <c r="AC21" s="15">
        <v>1.0660000000000001</v>
      </c>
      <c r="AD21" s="4">
        <v>78.199999999999989</v>
      </c>
      <c r="AE21" s="4">
        <v>27.6</v>
      </c>
      <c r="AF21" s="4">
        <v>5.95</v>
      </c>
      <c r="AG21" s="4">
        <v>82.65</v>
      </c>
      <c r="AH21" s="4">
        <v>8.6999999999999993</v>
      </c>
      <c r="AJ21" s="16">
        <v>10</v>
      </c>
      <c r="AK21" s="5">
        <v>0.15</v>
      </c>
      <c r="AL21" s="4">
        <v>13.05</v>
      </c>
    </row>
    <row r="22" spans="1:38" x14ac:dyDescent="0.3">
      <c r="A22" s="3" t="s">
        <v>302</v>
      </c>
      <c r="B22" s="3" t="s">
        <v>106</v>
      </c>
      <c r="C22" s="10">
        <v>43761</v>
      </c>
      <c r="D22" s="2">
        <v>2.27</v>
      </c>
      <c r="E22" s="2">
        <v>0.35</v>
      </c>
      <c r="F22" s="2">
        <v>1.92</v>
      </c>
      <c r="G22" s="4">
        <v>2362.2047244094488</v>
      </c>
      <c r="H22" s="10">
        <v>44134</v>
      </c>
      <c r="I22" s="2">
        <v>1.1599999999999999</v>
      </c>
      <c r="J22" s="2">
        <v>3.84</v>
      </c>
      <c r="K22" s="6">
        <v>0.31249999999999994</v>
      </c>
      <c r="L22" s="6">
        <v>0.25</v>
      </c>
      <c r="M22" s="6">
        <v>0.4375</v>
      </c>
      <c r="N22" s="2">
        <v>96.830000000000013</v>
      </c>
      <c r="O22" s="2">
        <v>93.64</v>
      </c>
      <c r="P22" s="2">
        <v>223.17000000000002</v>
      </c>
      <c r="Q22" s="2">
        <v>214.51999999999998</v>
      </c>
      <c r="R22" s="5">
        <v>3.294433543323362</v>
      </c>
      <c r="S22" s="5">
        <v>3.8759689922480773</v>
      </c>
      <c r="T22" s="4">
        <v>738.1889763779526</v>
      </c>
      <c r="U22" s="4">
        <v>590.55118110236219</v>
      </c>
      <c r="V22" s="4">
        <v>1328.7401574803148</v>
      </c>
      <c r="W22" s="4">
        <v>713.86983112704195</v>
      </c>
      <c r="X22" s="4">
        <v>567.6616004394798</v>
      </c>
      <c r="Y22" s="4">
        <v>1281.5314315665219</v>
      </c>
      <c r="Z22" t="s">
        <v>200</v>
      </c>
      <c r="AA22" s="10">
        <v>44154</v>
      </c>
      <c r="AB22" s="4">
        <v>38.049999999999997</v>
      </c>
      <c r="AC22" s="15">
        <v>1.0024999999999999</v>
      </c>
      <c r="AD22" s="4">
        <v>76.400000000000006</v>
      </c>
      <c r="AE22" s="4">
        <v>24.6</v>
      </c>
      <c r="AF22" s="4">
        <v>6.25</v>
      </c>
      <c r="AG22" s="4">
        <v>81.349999999999994</v>
      </c>
      <c r="AH22" s="4">
        <v>9</v>
      </c>
      <c r="AJ22" s="16">
        <v>6</v>
      </c>
      <c r="AK22" s="5">
        <v>0.16</v>
      </c>
      <c r="AL22" s="4">
        <v>18</v>
      </c>
    </row>
    <row r="23" spans="1:38" x14ac:dyDescent="0.3">
      <c r="A23" s="3" t="s">
        <v>303</v>
      </c>
      <c r="B23" s="3" t="s">
        <v>106</v>
      </c>
      <c r="C23" s="10">
        <v>43761</v>
      </c>
      <c r="D23" s="2">
        <v>4.2300000000000004</v>
      </c>
      <c r="E23" s="2">
        <v>0.35</v>
      </c>
      <c r="F23" s="2">
        <v>3.8800000000000003</v>
      </c>
      <c r="G23" s="4">
        <v>4773.6220472440946</v>
      </c>
      <c r="H23" s="10">
        <v>44134</v>
      </c>
      <c r="I23" s="2">
        <v>2.02</v>
      </c>
      <c r="J23" s="2">
        <v>4.96</v>
      </c>
      <c r="K23" s="6">
        <v>0.37628865979381437</v>
      </c>
      <c r="L23" s="6">
        <v>0.41237113402061853</v>
      </c>
      <c r="M23" s="6">
        <v>0.21134020618556704</v>
      </c>
      <c r="N23" s="2">
        <v>132.21</v>
      </c>
      <c r="O23" s="2">
        <v>128.48000000000002</v>
      </c>
      <c r="P23" s="2">
        <v>356.68</v>
      </c>
      <c r="Q23" s="2">
        <v>343.5</v>
      </c>
      <c r="R23" s="5">
        <v>2.8212691929506009</v>
      </c>
      <c r="S23" s="5">
        <v>3.6951889648985103</v>
      </c>
      <c r="T23" s="4">
        <v>1796.2598425196848</v>
      </c>
      <c r="U23" s="4">
        <v>1968.5039370078739</v>
      </c>
      <c r="V23" s="4">
        <v>3764.7637795275587</v>
      </c>
      <c r="W23" s="4">
        <v>1745.5825169573338</v>
      </c>
      <c r="X23" s="4">
        <v>1895.7639967539662</v>
      </c>
      <c r="Y23" s="4">
        <v>3641.3465137112998</v>
      </c>
      <c r="Z23" t="s">
        <v>201</v>
      </c>
      <c r="AA23" s="10">
        <v>44154</v>
      </c>
      <c r="AB23" s="4">
        <v>42.599999999999994</v>
      </c>
      <c r="AC23" s="15">
        <v>1.0590000000000002</v>
      </c>
      <c r="AD23" s="4">
        <v>78.3</v>
      </c>
      <c r="AE23" s="4">
        <v>26.75</v>
      </c>
      <c r="AF23" s="4">
        <v>6</v>
      </c>
      <c r="AG23" s="4">
        <v>81.699999999999989</v>
      </c>
      <c r="AH23" s="4">
        <v>8.5</v>
      </c>
      <c r="AJ23" s="16">
        <v>8</v>
      </c>
      <c r="AK23" s="5">
        <v>0.125</v>
      </c>
      <c r="AL23" s="4">
        <v>13.6</v>
      </c>
    </row>
    <row r="24" spans="1:38" x14ac:dyDescent="0.3">
      <c r="A24" s="3" t="s">
        <v>304</v>
      </c>
      <c r="B24" s="3" t="s">
        <v>106</v>
      </c>
      <c r="C24" s="10">
        <v>43761</v>
      </c>
      <c r="D24" s="2">
        <v>4.24</v>
      </c>
      <c r="E24" s="2">
        <v>0.37</v>
      </c>
      <c r="F24" s="2">
        <v>3.87</v>
      </c>
      <c r="G24" s="4">
        <v>4761.3188976377951</v>
      </c>
      <c r="H24" s="10">
        <v>44134</v>
      </c>
      <c r="I24" s="2">
        <v>2</v>
      </c>
      <c r="J24" s="2">
        <v>4.9800000000000004</v>
      </c>
      <c r="K24" s="6">
        <v>0.37209302325581395</v>
      </c>
      <c r="L24" s="6">
        <v>0.41860465116279083</v>
      </c>
      <c r="M24" s="6">
        <v>0.20930232558139522</v>
      </c>
      <c r="N24" s="2">
        <v>134.63</v>
      </c>
      <c r="O24" s="2">
        <v>130.01</v>
      </c>
      <c r="P24" s="2">
        <v>337.78999999999996</v>
      </c>
      <c r="Q24" s="2">
        <v>324.35000000000002</v>
      </c>
      <c r="R24" s="5">
        <v>3.4316274233083304</v>
      </c>
      <c r="S24" s="5">
        <v>3.9788033985612188</v>
      </c>
      <c r="T24" s="4">
        <v>1771.6535433070865</v>
      </c>
      <c r="U24" s="4">
        <v>1993.1102362204731</v>
      </c>
      <c r="V24" s="4">
        <v>3764.7637795275596</v>
      </c>
      <c r="W24" s="4">
        <v>1710.8569944689468</v>
      </c>
      <c r="X24" s="4">
        <v>1913.8082984046614</v>
      </c>
      <c r="Y24" s="4">
        <v>3624.6652928736085</v>
      </c>
      <c r="Z24" t="s">
        <v>202</v>
      </c>
      <c r="AA24" s="10">
        <v>44154</v>
      </c>
      <c r="AB24" s="4">
        <v>43.099999999999994</v>
      </c>
      <c r="AC24" s="15">
        <v>1.0775000000000001</v>
      </c>
      <c r="AD24" s="4">
        <v>79.2</v>
      </c>
      <c r="AE24" s="4">
        <v>27.15</v>
      </c>
      <c r="AF24" s="4">
        <v>6.1</v>
      </c>
      <c r="AG24" s="4">
        <v>82.65</v>
      </c>
      <c r="AH24" s="4">
        <v>8.1999999999999993</v>
      </c>
      <c r="AJ24" s="16">
        <v>5.5</v>
      </c>
      <c r="AK24" s="5">
        <v>9.5000000000000001E-2</v>
      </c>
      <c r="AL24" s="4">
        <v>12.7</v>
      </c>
    </row>
    <row r="25" spans="1:38" x14ac:dyDescent="0.3">
      <c r="A25" s="3" t="s">
        <v>305</v>
      </c>
      <c r="B25" s="3" t="s">
        <v>106</v>
      </c>
      <c r="C25" s="10">
        <v>43761</v>
      </c>
      <c r="D25" s="2">
        <v>2.8899999999999997</v>
      </c>
      <c r="E25" s="2">
        <v>0.34</v>
      </c>
      <c r="F25" s="2">
        <v>2.5499999999999998</v>
      </c>
      <c r="G25" s="4">
        <v>3137.303149606299</v>
      </c>
      <c r="H25" s="10">
        <v>44134</v>
      </c>
      <c r="I25" s="2">
        <v>1.46</v>
      </c>
      <c r="J25" s="2">
        <v>4.16</v>
      </c>
      <c r="K25" s="6">
        <v>0.3529411764705882</v>
      </c>
      <c r="L25" s="6">
        <v>0.31372549019607854</v>
      </c>
      <c r="M25" s="6">
        <v>0.33333333333333326</v>
      </c>
      <c r="N25" s="2">
        <v>110.91</v>
      </c>
      <c r="O25" s="2">
        <v>107.89</v>
      </c>
      <c r="P25" s="2">
        <v>272.89999999999998</v>
      </c>
      <c r="Q25" s="2">
        <v>263.21000000000004</v>
      </c>
      <c r="R25" s="5">
        <v>2.7229285005860571</v>
      </c>
      <c r="S25" s="5">
        <v>3.550751190912401</v>
      </c>
      <c r="T25" s="4">
        <v>1107.2834645669291</v>
      </c>
      <c r="U25" s="4">
        <v>984.25196850393729</v>
      </c>
      <c r="V25" s="4">
        <v>2091.5354330708665</v>
      </c>
      <c r="W25" s="4">
        <v>1077.1329275279595</v>
      </c>
      <c r="X25" s="4">
        <v>949.30363001070498</v>
      </c>
      <c r="Y25" s="4">
        <v>2026.4365575386646</v>
      </c>
      <c r="Z25" t="s">
        <v>203</v>
      </c>
      <c r="AA25" s="10">
        <v>44154</v>
      </c>
      <c r="AB25" s="4">
        <v>41.25</v>
      </c>
      <c r="AC25" s="15">
        <v>1.04</v>
      </c>
      <c r="AD25" s="4">
        <v>77.900000000000006</v>
      </c>
      <c r="AE25" s="4">
        <v>26.3</v>
      </c>
      <c r="AF25" s="4">
        <v>5.85</v>
      </c>
      <c r="AG25" s="4">
        <v>82.1</v>
      </c>
      <c r="AH25" s="4">
        <v>8.85</v>
      </c>
      <c r="AJ25" s="16">
        <v>6</v>
      </c>
      <c r="AK25" s="5">
        <v>0.29500000000000004</v>
      </c>
      <c r="AL25" s="4">
        <v>14.5</v>
      </c>
    </row>
    <row r="26" spans="1:38" x14ac:dyDescent="0.3">
      <c r="A26" s="3" t="s">
        <v>306</v>
      </c>
      <c r="B26" s="3" t="s">
        <v>106</v>
      </c>
      <c r="C26" s="10">
        <v>43761</v>
      </c>
      <c r="D26" s="2">
        <v>2.48</v>
      </c>
      <c r="E26" s="2">
        <v>0.35</v>
      </c>
      <c r="F26" s="2">
        <v>2.13</v>
      </c>
      <c r="G26" s="4">
        <v>2620.570866141732</v>
      </c>
      <c r="H26" s="10">
        <v>44134</v>
      </c>
      <c r="I26" s="2">
        <v>1.3</v>
      </c>
      <c r="J26" s="2">
        <v>4</v>
      </c>
      <c r="K26" s="6">
        <v>0.34741784037558687</v>
      </c>
      <c r="L26" s="6">
        <v>0.30046948356807518</v>
      </c>
      <c r="M26" s="6">
        <v>0.35211267605633795</v>
      </c>
      <c r="N26" s="2">
        <v>104.75999999999999</v>
      </c>
      <c r="O26" s="2">
        <v>101.94</v>
      </c>
      <c r="P26" s="2">
        <v>231.44</v>
      </c>
      <c r="Q26" s="2">
        <v>222.57</v>
      </c>
      <c r="R26" s="5">
        <v>2.6918671248568091</v>
      </c>
      <c r="S26" s="5">
        <v>3.8325267888005548</v>
      </c>
      <c r="T26" s="4">
        <v>910.43307086614175</v>
      </c>
      <c r="U26" s="4">
        <v>787.40157480314974</v>
      </c>
      <c r="V26" s="4">
        <v>1697.8346456692916</v>
      </c>
      <c r="W26" s="4">
        <v>885.92542233767176</v>
      </c>
      <c r="X26" s="4">
        <v>757.22419851338168</v>
      </c>
      <c r="Y26" s="4">
        <v>1643.1496208510534</v>
      </c>
      <c r="Z26" t="s">
        <v>204</v>
      </c>
      <c r="AA26" s="10">
        <v>44154</v>
      </c>
      <c r="AB26" s="4">
        <v>38.099999999999994</v>
      </c>
      <c r="AC26" s="15">
        <v>1.0095000000000001</v>
      </c>
      <c r="AD26" s="4">
        <v>76.849999999999994</v>
      </c>
      <c r="AE26" s="4">
        <v>25.15</v>
      </c>
      <c r="AF26" s="4">
        <v>6</v>
      </c>
      <c r="AG26" s="4">
        <v>81.05</v>
      </c>
      <c r="AH26" s="4">
        <v>8.75</v>
      </c>
      <c r="AJ26" s="16">
        <v>6.5</v>
      </c>
      <c r="AK26" s="5">
        <v>0.11</v>
      </c>
      <c r="AL26" s="4">
        <v>16.2</v>
      </c>
    </row>
    <row r="27" spans="1:38" x14ac:dyDescent="0.3">
      <c r="A27" s="3" t="s">
        <v>307</v>
      </c>
      <c r="B27" s="3" t="s">
        <v>106</v>
      </c>
      <c r="C27" s="10">
        <v>43761</v>
      </c>
      <c r="D27" s="2">
        <v>2.75</v>
      </c>
      <c r="E27" s="2">
        <v>0.38</v>
      </c>
      <c r="F27" s="2">
        <v>2.37</v>
      </c>
      <c r="G27" s="4">
        <v>2915.8464566929133</v>
      </c>
      <c r="H27" s="10">
        <v>44134</v>
      </c>
      <c r="I27" s="2">
        <v>1.38</v>
      </c>
      <c r="J27" s="2">
        <v>4.08</v>
      </c>
      <c r="K27" s="6">
        <v>0.34599156118143454</v>
      </c>
      <c r="L27" s="6">
        <v>0.30379746835443044</v>
      </c>
      <c r="M27" s="6">
        <v>0.35021097046413496</v>
      </c>
      <c r="N27" s="2">
        <v>105.86000000000001</v>
      </c>
      <c r="O27" s="2">
        <v>103.05</v>
      </c>
      <c r="P27" s="2">
        <v>288.27999999999997</v>
      </c>
      <c r="Q27" s="2">
        <v>277.29999999999995</v>
      </c>
      <c r="R27" s="5">
        <v>2.6544492726242357</v>
      </c>
      <c r="S27" s="5">
        <v>3.8087970029138405</v>
      </c>
      <c r="T27" s="4">
        <v>1008.8582677165352</v>
      </c>
      <c r="U27" s="4">
        <v>885.82677165354346</v>
      </c>
      <c r="V27" s="4">
        <v>1894.6850393700788</v>
      </c>
      <c r="W27" s="4">
        <v>982.07863676732416</v>
      </c>
      <c r="X27" s="4">
        <v>852.08742812379478</v>
      </c>
      <c r="Y27" s="4">
        <v>1834.1660648911188</v>
      </c>
      <c r="Z27" t="s">
        <v>205</v>
      </c>
      <c r="AA27" s="10">
        <v>44154</v>
      </c>
      <c r="AB27" s="4">
        <v>39.9</v>
      </c>
      <c r="AC27" s="15">
        <v>1.0335000000000001</v>
      </c>
      <c r="AD27" s="4">
        <v>78.75</v>
      </c>
      <c r="AE27" s="4">
        <v>26.1</v>
      </c>
      <c r="AF27" s="4">
        <v>6</v>
      </c>
      <c r="AG27" s="4">
        <v>81.2</v>
      </c>
      <c r="AH27" s="4">
        <v>8.6</v>
      </c>
      <c r="AJ27" s="16">
        <v>16.5</v>
      </c>
      <c r="AK27" s="5">
        <v>0.36</v>
      </c>
      <c r="AL27" s="4">
        <v>13.6</v>
      </c>
    </row>
    <row r="28" spans="1:38" x14ac:dyDescent="0.3">
      <c r="A28" s="3" t="s">
        <v>308</v>
      </c>
      <c r="B28" s="3" t="s">
        <v>106</v>
      </c>
      <c r="C28" s="10">
        <v>43761</v>
      </c>
      <c r="D28" s="2">
        <v>2.79</v>
      </c>
      <c r="E28" s="2">
        <v>0.36</v>
      </c>
      <c r="F28" s="2">
        <v>2.4300000000000002</v>
      </c>
      <c r="G28" s="4">
        <v>2989.6653543307089</v>
      </c>
      <c r="H28" s="10">
        <v>44134</v>
      </c>
      <c r="I28" s="2">
        <v>1.42</v>
      </c>
      <c r="J28" s="2">
        <v>4.12</v>
      </c>
      <c r="K28" s="6">
        <v>0.35390946502057608</v>
      </c>
      <c r="L28" s="6">
        <v>0.31275720164609061</v>
      </c>
      <c r="M28" s="6">
        <v>0.33333333333333331</v>
      </c>
      <c r="N28" s="2">
        <v>141.68</v>
      </c>
      <c r="O28" s="2">
        <v>137.54</v>
      </c>
      <c r="P28" s="2">
        <v>248.19</v>
      </c>
      <c r="Q28" s="2">
        <v>238.32</v>
      </c>
      <c r="R28" s="5">
        <v>2.9220779220779325</v>
      </c>
      <c r="S28" s="5">
        <v>3.9767919738909723</v>
      </c>
      <c r="T28" s="4">
        <v>1058.0708661417323</v>
      </c>
      <c r="U28" s="4">
        <v>935.03937007874049</v>
      </c>
      <c r="V28" s="4">
        <v>1993.1102362204729</v>
      </c>
      <c r="W28" s="4">
        <v>1027.1532109622658</v>
      </c>
      <c r="X28" s="4">
        <v>897.85479945672841</v>
      </c>
      <c r="Y28" s="4">
        <v>1925.0080104189942</v>
      </c>
      <c r="Z28" t="s">
        <v>206</v>
      </c>
      <c r="AA28" s="10">
        <v>44154</v>
      </c>
      <c r="AB28" s="4">
        <v>40</v>
      </c>
      <c r="AC28" s="15">
        <v>1.014</v>
      </c>
      <c r="AD28" s="4">
        <v>77.449999999999989</v>
      </c>
      <c r="AE28" s="4">
        <v>25.1</v>
      </c>
      <c r="AF28" s="4">
        <v>6.05</v>
      </c>
      <c r="AG28" s="4">
        <v>80.75</v>
      </c>
      <c r="AH28" s="4">
        <v>8.9499999999999993</v>
      </c>
      <c r="AJ28" s="16">
        <v>11.5</v>
      </c>
      <c r="AK28" s="5">
        <v>0.29500000000000004</v>
      </c>
      <c r="AL28" s="4">
        <v>16.5</v>
      </c>
    </row>
    <row r="29" spans="1:38" x14ac:dyDescent="0.3">
      <c r="A29" s="3" t="s">
        <v>309</v>
      </c>
      <c r="B29" s="3" t="s">
        <v>106</v>
      </c>
      <c r="C29" s="10">
        <v>43761</v>
      </c>
      <c r="D29" s="2">
        <v>3.45</v>
      </c>
      <c r="E29" s="2">
        <v>0.36</v>
      </c>
      <c r="F29" s="2">
        <v>3.0900000000000003</v>
      </c>
      <c r="G29" s="4">
        <v>3801.6732283464571</v>
      </c>
      <c r="H29" s="10">
        <v>44134</v>
      </c>
      <c r="I29" s="2">
        <v>1.7</v>
      </c>
      <c r="J29" s="2">
        <v>4.5199999999999996</v>
      </c>
      <c r="K29" s="6">
        <v>0.3689320388349514</v>
      </c>
      <c r="L29" s="6">
        <v>0.37540453074433644</v>
      </c>
      <c r="M29" s="6">
        <v>0.25566343042071216</v>
      </c>
      <c r="N29" s="2">
        <v>90.3</v>
      </c>
      <c r="O29" s="2">
        <v>88.06</v>
      </c>
      <c r="P29" s="2">
        <v>305.94</v>
      </c>
      <c r="Q29" s="2">
        <v>294.25</v>
      </c>
      <c r="R29" s="5">
        <v>2.4806201550387543</v>
      </c>
      <c r="S29" s="5">
        <v>3.8210106556841206</v>
      </c>
      <c r="T29" s="4">
        <v>1402.5590551181101</v>
      </c>
      <c r="U29" s="4">
        <v>1427.1653543307084</v>
      </c>
      <c r="V29" s="4">
        <v>2829.7244094488187</v>
      </c>
      <c r="W29" s="4">
        <v>1367.766892510529</v>
      </c>
      <c r="X29" s="4">
        <v>1372.6332140674999</v>
      </c>
      <c r="Y29" s="4">
        <v>2740.400106578029</v>
      </c>
      <c r="Z29" t="s">
        <v>207</v>
      </c>
      <c r="AA29" s="10">
        <v>44154</v>
      </c>
      <c r="AB29" s="4">
        <v>41.349999999999994</v>
      </c>
      <c r="AC29" s="15">
        <v>1.0585</v>
      </c>
      <c r="AD29" s="4">
        <v>78.849999999999994</v>
      </c>
      <c r="AE29" s="4">
        <v>26.7</v>
      </c>
      <c r="AF29" s="4">
        <v>5.95</v>
      </c>
      <c r="AG29" s="4">
        <v>83</v>
      </c>
      <c r="AH29" s="4">
        <v>8.4499999999999993</v>
      </c>
      <c r="AJ29" s="16">
        <v>6.5</v>
      </c>
      <c r="AK29" s="5">
        <v>0.115</v>
      </c>
      <c r="AL29" s="4">
        <v>12.9</v>
      </c>
    </row>
    <row r="30" spans="1:38" x14ac:dyDescent="0.3">
      <c r="A30" s="3" t="s">
        <v>310</v>
      </c>
      <c r="B30" s="3" t="s">
        <v>106</v>
      </c>
      <c r="C30" s="10">
        <v>43761</v>
      </c>
      <c r="D30" s="2">
        <v>2.84</v>
      </c>
      <c r="E30" s="2">
        <v>0.36</v>
      </c>
      <c r="F30" s="2">
        <v>2.48</v>
      </c>
      <c r="G30" s="4">
        <v>3051.1811023622049</v>
      </c>
      <c r="H30" s="10">
        <v>44134</v>
      </c>
      <c r="I30" s="2">
        <v>1.42</v>
      </c>
      <c r="J30" s="2">
        <v>4.2200000000000006</v>
      </c>
      <c r="K30" s="6">
        <v>0.34677419354838707</v>
      </c>
      <c r="L30" s="6">
        <v>0.3467741935483874</v>
      </c>
      <c r="M30" s="6">
        <v>0.30645161290322559</v>
      </c>
      <c r="N30" s="2">
        <v>92.800000000000011</v>
      </c>
      <c r="O30" s="2">
        <v>90.21</v>
      </c>
      <c r="P30" s="2">
        <v>361.09000000000003</v>
      </c>
      <c r="Q30" s="2">
        <v>348.40999999999997</v>
      </c>
      <c r="R30" s="5">
        <v>2.7909482758620876</v>
      </c>
      <c r="S30" s="5">
        <v>3.5115899083331201</v>
      </c>
      <c r="T30" s="4">
        <v>1058.0708661417323</v>
      </c>
      <c r="U30" s="4">
        <v>1058.0708661417332</v>
      </c>
      <c r="V30" s="4">
        <v>2116.1417322834654</v>
      </c>
      <c r="W30" s="4">
        <v>1028.5406555457505</v>
      </c>
      <c r="X30" s="4">
        <v>1020.9157563832872</v>
      </c>
      <c r="Y30" s="4">
        <v>2049.4564119290376</v>
      </c>
      <c r="Z30" t="s">
        <v>208</v>
      </c>
      <c r="AA30" s="10">
        <v>44154</v>
      </c>
      <c r="AB30" s="4">
        <v>39.450000000000003</v>
      </c>
      <c r="AC30" s="15">
        <v>1.0430000000000001</v>
      </c>
      <c r="AD30" s="4">
        <v>77.8</v>
      </c>
      <c r="AE30" s="4">
        <v>26.1</v>
      </c>
      <c r="AF30" s="4">
        <v>6.1</v>
      </c>
      <c r="AG30" s="4">
        <v>81.45</v>
      </c>
      <c r="AH30" s="4">
        <v>8.75</v>
      </c>
      <c r="AJ30" s="16">
        <v>7.5</v>
      </c>
      <c r="AK30" s="5">
        <v>0.12</v>
      </c>
      <c r="AL30" s="4">
        <v>14.15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E5B7D-92B8-4D11-9F53-24431941E6FC}">
  <dimension ref="A1:AC55"/>
  <sheetViews>
    <sheetView workbookViewId="0"/>
  </sheetViews>
  <sheetFormatPr defaultRowHeight="14.4" x14ac:dyDescent="0.3"/>
  <cols>
    <col min="1" max="1" width="9.88671875" bestFit="1" customWidth="1"/>
  </cols>
  <sheetData>
    <row r="1" spans="1:29" x14ac:dyDescent="0.3">
      <c r="B1" t="s">
        <v>49</v>
      </c>
      <c r="C1" t="s">
        <v>49</v>
      </c>
      <c r="Q1" t="s">
        <v>49</v>
      </c>
      <c r="R1" t="s">
        <v>49</v>
      </c>
    </row>
    <row r="2" spans="1:29" x14ac:dyDescent="0.3">
      <c r="B2" t="s">
        <v>50</v>
      </c>
      <c r="C2" t="s">
        <v>50</v>
      </c>
      <c r="Q2" t="s">
        <v>50</v>
      </c>
      <c r="R2" t="s">
        <v>50</v>
      </c>
    </row>
    <row r="3" spans="1:29" x14ac:dyDescent="0.3">
      <c r="B3" t="s">
        <v>21</v>
      </c>
      <c r="C3" t="s">
        <v>21</v>
      </c>
      <c r="Q3" t="s">
        <v>22</v>
      </c>
      <c r="R3" t="s">
        <v>22</v>
      </c>
    </row>
    <row r="4" spans="1:29" x14ac:dyDescent="0.3">
      <c r="B4" t="s">
        <v>165</v>
      </c>
      <c r="C4" t="s">
        <v>165</v>
      </c>
      <c r="Q4" t="s">
        <v>165</v>
      </c>
      <c r="R4" t="s">
        <v>165</v>
      </c>
      <c r="AC4">
        <v>0</v>
      </c>
    </row>
    <row r="5" spans="1:29" x14ac:dyDescent="0.3">
      <c r="B5" t="s">
        <v>120</v>
      </c>
      <c r="C5" t="s">
        <v>123</v>
      </c>
      <c r="Q5" t="s">
        <v>120</v>
      </c>
      <c r="R5" t="s">
        <v>123</v>
      </c>
      <c r="AC5">
        <v>4000</v>
      </c>
    </row>
    <row r="6" spans="1:29" x14ac:dyDescent="0.3">
      <c r="A6" t="s">
        <v>0</v>
      </c>
      <c r="B6" t="s">
        <v>166</v>
      </c>
      <c r="C6" t="s">
        <v>166</v>
      </c>
      <c r="P6" t="s">
        <v>0</v>
      </c>
      <c r="Q6" t="s">
        <v>166</v>
      </c>
      <c r="R6" t="s">
        <v>166</v>
      </c>
    </row>
    <row r="7" spans="1:29" x14ac:dyDescent="0.3">
      <c r="A7" t="s">
        <v>168</v>
      </c>
      <c r="B7" t="s">
        <v>167</v>
      </c>
      <c r="C7" t="s">
        <v>167</v>
      </c>
      <c r="P7" t="s">
        <v>168</v>
      </c>
      <c r="Q7" t="s">
        <v>167</v>
      </c>
      <c r="R7" t="s">
        <v>167</v>
      </c>
    </row>
    <row r="8" spans="1:29" x14ac:dyDescent="0.3">
      <c r="A8" t="s">
        <v>52</v>
      </c>
      <c r="B8">
        <v>1476.3779527559054</v>
      </c>
      <c r="C8">
        <v>1377.952755905512</v>
      </c>
      <c r="P8" t="s">
        <v>52</v>
      </c>
      <c r="Q8">
        <v>1424.7121583367034</v>
      </c>
      <c r="R8">
        <v>1325.8230702246592</v>
      </c>
    </row>
    <row r="9" spans="1:29" x14ac:dyDescent="0.3">
      <c r="A9" t="s">
        <v>53</v>
      </c>
      <c r="B9">
        <v>1525.5905511811025</v>
      </c>
      <c r="C9">
        <v>1525.5905511811025</v>
      </c>
      <c r="P9" t="s">
        <v>53</v>
      </c>
      <c r="Q9">
        <v>1468.4280915044687</v>
      </c>
      <c r="R9">
        <v>1470.5580917297946</v>
      </c>
    </row>
    <row r="10" spans="1:29" x14ac:dyDescent="0.3">
      <c r="A10" t="s">
        <v>54</v>
      </c>
      <c r="B10">
        <v>1082.6771653543306</v>
      </c>
      <c r="C10">
        <v>836.61417322834666</v>
      </c>
      <c r="P10" t="s">
        <v>54</v>
      </c>
      <c r="Q10">
        <v>1045.0209693326863</v>
      </c>
      <c r="R10">
        <v>805.57834064012809</v>
      </c>
    </row>
    <row r="11" spans="1:29" x14ac:dyDescent="0.3">
      <c r="A11" t="s">
        <v>55</v>
      </c>
      <c r="B11">
        <v>541.33858267716528</v>
      </c>
      <c r="C11">
        <v>196.85039370078758</v>
      </c>
      <c r="P11" t="s">
        <v>55</v>
      </c>
      <c r="Q11">
        <v>520.61661118579684</v>
      </c>
      <c r="R11">
        <v>189.45655268536672</v>
      </c>
    </row>
    <row r="12" spans="1:29" x14ac:dyDescent="0.3">
      <c r="A12" t="s">
        <v>56</v>
      </c>
      <c r="B12">
        <v>590.55118110236219</v>
      </c>
      <c r="C12">
        <v>295.27559055118138</v>
      </c>
      <c r="P12" t="s">
        <v>56</v>
      </c>
      <c r="Q12">
        <v>570.43633737922505</v>
      </c>
      <c r="R12">
        <v>283.7511212997112</v>
      </c>
    </row>
    <row r="13" spans="1:29" x14ac:dyDescent="0.3">
      <c r="A13" t="s">
        <v>57</v>
      </c>
      <c r="B13">
        <v>688.97637795275591</v>
      </c>
      <c r="C13">
        <v>541.33858267716528</v>
      </c>
      <c r="P13" t="s">
        <v>57</v>
      </c>
      <c r="Q13">
        <v>633.69884662304537</v>
      </c>
      <c r="R13">
        <v>521.15827831939146</v>
      </c>
    </row>
    <row r="14" spans="1:29" x14ac:dyDescent="0.3">
      <c r="A14" t="s">
        <v>58</v>
      </c>
      <c r="B14">
        <v>1525.5905511811022</v>
      </c>
      <c r="C14">
        <v>1574.8031496062988</v>
      </c>
      <c r="P14" t="s">
        <v>58</v>
      </c>
      <c r="Q14">
        <v>1475.6734779318228</v>
      </c>
      <c r="R14">
        <v>1515.4328261497544</v>
      </c>
    </row>
    <row r="15" spans="1:29" x14ac:dyDescent="0.3">
      <c r="A15" t="s">
        <v>59</v>
      </c>
      <c r="B15">
        <v>1033.4645669291338</v>
      </c>
      <c r="C15">
        <v>935.03937007874026</v>
      </c>
      <c r="P15" t="s">
        <v>59</v>
      </c>
      <c r="Q15">
        <v>999.23852111078702</v>
      </c>
      <c r="R15">
        <v>900.24362868511787</v>
      </c>
    </row>
    <row r="16" spans="1:29" x14ac:dyDescent="0.3">
      <c r="A16" t="s">
        <v>60</v>
      </c>
      <c r="B16">
        <v>1476.3779527559054</v>
      </c>
      <c r="C16">
        <v>1476.3779527559052</v>
      </c>
      <c r="P16" t="s">
        <v>60</v>
      </c>
      <c r="Q16">
        <v>1439.4540805494271</v>
      </c>
      <c r="R16">
        <v>1419.328219218499</v>
      </c>
    </row>
    <row r="17" spans="1:18" x14ac:dyDescent="0.3">
      <c r="A17" t="s">
        <v>61</v>
      </c>
      <c r="B17">
        <v>1230.3149606299212</v>
      </c>
      <c r="C17">
        <v>1279.5275590551187</v>
      </c>
      <c r="P17" t="s">
        <v>61</v>
      </c>
      <c r="Q17">
        <v>1148.1027721185201</v>
      </c>
      <c r="R17">
        <v>1230.9350306366989</v>
      </c>
    </row>
    <row r="18" spans="1:18" x14ac:dyDescent="0.3">
      <c r="A18" t="s">
        <v>62</v>
      </c>
      <c r="B18">
        <v>1796.259842519685</v>
      </c>
      <c r="C18">
        <v>1919.2913385826771</v>
      </c>
      <c r="P18" t="s">
        <v>62</v>
      </c>
      <c r="Q18">
        <v>1732.0834938877074</v>
      </c>
      <c r="R18">
        <v>1840.6362063242443</v>
      </c>
    </row>
    <row r="19" spans="1:18" x14ac:dyDescent="0.3">
      <c r="A19" t="s">
        <v>63</v>
      </c>
      <c r="B19">
        <v>1574.8031496062993</v>
      </c>
      <c r="C19">
        <v>1673.2283464566931</v>
      </c>
      <c r="P19" t="s">
        <v>63</v>
      </c>
      <c r="Q19">
        <v>1519.6581989073491</v>
      </c>
      <c r="R19">
        <v>1605.3635003260176</v>
      </c>
    </row>
    <row r="20" spans="1:18" x14ac:dyDescent="0.3">
      <c r="A20" t="s">
        <v>64</v>
      </c>
      <c r="B20">
        <v>1181.1023622047242</v>
      </c>
      <c r="C20">
        <v>1131.889763779528</v>
      </c>
      <c r="P20" t="s">
        <v>64</v>
      </c>
      <c r="Q20">
        <v>1140.6381877607159</v>
      </c>
      <c r="R20">
        <v>1089.6837047911388</v>
      </c>
    </row>
    <row r="21" spans="1:18" x14ac:dyDescent="0.3">
      <c r="A21" t="s">
        <v>65</v>
      </c>
      <c r="B21">
        <v>885.82677165354312</v>
      </c>
      <c r="C21">
        <v>787.40157480314974</v>
      </c>
      <c r="P21" t="s">
        <v>65</v>
      </c>
      <c r="Q21">
        <v>855.86542884735911</v>
      </c>
      <c r="R21">
        <v>758.06131486727463</v>
      </c>
    </row>
    <row r="22" spans="1:18" x14ac:dyDescent="0.3">
      <c r="A22" t="s">
        <v>66</v>
      </c>
      <c r="B22">
        <v>1131.8897637795276</v>
      </c>
      <c r="C22">
        <v>1033.4645669291344</v>
      </c>
      <c r="P22" t="s">
        <v>66</v>
      </c>
      <c r="Q22">
        <v>1094.2501826170092</v>
      </c>
      <c r="R22">
        <v>994.71194144094397</v>
      </c>
    </row>
    <row r="23" spans="1:18" x14ac:dyDescent="0.3">
      <c r="A23" t="s">
        <v>67</v>
      </c>
      <c r="B23">
        <v>1230.3149606299212</v>
      </c>
      <c r="C23">
        <v>1181.1023622047248</v>
      </c>
      <c r="P23" t="s">
        <v>67</v>
      </c>
      <c r="Q23">
        <v>1189.2690163945581</v>
      </c>
      <c r="R23">
        <v>1135.8672393492354</v>
      </c>
    </row>
    <row r="24" spans="1:18" x14ac:dyDescent="0.3">
      <c r="A24" t="s">
        <v>68</v>
      </c>
      <c r="B24">
        <v>1230.3149606299212</v>
      </c>
      <c r="C24">
        <v>1328.7401574803157</v>
      </c>
      <c r="P24" t="s">
        <v>68</v>
      </c>
      <c r="Q24">
        <v>1193.5951635104318</v>
      </c>
      <c r="R24">
        <v>1276.6197640141067</v>
      </c>
    </row>
    <row r="25" spans="1:18" x14ac:dyDescent="0.3">
      <c r="A25" t="s">
        <v>69</v>
      </c>
      <c r="B25">
        <v>1181.1023622047242</v>
      </c>
      <c r="C25">
        <v>1131.8897637795278</v>
      </c>
      <c r="P25" t="s">
        <v>69</v>
      </c>
      <c r="Q25">
        <v>1142.0197874626692</v>
      </c>
      <c r="R25">
        <v>1086.7287121274644</v>
      </c>
    </row>
    <row r="26" spans="1:18" x14ac:dyDescent="0.3">
      <c r="A26" t="s">
        <v>70</v>
      </c>
      <c r="B26">
        <v>1771.6535433070865</v>
      </c>
      <c r="C26">
        <v>2017.7165354330712</v>
      </c>
      <c r="P26" t="s">
        <v>70</v>
      </c>
      <c r="Q26">
        <v>1718.4448161999771</v>
      </c>
      <c r="R26">
        <v>1940.3215707760946</v>
      </c>
    </row>
    <row r="27" spans="1:18" x14ac:dyDescent="0.3">
      <c r="A27" t="s">
        <v>71</v>
      </c>
      <c r="B27">
        <v>1525.5905511811027</v>
      </c>
      <c r="C27">
        <v>1673.2283464566931</v>
      </c>
      <c r="P27" t="s">
        <v>71</v>
      </c>
      <c r="Q27">
        <v>1477.795244946396</v>
      </c>
      <c r="R27">
        <v>1608.3906115884515</v>
      </c>
    </row>
    <row r="28" spans="1:18" x14ac:dyDescent="0.3">
      <c r="A28" t="s">
        <v>72</v>
      </c>
      <c r="B28">
        <v>1131.8897637795274</v>
      </c>
      <c r="C28">
        <v>1131.8897637795278</v>
      </c>
      <c r="P28" t="s">
        <v>72</v>
      </c>
      <c r="Q28">
        <v>1093.9566322507064</v>
      </c>
      <c r="R28">
        <v>1087.5082588191842</v>
      </c>
    </row>
    <row r="29" spans="1:18" x14ac:dyDescent="0.3">
      <c r="A29" t="s">
        <v>73</v>
      </c>
      <c r="B29">
        <v>1328.7401574803148</v>
      </c>
      <c r="C29">
        <v>1328.7401574803157</v>
      </c>
      <c r="P29" t="s">
        <v>73</v>
      </c>
      <c r="Q29">
        <v>1304.1159053279728</v>
      </c>
      <c r="R29">
        <v>1277.4419781924087</v>
      </c>
    </row>
    <row r="30" spans="1:18" x14ac:dyDescent="0.3">
      <c r="A30" t="s">
        <v>74</v>
      </c>
      <c r="B30">
        <v>1377.9527559055116</v>
      </c>
      <c r="C30">
        <v>1574.8031496062988</v>
      </c>
      <c r="P30" t="s">
        <v>74</v>
      </c>
      <c r="Q30">
        <v>1336.6911017361197</v>
      </c>
      <c r="R30">
        <v>1513.1022168859249</v>
      </c>
    </row>
    <row r="31" spans="1:18" x14ac:dyDescent="0.3">
      <c r="A31" t="s">
        <v>75</v>
      </c>
      <c r="B31">
        <v>1033.4645669291338</v>
      </c>
      <c r="C31">
        <v>1131.889763779528</v>
      </c>
      <c r="P31" t="s">
        <v>75</v>
      </c>
      <c r="Q31">
        <v>1000.3251879139318</v>
      </c>
      <c r="R31">
        <v>1086.1517025295395</v>
      </c>
    </row>
    <row r="32" spans="1:18" x14ac:dyDescent="0.3">
      <c r="A32" t="s">
        <v>76</v>
      </c>
      <c r="B32">
        <v>1033.4645669291338</v>
      </c>
      <c r="C32">
        <v>787.40157480314963</v>
      </c>
      <c r="P32" t="s">
        <v>76</v>
      </c>
      <c r="Q32">
        <v>1005.7055618896663</v>
      </c>
      <c r="R32">
        <v>759.16105037782302</v>
      </c>
    </row>
    <row r="33" spans="1:18" x14ac:dyDescent="0.3">
      <c r="A33" t="s">
        <v>77</v>
      </c>
      <c r="B33">
        <v>1082.6771653543306</v>
      </c>
      <c r="C33">
        <v>984.25196850393729</v>
      </c>
      <c r="P33" t="s">
        <v>77</v>
      </c>
      <c r="Q33">
        <v>1049.0944616413844</v>
      </c>
      <c r="R33">
        <v>949.37185010303347</v>
      </c>
    </row>
    <row r="34" spans="1:18" x14ac:dyDescent="0.3">
      <c r="A34" t="s">
        <v>78</v>
      </c>
      <c r="B34">
        <v>1525.5905511811027</v>
      </c>
      <c r="C34">
        <v>1574.8031496062988</v>
      </c>
      <c r="P34" t="s">
        <v>78</v>
      </c>
      <c r="Q34">
        <v>1480.7114410267261</v>
      </c>
      <c r="R34">
        <v>1509.9851648978656</v>
      </c>
    </row>
    <row r="35" spans="1:18" x14ac:dyDescent="0.3">
      <c r="A35" t="s">
        <v>79</v>
      </c>
      <c r="B35">
        <v>1574.8031496062988</v>
      </c>
      <c r="C35">
        <v>1574.8031496062988</v>
      </c>
      <c r="P35" t="s">
        <v>79</v>
      </c>
      <c r="Q35">
        <v>1527.9242742632246</v>
      </c>
      <c r="R35">
        <v>1514.9983477224475</v>
      </c>
    </row>
    <row r="36" spans="1:18" x14ac:dyDescent="0.3">
      <c r="A36" t="s">
        <v>80</v>
      </c>
      <c r="B36">
        <v>1181.1023622047246</v>
      </c>
      <c r="C36">
        <v>1181.1023622047248</v>
      </c>
      <c r="P36" t="s">
        <v>80</v>
      </c>
      <c r="Q36">
        <v>1147.6851724601852</v>
      </c>
      <c r="R36">
        <v>1137.9222758445521</v>
      </c>
    </row>
    <row r="37" spans="1:18" x14ac:dyDescent="0.3">
      <c r="A37" t="s">
        <v>81</v>
      </c>
      <c r="B37">
        <v>1427.1653543307086</v>
      </c>
      <c r="C37">
        <v>1574.8031496062988</v>
      </c>
      <c r="P37" t="s">
        <v>81</v>
      </c>
      <c r="Q37">
        <v>1385.2108172577082</v>
      </c>
      <c r="R37">
        <v>1520.190518872103</v>
      </c>
    </row>
    <row r="38" spans="1:18" x14ac:dyDescent="0.3">
      <c r="A38" t="s">
        <v>82</v>
      </c>
      <c r="B38">
        <v>738.18897637795237</v>
      </c>
      <c r="C38">
        <v>541.33858267716528</v>
      </c>
      <c r="P38" t="s">
        <v>82</v>
      </c>
      <c r="Q38">
        <v>714.07947893092899</v>
      </c>
      <c r="R38">
        <v>520.50971416413165</v>
      </c>
    </row>
    <row r="39" spans="1:18" x14ac:dyDescent="0.3">
      <c r="A39" t="s">
        <v>83</v>
      </c>
      <c r="B39">
        <v>738.1889763779526</v>
      </c>
      <c r="C39">
        <v>639.763779527559</v>
      </c>
      <c r="P39" t="s">
        <v>83</v>
      </c>
      <c r="Q39">
        <v>713.64112443189242</v>
      </c>
      <c r="R39">
        <v>614.8138907448598</v>
      </c>
    </row>
    <row r="40" spans="1:18" x14ac:dyDescent="0.3">
      <c r="A40" t="s">
        <v>84</v>
      </c>
      <c r="B40">
        <v>1820.8661417322833</v>
      </c>
      <c r="C40">
        <v>2066.9291338582684</v>
      </c>
      <c r="P40" t="s">
        <v>84</v>
      </c>
      <c r="Q40">
        <v>1770.3429861492154</v>
      </c>
      <c r="R40">
        <v>1988.7260568913669</v>
      </c>
    </row>
    <row r="41" spans="1:18" x14ac:dyDescent="0.3">
      <c r="A41" t="s">
        <v>85</v>
      </c>
      <c r="B41">
        <v>1771.6535433070865</v>
      </c>
      <c r="C41">
        <v>1870.0787401574803</v>
      </c>
      <c r="P41" t="s">
        <v>85</v>
      </c>
      <c r="Q41">
        <v>1720.9256217073587</v>
      </c>
      <c r="R41">
        <v>1803.0614568777023</v>
      </c>
    </row>
    <row r="42" spans="1:18" x14ac:dyDescent="0.3">
      <c r="A42" t="s">
        <v>86</v>
      </c>
      <c r="B42">
        <v>1673.2283464566931</v>
      </c>
      <c r="C42">
        <v>1870.0787401574803</v>
      </c>
      <c r="P42" t="s">
        <v>86</v>
      </c>
      <c r="Q42">
        <v>1629.8046488899747</v>
      </c>
      <c r="R42">
        <v>1796.2071096456123</v>
      </c>
    </row>
    <row r="43" spans="1:18" x14ac:dyDescent="0.3">
      <c r="A43" t="s">
        <v>87</v>
      </c>
      <c r="B43">
        <v>1870.0787401574803</v>
      </c>
      <c r="C43">
        <v>2116.1417322834645</v>
      </c>
      <c r="P43" t="s">
        <v>87</v>
      </c>
      <c r="Q43">
        <v>1788.5030474281882</v>
      </c>
      <c r="R43">
        <v>2031.3115380984307</v>
      </c>
    </row>
    <row r="44" spans="1:18" x14ac:dyDescent="0.3">
      <c r="A44" t="s">
        <v>88</v>
      </c>
      <c r="B44">
        <v>1131.8897637795276</v>
      </c>
      <c r="C44">
        <v>1033.4645669291342</v>
      </c>
      <c r="P44" t="s">
        <v>88</v>
      </c>
      <c r="Q44">
        <v>1099.7312310751072</v>
      </c>
      <c r="R44">
        <v>996.02733762188245</v>
      </c>
    </row>
    <row r="45" spans="1:18" x14ac:dyDescent="0.3">
      <c r="A45" t="s">
        <v>89</v>
      </c>
      <c r="B45">
        <v>1082.6771653543306</v>
      </c>
      <c r="C45">
        <v>935.03937007874049</v>
      </c>
      <c r="P45" t="s">
        <v>89</v>
      </c>
      <c r="Q45">
        <v>1054.2464503606177</v>
      </c>
      <c r="R45">
        <v>902.50851965851041</v>
      </c>
    </row>
    <row r="46" spans="1:18" x14ac:dyDescent="0.3">
      <c r="A46" t="s">
        <v>90</v>
      </c>
      <c r="B46">
        <v>984.25196850393706</v>
      </c>
      <c r="C46">
        <v>787.40157480314974</v>
      </c>
      <c r="P46" t="s">
        <v>90</v>
      </c>
      <c r="Q46">
        <v>958.0551480494596</v>
      </c>
      <c r="R46">
        <v>756.31993369249903</v>
      </c>
    </row>
    <row r="47" spans="1:18" x14ac:dyDescent="0.3">
      <c r="A47" t="s">
        <v>91</v>
      </c>
      <c r="B47">
        <v>836.6141732283462</v>
      </c>
      <c r="C47">
        <v>787.40157480314986</v>
      </c>
      <c r="P47" t="s">
        <v>91</v>
      </c>
      <c r="Q47">
        <v>813.83825056760531</v>
      </c>
      <c r="R47">
        <v>758.10197601321647</v>
      </c>
    </row>
    <row r="48" spans="1:18" x14ac:dyDescent="0.3">
      <c r="A48" t="s">
        <v>92</v>
      </c>
      <c r="B48">
        <v>984.25196850393706</v>
      </c>
      <c r="C48">
        <v>885.82677165354357</v>
      </c>
      <c r="P48" t="s">
        <v>92</v>
      </c>
      <c r="Q48">
        <v>956.202252685237</v>
      </c>
      <c r="R48">
        <v>850.87479496992921</v>
      </c>
    </row>
    <row r="49" spans="1:18" x14ac:dyDescent="0.3">
      <c r="A49" t="s">
        <v>93</v>
      </c>
      <c r="B49">
        <v>1033.4645669291338</v>
      </c>
      <c r="C49">
        <v>885.82677165354369</v>
      </c>
      <c r="P49" t="s">
        <v>93</v>
      </c>
      <c r="Q49">
        <v>1007.6455167356288</v>
      </c>
      <c r="R49">
        <v>852.83277573388386</v>
      </c>
    </row>
    <row r="50" spans="1:18" x14ac:dyDescent="0.3">
      <c r="A50" t="s">
        <v>94</v>
      </c>
      <c r="B50">
        <v>1230.3149606299212</v>
      </c>
      <c r="C50">
        <v>1082.6771653543312</v>
      </c>
      <c r="P50" t="s">
        <v>94</v>
      </c>
      <c r="Q50">
        <v>1194.337081885652</v>
      </c>
      <c r="R50">
        <v>1039.4322076019573</v>
      </c>
    </row>
    <row r="51" spans="1:18" x14ac:dyDescent="0.3">
      <c r="A51" t="s">
        <v>95</v>
      </c>
      <c r="B51">
        <v>885.82677165354323</v>
      </c>
      <c r="C51">
        <v>787.40157480314974</v>
      </c>
      <c r="P51" t="s">
        <v>95</v>
      </c>
      <c r="Q51">
        <v>859.96520333544663</v>
      </c>
      <c r="R51">
        <v>756.24564208091715</v>
      </c>
    </row>
    <row r="52" spans="1:18" x14ac:dyDescent="0.3">
      <c r="A52" t="s">
        <v>96</v>
      </c>
      <c r="B52">
        <v>1082.6771653543306</v>
      </c>
      <c r="C52">
        <v>984.25196850393729</v>
      </c>
      <c r="P52" t="s">
        <v>96</v>
      </c>
      <c r="Q52">
        <v>1055.9905823796905</v>
      </c>
      <c r="R52">
        <v>947.03966777714618</v>
      </c>
    </row>
    <row r="53" spans="1:18" x14ac:dyDescent="0.3">
      <c r="A53" t="s">
        <v>97</v>
      </c>
      <c r="B53">
        <v>1722.4409448818894</v>
      </c>
      <c r="C53">
        <v>1870.0787401574803</v>
      </c>
      <c r="P53" t="s">
        <v>97</v>
      </c>
      <c r="Q53">
        <v>1679.462571976967</v>
      </c>
      <c r="R53">
        <v>1797.9262812125826</v>
      </c>
    </row>
    <row r="54" spans="1:18" x14ac:dyDescent="0.3">
      <c r="A54" t="s">
        <v>98</v>
      </c>
      <c r="B54">
        <v>1181.1023622047244</v>
      </c>
      <c r="C54">
        <v>1131.889763779528</v>
      </c>
      <c r="P54" t="s">
        <v>98</v>
      </c>
      <c r="Q54">
        <v>1148.6460031281747</v>
      </c>
      <c r="R54">
        <v>1090.9370294628986</v>
      </c>
    </row>
    <row r="55" spans="1:18" x14ac:dyDescent="0.3">
      <c r="A55" t="s">
        <v>99</v>
      </c>
      <c r="B55">
        <v>935.03937007874015</v>
      </c>
      <c r="C55">
        <v>984.25196850393718</v>
      </c>
      <c r="P55" t="s">
        <v>99</v>
      </c>
      <c r="Q55">
        <v>908.66163368157459</v>
      </c>
      <c r="R55">
        <v>950.8026926723262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Scale</vt:lpstr>
      <vt:lpstr>Plot Scale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2022-05-13T17:57:34Z</dcterms:created>
  <dcterms:modified xsi:type="dcterms:W3CDTF">2023-10-05T16:31:59Z</dcterms:modified>
</cp:coreProperties>
</file>