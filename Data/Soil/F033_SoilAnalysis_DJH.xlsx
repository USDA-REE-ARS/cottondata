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Soil\"/>
    </mc:Choice>
  </mc:AlternateContent>
  <xr:revisionPtr revIDLastSave="0" documentId="13_ncr:1_{E238ADDB-0CC2-4730-975B-608A7716EA1A}" xr6:coauthVersionLast="47" xr6:coauthVersionMax="47" xr10:uidLastSave="{00000000-0000-0000-0000-000000000000}"/>
  <bookViews>
    <workbookView xWindow="-1200" yWindow="-19320" windowWidth="17565" windowHeight="18285" activeTab="2" xr2:uid="{276313F7-0EEA-431C-A86E-AB2F42C306E1}"/>
  </bookViews>
  <sheets>
    <sheet name="SoilDF" sheetId="1" r:id="rId1"/>
    <sheet name="F033-2009-Cotton" sheetId="2" r:id="rId2"/>
    <sheet name="F033-2011-Cott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" l="1"/>
  <c r="H6" i="3"/>
  <c r="J6" i="3"/>
  <c r="L6" i="3"/>
  <c r="M6" i="3"/>
  <c r="O6" i="3"/>
  <c r="N6" i="3" s="1"/>
  <c r="F7" i="3"/>
  <c r="H7" i="3"/>
  <c r="J7" i="3"/>
  <c r="L7" i="3"/>
  <c r="M7" i="3"/>
  <c r="O7" i="3"/>
  <c r="N7" i="3" s="1"/>
  <c r="F8" i="3"/>
  <c r="H8" i="3"/>
  <c r="J8" i="3"/>
  <c r="L8" i="3"/>
  <c r="O8" i="3" s="1"/>
  <c r="M8" i="3"/>
  <c r="N8" i="3" s="1"/>
  <c r="F9" i="3"/>
  <c r="H9" i="3"/>
  <c r="M9" i="3" s="1"/>
  <c r="J9" i="3"/>
  <c r="L9" i="3"/>
  <c r="O9" i="3"/>
  <c r="F10" i="3"/>
  <c r="H10" i="3"/>
  <c r="M10" i="3" s="1"/>
  <c r="J10" i="3"/>
  <c r="L10" i="3"/>
  <c r="O10" i="3" s="1"/>
  <c r="F11" i="3"/>
  <c r="H11" i="3"/>
  <c r="J11" i="3"/>
  <c r="L11" i="3"/>
  <c r="M11" i="3"/>
  <c r="O11" i="3"/>
  <c r="N11" i="3" s="1"/>
  <c r="F14" i="3"/>
  <c r="H14" i="3"/>
  <c r="J14" i="3"/>
  <c r="L14" i="3"/>
  <c r="M14" i="3"/>
  <c r="O14" i="3"/>
  <c r="N14" i="3" s="1"/>
  <c r="F15" i="3"/>
  <c r="H15" i="3"/>
  <c r="J15" i="3"/>
  <c r="L15" i="3"/>
  <c r="O15" i="3" s="1"/>
  <c r="M15" i="3"/>
  <c r="N15" i="3"/>
  <c r="F16" i="3"/>
  <c r="H16" i="3"/>
  <c r="J16" i="3"/>
  <c r="L16" i="3"/>
  <c r="O16" i="3" s="1"/>
  <c r="N16" i="3" s="1"/>
  <c r="M16" i="3"/>
  <c r="F17" i="3"/>
  <c r="H17" i="3" s="1"/>
  <c r="M17" i="3" s="1"/>
  <c r="J17" i="3"/>
  <c r="L17" i="3" s="1"/>
  <c r="O17" i="3"/>
  <c r="F18" i="3"/>
  <c r="H18" i="3" s="1"/>
  <c r="M18" i="3" s="1"/>
  <c r="N18" i="3" s="1"/>
  <c r="J18" i="3"/>
  <c r="L18" i="3"/>
  <c r="O18" i="3"/>
  <c r="F19" i="3"/>
  <c r="H19" i="3"/>
  <c r="J19" i="3"/>
  <c r="L19" i="3"/>
  <c r="M19" i="3"/>
  <c r="O19" i="3"/>
  <c r="N19" i="3" s="1"/>
  <c r="F22" i="3"/>
  <c r="H22" i="3"/>
  <c r="J22" i="3"/>
  <c r="L22" i="3"/>
  <c r="M22" i="3"/>
  <c r="O22" i="3"/>
  <c r="N22" i="3" s="1"/>
  <c r="F23" i="3"/>
  <c r="H23" i="3"/>
  <c r="M23" i="3" s="1"/>
  <c r="J23" i="3"/>
  <c r="L23" i="3"/>
  <c r="O23" i="3" s="1"/>
  <c r="F24" i="3"/>
  <c r="H24" i="3" s="1"/>
  <c r="J24" i="3"/>
  <c r="L24" i="3"/>
  <c r="M24" i="3"/>
  <c r="N24" i="3"/>
  <c r="O24" i="3"/>
  <c r="F25" i="3"/>
  <c r="H25" i="3"/>
  <c r="J25" i="3"/>
  <c r="L25" i="3"/>
  <c r="M25" i="3"/>
  <c r="O25" i="3"/>
  <c r="N25" i="3" s="1"/>
  <c r="F26" i="3"/>
  <c r="H26" i="3"/>
  <c r="J26" i="3"/>
  <c r="L26" i="3"/>
  <c r="M26" i="3"/>
  <c r="O26" i="3"/>
  <c r="N26" i="3" s="1"/>
  <c r="F27" i="3"/>
  <c r="H27" i="3" s="1"/>
  <c r="M27" i="3" s="1"/>
  <c r="J27" i="3"/>
  <c r="L27" i="3"/>
  <c r="O27" i="3"/>
  <c r="F30" i="3"/>
  <c r="H30" i="3" s="1"/>
  <c r="M30" i="3" s="1"/>
  <c r="N30" i="3" s="1"/>
  <c r="J30" i="3"/>
  <c r="L30" i="3"/>
  <c r="O30" i="3" s="1"/>
  <c r="F31" i="3"/>
  <c r="H31" i="3"/>
  <c r="J31" i="3"/>
  <c r="L31" i="3"/>
  <c r="O31" i="3" s="1"/>
  <c r="M31" i="3"/>
  <c r="N31" i="3"/>
  <c r="F32" i="3"/>
  <c r="H32" i="3"/>
  <c r="J32" i="3"/>
  <c r="L32" i="3"/>
  <c r="M32" i="3"/>
  <c r="O32" i="3"/>
  <c r="N32" i="3" s="1"/>
  <c r="F33" i="3"/>
  <c r="H33" i="3"/>
  <c r="J33" i="3"/>
  <c r="L33" i="3"/>
  <c r="M33" i="3"/>
  <c r="O33" i="3"/>
  <c r="N33" i="3" s="1"/>
  <c r="F34" i="3"/>
  <c r="H34" i="3"/>
  <c r="M34" i="3" s="1"/>
  <c r="J34" i="3"/>
  <c r="L34" i="3" s="1"/>
  <c r="O34" i="3" s="1"/>
  <c r="F35" i="3"/>
  <c r="H35" i="3"/>
  <c r="M35" i="3" s="1"/>
  <c r="J35" i="3"/>
  <c r="L35" i="3" s="1"/>
  <c r="O35" i="3"/>
  <c r="F38" i="3"/>
  <c r="H38" i="3"/>
  <c r="M38" i="3" s="1"/>
  <c r="N38" i="3" s="1"/>
  <c r="J38" i="3"/>
  <c r="L38" i="3"/>
  <c r="O38" i="3"/>
  <c r="F39" i="3"/>
  <c r="H39" i="3"/>
  <c r="J39" i="3"/>
  <c r="L39" i="3"/>
  <c r="M39" i="3"/>
  <c r="O39" i="3"/>
  <c r="N39" i="3" s="1"/>
  <c r="F40" i="3"/>
  <c r="H40" i="3"/>
  <c r="J40" i="3"/>
  <c r="L40" i="3"/>
  <c r="M40" i="3"/>
  <c r="O40" i="3"/>
  <c r="N40" i="3" s="1"/>
  <c r="F41" i="3"/>
  <c r="H41" i="3"/>
  <c r="J41" i="3"/>
  <c r="L41" i="3" s="1"/>
  <c r="M41" i="3"/>
  <c r="O41" i="3"/>
  <c r="N41" i="3" s="1"/>
  <c r="F42" i="3"/>
  <c r="H42" i="3" s="1"/>
  <c r="M42" i="3" s="1"/>
  <c r="N42" i="3" s="1"/>
  <c r="J42" i="3"/>
  <c r="L42" i="3"/>
  <c r="O42" i="3"/>
  <c r="F43" i="3"/>
  <c r="H43" i="3"/>
  <c r="M43" i="3" s="1"/>
  <c r="J43" i="3"/>
  <c r="L43" i="3" s="1"/>
  <c r="O43" i="3" s="1"/>
  <c r="F46" i="3"/>
  <c r="H46" i="3"/>
  <c r="J46" i="3"/>
  <c r="L46" i="3"/>
  <c r="M46" i="3"/>
  <c r="O46" i="3"/>
  <c r="N46" i="3" s="1"/>
  <c r="F47" i="3"/>
  <c r="H47" i="3"/>
  <c r="J47" i="3"/>
  <c r="L47" i="3"/>
  <c r="M47" i="3"/>
  <c r="N47" i="3"/>
  <c r="O47" i="3"/>
  <c r="F48" i="3"/>
  <c r="H48" i="3"/>
  <c r="J48" i="3"/>
  <c r="L48" i="3"/>
  <c r="O48" i="3" s="1"/>
  <c r="M48" i="3"/>
  <c r="N48" i="3" s="1"/>
  <c r="F49" i="3"/>
  <c r="H49" i="3"/>
  <c r="J49" i="3"/>
  <c r="L49" i="3"/>
  <c r="O49" i="3" s="1"/>
  <c r="M49" i="3"/>
  <c r="N49" i="3"/>
  <c r="F50" i="3"/>
  <c r="H50" i="3"/>
  <c r="M50" i="3" s="1"/>
  <c r="J50" i="3"/>
  <c r="L50" i="3"/>
  <c r="O50" i="3" s="1"/>
  <c r="F51" i="3"/>
  <c r="H51" i="3"/>
  <c r="J51" i="3"/>
  <c r="L51" i="3"/>
  <c r="M51" i="3"/>
  <c r="O51" i="3"/>
  <c r="N51" i="3" s="1"/>
  <c r="F54" i="3"/>
  <c r="H54" i="3"/>
  <c r="M54" i="3" s="1"/>
  <c r="J54" i="3"/>
  <c r="L54" i="3"/>
  <c r="O54" i="3"/>
  <c r="N54" i="3" s="1"/>
  <c r="F55" i="3"/>
  <c r="H55" i="3"/>
  <c r="M55" i="3" s="1"/>
  <c r="N55" i="3" s="1"/>
  <c r="J55" i="3"/>
  <c r="L55" i="3" s="1"/>
  <c r="O55" i="3"/>
  <c r="F56" i="3"/>
  <c r="H56" i="3"/>
  <c r="J56" i="3"/>
  <c r="L56" i="3"/>
  <c r="M56" i="3"/>
  <c r="O56" i="3"/>
  <c r="N56" i="3" s="1"/>
  <c r="F57" i="3"/>
  <c r="H57" i="3"/>
  <c r="M57" i="3" s="1"/>
  <c r="J57" i="3"/>
  <c r="L57" i="3"/>
  <c r="O57" i="3" s="1"/>
  <c r="F58" i="3"/>
  <c r="H58" i="3"/>
  <c r="J58" i="3"/>
  <c r="L58" i="3"/>
  <c r="M58" i="3"/>
  <c r="O58" i="3"/>
  <c r="N58" i="3" s="1"/>
  <c r="F59" i="3"/>
  <c r="H59" i="3" s="1"/>
  <c r="J59" i="3"/>
  <c r="L59" i="3"/>
  <c r="M59" i="3"/>
  <c r="O59" i="3"/>
  <c r="N59" i="3" s="1"/>
  <c r="F62" i="3"/>
  <c r="H62" i="3" s="1"/>
  <c r="M62" i="3" s="1"/>
  <c r="N62" i="3" s="1"/>
  <c r="J62" i="3"/>
  <c r="L62" i="3"/>
  <c r="O62" i="3"/>
  <c r="F63" i="3"/>
  <c r="H63" i="3"/>
  <c r="J63" i="3"/>
  <c r="L63" i="3"/>
  <c r="M63" i="3"/>
  <c r="O63" i="3"/>
  <c r="N63" i="3" s="1"/>
  <c r="F64" i="3"/>
  <c r="H64" i="3"/>
  <c r="J64" i="3"/>
  <c r="L64" i="3"/>
  <c r="O64" i="3" s="1"/>
  <c r="M64" i="3"/>
  <c r="N64" i="3" s="1"/>
  <c r="F65" i="3"/>
  <c r="H65" i="3"/>
  <c r="J65" i="3"/>
  <c r="L65" i="3"/>
  <c r="M65" i="3"/>
  <c r="O65" i="3"/>
  <c r="F66" i="3"/>
  <c r="H66" i="3"/>
  <c r="J66" i="3"/>
  <c r="L66" i="3"/>
  <c r="O66" i="3" s="1"/>
  <c r="M66" i="3"/>
  <c r="N66" i="3"/>
  <c r="F67" i="3"/>
  <c r="H67" i="3"/>
  <c r="J67" i="3"/>
  <c r="L67" i="3"/>
  <c r="O67" i="3" s="1"/>
  <c r="M67" i="3"/>
  <c r="N67" i="3" s="1"/>
  <c r="F70" i="3"/>
  <c r="H70" i="3" s="1"/>
  <c r="M70" i="3" s="1"/>
  <c r="N70" i="3" s="1"/>
  <c r="J70" i="3"/>
  <c r="L70" i="3" s="1"/>
  <c r="O70" i="3"/>
  <c r="F71" i="3"/>
  <c r="H71" i="3"/>
  <c r="M71" i="3" s="1"/>
  <c r="J71" i="3"/>
  <c r="L71" i="3"/>
  <c r="O71" i="3" s="1"/>
  <c r="F72" i="3"/>
  <c r="H72" i="3"/>
  <c r="J72" i="3"/>
  <c r="L72" i="3"/>
  <c r="M72" i="3"/>
  <c r="O72" i="3"/>
  <c r="N72" i="3" s="1"/>
  <c r="F73" i="3"/>
  <c r="H73" i="3"/>
  <c r="M73" i="3" s="1"/>
  <c r="J73" i="3"/>
  <c r="L73" i="3" s="1"/>
  <c r="O73" i="3"/>
  <c r="F74" i="3"/>
  <c r="H74" i="3"/>
  <c r="J74" i="3"/>
  <c r="L74" i="3"/>
  <c r="M74" i="3"/>
  <c r="O74" i="3"/>
  <c r="N74" i="3" s="1"/>
  <c r="F75" i="3"/>
  <c r="H75" i="3"/>
  <c r="J75" i="3"/>
  <c r="L75" i="3"/>
  <c r="O75" i="3" s="1"/>
  <c r="M75" i="3"/>
  <c r="N75" i="3" s="1"/>
  <c r="F78" i="3"/>
  <c r="H78" i="3"/>
  <c r="M78" i="3" s="1"/>
  <c r="J78" i="3"/>
  <c r="L78" i="3"/>
  <c r="O78" i="3" s="1"/>
  <c r="F79" i="3"/>
  <c r="H79" i="3"/>
  <c r="J79" i="3"/>
  <c r="L79" i="3"/>
  <c r="M79" i="3"/>
  <c r="O79" i="3"/>
  <c r="N79" i="3" s="1"/>
  <c r="F80" i="3"/>
  <c r="H80" i="3" s="1"/>
  <c r="J80" i="3"/>
  <c r="L80" i="3"/>
  <c r="M80" i="3"/>
  <c r="N80" i="3"/>
  <c r="O80" i="3"/>
  <c r="F81" i="3"/>
  <c r="H81" i="3"/>
  <c r="J81" i="3"/>
  <c r="L81" i="3"/>
  <c r="M81" i="3"/>
  <c r="O81" i="3"/>
  <c r="N81" i="3" s="1"/>
  <c r="F82" i="3"/>
  <c r="H82" i="3"/>
  <c r="J82" i="3"/>
  <c r="L82" i="3"/>
  <c r="M82" i="3"/>
  <c r="O82" i="3"/>
  <c r="N82" i="3" s="1"/>
  <c r="F83" i="3"/>
  <c r="H83" i="3"/>
  <c r="M83" i="3" s="1"/>
  <c r="N83" i="3" s="1"/>
  <c r="J83" i="3"/>
  <c r="L83" i="3" s="1"/>
  <c r="O83" i="3" s="1"/>
  <c r="F86" i="3"/>
  <c r="H86" i="3"/>
  <c r="J86" i="3"/>
  <c r="L86" i="3"/>
  <c r="O86" i="3" s="1"/>
  <c r="M86" i="3"/>
  <c r="N86" i="3"/>
  <c r="F87" i="3"/>
  <c r="H87" i="3"/>
  <c r="J87" i="3"/>
  <c r="L87" i="3"/>
  <c r="M87" i="3"/>
  <c r="O87" i="3"/>
  <c r="N87" i="3" s="1"/>
  <c r="F88" i="3"/>
  <c r="H88" i="3" s="1"/>
  <c r="M88" i="3" s="1"/>
  <c r="N88" i="3" s="1"/>
  <c r="J88" i="3"/>
  <c r="L88" i="3"/>
  <c r="O88" i="3"/>
  <c r="F89" i="3"/>
  <c r="H89" i="3"/>
  <c r="J89" i="3"/>
  <c r="L89" i="3"/>
  <c r="M89" i="3"/>
  <c r="O89" i="3"/>
  <c r="N89" i="3" s="1"/>
  <c r="F90" i="3"/>
  <c r="H90" i="3"/>
  <c r="M90" i="3" s="1"/>
  <c r="N90" i="3" s="1"/>
  <c r="J90" i="3"/>
  <c r="L90" i="3"/>
  <c r="O90" i="3"/>
  <c r="F91" i="3"/>
  <c r="H91" i="3"/>
  <c r="M91" i="3" s="1"/>
  <c r="J91" i="3"/>
  <c r="L91" i="3" s="1"/>
  <c r="O91" i="3"/>
  <c r="F94" i="3"/>
  <c r="H94" i="3"/>
  <c r="J94" i="3"/>
  <c r="L94" i="3"/>
  <c r="M94" i="3"/>
  <c r="O94" i="3"/>
  <c r="N94" i="3" s="1"/>
  <c r="F95" i="3"/>
  <c r="H95" i="3"/>
  <c r="M95" i="3" s="1"/>
  <c r="J95" i="3"/>
  <c r="L95" i="3" s="1"/>
  <c r="O95" i="3"/>
  <c r="F96" i="3"/>
  <c r="H96" i="3"/>
  <c r="M96" i="3" s="1"/>
  <c r="J96" i="3"/>
  <c r="L96" i="3" s="1"/>
  <c r="O96" i="3" s="1"/>
  <c r="F97" i="3"/>
  <c r="H97" i="3"/>
  <c r="M97" i="3" s="1"/>
  <c r="J97" i="3"/>
  <c r="L97" i="3" s="1"/>
  <c r="O97" i="3" s="1"/>
  <c r="F98" i="3"/>
  <c r="H98" i="3" s="1"/>
  <c r="J98" i="3"/>
  <c r="L98" i="3"/>
  <c r="M98" i="3"/>
  <c r="O98" i="3"/>
  <c r="N98" i="3" s="1"/>
  <c r="F99" i="3"/>
  <c r="H99" i="3"/>
  <c r="J99" i="3"/>
  <c r="L99" i="3"/>
  <c r="M99" i="3"/>
  <c r="O99" i="3"/>
  <c r="N99" i="3" s="1"/>
  <c r="F102" i="3"/>
  <c r="H102" i="3"/>
  <c r="J102" i="3"/>
  <c r="L102" i="3"/>
  <c r="M102" i="3"/>
  <c r="O102" i="3"/>
  <c r="N102" i="3" s="1"/>
  <c r="F103" i="3"/>
  <c r="H103" i="3" s="1"/>
  <c r="J103" i="3"/>
  <c r="L103" i="3"/>
  <c r="M103" i="3"/>
  <c r="O103" i="3"/>
  <c r="N103" i="3" s="1"/>
  <c r="F104" i="3"/>
  <c r="H104" i="3" s="1"/>
  <c r="M104" i="3" s="1"/>
  <c r="N104" i="3" s="1"/>
  <c r="J104" i="3"/>
  <c r="L104" i="3"/>
  <c r="O104" i="3" s="1"/>
  <c r="F105" i="3"/>
  <c r="H105" i="3"/>
  <c r="J105" i="3"/>
  <c r="L105" i="3"/>
  <c r="M105" i="3"/>
  <c r="O105" i="3"/>
  <c r="N105" i="3" s="1"/>
  <c r="F106" i="3"/>
  <c r="H106" i="3"/>
  <c r="J106" i="3"/>
  <c r="L106" i="3"/>
  <c r="M106" i="3"/>
  <c r="O106" i="3"/>
  <c r="N106" i="3" s="1"/>
  <c r="F107" i="3"/>
  <c r="H107" i="3"/>
  <c r="M107" i="3" s="1"/>
  <c r="N107" i="3" s="1"/>
  <c r="J107" i="3"/>
  <c r="L107" i="3"/>
  <c r="O107" i="3"/>
  <c r="F110" i="3"/>
  <c r="H110" i="3" s="1"/>
  <c r="M110" i="3" s="1"/>
  <c r="N110" i="3" s="1"/>
  <c r="J110" i="3"/>
  <c r="L110" i="3" s="1"/>
  <c r="O110" i="3"/>
  <c r="F111" i="3"/>
  <c r="H111" i="3" s="1"/>
  <c r="M111" i="3" s="1"/>
  <c r="N111" i="3" s="1"/>
  <c r="J111" i="3"/>
  <c r="L111" i="3"/>
  <c r="O111" i="3" s="1"/>
  <c r="F112" i="3"/>
  <c r="H112" i="3"/>
  <c r="J112" i="3"/>
  <c r="L112" i="3"/>
  <c r="M112" i="3"/>
  <c r="O112" i="3"/>
  <c r="N112" i="3" s="1"/>
  <c r="F113" i="3"/>
  <c r="H113" i="3"/>
  <c r="J113" i="3"/>
  <c r="L113" i="3"/>
  <c r="M113" i="3"/>
  <c r="O113" i="3"/>
  <c r="N113" i="3" s="1"/>
  <c r="F114" i="3"/>
  <c r="H114" i="3"/>
  <c r="J114" i="3"/>
  <c r="L114" i="3"/>
  <c r="M114" i="3"/>
  <c r="O114" i="3"/>
  <c r="N114" i="3" s="1"/>
  <c r="F115" i="3"/>
  <c r="H115" i="3"/>
  <c r="M115" i="3" s="1"/>
  <c r="N115" i="3" s="1"/>
  <c r="J115" i="3"/>
  <c r="L115" i="3"/>
  <c r="O115" i="3" s="1"/>
  <c r="F118" i="3"/>
  <c r="H118" i="3" s="1"/>
  <c r="M118" i="3" s="1"/>
  <c r="N118" i="3" s="1"/>
  <c r="J118" i="3"/>
  <c r="L118" i="3"/>
  <c r="O118" i="3"/>
  <c r="F119" i="3"/>
  <c r="H119" i="3"/>
  <c r="J119" i="3"/>
  <c r="L119" i="3"/>
  <c r="M119" i="3"/>
  <c r="O119" i="3"/>
  <c r="N119" i="3" s="1"/>
  <c r="F120" i="3"/>
  <c r="H120" i="3" s="1"/>
  <c r="M120" i="3" s="1"/>
  <c r="N120" i="3" s="1"/>
  <c r="J120" i="3"/>
  <c r="L120" i="3" s="1"/>
  <c r="O120" i="3" s="1"/>
  <c r="F121" i="3"/>
  <c r="H121" i="3"/>
  <c r="J121" i="3"/>
  <c r="L121" i="3"/>
  <c r="M121" i="3"/>
  <c r="O121" i="3"/>
  <c r="N121" i="3" s="1"/>
  <c r="F122" i="3"/>
  <c r="H122" i="3"/>
  <c r="J122" i="3"/>
  <c r="L122" i="3"/>
  <c r="O122" i="3" s="1"/>
  <c r="M122" i="3"/>
  <c r="N122" i="3"/>
  <c r="F123" i="3"/>
  <c r="H123" i="3"/>
  <c r="J123" i="3"/>
  <c r="L123" i="3"/>
  <c r="M123" i="3"/>
  <c r="O123" i="3"/>
  <c r="N123" i="3" s="1"/>
  <c r="F126" i="3"/>
  <c r="H126" i="3"/>
  <c r="J126" i="3"/>
  <c r="L126" i="3"/>
  <c r="M126" i="3"/>
  <c r="O126" i="3"/>
  <c r="N126" i="3" s="1"/>
  <c r="F127" i="3"/>
  <c r="H127" i="3"/>
  <c r="J127" i="3"/>
  <c r="L127" i="3" s="1"/>
  <c r="O127" i="3" s="1"/>
  <c r="M127" i="3"/>
  <c r="N127" i="3" s="1"/>
  <c r="F128" i="3"/>
  <c r="H128" i="3"/>
  <c r="J128" i="3"/>
  <c r="L128" i="3"/>
  <c r="M128" i="3"/>
  <c r="O128" i="3"/>
  <c r="N128" i="3" s="1"/>
  <c r="F129" i="3"/>
  <c r="H129" i="3"/>
  <c r="M129" i="3" s="1"/>
  <c r="J129" i="3"/>
  <c r="L129" i="3"/>
  <c r="O129" i="3" s="1"/>
  <c r="F130" i="3"/>
  <c r="H130" i="3"/>
  <c r="M130" i="3" s="1"/>
  <c r="N130" i="3" s="1"/>
  <c r="J130" i="3"/>
  <c r="L130" i="3"/>
  <c r="O130" i="3"/>
  <c r="F131" i="3"/>
  <c r="H131" i="3"/>
  <c r="J131" i="3"/>
  <c r="L131" i="3"/>
  <c r="M131" i="3"/>
  <c r="O131" i="3"/>
  <c r="N131" i="3" s="1"/>
  <c r="F134" i="3"/>
  <c r="H134" i="3"/>
  <c r="M134" i="3" s="1"/>
  <c r="J134" i="3"/>
  <c r="L134" i="3"/>
  <c r="O134" i="3" s="1"/>
  <c r="F135" i="3"/>
  <c r="H135" i="3" s="1"/>
  <c r="M135" i="3" s="1"/>
  <c r="J135" i="3"/>
  <c r="L135" i="3" s="1"/>
  <c r="O135" i="3"/>
  <c r="F136" i="3"/>
  <c r="H136" i="3" s="1"/>
  <c r="J136" i="3"/>
  <c r="L136" i="3"/>
  <c r="M136" i="3"/>
  <c r="O136" i="3"/>
  <c r="N136" i="3" s="1"/>
  <c r="F137" i="3"/>
  <c r="H137" i="3"/>
  <c r="J137" i="3"/>
  <c r="L137" i="3"/>
  <c r="M137" i="3"/>
  <c r="O137" i="3"/>
  <c r="N137" i="3" s="1"/>
  <c r="F138" i="3"/>
  <c r="H138" i="3"/>
  <c r="M138" i="3" s="1"/>
  <c r="J138" i="3"/>
  <c r="L138" i="3"/>
  <c r="O138" i="3"/>
  <c r="N138" i="3" s="1"/>
  <c r="F139" i="3"/>
  <c r="H139" i="3"/>
  <c r="M139" i="3" s="1"/>
  <c r="J139" i="3"/>
  <c r="L139" i="3"/>
  <c r="O139" i="3"/>
  <c r="F142" i="3"/>
  <c r="H142" i="3"/>
  <c r="M142" i="3" s="1"/>
  <c r="N142" i="3" s="1"/>
  <c r="J142" i="3"/>
  <c r="L142" i="3"/>
  <c r="O142" i="3" s="1"/>
  <c r="F143" i="3"/>
  <c r="H143" i="3"/>
  <c r="J143" i="3"/>
  <c r="L143" i="3"/>
  <c r="O143" i="3" s="1"/>
  <c r="M143" i="3"/>
  <c r="N143" i="3" s="1"/>
  <c r="F144" i="3"/>
  <c r="H144" i="3"/>
  <c r="J144" i="3"/>
  <c r="L144" i="3"/>
  <c r="M144" i="3"/>
  <c r="O144" i="3"/>
  <c r="N144" i="3" s="1"/>
  <c r="F145" i="3"/>
  <c r="H145" i="3" s="1"/>
  <c r="J145" i="3"/>
  <c r="L145" i="3"/>
  <c r="M145" i="3"/>
  <c r="O145" i="3"/>
  <c r="N145" i="3" s="1"/>
  <c r="F146" i="3"/>
  <c r="H146" i="3"/>
  <c r="J146" i="3"/>
  <c r="L146" i="3"/>
  <c r="O146" i="3" s="1"/>
  <c r="M146" i="3"/>
  <c r="N146" i="3" s="1"/>
  <c r="F147" i="3"/>
  <c r="H147" i="3"/>
  <c r="M147" i="3" s="1"/>
  <c r="J147" i="3"/>
  <c r="L147" i="3" s="1"/>
  <c r="O147" i="3" s="1"/>
  <c r="F150" i="3"/>
  <c r="H150" i="3" s="1"/>
  <c r="J150" i="3"/>
  <c r="L150" i="3"/>
  <c r="M150" i="3"/>
  <c r="O150" i="3"/>
  <c r="N150" i="3" s="1"/>
  <c r="F151" i="3"/>
  <c r="H151" i="3"/>
  <c r="J151" i="3"/>
  <c r="L151" i="3"/>
  <c r="M151" i="3"/>
  <c r="O151" i="3"/>
  <c r="F152" i="3"/>
  <c r="H152" i="3"/>
  <c r="J152" i="3"/>
  <c r="L152" i="3"/>
  <c r="M152" i="3"/>
  <c r="O152" i="3"/>
  <c r="N152" i="3" s="1"/>
  <c r="F153" i="3"/>
  <c r="H153" i="3"/>
  <c r="J153" i="3"/>
  <c r="L153" i="3"/>
  <c r="M153" i="3"/>
  <c r="O153" i="3"/>
  <c r="N153" i="3" s="1"/>
  <c r="F154" i="3"/>
  <c r="H154" i="3"/>
  <c r="M154" i="3" s="1"/>
  <c r="N154" i="3" s="1"/>
  <c r="J154" i="3"/>
  <c r="L154" i="3"/>
  <c r="O154" i="3"/>
  <c r="F155" i="3"/>
  <c r="H155" i="3" s="1"/>
  <c r="J155" i="3"/>
  <c r="L155" i="3"/>
  <c r="O155" i="3" s="1"/>
  <c r="M155" i="3"/>
  <c r="N155" i="3"/>
  <c r="F158" i="3"/>
  <c r="H158" i="3"/>
  <c r="J158" i="3"/>
  <c r="L158" i="3"/>
  <c r="M158" i="3"/>
  <c r="O158" i="3"/>
  <c r="N158" i="3" s="1"/>
  <c r="F159" i="3"/>
  <c r="H159" i="3"/>
  <c r="J159" i="3"/>
  <c r="L159" i="3"/>
  <c r="M159" i="3"/>
  <c r="O159" i="3"/>
  <c r="N159" i="3" s="1"/>
  <c r="F160" i="3"/>
  <c r="H160" i="3"/>
  <c r="J160" i="3"/>
  <c r="L160" i="3"/>
  <c r="O160" i="3" s="1"/>
  <c r="M160" i="3"/>
  <c r="N160" i="3"/>
  <c r="F161" i="3"/>
  <c r="H161" i="3"/>
  <c r="J161" i="3"/>
  <c r="L161" i="3"/>
  <c r="O161" i="3" s="1"/>
  <c r="M161" i="3"/>
  <c r="N161" i="3" s="1"/>
  <c r="F162" i="3"/>
  <c r="H162" i="3" s="1"/>
  <c r="M162" i="3" s="1"/>
  <c r="N162" i="3" s="1"/>
  <c r="J162" i="3"/>
  <c r="L162" i="3"/>
  <c r="O162" i="3" s="1"/>
  <c r="F163" i="3"/>
  <c r="H163" i="3"/>
  <c r="J163" i="3"/>
  <c r="L163" i="3"/>
  <c r="M163" i="3"/>
  <c r="O163" i="3"/>
  <c r="N163" i="3" s="1"/>
  <c r="F166" i="3"/>
  <c r="H166" i="3"/>
  <c r="J166" i="3"/>
  <c r="L166" i="3"/>
  <c r="O166" i="3" s="1"/>
  <c r="N166" i="3" s="1"/>
  <c r="M166" i="3"/>
  <c r="F167" i="3"/>
  <c r="H167" i="3"/>
  <c r="M167" i="3" s="1"/>
  <c r="J167" i="3"/>
  <c r="L167" i="3"/>
  <c r="O167" i="3" s="1"/>
  <c r="F168" i="3"/>
  <c r="H168" i="3"/>
  <c r="J168" i="3"/>
  <c r="L168" i="3"/>
  <c r="M168" i="3"/>
  <c r="O168" i="3"/>
  <c r="N168" i="3" s="1"/>
  <c r="F169" i="3"/>
  <c r="H169" i="3"/>
  <c r="M169" i="3" s="1"/>
  <c r="J169" i="3"/>
  <c r="L169" i="3" s="1"/>
  <c r="O169" i="3" s="1"/>
  <c r="F170" i="3"/>
  <c r="H170" i="3"/>
  <c r="J170" i="3"/>
  <c r="L170" i="3"/>
  <c r="M170" i="3"/>
  <c r="O170" i="3"/>
  <c r="N170" i="3" s="1"/>
  <c r="F171" i="3"/>
  <c r="H171" i="3"/>
  <c r="J171" i="3"/>
  <c r="L171" i="3"/>
  <c r="M171" i="3"/>
  <c r="O171" i="3"/>
  <c r="N171" i="3" s="1"/>
  <c r="F174" i="3"/>
  <c r="H174" i="3"/>
  <c r="M174" i="3" s="1"/>
  <c r="N174" i="3" s="1"/>
  <c r="J174" i="3"/>
  <c r="L174" i="3"/>
  <c r="O174" i="3"/>
  <c r="F175" i="3"/>
  <c r="H175" i="3"/>
  <c r="J175" i="3"/>
  <c r="L175" i="3"/>
  <c r="M175" i="3"/>
  <c r="O175" i="3"/>
  <c r="N175" i="3" s="1"/>
  <c r="F176" i="3"/>
  <c r="H176" i="3"/>
  <c r="M176" i="3" s="1"/>
  <c r="J176" i="3"/>
  <c r="L176" i="3"/>
  <c r="O176" i="3" s="1"/>
  <c r="F177" i="3"/>
  <c r="H177" i="3"/>
  <c r="J177" i="3"/>
  <c r="L177" i="3"/>
  <c r="M177" i="3"/>
  <c r="O177" i="3"/>
  <c r="N177" i="3" s="1"/>
  <c r="F178" i="3"/>
  <c r="H178" i="3"/>
  <c r="J178" i="3"/>
  <c r="L178" i="3"/>
  <c r="O178" i="3" s="1"/>
  <c r="M178" i="3"/>
  <c r="N178" i="3"/>
  <c r="F179" i="3"/>
  <c r="H179" i="3"/>
  <c r="J179" i="3"/>
  <c r="L179" i="3"/>
  <c r="O179" i="3" s="1"/>
  <c r="M179" i="3"/>
  <c r="N179" i="3" s="1"/>
  <c r="F182" i="3"/>
  <c r="H182" i="3"/>
  <c r="M182" i="3" s="1"/>
  <c r="J182" i="3"/>
  <c r="L182" i="3"/>
  <c r="O182" i="3"/>
  <c r="N182" i="3" s="1"/>
  <c r="F183" i="3"/>
  <c r="H183" i="3"/>
  <c r="M183" i="3" s="1"/>
  <c r="J183" i="3"/>
  <c r="L183" i="3" s="1"/>
  <c r="O183" i="3" s="1"/>
  <c r="F184" i="3"/>
  <c r="H184" i="3"/>
  <c r="J184" i="3"/>
  <c r="L184" i="3"/>
  <c r="M184" i="3"/>
  <c r="O184" i="3"/>
  <c r="N184" i="3" s="1"/>
  <c r="F185" i="3"/>
  <c r="H185" i="3"/>
  <c r="M185" i="3" s="1"/>
  <c r="J185" i="3"/>
  <c r="L185" i="3"/>
  <c r="O185" i="3" s="1"/>
  <c r="F186" i="3"/>
  <c r="H186" i="3" s="1"/>
  <c r="M186" i="3" s="1"/>
  <c r="J186" i="3"/>
  <c r="L186" i="3"/>
  <c r="O186" i="3"/>
  <c r="N186" i="3" s="1"/>
  <c r="F187" i="3"/>
  <c r="H187" i="3" s="1"/>
  <c r="J187" i="3"/>
  <c r="L187" i="3"/>
  <c r="O187" i="3" s="1"/>
  <c r="M187" i="3"/>
  <c r="N187" i="3" s="1"/>
  <c r="F190" i="3"/>
  <c r="H190" i="3"/>
  <c r="M190" i="3" s="1"/>
  <c r="J190" i="3"/>
  <c r="L190" i="3" s="1"/>
  <c r="O190" i="3" s="1"/>
  <c r="F191" i="3"/>
  <c r="H191" i="3"/>
  <c r="J191" i="3"/>
  <c r="L191" i="3"/>
  <c r="M191" i="3"/>
  <c r="O191" i="3"/>
  <c r="N191" i="3" s="1"/>
  <c r="F192" i="3"/>
  <c r="H192" i="3"/>
  <c r="M192" i="3" s="1"/>
  <c r="J192" i="3"/>
  <c r="L192" i="3"/>
  <c r="N192" i="3"/>
  <c r="O192" i="3"/>
  <c r="F193" i="3"/>
  <c r="H193" i="3"/>
  <c r="J193" i="3"/>
  <c r="L193" i="3"/>
  <c r="M193" i="3"/>
  <c r="O193" i="3"/>
  <c r="F194" i="3"/>
  <c r="H194" i="3"/>
  <c r="J194" i="3"/>
  <c r="L194" i="3"/>
  <c r="M194" i="3"/>
  <c r="O194" i="3"/>
  <c r="N194" i="3" s="1"/>
  <c r="F195" i="3"/>
  <c r="H195" i="3" s="1"/>
  <c r="M195" i="3" s="1"/>
  <c r="N195" i="3" s="1"/>
  <c r="J195" i="3"/>
  <c r="L195" i="3" s="1"/>
  <c r="O195" i="3" s="1"/>
  <c r="F198" i="3"/>
  <c r="H198" i="3"/>
  <c r="J198" i="3"/>
  <c r="L198" i="3"/>
  <c r="M198" i="3"/>
  <c r="O198" i="3"/>
  <c r="N198" i="3" s="1"/>
  <c r="F199" i="3"/>
  <c r="H199" i="3"/>
  <c r="J199" i="3"/>
  <c r="L199" i="3"/>
  <c r="M199" i="3"/>
  <c r="N199" i="3" s="1"/>
  <c r="O199" i="3"/>
  <c r="F200" i="3"/>
  <c r="H200" i="3"/>
  <c r="J200" i="3"/>
  <c r="L200" i="3"/>
  <c r="M200" i="3"/>
  <c r="O200" i="3"/>
  <c r="N200" i="3" s="1"/>
  <c r="F201" i="3"/>
  <c r="H201" i="3"/>
  <c r="M201" i="3" s="1"/>
  <c r="J201" i="3"/>
  <c r="L201" i="3" s="1"/>
  <c r="O201" i="3" s="1"/>
  <c r="F202" i="3"/>
  <c r="H202" i="3"/>
  <c r="J202" i="3"/>
  <c r="L202" i="3"/>
  <c r="M202" i="3"/>
  <c r="O202" i="3"/>
  <c r="N202" i="3" s="1"/>
  <c r="F203" i="3"/>
  <c r="H203" i="3"/>
  <c r="M203" i="3" s="1"/>
  <c r="J203" i="3"/>
  <c r="L203" i="3"/>
  <c r="O203" i="3" s="1"/>
  <c r="F206" i="3"/>
  <c r="H206" i="3"/>
  <c r="J206" i="3"/>
  <c r="L206" i="3"/>
  <c r="O206" i="3" s="1"/>
  <c r="M206" i="3"/>
  <c r="N206" i="3"/>
  <c r="F207" i="3"/>
  <c r="H207" i="3"/>
  <c r="M207" i="3" s="1"/>
  <c r="N207" i="3" s="1"/>
  <c r="J207" i="3"/>
  <c r="L207" i="3"/>
  <c r="O207" i="3"/>
  <c r="F208" i="3"/>
  <c r="H208" i="3"/>
  <c r="J208" i="3"/>
  <c r="L208" i="3"/>
  <c r="M208" i="3"/>
  <c r="O208" i="3"/>
  <c r="N208" i="3" s="1"/>
  <c r="F209" i="3"/>
  <c r="H209" i="3" s="1"/>
  <c r="M209" i="3" s="1"/>
  <c r="N209" i="3" s="1"/>
  <c r="J209" i="3"/>
  <c r="L209" i="3"/>
  <c r="O209" i="3"/>
  <c r="F210" i="3"/>
  <c r="H210" i="3"/>
  <c r="M210" i="3" s="1"/>
  <c r="J210" i="3"/>
  <c r="L210" i="3"/>
  <c r="O210" i="3"/>
  <c r="N210" i="3" s="1"/>
  <c r="F211" i="3"/>
  <c r="H211" i="3"/>
  <c r="J211" i="3"/>
  <c r="L211" i="3" s="1"/>
  <c r="O211" i="3" s="1"/>
  <c r="M211" i="3"/>
  <c r="N211" i="3" s="1"/>
  <c r="F214" i="3"/>
  <c r="H214" i="3"/>
  <c r="J214" i="3"/>
  <c r="L214" i="3"/>
  <c r="O214" i="3" s="1"/>
  <c r="M214" i="3"/>
  <c r="N214" i="3" s="1"/>
  <c r="F215" i="3"/>
  <c r="H215" i="3"/>
  <c r="J215" i="3"/>
  <c r="L215" i="3"/>
  <c r="O215" i="3" s="1"/>
  <c r="N215" i="3" s="1"/>
  <c r="M215" i="3"/>
  <c r="F216" i="3"/>
  <c r="H216" i="3"/>
  <c r="J216" i="3"/>
  <c r="L216" i="3"/>
  <c r="M216" i="3"/>
  <c r="O216" i="3"/>
  <c r="N216" i="3" s="1"/>
  <c r="F217" i="3"/>
  <c r="H217" i="3"/>
  <c r="J217" i="3"/>
  <c r="L217" i="3"/>
  <c r="M217" i="3"/>
  <c r="O217" i="3"/>
  <c r="N217" i="3" s="1"/>
  <c r="F218" i="3"/>
  <c r="H218" i="3"/>
  <c r="J218" i="3"/>
  <c r="L218" i="3"/>
  <c r="O218" i="3" s="1"/>
  <c r="M218" i="3"/>
  <c r="N218" i="3" s="1"/>
  <c r="F219" i="3"/>
  <c r="H219" i="3"/>
  <c r="M219" i="3" s="1"/>
  <c r="J219" i="3"/>
  <c r="L219" i="3" s="1"/>
  <c r="O219" i="3" s="1"/>
  <c r="F222" i="3"/>
  <c r="H222" i="3"/>
  <c r="M222" i="3" s="1"/>
  <c r="J222" i="3"/>
  <c r="L222" i="3"/>
  <c r="O222" i="3" s="1"/>
  <c r="F223" i="3"/>
  <c r="H223" i="3"/>
  <c r="M223" i="3" s="1"/>
  <c r="J223" i="3"/>
  <c r="L223" i="3"/>
  <c r="O223" i="3" s="1"/>
  <c r="F224" i="3"/>
  <c r="H224" i="3"/>
  <c r="M224" i="3" s="1"/>
  <c r="J224" i="3"/>
  <c r="L224" i="3"/>
  <c r="O224" i="3"/>
  <c r="N224" i="3" s="1"/>
  <c r="F225" i="3"/>
  <c r="H225" i="3"/>
  <c r="J225" i="3"/>
  <c r="L225" i="3"/>
  <c r="M225" i="3"/>
  <c r="O225" i="3"/>
  <c r="N225" i="3" s="1"/>
  <c r="F226" i="3"/>
  <c r="H226" i="3"/>
  <c r="J226" i="3"/>
  <c r="L226" i="3"/>
  <c r="M226" i="3"/>
  <c r="O226" i="3"/>
  <c r="N226" i="3" s="1"/>
  <c r="F227" i="3"/>
  <c r="H227" i="3" s="1"/>
  <c r="M227" i="3" s="1"/>
  <c r="N227" i="3" s="1"/>
  <c r="J227" i="3"/>
  <c r="L227" i="3" s="1"/>
  <c r="O227" i="3" s="1"/>
  <c r="F230" i="3"/>
  <c r="H230" i="3"/>
  <c r="M230" i="3" s="1"/>
  <c r="J230" i="3"/>
  <c r="L230" i="3"/>
  <c r="O230" i="3"/>
  <c r="N230" i="3" s="1"/>
  <c r="F231" i="3"/>
  <c r="H231" i="3" s="1"/>
  <c r="J231" i="3"/>
  <c r="L231" i="3"/>
  <c r="M231" i="3"/>
  <c r="O231" i="3"/>
  <c r="N231" i="3" s="1"/>
  <c r="F232" i="3"/>
  <c r="H232" i="3"/>
  <c r="M232" i="3" s="1"/>
  <c r="N232" i="3" s="1"/>
  <c r="J232" i="3"/>
  <c r="L232" i="3"/>
  <c r="O232" i="3"/>
  <c r="F233" i="3"/>
  <c r="H233" i="3"/>
  <c r="J233" i="3"/>
  <c r="L233" i="3"/>
  <c r="M233" i="3"/>
  <c r="O233" i="3"/>
  <c r="N233" i="3" s="1"/>
  <c r="F234" i="3"/>
  <c r="H234" i="3"/>
  <c r="M234" i="3" s="1"/>
  <c r="J234" i="3"/>
  <c r="L234" i="3" s="1"/>
  <c r="O234" i="3" s="1"/>
  <c r="F235" i="3"/>
  <c r="H235" i="3"/>
  <c r="J235" i="3"/>
  <c r="L235" i="3"/>
  <c r="M235" i="3"/>
  <c r="O235" i="3"/>
  <c r="F238" i="3"/>
  <c r="H238" i="3"/>
  <c r="J238" i="3"/>
  <c r="L238" i="3"/>
  <c r="M238" i="3"/>
  <c r="O238" i="3"/>
  <c r="N238" i="3" s="1"/>
  <c r="F239" i="3"/>
  <c r="H239" i="3"/>
  <c r="M239" i="3" s="1"/>
  <c r="J239" i="3"/>
  <c r="L239" i="3" s="1"/>
  <c r="O239" i="3"/>
  <c r="F240" i="3"/>
  <c r="H240" i="3" s="1"/>
  <c r="M240" i="3" s="1"/>
  <c r="N240" i="3" s="1"/>
  <c r="J240" i="3"/>
  <c r="L240" i="3"/>
  <c r="O240" i="3" s="1"/>
  <c r="F241" i="3"/>
  <c r="H241" i="3"/>
  <c r="M241" i="3" s="1"/>
  <c r="N241" i="3" s="1"/>
  <c r="J241" i="3"/>
  <c r="L241" i="3"/>
  <c r="O241" i="3" s="1"/>
  <c r="F242" i="3"/>
  <c r="H242" i="3"/>
  <c r="J242" i="3"/>
  <c r="L242" i="3"/>
  <c r="M242" i="3"/>
  <c r="O242" i="3"/>
  <c r="N242" i="3" s="1"/>
  <c r="F243" i="3"/>
  <c r="H243" i="3"/>
  <c r="J243" i="3"/>
  <c r="L243" i="3"/>
  <c r="M243" i="3"/>
  <c r="O243" i="3"/>
  <c r="N243" i="3" s="1"/>
  <c r="F246" i="3"/>
  <c r="H246" i="3"/>
  <c r="M246" i="3" s="1"/>
  <c r="J246" i="3"/>
  <c r="L246" i="3"/>
  <c r="O246" i="3" s="1"/>
  <c r="F247" i="3"/>
  <c r="H247" i="3"/>
  <c r="J247" i="3"/>
  <c r="L247" i="3"/>
  <c r="M247" i="3"/>
  <c r="O247" i="3"/>
  <c r="N247" i="3" s="1"/>
  <c r="F248" i="3"/>
  <c r="H248" i="3" s="1"/>
  <c r="M248" i="3" s="1"/>
  <c r="N248" i="3" s="1"/>
  <c r="J248" i="3"/>
  <c r="L248" i="3"/>
  <c r="O248" i="3" s="1"/>
  <c r="F249" i="3"/>
  <c r="H249" i="3"/>
  <c r="J249" i="3"/>
  <c r="L249" i="3"/>
  <c r="M249" i="3"/>
  <c r="O249" i="3"/>
  <c r="N249" i="3" s="1"/>
  <c r="F250" i="3"/>
  <c r="H250" i="3"/>
  <c r="J250" i="3"/>
  <c r="L250" i="3"/>
  <c r="O250" i="3" s="1"/>
  <c r="M250" i="3"/>
  <c r="N250" i="3"/>
  <c r="F251" i="3"/>
  <c r="H251" i="3"/>
  <c r="J251" i="3"/>
  <c r="L251" i="3"/>
  <c r="O251" i="3" s="1"/>
  <c r="M251" i="3"/>
  <c r="N251" i="3"/>
  <c r="F254" i="3"/>
  <c r="H254" i="3"/>
  <c r="J254" i="3"/>
  <c r="L254" i="3"/>
  <c r="M254" i="3"/>
  <c r="O254" i="3"/>
  <c r="N254" i="3" s="1"/>
  <c r="F255" i="3"/>
  <c r="H255" i="3"/>
  <c r="J255" i="3"/>
  <c r="L255" i="3" s="1"/>
  <c r="M255" i="3"/>
  <c r="O255" i="3"/>
  <c r="N255" i="3" s="1"/>
  <c r="F256" i="3"/>
  <c r="H256" i="3"/>
  <c r="J256" i="3"/>
  <c r="L256" i="3"/>
  <c r="M256" i="3"/>
  <c r="O256" i="3"/>
  <c r="N256" i="3" s="1"/>
  <c r="F257" i="3"/>
  <c r="H257" i="3"/>
  <c r="J257" i="3"/>
  <c r="L257" i="3"/>
  <c r="M257" i="3"/>
  <c r="O257" i="3"/>
  <c r="N257" i="3" s="1"/>
  <c r="F258" i="3"/>
  <c r="H258" i="3" s="1"/>
  <c r="M258" i="3" s="1"/>
  <c r="N258" i="3" s="1"/>
  <c r="J258" i="3"/>
  <c r="L258" i="3"/>
  <c r="O258" i="3" s="1"/>
  <c r="F259" i="3"/>
  <c r="H259" i="3"/>
  <c r="J259" i="3"/>
  <c r="L259" i="3"/>
  <c r="O259" i="3" s="1"/>
  <c r="M259" i="3"/>
  <c r="N259" i="3" s="1"/>
  <c r="F262" i="3"/>
  <c r="H262" i="3"/>
  <c r="J262" i="3"/>
  <c r="L262" i="3"/>
  <c r="M262" i="3"/>
  <c r="O262" i="3"/>
  <c r="N262" i="3" s="1"/>
  <c r="F263" i="3"/>
  <c r="H263" i="3"/>
  <c r="J263" i="3"/>
  <c r="L263" i="3"/>
  <c r="M263" i="3"/>
  <c r="O263" i="3"/>
  <c r="N263" i="3" s="1"/>
  <c r="F264" i="3"/>
  <c r="H264" i="3"/>
  <c r="J264" i="3"/>
  <c r="L264" i="3"/>
  <c r="M264" i="3"/>
  <c r="O264" i="3"/>
  <c r="N264" i="3" s="1"/>
  <c r="F265" i="3"/>
  <c r="H265" i="3"/>
  <c r="M265" i="3" s="1"/>
  <c r="J265" i="3"/>
  <c r="L265" i="3" s="1"/>
  <c r="O265" i="3" s="1"/>
  <c r="F266" i="3"/>
  <c r="H266" i="3"/>
  <c r="M266" i="3" s="1"/>
  <c r="N266" i="3" s="1"/>
  <c r="J266" i="3"/>
  <c r="L266" i="3"/>
  <c r="O266" i="3"/>
  <c r="F267" i="3"/>
  <c r="H267" i="3"/>
  <c r="J267" i="3"/>
  <c r="L267" i="3"/>
  <c r="M267" i="3"/>
  <c r="O267" i="3"/>
  <c r="N267" i="3" s="1"/>
  <c r="F270" i="3"/>
  <c r="H270" i="3"/>
  <c r="J270" i="3"/>
  <c r="L270" i="3"/>
  <c r="M270" i="3"/>
  <c r="N270" i="3" s="1"/>
  <c r="O270" i="3"/>
  <c r="F271" i="3"/>
  <c r="H271" i="3"/>
  <c r="J271" i="3"/>
  <c r="L271" i="3"/>
  <c r="O271" i="3" s="1"/>
  <c r="M271" i="3"/>
  <c r="N271" i="3" s="1"/>
  <c r="F272" i="3"/>
  <c r="H272" i="3"/>
  <c r="M272" i="3" s="1"/>
  <c r="J272" i="3"/>
  <c r="L272" i="3"/>
  <c r="O272" i="3" s="1"/>
  <c r="F273" i="3"/>
  <c r="H273" i="3" s="1"/>
  <c r="J273" i="3"/>
  <c r="L273" i="3"/>
  <c r="M273" i="3"/>
  <c r="O273" i="3"/>
  <c r="N273" i="3" s="1"/>
  <c r="F274" i="3"/>
  <c r="H274" i="3"/>
  <c r="J274" i="3"/>
  <c r="L274" i="3"/>
  <c r="M274" i="3"/>
  <c r="O274" i="3"/>
  <c r="N274" i="3" s="1"/>
  <c r="F275" i="3"/>
  <c r="H275" i="3"/>
  <c r="J275" i="3"/>
  <c r="L275" i="3" s="1"/>
  <c r="O275" i="3" s="1"/>
  <c r="M275" i="3"/>
  <c r="N275" i="3" s="1"/>
  <c r="F278" i="3"/>
  <c r="H278" i="3"/>
  <c r="M278" i="3" s="1"/>
  <c r="J278" i="3"/>
  <c r="L278" i="3"/>
  <c r="O278" i="3"/>
  <c r="F279" i="3"/>
  <c r="H279" i="3"/>
  <c r="J279" i="3"/>
  <c r="L279" i="3"/>
  <c r="O279" i="3" s="1"/>
  <c r="M279" i="3"/>
  <c r="N279" i="3" s="1"/>
  <c r="F280" i="3"/>
  <c r="H280" i="3"/>
  <c r="J280" i="3"/>
  <c r="L280" i="3" s="1"/>
  <c r="O280" i="3" s="1"/>
  <c r="N280" i="3" s="1"/>
  <c r="M280" i="3"/>
  <c r="F281" i="3"/>
  <c r="H281" i="3"/>
  <c r="J281" i="3"/>
  <c r="L281" i="3"/>
  <c r="M281" i="3"/>
  <c r="O281" i="3"/>
  <c r="N281" i="3" s="1"/>
  <c r="F282" i="3"/>
  <c r="H282" i="3"/>
  <c r="J282" i="3"/>
  <c r="L282" i="3"/>
  <c r="O282" i="3" s="1"/>
  <c r="M282" i="3"/>
  <c r="N282" i="3"/>
  <c r="F283" i="3"/>
  <c r="H283" i="3" s="1"/>
  <c r="J283" i="3"/>
  <c r="L283" i="3"/>
  <c r="M283" i="3"/>
  <c r="O283" i="3"/>
  <c r="N283" i="3" s="1"/>
  <c r="F286" i="3"/>
  <c r="H286" i="3"/>
  <c r="M286" i="3" s="1"/>
  <c r="J286" i="3"/>
  <c r="L286" i="3"/>
  <c r="O286" i="3"/>
  <c r="F287" i="3"/>
  <c r="H287" i="3"/>
  <c r="M287" i="3" s="1"/>
  <c r="N287" i="3" s="1"/>
  <c r="J287" i="3"/>
  <c r="L287" i="3"/>
  <c r="O287" i="3"/>
  <c r="F288" i="3"/>
  <c r="H288" i="3"/>
  <c r="J288" i="3"/>
  <c r="L288" i="3"/>
  <c r="M288" i="3"/>
  <c r="O288" i="3"/>
  <c r="N288" i="3" s="1"/>
  <c r="F289" i="3"/>
  <c r="H289" i="3"/>
  <c r="J289" i="3"/>
  <c r="L289" i="3"/>
  <c r="M289" i="3"/>
  <c r="O289" i="3"/>
  <c r="N289" i="3" s="1"/>
  <c r="F290" i="3"/>
  <c r="H290" i="3" s="1"/>
  <c r="M290" i="3" s="1"/>
  <c r="J290" i="3"/>
  <c r="L290" i="3" s="1"/>
  <c r="O290" i="3" s="1"/>
  <c r="F291" i="3"/>
  <c r="H291" i="3" s="1"/>
  <c r="J291" i="3"/>
  <c r="L291" i="3"/>
  <c r="M291" i="3"/>
  <c r="O291" i="3"/>
  <c r="N291" i="3" s="1"/>
  <c r="F294" i="3"/>
  <c r="H294" i="3" s="1"/>
  <c r="M294" i="3" s="1"/>
  <c r="N294" i="3" s="1"/>
  <c r="J294" i="3"/>
  <c r="L294" i="3"/>
  <c r="O294" i="3"/>
  <c r="F295" i="3"/>
  <c r="H295" i="3"/>
  <c r="J295" i="3"/>
  <c r="L295" i="3"/>
  <c r="M295" i="3"/>
  <c r="O295" i="3"/>
  <c r="N295" i="3" s="1"/>
  <c r="F296" i="3"/>
  <c r="H296" i="3" s="1"/>
  <c r="M296" i="3" s="1"/>
  <c r="N296" i="3" s="1"/>
  <c r="J296" i="3"/>
  <c r="L296" i="3"/>
  <c r="O296" i="3" s="1"/>
  <c r="F297" i="3"/>
  <c r="H297" i="3"/>
  <c r="J297" i="3"/>
  <c r="L297" i="3" s="1"/>
  <c r="O297" i="3" s="1"/>
  <c r="M297" i="3"/>
  <c r="N297" i="3" s="1"/>
  <c r="F298" i="3"/>
  <c r="H298" i="3"/>
  <c r="J298" i="3"/>
  <c r="L298" i="3"/>
  <c r="M298" i="3"/>
  <c r="O298" i="3"/>
  <c r="N298" i="3" s="1"/>
  <c r="F299" i="3"/>
  <c r="H299" i="3"/>
  <c r="J299" i="3"/>
  <c r="L299" i="3"/>
  <c r="M299" i="3"/>
  <c r="O299" i="3"/>
  <c r="N299" i="3" s="1"/>
  <c r="F302" i="3"/>
  <c r="H302" i="3"/>
  <c r="J302" i="3"/>
  <c r="L302" i="3"/>
  <c r="M302" i="3"/>
  <c r="O302" i="3"/>
  <c r="N302" i="3" s="1"/>
  <c r="F303" i="3"/>
  <c r="H303" i="3"/>
  <c r="J303" i="3"/>
  <c r="L303" i="3"/>
  <c r="O303" i="3" s="1"/>
  <c r="M303" i="3"/>
  <c r="N303" i="3"/>
  <c r="F304" i="3"/>
  <c r="H304" i="3"/>
  <c r="M304" i="3" s="1"/>
  <c r="J304" i="3"/>
  <c r="L304" i="3" s="1"/>
  <c r="O304" i="3"/>
  <c r="F305" i="3"/>
  <c r="H305" i="3"/>
  <c r="J305" i="3"/>
  <c r="L305" i="3"/>
  <c r="M305" i="3"/>
  <c r="O305" i="3"/>
  <c r="N305" i="3" s="1"/>
  <c r="F306" i="3"/>
  <c r="H306" i="3"/>
  <c r="J306" i="3"/>
  <c r="L306" i="3"/>
  <c r="M306" i="3"/>
  <c r="O306" i="3"/>
  <c r="N306" i="3" s="1"/>
  <c r="F307" i="3"/>
  <c r="H307" i="3"/>
  <c r="J307" i="3"/>
  <c r="L307" i="3"/>
  <c r="M307" i="3"/>
  <c r="O307" i="3"/>
  <c r="N307" i="3" s="1"/>
  <c r="F310" i="3"/>
  <c r="H310" i="3"/>
  <c r="M310" i="3" s="1"/>
  <c r="J310" i="3"/>
  <c r="L310" i="3"/>
  <c r="O310" i="3"/>
  <c r="N310" i="3" s="1"/>
  <c r="F311" i="3"/>
  <c r="H311" i="3" s="1"/>
  <c r="M311" i="3" s="1"/>
  <c r="N311" i="3" s="1"/>
  <c r="J311" i="3"/>
  <c r="L311" i="3"/>
  <c r="O311" i="3"/>
  <c r="F312" i="3"/>
  <c r="H312" i="3"/>
  <c r="J312" i="3"/>
  <c r="L312" i="3"/>
  <c r="O312" i="3" s="1"/>
  <c r="M312" i="3"/>
  <c r="N312" i="3"/>
  <c r="F313" i="3"/>
  <c r="H313" i="3"/>
  <c r="J313" i="3"/>
  <c r="L313" i="3"/>
  <c r="M313" i="3"/>
  <c r="O313" i="3"/>
  <c r="N313" i="3" s="1"/>
  <c r="F314" i="3"/>
  <c r="H314" i="3"/>
  <c r="J314" i="3"/>
  <c r="L314" i="3"/>
  <c r="M314" i="3"/>
  <c r="N314" i="3" s="1"/>
  <c r="O314" i="3"/>
  <c r="F315" i="3"/>
  <c r="H315" i="3" s="1"/>
  <c r="J315" i="3"/>
  <c r="L315" i="3"/>
  <c r="O315" i="3" s="1"/>
  <c r="M315" i="3"/>
  <c r="N315" i="3"/>
  <c r="F318" i="3"/>
  <c r="H318" i="3"/>
  <c r="J318" i="3"/>
  <c r="L318" i="3"/>
  <c r="O318" i="3" s="1"/>
  <c r="M318" i="3"/>
  <c r="N318" i="3" s="1"/>
  <c r="F319" i="3"/>
  <c r="H319" i="3" s="1"/>
  <c r="M319" i="3" s="1"/>
  <c r="J319" i="3"/>
  <c r="L319" i="3" s="1"/>
  <c r="O319" i="3" s="1"/>
  <c r="F320" i="3"/>
  <c r="H320" i="3"/>
  <c r="J320" i="3"/>
  <c r="L320" i="3"/>
  <c r="M320" i="3"/>
  <c r="O320" i="3"/>
  <c r="N320" i="3" s="1"/>
  <c r="F321" i="3"/>
  <c r="H321" i="3"/>
  <c r="J321" i="3"/>
  <c r="L321" i="3"/>
  <c r="M321" i="3"/>
  <c r="O321" i="3"/>
  <c r="F322" i="3"/>
  <c r="H322" i="3" s="1"/>
  <c r="M322" i="3" s="1"/>
  <c r="N322" i="3" s="1"/>
  <c r="J322" i="3"/>
  <c r="L322" i="3"/>
  <c r="O322" i="3" s="1"/>
  <c r="F323" i="3"/>
  <c r="H323" i="3"/>
  <c r="J323" i="3"/>
  <c r="L323" i="3"/>
  <c r="M323" i="3"/>
  <c r="O323" i="3"/>
  <c r="N323" i="3" s="1"/>
  <c r="F326" i="3"/>
  <c r="H326" i="3"/>
  <c r="J326" i="3"/>
  <c r="L326" i="3"/>
  <c r="O326" i="3" s="1"/>
  <c r="M326" i="3"/>
  <c r="N326" i="3" s="1"/>
  <c r="F327" i="3"/>
  <c r="H327" i="3"/>
  <c r="J327" i="3"/>
  <c r="L327" i="3"/>
  <c r="M327" i="3"/>
  <c r="O327" i="3"/>
  <c r="N327" i="3" s="1"/>
  <c r="F328" i="3"/>
  <c r="H328" i="3"/>
  <c r="J328" i="3"/>
  <c r="L328" i="3"/>
  <c r="M328" i="3"/>
  <c r="O328" i="3"/>
  <c r="N328" i="3" s="1"/>
  <c r="F329" i="3"/>
  <c r="H329" i="3" s="1"/>
  <c r="M329" i="3" s="1"/>
  <c r="N329" i="3" s="1"/>
  <c r="J329" i="3"/>
  <c r="L329" i="3"/>
  <c r="O329" i="3"/>
  <c r="F330" i="3"/>
  <c r="H330" i="3"/>
  <c r="M330" i="3" s="1"/>
  <c r="J330" i="3"/>
  <c r="L330" i="3" s="1"/>
  <c r="O330" i="3" s="1"/>
  <c r="F331" i="3"/>
  <c r="H331" i="3"/>
  <c r="M331" i="3" s="1"/>
  <c r="J331" i="3"/>
  <c r="L331" i="3"/>
  <c r="O331" i="3" s="1"/>
  <c r="F334" i="3"/>
  <c r="H334" i="3"/>
  <c r="J334" i="3"/>
  <c r="L334" i="3"/>
  <c r="O334" i="3" s="1"/>
  <c r="M334" i="3"/>
  <c r="N334" i="3"/>
  <c r="F335" i="3"/>
  <c r="H335" i="3"/>
  <c r="J335" i="3"/>
  <c r="L335" i="3"/>
  <c r="O335" i="3" s="1"/>
  <c r="M335" i="3"/>
  <c r="N335" i="3"/>
  <c r="F336" i="3"/>
  <c r="H336" i="3"/>
  <c r="J336" i="3"/>
  <c r="L336" i="3" s="1"/>
  <c r="O336" i="3" s="1"/>
  <c r="N336" i="3" s="1"/>
  <c r="M336" i="3"/>
  <c r="F337" i="3"/>
  <c r="H337" i="3"/>
  <c r="J337" i="3"/>
  <c r="L337" i="3"/>
  <c r="O337" i="3" s="1"/>
  <c r="M337" i="3"/>
  <c r="N337" i="3"/>
  <c r="F338" i="3"/>
  <c r="H338" i="3"/>
  <c r="M338" i="3" s="1"/>
  <c r="J338" i="3"/>
  <c r="L338" i="3" s="1"/>
  <c r="O338" i="3" s="1"/>
  <c r="F339" i="3"/>
  <c r="H339" i="3"/>
  <c r="J339" i="3"/>
  <c r="L339" i="3" s="1"/>
  <c r="M339" i="3"/>
  <c r="O339" i="3"/>
  <c r="N339" i="3" s="1"/>
  <c r="F342" i="3"/>
  <c r="H342" i="3"/>
  <c r="M342" i="3" s="1"/>
  <c r="J342" i="3"/>
  <c r="L342" i="3"/>
  <c r="O342" i="3" s="1"/>
  <c r="F343" i="3"/>
  <c r="H343" i="3" s="1"/>
  <c r="M343" i="3" s="1"/>
  <c r="J343" i="3"/>
  <c r="L343" i="3"/>
  <c r="O343" i="3"/>
  <c r="F344" i="3"/>
  <c r="H344" i="3"/>
  <c r="J344" i="3"/>
  <c r="L344" i="3"/>
  <c r="O344" i="3" s="1"/>
  <c r="M344" i="3"/>
  <c r="N344" i="3" s="1"/>
  <c r="F345" i="3"/>
  <c r="H345" i="3"/>
  <c r="M345" i="3" s="1"/>
  <c r="N345" i="3" s="1"/>
  <c r="J345" i="3"/>
  <c r="L345" i="3"/>
  <c r="O345" i="3" s="1"/>
  <c r="F346" i="3"/>
  <c r="H346" i="3"/>
  <c r="J346" i="3"/>
  <c r="L346" i="3"/>
  <c r="M346" i="3"/>
  <c r="O346" i="3"/>
  <c r="N346" i="3" s="1"/>
  <c r="F347" i="3"/>
  <c r="H347" i="3" s="1"/>
  <c r="J347" i="3"/>
  <c r="L347" i="3"/>
  <c r="M347" i="3"/>
  <c r="N347" i="3"/>
  <c r="O347" i="3"/>
  <c r="F350" i="3"/>
  <c r="H350" i="3"/>
  <c r="J350" i="3"/>
  <c r="L350" i="3"/>
  <c r="O350" i="3" s="1"/>
  <c r="M350" i="3"/>
  <c r="N350" i="3" s="1"/>
  <c r="F351" i="3"/>
  <c r="H351" i="3"/>
  <c r="J351" i="3"/>
  <c r="L351" i="3"/>
  <c r="M351" i="3"/>
  <c r="O351" i="3"/>
  <c r="N351" i="3" s="1"/>
  <c r="F352" i="3"/>
  <c r="H352" i="3"/>
  <c r="M352" i="3" s="1"/>
  <c r="N352" i="3" s="1"/>
  <c r="J352" i="3"/>
  <c r="L352" i="3"/>
  <c r="O352" i="3"/>
  <c r="F353" i="3"/>
  <c r="H353" i="3"/>
  <c r="J353" i="3"/>
  <c r="L353" i="3"/>
  <c r="O353" i="3" s="1"/>
  <c r="M353" i="3"/>
  <c r="N353" i="3"/>
  <c r="F354" i="3"/>
  <c r="H354" i="3"/>
  <c r="J354" i="3"/>
  <c r="L354" i="3"/>
  <c r="O354" i="3" s="1"/>
  <c r="N354" i="3" s="1"/>
  <c r="M354" i="3"/>
  <c r="F355" i="3"/>
  <c r="H355" i="3"/>
  <c r="J355" i="3"/>
  <c r="L355" i="3"/>
  <c r="O355" i="3" s="1"/>
  <c r="M355" i="3"/>
  <c r="N355" i="3"/>
  <c r="F358" i="3"/>
  <c r="H358" i="3"/>
  <c r="J358" i="3"/>
  <c r="L358" i="3"/>
  <c r="M358" i="3"/>
  <c r="O358" i="3"/>
  <c r="N358" i="3" s="1"/>
  <c r="F359" i="3"/>
  <c r="H359" i="3" s="1"/>
  <c r="M359" i="3" s="1"/>
  <c r="N359" i="3" s="1"/>
  <c r="J359" i="3"/>
  <c r="L359" i="3"/>
  <c r="O359" i="3"/>
  <c r="F360" i="3"/>
  <c r="H360" i="3"/>
  <c r="M360" i="3" s="1"/>
  <c r="J360" i="3"/>
  <c r="L360" i="3"/>
  <c r="O360" i="3" s="1"/>
  <c r="F361" i="3"/>
  <c r="H361" i="3"/>
  <c r="J361" i="3"/>
  <c r="L361" i="3"/>
  <c r="M361" i="3"/>
  <c r="O361" i="3"/>
  <c r="N361" i="3" s="1"/>
  <c r="F362" i="3"/>
  <c r="H362" i="3"/>
  <c r="J362" i="3"/>
  <c r="L362" i="3"/>
  <c r="M362" i="3"/>
  <c r="O362" i="3"/>
  <c r="N362" i="3" s="1"/>
  <c r="F363" i="3"/>
  <c r="H363" i="3"/>
  <c r="M363" i="3" s="1"/>
  <c r="J363" i="3"/>
  <c r="L363" i="3" s="1"/>
  <c r="O363" i="3" s="1"/>
  <c r="F366" i="3"/>
  <c r="H366" i="3"/>
  <c r="M366" i="3" s="1"/>
  <c r="J366" i="3"/>
  <c r="L366" i="3" s="1"/>
  <c r="O366" i="3" s="1"/>
  <c r="F367" i="3"/>
  <c r="H367" i="3"/>
  <c r="M367" i="3" s="1"/>
  <c r="J367" i="3"/>
  <c r="L367" i="3"/>
  <c r="O367" i="3"/>
  <c r="N367" i="3" s="1"/>
  <c r="F368" i="3"/>
  <c r="H368" i="3"/>
  <c r="J368" i="3"/>
  <c r="L368" i="3"/>
  <c r="M368" i="3"/>
  <c r="O368" i="3"/>
  <c r="N368" i="3" s="1"/>
  <c r="F369" i="3"/>
  <c r="H369" i="3"/>
  <c r="M369" i="3" s="1"/>
  <c r="J369" i="3"/>
  <c r="L369" i="3"/>
  <c r="O369" i="3" s="1"/>
  <c r="F370" i="3"/>
  <c r="H370" i="3"/>
  <c r="J370" i="3"/>
  <c r="L370" i="3"/>
  <c r="M370" i="3"/>
  <c r="O370" i="3"/>
  <c r="N370" i="3" s="1"/>
  <c r="F371" i="3"/>
  <c r="H371" i="3" s="1"/>
  <c r="M371" i="3" s="1"/>
  <c r="N371" i="3" s="1"/>
  <c r="J371" i="3"/>
  <c r="L371" i="3"/>
  <c r="O371" i="3" s="1"/>
  <c r="F374" i="3"/>
  <c r="H374" i="3"/>
  <c r="J374" i="3"/>
  <c r="L374" i="3"/>
  <c r="M374" i="3"/>
  <c r="O374" i="3"/>
  <c r="N374" i="3" s="1"/>
  <c r="F375" i="3"/>
  <c r="H375" i="3"/>
  <c r="J375" i="3"/>
  <c r="L375" i="3"/>
  <c r="M375" i="3"/>
  <c r="O375" i="3"/>
  <c r="N375" i="3" s="1"/>
  <c r="F376" i="3"/>
  <c r="H376" i="3"/>
  <c r="J376" i="3"/>
  <c r="L376" i="3"/>
  <c r="O376" i="3" s="1"/>
  <c r="M376" i="3"/>
  <c r="N376" i="3" s="1"/>
  <c r="F377" i="3"/>
  <c r="H377" i="3"/>
  <c r="J377" i="3"/>
  <c r="L377" i="3"/>
  <c r="M377" i="3"/>
  <c r="O377" i="3"/>
  <c r="N377" i="3" s="1"/>
  <c r="F378" i="3"/>
  <c r="H378" i="3"/>
  <c r="M378" i="3" s="1"/>
  <c r="J378" i="3"/>
  <c r="L378" i="3"/>
  <c r="O378" i="3" s="1"/>
  <c r="F379" i="3"/>
  <c r="H379" i="3"/>
  <c r="J379" i="3"/>
  <c r="L379" i="3"/>
  <c r="M379" i="3"/>
  <c r="O379" i="3"/>
  <c r="N379" i="3" s="1"/>
  <c r="F382" i="3"/>
  <c r="H382" i="3"/>
  <c r="J382" i="3"/>
  <c r="L382" i="3"/>
  <c r="M382" i="3"/>
  <c r="O382" i="3"/>
  <c r="N382" i="3" s="1"/>
  <c r="F383" i="3"/>
  <c r="H383" i="3"/>
  <c r="J383" i="3"/>
  <c r="L383" i="3" s="1"/>
  <c r="M383" i="3"/>
  <c r="O383" i="3"/>
  <c r="N383" i="3" s="1"/>
  <c r="F384" i="3"/>
  <c r="H384" i="3" s="1"/>
  <c r="M384" i="3" s="1"/>
  <c r="N384" i="3" s="1"/>
  <c r="J384" i="3"/>
  <c r="L384" i="3"/>
  <c r="O384" i="3"/>
  <c r="F385" i="3"/>
  <c r="H385" i="3" s="1"/>
  <c r="M385" i="3" s="1"/>
  <c r="N385" i="3" s="1"/>
  <c r="J385" i="3"/>
  <c r="L385" i="3"/>
  <c r="O385" i="3"/>
  <c r="F386" i="3"/>
  <c r="H386" i="3"/>
  <c r="J386" i="3"/>
  <c r="L386" i="3"/>
  <c r="M386" i="3"/>
  <c r="O386" i="3"/>
  <c r="N386" i="3" s="1"/>
  <c r="F387" i="3"/>
  <c r="H387" i="3"/>
  <c r="M387" i="3" s="1"/>
  <c r="J387" i="3"/>
  <c r="L387" i="3"/>
  <c r="O387" i="3"/>
  <c r="N387" i="3" s="1"/>
  <c r="F390" i="3"/>
  <c r="H390" i="3"/>
  <c r="J390" i="3"/>
  <c r="L390" i="3"/>
  <c r="M390" i="3"/>
  <c r="O390" i="3"/>
  <c r="N390" i="3" s="1"/>
  <c r="F391" i="3"/>
  <c r="H391" i="3"/>
  <c r="M391" i="3" s="1"/>
  <c r="J391" i="3"/>
  <c r="L391" i="3" s="1"/>
  <c r="O391" i="3" s="1"/>
  <c r="F392" i="3"/>
  <c r="H392" i="3"/>
  <c r="J392" i="3"/>
  <c r="L392" i="3"/>
  <c r="M392" i="3"/>
  <c r="O392" i="3"/>
  <c r="N392" i="3" s="1"/>
  <c r="F393" i="3"/>
  <c r="H393" i="3"/>
  <c r="J393" i="3"/>
  <c r="L393" i="3"/>
  <c r="M393" i="3"/>
  <c r="O393" i="3"/>
  <c r="N393" i="3" s="1"/>
  <c r="F394" i="3"/>
  <c r="H394" i="3" s="1"/>
  <c r="M394" i="3" s="1"/>
  <c r="N394" i="3" s="1"/>
  <c r="J394" i="3"/>
  <c r="L394" i="3"/>
  <c r="O394" i="3"/>
  <c r="F395" i="3"/>
  <c r="H395" i="3"/>
  <c r="J395" i="3"/>
  <c r="L395" i="3"/>
  <c r="M395" i="3"/>
  <c r="O395" i="3"/>
  <c r="N395" i="3" s="1"/>
  <c r="F398" i="3"/>
  <c r="H398" i="3"/>
  <c r="M398" i="3" s="1"/>
  <c r="J398" i="3"/>
  <c r="L398" i="3" s="1"/>
  <c r="O398" i="3" s="1"/>
  <c r="F399" i="3"/>
  <c r="H399" i="3"/>
  <c r="J399" i="3"/>
  <c r="L399" i="3"/>
  <c r="M399" i="3"/>
  <c r="O399" i="3"/>
  <c r="N399" i="3" s="1"/>
  <c r="F400" i="3"/>
  <c r="H400" i="3"/>
  <c r="J400" i="3"/>
  <c r="L400" i="3"/>
  <c r="M400" i="3"/>
  <c r="N400" i="3"/>
  <c r="O400" i="3"/>
  <c r="F401" i="3"/>
  <c r="H401" i="3" s="1"/>
  <c r="M401" i="3" s="1"/>
  <c r="J401" i="3"/>
  <c r="L401" i="3" s="1"/>
  <c r="O401" i="3"/>
  <c r="F402" i="3"/>
  <c r="H402" i="3"/>
  <c r="M402" i="3" s="1"/>
  <c r="J402" i="3"/>
  <c r="L402" i="3" s="1"/>
  <c r="O402" i="3" s="1"/>
  <c r="F403" i="3"/>
  <c r="H403" i="3"/>
  <c r="M403" i="3" s="1"/>
  <c r="N403" i="3" s="1"/>
  <c r="J403" i="3"/>
  <c r="L403" i="3"/>
  <c r="O403" i="3"/>
  <c r="F406" i="3"/>
  <c r="H406" i="3"/>
  <c r="J406" i="3"/>
  <c r="L406" i="3"/>
  <c r="M406" i="3"/>
  <c r="O406" i="3"/>
  <c r="N406" i="3" s="1"/>
  <c r="F407" i="3"/>
  <c r="H407" i="3"/>
  <c r="J407" i="3"/>
  <c r="L407" i="3"/>
  <c r="M407" i="3"/>
  <c r="O407" i="3"/>
  <c r="F408" i="3"/>
  <c r="H408" i="3"/>
  <c r="M408" i="3" s="1"/>
  <c r="J408" i="3"/>
  <c r="L408" i="3" s="1"/>
  <c r="O408" i="3"/>
  <c r="F409" i="3"/>
  <c r="H409" i="3"/>
  <c r="M409" i="3" s="1"/>
  <c r="J409" i="3"/>
  <c r="L409" i="3" s="1"/>
  <c r="O409" i="3" s="1"/>
  <c r="F410" i="3"/>
  <c r="H410" i="3"/>
  <c r="J410" i="3"/>
  <c r="L410" i="3"/>
  <c r="O410" i="3" s="1"/>
  <c r="N410" i="3" s="1"/>
  <c r="M410" i="3"/>
  <c r="F411" i="3"/>
  <c r="H411" i="3"/>
  <c r="J411" i="3"/>
  <c r="L411" i="3"/>
  <c r="M411" i="3"/>
  <c r="O411" i="3"/>
  <c r="N411" i="3" s="1"/>
  <c r="F414" i="3"/>
  <c r="H414" i="3"/>
  <c r="J414" i="3"/>
  <c r="L414" i="3"/>
  <c r="M414" i="3"/>
  <c r="O414" i="3"/>
  <c r="N414" i="3" s="1"/>
  <c r="F415" i="3"/>
  <c r="H415" i="3" s="1"/>
  <c r="M415" i="3" s="1"/>
  <c r="N415" i="3" s="1"/>
  <c r="J415" i="3"/>
  <c r="L415" i="3" s="1"/>
  <c r="O415" i="3"/>
  <c r="F416" i="3"/>
  <c r="H416" i="3"/>
  <c r="M416" i="3" s="1"/>
  <c r="J416" i="3"/>
  <c r="L416" i="3"/>
  <c r="O416" i="3" s="1"/>
  <c r="F417" i="3"/>
  <c r="H417" i="3"/>
  <c r="M417" i="3" s="1"/>
  <c r="J417" i="3"/>
  <c r="L417" i="3" s="1"/>
  <c r="O417" i="3" s="1"/>
  <c r="F418" i="3"/>
  <c r="H418" i="3"/>
  <c r="J418" i="3"/>
  <c r="L418" i="3"/>
  <c r="O418" i="3" s="1"/>
  <c r="M418" i="3"/>
  <c r="N418" i="3"/>
  <c r="F419" i="3"/>
  <c r="H419" i="3"/>
  <c r="J419" i="3"/>
  <c r="L419" i="3"/>
  <c r="M419" i="3"/>
  <c r="O419" i="3"/>
  <c r="N419" i="3" s="1"/>
  <c r="F422" i="3"/>
  <c r="H422" i="3"/>
  <c r="J422" i="3"/>
  <c r="L422" i="3"/>
  <c r="M422" i="3"/>
  <c r="O422" i="3"/>
  <c r="N422" i="3" s="1"/>
  <c r="F423" i="3"/>
  <c r="H423" i="3"/>
  <c r="M423" i="3" s="1"/>
  <c r="J423" i="3"/>
  <c r="L423" i="3"/>
  <c r="O423" i="3"/>
  <c r="N423" i="3" s="1"/>
  <c r="F424" i="3"/>
  <c r="H424" i="3"/>
  <c r="M424" i="3" s="1"/>
  <c r="J424" i="3"/>
  <c r="L424" i="3" s="1"/>
  <c r="O424" i="3" s="1"/>
  <c r="F425" i="3"/>
  <c r="H425" i="3"/>
  <c r="J425" i="3"/>
  <c r="L425" i="3" s="1"/>
  <c r="M425" i="3"/>
  <c r="O425" i="3"/>
  <c r="N425" i="3" s="1"/>
  <c r="F426" i="3"/>
  <c r="H426" i="3"/>
  <c r="J426" i="3"/>
  <c r="L426" i="3" s="1"/>
  <c r="M426" i="3"/>
  <c r="O426" i="3"/>
  <c r="N426" i="3" s="1"/>
  <c r="F427" i="3"/>
  <c r="H427" i="3"/>
  <c r="J427" i="3"/>
  <c r="L427" i="3"/>
  <c r="M427" i="3"/>
  <c r="O427" i="3"/>
  <c r="N427" i="3" s="1"/>
  <c r="F430" i="3"/>
  <c r="H430" i="3"/>
  <c r="J430" i="3"/>
  <c r="L430" i="3"/>
  <c r="M430" i="3"/>
  <c r="O430" i="3"/>
  <c r="N430" i="3" s="1"/>
  <c r="F431" i="3"/>
  <c r="H431" i="3" s="1"/>
  <c r="M431" i="3" s="1"/>
  <c r="N431" i="3" s="1"/>
  <c r="J431" i="3"/>
  <c r="L431" i="3"/>
  <c r="O431" i="3"/>
  <c r="F432" i="3"/>
  <c r="H432" i="3"/>
  <c r="J432" i="3"/>
  <c r="L432" i="3"/>
  <c r="M432" i="3"/>
  <c r="O432" i="3"/>
  <c r="N432" i="3" s="1"/>
  <c r="F433" i="3"/>
  <c r="H433" i="3" s="1"/>
  <c r="M433" i="3" s="1"/>
  <c r="N433" i="3" s="1"/>
  <c r="J433" i="3"/>
  <c r="L433" i="3"/>
  <c r="O433" i="3"/>
  <c r="F434" i="3"/>
  <c r="H434" i="3"/>
  <c r="M434" i="3" s="1"/>
  <c r="J434" i="3"/>
  <c r="L434" i="3"/>
  <c r="O434" i="3" s="1"/>
  <c r="F435" i="3"/>
  <c r="H435" i="3"/>
  <c r="J435" i="3"/>
  <c r="L435" i="3"/>
  <c r="M435" i="3"/>
  <c r="O435" i="3"/>
  <c r="N435" i="3" s="1"/>
  <c r="F438" i="3"/>
  <c r="H438" i="3" s="1"/>
  <c r="M438" i="3" s="1"/>
  <c r="N438" i="3" s="1"/>
  <c r="J438" i="3"/>
  <c r="L438" i="3"/>
  <c r="O438" i="3"/>
  <c r="F439" i="3"/>
  <c r="H439" i="3"/>
  <c r="J439" i="3"/>
  <c r="L439" i="3"/>
  <c r="M439" i="3"/>
  <c r="O439" i="3"/>
  <c r="N439" i="3" s="1"/>
  <c r="F440" i="3"/>
  <c r="H440" i="3"/>
  <c r="J440" i="3"/>
  <c r="L440" i="3"/>
  <c r="O440" i="3" s="1"/>
  <c r="M440" i="3"/>
  <c r="N440" i="3"/>
  <c r="F441" i="3"/>
  <c r="H441" i="3" s="1"/>
  <c r="M441" i="3" s="1"/>
  <c r="N441" i="3" s="1"/>
  <c r="J441" i="3"/>
  <c r="L441" i="3"/>
  <c r="O441" i="3"/>
  <c r="F442" i="3"/>
  <c r="H442" i="3"/>
  <c r="J442" i="3"/>
  <c r="L442" i="3"/>
  <c r="M442" i="3"/>
  <c r="O442" i="3"/>
  <c r="N442" i="3" s="1"/>
  <c r="F443" i="3"/>
  <c r="H443" i="3" s="1"/>
  <c r="J443" i="3"/>
  <c r="L443" i="3"/>
  <c r="M443" i="3"/>
  <c r="O443" i="3"/>
  <c r="N443" i="3" s="1"/>
  <c r="F446" i="3"/>
  <c r="H446" i="3"/>
  <c r="J446" i="3"/>
  <c r="L446" i="3"/>
  <c r="M446" i="3"/>
  <c r="O446" i="3"/>
  <c r="N446" i="3" s="1"/>
  <c r="F447" i="3"/>
  <c r="H447" i="3"/>
  <c r="J447" i="3"/>
  <c r="L447" i="3"/>
  <c r="M447" i="3"/>
  <c r="O447" i="3"/>
  <c r="N447" i="3" s="1"/>
  <c r="F448" i="3"/>
  <c r="H448" i="3"/>
  <c r="J448" i="3"/>
  <c r="L448" i="3"/>
  <c r="M448" i="3"/>
  <c r="N448" i="3"/>
  <c r="O448" i="3"/>
  <c r="F449" i="3"/>
  <c r="H449" i="3"/>
  <c r="J449" i="3"/>
  <c r="L449" i="3"/>
  <c r="O449" i="3" s="1"/>
  <c r="M449" i="3"/>
  <c r="N449" i="3" s="1"/>
  <c r="F450" i="3"/>
  <c r="H450" i="3"/>
  <c r="J450" i="3"/>
  <c r="L450" i="3"/>
  <c r="M450" i="3"/>
  <c r="O450" i="3"/>
  <c r="N450" i="3" s="1"/>
  <c r="F451" i="3"/>
  <c r="H451" i="3"/>
  <c r="J451" i="3"/>
  <c r="L451" i="3"/>
  <c r="M451" i="3"/>
  <c r="N451" i="3"/>
  <c r="O451" i="3"/>
  <c r="F454" i="3"/>
  <c r="H454" i="3"/>
  <c r="J454" i="3"/>
  <c r="L454" i="3"/>
  <c r="O454" i="3" s="1"/>
  <c r="M454" i="3"/>
  <c r="N454" i="3" s="1"/>
  <c r="F455" i="3"/>
  <c r="H455" i="3"/>
  <c r="M455" i="3" s="1"/>
  <c r="N455" i="3" s="1"/>
  <c r="J455" i="3"/>
  <c r="L455" i="3"/>
  <c r="O455" i="3"/>
  <c r="F456" i="3"/>
  <c r="H456" i="3" s="1"/>
  <c r="M456" i="3" s="1"/>
  <c r="N456" i="3" s="1"/>
  <c r="J456" i="3"/>
  <c r="L456" i="3"/>
  <c r="O456" i="3" s="1"/>
  <c r="F457" i="3"/>
  <c r="H457" i="3"/>
  <c r="J457" i="3"/>
  <c r="L457" i="3"/>
  <c r="M457" i="3"/>
  <c r="O457" i="3"/>
  <c r="N457" i="3" s="1"/>
  <c r="F458" i="3"/>
  <c r="H458" i="3"/>
  <c r="J458" i="3"/>
  <c r="L458" i="3"/>
  <c r="M458" i="3"/>
  <c r="O458" i="3"/>
  <c r="N458" i="3" s="1"/>
  <c r="F459" i="3"/>
  <c r="H459" i="3"/>
  <c r="M459" i="3" s="1"/>
  <c r="N459" i="3" s="1"/>
  <c r="J459" i="3"/>
  <c r="L459" i="3"/>
  <c r="O459" i="3"/>
  <c r="F462" i="3"/>
  <c r="H462" i="3"/>
  <c r="M462" i="3" s="1"/>
  <c r="J462" i="3"/>
  <c r="L462" i="3" s="1"/>
  <c r="O462" i="3" s="1"/>
  <c r="F463" i="3"/>
  <c r="H463" i="3"/>
  <c r="M463" i="3" s="1"/>
  <c r="J463" i="3"/>
  <c r="L463" i="3"/>
  <c r="O463" i="3" s="1"/>
  <c r="F464" i="3"/>
  <c r="H464" i="3"/>
  <c r="J464" i="3"/>
  <c r="L464" i="3"/>
  <c r="M464" i="3"/>
  <c r="O464" i="3"/>
  <c r="N464" i="3" s="1"/>
  <c r="F465" i="3"/>
  <c r="H465" i="3"/>
  <c r="J465" i="3"/>
  <c r="L465" i="3"/>
  <c r="M465" i="3"/>
  <c r="O465" i="3"/>
  <c r="N465" i="3" s="1"/>
  <c r="F466" i="3"/>
  <c r="H466" i="3"/>
  <c r="J466" i="3"/>
  <c r="L466" i="3"/>
  <c r="M466" i="3"/>
  <c r="O466" i="3"/>
  <c r="N466" i="3" s="1"/>
  <c r="F467" i="3"/>
  <c r="H467" i="3"/>
  <c r="M467" i="3" s="1"/>
  <c r="J467" i="3"/>
  <c r="L467" i="3" s="1"/>
  <c r="O467" i="3" s="1"/>
  <c r="F470" i="3"/>
  <c r="H470" i="3" s="1"/>
  <c r="M470" i="3" s="1"/>
  <c r="N470" i="3" s="1"/>
  <c r="J470" i="3"/>
  <c r="L470" i="3"/>
  <c r="O470" i="3"/>
  <c r="F471" i="3"/>
  <c r="H471" i="3"/>
  <c r="J471" i="3"/>
  <c r="L471" i="3"/>
  <c r="M471" i="3"/>
  <c r="O471" i="3"/>
  <c r="N471" i="3" s="1"/>
  <c r="F472" i="3"/>
  <c r="H472" i="3" s="1"/>
  <c r="M472" i="3" s="1"/>
  <c r="N472" i="3" s="1"/>
  <c r="J472" i="3"/>
  <c r="L472" i="3"/>
  <c r="O472" i="3" s="1"/>
  <c r="F473" i="3"/>
  <c r="H473" i="3"/>
  <c r="J473" i="3"/>
  <c r="L473" i="3"/>
  <c r="M473" i="3"/>
  <c r="O473" i="3"/>
  <c r="N473" i="3" s="1"/>
  <c r="F474" i="3"/>
  <c r="H474" i="3"/>
  <c r="J474" i="3"/>
  <c r="L474" i="3"/>
  <c r="M474" i="3"/>
  <c r="O474" i="3"/>
  <c r="N474" i="3" s="1"/>
  <c r="F475" i="3"/>
  <c r="H475" i="3" s="1"/>
  <c r="M475" i="3" s="1"/>
  <c r="N475" i="3" s="1"/>
  <c r="J475" i="3"/>
  <c r="L475" i="3"/>
  <c r="O475" i="3"/>
  <c r="F478" i="3"/>
  <c r="H478" i="3"/>
  <c r="J478" i="3"/>
  <c r="L478" i="3"/>
  <c r="M478" i="3"/>
  <c r="O478" i="3"/>
  <c r="N478" i="3" s="1"/>
  <c r="F479" i="3"/>
  <c r="H479" i="3"/>
  <c r="M479" i="3" s="1"/>
  <c r="N479" i="3" s="1"/>
  <c r="J479" i="3"/>
  <c r="L479" i="3"/>
  <c r="O479" i="3"/>
  <c r="F480" i="3"/>
  <c r="H480" i="3"/>
  <c r="M480" i="3" s="1"/>
  <c r="J480" i="3"/>
  <c r="L480" i="3"/>
  <c r="N480" i="3"/>
  <c r="O480" i="3"/>
  <c r="F481" i="3"/>
  <c r="H481" i="3"/>
  <c r="J481" i="3"/>
  <c r="L481" i="3"/>
  <c r="M481" i="3"/>
  <c r="O481" i="3"/>
  <c r="N481" i="3" s="1"/>
  <c r="F482" i="3"/>
  <c r="H482" i="3"/>
  <c r="J482" i="3"/>
  <c r="L482" i="3"/>
  <c r="M482" i="3"/>
  <c r="O482" i="3"/>
  <c r="N482" i="3" s="1"/>
  <c r="F483" i="3"/>
  <c r="H483" i="3"/>
  <c r="J483" i="3"/>
  <c r="L483" i="3"/>
  <c r="M483" i="3"/>
  <c r="O483" i="3"/>
  <c r="N483" i="3" s="1"/>
  <c r="F486" i="3"/>
  <c r="H486" i="3"/>
  <c r="J486" i="3"/>
  <c r="L486" i="3"/>
  <c r="O486" i="3" s="1"/>
  <c r="M486" i="3"/>
  <c r="N486" i="3" s="1"/>
  <c r="F487" i="3"/>
  <c r="H487" i="3" s="1"/>
  <c r="J487" i="3"/>
  <c r="L487" i="3"/>
  <c r="M487" i="3"/>
  <c r="N487" i="3"/>
  <c r="O487" i="3"/>
  <c r="F488" i="3"/>
  <c r="H488" i="3"/>
  <c r="J488" i="3"/>
  <c r="L488" i="3"/>
  <c r="O488" i="3" s="1"/>
  <c r="M488" i="3"/>
  <c r="N488" i="3" s="1"/>
  <c r="F489" i="3"/>
  <c r="H489" i="3"/>
  <c r="J489" i="3"/>
  <c r="L489" i="3"/>
  <c r="M489" i="3"/>
  <c r="O489" i="3"/>
  <c r="N489" i="3" s="1"/>
  <c r="F490" i="3"/>
  <c r="H490" i="3"/>
  <c r="J490" i="3"/>
  <c r="L490" i="3"/>
  <c r="O490" i="3" s="1"/>
  <c r="M490" i="3"/>
  <c r="N490" i="3" s="1"/>
  <c r="F491" i="3"/>
  <c r="H491" i="3"/>
  <c r="J491" i="3"/>
  <c r="L491" i="3"/>
  <c r="M491" i="3"/>
  <c r="O491" i="3"/>
  <c r="F494" i="3"/>
  <c r="H494" i="3" s="1"/>
  <c r="M494" i="3" s="1"/>
  <c r="N494" i="3" s="1"/>
  <c r="J494" i="3"/>
  <c r="L494" i="3"/>
  <c r="O494" i="3" s="1"/>
  <c r="F495" i="3"/>
  <c r="H495" i="3"/>
  <c r="J495" i="3"/>
  <c r="L495" i="3"/>
  <c r="O495" i="3" s="1"/>
  <c r="M495" i="3"/>
  <c r="N495" i="3" s="1"/>
  <c r="F496" i="3"/>
  <c r="H496" i="3"/>
  <c r="J496" i="3"/>
  <c r="L496" i="3"/>
  <c r="M496" i="3"/>
  <c r="O496" i="3"/>
  <c r="N496" i="3" s="1"/>
  <c r="F497" i="3"/>
  <c r="H497" i="3"/>
  <c r="M497" i="3" s="1"/>
  <c r="J497" i="3"/>
  <c r="L497" i="3" s="1"/>
  <c r="O497" i="3"/>
  <c r="F498" i="3"/>
  <c r="H498" i="3"/>
  <c r="J498" i="3"/>
  <c r="L498" i="3"/>
  <c r="M498" i="3"/>
  <c r="O498" i="3"/>
  <c r="N498" i="3" s="1"/>
  <c r="F499" i="3"/>
  <c r="H499" i="3"/>
  <c r="J499" i="3"/>
  <c r="L499" i="3"/>
  <c r="O499" i="3" s="1"/>
  <c r="M499" i="3"/>
  <c r="N499" i="3"/>
  <c r="F502" i="3"/>
  <c r="H502" i="3" s="1"/>
  <c r="J502" i="3"/>
  <c r="L502" i="3"/>
  <c r="O502" i="3" s="1"/>
  <c r="M502" i="3"/>
  <c r="N502" i="3" s="1"/>
  <c r="F503" i="3"/>
  <c r="H503" i="3"/>
  <c r="J503" i="3"/>
  <c r="L503" i="3"/>
  <c r="M503" i="3"/>
  <c r="O503" i="3"/>
  <c r="N503" i="3" s="1"/>
  <c r="F504" i="3"/>
  <c r="H504" i="3"/>
  <c r="J504" i="3"/>
  <c r="L504" i="3"/>
  <c r="O504" i="3" s="1"/>
  <c r="M504" i="3"/>
  <c r="N504" i="3" s="1"/>
  <c r="F505" i="3"/>
  <c r="H505" i="3" s="1"/>
  <c r="M505" i="3" s="1"/>
  <c r="N505" i="3" s="1"/>
  <c r="J505" i="3"/>
  <c r="L505" i="3"/>
  <c r="O505" i="3"/>
  <c r="F506" i="3"/>
  <c r="H506" i="3"/>
  <c r="J506" i="3"/>
  <c r="L506" i="3"/>
  <c r="M506" i="3"/>
  <c r="O506" i="3"/>
  <c r="N506" i="3" s="1"/>
  <c r="F507" i="3"/>
  <c r="H507" i="3"/>
  <c r="M507" i="3" s="1"/>
  <c r="N507" i="3" s="1"/>
  <c r="J507" i="3"/>
  <c r="L507" i="3" s="1"/>
  <c r="O507" i="3" s="1"/>
  <c r="F510" i="3"/>
  <c r="H510" i="3"/>
  <c r="J510" i="3"/>
  <c r="L510" i="3"/>
  <c r="O510" i="3" s="1"/>
  <c r="M510" i="3"/>
  <c r="N510" i="3" s="1"/>
  <c r="F511" i="3"/>
  <c r="H511" i="3"/>
  <c r="J511" i="3"/>
  <c r="L511" i="3" s="1"/>
  <c r="M511" i="3"/>
  <c r="O511" i="3"/>
  <c r="N511" i="3" s="1"/>
  <c r="F512" i="3"/>
  <c r="H512" i="3"/>
  <c r="M512" i="3" s="1"/>
  <c r="N512" i="3" s="1"/>
  <c r="J512" i="3"/>
  <c r="L512" i="3" s="1"/>
  <c r="O512" i="3" s="1"/>
  <c r="F513" i="3"/>
  <c r="H513" i="3"/>
  <c r="J513" i="3"/>
  <c r="L513" i="3"/>
  <c r="O513" i="3" s="1"/>
  <c r="M513" i="3"/>
  <c r="N513" i="3" s="1"/>
  <c r="F514" i="3"/>
  <c r="H514" i="3"/>
  <c r="M514" i="3" s="1"/>
  <c r="J514" i="3"/>
  <c r="L514" i="3" s="1"/>
  <c r="O514" i="3" s="1"/>
  <c r="F515" i="3"/>
  <c r="H515" i="3"/>
  <c r="M515" i="3" s="1"/>
  <c r="J515" i="3"/>
  <c r="L515" i="3" s="1"/>
  <c r="O515" i="3"/>
  <c r="F518" i="3"/>
  <c r="H518" i="3"/>
  <c r="J518" i="3"/>
  <c r="L518" i="3"/>
  <c r="M518" i="3"/>
  <c r="N518" i="3" s="1"/>
  <c r="O518" i="3"/>
  <c r="F519" i="3"/>
  <c r="H519" i="3"/>
  <c r="J519" i="3"/>
  <c r="L519" i="3"/>
  <c r="M519" i="3"/>
  <c r="O519" i="3"/>
  <c r="N519" i="3" s="1"/>
  <c r="F520" i="3"/>
  <c r="H520" i="3"/>
  <c r="J520" i="3"/>
  <c r="L520" i="3"/>
  <c r="M520" i="3"/>
  <c r="N520" i="3"/>
  <c r="O520" i="3"/>
  <c r="F521" i="3"/>
  <c r="H521" i="3"/>
  <c r="M521" i="3" s="1"/>
  <c r="N521" i="3" s="1"/>
  <c r="J521" i="3"/>
  <c r="L521" i="3" s="1"/>
  <c r="O521" i="3" s="1"/>
  <c r="F522" i="3"/>
  <c r="H522" i="3"/>
  <c r="M522" i="3" s="1"/>
  <c r="J522" i="3"/>
  <c r="L522" i="3"/>
  <c r="O522" i="3"/>
  <c r="N522" i="3" s="1"/>
  <c r="F523" i="3"/>
  <c r="H523" i="3"/>
  <c r="J523" i="3"/>
  <c r="L523" i="3"/>
  <c r="M523" i="3"/>
  <c r="O523" i="3"/>
  <c r="N523" i="3" s="1"/>
  <c r="F526" i="3"/>
  <c r="H526" i="3" s="1"/>
  <c r="M526" i="3" s="1"/>
  <c r="J526" i="3"/>
  <c r="L526" i="3"/>
  <c r="O526" i="3"/>
  <c r="F527" i="3"/>
  <c r="H527" i="3"/>
  <c r="M527" i="3" s="1"/>
  <c r="J527" i="3"/>
  <c r="L527" i="3" s="1"/>
  <c r="O527" i="3" s="1"/>
  <c r="F528" i="3"/>
  <c r="H528" i="3" s="1"/>
  <c r="M528" i="3" s="1"/>
  <c r="N528" i="3" s="1"/>
  <c r="J528" i="3"/>
  <c r="L528" i="3"/>
  <c r="O528" i="3" s="1"/>
  <c r="F529" i="3"/>
  <c r="H529" i="3" s="1"/>
  <c r="J529" i="3"/>
  <c r="L529" i="3"/>
  <c r="M529" i="3"/>
  <c r="O529" i="3"/>
  <c r="N529" i="3" s="1"/>
  <c r="F530" i="3"/>
  <c r="H530" i="3"/>
  <c r="J530" i="3"/>
  <c r="L530" i="3"/>
  <c r="O530" i="3" s="1"/>
  <c r="M530" i="3"/>
  <c r="N530" i="3" s="1"/>
  <c r="F531" i="3"/>
  <c r="H531" i="3"/>
  <c r="J531" i="3"/>
  <c r="L531" i="3"/>
  <c r="M531" i="3"/>
  <c r="O531" i="3"/>
  <c r="N531" i="3" s="1"/>
  <c r="F534" i="3"/>
  <c r="H534" i="3"/>
  <c r="M534" i="3" s="1"/>
  <c r="J534" i="3"/>
  <c r="L534" i="3" s="1"/>
  <c r="O534" i="3" s="1"/>
  <c r="F535" i="3"/>
  <c r="H535" i="3" s="1"/>
  <c r="M535" i="3" s="1"/>
  <c r="N535" i="3" s="1"/>
  <c r="J535" i="3"/>
  <c r="L535" i="3" s="1"/>
  <c r="O535" i="3"/>
  <c r="F536" i="3"/>
  <c r="H536" i="3"/>
  <c r="J536" i="3"/>
  <c r="L536" i="3"/>
  <c r="M536" i="3"/>
  <c r="O536" i="3"/>
  <c r="N536" i="3" s="1"/>
  <c r="F537" i="3"/>
  <c r="H537" i="3"/>
  <c r="J537" i="3"/>
  <c r="L537" i="3"/>
  <c r="O537" i="3" s="1"/>
  <c r="M537" i="3"/>
  <c r="N537" i="3"/>
  <c r="F538" i="3"/>
  <c r="H538" i="3"/>
  <c r="J538" i="3"/>
  <c r="L538" i="3"/>
  <c r="M538" i="3"/>
  <c r="O538" i="3"/>
  <c r="N538" i="3" s="1"/>
  <c r="F539" i="3"/>
  <c r="H539" i="3"/>
  <c r="J539" i="3"/>
  <c r="L539" i="3"/>
  <c r="O539" i="3" s="1"/>
  <c r="M539" i="3"/>
  <c r="N539" i="3" s="1"/>
  <c r="F542" i="3"/>
  <c r="H542" i="3" s="1"/>
  <c r="M542" i="3" s="1"/>
  <c r="N542" i="3" s="1"/>
  <c r="J542" i="3"/>
  <c r="L542" i="3"/>
  <c r="O542" i="3"/>
  <c r="F543" i="3"/>
  <c r="H543" i="3"/>
  <c r="J543" i="3"/>
  <c r="L543" i="3"/>
  <c r="M543" i="3"/>
  <c r="O543" i="3"/>
  <c r="N543" i="3" s="1"/>
  <c r="F544" i="3"/>
  <c r="H544" i="3"/>
  <c r="J544" i="3"/>
  <c r="L544" i="3"/>
  <c r="M544" i="3"/>
  <c r="O544" i="3"/>
  <c r="N544" i="3" s="1"/>
  <c r="F545" i="3"/>
  <c r="H545" i="3" s="1"/>
  <c r="J545" i="3"/>
  <c r="L545" i="3"/>
  <c r="M545" i="3"/>
  <c r="O545" i="3"/>
  <c r="N545" i="3" s="1"/>
  <c r="F546" i="3"/>
  <c r="H546" i="3" s="1"/>
  <c r="M546" i="3" s="1"/>
  <c r="N546" i="3" s="1"/>
  <c r="J546" i="3"/>
  <c r="L546" i="3"/>
  <c r="O546" i="3" s="1"/>
  <c r="F547" i="3"/>
  <c r="H547" i="3"/>
  <c r="J547" i="3"/>
  <c r="L547" i="3"/>
  <c r="M547" i="3"/>
  <c r="O547" i="3"/>
  <c r="N547" i="3" s="1"/>
  <c r="F550" i="3"/>
  <c r="H550" i="3"/>
  <c r="J550" i="3"/>
  <c r="L550" i="3"/>
  <c r="M550" i="3"/>
  <c r="O550" i="3"/>
  <c r="N550" i="3" s="1"/>
  <c r="F551" i="3"/>
  <c r="H551" i="3"/>
  <c r="J551" i="3"/>
  <c r="L551" i="3"/>
  <c r="M551" i="3"/>
  <c r="O551" i="3"/>
  <c r="N551" i="3" s="1"/>
  <c r="F552" i="3"/>
  <c r="H552" i="3"/>
  <c r="M552" i="3" s="1"/>
  <c r="J552" i="3"/>
  <c r="L552" i="3"/>
  <c r="O552" i="3"/>
  <c r="F553" i="3"/>
  <c r="H553" i="3"/>
  <c r="M553" i="3" s="1"/>
  <c r="J553" i="3"/>
  <c r="L553" i="3" s="1"/>
  <c r="O553" i="3" s="1"/>
  <c r="F554" i="3"/>
  <c r="H554" i="3" s="1"/>
  <c r="M554" i="3" s="1"/>
  <c r="N554" i="3" s="1"/>
  <c r="J554" i="3"/>
  <c r="L554" i="3"/>
  <c r="O554" i="3"/>
  <c r="F555" i="3"/>
  <c r="H555" i="3"/>
  <c r="J555" i="3"/>
  <c r="L555" i="3"/>
  <c r="M555" i="3"/>
  <c r="O555" i="3"/>
  <c r="N555" i="3" s="1"/>
  <c r="F558" i="3"/>
  <c r="H558" i="3"/>
  <c r="J558" i="3"/>
  <c r="L558" i="3"/>
  <c r="M558" i="3"/>
  <c r="O558" i="3"/>
  <c r="N558" i="3" s="1"/>
  <c r="F559" i="3"/>
  <c r="H559" i="3"/>
  <c r="J559" i="3"/>
  <c r="L559" i="3"/>
  <c r="O559" i="3" s="1"/>
  <c r="M559" i="3"/>
  <c r="N559" i="3"/>
  <c r="F560" i="3"/>
  <c r="H560" i="3"/>
  <c r="J560" i="3"/>
  <c r="L560" i="3"/>
  <c r="O560" i="3" s="1"/>
  <c r="M560" i="3"/>
  <c r="N560" i="3" s="1"/>
  <c r="F561" i="3"/>
  <c r="H561" i="3"/>
  <c r="J561" i="3"/>
  <c r="L561" i="3"/>
  <c r="M561" i="3"/>
  <c r="O561" i="3"/>
  <c r="N561" i="3" s="1"/>
  <c r="F562" i="3"/>
  <c r="H562" i="3"/>
  <c r="J562" i="3"/>
  <c r="L562" i="3"/>
  <c r="M562" i="3"/>
  <c r="N562" i="3" s="1"/>
  <c r="O562" i="3"/>
  <c r="F563" i="3"/>
  <c r="H563" i="3"/>
  <c r="J563" i="3"/>
  <c r="L563" i="3"/>
  <c r="M563" i="3"/>
  <c r="O563" i="3"/>
  <c r="N563" i="3" s="1"/>
  <c r="F566" i="3"/>
  <c r="H566" i="3"/>
  <c r="M566" i="3" s="1"/>
  <c r="J566" i="3"/>
  <c r="L566" i="3"/>
  <c r="O566" i="3" s="1"/>
  <c r="N566" i="3"/>
  <c r="F567" i="3"/>
  <c r="H567" i="3"/>
  <c r="M567" i="3" s="1"/>
  <c r="J567" i="3"/>
  <c r="L567" i="3"/>
  <c r="O567" i="3" s="1"/>
  <c r="F568" i="3"/>
  <c r="H568" i="3"/>
  <c r="J568" i="3"/>
  <c r="L568" i="3"/>
  <c r="M568" i="3"/>
  <c r="O568" i="3"/>
  <c r="N568" i="3" s="1"/>
  <c r="F569" i="3"/>
  <c r="H569" i="3"/>
  <c r="J569" i="3"/>
  <c r="L569" i="3"/>
  <c r="O569" i="3" s="1"/>
  <c r="M569" i="3"/>
  <c r="N569" i="3"/>
  <c r="F570" i="3"/>
  <c r="H570" i="3" s="1"/>
  <c r="J570" i="3"/>
  <c r="L570" i="3"/>
  <c r="M570" i="3"/>
  <c r="O570" i="3"/>
  <c r="N570" i="3" s="1"/>
  <c r="F571" i="3"/>
  <c r="H571" i="3" s="1"/>
  <c r="M571" i="3" s="1"/>
  <c r="J571" i="3"/>
  <c r="L571" i="3"/>
  <c r="O571" i="3"/>
  <c r="F574" i="3"/>
  <c r="H574" i="3"/>
  <c r="M574" i="3" s="1"/>
  <c r="J574" i="3"/>
  <c r="L574" i="3"/>
  <c r="O574" i="3" s="1"/>
  <c r="F575" i="3"/>
  <c r="H575" i="3"/>
  <c r="J575" i="3"/>
  <c r="L575" i="3"/>
  <c r="M575" i="3"/>
  <c r="O575" i="3"/>
  <c r="N575" i="3" s="1"/>
  <c r="F576" i="3"/>
  <c r="H576" i="3"/>
  <c r="J576" i="3"/>
  <c r="L576" i="3"/>
  <c r="M576" i="3"/>
  <c r="O576" i="3"/>
  <c r="N576" i="3" s="1"/>
  <c r="F577" i="3"/>
  <c r="H577" i="3" s="1"/>
  <c r="M577" i="3" s="1"/>
  <c r="N577" i="3" s="1"/>
  <c r="J577" i="3"/>
  <c r="L577" i="3" s="1"/>
  <c r="O577" i="3" s="1"/>
  <c r="F578" i="3"/>
  <c r="H578" i="3"/>
  <c r="J578" i="3"/>
  <c r="L578" i="3"/>
  <c r="M578" i="3"/>
  <c r="O578" i="3"/>
  <c r="N578" i="3" s="1"/>
  <c r="F579" i="3"/>
  <c r="H579" i="3"/>
  <c r="M579" i="3" s="1"/>
  <c r="N579" i="3" s="1"/>
  <c r="J579" i="3"/>
  <c r="L579" i="3"/>
  <c r="O579" i="3"/>
  <c r="F582" i="3"/>
  <c r="H582" i="3"/>
  <c r="J582" i="3"/>
  <c r="L582" i="3"/>
  <c r="M582" i="3"/>
  <c r="O582" i="3"/>
  <c r="N582" i="3" s="1"/>
  <c r="F583" i="3"/>
  <c r="H583" i="3"/>
  <c r="M583" i="3" s="1"/>
  <c r="J583" i="3"/>
  <c r="L583" i="3" s="1"/>
  <c r="O583" i="3" s="1"/>
  <c r="F584" i="3"/>
  <c r="H584" i="3"/>
  <c r="M584" i="3" s="1"/>
  <c r="J584" i="3"/>
  <c r="L584" i="3"/>
  <c r="O584" i="3" s="1"/>
  <c r="F585" i="3"/>
  <c r="H585" i="3"/>
  <c r="J585" i="3"/>
  <c r="L585" i="3"/>
  <c r="O585" i="3" s="1"/>
  <c r="M585" i="3"/>
  <c r="N585" i="3" s="1"/>
  <c r="F586" i="3"/>
  <c r="H586" i="3"/>
  <c r="J586" i="3"/>
  <c r="L586" i="3"/>
  <c r="M586" i="3"/>
  <c r="O586" i="3"/>
  <c r="N586" i="3" s="1"/>
  <c r="F587" i="3"/>
  <c r="H587" i="3"/>
  <c r="J587" i="3"/>
  <c r="L587" i="3"/>
  <c r="M587" i="3"/>
  <c r="O587" i="3"/>
  <c r="N587" i="3" s="1"/>
  <c r="F590" i="3"/>
  <c r="H590" i="3"/>
  <c r="M590" i="3" s="1"/>
  <c r="J590" i="3"/>
  <c r="L590" i="3"/>
  <c r="O590" i="3" s="1"/>
  <c r="F591" i="3"/>
  <c r="H591" i="3"/>
  <c r="M591" i="3" s="1"/>
  <c r="J591" i="3"/>
  <c r="L591" i="3"/>
  <c r="O591" i="3" s="1"/>
  <c r="F592" i="3"/>
  <c r="H592" i="3" s="1"/>
  <c r="J592" i="3"/>
  <c r="L592" i="3"/>
  <c r="M592" i="3"/>
  <c r="O592" i="3"/>
  <c r="N592" i="3" s="1"/>
  <c r="F593" i="3"/>
  <c r="H593" i="3"/>
  <c r="J593" i="3"/>
  <c r="L593" i="3"/>
  <c r="M593" i="3"/>
  <c r="O593" i="3"/>
  <c r="N593" i="3" s="1"/>
  <c r="F594" i="3"/>
  <c r="H594" i="3"/>
  <c r="J594" i="3"/>
  <c r="L594" i="3"/>
  <c r="M594" i="3"/>
  <c r="O594" i="3"/>
  <c r="N594" i="3" s="1"/>
  <c r="F595" i="3"/>
  <c r="H595" i="3"/>
  <c r="J595" i="3"/>
  <c r="L595" i="3" s="1"/>
  <c r="M595" i="3"/>
  <c r="O595" i="3"/>
  <c r="N595" i="3" s="1"/>
  <c r="F598" i="3"/>
  <c r="H598" i="3" s="1"/>
  <c r="M598" i="3" s="1"/>
  <c r="N598" i="3" s="1"/>
  <c r="J598" i="3"/>
  <c r="L598" i="3"/>
  <c r="O598" i="3"/>
  <c r="F599" i="3"/>
  <c r="H599" i="3"/>
  <c r="J599" i="3"/>
  <c r="L599" i="3"/>
  <c r="O599" i="3" s="1"/>
  <c r="M599" i="3"/>
  <c r="N599" i="3" s="1"/>
  <c r="F600" i="3"/>
  <c r="H600" i="3"/>
  <c r="J600" i="3"/>
  <c r="L600" i="3"/>
  <c r="M600" i="3"/>
  <c r="O600" i="3"/>
  <c r="N600" i="3" s="1"/>
  <c r="F601" i="3"/>
  <c r="H601" i="3"/>
  <c r="J601" i="3"/>
  <c r="L601" i="3"/>
  <c r="O601" i="3" s="1"/>
  <c r="N601" i="3" s="1"/>
  <c r="M601" i="3"/>
  <c r="F602" i="3"/>
  <c r="H602" i="3"/>
  <c r="J602" i="3"/>
  <c r="L602" i="3"/>
  <c r="O602" i="3" s="1"/>
  <c r="M602" i="3"/>
  <c r="N602" i="3"/>
  <c r="F603" i="3"/>
  <c r="H603" i="3"/>
  <c r="M603" i="3" s="1"/>
  <c r="J603" i="3"/>
  <c r="L603" i="3"/>
  <c r="O603" i="3" s="1"/>
  <c r="F606" i="3"/>
  <c r="H606" i="3" s="1"/>
  <c r="M606" i="3" s="1"/>
  <c r="N606" i="3" s="1"/>
  <c r="J606" i="3"/>
  <c r="L606" i="3" s="1"/>
  <c r="O606" i="3" s="1"/>
  <c r="F607" i="3"/>
  <c r="H607" i="3"/>
  <c r="J607" i="3"/>
  <c r="L607" i="3"/>
  <c r="M607" i="3"/>
  <c r="O607" i="3"/>
  <c r="N607" i="3" s="1"/>
  <c r="F608" i="3"/>
  <c r="H608" i="3"/>
  <c r="M608" i="3" s="1"/>
  <c r="J608" i="3"/>
  <c r="L608" i="3" s="1"/>
  <c r="O608" i="3" s="1"/>
  <c r="F609" i="3"/>
  <c r="H609" i="3" s="1"/>
  <c r="M609" i="3" s="1"/>
  <c r="J609" i="3"/>
  <c r="L609" i="3"/>
  <c r="O609" i="3"/>
  <c r="F610" i="3"/>
  <c r="H610" i="3"/>
  <c r="J610" i="3"/>
  <c r="L610" i="3"/>
  <c r="O610" i="3" s="1"/>
  <c r="M610" i="3"/>
  <c r="N610" i="3" s="1"/>
  <c r="F611" i="3"/>
  <c r="H611" i="3"/>
  <c r="M611" i="3" s="1"/>
  <c r="J611" i="3"/>
  <c r="L611" i="3" s="1"/>
  <c r="O611" i="3" s="1"/>
  <c r="F614" i="3"/>
  <c r="H614" i="3"/>
  <c r="J614" i="3"/>
  <c r="L614" i="3"/>
  <c r="M614" i="3"/>
  <c r="O614" i="3"/>
  <c r="N614" i="3" s="1"/>
  <c r="F615" i="3"/>
  <c r="H615" i="3" s="1"/>
  <c r="J615" i="3"/>
  <c r="L615" i="3"/>
  <c r="M615" i="3"/>
  <c r="O615" i="3"/>
  <c r="N615" i="3" s="1"/>
  <c r="F616" i="3"/>
  <c r="H616" i="3"/>
  <c r="M616" i="3" s="1"/>
  <c r="N616" i="3" s="1"/>
  <c r="J616" i="3"/>
  <c r="L616" i="3"/>
  <c r="O616" i="3"/>
  <c r="F617" i="3"/>
  <c r="H617" i="3"/>
  <c r="J617" i="3"/>
  <c r="L617" i="3"/>
  <c r="M617" i="3"/>
  <c r="O617" i="3"/>
  <c r="N617" i="3" s="1"/>
  <c r="F618" i="3"/>
  <c r="H618" i="3" s="1"/>
  <c r="M618" i="3" s="1"/>
  <c r="N618" i="3" s="1"/>
  <c r="J618" i="3"/>
  <c r="L618" i="3"/>
  <c r="O618" i="3"/>
  <c r="F619" i="3"/>
  <c r="H619" i="3"/>
  <c r="J619" i="3"/>
  <c r="L619" i="3"/>
  <c r="M619" i="3"/>
  <c r="O619" i="3"/>
  <c r="F622" i="3"/>
  <c r="H622" i="3"/>
  <c r="J622" i="3"/>
  <c r="L622" i="3"/>
  <c r="M622" i="3"/>
  <c r="O622" i="3"/>
  <c r="N622" i="3" s="1"/>
  <c r="F623" i="3"/>
  <c r="H623" i="3"/>
  <c r="J623" i="3"/>
  <c r="L623" i="3"/>
  <c r="O623" i="3" s="1"/>
  <c r="M623" i="3"/>
  <c r="N623" i="3" s="1"/>
  <c r="F624" i="3"/>
  <c r="H624" i="3"/>
  <c r="J624" i="3"/>
  <c r="L624" i="3"/>
  <c r="O624" i="3" s="1"/>
  <c r="M624" i="3"/>
  <c r="N624" i="3"/>
  <c r="F625" i="3"/>
  <c r="H625" i="3"/>
  <c r="J625" i="3"/>
  <c r="L625" i="3"/>
  <c r="M625" i="3"/>
  <c r="O625" i="3"/>
  <c r="N625" i="3" s="1"/>
  <c r="F626" i="3"/>
  <c r="H626" i="3"/>
  <c r="J626" i="3"/>
  <c r="L626" i="3"/>
  <c r="M626" i="3"/>
  <c r="N626" i="3" s="1"/>
  <c r="O626" i="3"/>
  <c r="F627" i="3"/>
  <c r="H627" i="3"/>
  <c r="M627" i="3" s="1"/>
  <c r="J627" i="3"/>
  <c r="L627" i="3"/>
  <c r="O627" i="3"/>
  <c r="F630" i="3"/>
  <c r="H630" i="3"/>
  <c r="J630" i="3"/>
  <c r="L630" i="3"/>
  <c r="O630" i="3" s="1"/>
  <c r="M630" i="3"/>
  <c r="N630" i="3"/>
  <c r="F631" i="3"/>
  <c r="H631" i="3" s="1"/>
  <c r="J631" i="3"/>
  <c r="L631" i="3"/>
  <c r="O631" i="3" s="1"/>
  <c r="M631" i="3"/>
  <c r="N631" i="3" s="1"/>
  <c r="F632" i="3"/>
  <c r="H632" i="3"/>
  <c r="J632" i="3"/>
  <c r="L632" i="3"/>
  <c r="O632" i="3" s="1"/>
  <c r="M632" i="3"/>
  <c r="N632" i="3"/>
  <c r="F633" i="3"/>
  <c r="H633" i="3"/>
  <c r="J633" i="3"/>
  <c r="L633" i="3"/>
  <c r="M633" i="3"/>
  <c r="N633" i="3" s="1"/>
  <c r="O633" i="3"/>
  <c r="F634" i="3"/>
  <c r="H634" i="3"/>
  <c r="J634" i="3"/>
  <c r="L634" i="3"/>
  <c r="M634" i="3"/>
  <c r="O634" i="3"/>
  <c r="N634" i="3" s="1"/>
  <c r="F635" i="3"/>
  <c r="H635" i="3"/>
  <c r="J635" i="3"/>
  <c r="L635" i="3"/>
  <c r="M635" i="3"/>
  <c r="O635" i="3"/>
  <c r="N635" i="3" s="1"/>
  <c r="F638" i="3"/>
  <c r="H638" i="3" s="1"/>
  <c r="M638" i="3" s="1"/>
  <c r="N638" i="3" s="1"/>
  <c r="J638" i="3"/>
  <c r="L638" i="3" s="1"/>
  <c r="O638" i="3" s="1"/>
  <c r="F639" i="3"/>
  <c r="H639" i="3"/>
  <c r="J639" i="3"/>
  <c r="L639" i="3" s="1"/>
  <c r="M639" i="3"/>
  <c r="O639" i="3"/>
  <c r="N639" i="3" s="1"/>
  <c r="F640" i="3"/>
  <c r="H640" i="3"/>
  <c r="J640" i="3"/>
  <c r="L640" i="3"/>
  <c r="M640" i="3"/>
  <c r="O640" i="3"/>
  <c r="N640" i="3" s="1"/>
  <c r="F641" i="3"/>
  <c r="H641" i="3"/>
  <c r="J641" i="3"/>
  <c r="L641" i="3" s="1"/>
  <c r="M641" i="3"/>
  <c r="O641" i="3"/>
  <c r="N641" i="3" s="1"/>
  <c r="F642" i="3"/>
  <c r="H642" i="3" s="1"/>
  <c r="M642" i="3" s="1"/>
  <c r="J642" i="3"/>
  <c r="L642" i="3"/>
  <c r="O642" i="3"/>
  <c r="N642" i="3" s="1"/>
  <c r="F643" i="3"/>
  <c r="H643" i="3" s="1"/>
  <c r="M643" i="3" s="1"/>
  <c r="N643" i="3" s="1"/>
  <c r="J643" i="3"/>
  <c r="L643" i="3"/>
  <c r="O643" i="3"/>
  <c r="F646" i="3"/>
  <c r="H646" i="3"/>
  <c r="J646" i="3"/>
  <c r="L646" i="3"/>
  <c r="M646" i="3"/>
  <c r="O646" i="3"/>
  <c r="N646" i="3" s="1"/>
  <c r="F647" i="3"/>
  <c r="H647" i="3"/>
  <c r="M647" i="3" s="1"/>
  <c r="J647" i="3"/>
  <c r="L647" i="3"/>
  <c r="O647" i="3"/>
  <c r="F648" i="3"/>
  <c r="H648" i="3"/>
  <c r="M648" i="3" s="1"/>
  <c r="J648" i="3"/>
  <c r="L648" i="3"/>
  <c r="O648" i="3" s="1"/>
  <c r="F649" i="3"/>
  <c r="H649" i="3"/>
  <c r="J649" i="3"/>
  <c r="L649" i="3"/>
  <c r="M649" i="3"/>
  <c r="O649" i="3"/>
  <c r="N649" i="3" s="1"/>
  <c r="F650" i="3"/>
  <c r="H650" i="3"/>
  <c r="M650" i="3" s="1"/>
  <c r="J650" i="3"/>
  <c r="L650" i="3"/>
  <c r="O650" i="3"/>
  <c r="N650" i="3" s="1"/>
  <c r="F651" i="3"/>
  <c r="H651" i="3"/>
  <c r="J651" i="3"/>
  <c r="L651" i="3"/>
  <c r="M651" i="3"/>
  <c r="O651" i="3"/>
  <c r="N651" i="3" s="1"/>
  <c r="F654" i="3"/>
  <c r="H654" i="3"/>
  <c r="M654" i="3" s="1"/>
  <c r="N654" i="3" s="1"/>
  <c r="J654" i="3"/>
  <c r="L654" i="3"/>
  <c r="O654" i="3"/>
  <c r="F655" i="3"/>
  <c r="H655" i="3"/>
  <c r="M655" i="3" s="1"/>
  <c r="J655" i="3"/>
  <c r="L655" i="3"/>
  <c r="O655" i="3" s="1"/>
  <c r="F656" i="3"/>
  <c r="H656" i="3"/>
  <c r="J656" i="3"/>
  <c r="L656" i="3"/>
  <c r="O656" i="3" s="1"/>
  <c r="M656" i="3"/>
  <c r="N656" i="3" s="1"/>
  <c r="F657" i="3"/>
  <c r="H657" i="3" s="1"/>
  <c r="J657" i="3"/>
  <c r="L657" i="3"/>
  <c r="M657" i="3"/>
  <c r="O657" i="3"/>
  <c r="N657" i="3" s="1"/>
  <c r="F658" i="3"/>
  <c r="H658" i="3"/>
  <c r="J658" i="3"/>
  <c r="L658" i="3"/>
  <c r="M658" i="3"/>
  <c r="O658" i="3"/>
  <c r="N658" i="3" s="1"/>
  <c r="F659" i="3"/>
  <c r="H659" i="3"/>
  <c r="J659" i="3"/>
  <c r="L659" i="3"/>
  <c r="M659" i="3"/>
  <c r="O659" i="3"/>
  <c r="N659" i="3" s="1"/>
  <c r="F662" i="3"/>
  <c r="H662" i="3" s="1"/>
  <c r="M662" i="3" s="1"/>
  <c r="N662" i="3" s="1"/>
  <c r="J662" i="3"/>
  <c r="L662" i="3"/>
  <c r="O662" i="3" s="1"/>
  <c r="F663" i="3"/>
  <c r="H663" i="3"/>
  <c r="M663" i="3" s="1"/>
  <c r="J663" i="3"/>
  <c r="L663" i="3" s="1"/>
  <c r="O663" i="3" s="1"/>
  <c r="F664" i="3"/>
  <c r="H664" i="3"/>
  <c r="J664" i="3"/>
  <c r="L664" i="3"/>
  <c r="M664" i="3"/>
  <c r="O664" i="3"/>
  <c r="N664" i="3" s="1"/>
  <c r="F665" i="3"/>
  <c r="H665" i="3"/>
  <c r="J665" i="3"/>
  <c r="L665" i="3"/>
  <c r="O665" i="3" s="1"/>
  <c r="M665" i="3"/>
  <c r="N665" i="3" s="1"/>
  <c r="F666" i="3"/>
  <c r="H666" i="3" s="1"/>
  <c r="J666" i="3"/>
  <c r="L666" i="3"/>
  <c r="M666" i="3"/>
  <c r="N666" i="3"/>
  <c r="O666" i="3"/>
  <c r="F667" i="3"/>
  <c r="H667" i="3"/>
  <c r="J667" i="3"/>
  <c r="L667" i="3"/>
  <c r="M667" i="3"/>
  <c r="O667" i="3"/>
  <c r="N667" i="3" s="1"/>
  <c r="F670" i="3"/>
  <c r="H670" i="3" s="1"/>
  <c r="M670" i="3" s="1"/>
  <c r="N670" i="3" s="1"/>
  <c r="J670" i="3"/>
  <c r="L670" i="3"/>
  <c r="O670" i="3"/>
  <c r="F671" i="3"/>
  <c r="H671" i="3"/>
  <c r="J671" i="3"/>
  <c r="L671" i="3"/>
  <c r="M671" i="3"/>
  <c r="O671" i="3"/>
  <c r="N671" i="3" s="1"/>
  <c r="F672" i="3"/>
  <c r="H672" i="3"/>
  <c r="J672" i="3"/>
  <c r="L672" i="3"/>
  <c r="M672" i="3"/>
  <c r="O672" i="3"/>
  <c r="N672" i="3" s="1"/>
  <c r="F673" i="3"/>
  <c r="H673" i="3" s="1"/>
  <c r="M673" i="3" s="1"/>
  <c r="J673" i="3"/>
  <c r="L673" i="3"/>
  <c r="O673" i="3"/>
  <c r="F674" i="3"/>
  <c r="H674" i="3"/>
  <c r="M674" i="3" s="1"/>
  <c r="J674" i="3"/>
  <c r="L674" i="3" s="1"/>
  <c r="O674" i="3" s="1"/>
  <c r="F675" i="3"/>
  <c r="H675" i="3" s="1"/>
  <c r="M675" i="3" s="1"/>
  <c r="N675" i="3" s="1"/>
  <c r="J675" i="3"/>
  <c r="L675" i="3"/>
  <c r="O675" i="3"/>
  <c r="F678" i="3"/>
  <c r="H678" i="3"/>
  <c r="J678" i="3"/>
  <c r="L678" i="3"/>
  <c r="M678" i="3"/>
  <c r="O678" i="3"/>
  <c r="N678" i="3" s="1"/>
  <c r="F679" i="3"/>
  <c r="H679" i="3"/>
  <c r="J679" i="3"/>
  <c r="L679" i="3"/>
  <c r="M679" i="3"/>
  <c r="O679" i="3"/>
  <c r="N679" i="3" s="1"/>
  <c r="F680" i="3"/>
  <c r="H680" i="3"/>
  <c r="M680" i="3" s="1"/>
  <c r="J680" i="3"/>
  <c r="L680" i="3" s="1"/>
  <c r="O680" i="3" s="1"/>
  <c r="N680" i="3"/>
  <c r="F681" i="3"/>
  <c r="H681" i="3"/>
  <c r="J681" i="3"/>
  <c r="L681" i="3" s="1"/>
  <c r="O681" i="3" s="1"/>
  <c r="M681" i="3"/>
  <c r="N681" i="3"/>
  <c r="F682" i="3"/>
  <c r="H682" i="3"/>
  <c r="J682" i="3"/>
  <c r="L682" i="3"/>
  <c r="M682" i="3"/>
  <c r="O682" i="3"/>
  <c r="N682" i="3" s="1"/>
  <c r="F683" i="3"/>
  <c r="H683" i="3"/>
  <c r="J683" i="3"/>
  <c r="L683" i="3"/>
  <c r="O683" i="3" s="1"/>
  <c r="M683" i="3"/>
  <c r="N683" i="3" s="1"/>
  <c r="F686" i="3"/>
  <c r="H686" i="3"/>
  <c r="J686" i="3"/>
  <c r="L686" i="3"/>
  <c r="M686" i="3"/>
  <c r="O686" i="3"/>
  <c r="N686" i="3" s="1"/>
  <c r="F687" i="3"/>
  <c r="H687" i="3"/>
  <c r="J687" i="3"/>
  <c r="L687" i="3"/>
  <c r="O687" i="3" s="1"/>
  <c r="M687" i="3"/>
  <c r="N687" i="3" s="1"/>
  <c r="F688" i="3"/>
  <c r="H688" i="3"/>
  <c r="M688" i="3" s="1"/>
  <c r="J688" i="3"/>
  <c r="L688" i="3" s="1"/>
  <c r="O688" i="3" s="1"/>
  <c r="F689" i="3"/>
  <c r="H689" i="3"/>
  <c r="J689" i="3"/>
  <c r="L689" i="3"/>
  <c r="M689" i="3"/>
  <c r="O689" i="3"/>
  <c r="N689" i="3" s="1"/>
  <c r="F690" i="3"/>
  <c r="H690" i="3"/>
  <c r="J690" i="3"/>
  <c r="L690" i="3"/>
  <c r="M690" i="3"/>
  <c r="O690" i="3"/>
  <c r="N690" i="3" s="1"/>
  <c r="F691" i="3"/>
  <c r="H691" i="3"/>
  <c r="J691" i="3"/>
  <c r="L691" i="3"/>
  <c r="M691" i="3"/>
  <c r="O691" i="3"/>
  <c r="N691" i="3" s="1"/>
  <c r="F694" i="3"/>
  <c r="H694" i="3"/>
  <c r="M694" i="3" s="1"/>
  <c r="J694" i="3"/>
  <c r="L694" i="3"/>
  <c r="O694" i="3" s="1"/>
  <c r="N694" i="3"/>
  <c r="F695" i="3"/>
  <c r="H695" i="3"/>
  <c r="M695" i="3" s="1"/>
  <c r="J695" i="3"/>
  <c r="L695" i="3" s="1"/>
  <c r="O695" i="3" s="1"/>
  <c r="F696" i="3"/>
  <c r="H696" i="3"/>
  <c r="J696" i="3"/>
  <c r="L696" i="3"/>
  <c r="M696" i="3"/>
  <c r="O696" i="3"/>
  <c r="N696" i="3" s="1"/>
  <c r="F697" i="3"/>
  <c r="H697" i="3"/>
  <c r="J697" i="3"/>
  <c r="L697" i="3"/>
  <c r="O697" i="3" s="1"/>
  <c r="M697" i="3"/>
  <c r="N697" i="3" s="1"/>
  <c r="F698" i="3"/>
  <c r="H698" i="3"/>
  <c r="J698" i="3"/>
  <c r="L698" i="3"/>
  <c r="O698" i="3" s="1"/>
  <c r="M698" i="3"/>
  <c r="F699" i="3"/>
  <c r="H699" i="3" s="1"/>
  <c r="J699" i="3"/>
  <c r="L699" i="3"/>
  <c r="M699" i="3"/>
  <c r="O699" i="3"/>
  <c r="N699" i="3" s="1"/>
  <c r="F702" i="3"/>
  <c r="H702" i="3" s="1"/>
  <c r="M702" i="3" s="1"/>
  <c r="N702" i="3" s="1"/>
  <c r="J702" i="3"/>
  <c r="L702" i="3"/>
  <c r="O702" i="3"/>
  <c r="F703" i="3"/>
  <c r="H703" i="3"/>
  <c r="J703" i="3"/>
  <c r="L703" i="3"/>
  <c r="O703" i="3" s="1"/>
  <c r="M703" i="3"/>
  <c r="N703" i="3" s="1"/>
  <c r="F704" i="3"/>
  <c r="H704" i="3"/>
  <c r="M704" i="3" s="1"/>
  <c r="J704" i="3"/>
  <c r="L704" i="3"/>
  <c r="O704" i="3"/>
  <c r="F705" i="3"/>
  <c r="H705" i="3" s="1"/>
  <c r="M705" i="3" s="1"/>
  <c r="J705" i="3"/>
  <c r="L705" i="3" s="1"/>
  <c r="O705" i="3" s="1"/>
  <c r="F706" i="3"/>
  <c r="H706" i="3"/>
  <c r="J706" i="3"/>
  <c r="L706" i="3"/>
  <c r="O706" i="3" s="1"/>
  <c r="M706" i="3"/>
  <c r="N706" i="3"/>
  <c r="F707" i="3"/>
  <c r="H707" i="3" s="1"/>
  <c r="M707" i="3" s="1"/>
  <c r="N707" i="3" s="1"/>
  <c r="J707" i="3"/>
  <c r="L707" i="3"/>
  <c r="O707" i="3"/>
  <c r="F710" i="3"/>
  <c r="H710" i="3"/>
  <c r="M710" i="3" s="1"/>
  <c r="J710" i="3"/>
  <c r="L710" i="3" s="1"/>
  <c r="O710" i="3"/>
  <c r="N710" i="3" s="1"/>
  <c r="F711" i="3"/>
  <c r="H711" i="3"/>
  <c r="J711" i="3"/>
  <c r="L711" i="3"/>
  <c r="M711" i="3"/>
  <c r="O711" i="3"/>
  <c r="N711" i="3" s="1"/>
  <c r="F712" i="3"/>
  <c r="H712" i="3"/>
  <c r="M712" i="3" s="1"/>
  <c r="N712" i="3" s="1"/>
  <c r="J712" i="3"/>
  <c r="L712" i="3"/>
  <c r="O712" i="3" s="1"/>
  <c r="F713" i="3"/>
  <c r="H713" i="3"/>
  <c r="J713" i="3"/>
  <c r="L713" i="3"/>
  <c r="M713" i="3"/>
  <c r="O713" i="3"/>
  <c r="N713" i="3" s="1"/>
  <c r="F714" i="3"/>
  <c r="H714" i="3"/>
  <c r="J714" i="3"/>
  <c r="L714" i="3"/>
  <c r="M714" i="3"/>
  <c r="O714" i="3"/>
  <c r="N714" i="3" s="1"/>
  <c r="F715" i="3"/>
  <c r="H715" i="3"/>
  <c r="J715" i="3"/>
  <c r="L715" i="3"/>
  <c r="M715" i="3"/>
  <c r="O715" i="3"/>
  <c r="N715" i="3" s="1"/>
  <c r="F718" i="3"/>
  <c r="H718" i="3"/>
  <c r="J718" i="3"/>
  <c r="L718" i="3"/>
  <c r="O718" i="3" s="1"/>
  <c r="M718" i="3"/>
  <c r="N718" i="3"/>
  <c r="F719" i="3"/>
  <c r="H719" i="3"/>
  <c r="M719" i="3" s="1"/>
  <c r="J719" i="3"/>
  <c r="L719" i="3"/>
  <c r="O719" i="3" s="1"/>
  <c r="F720" i="3"/>
  <c r="H720" i="3"/>
  <c r="J720" i="3"/>
  <c r="L720" i="3"/>
  <c r="O720" i="3" s="1"/>
  <c r="M720" i="3"/>
  <c r="N720" i="3" s="1"/>
  <c r="F721" i="3"/>
  <c r="H721" i="3"/>
  <c r="J721" i="3"/>
  <c r="L721" i="3"/>
  <c r="O721" i="3" s="1"/>
  <c r="M721" i="3"/>
  <c r="N721" i="3" s="1"/>
  <c r="F722" i="3"/>
  <c r="H722" i="3"/>
  <c r="J722" i="3"/>
  <c r="L722" i="3"/>
  <c r="M722" i="3"/>
  <c r="O722" i="3"/>
  <c r="N722" i="3" s="1"/>
  <c r="F723" i="3"/>
  <c r="H723" i="3"/>
  <c r="J723" i="3"/>
  <c r="L723" i="3" s="1"/>
  <c r="M723" i="3"/>
  <c r="O723" i="3"/>
  <c r="N723" i="3" s="1"/>
  <c r="F726" i="3"/>
  <c r="H726" i="3"/>
  <c r="J726" i="3"/>
  <c r="L726" i="3"/>
  <c r="O726" i="3" s="1"/>
  <c r="M726" i="3"/>
  <c r="N726" i="3"/>
  <c r="F727" i="3"/>
  <c r="H727" i="3" s="1"/>
  <c r="J727" i="3"/>
  <c r="L727" i="3"/>
  <c r="O727" i="3" s="1"/>
  <c r="M727" i="3"/>
  <c r="N727" i="3" s="1"/>
  <c r="F728" i="3"/>
  <c r="H728" i="3"/>
  <c r="M728" i="3" s="1"/>
  <c r="J728" i="3"/>
  <c r="L728" i="3" s="1"/>
  <c r="O728" i="3"/>
  <c r="N728" i="3" s="1"/>
  <c r="F729" i="3"/>
  <c r="H729" i="3"/>
  <c r="J729" i="3"/>
  <c r="L729" i="3"/>
  <c r="M729" i="3"/>
  <c r="O729" i="3"/>
  <c r="N729" i="3" s="1"/>
  <c r="F730" i="3"/>
  <c r="H730" i="3"/>
  <c r="J730" i="3"/>
  <c r="L730" i="3" s="1"/>
  <c r="O730" i="3" s="1"/>
  <c r="N730" i="3" s="1"/>
  <c r="M730" i="3"/>
  <c r="F731" i="3"/>
  <c r="H731" i="3"/>
  <c r="M731" i="3" s="1"/>
  <c r="J731" i="3"/>
  <c r="L731" i="3" s="1"/>
  <c r="O731" i="3" s="1"/>
  <c r="F734" i="3"/>
  <c r="H734" i="3" s="1"/>
  <c r="M734" i="3" s="1"/>
  <c r="J734" i="3"/>
  <c r="L734" i="3" s="1"/>
  <c r="O734" i="3" s="1"/>
  <c r="F735" i="3"/>
  <c r="H735" i="3"/>
  <c r="J735" i="3"/>
  <c r="L735" i="3"/>
  <c r="M735" i="3"/>
  <c r="O735" i="3"/>
  <c r="N735" i="3" s="1"/>
  <c r="F736" i="3"/>
  <c r="H736" i="3"/>
  <c r="J736" i="3"/>
  <c r="L736" i="3"/>
  <c r="M736" i="3"/>
  <c r="O736" i="3"/>
  <c r="N736" i="3" s="1"/>
  <c r="F737" i="3"/>
  <c r="H737" i="3" s="1"/>
  <c r="J737" i="3"/>
  <c r="L737" i="3"/>
  <c r="O737" i="3" s="1"/>
  <c r="M737" i="3"/>
  <c r="N737" i="3"/>
  <c r="F738" i="3"/>
  <c r="H738" i="3"/>
  <c r="J738" i="3"/>
  <c r="L738" i="3"/>
  <c r="M738" i="3"/>
  <c r="O738" i="3"/>
  <c r="N738" i="3" s="1"/>
  <c r="F739" i="3"/>
  <c r="H739" i="3" s="1"/>
  <c r="M739" i="3" s="1"/>
  <c r="N739" i="3" s="1"/>
  <c r="J739" i="3"/>
  <c r="L739" i="3"/>
  <c r="O739" i="3"/>
  <c r="F742" i="3"/>
  <c r="H742" i="3"/>
  <c r="J742" i="3"/>
  <c r="L742" i="3"/>
  <c r="M742" i="3"/>
  <c r="O742" i="3"/>
  <c r="N742" i="3" s="1"/>
  <c r="F743" i="3"/>
  <c r="H743" i="3"/>
  <c r="J743" i="3"/>
  <c r="L743" i="3"/>
  <c r="M743" i="3"/>
  <c r="O743" i="3"/>
  <c r="N743" i="3" s="1"/>
  <c r="F744" i="3"/>
  <c r="H744" i="3"/>
  <c r="J744" i="3"/>
  <c r="L744" i="3"/>
  <c r="M744" i="3"/>
  <c r="O744" i="3"/>
  <c r="N744" i="3" s="1"/>
  <c r="F745" i="3"/>
  <c r="H745" i="3" s="1"/>
  <c r="M745" i="3" s="1"/>
  <c r="J745" i="3"/>
  <c r="L745" i="3"/>
  <c r="O745" i="3"/>
  <c r="F746" i="3"/>
  <c r="H746" i="3" s="1"/>
  <c r="J746" i="3"/>
  <c r="L746" i="3"/>
  <c r="M746" i="3"/>
  <c r="O746" i="3"/>
  <c r="N746" i="3" s="1"/>
  <c r="F747" i="3"/>
  <c r="H747" i="3"/>
  <c r="J747" i="3"/>
  <c r="L747" i="3"/>
  <c r="M747" i="3"/>
  <c r="O747" i="3"/>
  <c r="N747" i="3" s="1"/>
  <c r="F750" i="3"/>
  <c r="H750" i="3" s="1"/>
  <c r="M750" i="3" s="1"/>
  <c r="J750" i="3"/>
  <c r="L750" i="3"/>
  <c r="O750" i="3"/>
  <c r="N750" i="3" s="1"/>
  <c r="F751" i="3"/>
  <c r="H751" i="3"/>
  <c r="J751" i="3"/>
  <c r="L751" i="3"/>
  <c r="M751" i="3"/>
  <c r="O751" i="3"/>
  <c r="N751" i="3" s="1"/>
  <c r="F752" i="3"/>
  <c r="H752" i="3" s="1"/>
  <c r="M752" i="3" s="1"/>
  <c r="N752" i="3" s="1"/>
  <c r="J752" i="3"/>
  <c r="L752" i="3"/>
  <c r="O752" i="3" s="1"/>
  <c r="F753" i="3"/>
  <c r="H753" i="3"/>
  <c r="J753" i="3"/>
  <c r="L753" i="3"/>
  <c r="M753" i="3"/>
  <c r="O753" i="3"/>
  <c r="N753" i="3" s="1"/>
  <c r="F754" i="3"/>
  <c r="H754" i="3"/>
  <c r="J754" i="3"/>
  <c r="L754" i="3"/>
  <c r="M754" i="3"/>
  <c r="O754" i="3"/>
  <c r="N754" i="3" s="1"/>
  <c r="F755" i="3"/>
  <c r="H755" i="3" s="1"/>
  <c r="M755" i="3" s="1"/>
  <c r="J755" i="3"/>
  <c r="L755" i="3"/>
  <c r="O755" i="3"/>
  <c r="N755" i="3" s="1"/>
  <c r="F758" i="3"/>
  <c r="H758" i="3"/>
  <c r="J758" i="3"/>
  <c r="L758" i="3"/>
  <c r="M758" i="3"/>
  <c r="O758" i="3"/>
  <c r="N758" i="3" s="1"/>
  <c r="F759" i="3"/>
  <c r="H759" i="3" s="1"/>
  <c r="M759" i="3" s="1"/>
  <c r="N759" i="3" s="1"/>
  <c r="J759" i="3"/>
  <c r="L759" i="3"/>
  <c r="O759" i="3"/>
  <c r="F760" i="3"/>
  <c r="H760" i="3"/>
  <c r="J760" i="3"/>
  <c r="L760" i="3"/>
  <c r="M760" i="3"/>
  <c r="O760" i="3"/>
  <c r="N760" i="3" s="1"/>
  <c r="F761" i="3"/>
  <c r="H761" i="3"/>
  <c r="J761" i="3"/>
  <c r="L761" i="3"/>
  <c r="M761" i="3"/>
  <c r="O761" i="3"/>
  <c r="N761" i="3" s="1"/>
  <c r="F762" i="3"/>
  <c r="H762" i="3" s="1"/>
  <c r="M762" i="3" s="1"/>
  <c r="J762" i="3"/>
  <c r="L762" i="3"/>
  <c r="O762" i="3"/>
  <c r="N762" i="3" s="1"/>
  <c r="F763" i="3"/>
  <c r="H763" i="3"/>
  <c r="J763" i="3"/>
  <c r="L763" i="3"/>
  <c r="O763" i="3" s="1"/>
  <c r="M763" i="3"/>
  <c r="N763" i="3"/>
  <c r="F766" i="3"/>
  <c r="H766" i="3"/>
  <c r="M766" i="3" s="1"/>
  <c r="N766" i="3" s="1"/>
  <c r="J766" i="3"/>
  <c r="L766" i="3"/>
  <c r="O766" i="3"/>
  <c r="F767" i="3"/>
  <c r="H767" i="3"/>
  <c r="J767" i="3"/>
  <c r="L767" i="3"/>
  <c r="M767" i="3"/>
  <c r="O767" i="3"/>
  <c r="N767" i="3" s="1"/>
  <c r="F768" i="3"/>
  <c r="H768" i="3"/>
  <c r="J768" i="3"/>
  <c r="L768" i="3"/>
  <c r="M768" i="3"/>
  <c r="O768" i="3"/>
  <c r="N768" i="3" s="1"/>
  <c r="F769" i="3"/>
  <c r="H769" i="3"/>
  <c r="M769" i="3" s="1"/>
  <c r="N769" i="3" s="1"/>
  <c r="J769" i="3"/>
  <c r="L769" i="3"/>
  <c r="O769" i="3"/>
  <c r="F770" i="3"/>
  <c r="H770" i="3"/>
  <c r="M770" i="3" s="1"/>
  <c r="J770" i="3"/>
  <c r="L770" i="3" s="1"/>
  <c r="O770" i="3" s="1"/>
  <c r="F771" i="3"/>
  <c r="H771" i="3" s="1"/>
  <c r="M771" i="3" s="1"/>
  <c r="N771" i="3" s="1"/>
  <c r="J771" i="3"/>
  <c r="L771" i="3"/>
  <c r="O771" i="3"/>
  <c r="F774" i="3"/>
  <c r="H774" i="3"/>
  <c r="J774" i="3"/>
  <c r="L774" i="3"/>
  <c r="M774" i="3"/>
  <c r="O774" i="3"/>
  <c r="N774" i="3" s="1"/>
  <c r="F775" i="3"/>
  <c r="H775" i="3"/>
  <c r="M775" i="3" s="1"/>
  <c r="J775" i="3"/>
  <c r="L775" i="3" s="1"/>
  <c r="O775" i="3" s="1"/>
  <c r="F776" i="3"/>
  <c r="H776" i="3"/>
  <c r="J776" i="3"/>
  <c r="L776" i="3"/>
  <c r="M776" i="3"/>
  <c r="O776" i="3"/>
  <c r="N776" i="3" s="1"/>
  <c r="F777" i="3"/>
  <c r="H777" i="3"/>
  <c r="J777" i="3"/>
  <c r="L777" i="3"/>
  <c r="O777" i="3" s="1"/>
  <c r="M777" i="3"/>
  <c r="F778" i="3"/>
  <c r="H778" i="3"/>
  <c r="J778" i="3"/>
  <c r="L778" i="3"/>
  <c r="M778" i="3"/>
  <c r="O778" i="3"/>
  <c r="N778" i="3" s="1"/>
  <c r="F779" i="3"/>
  <c r="H779" i="3"/>
  <c r="J779" i="3"/>
  <c r="L779" i="3"/>
  <c r="O779" i="3" s="1"/>
  <c r="M779" i="3"/>
  <c r="N779" i="3"/>
  <c r="F782" i="3"/>
  <c r="H782" i="3"/>
  <c r="M782" i="3" s="1"/>
  <c r="J782" i="3"/>
  <c r="L782" i="3" s="1"/>
  <c r="O782" i="3" s="1"/>
  <c r="F783" i="3"/>
  <c r="H783" i="3"/>
  <c r="M783" i="3" s="1"/>
  <c r="J783" i="3"/>
  <c r="L783" i="3"/>
  <c r="O783" i="3"/>
  <c r="F784" i="3"/>
  <c r="H784" i="3"/>
  <c r="M784" i="3" s="1"/>
  <c r="J784" i="3"/>
  <c r="L784" i="3"/>
  <c r="O784" i="3" s="1"/>
  <c r="F785" i="3"/>
  <c r="H785" i="3"/>
  <c r="J785" i="3"/>
  <c r="L785" i="3"/>
  <c r="M785" i="3"/>
  <c r="O785" i="3"/>
  <c r="N785" i="3" s="1"/>
  <c r="F786" i="3"/>
  <c r="H786" i="3"/>
  <c r="J786" i="3"/>
  <c r="L786" i="3"/>
  <c r="M786" i="3"/>
  <c r="N786" i="3" s="1"/>
  <c r="O786" i="3"/>
  <c r="F787" i="3"/>
  <c r="H787" i="3"/>
  <c r="J787" i="3"/>
  <c r="L787" i="3"/>
  <c r="O787" i="3" s="1"/>
  <c r="M787" i="3"/>
  <c r="N787" i="3"/>
  <c r="F790" i="3"/>
  <c r="H790" i="3" s="1"/>
  <c r="J790" i="3"/>
  <c r="L790" i="3"/>
  <c r="M790" i="3"/>
  <c r="O790" i="3"/>
  <c r="N790" i="3" s="1"/>
  <c r="F791" i="3"/>
  <c r="H791" i="3"/>
  <c r="M791" i="3" s="1"/>
  <c r="N791" i="3" s="1"/>
  <c r="J791" i="3"/>
  <c r="L791" i="3"/>
  <c r="O791" i="3"/>
  <c r="F792" i="3"/>
  <c r="H792" i="3"/>
  <c r="J792" i="3"/>
  <c r="L792" i="3"/>
  <c r="M792" i="3"/>
  <c r="O792" i="3"/>
  <c r="N792" i="3" s="1"/>
  <c r="F793" i="3"/>
  <c r="H793" i="3"/>
  <c r="M793" i="3" s="1"/>
  <c r="J793" i="3"/>
  <c r="L793" i="3"/>
  <c r="O793" i="3"/>
  <c r="F794" i="3"/>
  <c r="H794" i="3"/>
  <c r="M794" i="3" s="1"/>
  <c r="J794" i="3"/>
  <c r="L794" i="3" s="1"/>
  <c r="O794" i="3" s="1"/>
  <c r="F795" i="3"/>
  <c r="H795" i="3"/>
  <c r="M795" i="3" s="1"/>
  <c r="N795" i="3" s="1"/>
  <c r="J795" i="3"/>
  <c r="L795" i="3"/>
  <c r="O795" i="3"/>
  <c r="F798" i="3"/>
  <c r="H798" i="3" s="1"/>
  <c r="M798" i="3" s="1"/>
  <c r="N798" i="3" s="1"/>
  <c r="J798" i="3"/>
  <c r="L798" i="3"/>
  <c r="O798" i="3"/>
  <c r="F799" i="3"/>
  <c r="H799" i="3"/>
  <c r="J799" i="3"/>
  <c r="L799" i="3"/>
  <c r="M799" i="3"/>
  <c r="O799" i="3"/>
  <c r="N799" i="3" s="1"/>
  <c r="F800" i="3"/>
  <c r="H800" i="3"/>
  <c r="J800" i="3"/>
  <c r="L800" i="3"/>
  <c r="M800" i="3"/>
  <c r="O800" i="3"/>
  <c r="N800" i="3" s="1"/>
  <c r="F801" i="3"/>
  <c r="H801" i="3"/>
  <c r="J801" i="3"/>
  <c r="L801" i="3"/>
  <c r="M801" i="3"/>
  <c r="O801" i="3"/>
  <c r="N801" i="3" s="1"/>
  <c r="F802" i="3"/>
  <c r="H802" i="3" s="1"/>
  <c r="M802" i="3" s="1"/>
  <c r="N802" i="3" s="1"/>
  <c r="J802" i="3"/>
  <c r="L802" i="3" s="1"/>
  <c r="O802" i="3" s="1"/>
  <c r="F803" i="3"/>
  <c r="H803" i="3"/>
  <c r="J803" i="3"/>
  <c r="L803" i="3"/>
  <c r="M803" i="3"/>
  <c r="O803" i="3"/>
  <c r="N803" i="3" s="1"/>
  <c r="F6" i="2"/>
  <c r="H6" i="2" s="1"/>
  <c r="J6" i="2"/>
  <c r="L6" i="2"/>
  <c r="M6" i="2"/>
  <c r="O6" i="2"/>
  <c r="N6" i="2" s="1"/>
  <c r="F7" i="2"/>
  <c r="H7" i="2"/>
  <c r="J7" i="2"/>
  <c r="L7" i="2"/>
  <c r="M7" i="2"/>
  <c r="O7" i="2"/>
  <c r="N7" i="2" s="1"/>
  <c r="F8" i="2"/>
  <c r="H8" i="2"/>
  <c r="J8" i="2"/>
  <c r="L8" i="2"/>
  <c r="M8" i="2"/>
  <c r="O8" i="2"/>
  <c r="N8" i="2" s="1"/>
  <c r="F9" i="2"/>
  <c r="H9" i="2"/>
  <c r="J9" i="2"/>
  <c r="L9" i="2"/>
  <c r="M9" i="2"/>
  <c r="O9" i="2"/>
  <c r="N9" i="2" s="1"/>
  <c r="F10" i="2"/>
  <c r="H10" i="2"/>
  <c r="M10" i="2" s="1"/>
  <c r="J10" i="2"/>
  <c r="L10" i="2"/>
  <c r="O10" i="2"/>
  <c r="F11" i="2"/>
  <c r="H11" i="2"/>
  <c r="J11" i="2"/>
  <c r="L11" i="2"/>
  <c r="M11" i="2"/>
  <c r="O11" i="2"/>
  <c r="N11" i="2" s="1"/>
  <c r="F15" i="2"/>
  <c r="H15" i="2"/>
  <c r="J15" i="2"/>
  <c r="L15" i="2"/>
  <c r="M15" i="2"/>
  <c r="O15" i="2"/>
  <c r="N15" i="2" s="1"/>
  <c r="F16" i="2"/>
  <c r="H16" i="2"/>
  <c r="J16" i="2"/>
  <c r="L16" i="2"/>
  <c r="M16" i="2"/>
  <c r="N16" i="2"/>
  <c r="O16" i="2"/>
  <c r="F17" i="2"/>
  <c r="H17" i="2"/>
  <c r="J17" i="2"/>
  <c r="L17" i="2"/>
  <c r="M17" i="2"/>
  <c r="O17" i="2"/>
  <c r="N17" i="2" s="1"/>
  <c r="F18" i="2"/>
  <c r="H18" i="2" s="1"/>
  <c r="J18" i="2"/>
  <c r="L18" i="2"/>
  <c r="O18" i="2" s="1"/>
  <c r="M18" i="2"/>
  <c r="N18" i="2" s="1"/>
  <c r="F19" i="2"/>
  <c r="H19" i="2"/>
  <c r="J19" i="2"/>
  <c r="L19" i="2"/>
  <c r="M19" i="2"/>
  <c r="O19" i="2"/>
  <c r="N19" i="2" s="1"/>
  <c r="F20" i="2"/>
  <c r="H20" i="2"/>
  <c r="J20" i="2"/>
  <c r="L20" i="2"/>
  <c r="M20" i="2"/>
  <c r="O20" i="2"/>
  <c r="N20" i="2" s="1"/>
  <c r="F24" i="2"/>
  <c r="H24" i="2"/>
  <c r="J24" i="2"/>
  <c r="L24" i="2"/>
  <c r="M24" i="2"/>
  <c r="O24" i="2"/>
  <c r="N24" i="2" s="1"/>
  <c r="F25" i="2"/>
  <c r="H25" i="2"/>
  <c r="J25" i="2"/>
  <c r="L25" i="2"/>
  <c r="O25" i="2" s="1"/>
  <c r="M25" i="2"/>
  <c r="N25" i="2" s="1"/>
  <c r="F26" i="2"/>
  <c r="H26" i="2"/>
  <c r="M26" i="2" s="1"/>
  <c r="J26" i="2"/>
  <c r="L26" i="2"/>
  <c r="O26" i="2"/>
  <c r="F27" i="2"/>
  <c r="H27" i="2" s="1"/>
  <c r="M27" i="2" s="1"/>
  <c r="N27" i="2" s="1"/>
  <c r="J27" i="2"/>
  <c r="L27" i="2"/>
  <c r="O27" i="2"/>
  <c r="F28" i="2"/>
  <c r="H28" i="2"/>
  <c r="J28" i="2"/>
  <c r="L28" i="2"/>
  <c r="M28" i="2"/>
  <c r="O28" i="2"/>
  <c r="N28" i="2" s="1"/>
  <c r="F29" i="2"/>
  <c r="H29" i="2"/>
  <c r="J29" i="2"/>
  <c r="L29" i="2"/>
  <c r="M29" i="2"/>
  <c r="O29" i="2"/>
  <c r="N29" i="2" s="1"/>
  <c r="F33" i="2"/>
  <c r="H33" i="2"/>
  <c r="J33" i="2"/>
  <c r="L33" i="2" s="1"/>
  <c r="M33" i="2"/>
  <c r="O33" i="2"/>
  <c r="N33" i="2" s="1"/>
  <c r="F34" i="2"/>
  <c r="H34" i="2"/>
  <c r="J34" i="2"/>
  <c r="L34" i="2"/>
  <c r="M34" i="2"/>
  <c r="N34" i="2"/>
  <c r="O34" i="2"/>
  <c r="F35" i="2"/>
  <c r="H35" i="2"/>
  <c r="J35" i="2"/>
  <c r="L35" i="2"/>
  <c r="M35" i="2"/>
  <c r="O35" i="2"/>
  <c r="N35" i="2" s="1"/>
  <c r="F36" i="2"/>
  <c r="H36" i="2" s="1"/>
  <c r="M36" i="2" s="1"/>
  <c r="N36" i="2" s="1"/>
  <c r="J36" i="2"/>
  <c r="L36" i="2"/>
  <c r="O36" i="2"/>
  <c r="F37" i="2"/>
  <c r="H37" i="2"/>
  <c r="J37" i="2"/>
  <c r="L37" i="2"/>
  <c r="O37" i="2" s="1"/>
  <c r="M37" i="2"/>
  <c r="N37" i="2"/>
  <c r="F38" i="2"/>
  <c r="H38" i="2"/>
  <c r="J38" i="2"/>
  <c r="L38" i="2"/>
  <c r="M38" i="2"/>
  <c r="O38" i="2"/>
  <c r="N38" i="2" s="1"/>
  <c r="F42" i="2"/>
  <c r="H42" i="2"/>
  <c r="J42" i="2"/>
  <c r="L42" i="2"/>
  <c r="O42" i="2" s="1"/>
  <c r="N42" i="2" s="1"/>
  <c r="M42" i="2"/>
  <c r="F43" i="2"/>
  <c r="H43" i="2"/>
  <c r="J43" i="2"/>
  <c r="L43" i="2"/>
  <c r="M43" i="2"/>
  <c r="N43" i="2"/>
  <c r="O43" i="2"/>
  <c r="F44" i="2"/>
  <c r="H44" i="2" s="1"/>
  <c r="M44" i="2" s="1"/>
  <c r="N44" i="2" s="1"/>
  <c r="J44" i="2"/>
  <c r="L44" i="2"/>
  <c r="O44" i="2"/>
  <c r="F45" i="2"/>
  <c r="H45" i="2"/>
  <c r="M45" i="2" s="1"/>
  <c r="J45" i="2"/>
  <c r="L45" i="2" s="1"/>
  <c r="O45" i="2"/>
  <c r="N45" i="2" s="1"/>
  <c r="F46" i="2"/>
  <c r="H46" i="2"/>
  <c r="J46" i="2"/>
  <c r="L46" i="2"/>
  <c r="O46" i="2" s="1"/>
  <c r="M46" i="2"/>
  <c r="N46" i="2"/>
  <c r="F47" i="2"/>
  <c r="H47" i="2"/>
  <c r="M47" i="2" s="1"/>
  <c r="J47" i="2"/>
  <c r="L47" i="2"/>
  <c r="O47" i="2" s="1"/>
  <c r="F51" i="2"/>
  <c r="H51" i="2"/>
  <c r="J51" i="2"/>
  <c r="L51" i="2"/>
  <c r="M51" i="2"/>
  <c r="O51" i="2"/>
  <c r="N51" i="2" s="1"/>
  <c r="F52" i="2"/>
  <c r="H52" i="2"/>
  <c r="M52" i="2" s="1"/>
  <c r="N52" i="2" s="1"/>
  <c r="J52" i="2"/>
  <c r="L52" i="2"/>
  <c r="O52" i="2"/>
  <c r="F53" i="2"/>
  <c r="H53" i="2" s="1"/>
  <c r="J53" i="2"/>
  <c r="L53" i="2"/>
  <c r="M53" i="2"/>
  <c r="O53" i="2"/>
  <c r="N53" i="2" s="1"/>
  <c r="F54" i="2"/>
  <c r="H54" i="2"/>
  <c r="M54" i="2" s="1"/>
  <c r="J54" i="2"/>
  <c r="L54" i="2" s="1"/>
  <c r="O54" i="2" s="1"/>
  <c r="F55" i="2"/>
  <c r="H55" i="2"/>
  <c r="M55" i="2" s="1"/>
  <c r="J55" i="2"/>
  <c r="L55" i="2"/>
  <c r="O55" i="2" s="1"/>
  <c r="F56" i="2"/>
  <c r="H56" i="2"/>
  <c r="J56" i="2"/>
  <c r="L56" i="2"/>
  <c r="M56" i="2"/>
  <c r="O56" i="2"/>
  <c r="N56" i="2" s="1"/>
  <c r="F60" i="2"/>
  <c r="H60" i="2"/>
  <c r="M60" i="2" s="1"/>
  <c r="J60" i="2"/>
  <c r="L60" i="2"/>
  <c r="O60" i="2"/>
  <c r="F61" i="2"/>
  <c r="H61" i="2"/>
  <c r="J61" i="2"/>
  <c r="L61" i="2"/>
  <c r="M61" i="2"/>
  <c r="O61" i="2"/>
  <c r="N61" i="2" s="1"/>
  <c r="F62" i="2"/>
  <c r="H62" i="2"/>
  <c r="M62" i="2" s="1"/>
  <c r="J62" i="2"/>
  <c r="L62" i="2" s="1"/>
  <c r="O62" i="2"/>
  <c r="N62" i="2" s="1"/>
  <c r="F63" i="2"/>
  <c r="H63" i="2"/>
  <c r="M63" i="2" s="1"/>
  <c r="J63" i="2"/>
  <c r="L63" i="2"/>
  <c r="O63" i="2" s="1"/>
  <c r="F64" i="2"/>
  <c r="H64" i="2"/>
  <c r="J64" i="2"/>
  <c r="L64" i="2"/>
  <c r="M64" i="2"/>
  <c r="O64" i="2"/>
  <c r="N64" i="2" s="1"/>
  <c r="F65" i="2"/>
  <c r="H65" i="2" s="1"/>
  <c r="J65" i="2"/>
  <c r="L65" i="2"/>
  <c r="M65" i="2"/>
  <c r="O65" i="2"/>
  <c r="N65" i="2" s="1"/>
  <c r="F69" i="2"/>
  <c r="H69" i="2"/>
  <c r="M69" i="2" s="1"/>
  <c r="N69" i="2" s="1"/>
  <c r="J69" i="2"/>
  <c r="L69" i="2"/>
  <c r="O69" i="2"/>
  <c r="F70" i="2"/>
  <c r="H70" i="2" s="1"/>
  <c r="J70" i="2"/>
  <c r="L70" i="2"/>
  <c r="M70" i="2"/>
  <c r="O70" i="2"/>
  <c r="N70" i="2" s="1"/>
  <c r="F71" i="2"/>
  <c r="H71" i="2"/>
  <c r="M71" i="2" s="1"/>
  <c r="J71" i="2"/>
  <c r="L71" i="2"/>
  <c r="O71" i="2" s="1"/>
  <c r="F72" i="2"/>
  <c r="H72" i="2"/>
  <c r="J72" i="2"/>
  <c r="L72" i="2"/>
  <c r="O72" i="2" s="1"/>
  <c r="M72" i="2"/>
  <c r="N72" i="2" s="1"/>
  <c r="F73" i="2"/>
  <c r="H73" i="2" s="1"/>
  <c r="M73" i="2" s="1"/>
  <c r="N73" i="2" s="1"/>
  <c r="J73" i="2"/>
  <c r="L73" i="2"/>
  <c r="O73" i="2"/>
  <c r="F74" i="2"/>
  <c r="H74" i="2"/>
  <c r="J74" i="2"/>
  <c r="L74" i="2"/>
  <c r="O74" i="2" s="1"/>
  <c r="M74" i="2"/>
  <c r="N74" i="2" s="1"/>
  <c r="F78" i="2"/>
  <c r="H78" i="2"/>
  <c r="J78" i="2"/>
  <c r="L78" i="2"/>
  <c r="M78" i="2"/>
  <c r="O78" i="2"/>
  <c r="N78" i="2" s="1"/>
  <c r="F79" i="2"/>
  <c r="H79" i="2"/>
  <c r="M79" i="2" s="1"/>
  <c r="J79" i="2"/>
  <c r="L79" i="2" s="1"/>
  <c r="O79" i="2" s="1"/>
  <c r="F80" i="2"/>
  <c r="H80" i="2"/>
  <c r="J80" i="2"/>
  <c r="L80" i="2" s="1"/>
  <c r="M80" i="2"/>
  <c r="O80" i="2"/>
  <c r="N80" i="2" s="1"/>
  <c r="F81" i="2"/>
  <c r="H81" i="2"/>
  <c r="M81" i="2" s="1"/>
  <c r="J81" i="2"/>
  <c r="L81" i="2"/>
  <c r="O81" i="2" s="1"/>
  <c r="F82" i="2"/>
  <c r="H82" i="2"/>
  <c r="J82" i="2"/>
  <c r="L82" i="2"/>
  <c r="O82" i="2" s="1"/>
  <c r="M82" i="2"/>
  <c r="N82" i="2" s="1"/>
  <c r="F83" i="2"/>
  <c r="H83" i="2"/>
  <c r="M83" i="2" s="1"/>
  <c r="N83" i="2" s="1"/>
  <c r="J83" i="2"/>
  <c r="L83" i="2"/>
  <c r="O83" i="2"/>
  <c r="F87" i="2"/>
  <c r="H87" i="2"/>
  <c r="M87" i="2" s="1"/>
  <c r="J87" i="2"/>
  <c r="L87" i="2" s="1"/>
  <c r="O87" i="2" s="1"/>
  <c r="F88" i="2"/>
  <c r="H88" i="2"/>
  <c r="J88" i="2"/>
  <c r="L88" i="2"/>
  <c r="M88" i="2"/>
  <c r="O88" i="2"/>
  <c r="N88" i="2" s="1"/>
  <c r="F89" i="2"/>
  <c r="H89" i="2"/>
  <c r="J89" i="2"/>
  <c r="L89" i="2"/>
  <c r="M89" i="2"/>
  <c r="O89" i="2"/>
  <c r="N89" i="2" s="1"/>
  <c r="F90" i="2"/>
  <c r="H90" i="2"/>
  <c r="M90" i="2" s="1"/>
  <c r="J90" i="2"/>
  <c r="L90" i="2" s="1"/>
  <c r="O90" i="2" s="1"/>
  <c r="F91" i="2"/>
  <c r="H91" i="2"/>
  <c r="J91" i="2"/>
  <c r="L91" i="2"/>
  <c r="O91" i="2" s="1"/>
  <c r="M91" i="2"/>
  <c r="N91" i="2" s="1"/>
  <c r="F92" i="2"/>
  <c r="H92" i="2"/>
  <c r="M92" i="2" s="1"/>
  <c r="J92" i="2"/>
  <c r="L92" i="2" s="1"/>
  <c r="O92" i="2" s="1"/>
  <c r="F96" i="2"/>
  <c r="H96" i="2"/>
  <c r="J96" i="2"/>
  <c r="L96" i="2"/>
  <c r="M96" i="2"/>
  <c r="O96" i="2"/>
  <c r="N96" i="2" s="1"/>
  <c r="F97" i="2"/>
  <c r="H97" i="2"/>
  <c r="J97" i="2"/>
  <c r="L97" i="2"/>
  <c r="M97" i="2"/>
  <c r="O97" i="2"/>
  <c r="N97" i="2" s="1"/>
  <c r="F98" i="2"/>
  <c r="H98" i="2"/>
  <c r="J98" i="2"/>
  <c r="L98" i="2"/>
  <c r="M98" i="2"/>
  <c r="O98" i="2"/>
  <c r="N98" i="2" s="1"/>
  <c r="F99" i="2"/>
  <c r="H99" i="2" s="1"/>
  <c r="M99" i="2" s="1"/>
  <c r="J99" i="2"/>
  <c r="L99" i="2" s="1"/>
  <c r="O99" i="2" s="1"/>
  <c r="F100" i="2"/>
  <c r="H100" i="2" s="1"/>
  <c r="M100" i="2" s="1"/>
  <c r="N100" i="2" s="1"/>
  <c r="J100" i="2"/>
  <c r="L100" i="2" s="1"/>
  <c r="O100" i="2" s="1"/>
  <c r="F101" i="2"/>
  <c r="H101" i="2"/>
  <c r="J101" i="2"/>
  <c r="L101" i="2"/>
  <c r="M101" i="2"/>
  <c r="O101" i="2"/>
  <c r="N101" i="2" s="1"/>
  <c r="F105" i="2"/>
  <c r="H105" i="2"/>
  <c r="J105" i="2"/>
  <c r="L105" i="2"/>
  <c r="M105" i="2"/>
  <c r="O105" i="2"/>
  <c r="N105" i="2" s="1"/>
  <c r="F106" i="2"/>
  <c r="H106" i="2"/>
  <c r="J106" i="2"/>
  <c r="L106" i="2"/>
  <c r="O106" i="2" s="1"/>
  <c r="M106" i="2"/>
  <c r="N106" i="2" s="1"/>
  <c r="F107" i="2"/>
  <c r="H107" i="2"/>
  <c r="M107" i="2" s="1"/>
  <c r="J107" i="2"/>
  <c r="L107" i="2"/>
  <c r="O107" i="2"/>
  <c r="F108" i="2"/>
  <c r="H108" i="2" s="1"/>
  <c r="M108" i="2" s="1"/>
  <c r="N108" i="2" s="1"/>
  <c r="J108" i="2"/>
  <c r="L108" i="2"/>
  <c r="O108" i="2"/>
  <c r="F109" i="2"/>
  <c r="H109" i="2"/>
  <c r="J109" i="2"/>
  <c r="L109" i="2"/>
  <c r="M109" i="2"/>
  <c r="O109" i="2"/>
  <c r="N109" i="2" s="1"/>
  <c r="F110" i="2"/>
  <c r="H110" i="2"/>
  <c r="J110" i="2"/>
  <c r="L110" i="2"/>
  <c r="O110" i="2" s="1"/>
  <c r="M110" i="2"/>
  <c r="N110" i="2"/>
  <c r="F114" i="2"/>
  <c r="H114" i="2"/>
  <c r="J114" i="2"/>
  <c r="L114" i="2"/>
  <c r="M114" i="2"/>
  <c r="O114" i="2"/>
  <c r="N114" i="2" s="1"/>
  <c r="F115" i="2"/>
  <c r="H115" i="2" s="1"/>
  <c r="M115" i="2" s="1"/>
  <c r="N115" i="2" s="1"/>
  <c r="J115" i="2"/>
  <c r="L115" i="2"/>
  <c r="O115" i="2"/>
  <c r="F116" i="2"/>
  <c r="H116" i="2" s="1"/>
  <c r="M116" i="2" s="1"/>
  <c r="N116" i="2" s="1"/>
  <c r="J116" i="2"/>
  <c r="L116" i="2"/>
  <c r="O116" i="2"/>
  <c r="F117" i="2"/>
  <c r="H117" i="2"/>
  <c r="J117" i="2"/>
  <c r="L117" i="2"/>
  <c r="M117" i="2"/>
  <c r="O117" i="2"/>
  <c r="N117" i="2" s="1"/>
  <c r="F118" i="2"/>
  <c r="H118" i="2"/>
  <c r="M118" i="2" s="1"/>
  <c r="J118" i="2"/>
  <c r="L118" i="2"/>
  <c r="O118" i="2"/>
  <c r="F119" i="2"/>
  <c r="H119" i="2"/>
  <c r="J119" i="2"/>
  <c r="L119" i="2"/>
  <c r="O119" i="2" s="1"/>
  <c r="M119" i="2"/>
  <c r="N119" i="2" s="1"/>
  <c r="F123" i="2"/>
  <c r="H123" i="2"/>
  <c r="J123" i="2"/>
  <c r="L123" i="2"/>
  <c r="M123" i="2"/>
  <c r="O123" i="2"/>
  <c r="N123" i="2" s="1"/>
  <c r="F124" i="2"/>
  <c r="H124" i="2" s="1"/>
  <c r="M124" i="2" s="1"/>
  <c r="N124" i="2" s="1"/>
  <c r="J124" i="2"/>
  <c r="L124" i="2"/>
  <c r="O124" i="2"/>
  <c r="F125" i="2"/>
  <c r="H125" i="2"/>
  <c r="J125" i="2"/>
  <c r="L125" i="2" s="1"/>
  <c r="O125" i="2" s="1"/>
  <c r="M125" i="2"/>
  <c r="F126" i="2"/>
  <c r="H126" i="2"/>
  <c r="M126" i="2" s="1"/>
  <c r="J126" i="2"/>
  <c r="L126" i="2" s="1"/>
  <c r="O126" i="2"/>
  <c r="N126" i="2" s="1"/>
  <c r="F127" i="2"/>
  <c r="H127" i="2"/>
  <c r="J127" i="2"/>
  <c r="L127" i="2" s="1"/>
  <c r="M127" i="2"/>
  <c r="O127" i="2"/>
  <c r="N127" i="2" s="1"/>
  <c r="F128" i="2"/>
  <c r="H128" i="2"/>
  <c r="J128" i="2"/>
  <c r="L128" i="2"/>
  <c r="M128" i="2"/>
  <c r="O128" i="2"/>
  <c r="N128" i="2" s="1"/>
  <c r="F132" i="2"/>
  <c r="H132" i="2"/>
  <c r="M132" i="2" s="1"/>
  <c r="N132" i="2" s="1"/>
  <c r="J132" i="2"/>
  <c r="L132" i="2"/>
  <c r="O132" i="2"/>
  <c r="F133" i="2"/>
  <c r="H133" i="2"/>
  <c r="J133" i="2"/>
  <c r="L133" i="2"/>
  <c r="O133" i="2" s="1"/>
  <c r="M133" i="2"/>
  <c r="F134" i="2"/>
  <c r="H134" i="2" s="1"/>
  <c r="J134" i="2"/>
  <c r="L134" i="2"/>
  <c r="O134" i="2" s="1"/>
  <c r="M134" i="2"/>
  <c r="N134" i="2"/>
  <c r="F135" i="2"/>
  <c r="H135" i="2"/>
  <c r="J135" i="2"/>
  <c r="L135" i="2"/>
  <c r="M135" i="2"/>
  <c r="O135" i="2"/>
  <c r="N135" i="2" s="1"/>
  <c r="F136" i="2"/>
  <c r="H136" i="2"/>
  <c r="J136" i="2"/>
  <c r="L136" i="2"/>
  <c r="M136" i="2"/>
  <c r="O136" i="2"/>
  <c r="N136" i="2" s="1"/>
  <c r="F137" i="2"/>
  <c r="H137" i="2" s="1"/>
  <c r="M137" i="2" s="1"/>
  <c r="N137" i="2" s="1"/>
  <c r="J137" i="2"/>
  <c r="L137" i="2"/>
  <c r="O137" i="2"/>
  <c r="F141" i="2"/>
  <c r="H141" i="2"/>
  <c r="J141" i="2"/>
  <c r="L141" i="2"/>
  <c r="O141" i="2" s="1"/>
  <c r="M141" i="2"/>
  <c r="N141" i="2"/>
  <c r="F142" i="2"/>
  <c r="H142" i="2"/>
  <c r="M142" i="2" s="1"/>
  <c r="N142" i="2" s="1"/>
  <c r="J142" i="2"/>
  <c r="L142" i="2" s="1"/>
  <c r="O142" i="2"/>
  <c r="F143" i="2"/>
  <c r="H143" i="2"/>
  <c r="J143" i="2"/>
  <c r="L143" i="2"/>
  <c r="M143" i="2"/>
  <c r="O143" i="2"/>
  <c r="N143" i="2" s="1"/>
  <c r="F144" i="2"/>
  <c r="H144" i="2"/>
  <c r="J144" i="2"/>
  <c r="L144" i="2"/>
  <c r="M144" i="2"/>
  <c r="O144" i="2"/>
  <c r="N144" i="2" s="1"/>
  <c r="F145" i="2"/>
  <c r="H145" i="2" s="1"/>
  <c r="M145" i="2" s="1"/>
  <c r="N145" i="2" s="1"/>
  <c r="J145" i="2"/>
  <c r="L145" i="2"/>
  <c r="O145" i="2"/>
  <c r="F146" i="2"/>
  <c r="H146" i="2"/>
  <c r="J146" i="2"/>
  <c r="L146" i="2"/>
  <c r="O146" i="2" s="1"/>
  <c r="M146" i="2"/>
  <c r="N146" i="2" s="1"/>
  <c r="F150" i="2"/>
  <c r="H150" i="2" s="1"/>
  <c r="J150" i="2"/>
  <c r="L150" i="2"/>
  <c r="O150" i="2" s="1"/>
  <c r="M150" i="2"/>
  <c r="N150" i="2"/>
  <c r="F151" i="2"/>
  <c r="H151" i="2" s="1"/>
  <c r="M151" i="2" s="1"/>
  <c r="N151" i="2" s="1"/>
  <c r="J151" i="2"/>
  <c r="L151" i="2"/>
  <c r="O151" i="2"/>
  <c r="F152" i="2"/>
  <c r="H152" i="2"/>
  <c r="J152" i="2"/>
  <c r="L152" i="2"/>
  <c r="M152" i="2"/>
  <c r="N152" i="2" s="1"/>
  <c r="O152" i="2"/>
  <c r="F153" i="2"/>
  <c r="H153" i="2" s="1"/>
  <c r="M153" i="2" s="1"/>
  <c r="N153" i="2" s="1"/>
  <c r="J153" i="2"/>
  <c r="L153" i="2"/>
  <c r="O153" i="2"/>
  <c r="F154" i="2"/>
  <c r="H154" i="2"/>
  <c r="M154" i="2" s="1"/>
  <c r="J154" i="2"/>
  <c r="L154" i="2" s="1"/>
  <c r="O154" i="2" s="1"/>
  <c r="F155" i="2"/>
  <c r="H155" i="2"/>
  <c r="J155" i="2"/>
  <c r="L155" i="2"/>
  <c r="M155" i="2"/>
  <c r="O155" i="2"/>
  <c r="N155" i="2" s="1"/>
  <c r="F159" i="2"/>
  <c r="H159" i="2"/>
  <c r="M159" i="2" s="1"/>
  <c r="J159" i="2"/>
  <c r="L159" i="2" s="1"/>
  <c r="O159" i="2" s="1"/>
  <c r="F160" i="2"/>
  <c r="H160" i="2"/>
  <c r="J160" i="2"/>
  <c r="L160" i="2"/>
  <c r="M160" i="2"/>
  <c r="O160" i="2"/>
  <c r="N160" i="2" s="1"/>
  <c r="F161" i="2"/>
  <c r="H161" i="2"/>
  <c r="M161" i="2" s="1"/>
  <c r="N161" i="2" s="1"/>
  <c r="J161" i="2"/>
  <c r="L161" i="2"/>
  <c r="O161" i="2"/>
  <c r="F162" i="2"/>
  <c r="H162" i="2" s="1"/>
  <c r="M162" i="2" s="1"/>
  <c r="J162" i="2"/>
  <c r="L162" i="2"/>
  <c r="O162" i="2"/>
  <c r="N162" i="2" s="1"/>
  <c r="F163" i="2"/>
  <c r="H163" i="2"/>
  <c r="J163" i="2"/>
  <c r="L163" i="2"/>
  <c r="M163" i="2"/>
  <c r="O163" i="2"/>
  <c r="N163" i="2" s="1"/>
  <c r="F164" i="2"/>
  <c r="H164" i="2"/>
  <c r="M164" i="2" s="1"/>
  <c r="J164" i="2"/>
  <c r="L164" i="2"/>
  <c r="O164" i="2" s="1"/>
  <c r="F168" i="2"/>
  <c r="H168" i="2"/>
  <c r="J168" i="2"/>
  <c r="L168" i="2"/>
  <c r="M168" i="2"/>
  <c r="O168" i="2"/>
  <c r="N168" i="2" s="1"/>
  <c r="F169" i="2"/>
  <c r="H169" i="2" s="1"/>
  <c r="M169" i="2" s="1"/>
  <c r="N169" i="2" s="1"/>
  <c r="J169" i="2"/>
  <c r="L169" i="2"/>
  <c r="O169" i="2" s="1"/>
  <c r="F170" i="2"/>
  <c r="H170" i="2"/>
  <c r="J170" i="2"/>
  <c r="L170" i="2"/>
  <c r="M170" i="2"/>
  <c r="O170" i="2"/>
  <c r="N170" i="2" s="1"/>
  <c r="F171" i="2"/>
  <c r="H171" i="2" s="1"/>
  <c r="M171" i="2" s="1"/>
  <c r="N171" i="2" s="1"/>
  <c r="J171" i="2"/>
  <c r="L171" i="2"/>
  <c r="O171" i="2"/>
  <c r="F172" i="2"/>
  <c r="H172" i="2"/>
  <c r="J172" i="2"/>
  <c r="L172" i="2"/>
  <c r="O172" i="2" s="1"/>
  <c r="M172" i="2"/>
  <c r="N172" i="2" s="1"/>
  <c r="F173" i="2"/>
  <c r="H173" i="2"/>
  <c r="J173" i="2"/>
  <c r="L173" i="2"/>
  <c r="M173" i="2"/>
  <c r="O173" i="2"/>
  <c r="N173" i="2" s="1"/>
  <c r="F177" i="2"/>
  <c r="H177" i="2"/>
  <c r="J177" i="2"/>
  <c r="L177" i="2" s="1"/>
  <c r="M177" i="2"/>
  <c r="O177" i="2"/>
  <c r="N177" i="2" s="1"/>
  <c r="F178" i="2"/>
  <c r="H178" i="2"/>
  <c r="J178" i="2"/>
  <c r="L178" i="2"/>
  <c r="M178" i="2"/>
  <c r="O178" i="2"/>
  <c r="N178" i="2" s="1"/>
  <c r="F179" i="2"/>
  <c r="H179" i="2"/>
  <c r="M179" i="2" s="1"/>
  <c r="J179" i="2"/>
  <c r="L179" i="2" s="1"/>
  <c r="O179" i="2" s="1"/>
  <c r="F180" i="2"/>
  <c r="H180" i="2"/>
  <c r="M180" i="2" s="1"/>
  <c r="J180" i="2"/>
  <c r="L180" i="2"/>
  <c r="O180" i="2" s="1"/>
  <c r="F181" i="2"/>
  <c r="H181" i="2"/>
  <c r="J181" i="2"/>
  <c r="L181" i="2"/>
  <c r="O181" i="2" s="1"/>
  <c r="M181" i="2"/>
  <c r="N181" i="2" s="1"/>
  <c r="F182" i="2"/>
  <c r="H182" i="2"/>
  <c r="J182" i="2"/>
  <c r="L182" i="2"/>
  <c r="O182" i="2" s="1"/>
  <c r="M182" i="2"/>
  <c r="N182" i="2" s="1"/>
  <c r="F186" i="2"/>
  <c r="H186" i="2"/>
  <c r="J186" i="2"/>
  <c r="L186" i="2"/>
  <c r="M186" i="2"/>
  <c r="O186" i="2"/>
  <c r="N186" i="2" s="1"/>
  <c r="F187" i="2"/>
  <c r="H187" i="2"/>
  <c r="J187" i="2"/>
  <c r="L187" i="2"/>
  <c r="O187" i="2" s="1"/>
  <c r="M187" i="2"/>
  <c r="N187" i="2"/>
  <c r="F188" i="2"/>
  <c r="H188" i="2" s="1"/>
  <c r="M188" i="2" s="1"/>
  <c r="N188" i="2" s="1"/>
  <c r="J188" i="2"/>
  <c r="L188" i="2"/>
  <c r="O188" i="2" s="1"/>
  <c r="F189" i="2"/>
  <c r="H189" i="2"/>
  <c r="M189" i="2" s="1"/>
  <c r="J189" i="2"/>
  <c r="L189" i="2" s="1"/>
  <c r="O189" i="2"/>
  <c r="N189" i="2" s="1"/>
  <c r="F190" i="2"/>
  <c r="H190" i="2"/>
  <c r="M190" i="2" s="1"/>
  <c r="J190" i="2"/>
  <c r="L190" i="2"/>
  <c r="O190" i="2"/>
  <c r="F191" i="2"/>
  <c r="H191" i="2"/>
  <c r="J191" i="2"/>
  <c r="L191" i="2"/>
  <c r="M191" i="2"/>
  <c r="O191" i="2"/>
  <c r="N191" i="2" s="1"/>
  <c r="F195" i="2"/>
  <c r="H195" i="2"/>
  <c r="J195" i="2"/>
  <c r="L195" i="2"/>
  <c r="M195" i="2"/>
  <c r="O195" i="2"/>
  <c r="N195" i="2" s="1"/>
  <c r="F196" i="2"/>
  <c r="H196" i="2"/>
  <c r="M196" i="2" s="1"/>
  <c r="J196" i="2"/>
  <c r="L196" i="2" s="1"/>
  <c r="O196" i="2" s="1"/>
  <c r="F197" i="2"/>
  <c r="H197" i="2" s="1"/>
  <c r="J197" i="2"/>
  <c r="L197" i="2"/>
  <c r="M197" i="2"/>
  <c r="O197" i="2"/>
  <c r="N197" i="2" s="1"/>
  <c r="F198" i="2"/>
  <c r="H198" i="2"/>
  <c r="J198" i="2"/>
  <c r="L198" i="2"/>
  <c r="M198" i="2"/>
  <c r="O198" i="2"/>
  <c r="N198" i="2" s="1"/>
  <c r="F199" i="2"/>
  <c r="H199" i="2"/>
  <c r="J199" i="2"/>
  <c r="L199" i="2"/>
  <c r="M199" i="2"/>
  <c r="O199" i="2"/>
  <c r="N199" i="2" s="1"/>
  <c r="F200" i="2"/>
  <c r="H200" i="2"/>
  <c r="J200" i="2"/>
  <c r="L200" i="2"/>
  <c r="M200" i="2"/>
  <c r="O200" i="2"/>
  <c r="N200" i="2" s="1"/>
  <c r="F204" i="2"/>
  <c r="H204" i="2"/>
  <c r="M204" i="2" s="1"/>
  <c r="J204" i="2"/>
  <c r="L204" i="2"/>
  <c r="O204" i="2" s="1"/>
  <c r="F205" i="2"/>
  <c r="H205" i="2"/>
  <c r="J205" i="2"/>
  <c r="L205" i="2"/>
  <c r="O205" i="2" s="1"/>
  <c r="M205" i="2"/>
  <c r="N205" i="2"/>
  <c r="F206" i="2"/>
  <c r="H206" i="2" s="1"/>
  <c r="J206" i="2"/>
  <c r="L206" i="2"/>
  <c r="M206" i="2"/>
  <c r="O206" i="2"/>
  <c r="N206" i="2" s="1"/>
  <c r="F207" i="2"/>
  <c r="H207" i="2"/>
  <c r="J207" i="2"/>
  <c r="L207" i="2"/>
  <c r="M207" i="2"/>
  <c r="O207" i="2"/>
  <c r="N207" i="2" s="1"/>
  <c r="F208" i="2"/>
  <c r="H208" i="2"/>
  <c r="J208" i="2"/>
  <c r="L208" i="2"/>
  <c r="M208" i="2"/>
  <c r="O208" i="2"/>
  <c r="N208" i="2" s="1"/>
  <c r="F209" i="2"/>
  <c r="H209" i="2" s="1"/>
  <c r="J209" i="2"/>
  <c r="L209" i="2"/>
  <c r="M209" i="2"/>
  <c r="O209" i="2"/>
  <c r="N209" i="2" s="1"/>
  <c r="F213" i="2"/>
  <c r="H213" i="2" s="1"/>
  <c r="M213" i="2" s="1"/>
  <c r="N213" i="2" s="1"/>
  <c r="J213" i="2"/>
  <c r="L213" i="2" s="1"/>
  <c r="O213" i="2" s="1"/>
  <c r="F214" i="2"/>
  <c r="H214" i="2"/>
  <c r="J214" i="2"/>
  <c r="L214" i="2"/>
  <c r="M214" i="2"/>
  <c r="O214" i="2"/>
  <c r="N214" i="2" s="1"/>
  <c r="F215" i="2"/>
  <c r="H215" i="2"/>
  <c r="J215" i="2"/>
  <c r="L215" i="2"/>
  <c r="M215" i="2"/>
  <c r="O215" i="2"/>
  <c r="N215" i="2" s="1"/>
  <c r="F216" i="2"/>
  <c r="H216" i="2"/>
  <c r="J216" i="2"/>
  <c r="L216" i="2"/>
  <c r="O216" i="2" s="1"/>
  <c r="M216" i="2"/>
  <c r="N216" i="2" s="1"/>
  <c r="F217" i="2"/>
  <c r="H217" i="2"/>
  <c r="J217" i="2"/>
  <c r="L217" i="2"/>
  <c r="M217" i="2"/>
  <c r="O217" i="2"/>
  <c r="N217" i="2" s="1"/>
  <c r="F218" i="2"/>
  <c r="H218" i="2"/>
  <c r="M218" i="2" s="1"/>
  <c r="J218" i="2"/>
  <c r="L218" i="2" s="1"/>
  <c r="O218" i="2" s="1"/>
  <c r="F222" i="2"/>
  <c r="H222" i="2"/>
  <c r="J222" i="2"/>
  <c r="L222" i="2"/>
  <c r="M222" i="2"/>
  <c r="O222" i="2"/>
  <c r="N222" i="2" s="1"/>
  <c r="F223" i="2"/>
  <c r="H223" i="2"/>
  <c r="J223" i="2"/>
  <c r="L223" i="2"/>
  <c r="M223" i="2"/>
  <c r="O223" i="2"/>
  <c r="N223" i="2" s="1"/>
  <c r="F224" i="2"/>
  <c r="H224" i="2"/>
  <c r="J224" i="2"/>
  <c r="L224" i="2" s="1"/>
  <c r="M224" i="2"/>
  <c r="O224" i="2"/>
  <c r="N224" i="2" s="1"/>
  <c r="F225" i="2"/>
  <c r="H225" i="2"/>
  <c r="J225" i="2"/>
  <c r="L225" i="2"/>
  <c r="M225" i="2"/>
  <c r="N225" i="2"/>
  <c r="O225" i="2"/>
  <c r="F226" i="2"/>
  <c r="H226" i="2"/>
  <c r="M226" i="2" s="1"/>
  <c r="J226" i="2"/>
  <c r="L226" i="2" s="1"/>
  <c r="O226" i="2" s="1"/>
  <c r="N226" i="2"/>
  <c r="F227" i="2"/>
  <c r="H227" i="2"/>
  <c r="J227" i="2"/>
  <c r="L227" i="2"/>
  <c r="M227" i="2"/>
  <c r="O227" i="2"/>
  <c r="N227" i="2" s="1"/>
  <c r="F231" i="2"/>
  <c r="H231" i="2"/>
  <c r="J231" i="2"/>
  <c r="L231" i="2"/>
  <c r="O231" i="2" s="1"/>
  <c r="M231" i="2"/>
  <c r="N231" i="2"/>
  <c r="F232" i="2"/>
  <c r="H232" i="2"/>
  <c r="J232" i="2"/>
  <c r="L232" i="2"/>
  <c r="M232" i="2"/>
  <c r="O232" i="2"/>
  <c r="N232" i="2" s="1"/>
  <c r="F233" i="2"/>
  <c r="H233" i="2"/>
  <c r="J233" i="2"/>
  <c r="L233" i="2"/>
  <c r="M233" i="2"/>
  <c r="O233" i="2"/>
  <c r="N233" i="2" s="1"/>
  <c r="F234" i="2"/>
  <c r="H234" i="2" s="1"/>
  <c r="M234" i="2" s="1"/>
  <c r="N234" i="2" s="1"/>
  <c r="J234" i="2"/>
  <c r="L234" i="2"/>
  <c r="O234" i="2" s="1"/>
  <c r="F235" i="2"/>
  <c r="H235" i="2"/>
  <c r="J235" i="2"/>
  <c r="L235" i="2"/>
  <c r="M235" i="2"/>
  <c r="O235" i="2"/>
  <c r="N235" i="2" s="1"/>
  <c r="F236" i="2"/>
  <c r="H236" i="2"/>
  <c r="M236" i="2" s="1"/>
  <c r="J236" i="2"/>
  <c r="L236" i="2" s="1"/>
  <c r="O236" i="2"/>
  <c r="N236" i="2" s="1"/>
  <c r="F240" i="2"/>
  <c r="H240" i="2"/>
  <c r="J240" i="2"/>
  <c r="L240" i="2"/>
  <c r="M240" i="2"/>
  <c r="O240" i="2"/>
  <c r="N240" i="2" s="1"/>
  <c r="F241" i="2"/>
  <c r="H241" i="2"/>
  <c r="J241" i="2"/>
  <c r="L241" i="2"/>
  <c r="M241" i="2"/>
  <c r="O241" i="2"/>
  <c r="N241" i="2" s="1"/>
  <c r="F242" i="2"/>
  <c r="H242" i="2"/>
  <c r="J242" i="2"/>
  <c r="L242" i="2"/>
  <c r="O242" i="2" s="1"/>
  <c r="M242" i="2"/>
  <c r="N242" i="2" s="1"/>
  <c r="F243" i="2"/>
  <c r="H243" i="2"/>
  <c r="J243" i="2"/>
  <c r="L243" i="2"/>
  <c r="M243" i="2"/>
  <c r="O243" i="2"/>
  <c r="N243" i="2" s="1"/>
  <c r="F244" i="2"/>
  <c r="H244" i="2" s="1"/>
  <c r="J244" i="2"/>
  <c r="L244" i="2"/>
  <c r="M244" i="2"/>
  <c r="O244" i="2"/>
  <c r="N244" i="2" s="1"/>
  <c r="F245" i="2"/>
  <c r="H245" i="2"/>
  <c r="J245" i="2"/>
  <c r="L245" i="2"/>
  <c r="M245" i="2"/>
  <c r="O245" i="2"/>
  <c r="N245" i="2" s="1"/>
  <c r="F249" i="2"/>
  <c r="H249" i="2"/>
  <c r="J249" i="2"/>
  <c r="L249" i="2"/>
  <c r="O249" i="2" s="1"/>
  <c r="M249" i="2"/>
  <c r="N249" i="2" s="1"/>
  <c r="F250" i="2"/>
  <c r="H250" i="2"/>
  <c r="J250" i="2"/>
  <c r="L250" i="2"/>
  <c r="O250" i="2" s="1"/>
  <c r="M250" i="2"/>
  <c r="N250" i="2" s="1"/>
  <c r="F251" i="2"/>
  <c r="H251" i="2"/>
  <c r="M251" i="2" s="1"/>
  <c r="J251" i="2"/>
  <c r="L251" i="2"/>
  <c r="O251" i="2"/>
  <c r="F252" i="2"/>
  <c r="H252" i="2" s="1"/>
  <c r="M252" i="2" s="1"/>
  <c r="N252" i="2" s="1"/>
  <c r="J252" i="2"/>
  <c r="L252" i="2"/>
  <c r="O252" i="2"/>
  <c r="F253" i="2"/>
  <c r="H253" i="2"/>
  <c r="J253" i="2"/>
  <c r="L253" i="2"/>
  <c r="M253" i="2"/>
  <c r="N253" i="2" s="1"/>
  <c r="O253" i="2"/>
  <c r="F254" i="2"/>
  <c r="H254" i="2"/>
  <c r="M254" i="2" s="1"/>
  <c r="J254" i="2"/>
  <c r="L254" i="2"/>
  <c r="O254" i="2"/>
  <c r="F258" i="2"/>
  <c r="H258" i="2"/>
  <c r="J258" i="2"/>
  <c r="L258" i="2"/>
  <c r="O258" i="2" s="1"/>
  <c r="M258" i="2"/>
  <c r="N258" i="2"/>
  <c r="F259" i="2"/>
  <c r="H259" i="2" s="1"/>
  <c r="J259" i="2"/>
  <c r="L259" i="2"/>
  <c r="M259" i="2"/>
  <c r="O259" i="2"/>
  <c r="N259" i="2" s="1"/>
  <c r="F260" i="2"/>
  <c r="H260" i="2" s="1"/>
  <c r="M260" i="2" s="1"/>
  <c r="J260" i="2"/>
  <c r="L260" i="2" s="1"/>
  <c r="O260" i="2" s="1"/>
  <c r="F261" i="2"/>
  <c r="H261" i="2"/>
  <c r="J261" i="2"/>
  <c r="L261" i="2"/>
  <c r="M261" i="2"/>
  <c r="O261" i="2"/>
  <c r="N261" i="2" s="1"/>
  <c r="F262" i="2"/>
  <c r="H262" i="2" s="1"/>
  <c r="M262" i="2" s="1"/>
  <c r="N262" i="2" s="1"/>
  <c r="J262" i="2"/>
  <c r="L262" i="2"/>
  <c r="O262" i="2"/>
  <c r="F263" i="2"/>
  <c r="H263" i="2"/>
  <c r="M263" i="2" s="1"/>
  <c r="J263" i="2"/>
  <c r="L263" i="2"/>
  <c r="O263" i="2" s="1"/>
  <c r="F267" i="2"/>
  <c r="H267" i="2"/>
  <c r="J267" i="2"/>
  <c r="L267" i="2"/>
  <c r="M267" i="2"/>
  <c r="O267" i="2"/>
  <c r="N267" i="2" s="1"/>
  <c r="F268" i="2"/>
  <c r="H268" i="2"/>
  <c r="M268" i="2" s="1"/>
  <c r="N268" i="2" s="1"/>
  <c r="J268" i="2"/>
  <c r="L268" i="2"/>
  <c r="O268" i="2"/>
  <c r="F269" i="2"/>
  <c r="H269" i="2"/>
  <c r="J269" i="2"/>
  <c r="L269" i="2"/>
  <c r="M269" i="2"/>
  <c r="O269" i="2"/>
  <c r="N269" i="2" s="1"/>
  <c r="F270" i="2"/>
  <c r="H270" i="2" s="1"/>
  <c r="J270" i="2"/>
  <c r="L270" i="2"/>
  <c r="M270" i="2"/>
  <c r="O270" i="2"/>
  <c r="N270" i="2" s="1"/>
  <c r="F271" i="2"/>
  <c r="H271" i="2" s="1"/>
  <c r="M271" i="2" s="1"/>
  <c r="N271" i="2" s="1"/>
  <c r="J271" i="2"/>
  <c r="L271" i="2" s="1"/>
  <c r="O271" i="2" s="1"/>
  <c r="F272" i="2"/>
  <c r="H272" i="2"/>
  <c r="J272" i="2"/>
  <c r="L272" i="2"/>
  <c r="M272" i="2"/>
  <c r="O272" i="2"/>
  <c r="N272" i="2" s="1"/>
  <c r="F276" i="2"/>
  <c r="H276" i="2"/>
  <c r="M276" i="2" s="1"/>
  <c r="J276" i="2"/>
  <c r="L276" i="2" s="1"/>
  <c r="O276" i="2" s="1"/>
  <c r="F277" i="2"/>
  <c r="H277" i="2"/>
  <c r="J277" i="2"/>
  <c r="L277" i="2"/>
  <c r="O277" i="2" s="1"/>
  <c r="M277" i="2"/>
  <c r="N277" i="2"/>
  <c r="F278" i="2"/>
  <c r="H278" i="2"/>
  <c r="J278" i="2"/>
  <c r="L278" i="2"/>
  <c r="O278" i="2" s="1"/>
  <c r="M278" i="2"/>
  <c r="N278" i="2"/>
  <c r="F279" i="2"/>
  <c r="H279" i="2"/>
  <c r="M279" i="2" s="1"/>
  <c r="J279" i="2"/>
  <c r="L279" i="2"/>
  <c r="O279" i="2" s="1"/>
  <c r="F280" i="2"/>
  <c r="H280" i="2"/>
  <c r="J280" i="2"/>
  <c r="L280" i="2"/>
  <c r="M280" i="2"/>
  <c r="N280" i="2" s="1"/>
  <c r="O280" i="2"/>
  <c r="F281" i="2"/>
  <c r="H281" i="2"/>
  <c r="J281" i="2"/>
  <c r="L281" i="2"/>
  <c r="O281" i="2" s="1"/>
  <c r="M281" i="2"/>
  <c r="N281" i="2" s="1"/>
  <c r="F285" i="2"/>
  <c r="H285" i="2"/>
  <c r="M285" i="2" s="1"/>
  <c r="J285" i="2"/>
  <c r="L285" i="2"/>
  <c r="O285" i="2"/>
  <c r="F286" i="2"/>
  <c r="H286" i="2"/>
  <c r="M286" i="2" s="1"/>
  <c r="J286" i="2"/>
  <c r="L286" i="2" s="1"/>
  <c r="O286" i="2"/>
  <c r="N286" i="2" s="1"/>
  <c r="F287" i="2"/>
  <c r="H287" i="2"/>
  <c r="J287" i="2"/>
  <c r="L287" i="2"/>
  <c r="O287" i="2" s="1"/>
  <c r="M287" i="2"/>
  <c r="N287" i="2" s="1"/>
  <c r="F288" i="2"/>
  <c r="H288" i="2"/>
  <c r="J288" i="2"/>
  <c r="L288" i="2"/>
  <c r="M288" i="2"/>
  <c r="O288" i="2"/>
  <c r="N288" i="2" s="1"/>
  <c r="F289" i="2"/>
  <c r="H289" i="2"/>
  <c r="M289" i="2" s="1"/>
  <c r="J289" i="2"/>
  <c r="L289" i="2" s="1"/>
  <c r="O289" i="2" s="1"/>
  <c r="F290" i="2"/>
  <c r="H290" i="2" s="1"/>
  <c r="M290" i="2" s="1"/>
  <c r="N290" i="2" s="1"/>
  <c r="J290" i="2"/>
  <c r="L290" i="2" s="1"/>
  <c r="O290" i="2"/>
  <c r="F294" i="2"/>
  <c r="H294" i="2" s="1"/>
  <c r="J294" i="2"/>
  <c r="L294" i="2"/>
  <c r="M294" i="2"/>
  <c r="O294" i="2"/>
  <c r="N294" i="2" s="1"/>
  <c r="F295" i="2"/>
  <c r="H295" i="2"/>
  <c r="J295" i="2"/>
  <c r="L295" i="2"/>
  <c r="O295" i="2" s="1"/>
  <c r="M295" i="2"/>
  <c r="N295" i="2" s="1"/>
  <c r="F296" i="2"/>
  <c r="H296" i="2"/>
  <c r="J296" i="2"/>
  <c r="L296" i="2"/>
  <c r="M296" i="2"/>
  <c r="O296" i="2"/>
  <c r="N296" i="2" s="1"/>
  <c r="F297" i="2"/>
  <c r="H297" i="2"/>
  <c r="J297" i="2"/>
  <c r="L297" i="2"/>
  <c r="M297" i="2"/>
  <c r="O297" i="2"/>
  <c r="N297" i="2" s="1"/>
  <c r="F298" i="2"/>
  <c r="H298" i="2" s="1"/>
  <c r="M298" i="2" s="1"/>
  <c r="N298" i="2" s="1"/>
  <c r="J298" i="2"/>
  <c r="L298" i="2"/>
  <c r="O298" i="2" s="1"/>
  <c r="F299" i="2"/>
  <c r="H299" i="2" s="1"/>
  <c r="M299" i="2" s="1"/>
  <c r="N299" i="2" s="1"/>
  <c r="J299" i="2"/>
  <c r="L299" i="2"/>
  <c r="O299" i="2"/>
  <c r="F303" i="2"/>
  <c r="H303" i="2"/>
  <c r="J303" i="2"/>
  <c r="L303" i="2"/>
  <c r="O303" i="2" s="1"/>
  <c r="M303" i="2"/>
  <c r="N303" i="2" s="1"/>
  <c r="F304" i="2"/>
  <c r="H304" i="2"/>
  <c r="J304" i="2"/>
  <c r="L304" i="2"/>
  <c r="M304" i="2"/>
  <c r="O304" i="2"/>
  <c r="N304" i="2" s="1"/>
  <c r="F305" i="2"/>
  <c r="H305" i="2"/>
  <c r="J305" i="2"/>
  <c r="L305" i="2"/>
  <c r="M305" i="2"/>
  <c r="O305" i="2"/>
  <c r="N305" i="2" s="1"/>
  <c r="F306" i="2"/>
  <c r="H306" i="2" s="1"/>
  <c r="J306" i="2"/>
  <c r="L306" i="2"/>
  <c r="O306" i="2" s="1"/>
  <c r="M306" i="2"/>
  <c r="N306" i="2"/>
  <c r="F307" i="2"/>
  <c r="H307" i="2" s="1"/>
  <c r="M307" i="2" s="1"/>
  <c r="N307" i="2" s="1"/>
  <c r="J307" i="2"/>
  <c r="L307" i="2"/>
  <c r="O307" i="2"/>
  <c r="F308" i="2"/>
  <c r="H308" i="2"/>
  <c r="M308" i="2" s="1"/>
  <c r="J308" i="2"/>
  <c r="L308" i="2" s="1"/>
  <c r="O308" i="2" s="1"/>
  <c r="F312" i="2"/>
  <c r="H312" i="2"/>
  <c r="J312" i="2"/>
  <c r="L312" i="2"/>
  <c r="M312" i="2"/>
  <c r="O312" i="2"/>
  <c r="N312" i="2" s="1"/>
  <c r="F313" i="2"/>
  <c r="H313" i="2"/>
  <c r="J313" i="2"/>
  <c r="L313" i="2"/>
  <c r="O313" i="2" s="1"/>
  <c r="M313" i="2"/>
  <c r="N313" i="2" s="1"/>
  <c r="F314" i="2"/>
  <c r="H314" i="2"/>
  <c r="J314" i="2"/>
  <c r="L314" i="2"/>
  <c r="M314" i="2"/>
  <c r="O314" i="2"/>
  <c r="N314" i="2" s="1"/>
  <c r="F315" i="2"/>
  <c r="H315" i="2"/>
  <c r="M315" i="2" s="1"/>
  <c r="N315" i="2" s="1"/>
  <c r="J315" i="2"/>
  <c r="L315" i="2"/>
  <c r="O315" i="2"/>
  <c r="F316" i="2"/>
  <c r="H316" i="2"/>
  <c r="M316" i="2" s="1"/>
  <c r="N316" i="2" s="1"/>
  <c r="J316" i="2"/>
  <c r="L316" i="2"/>
  <c r="O316" i="2"/>
  <c r="F317" i="2"/>
  <c r="H317" i="2"/>
  <c r="J317" i="2"/>
  <c r="L317" i="2"/>
  <c r="M317" i="2"/>
  <c r="O317" i="2"/>
  <c r="N317" i="2" s="1"/>
  <c r="F321" i="2"/>
  <c r="H321" i="2"/>
  <c r="J321" i="2"/>
  <c r="L321" i="2" s="1"/>
  <c r="O321" i="2" s="1"/>
  <c r="M321" i="2"/>
  <c r="N321" i="2" s="1"/>
  <c r="F322" i="2"/>
  <c r="H322" i="2"/>
  <c r="J322" i="2"/>
  <c r="L322" i="2"/>
  <c r="M322" i="2"/>
  <c r="O322" i="2"/>
  <c r="N322" i="2" s="1"/>
  <c r="F323" i="2"/>
  <c r="H323" i="2"/>
  <c r="M323" i="2" s="1"/>
  <c r="J323" i="2"/>
  <c r="L323" i="2"/>
  <c r="O323" i="2" s="1"/>
  <c r="F324" i="2"/>
  <c r="H324" i="2"/>
  <c r="M324" i="2" s="1"/>
  <c r="N324" i="2" s="1"/>
  <c r="J324" i="2"/>
  <c r="L324" i="2"/>
  <c r="O324" i="2"/>
  <c r="F325" i="2"/>
  <c r="H325" i="2"/>
  <c r="J325" i="2"/>
  <c r="L325" i="2"/>
  <c r="O325" i="2" s="1"/>
  <c r="M325" i="2"/>
  <c r="N325" i="2" s="1"/>
  <c r="F326" i="2"/>
  <c r="H326" i="2"/>
  <c r="M326" i="2" s="1"/>
  <c r="J326" i="2"/>
  <c r="L326" i="2" s="1"/>
  <c r="O326" i="2"/>
  <c r="N326" i="2" s="1"/>
  <c r="F330" i="2"/>
  <c r="H330" i="2"/>
  <c r="J330" i="2"/>
  <c r="L330" i="2"/>
  <c r="M330" i="2"/>
  <c r="O330" i="2"/>
  <c r="N330" i="2" s="1"/>
  <c r="F331" i="2"/>
  <c r="H331" i="2"/>
  <c r="J331" i="2"/>
  <c r="L331" i="2"/>
  <c r="O331" i="2" s="1"/>
  <c r="M331" i="2"/>
  <c r="N331" i="2"/>
  <c r="F332" i="2"/>
  <c r="H332" i="2" s="1"/>
  <c r="M332" i="2" s="1"/>
  <c r="N332" i="2" s="1"/>
  <c r="J332" i="2"/>
  <c r="L332" i="2"/>
  <c r="O332" i="2"/>
  <c r="F333" i="2"/>
  <c r="H333" i="2"/>
  <c r="M333" i="2" s="1"/>
  <c r="J333" i="2"/>
  <c r="L333" i="2" s="1"/>
  <c r="O333" i="2"/>
  <c r="N333" i="2" s="1"/>
  <c r="F334" i="2"/>
  <c r="H334" i="2"/>
  <c r="M334" i="2" s="1"/>
  <c r="N334" i="2" s="1"/>
  <c r="J334" i="2"/>
  <c r="L334" i="2"/>
  <c r="O334" i="2"/>
  <c r="F335" i="2"/>
  <c r="H335" i="2"/>
  <c r="J335" i="2"/>
  <c r="L335" i="2"/>
  <c r="M335" i="2"/>
  <c r="O335" i="2"/>
  <c r="N335" i="2" s="1"/>
  <c r="F339" i="2"/>
  <c r="H339" i="2"/>
  <c r="J339" i="2"/>
  <c r="L339" i="2"/>
  <c r="M339" i="2"/>
  <c r="O339" i="2"/>
  <c r="N339" i="2" s="1"/>
  <c r="F340" i="2"/>
  <c r="H340" i="2" s="1"/>
  <c r="M340" i="2" s="1"/>
  <c r="N340" i="2" s="1"/>
  <c r="J340" i="2"/>
  <c r="L340" i="2"/>
  <c r="O340" i="2"/>
  <c r="F341" i="2"/>
  <c r="H341" i="2" s="1"/>
  <c r="J341" i="2"/>
  <c r="L341" i="2"/>
  <c r="M341" i="2"/>
  <c r="O341" i="2"/>
  <c r="N341" i="2" s="1"/>
  <c r="F342" i="2"/>
  <c r="H342" i="2"/>
  <c r="J342" i="2"/>
  <c r="L342" i="2"/>
  <c r="O342" i="2" s="1"/>
  <c r="M342" i="2"/>
  <c r="N342" i="2" s="1"/>
  <c r="F343" i="2"/>
  <c r="H343" i="2"/>
  <c r="J343" i="2"/>
  <c r="L343" i="2"/>
  <c r="M343" i="2"/>
  <c r="O343" i="2"/>
  <c r="N343" i="2" s="1"/>
  <c r="F344" i="2"/>
  <c r="H344" i="2"/>
  <c r="J344" i="2"/>
  <c r="L344" i="2"/>
  <c r="O344" i="2" s="1"/>
  <c r="M344" i="2"/>
  <c r="N344" i="2"/>
  <c r="F348" i="2"/>
  <c r="H348" i="2"/>
  <c r="M348" i="2" s="1"/>
  <c r="J348" i="2"/>
  <c r="L348" i="2"/>
  <c r="O348" i="2"/>
  <c r="F349" i="2"/>
  <c r="H349" i="2"/>
  <c r="J349" i="2"/>
  <c r="L349" i="2"/>
  <c r="O349" i="2" s="1"/>
  <c r="M349" i="2"/>
  <c r="N349" i="2"/>
  <c r="F350" i="2"/>
  <c r="H350" i="2"/>
  <c r="J350" i="2"/>
  <c r="L350" i="2"/>
  <c r="O350" i="2" s="1"/>
  <c r="M350" i="2"/>
  <c r="N350" i="2"/>
  <c r="F351" i="2"/>
  <c r="H351" i="2" s="1"/>
  <c r="M351" i="2" s="1"/>
  <c r="N351" i="2" s="1"/>
  <c r="J351" i="2"/>
  <c r="L351" i="2"/>
  <c r="O351" i="2"/>
  <c r="F352" i="2"/>
  <c r="H352" i="2"/>
  <c r="J352" i="2"/>
  <c r="L352" i="2"/>
  <c r="O352" i="2" s="1"/>
  <c r="M352" i="2"/>
  <c r="N352" i="2"/>
  <c r="F353" i="2"/>
  <c r="H353" i="2" s="1"/>
  <c r="J353" i="2"/>
  <c r="L353" i="2"/>
  <c r="M353" i="2"/>
  <c r="O353" i="2"/>
  <c r="N353" i="2" s="1"/>
  <c r="F357" i="2"/>
  <c r="H357" i="2"/>
  <c r="M357" i="2" s="1"/>
  <c r="J357" i="2"/>
  <c r="L357" i="2"/>
  <c r="O357" i="2"/>
  <c r="F358" i="2"/>
  <c r="H358" i="2"/>
  <c r="J358" i="2"/>
  <c r="L358" i="2"/>
  <c r="M358" i="2"/>
  <c r="O358" i="2"/>
  <c r="N358" i="2" s="1"/>
  <c r="F359" i="2"/>
  <c r="H359" i="2" s="1"/>
  <c r="M359" i="2" s="1"/>
  <c r="J359" i="2"/>
  <c r="L359" i="2" s="1"/>
  <c r="O359" i="2" s="1"/>
  <c r="F360" i="2"/>
  <c r="H360" i="2"/>
  <c r="J360" i="2"/>
  <c r="L360" i="2"/>
  <c r="O360" i="2" s="1"/>
  <c r="M360" i="2"/>
  <c r="N360" i="2" s="1"/>
  <c r="F361" i="2"/>
  <c r="H361" i="2" s="1"/>
  <c r="M361" i="2" s="1"/>
  <c r="N361" i="2" s="1"/>
  <c r="J361" i="2"/>
  <c r="L361" i="2"/>
  <c r="O361" i="2"/>
  <c r="F362" i="2"/>
  <c r="H362" i="2"/>
  <c r="M362" i="2" s="1"/>
  <c r="J362" i="2"/>
  <c r="L362" i="2" s="1"/>
  <c r="O362" i="2" s="1"/>
  <c r="F366" i="2"/>
  <c r="H366" i="2"/>
  <c r="J366" i="2"/>
  <c r="L366" i="2"/>
  <c r="M366" i="2"/>
  <c r="O366" i="2"/>
  <c r="N366" i="2" s="1"/>
  <c r="F367" i="2"/>
  <c r="H367" i="2"/>
  <c r="J367" i="2"/>
  <c r="L367" i="2"/>
  <c r="O367" i="2" s="1"/>
  <c r="M367" i="2"/>
  <c r="N367" i="2" s="1"/>
  <c r="F368" i="2"/>
  <c r="H368" i="2" s="1"/>
  <c r="M368" i="2" s="1"/>
  <c r="N368" i="2" s="1"/>
  <c r="J368" i="2"/>
  <c r="L368" i="2" s="1"/>
  <c r="O368" i="2"/>
  <c r="F369" i="2"/>
  <c r="H369" i="2" s="1"/>
  <c r="M369" i="2" s="1"/>
  <c r="N369" i="2" s="1"/>
  <c r="J369" i="2"/>
  <c r="L369" i="2"/>
  <c r="O369" i="2"/>
  <c r="F370" i="2"/>
  <c r="H370" i="2" s="1"/>
  <c r="J370" i="2"/>
  <c r="L370" i="2"/>
  <c r="O370" i="2" s="1"/>
  <c r="M370" i="2"/>
  <c r="N370" i="2"/>
  <c r="F371" i="2"/>
  <c r="H371" i="2" s="1"/>
  <c r="M371" i="2" s="1"/>
  <c r="N371" i="2" s="1"/>
  <c r="J371" i="2"/>
  <c r="L371" i="2"/>
  <c r="O371" i="2"/>
  <c r="F375" i="2"/>
  <c r="H375" i="2"/>
  <c r="J375" i="2"/>
  <c r="L375" i="2"/>
  <c r="O375" i="2" s="1"/>
  <c r="M375" i="2"/>
  <c r="N375" i="2"/>
  <c r="F376" i="2"/>
  <c r="H376" i="2"/>
  <c r="J376" i="2"/>
  <c r="L376" i="2"/>
  <c r="M376" i="2"/>
  <c r="O376" i="2"/>
  <c r="N376" i="2" s="1"/>
  <c r="F377" i="2"/>
  <c r="H377" i="2"/>
  <c r="J377" i="2"/>
  <c r="L377" i="2"/>
  <c r="O377" i="2" s="1"/>
  <c r="M377" i="2"/>
  <c r="N377" i="2"/>
  <c r="F378" i="2"/>
  <c r="H378" i="2"/>
  <c r="J378" i="2"/>
  <c r="L378" i="2"/>
  <c r="O378" i="2" s="1"/>
  <c r="M378" i="2"/>
  <c r="N378" i="2" s="1"/>
  <c r="F379" i="2"/>
  <c r="H379" i="2"/>
  <c r="J379" i="2"/>
  <c r="L379" i="2"/>
  <c r="M379" i="2"/>
  <c r="O379" i="2"/>
  <c r="N379" i="2" s="1"/>
  <c r="F380" i="2"/>
  <c r="H380" i="2"/>
  <c r="M380" i="2" s="1"/>
  <c r="J380" i="2"/>
  <c r="L380" i="2" s="1"/>
  <c r="O380" i="2"/>
  <c r="N380" i="2" s="1"/>
  <c r="F384" i="2"/>
  <c r="H384" i="2"/>
  <c r="J384" i="2"/>
  <c r="L384" i="2"/>
  <c r="M384" i="2"/>
  <c r="O384" i="2"/>
  <c r="N384" i="2" s="1"/>
  <c r="F385" i="2"/>
  <c r="H385" i="2"/>
  <c r="J385" i="2"/>
  <c r="L385" i="2"/>
  <c r="O385" i="2" s="1"/>
  <c r="M385" i="2"/>
  <c r="N385" i="2" s="1"/>
  <c r="F386" i="2"/>
  <c r="H386" i="2"/>
  <c r="J386" i="2"/>
  <c r="L386" i="2"/>
  <c r="O386" i="2" s="1"/>
  <c r="M386" i="2"/>
  <c r="N386" i="2"/>
  <c r="F387" i="2"/>
  <c r="H387" i="2" s="1"/>
  <c r="M387" i="2" s="1"/>
  <c r="N387" i="2" s="1"/>
  <c r="J387" i="2"/>
  <c r="L387" i="2"/>
  <c r="O387" i="2"/>
  <c r="F388" i="2"/>
  <c r="H388" i="2" s="1"/>
  <c r="J388" i="2"/>
  <c r="L388" i="2"/>
  <c r="M388" i="2"/>
  <c r="O388" i="2"/>
  <c r="N388" i="2" s="1"/>
  <c r="F389" i="2"/>
  <c r="H389" i="2"/>
  <c r="J389" i="2"/>
  <c r="L389" i="2"/>
  <c r="M389" i="2"/>
  <c r="O389" i="2"/>
  <c r="N389" i="2" s="1"/>
  <c r="F393" i="2"/>
  <c r="H393" i="2"/>
  <c r="M393" i="2" s="1"/>
  <c r="J393" i="2"/>
  <c r="L393" i="2" s="1"/>
  <c r="O393" i="2"/>
  <c r="N393" i="2" s="1"/>
  <c r="F394" i="2"/>
  <c r="H394" i="2"/>
  <c r="J394" i="2"/>
  <c r="L394" i="2"/>
  <c r="O394" i="2" s="1"/>
  <c r="M394" i="2"/>
  <c r="N394" i="2" s="1"/>
  <c r="F395" i="2"/>
  <c r="H395" i="2"/>
  <c r="M395" i="2" s="1"/>
  <c r="J395" i="2"/>
  <c r="L395" i="2"/>
  <c r="O395" i="2"/>
  <c r="F396" i="2"/>
  <c r="H396" i="2"/>
  <c r="J396" i="2"/>
  <c r="L396" i="2"/>
  <c r="M396" i="2"/>
  <c r="O396" i="2"/>
  <c r="N396" i="2" s="1"/>
  <c r="F397" i="2"/>
  <c r="H397" i="2"/>
  <c r="J397" i="2"/>
  <c r="L397" i="2"/>
  <c r="M397" i="2"/>
  <c r="O397" i="2"/>
  <c r="N397" i="2" s="1"/>
  <c r="F398" i="2"/>
  <c r="H398" i="2" s="1"/>
  <c r="M398" i="2" s="1"/>
  <c r="N398" i="2" s="1"/>
  <c r="J398" i="2"/>
  <c r="L398" i="2"/>
  <c r="O398" i="2"/>
  <c r="F402" i="2"/>
  <c r="H402" i="2"/>
  <c r="J402" i="2"/>
  <c r="L402" i="2"/>
  <c r="M402" i="2"/>
  <c r="O402" i="2"/>
  <c r="N402" i="2" s="1"/>
  <c r="F403" i="2"/>
  <c r="H403" i="2" s="1"/>
  <c r="M403" i="2" s="1"/>
  <c r="N403" i="2" s="1"/>
  <c r="J403" i="2"/>
  <c r="L403" i="2"/>
  <c r="O403" i="2"/>
  <c r="F404" i="2"/>
  <c r="H404" i="2"/>
  <c r="J404" i="2"/>
  <c r="L404" i="2"/>
  <c r="M404" i="2"/>
  <c r="O404" i="2"/>
  <c r="N404" i="2" s="1"/>
  <c r="F405" i="2"/>
  <c r="H405" i="2"/>
  <c r="J405" i="2"/>
  <c r="L405" i="2"/>
  <c r="O405" i="2" s="1"/>
  <c r="M405" i="2"/>
  <c r="N405" i="2"/>
  <c r="F406" i="2"/>
  <c r="H406" i="2"/>
  <c r="J406" i="2"/>
  <c r="L406" i="2"/>
  <c r="M406" i="2"/>
  <c r="O406" i="2"/>
  <c r="N406" i="2" s="1"/>
  <c r="F407" i="2"/>
  <c r="H407" i="2"/>
  <c r="J407" i="2"/>
  <c r="L407" i="2"/>
  <c r="O407" i="2" s="1"/>
  <c r="M407" i="2"/>
  <c r="N407" i="2" s="1"/>
  <c r="F411" i="2"/>
  <c r="H411" i="2"/>
  <c r="M411" i="2" s="1"/>
  <c r="J411" i="2"/>
  <c r="L411" i="2"/>
  <c r="O411" i="2" s="1"/>
  <c r="F412" i="2"/>
  <c r="H412" i="2"/>
  <c r="J412" i="2"/>
  <c r="L412" i="2"/>
  <c r="M412" i="2"/>
  <c r="O412" i="2"/>
  <c r="N412" i="2" s="1"/>
  <c r="F413" i="2"/>
  <c r="H413" i="2"/>
  <c r="J413" i="2"/>
  <c r="L413" i="2"/>
  <c r="O413" i="2" s="1"/>
  <c r="M413" i="2"/>
  <c r="N413" i="2" s="1"/>
  <c r="F414" i="2"/>
  <c r="H414" i="2"/>
  <c r="J414" i="2"/>
  <c r="L414" i="2"/>
  <c r="M414" i="2"/>
  <c r="O414" i="2"/>
  <c r="N414" i="2" s="1"/>
  <c r="F415" i="2"/>
  <c r="H415" i="2"/>
  <c r="J415" i="2"/>
  <c r="L415" i="2" s="1"/>
  <c r="M415" i="2"/>
  <c r="O415" i="2"/>
  <c r="N415" i="2" s="1"/>
  <c r="F416" i="2"/>
  <c r="H416" i="2"/>
  <c r="M416" i="2" s="1"/>
  <c r="J416" i="2"/>
  <c r="L416" i="2"/>
  <c r="O416" i="2" s="1"/>
  <c r="F420" i="2"/>
  <c r="H420" i="2"/>
  <c r="J420" i="2"/>
  <c r="L420" i="2"/>
  <c r="M420" i="2"/>
  <c r="O420" i="2"/>
  <c r="N420" i="2" s="1"/>
  <c r="F421" i="2"/>
  <c r="H421" i="2"/>
  <c r="M421" i="2" s="1"/>
  <c r="J421" i="2"/>
  <c r="L421" i="2"/>
  <c r="O421" i="2" s="1"/>
  <c r="F422" i="2"/>
  <c r="H422" i="2"/>
  <c r="J422" i="2"/>
  <c r="L422" i="2"/>
  <c r="O422" i="2" s="1"/>
  <c r="M422" i="2"/>
  <c r="N422" i="2"/>
  <c r="F423" i="2"/>
  <c r="H423" i="2"/>
  <c r="J423" i="2"/>
  <c r="L423" i="2"/>
  <c r="M423" i="2"/>
  <c r="O423" i="2"/>
  <c r="N423" i="2" s="1"/>
  <c r="F424" i="2"/>
  <c r="H424" i="2"/>
  <c r="J424" i="2"/>
  <c r="L424" i="2"/>
  <c r="O424" i="2" s="1"/>
  <c r="M424" i="2"/>
  <c r="N424" i="2" s="1"/>
  <c r="F425" i="2"/>
  <c r="H425" i="2"/>
  <c r="J425" i="2"/>
  <c r="L425" i="2"/>
  <c r="M425" i="2"/>
  <c r="O425" i="2"/>
  <c r="N425" i="2" s="1"/>
  <c r="F429" i="2"/>
  <c r="H429" i="2"/>
  <c r="M429" i="2" s="1"/>
  <c r="N429" i="2" s="1"/>
  <c r="J429" i="2"/>
  <c r="L429" i="2"/>
  <c r="O429" i="2"/>
  <c r="F430" i="2"/>
  <c r="H430" i="2"/>
  <c r="M430" i="2" s="1"/>
  <c r="J430" i="2"/>
  <c r="L430" i="2" s="1"/>
  <c r="O430" i="2"/>
  <c r="N430" i="2" s="1"/>
  <c r="F431" i="2"/>
  <c r="H431" i="2"/>
  <c r="J431" i="2"/>
  <c r="L431" i="2"/>
  <c r="M431" i="2"/>
  <c r="O431" i="2"/>
  <c r="N431" i="2" s="1"/>
  <c r="F432" i="2"/>
  <c r="H432" i="2"/>
  <c r="J432" i="2"/>
  <c r="L432" i="2"/>
  <c r="M432" i="2"/>
  <c r="O432" i="2"/>
  <c r="N432" i="2" s="1"/>
  <c r="F433" i="2"/>
  <c r="H433" i="2"/>
  <c r="J433" i="2"/>
  <c r="L433" i="2"/>
  <c r="M433" i="2"/>
  <c r="O433" i="2"/>
  <c r="N433" i="2" s="1"/>
  <c r="F434" i="2"/>
  <c r="H434" i="2" s="1"/>
  <c r="M434" i="2" s="1"/>
  <c r="J434" i="2"/>
  <c r="L434" i="2"/>
  <c r="O434" i="2" s="1"/>
  <c r="F438" i="2"/>
  <c r="H438" i="2" s="1"/>
  <c r="J438" i="2"/>
  <c r="L438" i="2"/>
  <c r="M438" i="2"/>
  <c r="N438" i="2"/>
  <c r="O438" i="2"/>
  <c r="F439" i="2"/>
  <c r="H439" i="2"/>
  <c r="J439" i="2"/>
  <c r="L439" i="2"/>
  <c r="M439" i="2"/>
  <c r="O439" i="2"/>
  <c r="N439" i="2" s="1"/>
  <c r="F440" i="2"/>
  <c r="H440" i="2"/>
  <c r="J440" i="2"/>
  <c r="L440" i="2"/>
  <c r="M440" i="2"/>
  <c r="O440" i="2"/>
  <c r="N440" i="2" s="1"/>
  <c r="F441" i="2"/>
  <c r="H441" i="2"/>
  <c r="M441" i="2" s="1"/>
  <c r="N441" i="2" s="1"/>
  <c r="J441" i="2"/>
  <c r="L441" i="2"/>
  <c r="O441" i="2" s="1"/>
  <c r="F442" i="2"/>
  <c r="H442" i="2"/>
  <c r="M442" i="2" s="1"/>
  <c r="J442" i="2"/>
  <c r="L442" i="2" s="1"/>
  <c r="O442" i="2" s="1"/>
  <c r="F443" i="2"/>
  <c r="H443" i="2"/>
  <c r="J443" i="2"/>
  <c r="L443" i="2"/>
  <c r="M443" i="2"/>
  <c r="O443" i="2"/>
  <c r="N443" i="2" s="1"/>
  <c r="F447" i="2"/>
  <c r="H447" i="2" s="1"/>
  <c r="M447" i="2" s="1"/>
  <c r="J447" i="2"/>
  <c r="L447" i="2" s="1"/>
  <c r="O447" i="2" s="1"/>
  <c r="F448" i="2"/>
  <c r="H448" i="2"/>
  <c r="J448" i="2"/>
  <c r="L448" i="2"/>
  <c r="M448" i="2"/>
  <c r="O448" i="2"/>
  <c r="N448" i="2" s="1"/>
  <c r="F449" i="2"/>
  <c r="H449" i="2"/>
  <c r="M449" i="2" s="1"/>
  <c r="J449" i="2"/>
  <c r="L449" i="2"/>
  <c r="O449" i="2" s="1"/>
  <c r="F450" i="2"/>
  <c r="H450" i="2" s="1"/>
  <c r="M450" i="2" s="1"/>
  <c r="J450" i="2"/>
  <c r="L450" i="2"/>
  <c r="O450" i="2" s="1"/>
  <c r="F451" i="2"/>
  <c r="H451" i="2"/>
  <c r="J451" i="2"/>
  <c r="L451" i="2"/>
  <c r="M451" i="2"/>
  <c r="O451" i="2"/>
  <c r="N451" i="2" s="1"/>
  <c r="F452" i="2"/>
  <c r="H452" i="2"/>
  <c r="J452" i="2"/>
  <c r="L452" i="2"/>
  <c r="O452" i="2" s="1"/>
  <c r="M452" i="2"/>
  <c r="N452" i="2"/>
  <c r="F456" i="2"/>
  <c r="H456" i="2" s="1"/>
  <c r="M456" i="2" s="1"/>
  <c r="N456" i="2" s="1"/>
  <c r="J456" i="2"/>
  <c r="L456" i="2"/>
  <c r="O456" i="2"/>
  <c r="F457" i="2"/>
  <c r="H457" i="2"/>
  <c r="J457" i="2"/>
  <c r="L457" i="2" s="1"/>
  <c r="O457" i="2" s="1"/>
  <c r="M457" i="2"/>
  <c r="N457" i="2" s="1"/>
  <c r="F458" i="2"/>
  <c r="H458" i="2"/>
  <c r="M458" i="2" s="1"/>
  <c r="N458" i="2" s="1"/>
  <c r="J458" i="2"/>
  <c r="L458" i="2"/>
  <c r="O458" i="2" s="1"/>
  <c r="F459" i="2"/>
  <c r="H459" i="2"/>
  <c r="J459" i="2"/>
  <c r="L459" i="2"/>
  <c r="M459" i="2"/>
  <c r="O459" i="2"/>
  <c r="N459" i="2" s="1"/>
  <c r="F460" i="2"/>
  <c r="H460" i="2"/>
  <c r="J460" i="2"/>
  <c r="L460" i="2"/>
  <c r="M460" i="2"/>
  <c r="O460" i="2"/>
  <c r="N460" i="2" s="1"/>
  <c r="F461" i="2"/>
  <c r="H461" i="2"/>
  <c r="M461" i="2" s="1"/>
  <c r="J461" i="2"/>
  <c r="L461" i="2" s="1"/>
  <c r="O461" i="2" s="1"/>
  <c r="F465" i="2"/>
  <c r="H465" i="2"/>
  <c r="J465" i="2"/>
  <c r="L465" i="2" s="1"/>
  <c r="M465" i="2"/>
  <c r="O465" i="2"/>
  <c r="N465" i="2" s="1"/>
  <c r="F466" i="2"/>
  <c r="H466" i="2"/>
  <c r="M466" i="2" s="1"/>
  <c r="N466" i="2" s="1"/>
  <c r="J466" i="2"/>
  <c r="L466" i="2"/>
  <c r="O466" i="2"/>
  <c r="F467" i="2"/>
  <c r="H467" i="2"/>
  <c r="J467" i="2"/>
  <c r="L467" i="2"/>
  <c r="M467" i="2"/>
  <c r="O467" i="2"/>
  <c r="N467" i="2" s="1"/>
  <c r="F468" i="2"/>
  <c r="H468" i="2"/>
  <c r="J468" i="2"/>
  <c r="L468" i="2"/>
  <c r="O468" i="2" s="1"/>
  <c r="M468" i="2"/>
  <c r="N468" i="2" s="1"/>
  <c r="F469" i="2"/>
  <c r="H469" i="2"/>
  <c r="M469" i="2" s="1"/>
  <c r="J469" i="2"/>
  <c r="L469" i="2"/>
  <c r="O469" i="2" s="1"/>
  <c r="F470" i="2"/>
  <c r="H470" i="2"/>
  <c r="J470" i="2"/>
  <c r="L470" i="2"/>
  <c r="M470" i="2"/>
  <c r="O470" i="2"/>
  <c r="N470" i="2" s="1"/>
  <c r="F474" i="2"/>
  <c r="H474" i="2"/>
  <c r="J474" i="2"/>
  <c r="L474" i="2"/>
  <c r="M474" i="2"/>
  <c r="O474" i="2"/>
  <c r="N474" i="2" s="1"/>
  <c r="F475" i="2"/>
  <c r="H475" i="2"/>
  <c r="J475" i="2"/>
  <c r="L475" i="2"/>
  <c r="M475" i="2"/>
  <c r="O475" i="2"/>
  <c r="N475" i="2" s="1"/>
  <c r="F476" i="2"/>
  <c r="H476" i="2"/>
  <c r="J476" i="2"/>
  <c r="L476" i="2"/>
  <c r="M476" i="2"/>
  <c r="O476" i="2"/>
  <c r="N476" i="2" s="1"/>
  <c r="F477" i="2"/>
  <c r="H477" i="2" s="1"/>
  <c r="M477" i="2" s="1"/>
  <c r="N477" i="2" s="1"/>
  <c r="J477" i="2"/>
  <c r="L477" i="2" s="1"/>
  <c r="O477" i="2" s="1"/>
  <c r="F478" i="2"/>
  <c r="H478" i="2"/>
  <c r="J478" i="2"/>
  <c r="L478" i="2"/>
  <c r="O478" i="2" s="1"/>
  <c r="M478" i="2"/>
  <c r="N478" i="2"/>
  <c r="F479" i="2"/>
  <c r="H479" i="2"/>
  <c r="J479" i="2"/>
  <c r="L479" i="2"/>
  <c r="M479" i="2"/>
  <c r="O479" i="2"/>
  <c r="N479" i="2" s="1"/>
  <c r="F483" i="2"/>
  <c r="H483" i="2"/>
  <c r="J483" i="2"/>
  <c r="L483" i="2"/>
  <c r="M483" i="2"/>
  <c r="O483" i="2"/>
  <c r="N483" i="2" s="1"/>
  <c r="F484" i="2"/>
  <c r="H484" i="2"/>
  <c r="J484" i="2"/>
  <c r="L484" i="2"/>
  <c r="M484" i="2"/>
  <c r="O484" i="2"/>
  <c r="N484" i="2" s="1"/>
  <c r="F485" i="2"/>
  <c r="H485" i="2" s="1"/>
  <c r="J485" i="2"/>
  <c r="L485" i="2"/>
  <c r="O485" i="2" s="1"/>
  <c r="M485" i="2"/>
  <c r="F486" i="2"/>
  <c r="H486" i="2" s="1"/>
  <c r="M486" i="2" s="1"/>
  <c r="J486" i="2"/>
  <c r="L486" i="2" s="1"/>
  <c r="O486" i="2" s="1"/>
  <c r="F487" i="2"/>
  <c r="H487" i="2"/>
  <c r="J487" i="2"/>
  <c r="L487" i="2"/>
  <c r="M487" i="2"/>
  <c r="N487" i="2"/>
  <c r="O487" i="2"/>
  <c r="F488" i="2"/>
  <c r="H488" i="2" s="1"/>
  <c r="M488" i="2" s="1"/>
  <c r="N488" i="2" s="1"/>
  <c r="J488" i="2"/>
  <c r="L488" i="2"/>
  <c r="O488" i="2"/>
  <c r="F492" i="2"/>
  <c r="H492" i="2"/>
  <c r="M492" i="2" s="1"/>
  <c r="J492" i="2"/>
  <c r="L492" i="2"/>
  <c r="O492" i="2"/>
  <c r="F493" i="2"/>
  <c r="H493" i="2"/>
  <c r="M493" i="2" s="1"/>
  <c r="J493" i="2"/>
  <c r="L493" i="2"/>
  <c r="O493" i="2"/>
  <c r="N493" i="2" s="1"/>
  <c r="F494" i="2"/>
  <c r="H494" i="2"/>
  <c r="J494" i="2"/>
  <c r="L494" i="2"/>
  <c r="O494" i="2" s="1"/>
  <c r="M494" i="2"/>
  <c r="N494" i="2" s="1"/>
  <c r="F495" i="2"/>
  <c r="H495" i="2"/>
  <c r="J495" i="2"/>
  <c r="L495" i="2"/>
  <c r="M495" i="2"/>
  <c r="O495" i="2"/>
  <c r="N495" i="2" s="1"/>
  <c r="F496" i="2"/>
  <c r="H496" i="2" s="1"/>
  <c r="M496" i="2" s="1"/>
  <c r="J496" i="2"/>
  <c r="L496" i="2" s="1"/>
  <c r="O496" i="2" s="1"/>
  <c r="F497" i="2"/>
  <c r="H497" i="2" s="1"/>
  <c r="J497" i="2"/>
  <c r="L497" i="2"/>
  <c r="M497" i="2"/>
  <c r="O497" i="2"/>
  <c r="N497" i="2" s="1"/>
  <c r="F501" i="2"/>
  <c r="H501" i="2"/>
  <c r="J501" i="2"/>
  <c r="L501" i="2"/>
  <c r="M501" i="2"/>
  <c r="O501" i="2"/>
  <c r="N501" i="2" s="1"/>
  <c r="F502" i="2"/>
  <c r="H502" i="2"/>
  <c r="M502" i="2" s="1"/>
  <c r="J502" i="2"/>
  <c r="L502" i="2" s="1"/>
  <c r="O502" i="2" s="1"/>
  <c r="F503" i="2"/>
  <c r="H503" i="2"/>
  <c r="J503" i="2"/>
  <c r="L503" i="2"/>
  <c r="M503" i="2"/>
  <c r="O503" i="2"/>
  <c r="N503" i="2" s="1"/>
  <c r="F504" i="2"/>
  <c r="H504" i="2"/>
  <c r="M504" i="2" s="1"/>
  <c r="N504" i="2" s="1"/>
  <c r="J504" i="2"/>
  <c r="L504" i="2" s="1"/>
  <c r="O504" i="2" s="1"/>
  <c r="F505" i="2"/>
  <c r="H505" i="2"/>
  <c r="J505" i="2"/>
  <c r="L505" i="2"/>
  <c r="M505" i="2"/>
  <c r="O505" i="2"/>
  <c r="N505" i="2" s="1"/>
  <c r="F506" i="2"/>
  <c r="H506" i="2" s="1"/>
  <c r="J506" i="2"/>
  <c r="L506" i="2"/>
  <c r="M506" i="2"/>
  <c r="O506" i="2"/>
  <c r="N506" i="2" s="1"/>
  <c r="F510" i="2"/>
  <c r="H510" i="2"/>
  <c r="M510" i="2" s="1"/>
  <c r="J510" i="2"/>
  <c r="L510" i="2" s="1"/>
  <c r="O510" i="2" s="1"/>
  <c r="F511" i="2"/>
  <c r="H511" i="2"/>
  <c r="J511" i="2"/>
  <c r="L511" i="2"/>
  <c r="M511" i="2"/>
  <c r="O511" i="2"/>
  <c r="N511" i="2" s="1"/>
  <c r="F512" i="2"/>
  <c r="H512" i="2"/>
  <c r="J512" i="2"/>
  <c r="L512" i="2" s="1"/>
  <c r="M512" i="2"/>
  <c r="O512" i="2"/>
  <c r="N512" i="2" s="1"/>
  <c r="F513" i="2"/>
  <c r="H513" i="2" s="1"/>
  <c r="M513" i="2" s="1"/>
  <c r="J513" i="2"/>
  <c r="L513" i="2" s="1"/>
  <c r="O513" i="2" s="1"/>
  <c r="F514" i="2"/>
  <c r="H514" i="2"/>
  <c r="J514" i="2"/>
  <c r="L514" i="2"/>
  <c r="M514" i="2"/>
  <c r="O514" i="2"/>
  <c r="N514" i="2" s="1"/>
  <c r="F515" i="2"/>
  <c r="H515" i="2"/>
  <c r="M515" i="2" s="1"/>
  <c r="N515" i="2" s="1"/>
  <c r="J515" i="2"/>
  <c r="L515" i="2"/>
  <c r="O515" i="2"/>
  <c r="F519" i="2"/>
  <c r="H519" i="2"/>
  <c r="J519" i="2"/>
  <c r="L519" i="2"/>
  <c r="O519" i="2" s="1"/>
  <c r="M519" i="2"/>
  <c r="N519" i="2"/>
  <c r="F520" i="2"/>
  <c r="H520" i="2"/>
  <c r="J520" i="2"/>
  <c r="L520" i="2"/>
  <c r="M520" i="2"/>
  <c r="O520" i="2"/>
  <c r="N520" i="2" s="1"/>
  <c r="F521" i="2"/>
  <c r="H521" i="2"/>
  <c r="M521" i="2" s="1"/>
  <c r="N521" i="2" s="1"/>
  <c r="J521" i="2"/>
  <c r="L521" i="2"/>
  <c r="O521" i="2"/>
  <c r="F522" i="2"/>
  <c r="H522" i="2"/>
  <c r="J522" i="2"/>
  <c r="L522" i="2"/>
  <c r="M522" i="2"/>
  <c r="O522" i="2"/>
  <c r="N522" i="2" s="1"/>
  <c r="F523" i="2"/>
  <c r="H523" i="2" s="1"/>
  <c r="M523" i="2" s="1"/>
  <c r="N523" i="2" s="1"/>
  <c r="J523" i="2"/>
  <c r="L523" i="2"/>
  <c r="O523" i="2"/>
  <c r="F524" i="2"/>
  <c r="H524" i="2"/>
  <c r="M524" i="2" s="1"/>
  <c r="J524" i="2"/>
  <c r="L524" i="2" s="1"/>
  <c r="O524" i="2"/>
  <c r="N524" i="2" s="1"/>
  <c r="F528" i="2"/>
  <c r="H528" i="2"/>
  <c r="J528" i="2"/>
  <c r="L528" i="2"/>
  <c r="M528" i="2"/>
  <c r="O528" i="2"/>
  <c r="N528" i="2" s="1"/>
  <c r="F529" i="2"/>
  <c r="H529" i="2"/>
  <c r="J529" i="2"/>
  <c r="L529" i="2" s="1"/>
  <c r="O529" i="2" s="1"/>
  <c r="M529" i="2"/>
  <c r="N529" i="2"/>
  <c r="F530" i="2"/>
  <c r="H530" i="2" s="1"/>
  <c r="M530" i="2" s="1"/>
  <c r="N530" i="2" s="1"/>
  <c r="J530" i="2"/>
  <c r="L530" i="2"/>
  <c r="O530" i="2"/>
  <c r="F531" i="2"/>
  <c r="H531" i="2" s="1"/>
  <c r="M531" i="2" s="1"/>
  <c r="N531" i="2" s="1"/>
  <c r="J531" i="2"/>
  <c r="L531" i="2"/>
  <c r="O531" i="2"/>
  <c r="F532" i="2"/>
  <c r="H532" i="2" s="1"/>
  <c r="J532" i="2"/>
  <c r="L532" i="2" s="1"/>
  <c r="O532" i="2" s="1"/>
  <c r="N532" i="2" s="1"/>
  <c r="M532" i="2"/>
  <c r="F533" i="2"/>
  <c r="H533" i="2"/>
  <c r="J533" i="2"/>
  <c r="L533" i="2"/>
  <c r="M533" i="2"/>
  <c r="O533" i="2"/>
  <c r="N533" i="2" s="1"/>
  <c r="F537" i="2"/>
  <c r="H537" i="2" s="1"/>
  <c r="J537" i="2"/>
  <c r="L537" i="2"/>
  <c r="M537" i="2"/>
  <c r="O537" i="2"/>
  <c r="N537" i="2" s="1"/>
  <c r="F538" i="2"/>
  <c r="H538" i="2" s="1"/>
  <c r="M538" i="2" s="1"/>
  <c r="J538" i="2"/>
  <c r="L538" i="2" s="1"/>
  <c r="O538" i="2" s="1"/>
  <c r="F539" i="2"/>
  <c r="H539" i="2"/>
  <c r="M539" i="2" s="1"/>
  <c r="J539" i="2"/>
  <c r="L539" i="2"/>
  <c r="O539" i="2"/>
  <c r="F540" i="2"/>
  <c r="H540" i="2"/>
  <c r="J540" i="2"/>
  <c r="L540" i="2"/>
  <c r="M540" i="2"/>
  <c r="O540" i="2"/>
  <c r="N540" i="2" s="1"/>
  <c r="F541" i="2"/>
  <c r="H541" i="2" s="1"/>
  <c r="M541" i="2" s="1"/>
  <c r="N541" i="2" s="1"/>
  <c r="J541" i="2"/>
  <c r="L541" i="2"/>
  <c r="O541" i="2"/>
  <c r="F542" i="2"/>
  <c r="H542" i="2"/>
  <c r="J542" i="2"/>
  <c r="L542" i="2"/>
  <c r="M542" i="2"/>
  <c r="O542" i="2"/>
  <c r="N542" i="2" s="1"/>
  <c r="F546" i="2"/>
  <c r="H546" i="2"/>
  <c r="J546" i="2"/>
  <c r="L546" i="2"/>
  <c r="O546" i="2" s="1"/>
  <c r="M546" i="2"/>
  <c r="N546" i="2"/>
  <c r="F547" i="2"/>
  <c r="H547" i="2" s="1"/>
  <c r="J547" i="2"/>
  <c r="L547" i="2"/>
  <c r="M547" i="2"/>
  <c r="O547" i="2"/>
  <c r="N547" i="2" s="1"/>
  <c r="F548" i="2"/>
  <c r="H548" i="2"/>
  <c r="J548" i="2"/>
  <c r="L548" i="2"/>
  <c r="M548" i="2"/>
  <c r="O548" i="2"/>
  <c r="N548" i="2" s="1"/>
  <c r="F549" i="2"/>
  <c r="H549" i="2" s="1"/>
  <c r="M549" i="2" s="1"/>
  <c r="N549" i="2" s="1"/>
  <c r="J549" i="2"/>
  <c r="L549" i="2"/>
  <c r="O549" i="2"/>
  <c r="F550" i="2"/>
  <c r="H550" i="2"/>
  <c r="J550" i="2"/>
  <c r="L550" i="2"/>
  <c r="M550" i="2"/>
  <c r="O550" i="2"/>
  <c r="N550" i="2" s="1"/>
  <c r="F551" i="2"/>
  <c r="H551" i="2" s="1"/>
  <c r="M551" i="2" s="1"/>
  <c r="J551" i="2"/>
  <c r="L551" i="2" s="1"/>
  <c r="O551" i="2" s="1"/>
  <c r="F555" i="2"/>
  <c r="H555" i="2"/>
  <c r="J555" i="2"/>
  <c r="L555" i="2"/>
  <c r="M555" i="2"/>
  <c r="O555" i="2"/>
  <c r="N555" i="2" s="1"/>
  <c r="F556" i="2"/>
  <c r="H556" i="2"/>
  <c r="J556" i="2"/>
  <c r="L556" i="2"/>
  <c r="M556" i="2"/>
  <c r="O556" i="2"/>
  <c r="N556" i="2" s="1"/>
  <c r="F557" i="2"/>
  <c r="H557" i="2"/>
  <c r="M557" i="2" s="1"/>
  <c r="J557" i="2"/>
  <c r="L557" i="2"/>
  <c r="O557" i="2" s="1"/>
  <c r="F558" i="2"/>
  <c r="H558" i="2"/>
  <c r="J558" i="2"/>
  <c r="L558" i="2"/>
  <c r="M558" i="2"/>
  <c r="O558" i="2"/>
  <c r="N558" i="2" s="1"/>
  <c r="F559" i="2"/>
  <c r="H559" i="2"/>
  <c r="M559" i="2" s="1"/>
  <c r="N559" i="2" s="1"/>
  <c r="J559" i="2"/>
  <c r="L559" i="2" s="1"/>
  <c r="O559" i="2" s="1"/>
  <c r="F560" i="2"/>
  <c r="H560" i="2"/>
  <c r="J560" i="2"/>
  <c r="L560" i="2"/>
  <c r="M560" i="2"/>
  <c r="O560" i="2"/>
  <c r="N560" i="2" s="1"/>
  <c r="F564" i="2"/>
  <c r="H564" i="2"/>
  <c r="J564" i="2"/>
  <c r="L564" i="2"/>
  <c r="O564" i="2" s="1"/>
  <c r="N564" i="2" s="1"/>
  <c r="M564" i="2"/>
  <c r="F565" i="2"/>
  <c r="H565" i="2"/>
  <c r="J565" i="2"/>
  <c r="L565" i="2"/>
  <c r="M565" i="2"/>
  <c r="O565" i="2"/>
  <c r="N565" i="2" s="1"/>
  <c r="F566" i="2"/>
  <c r="H566" i="2" s="1"/>
  <c r="M566" i="2" s="1"/>
  <c r="N566" i="2" s="1"/>
  <c r="J566" i="2"/>
  <c r="L566" i="2"/>
  <c r="O566" i="2" s="1"/>
  <c r="F567" i="2"/>
  <c r="H567" i="2"/>
  <c r="M567" i="2" s="1"/>
  <c r="J567" i="2"/>
  <c r="L567" i="2" s="1"/>
  <c r="O567" i="2" s="1"/>
  <c r="F568" i="2"/>
  <c r="H568" i="2"/>
  <c r="J568" i="2"/>
  <c r="L568" i="2"/>
  <c r="M568" i="2"/>
  <c r="O568" i="2"/>
  <c r="N568" i="2" s="1"/>
  <c r="F569" i="2"/>
  <c r="H569" i="2"/>
  <c r="J569" i="2"/>
  <c r="L569" i="2"/>
  <c r="M569" i="2"/>
  <c r="O569" i="2"/>
  <c r="N569" i="2" s="1"/>
  <c r="F573" i="2"/>
  <c r="H573" i="2"/>
  <c r="M573" i="2" s="1"/>
  <c r="J573" i="2"/>
  <c r="L573" i="2" s="1"/>
  <c r="O573" i="2" s="1"/>
  <c r="F574" i="2"/>
  <c r="H574" i="2"/>
  <c r="M574" i="2" s="1"/>
  <c r="J574" i="2"/>
  <c r="L574" i="2" s="1"/>
  <c r="O574" i="2" s="1"/>
  <c r="F575" i="2"/>
  <c r="H575" i="2"/>
  <c r="M575" i="2" s="1"/>
  <c r="J575" i="2"/>
  <c r="L575" i="2" s="1"/>
  <c r="O575" i="2" s="1"/>
  <c r="F576" i="2"/>
  <c r="H576" i="2"/>
  <c r="J576" i="2"/>
  <c r="L576" i="2"/>
  <c r="M576" i="2"/>
  <c r="O576" i="2"/>
  <c r="N576" i="2" s="1"/>
  <c r="F577" i="2"/>
  <c r="H577" i="2"/>
  <c r="J577" i="2"/>
  <c r="L577" i="2"/>
  <c r="O577" i="2" s="1"/>
  <c r="M577" i="2"/>
  <c r="N577" i="2"/>
  <c r="F578" i="2"/>
  <c r="H578" i="2"/>
  <c r="J578" i="2"/>
  <c r="L578" i="2"/>
  <c r="M578" i="2"/>
  <c r="O578" i="2"/>
  <c r="N578" i="2" s="1"/>
  <c r="F582" i="2"/>
  <c r="H582" i="2" s="1"/>
  <c r="M582" i="2" s="1"/>
  <c r="J582" i="2"/>
  <c r="L582" i="2"/>
  <c r="O582" i="2" s="1"/>
  <c r="F583" i="2"/>
  <c r="H583" i="2"/>
  <c r="M583" i="2" s="1"/>
  <c r="N583" i="2" s="1"/>
  <c r="J583" i="2"/>
  <c r="L583" i="2"/>
  <c r="O583" i="2"/>
  <c r="F584" i="2"/>
  <c r="H584" i="2"/>
  <c r="J584" i="2"/>
  <c r="L584" i="2" s="1"/>
  <c r="O584" i="2" s="1"/>
  <c r="M584" i="2"/>
  <c r="N584" i="2" s="1"/>
  <c r="F585" i="2"/>
  <c r="H585" i="2"/>
  <c r="M585" i="2" s="1"/>
  <c r="J585" i="2"/>
  <c r="L585" i="2"/>
  <c r="O585" i="2"/>
  <c r="N585" i="2" s="1"/>
  <c r="F586" i="2"/>
  <c r="H586" i="2"/>
  <c r="M586" i="2" s="1"/>
  <c r="J586" i="2"/>
  <c r="L586" i="2"/>
  <c r="O586" i="2"/>
  <c r="F587" i="2"/>
  <c r="H587" i="2"/>
  <c r="J587" i="2"/>
  <c r="L587" i="2"/>
  <c r="M587" i="2"/>
  <c r="O587" i="2"/>
  <c r="N587" i="2" s="1"/>
  <c r="F591" i="2"/>
  <c r="H591" i="2"/>
  <c r="M591" i="2" s="1"/>
  <c r="N591" i="2" s="1"/>
  <c r="J591" i="2"/>
  <c r="L591" i="2"/>
  <c r="O591" i="2"/>
  <c r="F592" i="2"/>
  <c r="H592" i="2"/>
  <c r="J592" i="2"/>
  <c r="L592" i="2" s="1"/>
  <c r="O592" i="2" s="1"/>
  <c r="M592" i="2"/>
  <c r="F593" i="2"/>
  <c r="H593" i="2"/>
  <c r="J593" i="2"/>
  <c r="L593" i="2" s="1"/>
  <c r="M593" i="2"/>
  <c r="O593" i="2"/>
  <c r="N593" i="2" s="1"/>
  <c r="F594" i="2"/>
  <c r="H594" i="2" s="1"/>
  <c r="J594" i="2"/>
  <c r="L594" i="2"/>
  <c r="M594" i="2"/>
  <c r="O594" i="2"/>
  <c r="N594" i="2" s="1"/>
  <c r="F595" i="2"/>
  <c r="H595" i="2"/>
  <c r="J595" i="2"/>
  <c r="L595" i="2"/>
  <c r="M595" i="2"/>
  <c r="O595" i="2"/>
  <c r="N595" i="2" s="1"/>
  <c r="F596" i="2"/>
  <c r="H596" i="2" s="1"/>
  <c r="M596" i="2" s="1"/>
  <c r="N596" i="2" s="1"/>
  <c r="J596" i="2"/>
  <c r="L596" i="2"/>
  <c r="O596" i="2"/>
  <c r="F600" i="2"/>
  <c r="H600" i="2"/>
  <c r="J600" i="2"/>
  <c r="L600" i="2"/>
  <c r="O600" i="2" s="1"/>
  <c r="N600" i="2" s="1"/>
  <c r="M600" i="2"/>
  <c r="F601" i="2"/>
  <c r="H601" i="2" s="1"/>
  <c r="J601" i="2"/>
  <c r="L601" i="2" s="1"/>
  <c r="O601" i="2" s="1"/>
  <c r="M601" i="2"/>
  <c r="F602" i="2"/>
  <c r="H602" i="2"/>
  <c r="J602" i="2"/>
  <c r="L602" i="2"/>
  <c r="M602" i="2"/>
  <c r="O602" i="2"/>
  <c r="N602" i="2" s="1"/>
  <c r="F603" i="2"/>
  <c r="H603" i="2"/>
  <c r="J603" i="2"/>
  <c r="L603" i="2"/>
  <c r="M603" i="2"/>
  <c r="O603" i="2"/>
  <c r="N603" i="2" s="1"/>
  <c r="F604" i="2"/>
  <c r="H604" i="2" s="1"/>
  <c r="M604" i="2" s="1"/>
  <c r="N604" i="2" s="1"/>
  <c r="J604" i="2"/>
  <c r="L604" i="2"/>
  <c r="O604" i="2"/>
  <c r="F605" i="2"/>
  <c r="H605" i="2"/>
  <c r="J605" i="2"/>
  <c r="L605" i="2"/>
  <c r="M605" i="2"/>
  <c r="O605" i="2"/>
  <c r="N605" i="2" s="1"/>
  <c r="F609" i="2"/>
  <c r="H609" i="2"/>
  <c r="M609" i="2" s="1"/>
  <c r="J609" i="2"/>
  <c r="L609" i="2" s="1"/>
  <c r="O609" i="2" s="1"/>
  <c r="F610" i="2"/>
  <c r="H610" i="2"/>
  <c r="J610" i="2"/>
  <c r="L610" i="2"/>
  <c r="M610" i="2"/>
  <c r="O610" i="2"/>
  <c r="N610" i="2" s="1"/>
  <c r="F611" i="2"/>
  <c r="H611" i="2"/>
  <c r="J611" i="2"/>
  <c r="L611" i="2"/>
  <c r="O611" i="2" s="1"/>
  <c r="M611" i="2"/>
  <c r="N611" i="2"/>
  <c r="F612" i="2"/>
  <c r="H612" i="2"/>
  <c r="J612" i="2"/>
  <c r="L612" i="2"/>
  <c r="M612" i="2"/>
  <c r="O612" i="2"/>
  <c r="N612" i="2" s="1"/>
  <c r="F613" i="2"/>
  <c r="H613" i="2"/>
  <c r="J613" i="2"/>
  <c r="L613" i="2"/>
  <c r="O613" i="2" s="1"/>
  <c r="M613" i="2"/>
  <c r="N613" i="2" s="1"/>
  <c r="F614" i="2"/>
  <c r="H614" i="2"/>
  <c r="J614" i="2"/>
  <c r="L614" i="2"/>
  <c r="O614" i="2" s="1"/>
  <c r="M614" i="2"/>
  <c r="N614" i="2" s="1"/>
  <c r="F618" i="2"/>
  <c r="H618" i="2"/>
  <c r="J618" i="2"/>
  <c r="L618" i="2"/>
  <c r="M618" i="2"/>
  <c r="O618" i="2"/>
  <c r="N618" i="2" s="1"/>
  <c r="F619" i="2"/>
  <c r="H619" i="2"/>
  <c r="J619" i="2"/>
  <c r="L619" i="2"/>
  <c r="O619" i="2" s="1"/>
  <c r="M619" i="2"/>
  <c r="N619" i="2" s="1"/>
  <c r="F620" i="2"/>
  <c r="H620" i="2"/>
  <c r="J620" i="2"/>
  <c r="L620" i="2"/>
  <c r="M620" i="2"/>
  <c r="O620" i="2"/>
  <c r="N620" i="2" s="1"/>
  <c r="F621" i="2"/>
  <c r="H621" i="2"/>
  <c r="M621" i="2" s="1"/>
  <c r="J621" i="2"/>
  <c r="L621" i="2" s="1"/>
  <c r="O621" i="2"/>
  <c r="F622" i="2"/>
  <c r="H622" i="2"/>
  <c r="J622" i="2"/>
  <c r="L622" i="2"/>
  <c r="M622" i="2"/>
  <c r="O622" i="2"/>
  <c r="N622" i="2" s="1"/>
  <c r="F623" i="2"/>
  <c r="H623" i="2"/>
  <c r="J623" i="2"/>
  <c r="L623" i="2"/>
  <c r="M623" i="2"/>
  <c r="O623" i="2"/>
  <c r="N623" i="2" s="1"/>
  <c r="F627" i="2"/>
  <c r="H627" i="2"/>
  <c r="J627" i="2"/>
  <c r="L627" i="2"/>
  <c r="O627" i="2" s="1"/>
  <c r="M627" i="2"/>
  <c r="N627" i="2" s="1"/>
  <c r="F628" i="2"/>
  <c r="H628" i="2"/>
  <c r="J628" i="2"/>
  <c r="L628" i="2"/>
  <c r="M628" i="2"/>
  <c r="O628" i="2"/>
  <c r="N628" i="2" s="1"/>
  <c r="F629" i="2"/>
  <c r="H629" i="2" s="1"/>
  <c r="J629" i="2"/>
  <c r="L629" i="2" s="1"/>
  <c r="M629" i="2"/>
  <c r="O629" i="2"/>
  <c r="N629" i="2" s="1"/>
  <c r="F630" i="2"/>
  <c r="H630" i="2"/>
  <c r="J630" i="2"/>
  <c r="L630" i="2"/>
  <c r="M630" i="2"/>
  <c r="O630" i="2"/>
  <c r="N630" i="2" s="1"/>
  <c r="F631" i="2"/>
  <c r="H631" i="2" s="1"/>
  <c r="M631" i="2" s="1"/>
  <c r="J631" i="2"/>
  <c r="L631" i="2" s="1"/>
  <c r="O631" i="2" s="1"/>
  <c r="F632" i="2"/>
  <c r="H632" i="2"/>
  <c r="M632" i="2" s="1"/>
  <c r="J632" i="2"/>
  <c r="L632" i="2"/>
  <c r="O632" i="2" s="1"/>
  <c r="F636" i="2"/>
  <c r="H636" i="2"/>
  <c r="M636" i="2" s="1"/>
  <c r="J636" i="2"/>
  <c r="L636" i="2"/>
  <c r="O636" i="2"/>
  <c r="F637" i="2"/>
  <c r="H637" i="2" s="1"/>
  <c r="M637" i="2" s="1"/>
  <c r="N637" i="2" s="1"/>
  <c r="J637" i="2"/>
  <c r="L637" i="2"/>
  <c r="O637" i="2"/>
  <c r="F638" i="2"/>
  <c r="H638" i="2"/>
  <c r="J638" i="2"/>
  <c r="L638" i="2"/>
  <c r="M638" i="2"/>
  <c r="O638" i="2"/>
  <c r="N638" i="2" s="1"/>
  <c r="F639" i="2"/>
  <c r="H639" i="2"/>
  <c r="M639" i="2" s="1"/>
  <c r="J639" i="2"/>
  <c r="L639" i="2" s="1"/>
  <c r="O639" i="2" s="1"/>
  <c r="F640" i="2"/>
  <c r="H640" i="2"/>
  <c r="M640" i="2" s="1"/>
  <c r="J640" i="2"/>
  <c r="L640" i="2" s="1"/>
  <c r="O640" i="2" s="1"/>
  <c r="F641" i="2"/>
  <c r="H641" i="2" s="1"/>
  <c r="J641" i="2"/>
  <c r="L641" i="2"/>
  <c r="M641" i="2"/>
  <c r="O641" i="2"/>
  <c r="N641" i="2" s="1"/>
  <c r="F645" i="2"/>
  <c r="H645" i="2"/>
  <c r="J645" i="2"/>
  <c r="L645" i="2"/>
  <c r="M645" i="2"/>
  <c r="O645" i="2"/>
  <c r="N645" i="2" s="1"/>
  <c r="F646" i="2"/>
  <c r="H646" i="2" s="1"/>
  <c r="M646" i="2" s="1"/>
  <c r="J646" i="2"/>
  <c r="L646" i="2" s="1"/>
  <c r="O646" i="2" s="1"/>
  <c r="F647" i="2"/>
  <c r="H647" i="2"/>
  <c r="J647" i="2"/>
  <c r="L647" i="2"/>
  <c r="O647" i="2" s="1"/>
  <c r="M647" i="2"/>
  <c r="N647" i="2" s="1"/>
  <c r="F648" i="2"/>
  <c r="H648" i="2" s="1"/>
  <c r="M648" i="2" s="1"/>
  <c r="N648" i="2" s="1"/>
  <c r="J648" i="2"/>
  <c r="L648" i="2"/>
  <c r="O648" i="2" s="1"/>
  <c r="F649" i="2"/>
  <c r="H649" i="2"/>
  <c r="J649" i="2"/>
  <c r="L649" i="2"/>
  <c r="O649" i="2" s="1"/>
  <c r="M649" i="2"/>
  <c r="N649" i="2"/>
  <c r="F650" i="2"/>
  <c r="H650" i="2"/>
  <c r="J650" i="2"/>
  <c r="L650" i="2"/>
  <c r="M650" i="2"/>
  <c r="O650" i="2"/>
  <c r="N650" i="2" s="1"/>
  <c r="F654" i="2"/>
  <c r="H654" i="2"/>
  <c r="J654" i="2"/>
  <c r="L654" i="2"/>
  <c r="O654" i="2" s="1"/>
  <c r="M654" i="2"/>
  <c r="N654" i="2" s="1"/>
  <c r="F655" i="2"/>
  <c r="H655" i="2"/>
  <c r="J655" i="2"/>
  <c r="L655" i="2"/>
  <c r="M655" i="2"/>
  <c r="O655" i="2"/>
  <c r="N655" i="2" s="1"/>
  <c r="F656" i="2"/>
  <c r="H656" i="2" s="1"/>
  <c r="M656" i="2" s="1"/>
  <c r="N656" i="2" s="1"/>
  <c r="J656" i="2"/>
  <c r="L656" i="2" s="1"/>
  <c r="O656" i="2"/>
  <c r="F657" i="2"/>
  <c r="H657" i="2"/>
  <c r="M657" i="2" s="1"/>
  <c r="J657" i="2"/>
  <c r="L657" i="2"/>
  <c r="O657" i="2"/>
  <c r="N657" i="2" s="1"/>
  <c r="F658" i="2"/>
  <c r="H658" i="2"/>
  <c r="J658" i="2"/>
  <c r="L658" i="2"/>
  <c r="M658" i="2"/>
  <c r="O658" i="2"/>
  <c r="N658" i="2" s="1"/>
  <c r="F659" i="2"/>
  <c r="H659" i="2"/>
  <c r="J659" i="2"/>
  <c r="L659" i="2"/>
  <c r="M659" i="2"/>
  <c r="O659" i="2"/>
  <c r="N659" i="2" s="1"/>
  <c r="F663" i="2"/>
  <c r="H663" i="2" s="1"/>
  <c r="M663" i="2" s="1"/>
  <c r="J663" i="2"/>
  <c r="L663" i="2" s="1"/>
  <c r="O663" i="2" s="1"/>
  <c r="F664" i="2"/>
  <c r="H664" i="2"/>
  <c r="J664" i="2"/>
  <c r="L664" i="2"/>
  <c r="M664" i="2"/>
  <c r="O664" i="2"/>
  <c r="N664" i="2" s="1"/>
  <c r="F665" i="2"/>
  <c r="H665" i="2"/>
  <c r="J665" i="2"/>
  <c r="L665" i="2"/>
  <c r="M665" i="2"/>
  <c r="O665" i="2"/>
  <c r="N665" i="2" s="1"/>
  <c r="F666" i="2"/>
  <c r="H666" i="2"/>
  <c r="J666" i="2"/>
  <c r="L666" i="2"/>
  <c r="M666" i="2"/>
  <c r="O666" i="2"/>
  <c r="N666" i="2" s="1"/>
  <c r="F667" i="2"/>
  <c r="H667" i="2"/>
  <c r="J667" i="2"/>
  <c r="L667" i="2"/>
  <c r="M667" i="2"/>
  <c r="O667" i="2"/>
  <c r="N667" i="2" s="1"/>
  <c r="F668" i="2"/>
  <c r="H668" i="2" s="1"/>
  <c r="M668" i="2" s="1"/>
  <c r="N668" i="2" s="1"/>
  <c r="J668" i="2"/>
  <c r="L668" i="2" s="1"/>
  <c r="O668" i="2"/>
  <c r="F672" i="2"/>
  <c r="H672" i="2"/>
  <c r="J672" i="2"/>
  <c r="L672" i="2"/>
  <c r="M672" i="2"/>
  <c r="O672" i="2"/>
  <c r="N672" i="2" s="1"/>
  <c r="F673" i="2"/>
  <c r="H673" i="2" s="1"/>
  <c r="J673" i="2"/>
  <c r="L673" i="2"/>
  <c r="M673" i="2"/>
  <c r="O673" i="2"/>
  <c r="N673" i="2" s="1"/>
  <c r="F674" i="2"/>
  <c r="H674" i="2"/>
  <c r="J674" i="2"/>
  <c r="L674" i="2"/>
  <c r="M674" i="2"/>
  <c r="O674" i="2"/>
  <c r="N674" i="2" s="1"/>
  <c r="F675" i="2"/>
  <c r="H675" i="2" s="1"/>
  <c r="M675" i="2" s="1"/>
  <c r="N675" i="2" s="1"/>
  <c r="J675" i="2"/>
  <c r="L675" i="2"/>
  <c r="O675" i="2"/>
  <c r="F676" i="2"/>
  <c r="H676" i="2" s="1"/>
  <c r="M676" i="2" s="1"/>
  <c r="J676" i="2"/>
  <c r="L676" i="2"/>
  <c r="O676" i="2" s="1"/>
  <c r="F677" i="2"/>
  <c r="H677" i="2"/>
  <c r="J677" i="2"/>
  <c r="L677" i="2"/>
  <c r="O677" i="2" s="1"/>
  <c r="M677" i="2"/>
  <c r="N677" i="2"/>
  <c r="F681" i="2"/>
  <c r="H681" i="2"/>
  <c r="J681" i="2"/>
  <c r="L681" i="2"/>
  <c r="M681" i="2"/>
  <c r="O681" i="2"/>
  <c r="N681" i="2" s="1"/>
  <c r="F682" i="2"/>
  <c r="H682" i="2"/>
  <c r="J682" i="2"/>
  <c r="L682" i="2"/>
  <c r="M682" i="2"/>
  <c r="O682" i="2"/>
  <c r="N682" i="2" s="1"/>
  <c r="F683" i="2"/>
  <c r="H683" i="2"/>
  <c r="M683" i="2" s="1"/>
  <c r="J683" i="2"/>
  <c r="L683" i="2"/>
  <c r="O683" i="2"/>
  <c r="F684" i="2"/>
  <c r="H684" i="2" s="1"/>
  <c r="M684" i="2" s="1"/>
  <c r="N684" i="2" s="1"/>
  <c r="J684" i="2"/>
  <c r="L684" i="2"/>
  <c r="O684" i="2" s="1"/>
  <c r="F685" i="2"/>
  <c r="H685" i="2"/>
  <c r="J685" i="2"/>
  <c r="L685" i="2"/>
  <c r="M685" i="2"/>
  <c r="O685" i="2"/>
  <c r="F686" i="2"/>
  <c r="H686" i="2" s="1"/>
  <c r="M686" i="2" s="1"/>
  <c r="N686" i="2" s="1"/>
  <c r="J686" i="2"/>
  <c r="L686" i="2"/>
  <c r="O686" i="2"/>
  <c r="F690" i="2"/>
  <c r="H690" i="2"/>
  <c r="J690" i="2"/>
  <c r="L690" i="2"/>
  <c r="M690" i="2"/>
  <c r="O690" i="2"/>
  <c r="N690" i="2" s="1"/>
  <c r="F691" i="2"/>
  <c r="H691" i="2"/>
  <c r="J691" i="2"/>
  <c r="L691" i="2"/>
  <c r="M691" i="2"/>
  <c r="O691" i="2"/>
  <c r="N691" i="2" s="1"/>
  <c r="F692" i="2"/>
  <c r="H692" i="2"/>
  <c r="M692" i="2" s="1"/>
  <c r="J692" i="2"/>
  <c r="L692" i="2" s="1"/>
  <c r="O692" i="2" s="1"/>
  <c r="F693" i="2"/>
  <c r="H693" i="2"/>
  <c r="J693" i="2"/>
  <c r="L693" i="2"/>
  <c r="O693" i="2" s="1"/>
  <c r="M693" i="2"/>
  <c r="N693" i="2" s="1"/>
  <c r="F694" i="2"/>
  <c r="H694" i="2" s="1"/>
  <c r="M694" i="2" s="1"/>
  <c r="N694" i="2" s="1"/>
  <c r="J694" i="2"/>
  <c r="L694" i="2"/>
  <c r="O694" i="2"/>
  <c r="F695" i="2"/>
  <c r="H695" i="2"/>
  <c r="J695" i="2"/>
  <c r="L695" i="2"/>
  <c r="O695" i="2" s="1"/>
  <c r="M695" i="2"/>
  <c r="N695" i="2"/>
  <c r="F699" i="2"/>
  <c r="H699" i="2"/>
  <c r="J699" i="2"/>
  <c r="L699" i="2"/>
  <c r="M699" i="2"/>
  <c r="O699" i="2"/>
  <c r="N699" i="2" s="1"/>
  <c r="F700" i="2"/>
  <c r="H700" i="2"/>
  <c r="M700" i="2" s="1"/>
  <c r="N700" i="2" s="1"/>
  <c r="J700" i="2"/>
  <c r="L700" i="2"/>
  <c r="O700" i="2"/>
  <c r="F701" i="2"/>
  <c r="H701" i="2"/>
  <c r="J701" i="2"/>
  <c r="L701" i="2"/>
  <c r="O701" i="2" s="1"/>
  <c r="M701" i="2"/>
  <c r="N701" i="2" s="1"/>
  <c r="F702" i="2"/>
  <c r="H702" i="2" s="1"/>
  <c r="M702" i="2" s="1"/>
  <c r="N702" i="2" s="1"/>
  <c r="J702" i="2"/>
  <c r="L702" i="2"/>
  <c r="O702" i="2"/>
  <c r="F703" i="2"/>
  <c r="H703" i="2"/>
  <c r="J703" i="2"/>
  <c r="L703" i="2" s="1"/>
  <c r="M703" i="2"/>
  <c r="O703" i="2"/>
  <c r="N703" i="2" s="1"/>
  <c r="F704" i="2"/>
  <c r="H704" i="2"/>
  <c r="J704" i="2"/>
  <c r="L704" i="2"/>
  <c r="M704" i="2"/>
  <c r="O704" i="2"/>
  <c r="N704" i="2" s="1"/>
  <c r="F708" i="2"/>
  <c r="H708" i="2"/>
  <c r="J708" i="2"/>
  <c r="L708" i="2"/>
  <c r="M708" i="2"/>
  <c r="O708" i="2"/>
  <c r="F709" i="2"/>
  <c r="H709" i="2"/>
  <c r="J709" i="2"/>
  <c r="L709" i="2"/>
  <c r="O709" i="2" s="1"/>
  <c r="M709" i="2"/>
  <c r="N709" i="2" s="1"/>
  <c r="F710" i="2"/>
  <c r="H710" i="2"/>
  <c r="J710" i="2"/>
  <c r="L710" i="2"/>
  <c r="M710" i="2"/>
  <c r="O710" i="2"/>
  <c r="N710" i="2" s="1"/>
  <c r="F711" i="2"/>
  <c r="H711" i="2"/>
  <c r="J711" i="2"/>
  <c r="L711" i="2"/>
  <c r="M711" i="2"/>
  <c r="O711" i="2"/>
  <c r="N711" i="2" s="1"/>
  <c r="F712" i="2"/>
  <c r="H712" i="2"/>
  <c r="J712" i="2"/>
  <c r="L712" i="2"/>
  <c r="O712" i="2" s="1"/>
  <c r="M712" i="2"/>
  <c r="N712" i="2" s="1"/>
  <c r="F713" i="2"/>
  <c r="H713" i="2"/>
  <c r="J713" i="2"/>
  <c r="L713" i="2"/>
  <c r="M713" i="2"/>
  <c r="O713" i="2"/>
  <c r="N713" i="2" s="1"/>
  <c r="F717" i="2"/>
  <c r="H717" i="2"/>
  <c r="M717" i="2" s="1"/>
  <c r="J717" i="2"/>
  <c r="L717" i="2"/>
  <c r="O717" i="2" s="1"/>
  <c r="F718" i="2"/>
  <c r="H718" i="2"/>
  <c r="M718" i="2" s="1"/>
  <c r="J718" i="2"/>
  <c r="L718" i="2"/>
  <c r="O718" i="2"/>
  <c r="N718" i="2" s="1"/>
  <c r="F719" i="2"/>
  <c r="H719" i="2"/>
  <c r="J719" i="2"/>
  <c r="L719" i="2"/>
  <c r="O719" i="2" s="1"/>
  <c r="M719" i="2"/>
  <c r="N719" i="2" s="1"/>
  <c r="F720" i="2"/>
  <c r="H720" i="2"/>
  <c r="M720" i="2" s="1"/>
  <c r="J720" i="2"/>
  <c r="L720" i="2" s="1"/>
  <c r="O720" i="2" s="1"/>
  <c r="F721" i="2"/>
  <c r="H721" i="2"/>
  <c r="J721" i="2"/>
  <c r="L721" i="2"/>
  <c r="M721" i="2"/>
  <c r="O721" i="2"/>
  <c r="N721" i="2" s="1"/>
  <c r="F722" i="2"/>
  <c r="H722" i="2"/>
  <c r="J722" i="2"/>
  <c r="L722" i="2"/>
  <c r="O722" i="2" s="1"/>
  <c r="M722" i="2"/>
  <c r="N722" i="2"/>
  <c r="F726" i="2"/>
  <c r="H726" i="2" s="1"/>
  <c r="J726" i="2"/>
  <c r="L726" i="2"/>
  <c r="M726" i="2"/>
  <c r="O726" i="2"/>
  <c r="N726" i="2" s="1"/>
  <c r="F727" i="2"/>
  <c r="H727" i="2"/>
  <c r="J727" i="2"/>
  <c r="L727" i="2"/>
  <c r="M727" i="2"/>
  <c r="O727" i="2"/>
  <c r="N727" i="2" s="1"/>
  <c r="F728" i="2"/>
  <c r="H728" i="2" s="1"/>
  <c r="M728" i="2" s="1"/>
  <c r="N728" i="2" s="1"/>
  <c r="J728" i="2"/>
  <c r="L728" i="2"/>
  <c r="O728" i="2"/>
  <c r="F729" i="2"/>
  <c r="H729" i="2"/>
  <c r="J729" i="2"/>
  <c r="L729" i="2"/>
  <c r="M729" i="2"/>
  <c r="O729" i="2"/>
  <c r="N729" i="2" s="1"/>
  <c r="F730" i="2"/>
  <c r="H730" i="2"/>
  <c r="J730" i="2"/>
  <c r="L730" i="2"/>
  <c r="M730" i="2"/>
  <c r="O730" i="2"/>
  <c r="F731" i="2"/>
  <c r="H731" i="2" s="1"/>
  <c r="M731" i="2" s="1"/>
  <c r="J731" i="2"/>
  <c r="L731" i="2" s="1"/>
  <c r="O731" i="2" s="1"/>
  <c r="F735" i="2"/>
  <c r="H735" i="2"/>
  <c r="J735" i="2"/>
  <c r="L735" i="2"/>
  <c r="M735" i="2"/>
  <c r="O735" i="2"/>
  <c r="N735" i="2" s="1"/>
  <c r="F736" i="2"/>
  <c r="H736" i="2"/>
  <c r="J736" i="2"/>
  <c r="L736" i="2" s="1"/>
  <c r="M736" i="2"/>
  <c r="O736" i="2"/>
  <c r="N736" i="2" s="1"/>
  <c r="F737" i="2"/>
  <c r="H737" i="2"/>
  <c r="M737" i="2" s="1"/>
  <c r="J737" i="2"/>
  <c r="L737" i="2" s="1"/>
  <c r="O737" i="2" s="1"/>
  <c r="F738" i="2"/>
  <c r="H738" i="2"/>
  <c r="J738" i="2"/>
  <c r="L738" i="2"/>
  <c r="M738" i="2"/>
  <c r="O738" i="2"/>
  <c r="N738" i="2" s="1"/>
  <c r="F739" i="2"/>
  <c r="H739" i="2"/>
  <c r="J739" i="2"/>
  <c r="L739" i="2"/>
  <c r="M739" i="2"/>
  <c r="O739" i="2"/>
  <c r="N739" i="2" s="1"/>
  <c r="F740" i="2"/>
  <c r="H740" i="2"/>
  <c r="J740" i="2"/>
  <c r="L740" i="2"/>
  <c r="O740" i="2" s="1"/>
  <c r="M740" i="2"/>
  <c r="N740" i="2" s="1"/>
  <c r="F744" i="2"/>
  <c r="H744" i="2"/>
  <c r="J744" i="2"/>
  <c r="L744" i="2"/>
  <c r="M744" i="2"/>
  <c r="O744" i="2"/>
  <c r="N744" i="2" s="1"/>
  <c r="F745" i="2"/>
  <c r="H745" i="2"/>
  <c r="M745" i="2" s="1"/>
  <c r="J745" i="2"/>
  <c r="L745" i="2" s="1"/>
  <c r="O745" i="2" s="1"/>
  <c r="F746" i="2"/>
  <c r="H746" i="2"/>
  <c r="J746" i="2"/>
  <c r="L746" i="2"/>
  <c r="M746" i="2"/>
  <c r="O746" i="2"/>
  <c r="N746" i="2" s="1"/>
  <c r="F747" i="2"/>
  <c r="H747" i="2"/>
  <c r="J747" i="2"/>
  <c r="L747" i="2"/>
  <c r="M747" i="2"/>
  <c r="O747" i="2"/>
  <c r="N747" i="2" s="1"/>
  <c r="F748" i="2"/>
  <c r="H748" i="2"/>
  <c r="M748" i="2" s="1"/>
  <c r="J748" i="2"/>
  <c r="L748" i="2" s="1"/>
  <c r="O748" i="2" s="1"/>
  <c r="F749" i="2"/>
  <c r="H749" i="2"/>
  <c r="J749" i="2"/>
  <c r="L749" i="2"/>
  <c r="M749" i="2"/>
  <c r="O749" i="2"/>
  <c r="N749" i="2" s="1"/>
  <c r="F753" i="2"/>
  <c r="H753" i="2"/>
  <c r="J753" i="2"/>
  <c r="L753" i="2" s="1"/>
  <c r="M753" i="2"/>
  <c r="O753" i="2"/>
  <c r="N753" i="2" s="1"/>
  <c r="F754" i="2"/>
  <c r="H754" i="2" s="1"/>
  <c r="M754" i="2" s="1"/>
  <c r="N754" i="2" s="1"/>
  <c r="J754" i="2"/>
  <c r="L754" i="2"/>
  <c r="O754" i="2"/>
  <c r="F755" i="2"/>
  <c r="H755" i="2"/>
  <c r="M755" i="2" s="1"/>
  <c r="N755" i="2" s="1"/>
  <c r="J755" i="2"/>
  <c r="L755" i="2"/>
  <c r="O755" i="2"/>
  <c r="F756" i="2"/>
  <c r="H756" i="2"/>
  <c r="M756" i="2" s="1"/>
  <c r="N756" i="2" s="1"/>
  <c r="J756" i="2"/>
  <c r="L756" i="2" s="1"/>
  <c r="O756" i="2"/>
  <c r="F757" i="2"/>
  <c r="H757" i="2"/>
  <c r="J757" i="2"/>
  <c r="L757" i="2"/>
  <c r="M757" i="2"/>
  <c r="O757" i="2"/>
  <c r="N757" i="2" s="1"/>
  <c r="F758" i="2"/>
  <c r="H758" i="2"/>
  <c r="J758" i="2"/>
  <c r="L758" i="2"/>
  <c r="M758" i="2"/>
  <c r="O758" i="2"/>
  <c r="N758" i="2" s="1"/>
  <c r="F762" i="2"/>
  <c r="H762" i="2"/>
  <c r="M762" i="2" s="1"/>
  <c r="J762" i="2"/>
  <c r="L762" i="2" s="1"/>
  <c r="O762" i="2" s="1"/>
  <c r="F763" i="2"/>
  <c r="H763" i="2"/>
  <c r="M763" i="2" s="1"/>
  <c r="N763" i="2" s="1"/>
  <c r="J763" i="2"/>
  <c r="L763" i="2"/>
  <c r="O763" i="2"/>
  <c r="F764" i="2"/>
  <c r="H764" i="2"/>
  <c r="J764" i="2"/>
  <c r="L764" i="2"/>
  <c r="M764" i="2"/>
  <c r="O764" i="2"/>
  <c r="N764" i="2" s="1"/>
  <c r="F765" i="2"/>
  <c r="H765" i="2"/>
  <c r="M765" i="2" s="1"/>
  <c r="J765" i="2"/>
  <c r="L765" i="2"/>
  <c r="N765" i="2"/>
  <c r="O765" i="2"/>
  <c r="F766" i="2"/>
  <c r="H766" i="2"/>
  <c r="J766" i="2"/>
  <c r="L766" i="2"/>
  <c r="M766" i="2"/>
  <c r="O766" i="2"/>
  <c r="N766" i="2" s="1"/>
  <c r="F767" i="2"/>
  <c r="H767" i="2"/>
  <c r="M767" i="2" s="1"/>
  <c r="J767" i="2"/>
  <c r="L767" i="2" s="1"/>
  <c r="O767" i="2" s="1"/>
  <c r="F771" i="2"/>
  <c r="H771" i="2" s="1"/>
  <c r="M771" i="2" s="1"/>
  <c r="J771" i="2"/>
  <c r="L771" i="2" s="1"/>
  <c r="O771" i="2" s="1"/>
  <c r="F772" i="2"/>
  <c r="H772" i="2"/>
  <c r="J772" i="2"/>
  <c r="L772" i="2"/>
  <c r="M772" i="2"/>
  <c r="O772" i="2"/>
  <c r="N772" i="2" s="1"/>
  <c r="F773" i="2"/>
  <c r="H773" i="2" s="1"/>
  <c r="J773" i="2"/>
  <c r="L773" i="2"/>
  <c r="M773" i="2"/>
  <c r="O773" i="2"/>
  <c r="N773" i="2" s="1"/>
  <c r="F774" i="2"/>
  <c r="H774" i="2"/>
  <c r="J774" i="2"/>
  <c r="L774" i="2"/>
  <c r="M774" i="2"/>
  <c r="O774" i="2"/>
  <c r="N774" i="2" s="1"/>
  <c r="F775" i="2"/>
  <c r="H775" i="2" s="1"/>
  <c r="M775" i="2" s="1"/>
  <c r="N775" i="2" s="1"/>
  <c r="J775" i="2"/>
  <c r="L775" i="2"/>
  <c r="O775" i="2"/>
  <c r="F776" i="2"/>
  <c r="H776" i="2" s="1"/>
  <c r="M776" i="2" s="1"/>
  <c r="N776" i="2" s="1"/>
  <c r="J776" i="2"/>
  <c r="L776" i="2" s="1"/>
  <c r="O776" i="2" s="1"/>
  <c r="F780" i="2"/>
  <c r="H780" i="2"/>
  <c r="J780" i="2"/>
  <c r="L780" i="2"/>
  <c r="M780" i="2"/>
  <c r="O780" i="2"/>
  <c r="F781" i="2"/>
  <c r="H781" i="2"/>
  <c r="J781" i="2"/>
  <c r="L781" i="2"/>
  <c r="M781" i="2"/>
  <c r="O781" i="2"/>
  <c r="N781" i="2" s="1"/>
  <c r="F782" i="2"/>
  <c r="H782" i="2"/>
  <c r="J782" i="2"/>
  <c r="L782" i="2"/>
  <c r="M782" i="2"/>
  <c r="O782" i="2"/>
  <c r="N782" i="2" s="1"/>
  <c r="F783" i="2"/>
  <c r="H783" i="2"/>
  <c r="J783" i="2"/>
  <c r="L783" i="2"/>
  <c r="O783" i="2" s="1"/>
  <c r="M783" i="2"/>
  <c r="N783" i="2" s="1"/>
  <c r="F784" i="2"/>
  <c r="H784" i="2" s="1"/>
  <c r="M784" i="2" s="1"/>
  <c r="J784" i="2"/>
  <c r="L784" i="2" s="1"/>
  <c r="O784" i="2" s="1"/>
  <c r="F785" i="2"/>
  <c r="H785" i="2"/>
  <c r="J785" i="2"/>
  <c r="L785" i="2"/>
  <c r="M785" i="2"/>
  <c r="O785" i="2"/>
  <c r="N785" i="2" s="1"/>
  <c r="F789" i="2"/>
  <c r="H789" i="2"/>
  <c r="J789" i="2"/>
  <c r="L789" i="2"/>
  <c r="M789" i="2"/>
  <c r="O789" i="2"/>
  <c r="N789" i="2" s="1"/>
  <c r="F790" i="2"/>
  <c r="H790" i="2"/>
  <c r="J790" i="2"/>
  <c r="L790" i="2"/>
  <c r="M790" i="2"/>
  <c r="O790" i="2"/>
  <c r="N790" i="2" s="1"/>
  <c r="F791" i="2"/>
  <c r="H791" i="2"/>
  <c r="J791" i="2"/>
  <c r="L791" i="2"/>
  <c r="M791" i="2"/>
  <c r="O791" i="2"/>
  <c r="F792" i="2"/>
  <c r="H792" i="2"/>
  <c r="M792" i="2" s="1"/>
  <c r="N792" i="2" s="1"/>
  <c r="J792" i="2"/>
  <c r="L792" i="2"/>
  <c r="O792" i="2" s="1"/>
  <c r="F793" i="2"/>
  <c r="H793" i="2"/>
  <c r="J793" i="2"/>
  <c r="L793" i="2"/>
  <c r="M793" i="2"/>
  <c r="O793" i="2"/>
  <c r="N793" i="2" s="1"/>
  <c r="F794" i="2"/>
  <c r="H794" i="2"/>
  <c r="J794" i="2"/>
  <c r="L794" i="2"/>
  <c r="M794" i="2"/>
  <c r="O794" i="2"/>
  <c r="N794" i="2" s="1"/>
  <c r="F798" i="2"/>
  <c r="H798" i="2"/>
  <c r="J798" i="2"/>
  <c r="L798" i="2"/>
  <c r="M798" i="2"/>
  <c r="O798" i="2"/>
  <c r="N798" i="2" s="1"/>
  <c r="F799" i="2"/>
  <c r="H799" i="2"/>
  <c r="J799" i="2"/>
  <c r="L799" i="2" s="1"/>
  <c r="M799" i="2"/>
  <c r="O799" i="2"/>
  <c r="N799" i="2" s="1"/>
  <c r="F800" i="2"/>
  <c r="H800" i="2" s="1"/>
  <c r="M800" i="2" s="1"/>
  <c r="N800" i="2" s="1"/>
  <c r="J800" i="2"/>
  <c r="L800" i="2" s="1"/>
  <c r="O800" i="2"/>
  <c r="F801" i="2"/>
  <c r="H801" i="2"/>
  <c r="M801" i="2" s="1"/>
  <c r="N801" i="2" s="1"/>
  <c r="J801" i="2"/>
  <c r="L801" i="2"/>
  <c r="O801" i="2"/>
  <c r="F802" i="2"/>
  <c r="H802" i="2"/>
  <c r="J802" i="2"/>
  <c r="L802" i="2"/>
  <c r="M802" i="2"/>
  <c r="O802" i="2"/>
  <c r="N802" i="2" s="1"/>
  <c r="F803" i="2"/>
  <c r="H803" i="2"/>
  <c r="J803" i="2"/>
  <c r="L803" i="2"/>
  <c r="M803" i="2"/>
  <c r="O803" i="2"/>
  <c r="N803" i="2" s="1"/>
  <c r="F807" i="2"/>
  <c r="H807" i="2" s="1"/>
  <c r="J807" i="2"/>
  <c r="L807" i="2"/>
  <c r="M807" i="2"/>
  <c r="O807" i="2"/>
  <c r="N807" i="2" s="1"/>
  <c r="F808" i="2"/>
  <c r="H808" i="2"/>
  <c r="J808" i="2"/>
  <c r="L808" i="2"/>
  <c r="M808" i="2"/>
  <c r="O808" i="2"/>
  <c r="N808" i="2" s="1"/>
  <c r="F809" i="2"/>
  <c r="H809" i="2" s="1"/>
  <c r="M809" i="2" s="1"/>
  <c r="J809" i="2"/>
  <c r="L809" i="2" s="1"/>
  <c r="O809" i="2" s="1"/>
  <c r="F810" i="2"/>
  <c r="H810" i="2"/>
  <c r="J810" i="2"/>
  <c r="L810" i="2"/>
  <c r="M810" i="2"/>
  <c r="O810" i="2"/>
  <c r="N810" i="2" s="1"/>
  <c r="F811" i="2"/>
  <c r="H811" i="2" s="1"/>
  <c r="M811" i="2" s="1"/>
  <c r="N811" i="2" s="1"/>
  <c r="J811" i="2"/>
  <c r="L811" i="2"/>
  <c r="O811" i="2"/>
  <c r="F812" i="2"/>
  <c r="H812" i="2"/>
  <c r="M812" i="2" s="1"/>
  <c r="J812" i="2"/>
  <c r="L812" i="2"/>
  <c r="O812" i="2" s="1"/>
  <c r="N812" i="2"/>
  <c r="F816" i="2"/>
  <c r="H816" i="2"/>
  <c r="J816" i="2"/>
  <c r="L816" i="2"/>
  <c r="M816" i="2"/>
  <c r="O816" i="2"/>
  <c r="N816" i="2" s="1"/>
  <c r="F817" i="2"/>
  <c r="H817" i="2" s="1"/>
  <c r="M817" i="2" s="1"/>
  <c r="J817" i="2"/>
  <c r="L817" i="2" s="1"/>
  <c r="O817" i="2" s="1"/>
  <c r="F818" i="2"/>
  <c r="H818" i="2"/>
  <c r="J818" i="2"/>
  <c r="L818" i="2"/>
  <c r="M818" i="2"/>
  <c r="O818" i="2"/>
  <c r="N818" i="2" s="1"/>
  <c r="F819" i="2"/>
  <c r="H819" i="2"/>
  <c r="J819" i="2"/>
  <c r="L819" i="2" s="1"/>
  <c r="M819" i="2"/>
  <c r="O819" i="2"/>
  <c r="N819" i="2" s="1"/>
  <c r="F820" i="2"/>
  <c r="H820" i="2" s="1"/>
  <c r="M820" i="2" s="1"/>
  <c r="N820" i="2" s="1"/>
  <c r="J820" i="2"/>
  <c r="L820" i="2"/>
  <c r="O820" i="2" s="1"/>
  <c r="F821" i="2"/>
  <c r="H821" i="2"/>
  <c r="J821" i="2"/>
  <c r="L821" i="2"/>
  <c r="M821" i="2"/>
  <c r="O821" i="2"/>
  <c r="N821" i="2" s="1"/>
  <c r="F825" i="2"/>
  <c r="H825" i="2"/>
  <c r="M825" i="2" s="1"/>
  <c r="N825" i="2" s="1"/>
  <c r="J825" i="2"/>
  <c r="L825" i="2"/>
  <c r="O825" i="2"/>
  <c r="F826" i="2"/>
  <c r="H826" i="2"/>
  <c r="J826" i="2"/>
  <c r="L826" i="2"/>
  <c r="M826" i="2"/>
  <c r="O826" i="2"/>
  <c r="N826" i="2" s="1"/>
  <c r="F827" i="2"/>
  <c r="H827" i="2"/>
  <c r="J827" i="2"/>
  <c r="L827" i="2"/>
  <c r="M827" i="2"/>
  <c r="O827" i="2"/>
  <c r="N827" i="2" s="1"/>
  <c r="F828" i="2"/>
  <c r="H828" i="2" s="1"/>
  <c r="M828" i="2" s="1"/>
  <c r="N828" i="2" s="1"/>
  <c r="J828" i="2"/>
  <c r="L828" i="2"/>
  <c r="O828" i="2"/>
  <c r="F829" i="2"/>
  <c r="H829" i="2" s="1"/>
  <c r="M829" i="2" s="1"/>
  <c r="N829" i="2" s="1"/>
  <c r="J829" i="2"/>
  <c r="L829" i="2"/>
  <c r="O829" i="2"/>
  <c r="F830" i="2"/>
  <c r="H830" i="2"/>
  <c r="M830" i="2" s="1"/>
  <c r="N830" i="2" s="1"/>
  <c r="J830" i="2"/>
  <c r="L830" i="2"/>
  <c r="O830" i="2"/>
  <c r="F834" i="2"/>
  <c r="H834" i="2"/>
  <c r="M834" i="2" s="1"/>
  <c r="J834" i="2"/>
  <c r="L834" i="2"/>
  <c r="O834" i="2"/>
  <c r="N834" i="2" s="1"/>
  <c r="F835" i="2"/>
  <c r="H835" i="2"/>
  <c r="J835" i="2"/>
  <c r="L835" i="2"/>
  <c r="O835" i="2" s="1"/>
  <c r="M835" i="2"/>
  <c r="N835" i="2"/>
  <c r="F836" i="2"/>
  <c r="H836" i="2"/>
  <c r="J836" i="2"/>
  <c r="L836" i="2"/>
  <c r="M836" i="2"/>
  <c r="O836" i="2"/>
  <c r="N836" i="2" s="1"/>
  <c r="F837" i="2"/>
  <c r="H837" i="2" s="1"/>
  <c r="M837" i="2" s="1"/>
  <c r="J837" i="2"/>
  <c r="L837" i="2" s="1"/>
  <c r="O837" i="2" s="1"/>
  <c r="F838" i="2"/>
  <c r="H838" i="2" s="1"/>
  <c r="M838" i="2" s="1"/>
  <c r="J838" i="2"/>
  <c r="L838" i="2" s="1"/>
  <c r="O838" i="2" s="1"/>
  <c r="F839" i="2"/>
  <c r="H839" i="2" s="1"/>
  <c r="J839" i="2"/>
  <c r="L839" i="2"/>
  <c r="M839" i="2"/>
  <c r="O839" i="2"/>
  <c r="N839" i="2" s="1"/>
  <c r="F843" i="2"/>
  <c r="H843" i="2"/>
  <c r="M843" i="2" s="1"/>
  <c r="J843" i="2"/>
  <c r="L843" i="2"/>
  <c r="O843" i="2" s="1"/>
  <c r="F844" i="2"/>
  <c r="H844" i="2"/>
  <c r="J844" i="2"/>
  <c r="L844" i="2"/>
  <c r="M844" i="2"/>
  <c r="O844" i="2"/>
  <c r="N844" i="2" s="1"/>
  <c r="F845" i="2"/>
  <c r="H845" i="2"/>
  <c r="J845" i="2"/>
  <c r="L845" i="2"/>
  <c r="M845" i="2"/>
  <c r="O845" i="2"/>
  <c r="N845" i="2" s="1"/>
  <c r="F846" i="2"/>
  <c r="H846" i="2" s="1"/>
  <c r="M846" i="2" s="1"/>
  <c r="N846" i="2" s="1"/>
  <c r="J846" i="2"/>
  <c r="L846" i="2"/>
  <c r="O846" i="2"/>
  <c r="F847" i="2"/>
  <c r="H847" i="2"/>
  <c r="J847" i="2"/>
  <c r="L847" i="2"/>
  <c r="M847" i="2"/>
  <c r="O847" i="2"/>
  <c r="N847" i="2" s="1"/>
  <c r="F848" i="2"/>
  <c r="H848" i="2"/>
  <c r="M848" i="2" s="1"/>
  <c r="N848" i="2" s="1"/>
  <c r="J848" i="2"/>
  <c r="L848" i="2"/>
  <c r="O848" i="2"/>
  <c r="F852" i="2"/>
  <c r="H852" i="2"/>
  <c r="J852" i="2"/>
  <c r="L852" i="2"/>
  <c r="M852" i="2"/>
  <c r="O852" i="2"/>
  <c r="N852" i="2" s="1"/>
  <c r="F853" i="2"/>
  <c r="H853" i="2"/>
  <c r="J853" i="2"/>
  <c r="L853" i="2"/>
  <c r="M853" i="2"/>
  <c r="O853" i="2"/>
  <c r="N853" i="2" s="1"/>
  <c r="F854" i="2"/>
  <c r="H854" i="2"/>
  <c r="M854" i="2" s="1"/>
  <c r="N854" i="2" s="1"/>
  <c r="J854" i="2"/>
  <c r="L854" i="2"/>
  <c r="O854" i="2"/>
  <c r="F855" i="2"/>
  <c r="H855" i="2"/>
  <c r="J855" i="2"/>
  <c r="L855" i="2"/>
  <c r="O855" i="2" s="1"/>
  <c r="M855" i="2"/>
  <c r="N855" i="2"/>
  <c r="F856" i="2"/>
  <c r="H856" i="2"/>
  <c r="J856" i="2"/>
  <c r="L856" i="2"/>
  <c r="M856" i="2"/>
  <c r="O856" i="2"/>
  <c r="N856" i="2" s="1"/>
  <c r="F857" i="2"/>
  <c r="H857" i="2"/>
  <c r="J857" i="2"/>
  <c r="L857" i="2"/>
  <c r="M857" i="2"/>
  <c r="O857" i="2"/>
  <c r="N857" i="2" s="1"/>
  <c r="F861" i="2"/>
  <c r="H861" i="2"/>
  <c r="J861" i="2"/>
  <c r="L861" i="2"/>
  <c r="O861" i="2" s="1"/>
  <c r="M861" i="2"/>
  <c r="N861" i="2"/>
  <c r="F862" i="2"/>
  <c r="H862" i="2" s="1"/>
  <c r="M862" i="2" s="1"/>
  <c r="J862" i="2"/>
  <c r="L862" i="2" s="1"/>
  <c r="O862" i="2" s="1"/>
  <c r="F863" i="2"/>
  <c r="H863" i="2"/>
  <c r="M863" i="2" s="1"/>
  <c r="J863" i="2"/>
  <c r="L863" i="2"/>
  <c r="O863" i="2" s="1"/>
  <c r="F864" i="2"/>
  <c r="H864" i="2"/>
  <c r="J864" i="2"/>
  <c r="L864" i="2"/>
  <c r="M864" i="2"/>
  <c r="O864" i="2"/>
  <c r="N864" i="2" s="1"/>
  <c r="F865" i="2"/>
  <c r="H865" i="2"/>
  <c r="J865" i="2"/>
  <c r="L865" i="2"/>
  <c r="M865" i="2"/>
  <c r="O865" i="2"/>
  <c r="N865" i="2" s="1"/>
  <c r="F866" i="2"/>
  <c r="H866" i="2"/>
  <c r="J866" i="2"/>
  <c r="L866" i="2" s="1"/>
  <c r="M866" i="2"/>
  <c r="O866" i="2"/>
  <c r="N866" i="2" s="1"/>
  <c r="F870" i="2"/>
  <c r="H870" i="2"/>
  <c r="M870" i="2" s="1"/>
  <c r="N870" i="2" s="1"/>
  <c r="J870" i="2"/>
  <c r="L870" i="2"/>
  <c r="O870" i="2"/>
  <c r="F871" i="2"/>
  <c r="H871" i="2"/>
  <c r="M871" i="2" s="1"/>
  <c r="N871" i="2" s="1"/>
  <c r="J871" i="2"/>
  <c r="L871" i="2"/>
  <c r="O871" i="2"/>
  <c r="F872" i="2"/>
  <c r="H872" i="2"/>
  <c r="J872" i="2"/>
  <c r="L872" i="2"/>
  <c r="M872" i="2"/>
  <c r="O872" i="2"/>
  <c r="N872" i="2" s="1"/>
  <c r="F873" i="2"/>
  <c r="H873" i="2"/>
  <c r="J873" i="2"/>
  <c r="L873" i="2"/>
  <c r="M873" i="2"/>
  <c r="O873" i="2"/>
  <c r="N873" i="2" s="1"/>
  <c r="F874" i="2"/>
  <c r="H874" i="2"/>
  <c r="J874" i="2"/>
  <c r="L874" i="2"/>
  <c r="M874" i="2"/>
  <c r="O874" i="2"/>
  <c r="N874" i="2" s="1"/>
  <c r="F875" i="2"/>
  <c r="H875" i="2" s="1"/>
  <c r="M875" i="2" s="1"/>
  <c r="N875" i="2" s="1"/>
  <c r="J875" i="2"/>
  <c r="L875" i="2" s="1"/>
  <c r="O875" i="2" s="1"/>
  <c r="F879" i="2"/>
  <c r="H879" i="2"/>
  <c r="J879" i="2"/>
  <c r="L879" i="2"/>
  <c r="M879" i="2"/>
  <c r="O879" i="2"/>
  <c r="N879" i="2" s="1"/>
  <c r="F880" i="2"/>
  <c r="H880" i="2"/>
  <c r="M880" i="2" s="1"/>
  <c r="J880" i="2"/>
  <c r="L880" i="2" s="1"/>
  <c r="O880" i="2" s="1"/>
  <c r="F881" i="2"/>
  <c r="H881" i="2"/>
  <c r="M881" i="2" s="1"/>
  <c r="J881" i="2"/>
  <c r="L881" i="2"/>
  <c r="O881" i="2"/>
  <c r="N881" i="2" s="1"/>
  <c r="F882" i="2"/>
  <c r="H882" i="2"/>
  <c r="J882" i="2"/>
  <c r="L882" i="2"/>
  <c r="M882" i="2"/>
  <c r="O882" i="2"/>
  <c r="N882" i="2" s="1"/>
  <c r="F883" i="2"/>
  <c r="H883" i="2"/>
  <c r="M883" i="2" s="1"/>
  <c r="J883" i="2"/>
  <c r="L883" i="2"/>
  <c r="O883" i="2" s="1"/>
  <c r="F884" i="2"/>
  <c r="H884" i="2"/>
  <c r="J884" i="2"/>
  <c r="L884" i="2"/>
  <c r="M884" i="2"/>
  <c r="O884" i="2"/>
  <c r="N884" i="2" s="1"/>
  <c r="F888" i="2"/>
  <c r="H888" i="2"/>
  <c r="J888" i="2"/>
  <c r="L888" i="2"/>
  <c r="O888" i="2" s="1"/>
  <c r="M888" i="2"/>
  <c r="N888" i="2" s="1"/>
  <c r="F889" i="2"/>
  <c r="H889" i="2" s="1"/>
  <c r="J889" i="2"/>
  <c r="L889" i="2"/>
  <c r="M889" i="2"/>
  <c r="O889" i="2"/>
  <c r="N889" i="2" s="1"/>
  <c r="F890" i="2"/>
  <c r="H890" i="2"/>
  <c r="J890" i="2"/>
  <c r="L890" i="2"/>
  <c r="M890" i="2"/>
  <c r="O890" i="2"/>
  <c r="N890" i="2" s="1"/>
  <c r="F891" i="2"/>
  <c r="H891" i="2" s="1"/>
  <c r="M891" i="2" s="1"/>
  <c r="N891" i="2" s="1"/>
  <c r="J891" i="2"/>
  <c r="L891" i="2"/>
  <c r="O891" i="2"/>
  <c r="F892" i="2"/>
  <c r="H892" i="2"/>
  <c r="J892" i="2"/>
  <c r="L892" i="2"/>
  <c r="M892" i="2"/>
  <c r="O892" i="2"/>
  <c r="N892" i="2" s="1"/>
  <c r="F893" i="2"/>
  <c r="H893" i="2"/>
  <c r="J893" i="2"/>
  <c r="L893" i="2"/>
  <c r="O893" i="2" s="1"/>
  <c r="N893" i="2" s="1"/>
  <c r="M893" i="2"/>
  <c r="F897" i="2"/>
  <c r="H897" i="2" s="1"/>
  <c r="M897" i="2" s="1"/>
  <c r="N897" i="2" s="1"/>
  <c r="J897" i="2"/>
  <c r="L897" i="2"/>
  <c r="O897" i="2"/>
  <c r="F898" i="2"/>
  <c r="H898" i="2"/>
  <c r="J898" i="2"/>
  <c r="L898" i="2"/>
  <c r="O898" i="2" s="1"/>
  <c r="M898" i="2"/>
  <c r="N898" i="2"/>
  <c r="F899" i="2"/>
  <c r="H899" i="2"/>
  <c r="J899" i="2"/>
  <c r="L899" i="2"/>
  <c r="M899" i="2"/>
  <c r="O899" i="2"/>
  <c r="N899" i="2" s="1"/>
  <c r="F900" i="2"/>
  <c r="H900" i="2"/>
  <c r="J900" i="2"/>
  <c r="L900" i="2"/>
  <c r="M900" i="2"/>
  <c r="O900" i="2"/>
  <c r="N900" i="2" s="1"/>
  <c r="F901" i="2"/>
  <c r="H901" i="2"/>
  <c r="J901" i="2"/>
  <c r="L901" i="2"/>
  <c r="M901" i="2"/>
  <c r="O901" i="2"/>
  <c r="N901" i="2" s="1"/>
  <c r="F902" i="2"/>
  <c r="H902" i="2" s="1"/>
  <c r="M902" i="2" s="1"/>
  <c r="N902" i="2" s="1"/>
  <c r="J902" i="2"/>
  <c r="L902" i="2"/>
  <c r="O902" i="2"/>
  <c r="F906" i="2"/>
  <c r="H906" i="2"/>
  <c r="M906" i="2" s="1"/>
  <c r="J906" i="2"/>
  <c r="L906" i="2" s="1"/>
  <c r="O906" i="2" s="1"/>
  <c r="F907" i="2"/>
  <c r="H907" i="2"/>
  <c r="J907" i="2"/>
  <c r="L907" i="2"/>
  <c r="M907" i="2"/>
  <c r="O907" i="2"/>
  <c r="N907" i="2" s="1"/>
  <c r="F908" i="2"/>
  <c r="H908" i="2"/>
  <c r="J908" i="2"/>
  <c r="L908" i="2"/>
  <c r="M908" i="2"/>
  <c r="O908" i="2"/>
  <c r="N908" i="2" s="1"/>
  <c r="F909" i="2"/>
  <c r="H909" i="2"/>
  <c r="J909" i="2"/>
  <c r="L909" i="2"/>
  <c r="M909" i="2"/>
  <c r="O909" i="2"/>
  <c r="N909" i="2" s="1"/>
  <c r="F910" i="2"/>
  <c r="H910" i="2"/>
  <c r="M910" i="2" s="1"/>
  <c r="J910" i="2"/>
  <c r="L910" i="2" s="1"/>
  <c r="O910" i="2" s="1"/>
  <c r="F911" i="2"/>
  <c r="H911" i="2"/>
  <c r="J911" i="2"/>
  <c r="L911" i="2"/>
  <c r="M911" i="2"/>
  <c r="O911" i="2"/>
  <c r="N911" i="2" s="1"/>
  <c r="F915" i="2"/>
  <c r="H915" i="2"/>
  <c r="J915" i="2"/>
  <c r="L915" i="2"/>
  <c r="M915" i="2"/>
  <c r="O915" i="2"/>
  <c r="N915" i="2" s="1"/>
  <c r="F916" i="2"/>
  <c r="H916" i="2"/>
  <c r="J916" i="2"/>
  <c r="L916" i="2"/>
  <c r="M916" i="2"/>
  <c r="O916" i="2"/>
  <c r="N916" i="2" s="1"/>
  <c r="F917" i="2"/>
  <c r="H917" i="2"/>
  <c r="J917" i="2"/>
  <c r="L917" i="2"/>
  <c r="M917" i="2"/>
  <c r="O917" i="2"/>
  <c r="N917" i="2" s="1"/>
  <c r="F918" i="2"/>
  <c r="H918" i="2"/>
  <c r="M918" i="2" s="1"/>
  <c r="J918" i="2"/>
  <c r="L918" i="2" s="1"/>
  <c r="O918" i="2" s="1"/>
  <c r="F919" i="2"/>
  <c r="H919" i="2"/>
  <c r="J919" i="2"/>
  <c r="L919" i="2"/>
  <c r="M919" i="2"/>
  <c r="O919" i="2"/>
  <c r="N919" i="2" s="1"/>
  <c r="F920" i="2"/>
  <c r="H920" i="2"/>
  <c r="J920" i="2"/>
  <c r="L920" i="2"/>
  <c r="M920" i="2"/>
  <c r="O920" i="2"/>
  <c r="N920" i="2" s="1"/>
  <c r="F924" i="2"/>
  <c r="H924" i="2"/>
  <c r="J924" i="2"/>
  <c r="L924" i="2"/>
  <c r="M924" i="2"/>
  <c r="O924" i="2"/>
  <c r="N924" i="2" s="1"/>
  <c r="F925" i="2"/>
  <c r="H925" i="2"/>
  <c r="J925" i="2"/>
  <c r="L925" i="2"/>
  <c r="M925" i="2"/>
  <c r="O925" i="2"/>
  <c r="N925" i="2" s="1"/>
  <c r="F926" i="2"/>
  <c r="H926" i="2" s="1"/>
  <c r="M926" i="2" s="1"/>
  <c r="N926" i="2" s="1"/>
  <c r="J926" i="2"/>
  <c r="L926" i="2"/>
  <c r="O926" i="2"/>
  <c r="F927" i="2"/>
  <c r="H927" i="2" s="1"/>
  <c r="M927" i="2" s="1"/>
  <c r="N927" i="2" s="1"/>
  <c r="J927" i="2"/>
  <c r="L927" i="2"/>
  <c r="O927" i="2"/>
  <c r="F928" i="2"/>
  <c r="H928" i="2"/>
  <c r="J928" i="2"/>
  <c r="L928" i="2"/>
  <c r="M928" i="2"/>
  <c r="O928" i="2"/>
  <c r="N928" i="2" s="1"/>
  <c r="F929" i="2"/>
  <c r="H929" i="2"/>
  <c r="J929" i="2"/>
  <c r="L929" i="2"/>
  <c r="M929" i="2"/>
  <c r="O929" i="2"/>
  <c r="N929" i="2" s="1"/>
  <c r="F933" i="2"/>
  <c r="H933" i="2"/>
  <c r="J933" i="2"/>
  <c r="L933" i="2"/>
  <c r="O933" i="2" s="1"/>
  <c r="M933" i="2"/>
  <c r="N933" i="2" s="1"/>
  <c r="F934" i="2"/>
  <c r="H934" i="2"/>
  <c r="J934" i="2"/>
  <c r="L934" i="2"/>
  <c r="M934" i="2"/>
  <c r="N934" i="2"/>
  <c r="O934" i="2"/>
  <c r="F935" i="2"/>
  <c r="H935" i="2" s="1"/>
  <c r="M935" i="2" s="1"/>
  <c r="N935" i="2" s="1"/>
  <c r="J935" i="2"/>
  <c r="L935" i="2"/>
  <c r="O935" i="2" s="1"/>
  <c r="F936" i="2"/>
  <c r="H936" i="2" s="1"/>
  <c r="M936" i="2" s="1"/>
  <c r="N936" i="2" s="1"/>
  <c r="J936" i="2"/>
  <c r="L936" i="2"/>
  <c r="O936" i="2"/>
  <c r="F937" i="2"/>
  <c r="H937" i="2"/>
  <c r="J937" i="2"/>
  <c r="L937" i="2"/>
  <c r="M937" i="2"/>
  <c r="O937" i="2"/>
  <c r="N937" i="2" s="1"/>
  <c r="F938" i="2"/>
  <c r="H938" i="2"/>
  <c r="M938" i="2" s="1"/>
  <c r="N938" i="2" s="1"/>
  <c r="J938" i="2"/>
  <c r="L938" i="2"/>
  <c r="O938" i="2"/>
  <c r="F942" i="2"/>
  <c r="H942" i="2"/>
  <c r="J942" i="2"/>
  <c r="L942" i="2"/>
  <c r="M942" i="2"/>
  <c r="O942" i="2"/>
  <c r="N942" i="2" s="1"/>
  <c r="F943" i="2"/>
  <c r="H943" i="2"/>
  <c r="M943" i="2" s="1"/>
  <c r="J943" i="2"/>
  <c r="L943" i="2" s="1"/>
  <c r="O943" i="2" s="1"/>
  <c r="F944" i="2"/>
  <c r="H944" i="2"/>
  <c r="J944" i="2"/>
  <c r="L944" i="2"/>
  <c r="M944" i="2"/>
  <c r="O944" i="2"/>
  <c r="N944" i="2" s="1"/>
  <c r="F945" i="2"/>
  <c r="H945" i="2"/>
  <c r="J945" i="2"/>
  <c r="L945" i="2"/>
  <c r="O945" i="2" s="1"/>
  <c r="M945" i="2"/>
  <c r="N945" i="2"/>
  <c r="F946" i="2"/>
  <c r="H946" i="2"/>
  <c r="J946" i="2"/>
  <c r="L946" i="2"/>
  <c r="M946" i="2"/>
  <c r="N946" i="2"/>
  <c r="O946" i="2"/>
  <c r="F947" i="2"/>
  <c r="H947" i="2"/>
  <c r="J947" i="2"/>
  <c r="L947" i="2"/>
  <c r="M947" i="2"/>
  <c r="O947" i="2"/>
  <c r="N947" i="2" s="1"/>
  <c r="F951" i="2"/>
  <c r="H951" i="2"/>
  <c r="M951" i="2" s="1"/>
  <c r="J951" i="2"/>
  <c r="L951" i="2" s="1"/>
  <c r="O951" i="2" s="1"/>
  <c r="F952" i="2"/>
  <c r="H952" i="2"/>
  <c r="J952" i="2"/>
  <c r="L952" i="2"/>
  <c r="M952" i="2"/>
  <c r="O952" i="2"/>
  <c r="N952" i="2" s="1"/>
  <c r="F953" i="2"/>
  <c r="H953" i="2"/>
  <c r="M953" i="2" s="1"/>
  <c r="J953" i="2"/>
  <c r="L953" i="2" s="1"/>
  <c r="O953" i="2" s="1"/>
  <c r="F954" i="2"/>
  <c r="H954" i="2"/>
  <c r="J954" i="2"/>
  <c r="L954" i="2"/>
  <c r="M954" i="2"/>
  <c r="O954" i="2"/>
  <c r="N954" i="2" s="1"/>
  <c r="F955" i="2"/>
  <c r="H955" i="2"/>
  <c r="J955" i="2"/>
  <c r="L955" i="2"/>
  <c r="M955" i="2"/>
  <c r="N955" i="2"/>
  <c r="O955" i="2"/>
  <c r="F956" i="2"/>
  <c r="H956" i="2"/>
  <c r="M956" i="2" s="1"/>
  <c r="J956" i="2"/>
  <c r="L956" i="2"/>
  <c r="O956" i="2" s="1"/>
  <c r="F960" i="2"/>
  <c r="H960" i="2"/>
  <c r="J960" i="2"/>
  <c r="L960" i="2"/>
  <c r="M960" i="2"/>
  <c r="O960" i="2"/>
  <c r="N960" i="2" s="1"/>
  <c r="F961" i="2"/>
  <c r="H961" i="2"/>
  <c r="J961" i="2"/>
  <c r="L961" i="2"/>
  <c r="M961" i="2"/>
  <c r="O961" i="2"/>
  <c r="N961" i="2" s="1"/>
  <c r="F962" i="2"/>
  <c r="H962" i="2"/>
  <c r="J962" i="2"/>
  <c r="L962" i="2"/>
  <c r="M962" i="2"/>
  <c r="O962" i="2"/>
  <c r="N962" i="2" s="1"/>
  <c r="F963" i="2"/>
  <c r="H963" i="2"/>
  <c r="J963" i="2"/>
  <c r="L963" i="2"/>
  <c r="M963" i="2"/>
  <c r="O963" i="2"/>
  <c r="N963" i="2" s="1"/>
  <c r="F964" i="2"/>
  <c r="H964" i="2"/>
  <c r="M964" i="2" s="1"/>
  <c r="N964" i="2" s="1"/>
  <c r="J964" i="2"/>
  <c r="L964" i="2"/>
  <c r="O964" i="2"/>
  <c r="F965" i="2"/>
  <c r="H965" i="2"/>
  <c r="M965" i="2" s="1"/>
  <c r="J965" i="2"/>
  <c r="L965" i="2"/>
  <c r="O965" i="2" s="1"/>
  <c r="F969" i="2"/>
  <c r="H969" i="2"/>
  <c r="J969" i="2"/>
  <c r="L969" i="2"/>
  <c r="M969" i="2"/>
  <c r="O969" i="2"/>
  <c r="N969" i="2" s="1"/>
  <c r="F970" i="2"/>
  <c r="H970" i="2"/>
  <c r="J970" i="2"/>
  <c r="L970" i="2"/>
  <c r="M970" i="2"/>
  <c r="O970" i="2"/>
  <c r="N970" i="2" s="1"/>
  <c r="F971" i="2"/>
  <c r="H971" i="2"/>
  <c r="J971" i="2"/>
  <c r="L971" i="2"/>
  <c r="M971" i="2"/>
  <c r="O971" i="2"/>
  <c r="N971" i="2" s="1"/>
  <c r="F972" i="2"/>
  <c r="H972" i="2"/>
  <c r="M972" i="2" s="1"/>
  <c r="N972" i="2" s="1"/>
  <c r="J972" i="2"/>
  <c r="L972" i="2"/>
  <c r="O972" i="2"/>
  <c r="F973" i="2"/>
  <c r="H973" i="2" s="1"/>
  <c r="M973" i="2" s="1"/>
  <c r="N973" i="2" s="1"/>
  <c r="J973" i="2"/>
  <c r="L973" i="2"/>
  <c r="O973" i="2"/>
  <c r="F974" i="2"/>
  <c r="H974" i="2"/>
  <c r="J974" i="2"/>
  <c r="L974" i="2"/>
  <c r="O974" i="2" s="1"/>
  <c r="M974" i="2"/>
  <c r="N974" i="2" s="1"/>
  <c r="F978" i="2"/>
  <c r="H978" i="2"/>
  <c r="J978" i="2"/>
  <c r="L978" i="2"/>
  <c r="M978" i="2"/>
  <c r="O978" i="2"/>
  <c r="N978" i="2" s="1"/>
  <c r="F979" i="2"/>
  <c r="H979" i="2"/>
  <c r="J979" i="2"/>
  <c r="L979" i="2"/>
  <c r="M979" i="2"/>
  <c r="O979" i="2"/>
  <c r="N979" i="2" s="1"/>
  <c r="F980" i="2"/>
  <c r="H980" i="2"/>
  <c r="M980" i="2" s="1"/>
  <c r="N980" i="2" s="1"/>
  <c r="J980" i="2"/>
  <c r="L980" i="2"/>
  <c r="O980" i="2" s="1"/>
  <c r="F981" i="2"/>
  <c r="H981" i="2"/>
  <c r="J981" i="2"/>
  <c r="L981" i="2"/>
  <c r="M981" i="2"/>
  <c r="O981" i="2"/>
  <c r="N981" i="2" s="1"/>
  <c r="F982" i="2"/>
  <c r="H982" i="2"/>
  <c r="M982" i="2" s="1"/>
  <c r="N982" i="2" s="1"/>
  <c r="J982" i="2"/>
  <c r="L982" i="2"/>
  <c r="O982" i="2" s="1"/>
  <c r="F983" i="2"/>
  <c r="H983" i="2"/>
  <c r="J983" i="2"/>
  <c r="L983" i="2"/>
  <c r="M983" i="2"/>
  <c r="O983" i="2"/>
  <c r="N983" i="2" s="1"/>
  <c r="F987" i="2"/>
  <c r="H987" i="2"/>
  <c r="J987" i="2"/>
  <c r="L987" i="2"/>
  <c r="M987" i="2"/>
  <c r="O987" i="2"/>
  <c r="N987" i="2" s="1"/>
  <c r="F988" i="2"/>
  <c r="H988" i="2" s="1"/>
  <c r="M988" i="2" s="1"/>
  <c r="N988" i="2" s="1"/>
  <c r="J988" i="2"/>
  <c r="L988" i="2"/>
  <c r="O988" i="2"/>
  <c r="F989" i="2"/>
  <c r="H989" i="2"/>
  <c r="J989" i="2"/>
  <c r="L989" i="2"/>
  <c r="M989" i="2"/>
  <c r="O989" i="2"/>
  <c r="N989" i="2" s="1"/>
  <c r="F990" i="2"/>
  <c r="H990" i="2"/>
  <c r="J990" i="2"/>
  <c r="L990" i="2"/>
  <c r="O990" i="2" s="1"/>
  <c r="M990" i="2"/>
  <c r="N990" i="2"/>
  <c r="F991" i="2"/>
  <c r="H991" i="2" s="1"/>
  <c r="M991" i="2" s="1"/>
  <c r="N991" i="2" s="1"/>
  <c r="J991" i="2"/>
  <c r="L991" i="2"/>
  <c r="O991" i="2"/>
  <c r="F992" i="2"/>
  <c r="H992" i="2"/>
  <c r="J992" i="2"/>
  <c r="L992" i="2"/>
  <c r="O992" i="2" s="1"/>
  <c r="M992" i="2"/>
  <c r="N992" i="2"/>
  <c r="F996" i="2"/>
  <c r="H996" i="2"/>
  <c r="J996" i="2"/>
  <c r="L996" i="2"/>
  <c r="M996" i="2"/>
  <c r="O996" i="2"/>
  <c r="N996" i="2" s="1"/>
  <c r="F997" i="2"/>
  <c r="H997" i="2"/>
  <c r="J997" i="2"/>
  <c r="L997" i="2"/>
  <c r="M997" i="2"/>
  <c r="O997" i="2"/>
  <c r="N997" i="2" s="1"/>
  <c r="F998" i="2"/>
  <c r="H998" i="2"/>
  <c r="J998" i="2"/>
  <c r="L998" i="2"/>
  <c r="O998" i="2" s="1"/>
  <c r="M998" i="2"/>
  <c r="N998" i="2" s="1"/>
  <c r="F999" i="2"/>
  <c r="H999" i="2"/>
  <c r="J999" i="2"/>
  <c r="L999" i="2"/>
  <c r="M999" i="2"/>
  <c r="O999" i="2"/>
  <c r="N999" i="2" s="1"/>
  <c r="F1000" i="2"/>
  <c r="H1000" i="2"/>
  <c r="M1000" i="2" s="1"/>
  <c r="J1000" i="2"/>
  <c r="L1000" i="2" s="1"/>
  <c r="O1000" i="2" s="1"/>
  <c r="F1001" i="2"/>
  <c r="H1001" i="2"/>
  <c r="J1001" i="2"/>
  <c r="L1001" i="2"/>
  <c r="M1001" i="2"/>
  <c r="O1001" i="2"/>
  <c r="N1001" i="2" s="1"/>
  <c r="F1005" i="2"/>
  <c r="H1005" i="2"/>
  <c r="J1005" i="2"/>
  <c r="L1005" i="2"/>
  <c r="M1005" i="2"/>
  <c r="O1005" i="2"/>
  <c r="N1005" i="2" s="1"/>
  <c r="F1006" i="2"/>
  <c r="H1006" i="2"/>
  <c r="J1006" i="2"/>
  <c r="L1006" i="2"/>
  <c r="M1006" i="2"/>
  <c r="O1006" i="2"/>
  <c r="N1006" i="2" s="1"/>
  <c r="F1007" i="2"/>
  <c r="H1007" i="2" s="1"/>
  <c r="M1007" i="2" s="1"/>
  <c r="J1007" i="2"/>
  <c r="L1007" i="2" s="1"/>
  <c r="O1007" i="2" s="1"/>
  <c r="F1008" i="2"/>
  <c r="H1008" i="2"/>
  <c r="J1008" i="2"/>
  <c r="L1008" i="2"/>
  <c r="M1008" i="2"/>
  <c r="O1008" i="2"/>
  <c r="N1008" i="2" s="1"/>
  <c r="F1009" i="2"/>
  <c r="H1009" i="2"/>
  <c r="J1009" i="2"/>
  <c r="L1009" i="2"/>
  <c r="M1009" i="2"/>
  <c r="O1009" i="2"/>
  <c r="N1009" i="2" s="1"/>
  <c r="F1010" i="2"/>
  <c r="H1010" i="2"/>
  <c r="J1010" i="2"/>
  <c r="L1010" i="2"/>
  <c r="M1010" i="2"/>
  <c r="O1010" i="2"/>
  <c r="N1010" i="2" s="1"/>
  <c r="N794" i="3" l="1"/>
  <c r="N674" i="3"/>
  <c r="N409" i="3"/>
  <c r="N731" i="3"/>
  <c r="N134" i="3"/>
  <c r="N553" i="3"/>
  <c r="N417" i="3"/>
  <c r="N424" i="3"/>
  <c r="N239" i="3"/>
  <c r="N793" i="3"/>
  <c r="N416" i="3"/>
  <c r="N43" i="3"/>
  <c r="N673" i="3"/>
  <c r="N190" i="3"/>
  <c r="N584" i="3"/>
  <c r="N10" i="3"/>
  <c r="N705" i="3"/>
  <c r="N462" i="3"/>
  <c r="N343" i="3"/>
  <c r="N398" i="3"/>
  <c r="N9" i="3"/>
  <c r="N574" i="3"/>
  <c r="N331" i="3"/>
  <c r="N363" i="3"/>
  <c r="N129" i="3"/>
  <c r="N290" i="3"/>
  <c r="N96" i="3"/>
  <c r="N234" i="3"/>
  <c r="N571" i="3"/>
  <c r="N193" i="3"/>
  <c r="N603" i="3"/>
  <c r="N321" i="3"/>
  <c r="N265" i="3"/>
  <c r="N95" i="3"/>
  <c r="N176" i="3"/>
  <c r="N402" i="3"/>
  <c r="N734" i="3"/>
  <c r="N770" i="3"/>
  <c r="N611" i="3"/>
  <c r="N135" i="3"/>
  <c r="N401" i="3"/>
  <c r="N183" i="3"/>
  <c r="N27" i="3"/>
  <c r="N23" i="3"/>
  <c r="N698" i="3"/>
  <c r="N552" i="3"/>
  <c r="N745" i="3"/>
  <c r="N391" i="3"/>
  <c r="N278" i="3"/>
  <c r="N222" i="3"/>
  <c r="N139" i="3"/>
  <c r="N34" i="3"/>
  <c r="N688" i="3"/>
  <c r="N648" i="3"/>
  <c r="N608" i="3"/>
  <c r="N527" i="3"/>
  <c r="N491" i="3"/>
  <c r="N246" i="3"/>
  <c r="N583" i="3"/>
  <c r="N784" i="3"/>
  <c r="N704" i="3"/>
  <c r="N775" i="3"/>
  <c r="N695" i="3"/>
  <c r="N655" i="3"/>
  <c r="N526" i="3"/>
  <c r="N467" i="3"/>
  <c r="N57" i="3"/>
  <c r="N590" i="3"/>
  <c r="N719" i="3"/>
  <c r="N534" i="3"/>
  <c r="N330" i="3"/>
  <c r="N169" i="3"/>
  <c r="N201" i="3"/>
  <c r="N272" i="3"/>
  <c r="N627" i="3"/>
  <c r="N591" i="3"/>
  <c r="N514" i="3"/>
  <c r="N408" i="3"/>
  <c r="N147" i="3"/>
  <c r="N71" i="3"/>
  <c r="N17" i="3"/>
  <c r="N338" i="3"/>
  <c r="N369" i="3"/>
  <c r="N286" i="3"/>
  <c r="N777" i="3"/>
  <c r="N407" i="3"/>
  <c r="N783" i="3"/>
  <c r="N366" i="3"/>
  <c r="N609" i="3"/>
  <c r="N434" i="3"/>
  <c r="N219" i="3"/>
  <c r="N782" i="3"/>
  <c r="N319" i="3"/>
  <c r="N304" i="3"/>
  <c r="N50" i="3"/>
  <c r="N97" i="3"/>
  <c r="N647" i="3"/>
  <c r="N35" i="3"/>
  <c r="N167" i="3"/>
  <c r="N567" i="3"/>
  <c r="N463" i="3"/>
  <c r="N663" i="3"/>
  <c r="N185" i="3"/>
  <c r="N78" i="3"/>
  <c r="N342" i="3"/>
  <c r="N73" i="3"/>
  <c r="N619" i="3"/>
  <c r="N497" i="3"/>
  <c r="N203" i="3"/>
  <c r="N235" i="3"/>
  <c r="N360" i="3"/>
  <c r="N151" i="3"/>
  <c r="N378" i="3"/>
  <c r="N91" i="3"/>
  <c r="N65" i="3"/>
  <c r="N515" i="3"/>
  <c r="N223" i="3"/>
  <c r="N582" i="2"/>
  <c r="N573" i="2"/>
  <c r="N646" i="2"/>
  <c r="N609" i="2"/>
  <c r="N791" i="2"/>
  <c r="N910" i="2"/>
  <c r="N737" i="2"/>
  <c r="N179" i="2"/>
  <c r="N918" i="2"/>
  <c r="N26" i="2"/>
  <c r="N502" i="2"/>
  <c r="N943" i="2"/>
  <c r="N862" i="2"/>
  <c r="N323" i="2"/>
  <c r="N951" i="2"/>
  <c r="N574" i="2"/>
  <c r="N469" i="2"/>
  <c r="N107" i="2"/>
  <c r="N692" i="2"/>
  <c r="N683" i="2"/>
  <c r="N289" i="2"/>
  <c r="N10" i="2"/>
  <c r="N54" i="2"/>
  <c r="N411" i="2"/>
  <c r="N1007" i="2"/>
  <c r="N745" i="2"/>
  <c r="N717" i="2"/>
  <c r="N762" i="2"/>
  <c r="N90" i="2"/>
  <c r="N557" i="2"/>
  <c r="N204" i="2"/>
  <c r="N880" i="2"/>
  <c r="N461" i="2"/>
  <c r="N359" i="2"/>
  <c r="N956" i="2"/>
  <c r="N784" i="2"/>
  <c r="N486" i="2"/>
  <c r="N485" i="2"/>
  <c r="N513" i="2"/>
  <c r="N279" i="2"/>
  <c r="N809" i="2"/>
  <c r="N837" i="2"/>
  <c r="N447" i="2"/>
  <c r="N63" i="2"/>
  <c r="N416" i="2"/>
  <c r="N196" i="2"/>
  <c r="N663" i="2"/>
  <c r="N81" i="2"/>
  <c r="N71" i="2"/>
  <c r="N99" i="2"/>
  <c r="N767" i="2"/>
  <c r="N218" i="2"/>
  <c r="N676" i="2"/>
  <c r="N133" i="2"/>
  <c r="N254" i="2"/>
  <c r="N771" i="2"/>
  <c r="N575" i="2"/>
  <c r="N55" i="2"/>
  <c r="N631" i="2"/>
  <c r="N260" i="2"/>
  <c r="N159" i="2"/>
  <c r="N817" i="2"/>
  <c r="N538" i="2"/>
  <c r="N731" i="2"/>
  <c r="N362" i="2"/>
  <c r="N510" i="2"/>
  <c r="N154" i="2"/>
  <c r="N47" i="2"/>
  <c r="N906" i="2"/>
  <c r="N953" i="2"/>
  <c r="N567" i="2"/>
  <c r="N838" i="2"/>
  <c r="N720" i="2"/>
  <c r="N263" i="2"/>
  <c r="N592" i="2"/>
  <c r="N125" i="2"/>
  <c r="N843" i="2"/>
  <c r="N730" i="2"/>
  <c r="N639" i="2"/>
  <c r="N449" i="2"/>
  <c r="N60" i="2"/>
  <c r="N551" i="2"/>
  <c r="N164" i="2"/>
  <c r="N621" i="2"/>
  <c r="N1000" i="2"/>
  <c r="N276" i="2"/>
  <c r="N496" i="2"/>
  <c r="N180" i="2"/>
  <c r="N601" i="2"/>
  <c r="N357" i="2"/>
  <c r="N285" i="2"/>
  <c r="N92" i="2"/>
  <c r="N450" i="2"/>
  <c r="N965" i="2"/>
  <c r="N442" i="2"/>
  <c r="N883" i="2"/>
  <c r="N395" i="2"/>
  <c r="N586" i="2"/>
  <c r="N421" i="2"/>
  <c r="N79" i="2"/>
  <c r="N492" i="2"/>
  <c r="N308" i="2"/>
  <c r="N748" i="2"/>
  <c r="N118" i="2"/>
  <c r="N863" i="2"/>
  <c r="N780" i="2"/>
  <c r="N632" i="2"/>
  <c r="N434" i="2"/>
  <c r="N87" i="2"/>
  <c r="N640" i="2"/>
  <c r="N636" i="2"/>
  <c r="N348" i="2"/>
  <c r="N708" i="2"/>
  <c r="N251" i="2"/>
  <c r="N539" i="2"/>
  <c r="N190" i="2"/>
  <c r="N685" i="2"/>
</calcChain>
</file>

<file path=xl/sharedStrings.xml><?xml version="1.0" encoding="utf-8"?>
<sst xmlns="http://schemas.openxmlformats.org/spreadsheetml/2006/main" count="5266" uniqueCount="936">
  <si>
    <t>Sandy Loam</t>
  </si>
  <si>
    <t>Loamy Sand</t>
  </si>
  <si>
    <t>Sandy Clay Loam</t>
  </si>
  <si>
    <t>mNorth</t>
  </si>
  <si>
    <t>mEast</t>
  </si>
  <si>
    <t>Location:</t>
  </si>
  <si>
    <t>Soil Texture Class</t>
  </si>
  <si>
    <t>% Clay</t>
  </si>
  <si>
    <t>% Silt</t>
  </si>
  <si>
    <t>% Sand</t>
  </si>
  <si>
    <t>Adjusted    2hr. Hydrom.   Reading</t>
  </si>
  <si>
    <t>2hr. Hydrom. Reading</t>
  </si>
  <si>
    <t>2hr.    Temp. (Farenheit)</t>
  </si>
  <si>
    <t>2hr. Temp. (Celcius)</t>
  </si>
  <si>
    <t>Adjusted      40 sec Hydrom. Reading</t>
  </si>
  <si>
    <t>40 sec. Hydrom. Reading</t>
  </si>
  <si>
    <t>40 sec. Farenheit</t>
  </si>
  <si>
    <t>40 sec. Celcius</t>
  </si>
  <si>
    <t>Vol. (mL) (NaPO3)6</t>
  </si>
  <si>
    <t>Soil   Weight gm</t>
  </si>
  <si>
    <t>DEPTH</t>
  </si>
  <si>
    <t>Sample</t>
  </si>
  <si>
    <t>Clay Loam</t>
  </si>
  <si>
    <t>117B</t>
  </si>
  <si>
    <t>**Used Location info for Point 117**</t>
  </si>
  <si>
    <t>117A</t>
  </si>
  <si>
    <t>**Used Location info for Point 116**</t>
  </si>
  <si>
    <t>F033167F</t>
  </si>
  <si>
    <t>F033167E</t>
  </si>
  <si>
    <t>F033167D</t>
  </si>
  <si>
    <t>F033167C</t>
  </si>
  <si>
    <t>F033167B</t>
  </si>
  <si>
    <t>F033167A</t>
  </si>
  <si>
    <t>F033166F</t>
  </si>
  <si>
    <t>F033166E</t>
  </si>
  <si>
    <t>F033166D</t>
  </si>
  <si>
    <t>F033166C</t>
  </si>
  <si>
    <t>F033166B</t>
  </si>
  <si>
    <t>F033166A</t>
  </si>
  <si>
    <t>F033165F</t>
  </si>
  <si>
    <t>F033165E</t>
  </si>
  <si>
    <t>F033165D</t>
  </si>
  <si>
    <t>F033165C</t>
  </si>
  <si>
    <t>F033165B</t>
  </si>
  <si>
    <t>F033165A</t>
  </si>
  <si>
    <t>F033164F</t>
  </si>
  <si>
    <t>F033164E</t>
  </si>
  <si>
    <t>F033164D</t>
  </si>
  <si>
    <t>F033164C</t>
  </si>
  <si>
    <t>F033164B</t>
  </si>
  <si>
    <t>F033164A</t>
  </si>
  <si>
    <t>F033163F</t>
  </si>
  <si>
    <t>F033163E</t>
  </si>
  <si>
    <t>F033163D</t>
  </si>
  <si>
    <t>F033163C</t>
  </si>
  <si>
    <t>F033163B</t>
  </si>
  <si>
    <t>F033163A</t>
  </si>
  <si>
    <t>F033162F</t>
  </si>
  <si>
    <t>F033162E</t>
  </si>
  <si>
    <t>F033162D</t>
  </si>
  <si>
    <t>F033162C</t>
  </si>
  <si>
    <t>F033162B</t>
  </si>
  <si>
    <t>F033162A</t>
  </si>
  <si>
    <t>F033161F</t>
  </si>
  <si>
    <t>F033161E</t>
  </si>
  <si>
    <t>F033161D</t>
  </si>
  <si>
    <t>F033161C</t>
  </si>
  <si>
    <t>F033161B</t>
  </si>
  <si>
    <t>F033161A</t>
  </si>
  <si>
    <t>F033157F</t>
  </si>
  <si>
    <t>F033157E</t>
  </si>
  <si>
    <t>F033157D</t>
  </si>
  <si>
    <t>F033157C</t>
  </si>
  <si>
    <t>F033157B</t>
  </si>
  <si>
    <t>F033157A</t>
  </si>
  <si>
    <t>F033156F</t>
  </si>
  <si>
    <t>F033156E</t>
  </si>
  <si>
    <t>F033156D</t>
  </si>
  <si>
    <t>F033156C</t>
  </si>
  <si>
    <t>F033156B</t>
  </si>
  <si>
    <t>F033156A</t>
  </si>
  <si>
    <t>F033155F</t>
  </si>
  <si>
    <t>F033155E</t>
  </si>
  <si>
    <t>F033155D</t>
  </si>
  <si>
    <t>F033155C</t>
  </si>
  <si>
    <t>F033155B</t>
  </si>
  <si>
    <t>F033155A</t>
  </si>
  <si>
    <t>F033154F</t>
  </si>
  <si>
    <t>F033154E</t>
  </si>
  <si>
    <t>F033154D</t>
  </si>
  <si>
    <t>F033154C</t>
  </si>
  <si>
    <t>F033154B</t>
  </si>
  <si>
    <t>F033154A</t>
  </si>
  <si>
    <t>F033153F</t>
  </si>
  <si>
    <t>F033153E</t>
  </si>
  <si>
    <t>F033153D</t>
  </si>
  <si>
    <t>F033153C</t>
  </si>
  <si>
    <t>F033153B</t>
  </si>
  <si>
    <t>F033153A</t>
  </si>
  <si>
    <t>F033152F</t>
  </si>
  <si>
    <t>F033152E</t>
  </si>
  <si>
    <t>F033152D</t>
  </si>
  <si>
    <t>F033152C</t>
  </si>
  <si>
    <t>F033152B</t>
  </si>
  <si>
    <t>F033152A</t>
  </si>
  <si>
    <t>F033151F</t>
  </si>
  <si>
    <t>F033151E</t>
  </si>
  <si>
    <t>F033151D</t>
  </si>
  <si>
    <t>F033151C</t>
  </si>
  <si>
    <t>F033151B</t>
  </si>
  <si>
    <t>F033151A</t>
  </si>
  <si>
    <t>F033147F</t>
  </si>
  <si>
    <t>F033147E</t>
  </si>
  <si>
    <t>F033147D</t>
  </si>
  <si>
    <t>F033147C</t>
  </si>
  <si>
    <t>F033147B</t>
  </si>
  <si>
    <t>F033147A</t>
  </si>
  <si>
    <t>F033146F</t>
  </si>
  <si>
    <t>F033146E</t>
  </si>
  <si>
    <t>F033146D</t>
  </si>
  <si>
    <t>F033146C</t>
  </si>
  <si>
    <t>F033146B</t>
  </si>
  <si>
    <t>F033146A</t>
  </si>
  <si>
    <t>F033145F</t>
  </si>
  <si>
    <t>F033145E</t>
  </si>
  <si>
    <t>F033145D</t>
  </si>
  <si>
    <t>F033145C</t>
  </si>
  <si>
    <t>F033145B</t>
  </si>
  <si>
    <t>F033145A</t>
  </si>
  <si>
    <t>F033144F</t>
  </si>
  <si>
    <t>F033144E</t>
  </si>
  <si>
    <t>F033144D</t>
  </si>
  <si>
    <t>F033144C</t>
  </si>
  <si>
    <t>F033144B</t>
  </si>
  <si>
    <t>F033144A</t>
  </si>
  <si>
    <t>F033143F</t>
  </si>
  <si>
    <t>F033143E</t>
  </si>
  <si>
    <t>F033143D</t>
  </si>
  <si>
    <t>F033143C</t>
  </si>
  <si>
    <t>F033143B</t>
  </si>
  <si>
    <t>F033143A</t>
  </si>
  <si>
    <t>F033142F</t>
  </si>
  <si>
    <t>F033142E</t>
  </si>
  <si>
    <t>F033142D</t>
  </si>
  <si>
    <t>F033142C</t>
  </si>
  <si>
    <t>F033142B</t>
  </si>
  <si>
    <t>F033142A</t>
  </si>
  <si>
    <t>F033141F</t>
  </si>
  <si>
    <t>F033141E</t>
  </si>
  <si>
    <t>F033141D</t>
  </si>
  <si>
    <t>F033141C</t>
  </si>
  <si>
    <t>F033141B</t>
  </si>
  <si>
    <t>F033141A</t>
  </si>
  <si>
    <t>F033137F</t>
  </si>
  <si>
    <t>F033137E</t>
  </si>
  <si>
    <t>F033137D</t>
  </si>
  <si>
    <t>F033137C</t>
  </si>
  <si>
    <t>F033137B</t>
  </si>
  <si>
    <t>F033137A</t>
  </si>
  <si>
    <t>F033136F</t>
  </si>
  <si>
    <t>F033136E</t>
  </si>
  <si>
    <t>F033136D</t>
  </si>
  <si>
    <t>F033136C</t>
  </si>
  <si>
    <t>F033136B</t>
  </si>
  <si>
    <t>F033136A</t>
  </si>
  <si>
    <t>F033135F</t>
  </si>
  <si>
    <t>F033135E</t>
  </si>
  <si>
    <t>F033135D</t>
  </si>
  <si>
    <t>F033135C</t>
  </si>
  <si>
    <t>F033135B</t>
  </si>
  <si>
    <t>F033135A</t>
  </si>
  <si>
    <t>F033134F</t>
  </si>
  <si>
    <t>F033134E</t>
  </si>
  <si>
    <t>F033134D</t>
  </si>
  <si>
    <t>F033134C</t>
  </si>
  <si>
    <t>F033134B</t>
  </si>
  <si>
    <t>F033134A</t>
  </si>
  <si>
    <t>F033133F</t>
  </si>
  <si>
    <t>F033133E</t>
  </si>
  <si>
    <t>F033133D</t>
  </si>
  <si>
    <t>F033133C</t>
  </si>
  <si>
    <t>F033133B</t>
  </si>
  <si>
    <t>F033133A</t>
  </si>
  <si>
    <t>F033132F</t>
  </si>
  <si>
    <t>F033132E</t>
  </si>
  <si>
    <t>F033132D</t>
  </si>
  <si>
    <t>F033132C</t>
  </si>
  <si>
    <t>F033132B</t>
  </si>
  <si>
    <t>F033132A</t>
  </si>
  <si>
    <t>F033131F</t>
  </si>
  <si>
    <t>F033131E</t>
  </si>
  <si>
    <t>F033131D</t>
  </si>
  <si>
    <t>F033131C</t>
  </si>
  <si>
    <t>F033131B</t>
  </si>
  <si>
    <t>F033131A</t>
  </si>
  <si>
    <t>F033127F</t>
  </si>
  <si>
    <t>F033127E</t>
  </si>
  <si>
    <t>F033127D</t>
  </si>
  <si>
    <t>F033127C</t>
  </si>
  <si>
    <t>F033127B</t>
  </si>
  <si>
    <t>F033127A</t>
  </si>
  <si>
    <t>F033126F</t>
  </si>
  <si>
    <t>F033126E</t>
  </si>
  <si>
    <t>F033126D</t>
  </si>
  <si>
    <t>F033126C</t>
  </si>
  <si>
    <t>F033126B</t>
  </si>
  <si>
    <t>F033126A</t>
  </si>
  <si>
    <t>F033125F</t>
  </si>
  <si>
    <t>F033125E</t>
  </si>
  <si>
    <t>F033125D</t>
  </si>
  <si>
    <t>F033125C</t>
  </si>
  <si>
    <t>F033125B</t>
  </si>
  <si>
    <t>F033125A</t>
  </si>
  <si>
    <t>F033124F</t>
  </si>
  <si>
    <t>F033124E</t>
  </si>
  <si>
    <t>F033124D</t>
  </si>
  <si>
    <t>F033124C</t>
  </si>
  <si>
    <t>F033124B</t>
  </si>
  <si>
    <t>F033124A</t>
  </si>
  <si>
    <t>F033123F</t>
  </si>
  <si>
    <t>F033123E</t>
  </si>
  <si>
    <t>F033123D</t>
  </si>
  <si>
    <t>F033123C</t>
  </si>
  <si>
    <t>F033123B</t>
  </si>
  <si>
    <t>F033123A</t>
  </si>
  <si>
    <t>F033122F</t>
  </si>
  <si>
    <t>F033122E</t>
  </si>
  <si>
    <t>F033122D</t>
  </si>
  <si>
    <t>F033122C</t>
  </si>
  <si>
    <t>F033122B</t>
  </si>
  <si>
    <t>F033122A</t>
  </si>
  <si>
    <t>F033121F</t>
  </si>
  <si>
    <t>F033121E</t>
  </si>
  <si>
    <t>F033121D</t>
  </si>
  <si>
    <t>F033121C</t>
  </si>
  <si>
    <t>F033121B</t>
  </si>
  <si>
    <t>F033121A</t>
  </si>
  <si>
    <t>F033117bF</t>
  </si>
  <si>
    <t>F033117bE</t>
  </si>
  <si>
    <t>F033117bD</t>
  </si>
  <si>
    <t>F033117bC</t>
  </si>
  <si>
    <t>F033117bB</t>
  </si>
  <si>
    <t>F033117bA</t>
  </si>
  <si>
    <t>F033117aF</t>
  </si>
  <si>
    <t>F033117aE</t>
  </si>
  <si>
    <t>F033117aD</t>
  </si>
  <si>
    <t>F033117aC</t>
  </si>
  <si>
    <t>F033117aB</t>
  </si>
  <si>
    <t>F033117aA</t>
  </si>
  <si>
    <t>F033115F</t>
  </si>
  <si>
    <t>F033115E</t>
  </si>
  <si>
    <t>F033115D</t>
  </si>
  <si>
    <t>F033115C</t>
  </si>
  <si>
    <t>F033115B</t>
  </si>
  <si>
    <t>F033115A</t>
  </si>
  <si>
    <t>F033114F</t>
  </si>
  <si>
    <t>F033114E</t>
  </si>
  <si>
    <t>F033114D</t>
  </si>
  <si>
    <t>F033114C</t>
  </si>
  <si>
    <t>F033114B</t>
  </si>
  <si>
    <t>F033114A</t>
  </si>
  <si>
    <t>F033113F</t>
  </si>
  <si>
    <t>F033113E</t>
  </si>
  <si>
    <t>F033113D</t>
  </si>
  <si>
    <t>F033113C</t>
  </si>
  <si>
    <t>F033113B</t>
  </si>
  <si>
    <t>F033113A</t>
  </si>
  <si>
    <t>F033112F</t>
  </si>
  <si>
    <t>F033112E</t>
  </si>
  <si>
    <t>F033112D</t>
  </si>
  <si>
    <t>F033112C</t>
  </si>
  <si>
    <t>F033112B</t>
  </si>
  <si>
    <t>F033112A</t>
  </si>
  <si>
    <t>F033111F</t>
  </si>
  <si>
    <t>F033111E</t>
  </si>
  <si>
    <t>F033111D</t>
  </si>
  <si>
    <t>F033111C</t>
  </si>
  <si>
    <t>F033111B</t>
  </si>
  <si>
    <t>F033111A</t>
  </si>
  <si>
    <t>F033107F</t>
  </si>
  <si>
    <t>F033107E</t>
  </si>
  <si>
    <t>F033107D</t>
  </si>
  <si>
    <t>F033107C</t>
  </si>
  <si>
    <t>F033107B</t>
  </si>
  <si>
    <t>F033107A</t>
  </si>
  <si>
    <t>F033106F</t>
  </si>
  <si>
    <t>F033106E</t>
  </si>
  <si>
    <t>F033106D</t>
  </si>
  <si>
    <t>F033106C</t>
  </si>
  <si>
    <t>F033106B</t>
  </si>
  <si>
    <t>F033106A</t>
  </si>
  <si>
    <t>F033105F</t>
  </si>
  <si>
    <t>F033105E</t>
  </si>
  <si>
    <t>F033105D</t>
  </si>
  <si>
    <t>F033105C</t>
  </si>
  <si>
    <t>F033105B</t>
  </si>
  <si>
    <t>F033105A</t>
  </si>
  <si>
    <t>F033104F</t>
  </si>
  <si>
    <t>F033104E</t>
  </si>
  <si>
    <t>F033104D</t>
  </si>
  <si>
    <t>F033104C</t>
  </si>
  <si>
    <t>F033104B</t>
  </si>
  <si>
    <t>F033104A</t>
  </si>
  <si>
    <t>F033103F</t>
  </si>
  <si>
    <t>F033103E</t>
  </si>
  <si>
    <t>F033103D</t>
  </si>
  <si>
    <t>F033103C</t>
  </si>
  <si>
    <t>F033103B</t>
  </si>
  <si>
    <t>F033103A</t>
  </si>
  <si>
    <t>F033102F</t>
  </si>
  <si>
    <t>F033102E</t>
  </si>
  <si>
    <t>F033102D</t>
  </si>
  <si>
    <t>F033102C</t>
  </si>
  <si>
    <t>F033102B</t>
  </si>
  <si>
    <t>F033102A</t>
  </si>
  <si>
    <t>F033101F</t>
  </si>
  <si>
    <t>F033101E</t>
  </si>
  <si>
    <t>F033101D</t>
  </si>
  <si>
    <t>F033101C</t>
  </si>
  <si>
    <t>F033101B</t>
  </si>
  <si>
    <t>F033101A</t>
  </si>
  <si>
    <t>F03397F</t>
  </si>
  <si>
    <t>F03397E</t>
  </si>
  <si>
    <t>F03397D</t>
  </si>
  <si>
    <t>F03397C</t>
  </si>
  <si>
    <t>F03397B</t>
  </si>
  <si>
    <t>F03397A</t>
  </si>
  <si>
    <t>F03396F</t>
  </si>
  <si>
    <t>F03396E</t>
  </si>
  <si>
    <t>F03396D</t>
  </si>
  <si>
    <t>F03396C</t>
  </si>
  <si>
    <t>F03396B</t>
  </si>
  <si>
    <t>F03396A</t>
  </si>
  <si>
    <t>F03395F</t>
  </si>
  <si>
    <t>F03395E</t>
  </si>
  <si>
    <t>F03395D</t>
  </si>
  <si>
    <t>F03395C</t>
  </si>
  <si>
    <t>F03395B</t>
  </si>
  <si>
    <t>F03395A</t>
  </si>
  <si>
    <t>F03394F</t>
  </si>
  <si>
    <t>F03394E</t>
  </si>
  <si>
    <t>F03394D</t>
  </si>
  <si>
    <t>F03394C</t>
  </si>
  <si>
    <t>F03394B</t>
  </si>
  <si>
    <t>F03394A</t>
  </si>
  <si>
    <t>F03393F</t>
  </si>
  <si>
    <t>F03393E</t>
  </si>
  <si>
    <t>F03393D</t>
  </si>
  <si>
    <t>F03393C</t>
  </si>
  <si>
    <t>F03393B</t>
  </si>
  <si>
    <t>F03393A</t>
  </si>
  <si>
    <t>F03392F</t>
  </si>
  <si>
    <t>F03392E</t>
  </si>
  <si>
    <t>F03392D</t>
  </si>
  <si>
    <t>F03392C</t>
  </si>
  <si>
    <t>F03392B</t>
  </si>
  <si>
    <t>F03392A</t>
  </si>
  <si>
    <t>F03391F</t>
  </si>
  <si>
    <t>F03391E</t>
  </si>
  <si>
    <t>F03391D</t>
  </si>
  <si>
    <t>F03391C</t>
  </si>
  <si>
    <t>F03391B</t>
  </si>
  <si>
    <t>F03391A</t>
  </si>
  <si>
    <t>F03387F</t>
  </si>
  <si>
    <t>F03387E</t>
  </si>
  <si>
    <t>F03387D</t>
  </si>
  <si>
    <t>F03387C</t>
  </si>
  <si>
    <t>F03387B</t>
  </si>
  <si>
    <t>F03387A</t>
  </si>
  <si>
    <t>F03386F</t>
  </si>
  <si>
    <t>F03386E</t>
  </si>
  <si>
    <t>F03386D</t>
  </si>
  <si>
    <t>F03386C</t>
  </si>
  <si>
    <t>F03386B</t>
  </si>
  <si>
    <t>F03386A</t>
  </si>
  <si>
    <t>F03385F</t>
  </si>
  <si>
    <t>F03385E</t>
  </si>
  <si>
    <t>F03385D</t>
  </si>
  <si>
    <t>F03385C</t>
  </si>
  <si>
    <t>F03385B</t>
  </si>
  <si>
    <t>F03385A</t>
  </si>
  <si>
    <t>F03384F</t>
  </si>
  <si>
    <t>F03384E</t>
  </si>
  <si>
    <t>F03384D</t>
  </si>
  <si>
    <t>F03384C</t>
  </si>
  <si>
    <t>F03384B</t>
  </si>
  <si>
    <t>F03384A</t>
  </si>
  <si>
    <t>F03383F</t>
  </si>
  <si>
    <t>F03383E</t>
  </si>
  <si>
    <t>F03383D</t>
  </si>
  <si>
    <t>F03383C</t>
  </si>
  <si>
    <t>F03383B</t>
  </si>
  <si>
    <t>F03383A</t>
  </si>
  <si>
    <t>F03382F</t>
  </si>
  <si>
    <t>F03382E</t>
  </si>
  <si>
    <t>F03382D</t>
  </si>
  <si>
    <t>F03382C</t>
  </si>
  <si>
    <t>F03382B</t>
  </si>
  <si>
    <t>F03382A</t>
  </si>
  <si>
    <t>F03381F</t>
  </si>
  <si>
    <t>F03381E</t>
  </si>
  <si>
    <t>F03381D</t>
  </si>
  <si>
    <t>F03381C</t>
  </si>
  <si>
    <t>F03381B</t>
  </si>
  <si>
    <t>F03381A</t>
  </si>
  <si>
    <t>F03377F</t>
  </si>
  <si>
    <t>F03377E</t>
  </si>
  <si>
    <t>F03377D</t>
  </si>
  <si>
    <t>F03377C</t>
  </si>
  <si>
    <t>F03377B</t>
  </si>
  <si>
    <t>F03377A</t>
  </si>
  <si>
    <t>F03306F</t>
  </si>
  <si>
    <t>F03376E</t>
  </si>
  <si>
    <t>F03376D</t>
  </si>
  <si>
    <t>F03376C</t>
  </si>
  <si>
    <t>F03376B</t>
  </si>
  <si>
    <t>F03376A</t>
  </si>
  <si>
    <t>F03375F</t>
  </si>
  <si>
    <t>F03375E</t>
  </si>
  <si>
    <t>F03375D</t>
  </si>
  <si>
    <t>F03375C</t>
  </si>
  <si>
    <t>F03375B</t>
  </si>
  <si>
    <t>F03375A</t>
  </si>
  <si>
    <t>F03374F</t>
  </si>
  <si>
    <t>F03374E</t>
  </si>
  <si>
    <t>F03374D</t>
  </si>
  <si>
    <t>F03374C</t>
  </si>
  <si>
    <t>F03374B</t>
  </si>
  <si>
    <t>F03374A</t>
  </si>
  <si>
    <t>F03373F</t>
  </si>
  <si>
    <t>F03373E</t>
  </si>
  <si>
    <t>F03373D</t>
  </si>
  <si>
    <t>F03373C</t>
  </si>
  <si>
    <t>F03373B</t>
  </si>
  <si>
    <t>F03373A</t>
  </si>
  <si>
    <t>F03372F</t>
  </si>
  <si>
    <t>F03372E</t>
  </si>
  <si>
    <t>F03372D</t>
  </si>
  <si>
    <t>F03372C</t>
  </si>
  <si>
    <t>F03372B</t>
  </si>
  <si>
    <t>F03372A</t>
  </si>
  <si>
    <t>F03371F</t>
  </si>
  <si>
    <t>F03371E</t>
  </si>
  <si>
    <t>F03371D</t>
  </si>
  <si>
    <t>F03371C</t>
  </si>
  <si>
    <t>F03371B</t>
  </si>
  <si>
    <t>F03371A</t>
  </si>
  <si>
    <t>F03367F</t>
  </si>
  <si>
    <t>F03367E</t>
  </si>
  <si>
    <t>F03367D</t>
  </si>
  <si>
    <t>F03367C</t>
  </si>
  <si>
    <t>F03367B</t>
  </si>
  <si>
    <t>F03367A</t>
  </si>
  <si>
    <t>F03366F</t>
  </si>
  <si>
    <t>F03366E</t>
  </si>
  <si>
    <t>F03366D</t>
  </si>
  <si>
    <t>F03366C</t>
  </si>
  <si>
    <t>F03366B</t>
  </si>
  <si>
    <t>F03366A</t>
  </si>
  <si>
    <t>F03365F</t>
  </si>
  <si>
    <t>F03365E</t>
  </si>
  <si>
    <t>F03365D</t>
  </si>
  <si>
    <t>F03365C</t>
  </si>
  <si>
    <t>F03365B</t>
  </si>
  <si>
    <t>F03365A</t>
  </si>
  <si>
    <t>F03364F</t>
  </si>
  <si>
    <t>F03364E</t>
  </si>
  <si>
    <t>F03364D</t>
  </si>
  <si>
    <t>F03364C</t>
  </si>
  <si>
    <t>F03364B</t>
  </si>
  <si>
    <t>F03364A</t>
  </si>
  <si>
    <t>F03363F</t>
  </si>
  <si>
    <t>F03363E</t>
  </si>
  <si>
    <t>F03363D</t>
  </si>
  <si>
    <t>F03363C</t>
  </si>
  <si>
    <t>F03363B</t>
  </si>
  <si>
    <t>F03363A</t>
  </si>
  <si>
    <t>F03362F</t>
  </si>
  <si>
    <t>F03362E</t>
  </si>
  <si>
    <t>F03362D</t>
  </si>
  <si>
    <t>F03362C</t>
  </si>
  <si>
    <t>F03362B</t>
  </si>
  <si>
    <t>F03362A</t>
  </si>
  <si>
    <t>F03361F</t>
  </si>
  <si>
    <t>F03361E</t>
  </si>
  <si>
    <t>F03361D</t>
  </si>
  <si>
    <t>F03361C</t>
  </si>
  <si>
    <t>F03361B</t>
  </si>
  <si>
    <t>F03361A</t>
  </si>
  <si>
    <t>Clay</t>
  </si>
  <si>
    <t>F03357F</t>
  </si>
  <si>
    <t>F03357E</t>
  </si>
  <si>
    <t>F03357D</t>
  </si>
  <si>
    <t>F03357C</t>
  </si>
  <si>
    <t>F03357B</t>
  </si>
  <si>
    <t>F03357A</t>
  </si>
  <si>
    <t>F03356F</t>
  </si>
  <si>
    <t>F03356E</t>
  </si>
  <si>
    <t>F03356D</t>
  </si>
  <si>
    <t>F03356C</t>
  </si>
  <si>
    <t>F03356B</t>
  </si>
  <si>
    <t>F03356A</t>
  </si>
  <si>
    <t>F03355F</t>
  </si>
  <si>
    <t>F03355E</t>
  </si>
  <si>
    <t>F03355D</t>
  </si>
  <si>
    <t>F03355C</t>
  </si>
  <si>
    <t>F03355B</t>
  </si>
  <si>
    <t>F03355A</t>
  </si>
  <si>
    <t>F03354F</t>
  </si>
  <si>
    <t>F03354E</t>
  </si>
  <si>
    <t>F03354D</t>
  </si>
  <si>
    <t>F03354C</t>
  </si>
  <si>
    <t>F03354B</t>
  </si>
  <si>
    <t>F03354A</t>
  </si>
  <si>
    <t>F03353F</t>
  </si>
  <si>
    <t>F03353E</t>
  </si>
  <si>
    <t>F03353D</t>
  </si>
  <si>
    <t>F03353C</t>
  </si>
  <si>
    <t>F03353B</t>
  </si>
  <si>
    <t>F03353A</t>
  </si>
  <si>
    <t>F03352F</t>
  </si>
  <si>
    <t>F03352E</t>
  </si>
  <si>
    <t>F03352D</t>
  </si>
  <si>
    <t>F03352C</t>
  </si>
  <si>
    <t>F03352B</t>
  </si>
  <si>
    <t>F03352A</t>
  </si>
  <si>
    <t>F03351F</t>
  </si>
  <si>
    <t>F03351E</t>
  </si>
  <si>
    <t>F03351D</t>
  </si>
  <si>
    <t>F03351C</t>
  </si>
  <si>
    <t>F03351B</t>
  </si>
  <si>
    <t>F03351A</t>
  </si>
  <si>
    <t>F03347F</t>
  </si>
  <si>
    <t>F03347E</t>
  </si>
  <si>
    <t xml:space="preserve">Clay  </t>
  </si>
  <si>
    <t>F03347D</t>
  </si>
  <si>
    <t>F03347C</t>
  </si>
  <si>
    <t>F03347B</t>
  </si>
  <si>
    <t>F03347A</t>
  </si>
  <si>
    <t>F03346F</t>
  </si>
  <si>
    <t>F03346E</t>
  </si>
  <si>
    <t>F03346D</t>
  </si>
  <si>
    <t>F03346C</t>
  </si>
  <si>
    <t>F03346B</t>
  </si>
  <si>
    <t>F03346A</t>
  </si>
  <si>
    <t>F03345F</t>
  </si>
  <si>
    <t>F03345E</t>
  </si>
  <si>
    <t>F03345D</t>
  </si>
  <si>
    <t>F03345C</t>
  </si>
  <si>
    <t>F03345B</t>
  </si>
  <si>
    <t>F03345A</t>
  </si>
  <si>
    <t>F03344F</t>
  </si>
  <si>
    <t>F03344E</t>
  </si>
  <si>
    <t>F03344D</t>
  </si>
  <si>
    <t>F03344C</t>
  </si>
  <si>
    <t>F03344B</t>
  </si>
  <si>
    <t>F03344A</t>
  </si>
  <si>
    <t>F03343F</t>
  </si>
  <si>
    <t>F03343E</t>
  </si>
  <si>
    <t>F03343D</t>
  </si>
  <si>
    <t>F03343C</t>
  </si>
  <si>
    <t>F03343B</t>
  </si>
  <si>
    <t>F03343A</t>
  </si>
  <si>
    <t>F03342F</t>
  </si>
  <si>
    <t>F03342E</t>
  </si>
  <si>
    <t>F03342D</t>
  </si>
  <si>
    <t>F03342C</t>
  </si>
  <si>
    <t>F03342B</t>
  </si>
  <si>
    <t>F03342A</t>
  </si>
  <si>
    <t>F03341F</t>
  </si>
  <si>
    <t>F03341E</t>
  </si>
  <si>
    <t>F03341D</t>
  </si>
  <si>
    <t>F03341C</t>
  </si>
  <si>
    <t>F03341B</t>
  </si>
  <si>
    <t>F03341A</t>
  </si>
  <si>
    <t>F03337F</t>
  </si>
  <si>
    <t>F03337E</t>
  </si>
  <si>
    <t>F03337D</t>
  </si>
  <si>
    <t>F03337C</t>
  </si>
  <si>
    <t>F03337B</t>
  </si>
  <si>
    <t>F03337A</t>
  </si>
  <si>
    <t>F03336F</t>
  </si>
  <si>
    <t>F03336E</t>
  </si>
  <si>
    <t>F03336D</t>
  </si>
  <si>
    <t>F03336C</t>
  </si>
  <si>
    <t>F03336B</t>
  </si>
  <si>
    <t>F03336A</t>
  </si>
  <si>
    <t>F03335F</t>
  </si>
  <si>
    <t>F03335E</t>
  </si>
  <si>
    <t>F03335D</t>
  </si>
  <si>
    <t>F03335C</t>
  </si>
  <si>
    <t>F03335B</t>
  </si>
  <si>
    <t>F03335A</t>
  </si>
  <si>
    <t>35-90</t>
  </si>
  <si>
    <t>F03334F</t>
  </si>
  <si>
    <t>35-60</t>
  </si>
  <si>
    <t>F03334E</t>
  </si>
  <si>
    <t>35-30</t>
  </si>
  <si>
    <t>F03334D</t>
  </si>
  <si>
    <t>34-180</t>
  </si>
  <si>
    <t>F03334C</t>
  </si>
  <si>
    <t>34-150</t>
  </si>
  <si>
    <t>F03334B</t>
  </si>
  <si>
    <t>34-120</t>
  </si>
  <si>
    <t>F03334A</t>
  </si>
  <si>
    <t>34-90</t>
  </si>
  <si>
    <t>F03333F</t>
  </si>
  <si>
    <t>34-60</t>
  </si>
  <si>
    <t>F03333E</t>
  </si>
  <si>
    <t>34-30</t>
  </si>
  <si>
    <t>F03333D</t>
  </si>
  <si>
    <t>33-180</t>
  </si>
  <si>
    <t>F03333C</t>
  </si>
  <si>
    <t>33-150</t>
  </si>
  <si>
    <t>F03333B</t>
  </si>
  <si>
    <t>33-120</t>
  </si>
  <si>
    <t>F03333A</t>
  </si>
  <si>
    <t>33-90</t>
  </si>
  <si>
    <t>F03332F</t>
  </si>
  <si>
    <t>33-60</t>
  </si>
  <si>
    <t>F03332E</t>
  </si>
  <si>
    <t>33-30</t>
  </si>
  <si>
    <t>F03332D</t>
  </si>
  <si>
    <t>32-180</t>
  </si>
  <si>
    <t>F03332C</t>
  </si>
  <si>
    <t>32-150</t>
  </si>
  <si>
    <t>F03332B</t>
  </si>
  <si>
    <t>32-120</t>
  </si>
  <si>
    <t>F03332A</t>
  </si>
  <si>
    <t>32-90</t>
  </si>
  <si>
    <t>F03331F</t>
  </si>
  <si>
    <t>32-60</t>
  </si>
  <si>
    <t>F03331E</t>
  </si>
  <si>
    <t>32-30</t>
  </si>
  <si>
    <t>F03331D</t>
  </si>
  <si>
    <t>31-180</t>
  </si>
  <si>
    <t>F03331C</t>
  </si>
  <si>
    <t>31-150</t>
  </si>
  <si>
    <t>F03331B</t>
  </si>
  <si>
    <t>31-120</t>
  </si>
  <si>
    <t>F03331A</t>
  </si>
  <si>
    <t>31-90</t>
  </si>
  <si>
    <t>F03327F</t>
  </si>
  <si>
    <t>31-60</t>
  </si>
  <si>
    <t>F03327E</t>
  </si>
  <si>
    <t>31-30</t>
  </si>
  <si>
    <t>F03327D</t>
  </si>
  <si>
    <t>27-180</t>
  </si>
  <si>
    <t>F03327C</t>
  </si>
  <si>
    <t>27-150</t>
  </si>
  <si>
    <t>F03327B</t>
  </si>
  <si>
    <t>27-120</t>
  </si>
  <si>
    <t>F03327A</t>
  </si>
  <si>
    <t>27-90</t>
  </si>
  <si>
    <t>F03326F</t>
  </si>
  <si>
    <t>27-60</t>
  </si>
  <si>
    <t>F03326E</t>
  </si>
  <si>
    <t>27-30</t>
  </si>
  <si>
    <t>F03326D</t>
  </si>
  <si>
    <t>26-180</t>
  </si>
  <si>
    <t>F03326C</t>
  </si>
  <si>
    <t>26-150</t>
  </si>
  <si>
    <t>F03326B</t>
  </si>
  <si>
    <t>26-120</t>
  </si>
  <si>
    <t>F03326A</t>
  </si>
  <si>
    <t>26-90</t>
  </si>
  <si>
    <t>F03325F</t>
  </si>
  <si>
    <t>26-60</t>
  </si>
  <si>
    <t>F03325E</t>
  </si>
  <si>
    <t>26-30</t>
  </si>
  <si>
    <t>F03325D</t>
  </si>
  <si>
    <t>25-180</t>
  </si>
  <si>
    <t>F03325C</t>
  </si>
  <si>
    <t>25-150</t>
  </si>
  <si>
    <t>F03325B</t>
  </si>
  <si>
    <t>25-120</t>
  </si>
  <si>
    <t>F03325A</t>
  </si>
  <si>
    <t>25-90</t>
  </si>
  <si>
    <t>F03324F</t>
  </si>
  <si>
    <t>25-60</t>
  </si>
  <si>
    <t>F03324E</t>
  </si>
  <si>
    <t>25-30</t>
  </si>
  <si>
    <t>F03324D</t>
  </si>
  <si>
    <t>24-180</t>
  </si>
  <si>
    <t>F03324C</t>
  </si>
  <si>
    <t>24-150</t>
  </si>
  <si>
    <t>F03324B</t>
  </si>
  <si>
    <t>24-120</t>
  </si>
  <si>
    <t>F03324A</t>
  </si>
  <si>
    <t>24-90</t>
  </si>
  <si>
    <t>F03323F</t>
  </si>
  <si>
    <t>24-60</t>
  </si>
  <si>
    <t>F03323E</t>
  </si>
  <si>
    <t>24-30</t>
  </si>
  <si>
    <t>F03323D</t>
  </si>
  <si>
    <t>23-180</t>
  </si>
  <si>
    <t>F03323C</t>
  </si>
  <si>
    <t>23-150</t>
  </si>
  <si>
    <t>F03323B</t>
  </si>
  <si>
    <t>23-120</t>
  </si>
  <si>
    <t>F03323A</t>
  </si>
  <si>
    <t>23-90</t>
  </si>
  <si>
    <t>F03322F</t>
  </si>
  <si>
    <t>23-60</t>
  </si>
  <si>
    <t>F03322E</t>
  </si>
  <si>
    <t>23-30</t>
  </si>
  <si>
    <t>F03322D</t>
  </si>
  <si>
    <t>22-180</t>
  </si>
  <si>
    <t>F03322C</t>
  </si>
  <si>
    <t>22-150</t>
  </si>
  <si>
    <t>F03322B</t>
  </si>
  <si>
    <t>22-120</t>
  </si>
  <si>
    <t>F03322A</t>
  </si>
  <si>
    <t>22-90</t>
  </si>
  <si>
    <t>F03321F</t>
  </si>
  <si>
    <t>22-60</t>
  </si>
  <si>
    <t>F03321E</t>
  </si>
  <si>
    <t>22-30</t>
  </si>
  <si>
    <t>F03321D</t>
  </si>
  <si>
    <t>21-180</t>
  </si>
  <si>
    <t>F03321C</t>
  </si>
  <si>
    <t>21-150</t>
  </si>
  <si>
    <t>F03321B</t>
  </si>
  <si>
    <t>21-120</t>
  </si>
  <si>
    <t>F03321A</t>
  </si>
  <si>
    <t>21-90</t>
  </si>
  <si>
    <t>F03317F</t>
  </si>
  <si>
    <t>21-60</t>
  </si>
  <si>
    <t>F03317E</t>
  </si>
  <si>
    <t>21-30</t>
  </si>
  <si>
    <t>F03317D</t>
  </si>
  <si>
    <t>17-180</t>
  </si>
  <si>
    <t>F03317C</t>
  </si>
  <si>
    <t>17-150</t>
  </si>
  <si>
    <t>F03317B</t>
  </si>
  <si>
    <t>17-120</t>
  </si>
  <si>
    <t>F03317A</t>
  </si>
  <si>
    <t>17-90</t>
  </si>
  <si>
    <t>F03316F</t>
  </si>
  <si>
    <t>17-60</t>
  </si>
  <si>
    <t>F03316E</t>
  </si>
  <si>
    <t>17-30</t>
  </si>
  <si>
    <t>F03316D</t>
  </si>
  <si>
    <t>16-180</t>
  </si>
  <si>
    <t>F03316C</t>
  </si>
  <si>
    <t>16-150</t>
  </si>
  <si>
    <t>F03316B</t>
  </si>
  <si>
    <t>16-120</t>
  </si>
  <si>
    <t>F03316A</t>
  </si>
  <si>
    <t>16-90</t>
  </si>
  <si>
    <t>F03315F</t>
  </si>
  <si>
    <t>16-60</t>
  </si>
  <si>
    <t>F03315E</t>
  </si>
  <si>
    <t>16-30</t>
  </si>
  <si>
    <t>F03315D</t>
  </si>
  <si>
    <t>15-180</t>
  </si>
  <si>
    <t>F03315C</t>
  </si>
  <si>
    <t>15-150</t>
  </si>
  <si>
    <t>F03315B</t>
  </si>
  <si>
    <t>15-120</t>
  </si>
  <si>
    <t>F03315A</t>
  </si>
  <si>
    <t>15-90</t>
  </si>
  <si>
    <t>F03314F</t>
  </si>
  <si>
    <t>15-60</t>
  </si>
  <si>
    <t>F03314E</t>
  </si>
  <si>
    <t>15-30</t>
  </si>
  <si>
    <t>F03314D</t>
  </si>
  <si>
    <t>14-180</t>
  </si>
  <si>
    <t>F03314C</t>
  </si>
  <si>
    <t>14-150</t>
  </si>
  <si>
    <t>F03314B</t>
  </si>
  <si>
    <t>14-120</t>
  </si>
  <si>
    <t>F03314A</t>
  </si>
  <si>
    <t>14-90</t>
  </si>
  <si>
    <t>F03313F</t>
  </si>
  <si>
    <t>14-60</t>
  </si>
  <si>
    <t>F03313E</t>
  </si>
  <si>
    <t>14-30</t>
  </si>
  <si>
    <t>F03313D</t>
  </si>
  <si>
    <t>13-180</t>
  </si>
  <si>
    <t>F03313C</t>
  </si>
  <si>
    <t>13-150</t>
  </si>
  <si>
    <t>F03313B</t>
  </si>
  <si>
    <t>13-120</t>
  </si>
  <si>
    <t>F03313A</t>
  </si>
  <si>
    <t>13-90</t>
  </si>
  <si>
    <t>F03312F</t>
  </si>
  <si>
    <t>13-60</t>
  </si>
  <si>
    <t>F03312E</t>
  </si>
  <si>
    <t>13-30</t>
  </si>
  <si>
    <t>F03312D</t>
  </si>
  <si>
    <t>12-180</t>
  </si>
  <si>
    <t>F03312C</t>
  </si>
  <si>
    <t>12-150</t>
  </si>
  <si>
    <t>F03312B</t>
  </si>
  <si>
    <t>12-120</t>
  </si>
  <si>
    <t>F03312A</t>
  </si>
  <si>
    <t>12-90</t>
  </si>
  <si>
    <t>F03311F</t>
  </si>
  <si>
    <t>12-60</t>
  </si>
  <si>
    <t>F03311E</t>
  </si>
  <si>
    <t>12-30</t>
  </si>
  <si>
    <t>F03311D</t>
  </si>
  <si>
    <t>11-180</t>
  </si>
  <si>
    <t>F03311C</t>
  </si>
  <si>
    <t>11-150</t>
  </si>
  <si>
    <t>F03311B</t>
  </si>
  <si>
    <t>11-120</t>
  </si>
  <si>
    <t>F03311A</t>
  </si>
  <si>
    <t>11-90</t>
  </si>
  <si>
    <t>no units</t>
  </si>
  <si>
    <t>cm/day</t>
  </si>
  <si>
    <t>1/cm</t>
  </si>
  <si>
    <t>cm3/cm3</t>
  </si>
  <si>
    <t>11-60</t>
  </si>
  <si>
    <t>L</t>
  </si>
  <si>
    <t>Ko</t>
  </si>
  <si>
    <t>Ks</t>
  </si>
  <si>
    <t>N</t>
  </si>
  <si>
    <t>Alpha</t>
  </si>
  <si>
    <t>Theta_s</t>
  </si>
  <si>
    <t>Theta_r</t>
  </si>
  <si>
    <t>Description</t>
  </si>
  <si>
    <t>Code</t>
  </si>
  <si>
    <t>11-30</t>
  </si>
  <si>
    <t>Rosetta Info - 02 OCT 15</t>
  </si>
  <si>
    <t>g/cm^3</t>
  </si>
  <si>
    <t>%</t>
  </si>
  <si>
    <t>cm/hr</t>
  </si>
  <si>
    <t>id-cm</t>
  </si>
  <si>
    <t>NS</t>
  </si>
  <si>
    <t>Processed by:</t>
  </si>
  <si>
    <t>Cotton '09</t>
  </si>
  <si>
    <t>Experiment Info:</t>
  </si>
  <si>
    <t>Bulk Density</t>
  </si>
  <si>
    <t>LL15000</t>
  </si>
  <si>
    <t>DUL333</t>
  </si>
  <si>
    <t>SAT1</t>
  </si>
  <si>
    <t>Rosetta:</t>
  </si>
  <si>
    <t>72-96</t>
  </si>
  <si>
    <t>2888D</t>
  </si>
  <si>
    <t>48-72</t>
  </si>
  <si>
    <t>36-48</t>
  </si>
  <si>
    <t>24-36</t>
  </si>
  <si>
    <t>12-24</t>
  </si>
  <si>
    <t>0-12</t>
  </si>
  <si>
    <t>2870D</t>
  </si>
  <si>
    <t>Loam</t>
  </si>
  <si>
    <t>2639D</t>
  </si>
  <si>
    <t>2439D</t>
  </si>
  <si>
    <t>2312D</t>
  </si>
  <si>
    <t>2154D</t>
  </si>
  <si>
    <t>1965D</t>
  </si>
  <si>
    <t>1938D</t>
  </si>
  <si>
    <t>1719D</t>
  </si>
  <si>
    <t>1638D</t>
  </si>
  <si>
    <t>1522D</t>
  </si>
  <si>
    <t>1347D</t>
  </si>
  <si>
    <t>1189D</t>
  </si>
  <si>
    <t>1067D</t>
  </si>
  <si>
    <t>723D</t>
  </si>
  <si>
    <t>392D</t>
  </si>
  <si>
    <t>557D</t>
  </si>
  <si>
    <t>Silt Loam</t>
  </si>
  <si>
    <t>517D</t>
  </si>
  <si>
    <t>219D</t>
  </si>
  <si>
    <t>F03411F</t>
  </si>
  <si>
    <t>F03411E</t>
  </si>
  <si>
    <t>F03411D</t>
  </si>
  <si>
    <t>F03411C</t>
  </si>
  <si>
    <t>F03411B</t>
  </si>
  <si>
    <t>F03411A</t>
  </si>
  <si>
    <t>F03410F</t>
  </si>
  <si>
    <t>F03410E</t>
  </si>
  <si>
    <t>F03410D</t>
  </si>
  <si>
    <t>F03410C</t>
  </si>
  <si>
    <t>F03410B</t>
  </si>
  <si>
    <t>F03410A</t>
  </si>
  <si>
    <t>F03409F</t>
  </si>
  <si>
    <t>F03409E</t>
  </si>
  <si>
    <t>F03409D</t>
  </si>
  <si>
    <t>F03409C</t>
  </si>
  <si>
    <t>F03409B</t>
  </si>
  <si>
    <t>F03409A</t>
  </si>
  <si>
    <t>F03408F</t>
  </si>
  <si>
    <t>F03408E</t>
  </si>
  <si>
    <t>F03408D</t>
  </si>
  <si>
    <t>F03408C</t>
  </si>
  <si>
    <t>F03408B</t>
  </si>
  <si>
    <t>F03408A</t>
  </si>
  <si>
    <t>F03407F</t>
  </si>
  <si>
    <t>F03407E</t>
  </si>
  <si>
    <t>F03407D</t>
  </si>
  <si>
    <t>F03407C</t>
  </si>
  <si>
    <t>F03407B</t>
  </si>
  <si>
    <t>F03407A</t>
  </si>
  <si>
    <t>F03406F</t>
  </si>
  <si>
    <t>F03406E</t>
  </si>
  <si>
    <t>F03406D</t>
  </si>
  <si>
    <t>F03406C</t>
  </si>
  <si>
    <t>F03406B</t>
  </si>
  <si>
    <t>F03406A</t>
  </si>
  <si>
    <t>F03405F</t>
  </si>
  <si>
    <t>F03405E</t>
  </si>
  <si>
    <t>F03405D</t>
  </si>
  <si>
    <t>F03405C</t>
  </si>
  <si>
    <t>F03405B</t>
  </si>
  <si>
    <t>F03405A</t>
  </si>
  <si>
    <t>F03404F</t>
  </si>
  <si>
    <t>F03404E</t>
  </si>
  <si>
    <t>94D</t>
  </si>
  <si>
    <t>F03404D</t>
  </si>
  <si>
    <t>F03404C</t>
  </si>
  <si>
    <t>F03404B</t>
  </si>
  <si>
    <t>F03404A</t>
  </si>
  <si>
    <t>F03403F</t>
  </si>
  <si>
    <t>F03403E</t>
  </si>
  <si>
    <t>F03403D</t>
  </si>
  <si>
    <t>F03403C</t>
  </si>
  <si>
    <t>F03403B</t>
  </si>
  <si>
    <t>F03403A</t>
  </si>
  <si>
    <t>F03402F</t>
  </si>
  <si>
    <t>F03402E</t>
  </si>
  <si>
    <t>F03402D</t>
  </si>
  <si>
    <t>F03402C</t>
  </si>
  <si>
    <t>F03402B</t>
  </si>
  <si>
    <t>F03402A</t>
  </si>
  <si>
    <t>F03401F</t>
  </si>
  <si>
    <t>F03401E</t>
  </si>
  <si>
    <t>F03401D</t>
  </si>
  <si>
    <t>F03401C</t>
  </si>
  <si>
    <t>F03401B</t>
  </si>
  <si>
    <t>F03401A</t>
  </si>
  <si>
    <t>Rosetta Info</t>
  </si>
  <si>
    <t>Processed in F3b 11</t>
  </si>
  <si>
    <t>Field 33 Cotton 11 Duelem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</si>
</sst>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0"/>
    <numFmt numFmtId="167" formatCode="0.00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104">
    <xf numFmtId="0" fontId="0" fillId="0" borderId="0" xfId="0"/>
    <xf numFmtId="0" fontId="2" fillId="0" borderId="0" xfId="0" applyFont="1"/>
    <xf numFmtId="164" fontId="0" fillId="0" borderId="1" xfId="0" applyNumberFormat="1" applyBorder="1"/>
    <xf numFmtId="165" fontId="0" fillId="0" borderId="0" xfId="0" applyNumberFormat="1"/>
    <xf numFmtId="0" fontId="0" fillId="0" borderId="0" xfId="0" applyAlignment="1">
      <alignment horizontal="center"/>
    </xf>
    <xf numFmtId="166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165" fontId="2" fillId="0" borderId="4" xfId="0" applyNumberFormat="1" applyFont="1" applyBorder="1" applyAlignment="1">
      <alignment horizontal="center"/>
    </xf>
    <xf numFmtId="165" fontId="2" fillId="0" borderId="4" xfId="0" applyNumberFormat="1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2" fontId="2" fillId="0" borderId="4" xfId="0" applyNumberFormat="1" applyFont="1" applyBorder="1" applyAlignment="1">
      <alignment horizontal="left" wrapText="1"/>
    </xf>
    <xf numFmtId="0" fontId="2" fillId="0" borderId="4" xfId="0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2" borderId="0" xfId="0" applyFill="1"/>
    <xf numFmtId="0" fontId="4" fillId="0" borderId="0" xfId="0" applyFont="1"/>
    <xf numFmtId="167" fontId="4" fillId="0" borderId="0" xfId="0" applyNumberFormat="1" applyFont="1"/>
    <xf numFmtId="164" fontId="4" fillId="0" borderId="0" xfId="0" applyNumberFormat="1" applyFont="1"/>
    <xf numFmtId="49" fontId="4" fillId="0" borderId="0" xfId="0" applyNumberFormat="1" applyFont="1"/>
    <xf numFmtId="165" fontId="5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5" fillId="0" borderId="0" xfId="0" applyFont="1" applyAlignment="1">
      <alignment horizontal="center"/>
    </xf>
    <xf numFmtId="1" fontId="4" fillId="0" borderId="0" xfId="0" applyNumberFormat="1" applyFont="1"/>
    <xf numFmtId="165" fontId="6" fillId="0" borderId="0" xfId="0" applyNumberFormat="1" applyFont="1"/>
    <xf numFmtId="2" fontId="6" fillId="0" borderId="0" xfId="0" applyNumberFormat="1" applyFont="1"/>
    <xf numFmtId="0" fontId="7" fillId="2" borderId="0" xfId="0" applyFont="1" applyFill="1"/>
    <xf numFmtId="0" fontId="8" fillId="0" borderId="0" xfId="0" applyFont="1"/>
    <xf numFmtId="0" fontId="0" fillId="0" borderId="7" xfId="0" applyBorder="1"/>
    <xf numFmtId="0" fontId="4" fillId="0" borderId="4" xfId="1" applyBorder="1"/>
    <xf numFmtId="164" fontId="4" fillId="0" borderId="4" xfId="1" applyNumberFormat="1" applyBorder="1"/>
    <xf numFmtId="1" fontId="4" fillId="0" borderId="4" xfId="1" applyNumberFormat="1" applyBorder="1" applyAlignment="1">
      <alignment horizontal="center"/>
    </xf>
    <xf numFmtId="0" fontId="4" fillId="0" borderId="4" xfId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2" fillId="0" borderId="1" xfId="1" applyFont="1" applyBorder="1"/>
    <xf numFmtId="164" fontId="4" fillId="0" borderId="1" xfId="1" applyNumberFormat="1" applyBorder="1"/>
    <xf numFmtId="165" fontId="4" fillId="0" borderId="1" xfId="1" applyNumberFormat="1" applyBorder="1"/>
    <xf numFmtId="1" fontId="4" fillId="0" borderId="1" xfId="1" applyNumberFormat="1" applyBorder="1" applyAlignment="1">
      <alignment horizontal="center"/>
    </xf>
    <xf numFmtId="0" fontId="4" fillId="0" borderId="1" xfId="1" applyBorder="1"/>
    <xf numFmtId="2" fontId="4" fillId="0" borderId="1" xfId="1" applyNumberFormat="1" applyBorder="1"/>
    <xf numFmtId="49" fontId="4" fillId="0" borderId="1" xfId="1" applyNumberFormat="1" applyBorder="1" applyAlignment="1">
      <alignment horizontal="center"/>
    </xf>
    <xf numFmtId="0" fontId="4" fillId="0" borderId="1" xfId="1" applyBorder="1" applyAlignment="1">
      <alignment horizontal="center"/>
    </xf>
    <xf numFmtId="165" fontId="2" fillId="0" borderId="4" xfId="1" applyNumberFormat="1" applyFont="1" applyBorder="1" applyAlignment="1">
      <alignment horizontal="center"/>
    </xf>
    <xf numFmtId="164" fontId="2" fillId="0" borderId="4" xfId="1" applyNumberFormat="1" applyFont="1" applyBorder="1" applyAlignment="1">
      <alignment horizontal="center"/>
    </xf>
    <xf numFmtId="165" fontId="2" fillId="0" borderId="4" xfId="1" applyNumberFormat="1" applyFont="1" applyBorder="1" applyAlignment="1">
      <alignment horizontal="left" wrapText="1"/>
    </xf>
    <xf numFmtId="1" fontId="2" fillId="0" borderId="4" xfId="1" applyNumberFormat="1" applyFont="1" applyBorder="1" applyAlignment="1">
      <alignment horizontal="center" wrapText="1"/>
    </xf>
    <xf numFmtId="0" fontId="2" fillId="0" borderId="4" xfId="1" applyFont="1" applyBorder="1" applyAlignment="1">
      <alignment horizontal="left" wrapText="1"/>
    </xf>
    <xf numFmtId="2" fontId="2" fillId="0" borderId="4" xfId="1" applyNumberFormat="1" applyFont="1" applyBorder="1" applyAlignment="1">
      <alignment horizontal="left" wrapText="1"/>
    </xf>
    <xf numFmtId="0" fontId="2" fillId="0" borderId="4" xfId="1" applyFont="1" applyBorder="1" applyAlignment="1">
      <alignment horizontal="left"/>
    </xf>
    <xf numFmtId="0" fontId="2" fillId="0" borderId="4" xfId="1" applyFont="1" applyBorder="1" applyAlignment="1">
      <alignment horizontal="center"/>
    </xf>
    <xf numFmtId="0" fontId="4" fillId="0" borderId="0" xfId="1"/>
    <xf numFmtId="164" fontId="4" fillId="0" borderId="0" xfId="1" applyNumberFormat="1"/>
    <xf numFmtId="1" fontId="4" fillId="0" borderId="0" xfId="1" applyNumberFormat="1" applyAlignment="1">
      <alignment horizontal="center"/>
    </xf>
    <xf numFmtId="0" fontId="4" fillId="0" borderId="0" xfId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2" fillId="0" borderId="4" xfId="1" applyFont="1" applyBorder="1"/>
    <xf numFmtId="165" fontId="4" fillId="0" borderId="4" xfId="1" applyNumberFormat="1" applyBorder="1"/>
    <xf numFmtId="2" fontId="4" fillId="0" borderId="4" xfId="1" applyNumberFormat="1" applyBorder="1"/>
    <xf numFmtId="49" fontId="4" fillId="0" borderId="4" xfId="1" applyNumberFormat="1" applyBorder="1" applyAlignment="1">
      <alignment horizontal="center"/>
    </xf>
    <xf numFmtId="0" fontId="2" fillId="0" borderId="0" xfId="1" applyFont="1"/>
    <xf numFmtId="165" fontId="4" fillId="0" borderId="0" xfId="1" applyNumberFormat="1"/>
    <xf numFmtId="2" fontId="4" fillId="0" borderId="0" xfId="1" applyNumberFormat="1"/>
    <xf numFmtId="49" fontId="4" fillId="0" borderId="0" xfId="1" applyNumberFormat="1" applyAlignment="1">
      <alignment horizontal="center"/>
    </xf>
    <xf numFmtId="0" fontId="0" fillId="0" borderId="1" xfId="0" applyBorder="1"/>
    <xf numFmtId="0" fontId="2" fillId="0" borderId="7" xfId="1" applyFont="1" applyBorder="1" applyAlignment="1">
      <alignment horizontal="left"/>
    </xf>
    <xf numFmtId="164" fontId="2" fillId="0" borderId="7" xfId="1" applyNumberFormat="1" applyFont="1" applyBorder="1" applyAlignment="1">
      <alignment horizontal="center"/>
    </xf>
    <xf numFmtId="165" fontId="2" fillId="0" borderId="7" xfId="1" applyNumberFormat="1" applyFont="1" applyBorder="1" applyAlignment="1">
      <alignment horizontal="left" wrapText="1"/>
    </xf>
    <xf numFmtId="1" fontId="2" fillId="0" borderId="7" xfId="1" applyNumberFormat="1" applyFont="1" applyBorder="1" applyAlignment="1">
      <alignment horizontal="center" wrapText="1"/>
    </xf>
    <xf numFmtId="0" fontId="2" fillId="0" borderId="7" xfId="1" applyFont="1" applyBorder="1" applyAlignment="1">
      <alignment horizontal="left" wrapText="1"/>
    </xf>
    <xf numFmtId="2" fontId="2" fillId="0" borderId="7" xfId="1" applyNumberFormat="1" applyFont="1" applyBorder="1" applyAlignment="1">
      <alignment horizontal="left" wrapText="1"/>
    </xf>
    <xf numFmtId="0" fontId="2" fillId="0" borderId="7" xfId="1" applyFont="1" applyBorder="1" applyAlignment="1">
      <alignment horizontal="center"/>
    </xf>
    <xf numFmtId="0" fontId="2" fillId="0" borderId="8" xfId="1" applyFont="1" applyBorder="1"/>
    <xf numFmtId="164" fontId="4" fillId="0" borderId="8" xfId="1" applyNumberFormat="1" applyBorder="1"/>
    <xf numFmtId="165" fontId="4" fillId="0" borderId="8" xfId="1" applyNumberFormat="1" applyBorder="1"/>
    <xf numFmtId="1" fontId="4" fillId="0" borderId="8" xfId="1" applyNumberFormat="1" applyBorder="1" applyAlignment="1">
      <alignment horizontal="center"/>
    </xf>
    <xf numFmtId="0" fontId="4" fillId="0" borderId="8" xfId="1" applyBorder="1"/>
    <xf numFmtId="2" fontId="4" fillId="0" borderId="8" xfId="1" applyNumberFormat="1" applyBorder="1"/>
    <xf numFmtId="49" fontId="4" fillId="0" borderId="8" xfId="1" applyNumberFormat="1" applyBorder="1" applyAlignment="1">
      <alignment horizontal="center"/>
    </xf>
    <xf numFmtId="0" fontId="4" fillId="0" borderId="8" xfId="1" applyBorder="1" applyAlignment="1">
      <alignment horizontal="center"/>
    </xf>
    <xf numFmtId="166" fontId="2" fillId="0" borderId="8" xfId="0" applyNumberFormat="1" applyFont="1" applyBorder="1" applyAlignment="1">
      <alignment horizontal="center"/>
    </xf>
    <xf numFmtId="0" fontId="2" fillId="0" borderId="1" xfId="1" applyFont="1" applyBorder="1" applyAlignment="1">
      <alignment horizontal="left"/>
    </xf>
    <xf numFmtId="164" fontId="2" fillId="0" borderId="1" xfId="1" applyNumberFormat="1" applyFont="1" applyBorder="1" applyAlignment="1">
      <alignment horizontal="center"/>
    </xf>
    <xf numFmtId="165" fontId="2" fillId="0" borderId="1" xfId="1" applyNumberFormat="1" applyFont="1" applyBorder="1" applyAlignment="1">
      <alignment horizontal="left" wrapText="1"/>
    </xf>
    <xf numFmtId="1" fontId="2" fillId="0" borderId="1" xfId="1" applyNumberFormat="1" applyFont="1" applyBorder="1" applyAlignment="1">
      <alignment horizontal="center" wrapText="1"/>
    </xf>
    <xf numFmtId="0" fontId="2" fillId="0" borderId="1" xfId="1" applyFont="1" applyBorder="1" applyAlignment="1">
      <alignment horizontal="left" wrapText="1"/>
    </xf>
    <xf numFmtId="2" fontId="2" fillId="0" borderId="1" xfId="1" applyNumberFormat="1" applyFont="1" applyBorder="1" applyAlignment="1">
      <alignment horizontal="left" wrapText="1"/>
    </xf>
    <xf numFmtId="0" fontId="2" fillId="0" borderId="1" xfId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9" xfId="1" applyFont="1" applyBorder="1" applyAlignment="1">
      <alignment horizontal="left"/>
    </xf>
    <xf numFmtId="164" fontId="2" fillId="0" borderId="9" xfId="1" applyNumberFormat="1" applyFont="1" applyBorder="1" applyAlignment="1">
      <alignment horizontal="center"/>
    </xf>
    <xf numFmtId="165" fontId="2" fillId="0" borderId="9" xfId="1" applyNumberFormat="1" applyFont="1" applyBorder="1" applyAlignment="1">
      <alignment horizontal="left" wrapText="1"/>
    </xf>
    <xf numFmtId="1" fontId="2" fillId="0" borderId="9" xfId="1" applyNumberFormat="1" applyFont="1" applyBorder="1" applyAlignment="1">
      <alignment horizontal="center" wrapText="1"/>
    </xf>
    <xf numFmtId="0" fontId="2" fillId="0" borderId="9" xfId="1" applyFont="1" applyBorder="1" applyAlignment="1">
      <alignment horizontal="left" wrapText="1"/>
    </xf>
    <xf numFmtId="2" fontId="2" fillId="0" borderId="9" xfId="1" applyNumberFormat="1" applyFont="1" applyBorder="1" applyAlignment="1">
      <alignment horizontal="left" wrapText="1"/>
    </xf>
    <xf numFmtId="0" fontId="2" fillId="0" borderId="9" xfId="1" applyFont="1" applyBorder="1" applyAlignment="1">
      <alignment horizontal="center"/>
    </xf>
    <xf numFmtId="0" fontId="4" fillId="0" borderId="0" xfId="1" applyAlignment="1">
      <alignment horizontal="left"/>
    </xf>
  </cellXfs>
  <cellStyles count="2">
    <cellStyle name="Normal" xfId="0" builtinId="0"/>
    <cellStyle name="Normal 2" xfId="1" xr:uid="{9A8A1B54-5D28-4BC2-A9CA-3A8CFE6F35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7F148-6E86-494F-8860-D760DD3066B3}">
  <dimension ref="A1"/>
  <sheetViews>
    <sheetView workbookViewId="0">
      <selection activeCell="D41" sqref="D4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CC583-9D7D-4FF2-A64B-2AE864AD0A0A}">
  <dimension ref="A1:AR1010"/>
  <sheetViews>
    <sheetView zoomScale="85" zoomScaleNormal="85" workbookViewId="0">
      <selection activeCell="T3" sqref="T3"/>
    </sheetView>
  </sheetViews>
  <sheetFormatPr defaultRowHeight="15" x14ac:dyDescent="0.25"/>
  <cols>
    <col min="2" max="2" width="7.140625" bestFit="1" customWidth="1"/>
    <col min="3" max="3" width="8" customWidth="1"/>
    <col min="5" max="5" width="8" bestFit="1" customWidth="1"/>
    <col min="6" max="6" width="9.7109375" customWidth="1"/>
    <col min="8" max="8" width="9.5703125" bestFit="1" customWidth="1"/>
    <col min="10" max="10" width="10.85546875" customWidth="1"/>
    <col min="12" max="12" width="9.5703125" bestFit="1" customWidth="1"/>
    <col min="13" max="13" width="7.7109375" bestFit="1" customWidth="1"/>
    <col min="14" max="14" width="6" bestFit="1" customWidth="1"/>
    <col min="15" max="15" width="7" bestFit="1" customWidth="1"/>
    <col min="16" max="16" width="18.28515625" bestFit="1" customWidth="1"/>
    <col min="17" max="17" width="13.85546875" bestFit="1" customWidth="1"/>
    <col min="18" max="18" width="15" bestFit="1" customWidth="1"/>
    <col min="19" max="19" width="10.7109375" bestFit="1" customWidth="1"/>
    <col min="20" max="21" width="11.7109375" bestFit="1" customWidth="1"/>
  </cols>
  <sheetData>
    <row r="1" spans="1:44" ht="18.75" x14ac:dyDescent="0.3">
      <c r="A1" s="28"/>
      <c r="B1" s="30"/>
      <c r="C1" s="29"/>
      <c r="D1" s="27"/>
      <c r="E1" s="27"/>
      <c r="F1" s="27"/>
      <c r="G1" s="27"/>
      <c r="H1" s="27"/>
      <c r="I1" s="3"/>
      <c r="J1" s="3"/>
      <c r="K1" s="3"/>
      <c r="L1" s="3"/>
      <c r="M1" s="3"/>
      <c r="N1" s="3"/>
      <c r="O1" s="3"/>
      <c r="P1" s="1"/>
      <c r="Q1" s="1"/>
      <c r="R1" s="35"/>
      <c r="S1" s="17"/>
      <c r="T1" s="17"/>
      <c r="U1" s="17"/>
      <c r="V1" s="17"/>
      <c r="W1" s="17"/>
      <c r="X1" s="17"/>
      <c r="Y1" s="17"/>
      <c r="Z1" s="17"/>
      <c r="AA1" s="17"/>
      <c r="AB1" s="17"/>
      <c r="AC1" s="34" t="s">
        <v>838</v>
      </c>
      <c r="AD1" s="23" t="s">
        <v>823</v>
      </c>
      <c r="AE1" s="26" t="s">
        <v>822</v>
      </c>
      <c r="AF1" s="23" t="s">
        <v>821</v>
      </c>
      <c r="AG1" s="23" t="s">
        <v>820</v>
      </c>
      <c r="AH1" s="23" t="s">
        <v>819</v>
      </c>
      <c r="AI1" s="23" t="s">
        <v>818</v>
      </c>
      <c r="AJ1" s="23" t="s">
        <v>817</v>
      </c>
      <c r="AK1" s="23" t="s">
        <v>816</v>
      </c>
      <c r="AL1" s="23" t="s">
        <v>815</v>
      </c>
      <c r="AM1" s="23" t="s">
        <v>817</v>
      </c>
      <c r="AN1" s="31" t="s">
        <v>837</v>
      </c>
      <c r="AO1" s="23" t="s">
        <v>836</v>
      </c>
      <c r="AP1" s="23" t="s">
        <v>835</v>
      </c>
      <c r="AQ1" s="23" t="s">
        <v>834</v>
      </c>
      <c r="AR1" s="23">
        <v>-99</v>
      </c>
    </row>
    <row r="2" spans="1:44" ht="15.75" x14ac:dyDescent="0.25">
      <c r="A2" s="28" t="s">
        <v>833</v>
      </c>
      <c r="B2" s="30"/>
      <c r="D2" s="33" t="s">
        <v>832</v>
      </c>
      <c r="F2" s="27" t="s">
        <v>831</v>
      </c>
      <c r="G2" s="27"/>
      <c r="H2" s="32" t="s">
        <v>830</v>
      </c>
      <c r="I2" s="3"/>
      <c r="J2" s="3"/>
      <c r="K2" s="3"/>
      <c r="L2" s="3"/>
      <c r="M2" s="3"/>
      <c r="N2" s="3"/>
      <c r="O2" s="3"/>
      <c r="P2" s="1"/>
      <c r="Q2" s="1"/>
      <c r="R2" s="1"/>
      <c r="S2" s="17"/>
      <c r="T2" s="17"/>
      <c r="U2" s="17"/>
      <c r="V2" s="17"/>
      <c r="W2" s="17"/>
      <c r="X2" s="17"/>
      <c r="Y2" s="17"/>
      <c r="Z2" s="17"/>
      <c r="AA2" s="17"/>
      <c r="AB2" s="17"/>
      <c r="AD2" s="23"/>
      <c r="AE2" s="23" t="s">
        <v>829</v>
      </c>
      <c r="AF2" s="26" t="s">
        <v>813</v>
      </c>
      <c r="AG2" s="23" t="s">
        <v>813</v>
      </c>
      <c r="AH2" s="23" t="s">
        <v>812</v>
      </c>
      <c r="AI2" s="23"/>
      <c r="AJ2" s="23" t="s">
        <v>811</v>
      </c>
      <c r="AK2" s="23" t="s">
        <v>811</v>
      </c>
      <c r="AL2" s="23"/>
      <c r="AM2" s="23" t="s">
        <v>828</v>
      </c>
      <c r="AN2" s="31" t="s">
        <v>827</v>
      </c>
      <c r="AO2" s="23" t="s">
        <v>827</v>
      </c>
      <c r="AP2" s="23" t="s">
        <v>827</v>
      </c>
      <c r="AQ2" s="23" t="s">
        <v>826</v>
      </c>
      <c r="AR2" s="23">
        <v>-99</v>
      </c>
    </row>
    <row r="3" spans="1:44" ht="15.75" x14ac:dyDescent="0.25">
      <c r="A3" s="28"/>
      <c r="B3" s="30"/>
      <c r="C3" s="29"/>
      <c r="D3" s="28"/>
      <c r="E3" s="27"/>
      <c r="F3" s="27"/>
      <c r="G3" s="27"/>
      <c r="H3" s="27"/>
      <c r="I3" s="3"/>
      <c r="J3" s="3"/>
      <c r="K3" s="3"/>
      <c r="L3" s="3"/>
      <c r="M3" s="3"/>
      <c r="N3" s="3"/>
      <c r="O3" s="3"/>
      <c r="P3" s="1"/>
      <c r="Q3" s="1"/>
      <c r="R3" s="1"/>
      <c r="S3" s="17"/>
      <c r="T3" s="17" t="s">
        <v>825</v>
      </c>
      <c r="U3" s="17"/>
      <c r="V3" s="17"/>
      <c r="W3" s="17"/>
      <c r="X3" s="17"/>
      <c r="Y3" s="17"/>
      <c r="Z3" s="17"/>
      <c r="AA3" s="17"/>
      <c r="AB3" s="17"/>
      <c r="AD3" s="23">
        <v>0</v>
      </c>
      <c r="AE3" s="26" t="s">
        <v>824</v>
      </c>
      <c r="AF3" s="23">
        <v>5.1810000000000002E-2</v>
      </c>
      <c r="AG3" s="23">
        <v>0.38279000000000002</v>
      </c>
      <c r="AH3" s="23">
        <v>3.04E-2</v>
      </c>
      <c r="AI3" s="23">
        <v>1.3801699999999999</v>
      </c>
      <c r="AJ3" s="23">
        <v>29.932970000000001</v>
      </c>
      <c r="AK3" s="23">
        <v>13.81061</v>
      </c>
      <c r="AL3" s="23">
        <v>-1.26881</v>
      </c>
      <c r="AM3" s="25">
        <v>1.2472070833333333</v>
      </c>
      <c r="AN3" s="25">
        <v>0.38205931301453683</v>
      </c>
      <c r="AO3" s="25">
        <v>0.18758081581634162</v>
      </c>
      <c r="AP3" s="25">
        <v>8.40888091370907E-2</v>
      </c>
      <c r="AQ3" s="24">
        <v>1.6375428205114773</v>
      </c>
      <c r="AR3" s="23">
        <v>-99</v>
      </c>
    </row>
    <row r="4" spans="1:44" ht="51.75" x14ac:dyDescent="0.25">
      <c r="A4" s="14" t="s">
        <v>21</v>
      </c>
      <c r="B4" s="9" t="s">
        <v>20</v>
      </c>
      <c r="C4" s="13" t="s">
        <v>19</v>
      </c>
      <c r="D4" s="12" t="s">
        <v>18</v>
      </c>
      <c r="E4" s="11" t="s">
        <v>17</v>
      </c>
      <c r="F4" s="11" t="s">
        <v>16</v>
      </c>
      <c r="G4" s="11" t="s">
        <v>15</v>
      </c>
      <c r="H4" s="11" t="s">
        <v>14</v>
      </c>
      <c r="I4" s="11" t="s">
        <v>13</v>
      </c>
      <c r="J4" s="11" t="s">
        <v>12</v>
      </c>
      <c r="K4" s="11" t="s">
        <v>11</v>
      </c>
      <c r="L4" s="11" t="s">
        <v>10</v>
      </c>
      <c r="M4" s="10" t="s">
        <v>9</v>
      </c>
      <c r="N4" s="10" t="s">
        <v>8</v>
      </c>
      <c r="O4" s="10" t="s">
        <v>7</v>
      </c>
      <c r="P4" s="9" t="s">
        <v>6</v>
      </c>
      <c r="Q4" s="19" t="s">
        <v>5</v>
      </c>
      <c r="R4" s="19"/>
      <c r="S4" s="17"/>
      <c r="T4" t="s">
        <v>823</v>
      </c>
      <c r="U4" t="s">
        <v>822</v>
      </c>
      <c r="V4" t="s">
        <v>821</v>
      </c>
      <c r="W4" t="s">
        <v>820</v>
      </c>
      <c r="X4" t="s">
        <v>819</v>
      </c>
      <c r="Y4" t="s">
        <v>818</v>
      </c>
      <c r="Z4" t="s">
        <v>817</v>
      </c>
      <c r="AA4" t="s">
        <v>816</v>
      </c>
      <c r="AB4" t="s">
        <v>815</v>
      </c>
      <c r="AD4" s="23">
        <v>1</v>
      </c>
      <c r="AE4" s="26" t="s">
        <v>814</v>
      </c>
      <c r="AF4" s="23">
        <v>5.2130000000000003E-2</v>
      </c>
      <c r="AG4" s="23">
        <v>0.38133</v>
      </c>
      <c r="AH4" s="23">
        <v>3.125E-2</v>
      </c>
      <c r="AI4" s="23">
        <v>1.3858600000000001</v>
      </c>
      <c r="AJ4" s="23">
        <v>31.487829999999999</v>
      </c>
      <c r="AK4" s="23">
        <v>14.24705</v>
      </c>
      <c r="AL4" s="23">
        <v>-1.2805299999999999</v>
      </c>
      <c r="AM4" s="25">
        <v>1.3119929166666666</v>
      </c>
      <c r="AN4" s="25">
        <v>0.38058187611054767</v>
      </c>
      <c r="AO4" s="25">
        <v>0.18404973542759487</v>
      </c>
      <c r="AP4" s="25">
        <v>8.280795356959457E-2</v>
      </c>
      <c r="AQ4" s="24">
        <v>1.6414580283070486</v>
      </c>
      <c r="AR4" s="23">
        <v>-99</v>
      </c>
    </row>
    <row r="5" spans="1:44" x14ac:dyDescent="0.25">
      <c r="C5" s="16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1"/>
      <c r="Q5" s="5" t="s">
        <v>4</v>
      </c>
      <c r="R5" s="5" t="s">
        <v>3</v>
      </c>
      <c r="S5" s="17"/>
      <c r="V5" t="s">
        <v>813</v>
      </c>
      <c r="W5" t="s">
        <v>813</v>
      </c>
      <c r="X5" t="s">
        <v>812</v>
      </c>
      <c r="Y5" t="s">
        <v>810</v>
      </c>
      <c r="Z5" t="s">
        <v>811</v>
      </c>
      <c r="AA5" t="s">
        <v>811</v>
      </c>
      <c r="AB5" t="s">
        <v>810</v>
      </c>
      <c r="AD5" s="23">
        <v>2</v>
      </c>
      <c r="AE5" s="26" t="s">
        <v>809</v>
      </c>
      <c r="AF5" s="23">
        <v>4.8500000000000001E-2</v>
      </c>
      <c r="AG5" s="23">
        <v>0.38289000000000001</v>
      </c>
      <c r="AH5" s="23">
        <v>3.1989999999999998E-2</v>
      </c>
      <c r="AI5" s="23">
        <v>1.3972100000000001</v>
      </c>
      <c r="AJ5" s="23">
        <v>35.637079999999997</v>
      </c>
      <c r="AK5" s="23">
        <v>15.79266</v>
      </c>
      <c r="AL5" s="23">
        <v>-1.2195800000000001</v>
      </c>
      <c r="AM5" s="25">
        <v>1.4848783333333333</v>
      </c>
      <c r="AN5" s="25">
        <v>0.3821192069499213</v>
      </c>
      <c r="AO5" s="25">
        <v>0.17782692196765754</v>
      </c>
      <c r="AP5" s="25">
        <v>7.729182624803084E-2</v>
      </c>
      <c r="AQ5" s="24">
        <v>1.6373841015827084</v>
      </c>
      <c r="AR5" s="23">
        <v>-99</v>
      </c>
    </row>
    <row r="6" spans="1:44" x14ac:dyDescent="0.25">
      <c r="A6" s="4">
        <v>11</v>
      </c>
      <c r="B6">
        <v>30</v>
      </c>
      <c r="C6" s="16">
        <v>50</v>
      </c>
      <c r="D6">
        <v>20</v>
      </c>
      <c r="E6" s="3">
        <v>22</v>
      </c>
      <c r="F6" s="3">
        <f>1.8*E6+32</f>
        <v>71.599999999999994</v>
      </c>
      <c r="G6" s="3">
        <v>16</v>
      </c>
      <c r="H6" s="3">
        <f>IF(F6&gt;68,G6+(F6-68)*0.2,G153-(68-F6)*0.2)</f>
        <v>16.72</v>
      </c>
      <c r="I6" s="3">
        <v>22</v>
      </c>
      <c r="J6" s="3">
        <f>1.8*I6+32</f>
        <v>71.599999999999994</v>
      </c>
      <c r="K6" s="3">
        <v>7</v>
      </c>
      <c r="L6" s="3">
        <f>IF(J6&gt;68,K6+(J6-68)*0.2,K6-(68-J6)*0.2)</f>
        <v>7.7199999999999989</v>
      </c>
      <c r="M6" s="3">
        <f>(C6-H6)/C6*100</f>
        <v>66.56</v>
      </c>
      <c r="N6" s="3">
        <f>100-(M6+O6)</f>
        <v>18</v>
      </c>
      <c r="O6" s="3">
        <f>L6/C6*100</f>
        <v>15.439999999999998</v>
      </c>
      <c r="P6" s="1" t="s">
        <v>0</v>
      </c>
      <c r="Q6" s="15">
        <v>407590.46</v>
      </c>
      <c r="R6" s="15">
        <v>3659870</v>
      </c>
      <c r="S6" s="17"/>
      <c r="T6">
        <v>2009033</v>
      </c>
      <c r="U6" t="s">
        <v>808</v>
      </c>
      <c r="V6">
        <v>5.1810000000000002E-2</v>
      </c>
      <c r="W6">
        <v>0.38279000000000002</v>
      </c>
      <c r="X6">
        <v>3.04E-2</v>
      </c>
      <c r="Y6">
        <v>1.3801699999999999</v>
      </c>
      <c r="Z6">
        <v>29.932970000000001</v>
      </c>
      <c r="AA6">
        <v>13.81061</v>
      </c>
      <c r="AB6">
        <v>-1.26881</v>
      </c>
      <c r="AD6" s="23">
        <v>3</v>
      </c>
      <c r="AE6" s="26" t="s">
        <v>807</v>
      </c>
      <c r="AF6" s="23">
        <v>6.5939999999999999E-2</v>
      </c>
      <c r="AG6" s="23">
        <v>0.39156999999999997</v>
      </c>
      <c r="AH6" s="23">
        <v>2.436E-2</v>
      </c>
      <c r="AI6" s="23">
        <v>1.3372900000000001</v>
      </c>
      <c r="AJ6" s="23">
        <v>13.188739999999999</v>
      </c>
      <c r="AK6" s="23">
        <v>8.3062299999999993</v>
      </c>
      <c r="AL6" s="23">
        <v>-1.3712899999999999</v>
      </c>
      <c r="AM6" s="25">
        <v>0.5495308333333333</v>
      </c>
      <c r="AN6" s="25">
        <v>0.39100096951161178</v>
      </c>
      <c r="AO6" s="25">
        <v>0.22428949225631864</v>
      </c>
      <c r="AP6" s="25">
        <v>0.11043254531848246</v>
      </c>
      <c r="AQ6" s="24">
        <v>1.6138474307942288</v>
      </c>
      <c r="AR6" s="23">
        <v>-99</v>
      </c>
    </row>
    <row r="7" spans="1:44" x14ac:dyDescent="0.25">
      <c r="A7" s="4">
        <v>11</v>
      </c>
      <c r="B7">
        <v>60</v>
      </c>
      <c r="C7" s="16">
        <v>50</v>
      </c>
      <c r="D7">
        <v>20</v>
      </c>
      <c r="E7" s="3">
        <v>22</v>
      </c>
      <c r="F7" s="3">
        <f>1.8*E7+32</f>
        <v>71.599999999999994</v>
      </c>
      <c r="G7" s="3">
        <v>15</v>
      </c>
      <c r="H7" s="3">
        <f>IF(F7&gt;68,G7+(F7-68)*0.2,G154-(68-F7)*0.2)</f>
        <v>15.719999999999999</v>
      </c>
      <c r="I7" s="3">
        <v>22</v>
      </c>
      <c r="J7" s="3">
        <f>1.8*I7+32</f>
        <v>71.599999999999994</v>
      </c>
      <c r="K7" s="3">
        <v>7</v>
      </c>
      <c r="L7" s="3">
        <f>IF(J7&gt;68,K7+(J7-68)*0.2,K7-(68-J7)*0.2)</f>
        <v>7.7199999999999989</v>
      </c>
      <c r="M7" s="3">
        <f>(C7-H7)/C7*100</f>
        <v>68.56</v>
      </c>
      <c r="N7" s="3">
        <f>100-(M7+O7)</f>
        <v>16</v>
      </c>
      <c r="O7" s="3">
        <f>L7/C7*100</f>
        <v>15.439999999999998</v>
      </c>
      <c r="P7" s="1" t="s">
        <v>0</v>
      </c>
      <c r="Q7" s="15">
        <v>407590.46</v>
      </c>
      <c r="R7" s="15">
        <v>3659870</v>
      </c>
      <c r="S7" s="17"/>
      <c r="T7">
        <v>2009033</v>
      </c>
      <c r="U7" t="s">
        <v>806</v>
      </c>
      <c r="V7">
        <v>5.2130000000000003E-2</v>
      </c>
      <c r="W7">
        <v>0.38133</v>
      </c>
      <c r="X7">
        <v>3.125E-2</v>
      </c>
      <c r="Y7">
        <v>1.3858600000000001</v>
      </c>
      <c r="Z7">
        <v>31.487829999999999</v>
      </c>
      <c r="AA7">
        <v>14.24705</v>
      </c>
      <c r="AB7">
        <v>-1.2805299999999999</v>
      </c>
      <c r="AD7" s="23">
        <v>4</v>
      </c>
      <c r="AE7" s="26" t="s">
        <v>805</v>
      </c>
      <c r="AF7" s="23">
        <v>6.2659999999999993E-2</v>
      </c>
      <c r="AG7" s="23">
        <v>0.39096999999999998</v>
      </c>
      <c r="AH7" s="23">
        <v>2.385E-2</v>
      </c>
      <c r="AI7" s="23">
        <v>1.3552500000000001</v>
      </c>
      <c r="AJ7" s="23">
        <v>15.23907</v>
      </c>
      <c r="AK7" s="23">
        <v>8.6501400000000004</v>
      </c>
      <c r="AL7" s="23">
        <v>-1.2518</v>
      </c>
      <c r="AM7" s="25">
        <v>0.63496125000000003</v>
      </c>
      <c r="AN7" s="25">
        <v>0.39042779801607647</v>
      </c>
      <c r="AO7" s="25">
        <v>0.21751196070277184</v>
      </c>
      <c r="AP7" s="25">
        <v>0.10331233952901815</v>
      </c>
      <c r="AQ7" s="24">
        <v>1.6153663352573975</v>
      </c>
      <c r="AR7" s="23">
        <v>-99</v>
      </c>
    </row>
    <row r="8" spans="1:44" x14ac:dyDescent="0.25">
      <c r="A8" s="4">
        <v>11</v>
      </c>
      <c r="B8">
        <v>90</v>
      </c>
      <c r="C8" s="16">
        <v>50</v>
      </c>
      <c r="D8">
        <v>20</v>
      </c>
      <c r="E8" s="3">
        <v>22.5</v>
      </c>
      <c r="F8" s="3">
        <f>1.8*E8+32</f>
        <v>72.5</v>
      </c>
      <c r="G8" s="3">
        <v>15</v>
      </c>
      <c r="H8" s="3">
        <f>IF(F8&gt;68,G8+(F8-68)*0.2,G155-(68-F8)*0.2)</f>
        <v>15.9</v>
      </c>
      <c r="I8" s="3">
        <v>22</v>
      </c>
      <c r="J8" s="3">
        <f>1.8*I8+32</f>
        <v>71.599999999999994</v>
      </c>
      <c r="K8" s="3">
        <v>6</v>
      </c>
      <c r="L8" s="3">
        <f>IF(J8&gt;68,K8+(J8-68)*0.2,K8-(68-J8)*0.2)</f>
        <v>6.7199999999999989</v>
      </c>
      <c r="M8" s="3">
        <f>(C8-H8)/C8*100</f>
        <v>68.2</v>
      </c>
      <c r="N8" s="3">
        <f>100-(M8+O8)</f>
        <v>18.36</v>
      </c>
      <c r="O8" s="3">
        <f>L8/C8*100</f>
        <v>13.439999999999996</v>
      </c>
      <c r="P8" s="1" t="s">
        <v>0</v>
      </c>
      <c r="Q8" s="15">
        <v>407590.46</v>
      </c>
      <c r="R8" s="15">
        <v>3659870</v>
      </c>
      <c r="S8" s="17"/>
      <c r="T8">
        <v>2009033</v>
      </c>
      <c r="U8" t="s">
        <v>804</v>
      </c>
      <c r="V8">
        <v>4.8500000000000001E-2</v>
      </c>
      <c r="W8">
        <v>0.38289000000000001</v>
      </c>
      <c r="X8">
        <v>3.1989999999999998E-2</v>
      </c>
      <c r="Y8">
        <v>1.3972100000000001</v>
      </c>
      <c r="Z8">
        <v>35.637079999999997</v>
      </c>
      <c r="AA8">
        <v>15.79266</v>
      </c>
      <c r="AB8">
        <v>-1.2195800000000001</v>
      </c>
      <c r="AD8" s="23">
        <v>5</v>
      </c>
      <c r="AE8" s="26" t="s">
        <v>803</v>
      </c>
      <c r="AF8" s="23">
        <v>6.2E-2</v>
      </c>
      <c r="AG8" s="23">
        <v>0.38628000000000001</v>
      </c>
      <c r="AH8" s="23">
        <v>2.6519999999999998E-2</v>
      </c>
      <c r="AI8" s="23">
        <v>1.34049</v>
      </c>
      <c r="AJ8" s="23">
        <v>16.909079999999999</v>
      </c>
      <c r="AK8" s="23">
        <v>9.65977</v>
      </c>
      <c r="AL8" s="23">
        <v>-1.4053100000000001</v>
      </c>
      <c r="AM8" s="25">
        <v>0.70454499999999998</v>
      </c>
      <c r="AN8" s="25">
        <v>0.38564833654423186</v>
      </c>
      <c r="AO8" s="25">
        <v>0.21441080166498172</v>
      </c>
      <c r="AP8" s="25">
        <v>0.10424002682649444</v>
      </c>
      <c r="AQ8" s="24">
        <v>1.6280319081577856</v>
      </c>
      <c r="AR8" s="23">
        <v>-99</v>
      </c>
    </row>
    <row r="9" spans="1:44" x14ac:dyDescent="0.25">
      <c r="A9" s="4">
        <v>11</v>
      </c>
      <c r="B9">
        <v>120</v>
      </c>
      <c r="C9" s="16">
        <v>50</v>
      </c>
      <c r="D9">
        <v>20</v>
      </c>
      <c r="E9" s="3">
        <v>25.5</v>
      </c>
      <c r="F9" s="3">
        <f>1.8*E9+32</f>
        <v>77.900000000000006</v>
      </c>
      <c r="G9" s="3">
        <v>20</v>
      </c>
      <c r="H9" s="3">
        <f>IF(F9&gt;68,G9+(F9-68)*0.2,G157-(68-F9)*0.2)</f>
        <v>21.98</v>
      </c>
      <c r="I9" s="3">
        <v>23</v>
      </c>
      <c r="J9" s="3">
        <f>1.8*I9+32</f>
        <v>73.400000000000006</v>
      </c>
      <c r="K9" s="3">
        <v>11</v>
      </c>
      <c r="L9" s="3">
        <f>IF(J9&gt;68,K9+(J9-68)*0.2,K9-(68-J9)*0.2)</f>
        <v>12.080000000000002</v>
      </c>
      <c r="M9" s="3">
        <f>(C9-H9)/C9*100</f>
        <v>56.04</v>
      </c>
      <c r="N9" s="3">
        <f>100-(M9+O9)</f>
        <v>19.799999999999997</v>
      </c>
      <c r="O9" s="3">
        <f>L9/C9*100</f>
        <v>24.160000000000004</v>
      </c>
      <c r="P9" s="1" t="s">
        <v>2</v>
      </c>
      <c r="Q9" s="15">
        <v>407590.46</v>
      </c>
      <c r="R9" s="15">
        <v>3659870</v>
      </c>
      <c r="S9" s="17"/>
      <c r="T9">
        <v>2009033</v>
      </c>
      <c r="U9" t="s">
        <v>802</v>
      </c>
      <c r="V9">
        <v>6.5939999999999999E-2</v>
      </c>
      <c r="W9">
        <v>0.39156999999999997</v>
      </c>
      <c r="X9">
        <v>2.436E-2</v>
      </c>
      <c r="Y9">
        <v>1.3372900000000001</v>
      </c>
      <c r="Z9">
        <v>13.188739999999999</v>
      </c>
      <c r="AA9">
        <v>8.3062299999999993</v>
      </c>
      <c r="AB9">
        <v>-1.3712899999999999</v>
      </c>
      <c r="AD9" s="23">
        <v>6</v>
      </c>
      <c r="AE9" s="26" t="s">
        <v>801</v>
      </c>
      <c r="AF9" s="23">
        <v>5.6890000000000003E-2</v>
      </c>
      <c r="AG9" s="23">
        <v>0.38377</v>
      </c>
      <c r="AH9" s="23">
        <v>2.828E-2</v>
      </c>
      <c r="AI9" s="23">
        <v>1.3582700000000001</v>
      </c>
      <c r="AJ9" s="23">
        <v>22.54008</v>
      </c>
      <c r="AK9" s="23">
        <v>11.43548</v>
      </c>
      <c r="AL9" s="23">
        <v>-1.3401000000000001</v>
      </c>
      <c r="AM9" s="25">
        <v>0.93916999999999995</v>
      </c>
      <c r="AN9" s="25">
        <v>0.38309368693321993</v>
      </c>
      <c r="AO9" s="25">
        <v>0.20148033531753817</v>
      </c>
      <c r="AP9" s="25">
        <v>9.4299138294477211E-2</v>
      </c>
      <c r="AQ9" s="24">
        <v>1.634801729626967</v>
      </c>
      <c r="AR9" s="23">
        <v>-99</v>
      </c>
    </row>
    <row r="10" spans="1:44" x14ac:dyDescent="0.25">
      <c r="A10" s="4">
        <v>11</v>
      </c>
      <c r="B10">
        <v>150</v>
      </c>
      <c r="C10" s="16">
        <v>50</v>
      </c>
      <c r="D10">
        <v>20</v>
      </c>
      <c r="E10" s="3">
        <v>25</v>
      </c>
      <c r="F10" s="3">
        <f>1.8*E10+32</f>
        <v>77</v>
      </c>
      <c r="G10" s="3">
        <v>20</v>
      </c>
      <c r="H10" s="3">
        <f>IF(F10&gt;68,G10+(F10-68)*0.2,G158-(68-F10)*0.2)</f>
        <v>21.8</v>
      </c>
      <c r="I10" s="3">
        <v>22.5</v>
      </c>
      <c r="J10" s="3">
        <f>1.8*I10+32</f>
        <v>72.5</v>
      </c>
      <c r="K10" s="3">
        <v>10</v>
      </c>
      <c r="L10" s="3">
        <f>IF(J10&gt;68,K10+(J10-68)*0.2,K10-(68-J10)*0.2)</f>
        <v>10.9</v>
      </c>
      <c r="M10" s="3">
        <f>(C10-H10)/C10*100</f>
        <v>56.399999999999991</v>
      </c>
      <c r="N10" s="3">
        <f>100-(M10+O10)</f>
        <v>21.800000000000011</v>
      </c>
      <c r="O10" s="3">
        <f>L10/C10*100</f>
        <v>21.8</v>
      </c>
      <c r="P10" s="1" t="s">
        <v>2</v>
      </c>
      <c r="Q10" s="15">
        <v>407590.46</v>
      </c>
      <c r="R10" s="15">
        <v>3659870</v>
      </c>
      <c r="S10" s="17"/>
      <c r="T10">
        <v>2009033</v>
      </c>
      <c r="U10" t="s">
        <v>800</v>
      </c>
      <c r="V10">
        <v>6.2659999999999993E-2</v>
      </c>
      <c r="W10">
        <v>0.39096999999999998</v>
      </c>
      <c r="X10">
        <v>2.385E-2</v>
      </c>
      <c r="Y10">
        <v>1.3552500000000001</v>
      </c>
      <c r="Z10">
        <v>15.23907</v>
      </c>
      <c r="AA10">
        <v>8.6501400000000004</v>
      </c>
      <c r="AB10">
        <v>-1.2518</v>
      </c>
      <c r="AD10" s="23">
        <v>7</v>
      </c>
      <c r="AE10" s="26" t="s">
        <v>799</v>
      </c>
      <c r="AF10" s="23">
        <v>5.3789999999999998E-2</v>
      </c>
      <c r="AG10" s="23">
        <v>0.37956000000000001</v>
      </c>
      <c r="AH10" s="23">
        <v>3.116E-2</v>
      </c>
      <c r="AI10" s="23">
        <v>1.3869100000000001</v>
      </c>
      <c r="AJ10" s="23">
        <v>30.758109999999999</v>
      </c>
      <c r="AK10" s="23">
        <v>13.76342</v>
      </c>
      <c r="AL10" s="23">
        <v>-1.2996700000000001</v>
      </c>
      <c r="AM10" s="25">
        <v>1.2815879166666666</v>
      </c>
      <c r="AN10" s="25">
        <v>0.37882383579865497</v>
      </c>
      <c r="AO10" s="25">
        <v>0.18415513267482131</v>
      </c>
      <c r="AP10" s="25">
        <v>8.3986583138693061E-2</v>
      </c>
      <c r="AQ10" s="24">
        <v>1.6461168351335642</v>
      </c>
      <c r="AR10" s="23">
        <v>-99</v>
      </c>
    </row>
    <row r="11" spans="1:44" x14ac:dyDescent="0.25">
      <c r="A11" s="4">
        <v>11</v>
      </c>
      <c r="B11">
        <v>180</v>
      </c>
      <c r="C11" s="16">
        <v>50</v>
      </c>
      <c r="D11">
        <v>20</v>
      </c>
      <c r="E11" s="3">
        <v>25</v>
      </c>
      <c r="F11" s="3">
        <f>1.8*E11+32</f>
        <v>77</v>
      </c>
      <c r="G11" s="3">
        <v>18</v>
      </c>
      <c r="H11" s="3">
        <f>IF(F11&gt;68,G11+(F11-68)*0.2,G159-(68-F11)*0.2)</f>
        <v>19.8</v>
      </c>
      <c r="I11" s="3">
        <v>22.5</v>
      </c>
      <c r="J11" s="3">
        <f>1.8*I11+32</f>
        <v>72.5</v>
      </c>
      <c r="K11" s="3">
        <v>10</v>
      </c>
      <c r="L11" s="3">
        <f>IF(J11&gt;68,K11+(J11-68)*0.2,K11-(68-J11)*0.2)</f>
        <v>10.9</v>
      </c>
      <c r="M11" s="3">
        <f>(C11-H11)/C11*100</f>
        <v>60.4</v>
      </c>
      <c r="N11" s="3">
        <f>100-(M11+O11)</f>
        <v>17.799999999999997</v>
      </c>
      <c r="O11" s="3">
        <f>L11/C11*100</f>
        <v>21.8</v>
      </c>
      <c r="P11" s="1" t="s">
        <v>2</v>
      </c>
      <c r="Q11" s="15">
        <v>407590.46</v>
      </c>
      <c r="R11" s="15">
        <v>3659870</v>
      </c>
      <c r="S11" s="17"/>
      <c r="T11">
        <v>2009033</v>
      </c>
      <c r="U11" t="s">
        <v>798</v>
      </c>
      <c r="V11">
        <v>6.2E-2</v>
      </c>
      <c r="W11">
        <v>0.38628000000000001</v>
      </c>
      <c r="X11">
        <v>2.6519999999999998E-2</v>
      </c>
      <c r="Y11">
        <v>1.34049</v>
      </c>
      <c r="Z11">
        <v>16.909079999999999</v>
      </c>
      <c r="AA11">
        <v>9.65977</v>
      </c>
      <c r="AB11">
        <v>-1.4053100000000001</v>
      </c>
      <c r="AD11" s="23">
        <v>8</v>
      </c>
      <c r="AE11" s="26" t="s">
        <v>797</v>
      </c>
      <c r="AF11" s="23">
        <v>5.3409999999999999E-2</v>
      </c>
      <c r="AG11" s="23">
        <v>0.37608000000000003</v>
      </c>
      <c r="AH11" s="23">
        <v>3.1480000000000001E-2</v>
      </c>
      <c r="AI11" s="23">
        <v>1.47048</v>
      </c>
      <c r="AJ11" s="23">
        <v>44.14517</v>
      </c>
      <c r="AK11" s="23">
        <v>15.096170000000001</v>
      </c>
      <c r="AL11" s="23">
        <v>-1.1368400000000001</v>
      </c>
      <c r="AM11" s="25">
        <v>1.8393820833333334</v>
      </c>
      <c r="AN11" s="25">
        <v>0.37544399196072287</v>
      </c>
      <c r="AO11" s="25">
        <v>0.15917048939404937</v>
      </c>
      <c r="AP11" s="25">
        <v>7.1218180809829057E-2</v>
      </c>
      <c r="AQ11" s="24">
        <v>1.6550734213040843</v>
      </c>
      <c r="AR11" s="23">
        <v>-99</v>
      </c>
    </row>
    <row r="12" spans="1:44" x14ac:dyDescent="0.25">
      <c r="S12" s="17"/>
      <c r="T12">
        <v>2009033</v>
      </c>
      <c r="U12" t="s">
        <v>796</v>
      </c>
      <c r="V12">
        <v>5.6890000000000003E-2</v>
      </c>
      <c r="W12">
        <v>0.38377</v>
      </c>
      <c r="X12">
        <v>2.828E-2</v>
      </c>
      <c r="Y12">
        <v>1.3582700000000001</v>
      </c>
      <c r="Z12">
        <v>22.54008</v>
      </c>
      <c r="AA12">
        <v>11.43548</v>
      </c>
      <c r="AB12">
        <v>-1.3401000000000001</v>
      </c>
      <c r="AD12" s="23">
        <v>9</v>
      </c>
      <c r="AE12" s="26" t="s">
        <v>795</v>
      </c>
      <c r="AF12" s="23">
        <v>6.0019999999999997E-2</v>
      </c>
      <c r="AG12" s="23">
        <v>0.37996000000000002</v>
      </c>
      <c r="AH12" s="23">
        <v>2.8799999999999999E-2</v>
      </c>
      <c r="AI12" s="23">
        <v>1.3431200000000001</v>
      </c>
      <c r="AJ12" s="23">
        <v>20.241630000000001</v>
      </c>
      <c r="AK12" s="23">
        <v>10.793670000000001</v>
      </c>
      <c r="AL12" s="23">
        <v>-1.4624999999999999</v>
      </c>
      <c r="AM12" s="25">
        <v>0.84340124999999999</v>
      </c>
      <c r="AN12" s="25">
        <v>0.3792667927681137</v>
      </c>
      <c r="AO12" s="25">
        <v>0.20555878044970133</v>
      </c>
      <c r="AP12" s="25">
        <v>9.9899467213347901E-2</v>
      </c>
      <c r="AQ12" s="24">
        <v>1.6449429991644986</v>
      </c>
      <c r="AR12" s="23">
        <v>-99</v>
      </c>
    </row>
    <row r="13" spans="1:44" ht="51.75" x14ac:dyDescent="0.25">
      <c r="A13" s="14" t="s">
        <v>21</v>
      </c>
      <c r="B13" s="9" t="s">
        <v>20</v>
      </c>
      <c r="C13" s="13" t="s">
        <v>19</v>
      </c>
      <c r="D13" s="12" t="s">
        <v>18</v>
      </c>
      <c r="E13" s="11" t="s">
        <v>17</v>
      </c>
      <c r="F13" s="11" t="s">
        <v>16</v>
      </c>
      <c r="G13" s="11" t="s">
        <v>15</v>
      </c>
      <c r="H13" s="11" t="s">
        <v>14</v>
      </c>
      <c r="I13" s="11" t="s">
        <v>13</v>
      </c>
      <c r="J13" s="11" t="s">
        <v>12</v>
      </c>
      <c r="K13" s="11" t="s">
        <v>11</v>
      </c>
      <c r="L13" s="11" t="s">
        <v>10</v>
      </c>
      <c r="M13" s="10" t="s">
        <v>9</v>
      </c>
      <c r="N13" s="10" t="s">
        <v>8</v>
      </c>
      <c r="O13" s="10" t="s">
        <v>7</v>
      </c>
      <c r="P13" s="9" t="s">
        <v>6</v>
      </c>
      <c r="Q13" s="19" t="s">
        <v>5</v>
      </c>
      <c r="R13" s="19"/>
      <c r="S13" s="17"/>
      <c r="T13">
        <v>2009033</v>
      </c>
      <c r="U13" t="s">
        <v>794</v>
      </c>
      <c r="V13">
        <v>5.3789999999999998E-2</v>
      </c>
      <c r="W13">
        <v>0.37956000000000001</v>
      </c>
      <c r="X13">
        <v>3.116E-2</v>
      </c>
      <c r="Y13">
        <v>1.3869100000000001</v>
      </c>
      <c r="Z13">
        <v>30.758109999999999</v>
      </c>
      <c r="AA13">
        <v>13.76342</v>
      </c>
      <c r="AB13">
        <v>-1.2996700000000001</v>
      </c>
      <c r="AD13" s="23">
        <v>10</v>
      </c>
      <c r="AE13" s="26" t="s">
        <v>793</v>
      </c>
      <c r="AF13" s="23">
        <v>6.7839999999999998E-2</v>
      </c>
      <c r="AG13" s="23">
        <v>0.39943000000000001</v>
      </c>
      <c r="AH13" s="23">
        <v>2.0310000000000002E-2</v>
      </c>
      <c r="AI13" s="23">
        <v>1.36439</v>
      </c>
      <c r="AJ13" s="23">
        <v>10.748519999999999</v>
      </c>
      <c r="AK13" s="23">
        <v>6.7445899999999996</v>
      </c>
      <c r="AL13" s="23">
        <v>-1.11575</v>
      </c>
      <c r="AM13" s="25">
        <v>0.44785499999999995</v>
      </c>
      <c r="AN13" s="25">
        <v>0.3989965512777347</v>
      </c>
      <c r="AO13" s="25">
        <v>0.22996717491299323</v>
      </c>
      <c r="AP13" s="25">
        <v>0.10909548980942527</v>
      </c>
      <c r="AQ13" s="24">
        <v>1.592659139114003</v>
      </c>
      <c r="AR13" s="23">
        <v>-99</v>
      </c>
    </row>
    <row r="14" spans="1:44" x14ac:dyDescent="0.25"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"/>
      <c r="Q14" s="5" t="s">
        <v>4</v>
      </c>
      <c r="R14" s="5" t="s">
        <v>3</v>
      </c>
      <c r="S14" s="17"/>
      <c r="T14">
        <v>2009033</v>
      </c>
      <c r="U14" t="s">
        <v>792</v>
      </c>
      <c r="V14">
        <v>5.3409999999999999E-2</v>
      </c>
      <c r="W14">
        <v>0.37608000000000003</v>
      </c>
      <c r="X14">
        <v>3.1480000000000001E-2</v>
      </c>
      <c r="Y14">
        <v>1.47048</v>
      </c>
      <c r="Z14">
        <v>44.14517</v>
      </c>
      <c r="AA14">
        <v>15.096170000000001</v>
      </c>
      <c r="AB14">
        <v>-1.1368400000000001</v>
      </c>
      <c r="AD14" s="23">
        <v>11</v>
      </c>
      <c r="AE14" s="26" t="s">
        <v>791</v>
      </c>
      <c r="AF14" s="23">
        <v>5.6890000000000003E-2</v>
      </c>
      <c r="AG14" s="23">
        <v>0.38308999999999999</v>
      </c>
      <c r="AH14" s="23">
        <v>2.8639999999999999E-2</v>
      </c>
      <c r="AI14" s="23">
        <v>1.35785</v>
      </c>
      <c r="AJ14" s="23">
        <v>22.883620000000001</v>
      </c>
      <c r="AK14" s="23">
        <v>11.584020000000001</v>
      </c>
      <c r="AL14" s="23">
        <v>-1.35409</v>
      </c>
      <c r="AM14" s="25">
        <v>0.95348416666666669</v>
      </c>
      <c r="AN14" s="25">
        <v>0.38240302955596123</v>
      </c>
      <c r="AO14" s="25">
        <v>0.20069246070714017</v>
      </c>
      <c r="AP14" s="25">
        <v>9.4147308595215584E-2</v>
      </c>
      <c r="AQ14" s="24">
        <v>1.6366319716767026</v>
      </c>
      <c r="AR14" s="23">
        <v>-99</v>
      </c>
    </row>
    <row r="15" spans="1:44" x14ac:dyDescent="0.25">
      <c r="A15" s="4">
        <v>12</v>
      </c>
      <c r="B15">
        <v>30</v>
      </c>
      <c r="C15">
        <v>50</v>
      </c>
      <c r="D15">
        <v>20</v>
      </c>
      <c r="E15" s="3">
        <v>26</v>
      </c>
      <c r="F15" s="3">
        <f>1.8*E15+32</f>
        <v>78.800000000000011</v>
      </c>
      <c r="G15" s="3">
        <v>16</v>
      </c>
      <c r="H15" s="3">
        <f>IF(F15&gt;68,G15+(F15-68)*0.2,G163-(68-F15)*0.2)</f>
        <v>18.160000000000004</v>
      </c>
      <c r="I15" s="3">
        <v>23</v>
      </c>
      <c r="J15" s="3">
        <f>1.8*I15+32</f>
        <v>73.400000000000006</v>
      </c>
      <c r="K15" s="3">
        <v>8</v>
      </c>
      <c r="L15" s="3">
        <f>IF(J15&gt;67,K15+(J15-67)*0.2,K15-(67-J15)*0.2)</f>
        <v>9.2800000000000011</v>
      </c>
      <c r="M15" s="3">
        <f>(C15-H15)/C15*100</f>
        <v>63.679999999999993</v>
      </c>
      <c r="N15" s="3">
        <f>100-(M15+O15)</f>
        <v>17.760000000000005</v>
      </c>
      <c r="O15" s="3">
        <f>L15/C15*100</f>
        <v>18.560000000000002</v>
      </c>
      <c r="P15" s="1" t="s">
        <v>0</v>
      </c>
      <c r="Q15" s="15">
        <v>407590.46</v>
      </c>
      <c r="R15" s="15">
        <v>3659896.5</v>
      </c>
      <c r="S15" s="17"/>
      <c r="T15">
        <v>2009033</v>
      </c>
      <c r="U15" t="s">
        <v>790</v>
      </c>
      <c r="V15">
        <v>6.0019999999999997E-2</v>
      </c>
      <c r="W15">
        <v>0.37996000000000002</v>
      </c>
      <c r="X15">
        <v>2.8799999999999999E-2</v>
      </c>
      <c r="Y15">
        <v>1.3431200000000001</v>
      </c>
      <c r="Z15">
        <v>20.241630000000001</v>
      </c>
      <c r="AA15">
        <v>10.793670000000001</v>
      </c>
      <c r="AB15">
        <v>-1.4624999999999999</v>
      </c>
      <c r="AD15" s="23">
        <v>12</v>
      </c>
      <c r="AE15" s="26" t="s">
        <v>789</v>
      </c>
      <c r="AF15" s="23">
        <v>5.9950000000000003E-2</v>
      </c>
      <c r="AG15" s="23">
        <v>0.38217000000000001</v>
      </c>
      <c r="AH15" s="23">
        <v>2.8340000000000001E-2</v>
      </c>
      <c r="AI15" s="23">
        <v>1.3430599999999999</v>
      </c>
      <c r="AJ15" s="23">
        <v>19.779450000000001</v>
      </c>
      <c r="AK15" s="23">
        <v>10.683590000000001</v>
      </c>
      <c r="AL15" s="23">
        <v>-1.44096</v>
      </c>
      <c r="AM15" s="25">
        <v>0.82414375000000006</v>
      </c>
      <c r="AN15" s="25">
        <v>0.38148665451249753</v>
      </c>
      <c r="AO15" s="25">
        <v>0.20732012141945796</v>
      </c>
      <c r="AP15" s="25">
        <v>0.10035076771187568</v>
      </c>
      <c r="AQ15" s="24">
        <v>1.6390603655418816</v>
      </c>
      <c r="AR15" s="23">
        <v>-99</v>
      </c>
    </row>
    <row r="16" spans="1:44" x14ac:dyDescent="0.25">
      <c r="A16" s="4">
        <v>12</v>
      </c>
      <c r="B16">
        <v>60</v>
      </c>
      <c r="C16">
        <v>50</v>
      </c>
      <c r="D16">
        <v>20</v>
      </c>
      <c r="E16" s="3">
        <v>25.5</v>
      </c>
      <c r="F16" s="3">
        <f>1.8*E16+32</f>
        <v>77.900000000000006</v>
      </c>
      <c r="G16" s="3">
        <v>13</v>
      </c>
      <c r="H16" s="3">
        <f>IF(F16&gt;68,G16+(F16-68)*0.2,G164-(68-F16)*0.2)</f>
        <v>14.98</v>
      </c>
      <c r="I16" s="3">
        <v>22.5</v>
      </c>
      <c r="J16" s="3">
        <f>1.8*I16+32</f>
        <v>72.5</v>
      </c>
      <c r="K16" s="3">
        <v>7</v>
      </c>
      <c r="L16" s="3">
        <f>IF(J16&gt;67,K16+(J16-67)*0.2,K16-(67-J16)*0.2)</f>
        <v>8.1</v>
      </c>
      <c r="M16" s="3">
        <f>(C16-H16)/C16*100</f>
        <v>70.039999999999992</v>
      </c>
      <c r="N16" s="3">
        <f>100-(M16+O16)</f>
        <v>13.760000000000005</v>
      </c>
      <c r="O16" s="3">
        <f>L16/C16*100</f>
        <v>16.2</v>
      </c>
      <c r="P16" s="1" t="s">
        <v>0</v>
      </c>
      <c r="Q16" s="15">
        <v>407590.46</v>
      </c>
      <c r="R16" s="15">
        <v>3659896.5</v>
      </c>
      <c r="T16">
        <v>2009033</v>
      </c>
      <c r="U16" t="s">
        <v>788</v>
      </c>
      <c r="V16">
        <v>6.7839999999999998E-2</v>
      </c>
      <c r="W16">
        <v>0.39943000000000001</v>
      </c>
      <c r="X16">
        <v>2.0310000000000002E-2</v>
      </c>
      <c r="Y16">
        <v>1.36439</v>
      </c>
      <c r="Z16">
        <v>10.748519999999999</v>
      </c>
      <c r="AA16">
        <v>6.7445899999999996</v>
      </c>
      <c r="AB16">
        <v>-1.11575</v>
      </c>
      <c r="AD16" s="23">
        <v>13</v>
      </c>
      <c r="AE16" s="26" t="s">
        <v>787</v>
      </c>
      <c r="AF16" s="23">
        <v>6.5629999999999994E-2</v>
      </c>
      <c r="AG16" s="23">
        <v>0.38562000000000002</v>
      </c>
      <c r="AH16" s="23">
        <v>2.6759999999999999E-2</v>
      </c>
      <c r="AI16" s="23">
        <v>1.3181499999999999</v>
      </c>
      <c r="AJ16" s="23">
        <v>14.27605</v>
      </c>
      <c r="AK16" s="23">
        <v>8.9701500000000003</v>
      </c>
      <c r="AL16" s="23">
        <v>-1.56135</v>
      </c>
      <c r="AM16" s="25">
        <v>0.59483541666666662</v>
      </c>
      <c r="AN16" s="25">
        <v>0.38497028458391558</v>
      </c>
      <c r="AO16" s="25">
        <v>0.2231039983721802</v>
      </c>
      <c r="AP16" s="25">
        <v>0.11313830100459377</v>
      </c>
      <c r="AQ16" s="24">
        <v>1.6298287458526237</v>
      </c>
      <c r="AR16" s="23">
        <v>-99</v>
      </c>
    </row>
    <row r="17" spans="1:44" x14ac:dyDescent="0.25">
      <c r="A17" s="4">
        <v>12</v>
      </c>
      <c r="B17">
        <v>90</v>
      </c>
      <c r="C17">
        <v>50</v>
      </c>
      <c r="D17">
        <v>20</v>
      </c>
      <c r="E17" s="3">
        <v>25</v>
      </c>
      <c r="F17" s="3">
        <f>1.8*E17+32</f>
        <v>77</v>
      </c>
      <c r="G17" s="3">
        <v>10</v>
      </c>
      <c r="H17" s="3">
        <f>IF(F17&gt;68,G17+(F17-68)*0.2,G165-(68-F17)*0.2)</f>
        <v>11.8</v>
      </c>
      <c r="I17" s="3">
        <v>22.5</v>
      </c>
      <c r="J17" s="3">
        <f>1.8*I17+32</f>
        <v>72.5</v>
      </c>
      <c r="K17" s="3">
        <v>6</v>
      </c>
      <c r="L17" s="3">
        <f>IF(J17&gt;67,K17+(J17-67)*0.2,K17-(67-J17)*0.2)</f>
        <v>7.1</v>
      </c>
      <c r="M17" s="3">
        <f>(C17-H17)/C17*100</f>
        <v>76.400000000000006</v>
      </c>
      <c r="N17" s="3">
        <f>100-(M17+O17)</f>
        <v>9.3999999999999915</v>
      </c>
      <c r="O17" s="3">
        <f>L17/C17*100</f>
        <v>14.2</v>
      </c>
      <c r="P17" s="1" t="s">
        <v>0</v>
      </c>
      <c r="Q17" s="15">
        <v>407590.46</v>
      </c>
      <c r="R17" s="15">
        <v>3659896.5</v>
      </c>
      <c r="T17">
        <v>2009033</v>
      </c>
      <c r="U17" t="s">
        <v>786</v>
      </c>
      <c r="V17">
        <v>5.6890000000000003E-2</v>
      </c>
      <c r="W17">
        <v>0.38308999999999999</v>
      </c>
      <c r="X17">
        <v>2.8639999999999999E-2</v>
      </c>
      <c r="Y17">
        <v>1.35785</v>
      </c>
      <c r="Z17">
        <v>22.883620000000001</v>
      </c>
      <c r="AA17">
        <v>11.584020000000001</v>
      </c>
      <c r="AB17">
        <v>-1.35409</v>
      </c>
      <c r="AD17" s="23">
        <v>14</v>
      </c>
      <c r="AE17" s="26" t="s">
        <v>785</v>
      </c>
      <c r="AF17" s="23">
        <v>5.3789999999999998E-2</v>
      </c>
      <c r="AG17" s="23">
        <v>0.37597000000000003</v>
      </c>
      <c r="AH17" s="23">
        <v>3.1280000000000002E-2</v>
      </c>
      <c r="AI17" s="23">
        <v>1.4605300000000001</v>
      </c>
      <c r="AJ17" s="23">
        <v>42.002780000000001</v>
      </c>
      <c r="AK17" s="23">
        <v>14.734439999999999</v>
      </c>
      <c r="AL17" s="23">
        <v>-1.1531899999999999</v>
      </c>
      <c r="AM17" s="25">
        <v>1.7501158333333333</v>
      </c>
      <c r="AN17" s="25">
        <v>0.37532830098941861</v>
      </c>
      <c r="AO17" s="25">
        <v>0.1621865029393886</v>
      </c>
      <c r="AP17" s="25">
        <v>7.275011208899726E-2</v>
      </c>
      <c r="AQ17" s="24">
        <v>1.6553800023780407</v>
      </c>
      <c r="AR17" s="23">
        <v>-99</v>
      </c>
    </row>
    <row r="18" spans="1:44" x14ac:dyDescent="0.25">
      <c r="A18" s="4">
        <v>12</v>
      </c>
      <c r="B18">
        <v>120</v>
      </c>
      <c r="C18">
        <v>50</v>
      </c>
      <c r="D18">
        <v>20</v>
      </c>
      <c r="E18" s="3">
        <v>25</v>
      </c>
      <c r="F18" s="3">
        <f>1.8*E18+32</f>
        <v>77</v>
      </c>
      <c r="G18" s="3">
        <v>15</v>
      </c>
      <c r="H18" s="3">
        <f>IF(F18&gt;68,G18+(F18-68)*0.2,G166-(68-F18)*0.2)</f>
        <v>16.8</v>
      </c>
      <c r="I18" s="3">
        <v>23</v>
      </c>
      <c r="J18" s="3">
        <f>1.8*I18+32</f>
        <v>73.400000000000006</v>
      </c>
      <c r="K18" s="3">
        <v>9</v>
      </c>
      <c r="L18" s="3">
        <f>IF(J18&gt;67,K18+(J18-67)*0.2,K18-(67-J18)*0.2)</f>
        <v>10.280000000000001</v>
      </c>
      <c r="M18" s="3">
        <f>(C18-H18)/C18*100</f>
        <v>66.400000000000006</v>
      </c>
      <c r="N18" s="3">
        <f>100-(M18+O18)</f>
        <v>13.039999999999992</v>
      </c>
      <c r="O18" s="3">
        <f>L18/C18*100</f>
        <v>20.560000000000002</v>
      </c>
      <c r="P18" s="1" t="s">
        <v>2</v>
      </c>
      <c r="Q18" s="15">
        <v>407590.46</v>
      </c>
      <c r="R18" s="15">
        <v>3659896.5</v>
      </c>
      <c r="T18">
        <v>2009033</v>
      </c>
      <c r="U18" t="s">
        <v>784</v>
      </c>
      <c r="V18">
        <v>5.9950000000000003E-2</v>
      </c>
      <c r="W18">
        <v>0.38217000000000001</v>
      </c>
      <c r="X18">
        <v>2.8340000000000001E-2</v>
      </c>
      <c r="Y18">
        <v>1.3430599999999999</v>
      </c>
      <c r="Z18">
        <v>19.779450000000001</v>
      </c>
      <c r="AA18">
        <v>10.683590000000001</v>
      </c>
      <c r="AB18">
        <v>-1.44096</v>
      </c>
      <c r="AD18" s="23">
        <v>15</v>
      </c>
      <c r="AE18" s="26" t="s">
        <v>783</v>
      </c>
      <c r="AF18" s="23">
        <v>8.4909999999999999E-2</v>
      </c>
      <c r="AG18" s="23">
        <v>0.43463000000000002</v>
      </c>
      <c r="AH18" s="23">
        <v>1.847E-2</v>
      </c>
      <c r="AI18" s="23">
        <v>1.3090299999999999</v>
      </c>
      <c r="AJ18" s="23">
        <v>5.31724</v>
      </c>
      <c r="AK18" s="23">
        <v>4.84354</v>
      </c>
      <c r="AL18" s="23">
        <v>-1.3077799999999999</v>
      </c>
      <c r="AM18" s="25">
        <v>0.22155166666666667</v>
      </c>
      <c r="AN18" s="25">
        <v>0.43418732591413689</v>
      </c>
      <c r="AO18" s="25">
        <v>0.28026740876930656</v>
      </c>
      <c r="AP18" s="25">
        <v>0.14640384700364736</v>
      </c>
      <c r="AQ18" s="24">
        <v>1.4994035863275372</v>
      </c>
      <c r="AR18" s="23">
        <v>-99</v>
      </c>
    </row>
    <row r="19" spans="1:44" x14ac:dyDescent="0.25">
      <c r="A19" s="4">
        <v>12</v>
      </c>
      <c r="B19">
        <v>150</v>
      </c>
      <c r="C19">
        <v>50</v>
      </c>
      <c r="D19">
        <v>20</v>
      </c>
      <c r="E19" s="3">
        <v>25</v>
      </c>
      <c r="F19" s="3">
        <f>1.8*E19+32</f>
        <v>77</v>
      </c>
      <c r="G19" s="3">
        <v>23</v>
      </c>
      <c r="H19" s="3">
        <f>IF(F19&gt;68,G19+(F19-68)*0.2,G167-(68-F19)*0.2)</f>
        <v>24.8</v>
      </c>
      <c r="I19" s="3">
        <v>23</v>
      </c>
      <c r="J19" s="3">
        <f>1.8*I19+32</f>
        <v>73.400000000000006</v>
      </c>
      <c r="K19" s="3">
        <v>11</v>
      </c>
      <c r="L19" s="3">
        <f>IF(J19&gt;67,K19+(J19-67)*0.2,K19-(67-J19)*0.2)</f>
        <v>12.280000000000001</v>
      </c>
      <c r="M19" s="3">
        <f>(C19-H19)/C19*100</f>
        <v>50.4</v>
      </c>
      <c r="N19" s="3">
        <f>100-(M19+O19)</f>
        <v>25.039999999999992</v>
      </c>
      <c r="O19" s="3">
        <f>L19/C19*100</f>
        <v>24.560000000000002</v>
      </c>
      <c r="P19" s="1" t="s">
        <v>2</v>
      </c>
      <c r="Q19" s="15">
        <v>407590.46</v>
      </c>
      <c r="R19" s="15">
        <v>3659896.5</v>
      </c>
      <c r="T19">
        <v>2009033</v>
      </c>
      <c r="U19" t="s">
        <v>782</v>
      </c>
      <c r="V19">
        <v>6.5629999999999994E-2</v>
      </c>
      <c r="W19">
        <v>0.38562000000000002</v>
      </c>
      <c r="X19">
        <v>2.6759999999999999E-2</v>
      </c>
      <c r="Y19">
        <v>1.3181499999999999</v>
      </c>
      <c r="Z19">
        <v>14.27605</v>
      </c>
      <c r="AA19">
        <v>8.9701500000000003</v>
      </c>
      <c r="AB19">
        <v>-1.56135</v>
      </c>
      <c r="AD19" s="23">
        <v>16</v>
      </c>
      <c r="AE19" s="26" t="s">
        <v>781</v>
      </c>
      <c r="AF19" s="23">
        <v>6.3299999999999995E-2</v>
      </c>
      <c r="AG19" s="23">
        <v>0.38812999999999998</v>
      </c>
      <c r="AH19" s="23">
        <v>2.5680000000000001E-2</v>
      </c>
      <c r="AI19" s="23">
        <v>1.33965</v>
      </c>
      <c r="AJ19" s="23">
        <v>15.53223</v>
      </c>
      <c r="AK19" s="23">
        <v>9.1508299999999991</v>
      </c>
      <c r="AL19" s="23">
        <v>-1.3895200000000001</v>
      </c>
      <c r="AM19" s="25">
        <v>0.64717625000000001</v>
      </c>
      <c r="AN19" s="25">
        <v>0.3875231215282261</v>
      </c>
      <c r="AO19" s="25">
        <v>0.21784184240540161</v>
      </c>
      <c r="AP19" s="25">
        <v>0.10629222853959618</v>
      </c>
      <c r="AQ19" s="24">
        <v>1.6230637279502007</v>
      </c>
      <c r="AR19" s="23">
        <v>-99</v>
      </c>
    </row>
    <row r="20" spans="1:44" x14ac:dyDescent="0.25">
      <c r="A20" s="4">
        <v>12</v>
      </c>
      <c r="B20">
        <v>180</v>
      </c>
      <c r="C20">
        <v>50</v>
      </c>
      <c r="D20">
        <v>20</v>
      </c>
      <c r="E20" s="3">
        <v>25</v>
      </c>
      <c r="F20" s="3">
        <f>1.8*E20+32</f>
        <v>77</v>
      </c>
      <c r="G20" s="3">
        <v>16</v>
      </c>
      <c r="H20" s="3">
        <f>IF(F20&gt;68,G20+(F20-68)*0.2,G168-(68-F20)*0.2)</f>
        <v>17.8</v>
      </c>
      <c r="I20" s="3">
        <v>23</v>
      </c>
      <c r="J20" s="3">
        <f>1.8*I20+32</f>
        <v>73.400000000000006</v>
      </c>
      <c r="K20" s="3">
        <v>8</v>
      </c>
      <c r="L20" s="3">
        <f>IF(J20&gt;67,K20+(J20-67)*0.2,K20-(67-J20)*0.2)</f>
        <v>9.2800000000000011</v>
      </c>
      <c r="M20" s="3">
        <f>(C20-H20)/C20*100</f>
        <v>64.400000000000006</v>
      </c>
      <c r="N20" s="3">
        <f>100-(M20+O20)</f>
        <v>17.039999999999992</v>
      </c>
      <c r="O20" s="3">
        <f>L20/C20*100</f>
        <v>18.560000000000002</v>
      </c>
      <c r="P20" s="1" t="s">
        <v>0</v>
      </c>
      <c r="Q20" s="15">
        <v>407590.46</v>
      </c>
      <c r="R20" s="15">
        <v>3659896.5</v>
      </c>
      <c r="T20">
        <v>2009033</v>
      </c>
      <c r="U20" t="s">
        <v>780</v>
      </c>
      <c r="V20">
        <v>5.3789999999999998E-2</v>
      </c>
      <c r="W20">
        <v>0.37597000000000003</v>
      </c>
      <c r="X20">
        <v>3.1280000000000002E-2</v>
      </c>
      <c r="Y20">
        <v>1.4605300000000001</v>
      </c>
      <c r="Z20">
        <v>42.002780000000001</v>
      </c>
      <c r="AA20">
        <v>14.734439999999999</v>
      </c>
      <c r="AB20">
        <v>-1.1531899999999999</v>
      </c>
      <c r="AD20" s="23">
        <v>17</v>
      </c>
      <c r="AE20" s="26" t="s">
        <v>779</v>
      </c>
      <c r="AF20" s="23">
        <v>6.0159999999999998E-2</v>
      </c>
      <c r="AG20" s="23">
        <v>0.38613999999999998</v>
      </c>
      <c r="AH20" s="23">
        <v>2.6610000000000002E-2</v>
      </c>
      <c r="AI20" s="23">
        <v>1.349</v>
      </c>
      <c r="AJ20" s="23">
        <v>18.464130000000001</v>
      </c>
      <c r="AK20" s="23">
        <v>10.0685</v>
      </c>
      <c r="AL20" s="23">
        <v>-1.35402</v>
      </c>
      <c r="AM20" s="25">
        <v>0.76933875000000007</v>
      </c>
      <c r="AN20" s="25">
        <v>0.38550999323505836</v>
      </c>
      <c r="AO20" s="25">
        <v>0.21038647609594047</v>
      </c>
      <c r="AP20" s="25">
        <v>0.10046506661654414</v>
      </c>
      <c r="AQ20" s="24">
        <v>1.6283985179270954</v>
      </c>
      <c r="AR20" s="23">
        <v>-99</v>
      </c>
    </row>
    <row r="21" spans="1:44" x14ac:dyDescent="0.25">
      <c r="T21">
        <v>2009033</v>
      </c>
      <c r="U21" t="s">
        <v>778</v>
      </c>
      <c r="V21">
        <v>8.4909999999999999E-2</v>
      </c>
      <c r="W21">
        <v>0.43463000000000002</v>
      </c>
      <c r="X21">
        <v>1.847E-2</v>
      </c>
      <c r="Y21">
        <v>1.3090299999999999</v>
      </c>
      <c r="Z21">
        <v>5.31724</v>
      </c>
      <c r="AA21">
        <v>4.84354</v>
      </c>
      <c r="AB21">
        <v>-1.3077799999999999</v>
      </c>
      <c r="AD21" s="23">
        <v>18</v>
      </c>
      <c r="AE21" s="26" t="s">
        <v>777</v>
      </c>
      <c r="AF21" s="23">
        <v>6.2289999999999998E-2</v>
      </c>
      <c r="AG21" s="23">
        <v>0.38379000000000002</v>
      </c>
      <c r="AH21" s="23">
        <v>2.7470000000000001E-2</v>
      </c>
      <c r="AI21" s="23">
        <v>1.3330500000000001</v>
      </c>
      <c r="AJ21" s="23">
        <v>17.135570000000001</v>
      </c>
      <c r="AK21" s="23">
        <v>9.86252</v>
      </c>
      <c r="AL21" s="23">
        <v>-1.47973</v>
      </c>
      <c r="AM21" s="25">
        <v>0.71398208333333335</v>
      </c>
      <c r="AN21" s="25">
        <v>0.38312698882934798</v>
      </c>
      <c r="AO21" s="25">
        <v>0.21416534222454497</v>
      </c>
      <c r="AP21" s="25">
        <v>0.10556493906074629</v>
      </c>
      <c r="AQ21" s="24">
        <v>1.6347134796022276</v>
      </c>
      <c r="AR21" s="23">
        <v>-99</v>
      </c>
    </row>
    <row r="22" spans="1:44" ht="51.75" x14ac:dyDescent="0.25">
      <c r="A22" s="14" t="s">
        <v>21</v>
      </c>
      <c r="B22" s="9" t="s">
        <v>20</v>
      </c>
      <c r="C22" s="13" t="s">
        <v>19</v>
      </c>
      <c r="D22" s="12" t="s">
        <v>18</v>
      </c>
      <c r="E22" s="11" t="s">
        <v>17</v>
      </c>
      <c r="F22" s="11" t="s">
        <v>16</v>
      </c>
      <c r="G22" s="11" t="s">
        <v>15</v>
      </c>
      <c r="H22" s="11" t="s">
        <v>14</v>
      </c>
      <c r="I22" s="11" t="s">
        <v>13</v>
      </c>
      <c r="J22" s="11" t="s">
        <v>12</v>
      </c>
      <c r="K22" s="11" t="s">
        <v>11</v>
      </c>
      <c r="L22" s="11" t="s">
        <v>10</v>
      </c>
      <c r="M22" s="10" t="s">
        <v>9</v>
      </c>
      <c r="N22" s="10" t="s">
        <v>8</v>
      </c>
      <c r="O22" s="10" t="s">
        <v>7</v>
      </c>
      <c r="P22" s="9" t="s">
        <v>6</v>
      </c>
      <c r="Q22" s="19" t="s">
        <v>5</v>
      </c>
      <c r="R22" s="19"/>
      <c r="T22">
        <v>2009033</v>
      </c>
      <c r="U22" t="s">
        <v>776</v>
      </c>
      <c r="V22">
        <v>6.3299999999999995E-2</v>
      </c>
      <c r="W22">
        <v>0.38812999999999998</v>
      </c>
      <c r="X22">
        <v>2.5680000000000001E-2</v>
      </c>
      <c r="Y22">
        <v>1.33965</v>
      </c>
      <c r="Z22">
        <v>15.53223</v>
      </c>
      <c r="AA22">
        <v>9.1508299999999991</v>
      </c>
      <c r="AB22">
        <v>-1.3895200000000001</v>
      </c>
      <c r="AD22" s="23">
        <v>19</v>
      </c>
      <c r="AE22" s="26" t="s">
        <v>775</v>
      </c>
      <c r="AF22" s="23">
        <v>5.6619999999999997E-2</v>
      </c>
      <c r="AG22" s="23">
        <v>0.37951000000000001</v>
      </c>
      <c r="AH22" s="23">
        <v>2.997E-2</v>
      </c>
      <c r="AI22" s="23">
        <v>1.36534</v>
      </c>
      <c r="AJ22" s="23">
        <v>25.318960000000001</v>
      </c>
      <c r="AK22" s="23">
        <v>12.24277</v>
      </c>
      <c r="AL22" s="23">
        <v>-1.3716699999999999</v>
      </c>
      <c r="AM22" s="25">
        <v>1.0549566666666668</v>
      </c>
      <c r="AN22" s="25">
        <v>0.37879486420029662</v>
      </c>
      <c r="AO22" s="25">
        <v>0.19437685994245874</v>
      </c>
      <c r="AP22" s="25">
        <v>9.1282583669282991E-2</v>
      </c>
      <c r="AQ22" s="24">
        <v>1.6461936098692138</v>
      </c>
      <c r="AR22" s="23">
        <v>-99</v>
      </c>
    </row>
    <row r="23" spans="1:44" x14ac:dyDescent="0.25"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1"/>
      <c r="Q23" s="5" t="s">
        <v>4</v>
      </c>
      <c r="R23" s="5" t="s">
        <v>3</v>
      </c>
      <c r="T23">
        <v>2009033</v>
      </c>
      <c r="U23" t="s">
        <v>774</v>
      </c>
      <c r="V23">
        <v>6.0159999999999998E-2</v>
      </c>
      <c r="W23">
        <v>0.38613999999999998</v>
      </c>
      <c r="X23">
        <v>2.6610000000000002E-2</v>
      </c>
      <c r="Y23">
        <v>1.349</v>
      </c>
      <c r="Z23">
        <v>18.464130000000001</v>
      </c>
      <c r="AA23">
        <v>10.0685</v>
      </c>
      <c r="AB23">
        <v>-1.35402</v>
      </c>
      <c r="AD23" s="23">
        <v>20</v>
      </c>
      <c r="AE23" s="26" t="s">
        <v>773</v>
      </c>
      <c r="AF23" s="23">
        <v>5.2900000000000003E-2</v>
      </c>
      <c r="AG23" s="23">
        <v>0.38546000000000002</v>
      </c>
      <c r="AH23" s="23">
        <v>2.7480000000000001E-2</v>
      </c>
      <c r="AI23" s="23">
        <v>1.37514</v>
      </c>
      <c r="AJ23" s="23">
        <v>25.641300000000001</v>
      </c>
      <c r="AK23" s="23">
        <v>12.01665</v>
      </c>
      <c r="AL23" s="23">
        <v>-1.2110700000000001</v>
      </c>
      <c r="AM23" s="25">
        <v>1.0683875</v>
      </c>
      <c r="AN23" s="25">
        <v>0.38481556381130522</v>
      </c>
      <c r="AO23" s="25">
        <v>0.19601168499408267</v>
      </c>
      <c r="AP23" s="25">
        <v>8.7638285435369945E-2</v>
      </c>
      <c r="AQ23" s="24">
        <v>1.6302387559000411</v>
      </c>
      <c r="AR23" s="23">
        <v>-99</v>
      </c>
    </row>
    <row r="24" spans="1:44" x14ac:dyDescent="0.25">
      <c r="A24" s="4">
        <v>13</v>
      </c>
      <c r="B24">
        <v>30</v>
      </c>
      <c r="C24">
        <v>50</v>
      </c>
      <c r="D24">
        <v>20</v>
      </c>
      <c r="E24" s="3">
        <v>25</v>
      </c>
      <c r="F24" s="3">
        <f>1.8*E24+32</f>
        <v>77</v>
      </c>
      <c r="G24" s="3">
        <v>16</v>
      </c>
      <c r="H24" s="3">
        <f>IF(F24&gt;68,G24+(F24-68)*0.2,G172-(68-F24)*0.2)</f>
        <v>17.8</v>
      </c>
      <c r="I24" s="3">
        <v>23</v>
      </c>
      <c r="J24" s="3">
        <f>1.8*I24+32</f>
        <v>73.400000000000006</v>
      </c>
      <c r="K24" s="3">
        <v>9</v>
      </c>
      <c r="L24" s="3">
        <f>IF(J24&gt;67,K24+(J24-67)*0.2,K24-(67-J24)*0.2)</f>
        <v>10.280000000000001</v>
      </c>
      <c r="M24" s="3">
        <f>(C24-H24)/C24*100</f>
        <v>64.400000000000006</v>
      </c>
      <c r="N24" s="3">
        <f>100-(M24+O24)</f>
        <v>15.039999999999992</v>
      </c>
      <c r="O24" s="3">
        <f>L24/C24*100</f>
        <v>20.560000000000002</v>
      </c>
      <c r="P24" s="1" t="s">
        <v>2</v>
      </c>
      <c r="Q24" s="15">
        <v>407590.46</v>
      </c>
      <c r="R24" s="15">
        <v>3659923</v>
      </c>
      <c r="T24">
        <v>2009033</v>
      </c>
      <c r="U24" t="s">
        <v>772</v>
      </c>
      <c r="V24">
        <v>6.2289999999999998E-2</v>
      </c>
      <c r="W24">
        <v>0.38379000000000002</v>
      </c>
      <c r="X24">
        <v>2.7470000000000001E-2</v>
      </c>
      <c r="Y24">
        <v>1.3330500000000001</v>
      </c>
      <c r="Z24">
        <v>17.135570000000001</v>
      </c>
      <c r="AA24">
        <v>9.86252</v>
      </c>
      <c r="AB24">
        <v>-1.47973</v>
      </c>
      <c r="AD24" s="23">
        <v>21</v>
      </c>
      <c r="AE24" s="26" t="s">
        <v>771</v>
      </c>
      <c r="AF24" s="23">
        <v>7.1389999999999995E-2</v>
      </c>
      <c r="AG24" s="23">
        <v>0.39478999999999997</v>
      </c>
      <c r="AH24" s="23">
        <v>2.4670000000000001E-2</v>
      </c>
      <c r="AI24" s="23">
        <v>1.3075600000000001</v>
      </c>
      <c r="AJ24" s="23">
        <v>10.270849999999999</v>
      </c>
      <c r="AK24" s="23">
        <v>7.5867500000000003</v>
      </c>
      <c r="AL24" s="23">
        <v>-1.5771999999999999</v>
      </c>
      <c r="AM24" s="25">
        <v>0.42795208333333329</v>
      </c>
      <c r="AN24" s="25">
        <v>0.39419191756072058</v>
      </c>
      <c r="AO24" s="25">
        <v>0.23816614499968114</v>
      </c>
      <c r="AP24" s="25">
        <v>0.12384671287951514</v>
      </c>
      <c r="AQ24" s="24">
        <v>1.6053914184640905</v>
      </c>
      <c r="AR24" s="23">
        <v>-99</v>
      </c>
    </row>
    <row r="25" spans="1:44" x14ac:dyDescent="0.25">
      <c r="A25" s="4">
        <v>13</v>
      </c>
      <c r="B25">
        <v>60</v>
      </c>
      <c r="C25">
        <v>50</v>
      </c>
      <c r="D25">
        <v>20</v>
      </c>
      <c r="E25" s="3">
        <v>25</v>
      </c>
      <c r="F25" s="3">
        <f>1.8*E25+32</f>
        <v>77</v>
      </c>
      <c r="G25" s="3">
        <v>18</v>
      </c>
      <c r="H25" s="3">
        <f>IF(F25&gt;68,G25+(F25-68)*0.2,G173-(68-F25)*0.2)</f>
        <v>19.8</v>
      </c>
      <c r="I25" s="3">
        <v>23</v>
      </c>
      <c r="J25" s="3">
        <f>1.8*I25+32</f>
        <v>73.400000000000006</v>
      </c>
      <c r="K25" s="3">
        <v>11</v>
      </c>
      <c r="L25" s="3">
        <f>IF(J25&gt;67,K25+(J25-67)*0.2,K25-(67-J25)*0.2)</f>
        <v>12.280000000000001</v>
      </c>
      <c r="M25" s="3">
        <f>(C25-H25)/C25*100</f>
        <v>60.4</v>
      </c>
      <c r="N25" s="3">
        <f>100-(M25+O25)</f>
        <v>15.039999999999992</v>
      </c>
      <c r="O25" s="3">
        <f>L25/C25*100</f>
        <v>24.560000000000002</v>
      </c>
      <c r="P25" s="1" t="s">
        <v>2</v>
      </c>
      <c r="Q25" s="15">
        <v>407590.46</v>
      </c>
      <c r="R25" s="15">
        <v>3659923</v>
      </c>
      <c r="T25">
        <v>2009033</v>
      </c>
      <c r="U25" t="s">
        <v>770</v>
      </c>
      <c r="V25">
        <v>5.6619999999999997E-2</v>
      </c>
      <c r="W25">
        <v>0.37951000000000001</v>
      </c>
      <c r="X25">
        <v>2.997E-2</v>
      </c>
      <c r="Y25">
        <v>1.36534</v>
      </c>
      <c r="Z25">
        <v>25.318960000000001</v>
      </c>
      <c r="AA25">
        <v>12.24277</v>
      </c>
      <c r="AB25">
        <v>-1.3716699999999999</v>
      </c>
      <c r="AD25" s="23">
        <v>22</v>
      </c>
      <c r="AE25" s="26" t="s">
        <v>769</v>
      </c>
      <c r="AF25" s="23">
        <v>5.9900000000000002E-2</v>
      </c>
      <c r="AG25" s="23">
        <v>0.38297999999999999</v>
      </c>
      <c r="AH25" s="23">
        <v>2.809E-2</v>
      </c>
      <c r="AI25" s="23">
        <v>1.34395</v>
      </c>
      <c r="AJ25" s="23">
        <v>19.62069</v>
      </c>
      <c r="AK25" s="23">
        <v>10.61849</v>
      </c>
      <c r="AL25" s="23">
        <v>-1.4265300000000001</v>
      </c>
      <c r="AM25" s="25">
        <v>0.81752875000000003</v>
      </c>
      <c r="AN25" s="25">
        <v>0.38230373120332378</v>
      </c>
      <c r="AO25" s="25">
        <v>0.2077975413642025</v>
      </c>
      <c r="AP25" s="25">
        <v>0.10031393329829591</v>
      </c>
      <c r="AQ25" s="24">
        <v>1.6368951123111921</v>
      </c>
      <c r="AR25" s="23">
        <v>-99</v>
      </c>
    </row>
    <row r="26" spans="1:44" x14ac:dyDescent="0.25">
      <c r="A26" s="4">
        <v>13</v>
      </c>
      <c r="B26">
        <v>90</v>
      </c>
      <c r="C26">
        <v>50</v>
      </c>
      <c r="D26">
        <v>20</v>
      </c>
      <c r="E26" s="3">
        <v>25.5</v>
      </c>
      <c r="F26" s="3">
        <f>1.8*E26+32</f>
        <v>77.900000000000006</v>
      </c>
      <c r="G26" s="3">
        <v>10</v>
      </c>
      <c r="H26" s="3">
        <f>IF(F26&gt;68,G26+(F26-68)*0.2,G174-(68-F26)*0.2)</f>
        <v>11.98</v>
      </c>
      <c r="I26" s="3">
        <v>23</v>
      </c>
      <c r="J26" s="3">
        <f>1.8*I26+32</f>
        <v>73.400000000000006</v>
      </c>
      <c r="K26" s="3">
        <v>6</v>
      </c>
      <c r="L26" s="3">
        <f>IF(J26&gt;67,K26+(J26-67)*0.2,K26-(67-J26)*0.2)</f>
        <v>7.2800000000000011</v>
      </c>
      <c r="M26" s="3">
        <f>(C26-H26)/C26*100</f>
        <v>76.039999999999992</v>
      </c>
      <c r="N26" s="3">
        <f>100-(M26+O26)</f>
        <v>9.4000000000000057</v>
      </c>
      <c r="O26" s="3">
        <f>L26/C26*100</f>
        <v>14.560000000000004</v>
      </c>
      <c r="P26" s="1" t="s">
        <v>0</v>
      </c>
      <c r="Q26" s="15">
        <v>407590.46</v>
      </c>
      <c r="R26" s="15">
        <v>3659923</v>
      </c>
      <c r="T26">
        <v>2009033</v>
      </c>
      <c r="U26" t="s">
        <v>768</v>
      </c>
      <c r="V26">
        <v>5.2900000000000003E-2</v>
      </c>
      <c r="W26">
        <v>0.38546000000000002</v>
      </c>
      <c r="X26">
        <v>2.7480000000000001E-2</v>
      </c>
      <c r="Y26">
        <v>1.37514</v>
      </c>
      <c r="Z26">
        <v>25.641300000000001</v>
      </c>
      <c r="AA26">
        <v>12.01665</v>
      </c>
      <c r="AB26">
        <v>-1.2110700000000001</v>
      </c>
      <c r="AD26" s="23">
        <v>23</v>
      </c>
      <c r="AE26" s="26" t="s">
        <v>767</v>
      </c>
      <c r="AF26" s="23">
        <v>5.2999999999999999E-2</v>
      </c>
      <c r="AG26" s="23">
        <v>0.38279999999999997</v>
      </c>
      <c r="AH26" s="23">
        <v>2.9929999999999998E-2</v>
      </c>
      <c r="AI26" s="23">
        <v>1.37477</v>
      </c>
      <c r="AJ26" s="23">
        <v>28.123640000000002</v>
      </c>
      <c r="AK26" s="23">
        <v>13.2211</v>
      </c>
      <c r="AL26" s="23">
        <v>-1.2874300000000001</v>
      </c>
      <c r="AM26" s="25">
        <v>1.1718183333333334</v>
      </c>
      <c r="AN26" s="25">
        <v>0.3820812630325609</v>
      </c>
      <c r="AO26" s="25">
        <v>0.19075552496771531</v>
      </c>
      <c r="AP26" s="25">
        <v>8.6439492615911814E-2</v>
      </c>
      <c r="AQ26" s="24">
        <v>1.6374846529637135</v>
      </c>
      <c r="AR26" s="23">
        <v>-99</v>
      </c>
    </row>
    <row r="27" spans="1:44" x14ac:dyDescent="0.25">
      <c r="A27" s="4">
        <v>13</v>
      </c>
      <c r="B27">
        <v>120</v>
      </c>
      <c r="C27">
        <v>50</v>
      </c>
      <c r="D27">
        <v>20</v>
      </c>
      <c r="E27" s="3">
        <v>26</v>
      </c>
      <c r="F27" s="3">
        <f>1.8*E27+32</f>
        <v>78.800000000000011</v>
      </c>
      <c r="G27" s="3">
        <v>30</v>
      </c>
      <c r="H27" s="3">
        <f>IF(F27&gt;68,G27+(F27-68)*0.2,G175-(68-F27)*0.2)</f>
        <v>32.160000000000004</v>
      </c>
      <c r="I27" s="3">
        <v>23</v>
      </c>
      <c r="J27" s="3">
        <f>1.8*I27+32</f>
        <v>73.400000000000006</v>
      </c>
      <c r="K27" s="3">
        <v>18</v>
      </c>
      <c r="L27" s="3">
        <f>IF(J27&gt;67,K27+(J27-67)*0.2,K27-(67-J27)*0.2)</f>
        <v>19.28</v>
      </c>
      <c r="M27" s="3">
        <f>(C27-H27)/C27*100</f>
        <v>35.679999999999993</v>
      </c>
      <c r="N27" s="3">
        <f>100-(M27+O27)</f>
        <v>25.760000000000005</v>
      </c>
      <c r="O27" s="3">
        <f>L27/C27*100</f>
        <v>38.56</v>
      </c>
      <c r="P27" s="1" t="s">
        <v>22</v>
      </c>
      <c r="Q27" s="15">
        <v>407590.46</v>
      </c>
      <c r="R27" s="15">
        <v>3659923</v>
      </c>
      <c r="T27">
        <v>2009033</v>
      </c>
      <c r="U27" t="s">
        <v>766</v>
      </c>
      <c r="V27">
        <v>7.1389999999999995E-2</v>
      </c>
      <c r="W27">
        <v>0.39478999999999997</v>
      </c>
      <c r="X27">
        <v>2.4670000000000001E-2</v>
      </c>
      <c r="Y27">
        <v>1.3075600000000001</v>
      </c>
      <c r="Z27">
        <v>10.270849999999999</v>
      </c>
      <c r="AA27">
        <v>7.5867500000000003</v>
      </c>
      <c r="AB27">
        <v>-1.5771999999999999</v>
      </c>
      <c r="AD27" s="23">
        <v>24</v>
      </c>
      <c r="AE27" s="26" t="s">
        <v>765</v>
      </c>
      <c r="AF27" s="23">
        <v>6.5960000000000005E-2</v>
      </c>
      <c r="AG27" s="23">
        <v>0.38833000000000001</v>
      </c>
      <c r="AH27" s="23">
        <v>2.5860000000000001E-2</v>
      </c>
      <c r="AI27" s="23">
        <v>1.3244199999999999</v>
      </c>
      <c r="AJ27" s="23">
        <v>13.70532</v>
      </c>
      <c r="AK27" s="23">
        <v>8.71218</v>
      </c>
      <c r="AL27" s="23">
        <v>-1.49292</v>
      </c>
      <c r="AM27" s="25">
        <v>0.57105499999999998</v>
      </c>
      <c r="AN27" s="25">
        <v>0.38770918598387655</v>
      </c>
      <c r="AO27" s="25">
        <v>0.22409404405655375</v>
      </c>
      <c r="AP27" s="25">
        <v>0.11257036450782278</v>
      </c>
      <c r="AQ27" s="24">
        <v>1.622570657142727</v>
      </c>
      <c r="AR27" s="23">
        <v>-99</v>
      </c>
    </row>
    <row r="28" spans="1:44" x14ac:dyDescent="0.25">
      <c r="A28" s="4">
        <v>13</v>
      </c>
      <c r="B28">
        <v>150</v>
      </c>
      <c r="C28">
        <v>50</v>
      </c>
      <c r="D28">
        <v>20</v>
      </c>
      <c r="E28" s="3">
        <v>24.5</v>
      </c>
      <c r="F28" s="3">
        <f>1.8*E28+32</f>
        <v>76.099999999999994</v>
      </c>
      <c r="G28" s="3">
        <v>19</v>
      </c>
      <c r="H28" s="3">
        <f>IF(F28&gt;68,G28+(F28-68)*0.2,G176-(68-F28)*0.2)</f>
        <v>20.619999999999997</v>
      </c>
      <c r="I28" s="3">
        <v>23</v>
      </c>
      <c r="J28" s="3">
        <f>1.8*I28+32</f>
        <v>73.400000000000006</v>
      </c>
      <c r="K28" s="3">
        <v>10</v>
      </c>
      <c r="L28" s="3">
        <f>IF(J28&gt;67,K28+(J28-67)*0.2,K28-(67-J28)*0.2)</f>
        <v>11.280000000000001</v>
      </c>
      <c r="M28" s="3">
        <f>(C28-H28)/C28*100</f>
        <v>58.76</v>
      </c>
      <c r="N28" s="3">
        <f>100-(M28+O28)</f>
        <v>18.680000000000007</v>
      </c>
      <c r="O28" s="3">
        <f>L28/C28*100</f>
        <v>22.560000000000002</v>
      </c>
      <c r="P28" s="1" t="s">
        <v>2</v>
      </c>
      <c r="Q28" s="15">
        <v>407590.46</v>
      </c>
      <c r="R28" s="15">
        <v>3659923</v>
      </c>
      <c r="T28">
        <v>2009033</v>
      </c>
      <c r="U28" t="s">
        <v>764</v>
      </c>
      <c r="V28">
        <v>5.9900000000000002E-2</v>
      </c>
      <c r="W28">
        <v>0.38297999999999999</v>
      </c>
      <c r="X28">
        <v>2.809E-2</v>
      </c>
      <c r="Y28">
        <v>1.34395</v>
      </c>
      <c r="Z28">
        <v>19.62069</v>
      </c>
      <c r="AA28">
        <v>10.61849</v>
      </c>
      <c r="AB28">
        <v>-1.4265300000000001</v>
      </c>
      <c r="AD28" s="23">
        <v>25</v>
      </c>
      <c r="AE28" s="26" t="s">
        <v>763</v>
      </c>
      <c r="AF28" s="23">
        <v>6.5629999999999994E-2</v>
      </c>
      <c r="AG28" s="23">
        <v>0.38562000000000002</v>
      </c>
      <c r="AH28" s="23">
        <v>2.6759999999999999E-2</v>
      </c>
      <c r="AI28" s="23">
        <v>1.3181499999999999</v>
      </c>
      <c r="AJ28" s="23">
        <v>14.27605</v>
      </c>
      <c r="AK28" s="23">
        <v>8.9701500000000003</v>
      </c>
      <c r="AL28" s="23">
        <v>-1.56135</v>
      </c>
      <c r="AM28" s="25">
        <v>0.59483541666666662</v>
      </c>
      <c r="AN28" s="25">
        <v>0.38497028458391558</v>
      </c>
      <c r="AO28" s="25">
        <v>0.2231039983721802</v>
      </c>
      <c r="AP28" s="25">
        <v>0.11313830100459377</v>
      </c>
      <c r="AQ28" s="24">
        <v>1.6298287458526237</v>
      </c>
      <c r="AR28" s="23">
        <v>-99</v>
      </c>
    </row>
    <row r="29" spans="1:44" x14ac:dyDescent="0.25">
      <c r="A29" s="4">
        <v>13</v>
      </c>
      <c r="B29">
        <v>180</v>
      </c>
      <c r="C29">
        <v>50</v>
      </c>
      <c r="D29">
        <v>20</v>
      </c>
      <c r="E29" s="3">
        <v>24.5</v>
      </c>
      <c r="F29" s="3">
        <f>1.8*E29+32</f>
        <v>76.099999999999994</v>
      </c>
      <c r="G29" s="3">
        <v>18</v>
      </c>
      <c r="H29" s="3">
        <f>IF(F29&gt;68,G29+(F29-68)*0.2,G177-(68-F29)*0.2)</f>
        <v>19.619999999999997</v>
      </c>
      <c r="I29" s="3">
        <v>23</v>
      </c>
      <c r="J29" s="3">
        <f>1.8*I29+32</f>
        <v>73.400000000000006</v>
      </c>
      <c r="K29" s="3">
        <v>9</v>
      </c>
      <c r="L29" s="3">
        <f>IF(J29&gt;67,K29+(J29-67)*0.2,K29-(67-J29)*0.2)</f>
        <v>10.280000000000001</v>
      </c>
      <c r="M29" s="3">
        <f>(C29-H29)/C29*100</f>
        <v>60.760000000000005</v>
      </c>
      <c r="N29" s="3">
        <f>100-(M29+O29)</f>
        <v>18.679999999999993</v>
      </c>
      <c r="O29" s="3">
        <f>L29/C29*100</f>
        <v>20.560000000000002</v>
      </c>
      <c r="P29" s="1" t="s">
        <v>2</v>
      </c>
      <c r="Q29" s="15">
        <v>407590.46</v>
      </c>
      <c r="R29" s="15">
        <v>3659923</v>
      </c>
      <c r="T29">
        <v>2009033</v>
      </c>
      <c r="U29" t="s">
        <v>762</v>
      </c>
      <c r="V29">
        <v>5.2999999999999999E-2</v>
      </c>
      <c r="W29">
        <v>0.38279999999999997</v>
      </c>
      <c r="X29">
        <v>2.9929999999999998E-2</v>
      </c>
      <c r="Y29">
        <v>1.37477</v>
      </c>
      <c r="Z29">
        <v>28.123640000000002</v>
      </c>
      <c r="AA29">
        <v>13.2211</v>
      </c>
      <c r="AB29">
        <v>-1.2874300000000001</v>
      </c>
      <c r="AD29" s="23">
        <v>26</v>
      </c>
      <c r="AE29" s="26" t="s">
        <v>761</v>
      </c>
      <c r="AF29" s="23">
        <v>5.4489999999999997E-2</v>
      </c>
      <c r="AG29" s="23">
        <v>0.37894</v>
      </c>
      <c r="AH29" s="23">
        <v>3.0960000000000001E-2</v>
      </c>
      <c r="AI29" s="23">
        <v>1.3859600000000001</v>
      </c>
      <c r="AJ29" s="23">
        <v>30.065470000000001</v>
      </c>
      <c r="AK29" s="23">
        <v>13.46012</v>
      </c>
      <c r="AL29" s="23">
        <v>-1.30783</v>
      </c>
      <c r="AM29" s="25">
        <v>1.2527279166666667</v>
      </c>
      <c r="AN29" s="25">
        <v>0.37821220338708134</v>
      </c>
      <c r="AO29" s="25">
        <v>0.18492678143278446</v>
      </c>
      <c r="AP29" s="25">
        <v>8.4815622214656383E-2</v>
      </c>
      <c r="AQ29" s="24">
        <v>1.6477376610242342</v>
      </c>
      <c r="AR29" s="23">
        <v>-99</v>
      </c>
    </row>
    <row r="30" spans="1:44" x14ac:dyDescent="0.25">
      <c r="A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1"/>
      <c r="T30">
        <v>2009033</v>
      </c>
      <c r="U30" t="s">
        <v>760</v>
      </c>
      <c r="V30">
        <v>6.5960000000000005E-2</v>
      </c>
      <c r="W30">
        <v>0.38833000000000001</v>
      </c>
      <c r="X30">
        <v>2.5860000000000001E-2</v>
      </c>
      <c r="Y30">
        <v>1.3244199999999999</v>
      </c>
      <c r="Z30">
        <v>13.70532</v>
      </c>
      <c r="AA30">
        <v>8.71218</v>
      </c>
      <c r="AB30">
        <v>-1.49292</v>
      </c>
      <c r="AD30" s="23">
        <v>27</v>
      </c>
      <c r="AE30" s="26" t="s">
        <v>759</v>
      </c>
      <c r="AF30" s="23">
        <v>6.2759999999999996E-2</v>
      </c>
      <c r="AG30" s="23">
        <v>0.38163000000000002</v>
      </c>
      <c r="AH30" s="23">
        <v>2.792E-2</v>
      </c>
      <c r="AI30" s="23">
        <v>1.3275600000000001</v>
      </c>
      <c r="AJ30" s="23">
        <v>17.016220000000001</v>
      </c>
      <c r="AK30" s="23">
        <v>9.8411299999999997</v>
      </c>
      <c r="AL30" s="23">
        <v>-1.5326200000000001</v>
      </c>
      <c r="AM30" s="25">
        <v>0.70900916666666669</v>
      </c>
      <c r="AN30" s="25">
        <v>0.38095332878519483</v>
      </c>
      <c r="AO30" s="25">
        <v>0.21446665327531722</v>
      </c>
      <c r="AP30" s="25">
        <v>0.10688794974113155</v>
      </c>
      <c r="AQ30" s="24">
        <v>1.6404736787192336</v>
      </c>
      <c r="AR30" s="23">
        <v>-99</v>
      </c>
    </row>
    <row r="31" spans="1:44" ht="51.75" x14ac:dyDescent="0.25">
      <c r="A31" s="14" t="s">
        <v>21</v>
      </c>
      <c r="B31" s="9" t="s">
        <v>20</v>
      </c>
      <c r="C31" s="13" t="s">
        <v>19</v>
      </c>
      <c r="D31" s="12" t="s">
        <v>18</v>
      </c>
      <c r="E31" s="11" t="s">
        <v>17</v>
      </c>
      <c r="F31" s="11" t="s">
        <v>16</v>
      </c>
      <c r="G31" s="11" t="s">
        <v>15</v>
      </c>
      <c r="H31" s="11" t="s">
        <v>14</v>
      </c>
      <c r="I31" s="11" t="s">
        <v>13</v>
      </c>
      <c r="J31" s="11" t="s">
        <v>12</v>
      </c>
      <c r="K31" s="11" t="s">
        <v>11</v>
      </c>
      <c r="L31" s="11" t="s">
        <v>10</v>
      </c>
      <c r="M31" s="10" t="s">
        <v>9</v>
      </c>
      <c r="N31" s="10" t="s">
        <v>8</v>
      </c>
      <c r="O31" s="10" t="s">
        <v>7</v>
      </c>
      <c r="P31" s="9" t="s">
        <v>6</v>
      </c>
      <c r="Q31" s="19" t="s">
        <v>5</v>
      </c>
      <c r="R31" s="19"/>
      <c r="T31">
        <v>2009033</v>
      </c>
      <c r="U31" t="s">
        <v>758</v>
      </c>
      <c r="V31">
        <v>6.5629999999999994E-2</v>
      </c>
      <c r="W31">
        <v>0.38562000000000002</v>
      </c>
      <c r="X31">
        <v>2.6759999999999999E-2</v>
      </c>
      <c r="Y31">
        <v>1.3181499999999999</v>
      </c>
      <c r="Z31">
        <v>14.27605</v>
      </c>
      <c r="AA31">
        <v>8.9701500000000003</v>
      </c>
      <c r="AB31">
        <v>-1.56135</v>
      </c>
      <c r="AD31" s="23">
        <v>28</v>
      </c>
      <c r="AE31" s="26" t="s">
        <v>757</v>
      </c>
      <c r="AF31" s="23">
        <v>6.0019999999999997E-2</v>
      </c>
      <c r="AG31" s="23">
        <v>0.38435999999999998</v>
      </c>
      <c r="AH31" s="23">
        <v>2.7519999999999999E-2</v>
      </c>
      <c r="AI31" s="23">
        <v>1.3454299999999999</v>
      </c>
      <c r="AJ31" s="23">
        <v>19.122679999999999</v>
      </c>
      <c r="AK31" s="23">
        <v>10.407</v>
      </c>
      <c r="AL31" s="23">
        <v>-1.4001999999999999</v>
      </c>
      <c r="AM31" s="25">
        <v>0.79677833333333326</v>
      </c>
      <c r="AN31" s="25">
        <v>0.38370083796350019</v>
      </c>
      <c r="AO31" s="25">
        <v>0.20900527173338793</v>
      </c>
      <c r="AP31" s="25">
        <v>0.10051597213577923</v>
      </c>
      <c r="AQ31" s="24">
        <v>1.6331927793967245</v>
      </c>
      <c r="AR31" s="23">
        <v>-99</v>
      </c>
    </row>
    <row r="32" spans="1:44" x14ac:dyDescent="0.25">
      <c r="C32" s="16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1"/>
      <c r="Q32" s="5" t="s">
        <v>4</v>
      </c>
      <c r="R32" s="5" t="s">
        <v>3</v>
      </c>
      <c r="T32">
        <v>2009033</v>
      </c>
      <c r="U32" t="s">
        <v>756</v>
      </c>
      <c r="V32">
        <v>5.4489999999999997E-2</v>
      </c>
      <c r="W32">
        <v>0.37894</v>
      </c>
      <c r="X32">
        <v>3.0960000000000001E-2</v>
      </c>
      <c r="Y32">
        <v>1.3859600000000001</v>
      </c>
      <c r="Z32">
        <v>30.065470000000001</v>
      </c>
      <c r="AA32">
        <v>13.46012</v>
      </c>
      <c r="AB32">
        <v>-1.30783</v>
      </c>
      <c r="AD32" s="23">
        <v>29</v>
      </c>
      <c r="AE32" s="26" t="s">
        <v>755</v>
      </c>
      <c r="AF32" s="23">
        <v>6.5960000000000005E-2</v>
      </c>
      <c r="AG32" s="23">
        <v>0.38833000000000001</v>
      </c>
      <c r="AH32" s="23">
        <v>2.5860000000000001E-2</v>
      </c>
      <c r="AI32" s="23">
        <v>1.3244199999999999</v>
      </c>
      <c r="AJ32" s="23">
        <v>13.70532</v>
      </c>
      <c r="AK32" s="23">
        <v>8.71218</v>
      </c>
      <c r="AL32" s="23">
        <v>-1.49292</v>
      </c>
      <c r="AM32" s="25">
        <v>0.57105499999999998</v>
      </c>
      <c r="AN32" s="25">
        <v>0.38770918598387655</v>
      </c>
      <c r="AO32" s="25">
        <v>0.22409404405655375</v>
      </c>
      <c r="AP32" s="25">
        <v>0.11257036450782278</v>
      </c>
      <c r="AQ32" s="24">
        <v>1.622570657142727</v>
      </c>
      <c r="AR32" s="23">
        <v>-99</v>
      </c>
    </row>
    <row r="33" spans="1:44" x14ac:dyDescent="0.25">
      <c r="A33" s="4">
        <v>14</v>
      </c>
      <c r="B33">
        <v>30</v>
      </c>
      <c r="C33" s="16">
        <v>50</v>
      </c>
      <c r="D33">
        <v>20</v>
      </c>
      <c r="E33" s="3">
        <v>25</v>
      </c>
      <c r="F33" s="3">
        <f>1.8*E33+32</f>
        <v>77</v>
      </c>
      <c r="G33" s="3">
        <v>17</v>
      </c>
      <c r="H33" s="3">
        <f>IF(F33&gt;68,G33+(F33-68)*0.2,G180-(68-F33)*0.2)</f>
        <v>18.8</v>
      </c>
      <c r="I33" s="3">
        <v>23</v>
      </c>
      <c r="J33" s="3">
        <f>1.8*I33+32</f>
        <v>73.400000000000006</v>
      </c>
      <c r="K33" s="3">
        <v>10</v>
      </c>
      <c r="L33" s="3">
        <f>IF(J33&gt;68,K33+(J33-68)*0.2,K33-(68-J33)*0.2)</f>
        <v>11.080000000000002</v>
      </c>
      <c r="M33" s="3">
        <f>(C33-H33)/C33*100</f>
        <v>62.4</v>
      </c>
      <c r="N33" s="3">
        <f>100-(M33+O33)</f>
        <v>15.439999999999998</v>
      </c>
      <c r="O33" s="3">
        <f>L33/C33*100</f>
        <v>22.160000000000004</v>
      </c>
      <c r="P33" s="1" t="s">
        <v>2</v>
      </c>
      <c r="Q33" s="15">
        <v>407590.46</v>
      </c>
      <c r="R33" s="15">
        <v>3659949.5</v>
      </c>
      <c r="T33">
        <v>2009033</v>
      </c>
      <c r="U33" t="s">
        <v>754</v>
      </c>
      <c r="V33">
        <v>6.2759999999999996E-2</v>
      </c>
      <c r="W33">
        <v>0.38163000000000002</v>
      </c>
      <c r="X33">
        <v>2.792E-2</v>
      </c>
      <c r="Y33">
        <v>1.3275600000000001</v>
      </c>
      <c r="Z33">
        <v>17.016220000000001</v>
      </c>
      <c r="AA33">
        <v>9.8411299999999997</v>
      </c>
      <c r="AB33">
        <v>-1.5326200000000001</v>
      </c>
      <c r="AD33" s="23">
        <v>30</v>
      </c>
      <c r="AE33" s="26" t="s">
        <v>753</v>
      </c>
      <c r="AF33" s="23">
        <v>6.8890000000000007E-2</v>
      </c>
      <c r="AG33" s="23">
        <v>0.39211000000000001</v>
      </c>
      <c r="AH33" s="23">
        <v>2.4899999999999999E-2</v>
      </c>
      <c r="AI33" s="23">
        <v>1.31789</v>
      </c>
      <c r="AJ33" s="23">
        <v>11.58117</v>
      </c>
      <c r="AK33" s="23">
        <v>7.99648</v>
      </c>
      <c r="AL33" s="23">
        <v>-1.5111000000000001</v>
      </c>
      <c r="AM33" s="25">
        <v>0.48254875000000003</v>
      </c>
      <c r="AN33" s="25">
        <v>0.39151269620648704</v>
      </c>
      <c r="AO33" s="25">
        <v>0.23152427471414247</v>
      </c>
      <c r="AP33" s="25">
        <v>0.11806564869892508</v>
      </c>
      <c r="AQ33" s="24">
        <v>1.6124913550528095</v>
      </c>
      <c r="AR33" s="23">
        <v>-99</v>
      </c>
    </row>
    <row r="34" spans="1:44" x14ac:dyDescent="0.25">
      <c r="A34" s="4">
        <v>14</v>
      </c>
      <c r="B34">
        <v>60</v>
      </c>
      <c r="C34" s="16">
        <v>50</v>
      </c>
      <c r="D34">
        <v>20</v>
      </c>
      <c r="E34" s="3">
        <v>25</v>
      </c>
      <c r="F34" s="3">
        <f>1.8*E34+32</f>
        <v>77</v>
      </c>
      <c r="G34" s="3">
        <v>14</v>
      </c>
      <c r="H34" s="3">
        <f>IF(F34&gt;68,G34+(F34-68)*0.2,G181-(68-F34)*0.2)</f>
        <v>15.8</v>
      </c>
      <c r="I34" s="3">
        <v>23</v>
      </c>
      <c r="J34" s="3">
        <f>1.8*I34+32</f>
        <v>73.400000000000006</v>
      </c>
      <c r="K34" s="3">
        <v>8</v>
      </c>
      <c r="L34" s="3">
        <f>IF(J34&gt;68,K34+(J34-68)*0.2,K34-(68-J34)*0.2)</f>
        <v>9.0800000000000018</v>
      </c>
      <c r="M34" s="3">
        <f>(C34-H34)/C34*100</f>
        <v>68.400000000000006</v>
      </c>
      <c r="N34" s="3">
        <f>100-(M34+O34)</f>
        <v>13.439999999999998</v>
      </c>
      <c r="O34" s="3">
        <f>L34/C34*100</f>
        <v>18.160000000000004</v>
      </c>
      <c r="P34" s="1" t="s">
        <v>0</v>
      </c>
      <c r="Q34" s="15">
        <v>407590.46</v>
      </c>
      <c r="R34" s="15">
        <v>3659949.5</v>
      </c>
      <c r="T34">
        <v>2009033</v>
      </c>
      <c r="U34" t="s">
        <v>752</v>
      </c>
      <c r="V34">
        <v>6.0019999999999997E-2</v>
      </c>
      <c r="W34">
        <v>0.38435999999999998</v>
      </c>
      <c r="X34">
        <v>2.7519999999999999E-2</v>
      </c>
      <c r="Y34">
        <v>1.3454299999999999</v>
      </c>
      <c r="Z34">
        <v>19.122679999999999</v>
      </c>
      <c r="AA34">
        <v>10.407</v>
      </c>
      <c r="AB34">
        <v>-1.4001999999999999</v>
      </c>
      <c r="AD34" s="23">
        <v>31</v>
      </c>
      <c r="AE34" s="26" t="s">
        <v>751</v>
      </c>
      <c r="AF34" s="23">
        <v>7.0940000000000003E-2</v>
      </c>
      <c r="AG34" s="23">
        <v>0.39162000000000002</v>
      </c>
      <c r="AH34" s="23">
        <v>2.5700000000000001E-2</v>
      </c>
      <c r="AI34" s="23">
        <v>1.2987299999999999</v>
      </c>
      <c r="AJ34" s="23">
        <v>11.0044</v>
      </c>
      <c r="AK34" s="23">
        <v>7.85379</v>
      </c>
      <c r="AL34" s="23">
        <v>-1.67628</v>
      </c>
      <c r="AM34" s="25">
        <v>0.45851666666666668</v>
      </c>
      <c r="AN34" s="25">
        <v>0.39098835428275824</v>
      </c>
      <c r="AO34" s="25">
        <v>0.23750273163591878</v>
      </c>
      <c r="AP34" s="25">
        <v>0.12507835665965467</v>
      </c>
      <c r="AQ34" s="24">
        <v>1.6138808611506905</v>
      </c>
      <c r="AR34" s="23">
        <v>-99</v>
      </c>
    </row>
    <row r="35" spans="1:44" x14ac:dyDescent="0.25">
      <c r="A35" s="4">
        <v>14</v>
      </c>
      <c r="B35">
        <v>90</v>
      </c>
      <c r="C35" s="16">
        <v>50</v>
      </c>
      <c r="D35">
        <v>20</v>
      </c>
      <c r="E35" s="3">
        <v>25</v>
      </c>
      <c r="F35" s="3">
        <f>1.8*E35+32</f>
        <v>77</v>
      </c>
      <c r="G35" s="3">
        <v>17</v>
      </c>
      <c r="H35" s="3">
        <f>IF(F35&gt;68,G35+(F35-68)*0.2,G182-(68-F35)*0.2)</f>
        <v>18.8</v>
      </c>
      <c r="I35" s="3">
        <v>23</v>
      </c>
      <c r="J35" s="3">
        <f>1.8*I35+32</f>
        <v>73.400000000000006</v>
      </c>
      <c r="K35" s="3">
        <v>7</v>
      </c>
      <c r="L35" s="3">
        <f>IF(J35&gt;68,K35+(J35-68)*0.2,K35-(68-J35)*0.2)</f>
        <v>8.0800000000000018</v>
      </c>
      <c r="M35" s="3">
        <f>(C35-H35)/C35*100</f>
        <v>62.4</v>
      </c>
      <c r="N35" s="3">
        <f>100-(M35+O35)</f>
        <v>21.439999999999998</v>
      </c>
      <c r="O35" s="3">
        <f>L35/C35*100</f>
        <v>16.160000000000004</v>
      </c>
      <c r="P35" s="1" t="s">
        <v>0</v>
      </c>
      <c r="Q35" s="15">
        <v>407590.46</v>
      </c>
      <c r="R35" s="15">
        <v>3659949.5</v>
      </c>
      <c r="T35">
        <v>2009033</v>
      </c>
      <c r="U35" t="s">
        <v>750</v>
      </c>
      <c r="V35">
        <v>6.5960000000000005E-2</v>
      </c>
      <c r="W35">
        <v>0.38833000000000001</v>
      </c>
      <c r="X35">
        <v>2.5860000000000001E-2</v>
      </c>
      <c r="Y35">
        <v>1.3244199999999999</v>
      </c>
      <c r="Z35">
        <v>13.70532</v>
      </c>
      <c r="AA35">
        <v>8.71218</v>
      </c>
      <c r="AB35">
        <v>-1.49292</v>
      </c>
      <c r="AD35" s="23">
        <v>32</v>
      </c>
      <c r="AE35" s="26" t="s">
        <v>749</v>
      </c>
      <c r="AF35" s="23">
        <v>6.0510000000000001E-2</v>
      </c>
      <c r="AG35" s="23">
        <v>0.39201999999999998</v>
      </c>
      <c r="AH35" s="23">
        <v>2.2200000000000001E-2</v>
      </c>
      <c r="AI35" s="23">
        <v>1.37399</v>
      </c>
      <c r="AJ35" s="23">
        <v>16.096489999999999</v>
      </c>
      <c r="AK35" s="23">
        <v>8.3409099999999992</v>
      </c>
      <c r="AL35" s="23">
        <v>-1.10788</v>
      </c>
      <c r="AM35" s="25">
        <v>0.67068708333333327</v>
      </c>
      <c r="AN35" s="25">
        <v>0.39153937583727305</v>
      </c>
      <c r="AO35" s="25">
        <v>0.21476533475490292</v>
      </c>
      <c r="AP35" s="25">
        <v>9.8274807741306064E-2</v>
      </c>
      <c r="AQ35" s="24">
        <v>1.6124206540312263</v>
      </c>
      <c r="AR35" s="23">
        <v>-99</v>
      </c>
    </row>
    <row r="36" spans="1:44" x14ac:dyDescent="0.25">
      <c r="A36" s="4">
        <v>14</v>
      </c>
      <c r="B36">
        <v>120</v>
      </c>
      <c r="C36" s="16">
        <v>50</v>
      </c>
      <c r="D36">
        <v>20</v>
      </c>
      <c r="E36" s="3">
        <v>25.5</v>
      </c>
      <c r="F36" s="3">
        <f>1.8*E36+32</f>
        <v>77.900000000000006</v>
      </c>
      <c r="G36" s="3">
        <v>21</v>
      </c>
      <c r="H36" s="3">
        <f>IF(F36&gt;68,G36+(F36-68)*0.2,G184-(68-F36)*0.2)</f>
        <v>22.98</v>
      </c>
      <c r="I36" s="3">
        <v>23.5</v>
      </c>
      <c r="J36" s="3">
        <f>1.8*I36+32</f>
        <v>74.300000000000011</v>
      </c>
      <c r="K36" s="3">
        <v>13</v>
      </c>
      <c r="L36" s="3">
        <f>IF(J36&gt;68,K36+(J36-68)*0.2,K36-(68-J36)*0.2)</f>
        <v>14.260000000000002</v>
      </c>
      <c r="M36" s="3">
        <f>(C36-H36)/C36*100</f>
        <v>54.04</v>
      </c>
      <c r="N36" s="3">
        <f>100-(M36+O36)</f>
        <v>17.439999999999998</v>
      </c>
      <c r="O36" s="3">
        <f>L36/C36*100</f>
        <v>28.52</v>
      </c>
      <c r="P36" s="1" t="s">
        <v>2</v>
      </c>
      <c r="Q36" s="15">
        <v>407590.46</v>
      </c>
      <c r="R36" s="15">
        <v>3659949.5</v>
      </c>
      <c r="T36">
        <v>2009033</v>
      </c>
      <c r="U36" t="s">
        <v>748</v>
      </c>
      <c r="V36">
        <v>6.8890000000000007E-2</v>
      </c>
      <c r="W36">
        <v>0.39211000000000001</v>
      </c>
      <c r="X36">
        <v>2.4899999999999999E-2</v>
      </c>
      <c r="Y36">
        <v>1.31789</v>
      </c>
      <c r="Z36">
        <v>11.58117</v>
      </c>
      <c r="AA36">
        <v>7.99648</v>
      </c>
      <c r="AB36">
        <v>-1.5111000000000001</v>
      </c>
      <c r="AD36" s="23">
        <v>33</v>
      </c>
      <c r="AE36" s="26" t="s">
        <v>747</v>
      </c>
      <c r="AF36" s="23">
        <v>6.6519999999999996E-2</v>
      </c>
      <c r="AG36" s="23">
        <v>0.39206999999999997</v>
      </c>
      <c r="AH36" s="23">
        <v>2.4250000000000001E-2</v>
      </c>
      <c r="AI36" s="23">
        <v>1.3354600000000001</v>
      </c>
      <c r="AJ36" s="23">
        <v>12.7759</v>
      </c>
      <c r="AK36" s="23">
        <v>8.1845999999999997</v>
      </c>
      <c r="AL36" s="23">
        <v>-1.37975</v>
      </c>
      <c r="AM36" s="25">
        <v>0.53232916666666663</v>
      </c>
      <c r="AN36" s="25">
        <v>0.39150299299963098</v>
      </c>
      <c r="AO36" s="25">
        <v>0.22566654952845516</v>
      </c>
      <c r="AP36" s="25">
        <v>0.11155283023255694</v>
      </c>
      <c r="AQ36" s="24">
        <v>1.6125170685509778</v>
      </c>
      <c r="AR36" s="23">
        <v>-99</v>
      </c>
    </row>
    <row r="37" spans="1:44" x14ac:dyDescent="0.25">
      <c r="A37" s="4">
        <v>14</v>
      </c>
      <c r="B37">
        <v>150</v>
      </c>
      <c r="C37" s="16">
        <v>50</v>
      </c>
      <c r="D37">
        <v>20</v>
      </c>
      <c r="E37" s="3">
        <v>26</v>
      </c>
      <c r="F37" s="3">
        <f>1.8*E37+32</f>
        <v>78.800000000000011</v>
      </c>
      <c r="G37" s="3">
        <v>16</v>
      </c>
      <c r="H37" s="3">
        <f>IF(F37&gt;68,G37+(F37-68)*0.2,G185-(68-F37)*0.2)</f>
        <v>18.160000000000004</v>
      </c>
      <c r="I37" s="3">
        <v>23.5</v>
      </c>
      <c r="J37" s="3">
        <f>1.8*I37+32</f>
        <v>74.300000000000011</v>
      </c>
      <c r="K37" s="3">
        <v>9</v>
      </c>
      <c r="L37" s="3">
        <f>IF(J37&gt;68,K37+(J37-68)*0.2,K37-(68-J37)*0.2)</f>
        <v>10.260000000000002</v>
      </c>
      <c r="M37" s="3">
        <f>(C37-H37)/C37*100</f>
        <v>63.679999999999993</v>
      </c>
      <c r="N37" s="3">
        <f>100-(M37+O37)</f>
        <v>15.800000000000011</v>
      </c>
      <c r="O37" s="3">
        <f>L37/C37*100</f>
        <v>20.520000000000003</v>
      </c>
      <c r="P37" s="1" t="s">
        <v>2</v>
      </c>
      <c r="Q37" s="15">
        <v>407590.46</v>
      </c>
      <c r="R37" s="15">
        <v>3659949.5</v>
      </c>
      <c r="T37">
        <v>2009033</v>
      </c>
      <c r="U37" t="s">
        <v>746</v>
      </c>
      <c r="V37">
        <v>7.0940000000000003E-2</v>
      </c>
      <c r="W37">
        <v>0.39162000000000002</v>
      </c>
      <c r="X37">
        <v>2.5700000000000001E-2</v>
      </c>
      <c r="Y37">
        <v>1.2987299999999999</v>
      </c>
      <c r="Z37">
        <v>11.0044</v>
      </c>
      <c r="AA37">
        <v>7.85379</v>
      </c>
      <c r="AB37">
        <v>-1.67628</v>
      </c>
      <c r="AD37" s="23">
        <v>34</v>
      </c>
      <c r="AE37" s="26" t="s">
        <v>745</v>
      </c>
      <c r="AF37" s="23">
        <v>6.5920000000000006E-2</v>
      </c>
      <c r="AG37" s="23">
        <v>0.38379000000000002</v>
      </c>
      <c r="AH37" s="23">
        <v>2.7179999999999999E-2</v>
      </c>
      <c r="AI37" s="23">
        <v>1.3120499999999999</v>
      </c>
      <c r="AJ37" s="23">
        <v>14.313179999999999</v>
      </c>
      <c r="AK37" s="23">
        <v>8.9698600000000006</v>
      </c>
      <c r="AL37" s="23">
        <v>-1.61903</v>
      </c>
      <c r="AM37" s="25">
        <v>0.59638249999999993</v>
      </c>
      <c r="AN37" s="25">
        <v>0.38312653556651188</v>
      </c>
      <c r="AO37" s="25">
        <v>0.22372768299213017</v>
      </c>
      <c r="AP37" s="25">
        <v>0.11463401222889735</v>
      </c>
      <c r="AQ37" s="24">
        <v>1.6347146807487434</v>
      </c>
      <c r="AR37" s="23">
        <v>-99</v>
      </c>
    </row>
    <row r="38" spans="1:44" x14ac:dyDescent="0.25">
      <c r="A38" s="4">
        <v>14</v>
      </c>
      <c r="B38">
        <v>180</v>
      </c>
      <c r="C38" s="16">
        <v>50</v>
      </c>
      <c r="D38">
        <v>20</v>
      </c>
      <c r="E38" s="3">
        <v>25.5</v>
      </c>
      <c r="F38" s="3">
        <f>1.8*E38+32</f>
        <v>77.900000000000006</v>
      </c>
      <c r="G38" s="3">
        <v>15</v>
      </c>
      <c r="H38" s="3">
        <f>IF(F38&gt;68,G38+(F38-68)*0.2,G186-(68-F38)*0.2)</f>
        <v>16.98</v>
      </c>
      <c r="I38" s="3">
        <v>23</v>
      </c>
      <c r="J38" s="3">
        <f>1.8*I38+32</f>
        <v>73.400000000000006</v>
      </c>
      <c r="K38" s="3">
        <v>7</v>
      </c>
      <c r="L38" s="3">
        <f>IF(J38&gt;68,K38+(J38-68)*0.2,K38-(68-J38)*0.2)</f>
        <v>8.0800000000000018</v>
      </c>
      <c r="M38" s="3">
        <f>(C38-H38)/C38*100</f>
        <v>66.039999999999992</v>
      </c>
      <c r="N38" s="3">
        <f>100-(M38+O38)</f>
        <v>17.800000000000011</v>
      </c>
      <c r="O38" s="3">
        <f>L38/C38*100</f>
        <v>16.160000000000004</v>
      </c>
      <c r="P38" s="1" t="s">
        <v>0</v>
      </c>
      <c r="Q38" s="15">
        <v>407590.46</v>
      </c>
      <c r="R38" s="15">
        <v>3659949.5</v>
      </c>
      <c r="T38">
        <v>2009033</v>
      </c>
      <c r="U38" t="s">
        <v>744</v>
      </c>
      <c r="V38">
        <v>6.0510000000000001E-2</v>
      </c>
      <c r="W38">
        <v>0.39201999999999998</v>
      </c>
      <c r="X38">
        <v>2.2200000000000001E-2</v>
      </c>
      <c r="Y38">
        <v>1.37399</v>
      </c>
      <c r="Z38">
        <v>16.096489999999999</v>
      </c>
      <c r="AA38">
        <v>8.3409099999999992</v>
      </c>
      <c r="AB38">
        <v>-1.10788</v>
      </c>
      <c r="AD38" s="23">
        <v>35</v>
      </c>
      <c r="AE38" s="26" t="s">
        <v>743</v>
      </c>
      <c r="AF38" s="23">
        <v>5.3010000000000002E-2</v>
      </c>
      <c r="AG38" s="23">
        <v>0.37767000000000001</v>
      </c>
      <c r="AH38" s="23">
        <v>3.1820000000000001E-2</v>
      </c>
      <c r="AI38" s="23">
        <v>1.42594</v>
      </c>
      <c r="AJ38" s="23">
        <v>37.683909999999997</v>
      </c>
      <c r="AK38" s="23">
        <v>14.82324</v>
      </c>
      <c r="AL38" s="23">
        <v>-1.2143299999999999</v>
      </c>
      <c r="AM38" s="25">
        <v>1.5701629166666666</v>
      </c>
      <c r="AN38" s="25">
        <v>0.37696277673128648</v>
      </c>
      <c r="AO38" s="25">
        <v>0.17060119481128538</v>
      </c>
      <c r="AP38" s="25">
        <v>7.6474144147791759E-2</v>
      </c>
      <c r="AQ38" s="24">
        <v>1.6510486416620909</v>
      </c>
      <c r="AR38" s="23">
        <v>-99</v>
      </c>
    </row>
    <row r="39" spans="1:44" x14ac:dyDescent="0.25">
      <c r="T39">
        <v>2009033</v>
      </c>
      <c r="U39" t="s">
        <v>742</v>
      </c>
      <c r="V39">
        <v>6.6519999999999996E-2</v>
      </c>
      <c r="W39">
        <v>0.39206999999999997</v>
      </c>
      <c r="X39">
        <v>2.4250000000000001E-2</v>
      </c>
      <c r="Y39">
        <v>1.3354600000000001</v>
      </c>
      <c r="Z39">
        <v>12.7759</v>
      </c>
      <c r="AA39">
        <v>8.1845999999999997</v>
      </c>
      <c r="AB39">
        <v>-1.37975</v>
      </c>
      <c r="AD39" s="23">
        <v>36</v>
      </c>
      <c r="AE39" s="26" t="s">
        <v>741</v>
      </c>
      <c r="AF39" s="23">
        <v>6.114E-2</v>
      </c>
      <c r="AG39" s="23">
        <v>0.38945999999999997</v>
      </c>
      <c r="AH39" s="23">
        <v>2.4549999999999999E-2</v>
      </c>
      <c r="AI39" s="23">
        <v>1.3566</v>
      </c>
      <c r="AJ39" s="23">
        <v>16.669350000000001</v>
      </c>
      <c r="AK39" s="23">
        <v>9.1521899999999992</v>
      </c>
      <c r="AL39" s="23">
        <v>-1.25972</v>
      </c>
      <c r="AM39" s="25">
        <v>0.6945562500000001</v>
      </c>
      <c r="AN39" s="25">
        <v>0.3888974243914104</v>
      </c>
      <c r="AO39" s="25">
        <v>0.21406693158962681</v>
      </c>
      <c r="AP39" s="25">
        <v>0.10105840165037064</v>
      </c>
      <c r="AQ39" s="24">
        <v>1.6194218253627624</v>
      </c>
      <c r="AR39" s="23">
        <v>-99</v>
      </c>
    </row>
    <row r="40" spans="1:44" ht="51.75" x14ac:dyDescent="0.25">
      <c r="A40" s="14" t="s">
        <v>21</v>
      </c>
      <c r="B40" s="9" t="s">
        <v>20</v>
      </c>
      <c r="C40" s="13" t="s">
        <v>19</v>
      </c>
      <c r="D40" s="12" t="s">
        <v>18</v>
      </c>
      <c r="E40" s="11" t="s">
        <v>17</v>
      </c>
      <c r="F40" s="11" t="s">
        <v>16</v>
      </c>
      <c r="G40" s="11" t="s">
        <v>15</v>
      </c>
      <c r="H40" s="11" t="s">
        <v>14</v>
      </c>
      <c r="I40" s="11" t="s">
        <v>13</v>
      </c>
      <c r="J40" s="11" t="s">
        <v>12</v>
      </c>
      <c r="K40" s="11" t="s">
        <v>11</v>
      </c>
      <c r="L40" s="11" t="s">
        <v>10</v>
      </c>
      <c r="M40" s="10" t="s">
        <v>9</v>
      </c>
      <c r="N40" s="10" t="s">
        <v>8</v>
      </c>
      <c r="O40" s="10" t="s">
        <v>7</v>
      </c>
      <c r="P40" s="9" t="s">
        <v>6</v>
      </c>
      <c r="Q40" s="19" t="s">
        <v>5</v>
      </c>
      <c r="R40" s="19"/>
      <c r="T40">
        <v>2009033</v>
      </c>
      <c r="U40" t="s">
        <v>740</v>
      </c>
      <c r="V40">
        <v>6.5920000000000006E-2</v>
      </c>
      <c r="W40">
        <v>0.38379000000000002</v>
      </c>
      <c r="X40">
        <v>2.7179999999999999E-2</v>
      </c>
      <c r="Y40">
        <v>1.3120499999999999</v>
      </c>
      <c r="Z40">
        <v>14.313179999999999</v>
      </c>
      <c r="AA40">
        <v>8.9698600000000006</v>
      </c>
      <c r="AB40">
        <v>-1.61903</v>
      </c>
      <c r="AD40" s="23">
        <v>37</v>
      </c>
      <c r="AE40" s="26" t="s">
        <v>739</v>
      </c>
      <c r="AF40" s="23">
        <v>7.1529999999999996E-2</v>
      </c>
      <c r="AG40" s="23">
        <v>0.39537</v>
      </c>
      <c r="AH40" s="23">
        <v>2.4479999999999998E-2</v>
      </c>
      <c r="AI40" s="23">
        <v>1.3088500000000001</v>
      </c>
      <c r="AJ40" s="23">
        <v>10.13048</v>
      </c>
      <c r="AK40" s="23">
        <v>7.5267999999999997</v>
      </c>
      <c r="AL40" s="23">
        <v>-1.56209</v>
      </c>
      <c r="AM40" s="25">
        <v>0.42210333333333333</v>
      </c>
      <c r="AN40" s="25">
        <v>0.39477802685707342</v>
      </c>
      <c r="AO40" s="25">
        <v>0.23845285134853828</v>
      </c>
      <c r="AP40" s="25">
        <v>0.12378348652796112</v>
      </c>
      <c r="AQ40" s="24">
        <v>1.6038382288287554</v>
      </c>
      <c r="AR40" s="23">
        <v>-99</v>
      </c>
    </row>
    <row r="41" spans="1:44" x14ac:dyDescent="0.25"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1"/>
      <c r="Q41" s="5" t="s">
        <v>4</v>
      </c>
      <c r="R41" s="5" t="s">
        <v>3</v>
      </c>
      <c r="T41">
        <v>2009033</v>
      </c>
      <c r="U41" t="s">
        <v>738</v>
      </c>
      <c r="V41">
        <v>5.3010000000000002E-2</v>
      </c>
      <c r="W41">
        <v>0.37767000000000001</v>
      </c>
      <c r="X41">
        <v>3.1820000000000001E-2</v>
      </c>
      <c r="Y41">
        <v>1.42594</v>
      </c>
      <c r="Z41">
        <v>37.683909999999997</v>
      </c>
      <c r="AA41">
        <v>14.82324</v>
      </c>
      <c r="AB41">
        <v>-1.2143299999999999</v>
      </c>
      <c r="AD41" s="23">
        <v>38</v>
      </c>
      <c r="AE41" s="26" t="s">
        <v>737</v>
      </c>
      <c r="AF41" s="23">
        <v>6.3490000000000005E-2</v>
      </c>
      <c r="AG41" s="23">
        <v>0.38945999999999997</v>
      </c>
      <c r="AH41" s="23">
        <v>2.4989999999999998E-2</v>
      </c>
      <c r="AI41" s="23">
        <v>1.34368</v>
      </c>
      <c r="AJ41" s="23">
        <v>15.109859999999999</v>
      </c>
      <c r="AK41" s="23">
        <v>8.9015000000000004</v>
      </c>
      <c r="AL41" s="23">
        <v>-1.34765</v>
      </c>
      <c r="AM41" s="25">
        <v>0.62957750000000001</v>
      </c>
      <c r="AN41" s="25">
        <v>0.38887623937194155</v>
      </c>
      <c r="AO41" s="25">
        <v>0.21860557702765476</v>
      </c>
      <c r="AP41" s="25">
        <v>0.10600631673080248</v>
      </c>
      <c r="AQ41" s="24">
        <v>1.6194779656643548</v>
      </c>
      <c r="AR41" s="23">
        <v>-99</v>
      </c>
    </row>
    <row r="42" spans="1:44" x14ac:dyDescent="0.25">
      <c r="A42" s="4">
        <v>15</v>
      </c>
      <c r="B42">
        <v>30</v>
      </c>
      <c r="C42">
        <v>50</v>
      </c>
      <c r="D42">
        <v>20</v>
      </c>
      <c r="E42" s="3">
        <v>25</v>
      </c>
      <c r="F42" s="3">
        <f>1.8*E42+32</f>
        <v>77</v>
      </c>
      <c r="G42" s="3">
        <v>19</v>
      </c>
      <c r="H42" s="3">
        <f>IF(F42&gt;68,G42+(F42-68)*0.2,G190-(68-F42)*0.2)</f>
        <v>20.8</v>
      </c>
      <c r="I42" s="3">
        <v>23</v>
      </c>
      <c r="J42" s="3">
        <f>1.8*I42+32</f>
        <v>73.400000000000006</v>
      </c>
      <c r="K42" s="3">
        <v>11</v>
      </c>
      <c r="L42" s="3">
        <f>IF(J42&gt;67,K42+(J42-67)*0.2,K42-(67-J42)*0.2)</f>
        <v>12.280000000000001</v>
      </c>
      <c r="M42" s="3">
        <f>(C42-H42)/C42*100</f>
        <v>58.4</v>
      </c>
      <c r="N42" s="3">
        <f>100-(M42+O42)</f>
        <v>17.039999999999992</v>
      </c>
      <c r="O42" s="3">
        <f>L42/C42*100</f>
        <v>24.560000000000002</v>
      </c>
      <c r="P42" s="1" t="s">
        <v>2</v>
      </c>
      <c r="Q42" s="15">
        <v>407590.46</v>
      </c>
      <c r="R42" s="15">
        <v>3659976</v>
      </c>
      <c r="T42">
        <v>2009033</v>
      </c>
      <c r="U42" t="s">
        <v>736</v>
      </c>
      <c r="V42">
        <v>6.114E-2</v>
      </c>
      <c r="W42">
        <v>0.38945999999999997</v>
      </c>
      <c r="X42">
        <v>2.4549999999999999E-2</v>
      </c>
      <c r="Y42">
        <v>1.3566</v>
      </c>
      <c r="Z42">
        <v>16.669350000000001</v>
      </c>
      <c r="AA42">
        <v>9.1521899999999992</v>
      </c>
      <c r="AB42">
        <v>-1.25972</v>
      </c>
      <c r="AD42" s="23">
        <v>39</v>
      </c>
      <c r="AE42" s="26" t="s">
        <v>735</v>
      </c>
      <c r="AF42" s="23">
        <v>6.7000000000000004E-2</v>
      </c>
      <c r="AG42" s="23">
        <v>0.39484999999999998</v>
      </c>
      <c r="AH42" s="23">
        <v>2.2849999999999999E-2</v>
      </c>
      <c r="AI42" s="23">
        <v>1.34531</v>
      </c>
      <c r="AJ42" s="23">
        <v>12.02107</v>
      </c>
      <c r="AK42" s="23">
        <v>7.6901299999999999</v>
      </c>
      <c r="AL42" s="23">
        <v>-1.2852699999999999</v>
      </c>
      <c r="AM42" s="25">
        <v>0.5008779166666667</v>
      </c>
      <c r="AN42" s="25">
        <v>0.39433052023093851</v>
      </c>
      <c r="AO42" s="25">
        <v>0.22706656299316061</v>
      </c>
      <c r="AP42" s="25">
        <v>0.11067961415274458</v>
      </c>
      <c r="AQ42" s="24">
        <v>1.605024121388013</v>
      </c>
      <c r="AR42" s="23">
        <v>-99</v>
      </c>
    </row>
    <row r="43" spans="1:44" x14ac:dyDescent="0.25">
      <c r="A43" s="4">
        <v>15</v>
      </c>
      <c r="B43">
        <v>60</v>
      </c>
      <c r="C43">
        <v>50</v>
      </c>
      <c r="D43">
        <v>20</v>
      </c>
      <c r="E43" s="3">
        <v>25</v>
      </c>
      <c r="F43" s="3">
        <f>1.8*E43+32</f>
        <v>77</v>
      </c>
      <c r="G43" s="3">
        <v>18</v>
      </c>
      <c r="H43" s="3">
        <f>IF(F43&gt;68,G43+(F43-68)*0.2,G191-(68-F43)*0.2)</f>
        <v>19.8</v>
      </c>
      <c r="I43" s="3">
        <v>23</v>
      </c>
      <c r="J43" s="3">
        <f>1.8*I43+32</f>
        <v>73.400000000000006</v>
      </c>
      <c r="K43" s="3">
        <v>11</v>
      </c>
      <c r="L43" s="3">
        <f>IF(J43&gt;67,K43+(J43-67)*0.2,K43-(67-J43)*0.2)</f>
        <v>12.280000000000001</v>
      </c>
      <c r="M43" s="3">
        <f>(C43-H43)/C43*100</f>
        <v>60.4</v>
      </c>
      <c r="N43" s="3">
        <f>100-(M43+O43)</f>
        <v>15.039999999999992</v>
      </c>
      <c r="O43" s="3">
        <f>L43/C43*100</f>
        <v>24.560000000000002</v>
      </c>
      <c r="P43" s="1" t="s">
        <v>2</v>
      </c>
      <c r="Q43" s="15">
        <v>407590.46</v>
      </c>
      <c r="R43" s="15">
        <v>3659976</v>
      </c>
      <c r="T43">
        <v>2009033</v>
      </c>
      <c r="U43" t="s">
        <v>734</v>
      </c>
      <c r="V43">
        <v>7.1529999999999996E-2</v>
      </c>
      <c r="W43">
        <v>0.39537</v>
      </c>
      <c r="X43">
        <v>2.4479999999999998E-2</v>
      </c>
      <c r="Y43">
        <v>1.3088500000000001</v>
      </c>
      <c r="Z43">
        <v>10.13048</v>
      </c>
      <c r="AA43">
        <v>7.5267999999999997</v>
      </c>
      <c r="AB43">
        <v>-1.56209</v>
      </c>
      <c r="AD43" s="23">
        <v>40</v>
      </c>
      <c r="AE43" s="26" t="s">
        <v>733</v>
      </c>
      <c r="AF43" s="23">
        <v>5.6890000000000003E-2</v>
      </c>
      <c r="AG43" s="23">
        <v>0.38308999999999999</v>
      </c>
      <c r="AH43" s="23">
        <v>2.8639999999999999E-2</v>
      </c>
      <c r="AI43" s="23">
        <v>1.35785</v>
      </c>
      <c r="AJ43" s="23">
        <v>22.883620000000001</v>
      </c>
      <c r="AK43" s="23">
        <v>11.584020000000001</v>
      </c>
      <c r="AL43" s="23">
        <v>-1.35409</v>
      </c>
      <c r="AM43" s="25">
        <v>0.95348416666666669</v>
      </c>
      <c r="AN43" s="25">
        <v>0.38240302955596123</v>
      </c>
      <c r="AO43" s="25">
        <v>0.20069246070714017</v>
      </c>
      <c r="AP43" s="25">
        <v>9.4147308595215584E-2</v>
      </c>
      <c r="AQ43" s="24">
        <v>1.6366319716767026</v>
      </c>
      <c r="AR43" s="23">
        <v>-99</v>
      </c>
    </row>
    <row r="44" spans="1:44" x14ac:dyDescent="0.25">
      <c r="A44" s="4">
        <v>15</v>
      </c>
      <c r="B44">
        <v>90</v>
      </c>
      <c r="C44">
        <v>50</v>
      </c>
      <c r="D44">
        <v>20</v>
      </c>
      <c r="E44" s="3">
        <v>25</v>
      </c>
      <c r="F44" s="3">
        <f>1.8*E44+32</f>
        <v>77</v>
      </c>
      <c r="G44" s="3">
        <v>13</v>
      </c>
      <c r="H44" s="3">
        <f>IF(F44&gt;68,G44+(F44-68)*0.2,G193-(68-F44)*0.2)</f>
        <v>14.8</v>
      </c>
      <c r="I44" s="3">
        <v>23</v>
      </c>
      <c r="J44" s="3">
        <f>1.8*I44+32</f>
        <v>73.400000000000006</v>
      </c>
      <c r="K44" s="3">
        <v>7</v>
      </c>
      <c r="L44" s="3">
        <f>IF(J44&gt;67,K44+(J44-67)*0.2,K44-(67-J44)*0.2)</f>
        <v>8.2800000000000011</v>
      </c>
      <c r="M44" s="3">
        <f>(C44-H44)/C44*100</f>
        <v>70.400000000000006</v>
      </c>
      <c r="N44" s="3">
        <f>100-(M44+O44)</f>
        <v>13.039999999999992</v>
      </c>
      <c r="O44" s="3">
        <f>L44/C44*100</f>
        <v>16.560000000000002</v>
      </c>
      <c r="P44" s="1" t="s">
        <v>0</v>
      </c>
      <c r="Q44" s="15">
        <v>407590.46</v>
      </c>
      <c r="R44" s="15">
        <v>3659976</v>
      </c>
      <c r="T44">
        <v>2009033</v>
      </c>
      <c r="U44" t="s">
        <v>732</v>
      </c>
      <c r="V44">
        <v>6.3490000000000005E-2</v>
      </c>
      <c r="W44">
        <v>0.38945999999999997</v>
      </c>
      <c r="X44">
        <v>2.4989999999999998E-2</v>
      </c>
      <c r="Y44">
        <v>1.34368</v>
      </c>
      <c r="Z44">
        <v>15.109859999999999</v>
      </c>
      <c r="AA44">
        <v>8.9015000000000004</v>
      </c>
      <c r="AB44">
        <v>-1.34765</v>
      </c>
      <c r="AD44" s="23">
        <v>41</v>
      </c>
      <c r="AE44" s="26" t="s">
        <v>731</v>
      </c>
      <c r="AF44" s="23">
        <v>5.6930000000000001E-2</v>
      </c>
      <c r="AG44" s="23">
        <v>0.38496000000000002</v>
      </c>
      <c r="AH44" s="23">
        <v>2.7529999999999999E-2</v>
      </c>
      <c r="AI44" s="23">
        <v>1.3598300000000001</v>
      </c>
      <c r="AJ44" s="23">
        <v>21.897210000000001</v>
      </c>
      <c r="AK44" s="23">
        <v>11.119899999999999</v>
      </c>
      <c r="AL44" s="23">
        <v>-1.3095600000000001</v>
      </c>
      <c r="AM44" s="25">
        <v>0.91238375000000005</v>
      </c>
      <c r="AN44" s="25">
        <v>0.38430708087992671</v>
      </c>
      <c r="AO44" s="25">
        <v>0.2028629377230865</v>
      </c>
      <c r="AP44" s="25">
        <v>9.4479427801566526E-2</v>
      </c>
      <c r="AQ44" s="24">
        <v>1.6315862356681943</v>
      </c>
      <c r="AR44" s="23">
        <v>-99</v>
      </c>
    </row>
    <row r="45" spans="1:44" x14ac:dyDescent="0.25">
      <c r="A45" s="4">
        <v>15</v>
      </c>
      <c r="B45">
        <v>120</v>
      </c>
      <c r="C45">
        <v>50</v>
      </c>
      <c r="D45">
        <v>20</v>
      </c>
      <c r="E45" s="3">
        <v>25.5</v>
      </c>
      <c r="F45" s="3">
        <f>1.8*E45+32</f>
        <v>77.900000000000006</v>
      </c>
      <c r="G45" s="3">
        <v>16</v>
      </c>
      <c r="H45" s="3">
        <f>IF(F45&gt;68,G45+(F45-68)*0.2,G194-(68-F45)*0.2)</f>
        <v>17.98</v>
      </c>
      <c r="I45" s="3">
        <v>23</v>
      </c>
      <c r="J45" s="3">
        <f>1.8*I45+32</f>
        <v>73.400000000000006</v>
      </c>
      <c r="K45" s="3">
        <v>10</v>
      </c>
      <c r="L45" s="3">
        <f>IF(J45&gt;67,K45+(J45-67)*0.2,K45-(67-J45)*0.2)</f>
        <v>11.280000000000001</v>
      </c>
      <c r="M45" s="3">
        <f>(C45-H45)/C45*100</f>
        <v>64.039999999999992</v>
      </c>
      <c r="N45" s="3">
        <f>100-(M45+O45)</f>
        <v>13.400000000000006</v>
      </c>
      <c r="O45" s="3">
        <f>L45/C45*100</f>
        <v>22.560000000000002</v>
      </c>
      <c r="P45" s="1" t="s">
        <v>2</v>
      </c>
      <c r="Q45" s="15">
        <v>407590.46</v>
      </c>
      <c r="R45" s="15">
        <v>3659976</v>
      </c>
      <c r="T45">
        <v>2009033</v>
      </c>
      <c r="U45" t="s">
        <v>730</v>
      </c>
      <c r="V45">
        <v>6.7000000000000004E-2</v>
      </c>
      <c r="W45">
        <v>0.39484999999999998</v>
      </c>
      <c r="X45">
        <v>2.2849999999999999E-2</v>
      </c>
      <c r="Y45">
        <v>1.34531</v>
      </c>
      <c r="Z45">
        <v>12.02107</v>
      </c>
      <c r="AA45">
        <v>7.6901299999999999</v>
      </c>
      <c r="AB45">
        <v>-1.2852699999999999</v>
      </c>
      <c r="AD45" s="23">
        <v>42</v>
      </c>
      <c r="AE45" s="26" t="s">
        <v>729</v>
      </c>
      <c r="AF45" s="23">
        <v>5.2970000000000003E-2</v>
      </c>
      <c r="AG45" s="23">
        <v>0.38307999999999998</v>
      </c>
      <c r="AH45" s="23">
        <v>2.9739999999999999E-2</v>
      </c>
      <c r="AI45" s="23">
        <v>1.37435</v>
      </c>
      <c r="AJ45" s="23">
        <v>27.87951</v>
      </c>
      <c r="AK45" s="23">
        <v>13.127509999999999</v>
      </c>
      <c r="AL45" s="23">
        <v>-1.28261</v>
      </c>
      <c r="AM45" s="25">
        <v>1.16164625</v>
      </c>
      <c r="AN45" s="25">
        <v>0.38236636025741944</v>
      </c>
      <c r="AO45" s="25">
        <v>0.19130397294011997</v>
      </c>
      <c r="AP45" s="25">
        <v>8.6606957686172548E-2</v>
      </c>
      <c r="AQ45" s="24">
        <v>1.6367291453178385</v>
      </c>
      <c r="AR45" s="23">
        <v>-99</v>
      </c>
    </row>
    <row r="46" spans="1:44" x14ac:dyDescent="0.25">
      <c r="A46" s="4">
        <v>15</v>
      </c>
      <c r="B46">
        <v>150</v>
      </c>
      <c r="C46">
        <v>50</v>
      </c>
      <c r="D46">
        <v>20</v>
      </c>
      <c r="E46" s="3">
        <v>25</v>
      </c>
      <c r="F46" s="3">
        <f>1.8*E46+32</f>
        <v>77</v>
      </c>
      <c r="G46" s="3">
        <v>17</v>
      </c>
      <c r="H46" s="3">
        <f>IF(F46&gt;68,G46+(F46-68)*0.2,G195-(68-F46)*0.2)</f>
        <v>18.8</v>
      </c>
      <c r="I46" s="3">
        <v>23</v>
      </c>
      <c r="J46" s="3">
        <f>1.8*I46+32</f>
        <v>73.400000000000006</v>
      </c>
      <c r="K46" s="3">
        <v>9</v>
      </c>
      <c r="L46" s="3">
        <f>IF(J46&gt;67,K46+(J46-67)*0.2,K46-(67-J46)*0.2)</f>
        <v>10.280000000000001</v>
      </c>
      <c r="M46" s="3">
        <f>(C46-H46)/C46*100</f>
        <v>62.4</v>
      </c>
      <c r="N46" s="3">
        <f>100-(M46+O46)</f>
        <v>17.039999999999992</v>
      </c>
      <c r="O46" s="3">
        <f>L46/C46*100</f>
        <v>20.560000000000002</v>
      </c>
      <c r="P46" s="1" t="s">
        <v>2</v>
      </c>
      <c r="Q46" s="15">
        <v>407590.46</v>
      </c>
      <c r="R46" s="15">
        <v>3659976</v>
      </c>
      <c r="T46">
        <v>2009033</v>
      </c>
      <c r="U46" t="s">
        <v>728</v>
      </c>
      <c r="V46">
        <v>5.6890000000000003E-2</v>
      </c>
      <c r="W46">
        <v>0.38308999999999999</v>
      </c>
      <c r="X46">
        <v>2.8639999999999999E-2</v>
      </c>
      <c r="Y46">
        <v>1.35785</v>
      </c>
      <c r="Z46">
        <v>22.883620000000001</v>
      </c>
      <c r="AA46">
        <v>11.584020000000001</v>
      </c>
      <c r="AB46">
        <v>-1.35409</v>
      </c>
      <c r="AD46" s="23">
        <v>43</v>
      </c>
      <c r="AE46" s="26" t="s">
        <v>727</v>
      </c>
      <c r="AF46" s="23">
        <v>5.4140000000000001E-2</v>
      </c>
      <c r="AG46" s="23">
        <v>0.39235999999999999</v>
      </c>
      <c r="AH46" s="23">
        <v>1.7049999999999999E-2</v>
      </c>
      <c r="AI46" s="23">
        <v>1.4240299999999999</v>
      </c>
      <c r="AJ46" s="23">
        <v>17.897950000000002</v>
      </c>
      <c r="AK46" s="23">
        <v>6.8093500000000002</v>
      </c>
      <c r="AL46" s="23">
        <v>-0.71723999999999999</v>
      </c>
      <c r="AM46" s="25">
        <v>0.74574791666666673</v>
      </c>
      <c r="AN46" s="25">
        <v>0.39205510835148477</v>
      </c>
      <c r="AO46" s="25">
        <v>0.21224217652338534</v>
      </c>
      <c r="AP46" s="25">
        <v>8.6362931500775231E-2</v>
      </c>
      <c r="AQ46" s="24">
        <v>1.6110539628685654</v>
      </c>
      <c r="AR46" s="23">
        <v>-99</v>
      </c>
    </row>
    <row r="47" spans="1:44" x14ac:dyDescent="0.25">
      <c r="A47" s="4">
        <v>15</v>
      </c>
      <c r="B47">
        <v>180</v>
      </c>
      <c r="C47">
        <v>50</v>
      </c>
      <c r="D47">
        <v>20</v>
      </c>
      <c r="E47" s="3">
        <v>25</v>
      </c>
      <c r="F47" s="3">
        <f>1.8*E47+32</f>
        <v>77</v>
      </c>
      <c r="G47" s="3">
        <v>19</v>
      </c>
      <c r="H47" s="3">
        <f>IF(F47&gt;68,G47+(F47-68)*0.2,G196-(68-F47)*0.2)</f>
        <v>20.8</v>
      </c>
      <c r="I47" s="3">
        <v>23</v>
      </c>
      <c r="J47" s="3">
        <f>1.8*I47+32</f>
        <v>73.400000000000006</v>
      </c>
      <c r="K47" s="3">
        <v>11</v>
      </c>
      <c r="L47" s="3">
        <f>IF(J47&gt;67,K47+(J47-67)*0.2,K47-(67-J47)*0.2)</f>
        <v>12.280000000000001</v>
      </c>
      <c r="M47" s="3">
        <f>(C47-H47)/C47*100</f>
        <v>58.4</v>
      </c>
      <c r="N47" s="3">
        <f>100-(M47+O47)</f>
        <v>17.039999999999992</v>
      </c>
      <c r="O47" s="3">
        <f>L47/C47*100</f>
        <v>24.560000000000002</v>
      </c>
      <c r="P47" s="1" t="s">
        <v>2</v>
      </c>
      <c r="Q47" s="15">
        <v>407590.46</v>
      </c>
      <c r="R47" s="15">
        <v>3659976</v>
      </c>
      <c r="T47">
        <v>2009033</v>
      </c>
      <c r="U47" t="s">
        <v>726</v>
      </c>
      <c r="V47">
        <v>5.6930000000000001E-2</v>
      </c>
      <c r="W47">
        <v>0.38496000000000002</v>
      </c>
      <c r="X47">
        <v>2.7529999999999999E-2</v>
      </c>
      <c r="Y47">
        <v>1.3598300000000001</v>
      </c>
      <c r="Z47">
        <v>21.897210000000001</v>
      </c>
      <c r="AA47">
        <v>11.119899999999999</v>
      </c>
      <c r="AB47">
        <v>-1.3095600000000001</v>
      </c>
      <c r="AD47" s="23">
        <v>44</v>
      </c>
      <c r="AE47" s="26" t="s">
        <v>725</v>
      </c>
      <c r="AF47" s="23">
        <v>5.4330000000000003E-2</v>
      </c>
      <c r="AG47" s="23">
        <v>0.39315</v>
      </c>
      <c r="AH47" s="23">
        <v>1.5810000000000001E-2</v>
      </c>
      <c r="AI47" s="23">
        <v>1.4338200000000001</v>
      </c>
      <c r="AJ47" s="23">
        <v>16.793800000000001</v>
      </c>
      <c r="AK47" s="23">
        <v>6.2078100000000003</v>
      </c>
      <c r="AL47" s="23">
        <v>-0.64139999999999997</v>
      </c>
      <c r="AM47" s="25">
        <v>0.69974166666666671</v>
      </c>
      <c r="AN47" s="25">
        <v>0.39288230672013991</v>
      </c>
      <c r="AO47" s="25">
        <v>0.21480548040998493</v>
      </c>
      <c r="AP47" s="25">
        <v>8.5922561810094264E-2</v>
      </c>
      <c r="AQ47" s="24">
        <v>1.6088618871916291</v>
      </c>
      <c r="AR47" s="23">
        <v>-99</v>
      </c>
    </row>
    <row r="48" spans="1:44" x14ac:dyDescent="0.25">
      <c r="T48">
        <v>2009033</v>
      </c>
      <c r="U48" t="s">
        <v>724</v>
      </c>
      <c r="V48">
        <v>5.2970000000000003E-2</v>
      </c>
      <c r="W48">
        <v>0.38307999999999998</v>
      </c>
      <c r="X48">
        <v>2.9739999999999999E-2</v>
      </c>
      <c r="Y48">
        <v>1.37435</v>
      </c>
      <c r="Z48">
        <v>27.87951</v>
      </c>
      <c r="AA48">
        <v>13.127509999999999</v>
      </c>
      <c r="AB48">
        <v>-1.28261</v>
      </c>
      <c r="AD48" s="23">
        <v>45</v>
      </c>
      <c r="AE48" s="26" t="s">
        <v>723</v>
      </c>
      <c r="AF48" s="23">
        <v>6.2219999999999998E-2</v>
      </c>
      <c r="AG48" s="23">
        <v>0.38224999999999998</v>
      </c>
      <c r="AH48" s="23">
        <v>2.7890000000000002E-2</v>
      </c>
      <c r="AI48" s="23">
        <v>1.3311500000000001</v>
      </c>
      <c r="AJ48" s="23">
        <v>17.434139999999999</v>
      </c>
      <c r="AK48" s="23">
        <v>9.9759600000000006</v>
      </c>
      <c r="AL48" s="23">
        <v>-1.5061500000000001</v>
      </c>
      <c r="AM48" s="25">
        <v>0.72642249999999997</v>
      </c>
      <c r="AN48" s="25">
        <v>0.38157493699415934</v>
      </c>
      <c r="AO48" s="25">
        <v>0.21331502632216148</v>
      </c>
      <c r="AP48" s="25">
        <v>0.10557436336442669</v>
      </c>
      <c r="AQ48" s="24">
        <v>1.6388264169654776</v>
      </c>
      <c r="AR48" s="23">
        <v>-99</v>
      </c>
    </row>
    <row r="49" spans="1:44" ht="51.75" x14ac:dyDescent="0.25">
      <c r="A49" s="14" t="s">
        <v>21</v>
      </c>
      <c r="B49" s="9" t="s">
        <v>20</v>
      </c>
      <c r="C49" s="13" t="s">
        <v>19</v>
      </c>
      <c r="D49" s="12" t="s">
        <v>18</v>
      </c>
      <c r="E49" s="11" t="s">
        <v>17</v>
      </c>
      <c r="F49" s="11" t="s">
        <v>16</v>
      </c>
      <c r="G49" s="11" t="s">
        <v>15</v>
      </c>
      <c r="H49" s="11" t="s">
        <v>14</v>
      </c>
      <c r="I49" s="11" t="s">
        <v>13</v>
      </c>
      <c r="J49" s="11" t="s">
        <v>12</v>
      </c>
      <c r="K49" s="11" t="s">
        <v>11</v>
      </c>
      <c r="L49" s="11" t="s">
        <v>10</v>
      </c>
      <c r="M49" s="10" t="s">
        <v>9</v>
      </c>
      <c r="N49" s="10" t="s">
        <v>8</v>
      </c>
      <c r="O49" s="10" t="s">
        <v>7</v>
      </c>
      <c r="P49" s="9" t="s">
        <v>6</v>
      </c>
      <c r="Q49" s="19" t="s">
        <v>5</v>
      </c>
      <c r="R49" s="19"/>
      <c r="T49">
        <v>2009033</v>
      </c>
      <c r="U49" t="s">
        <v>722</v>
      </c>
      <c r="V49">
        <v>5.4140000000000001E-2</v>
      </c>
      <c r="W49">
        <v>0.39235999999999999</v>
      </c>
      <c r="X49">
        <v>1.7049999999999999E-2</v>
      </c>
      <c r="Y49">
        <v>1.4240299999999999</v>
      </c>
      <c r="Z49">
        <v>17.897950000000002</v>
      </c>
      <c r="AA49">
        <v>6.8093500000000002</v>
      </c>
      <c r="AB49">
        <v>-0.71723999999999999</v>
      </c>
      <c r="AD49" s="23">
        <v>46</v>
      </c>
      <c r="AE49" s="26" t="s">
        <v>721</v>
      </c>
      <c r="AF49" s="23">
        <v>5.9470000000000002E-2</v>
      </c>
      <c r="AG49" s="23">
        <v>0.38524999999999998</v>
      </c>
      <c r="AH49" s="23">
        <v>2.7130000000000001E-2</v>
      </c>
      <c r="AI49" s="23">
        <v>1.34979</v>
      </c>
      <c r="AJ49" s="23">
        <v>19.353729999999999</v>
      </c>
      <c r="AK49" s="23">
        <v>10.39728</v>
      </c>
      <c r="AL49" s="23">
        <v>-1.3621700000000001</v>
      </c>
      <c r="AM49" s="25">
        <v>0.80640541666666665</v>
      </c>
      <c r="AN49" s="25">
        <v>0.38460455629370038</v>
      </c>
      <c r="AO49" s="25">
        <v>0.20838437875931787</v>
      </c>
      <c r="AP49" s="25">
        <v>9.928981639700786E-2</v>
      </c>
      <c r="AQ49" s="24">
        <v>1.630797925821694</v>
      </c>
      <c r="AR49" s="23">
        <v>-99</v>
      </c>
    </row>
    <row r="50" spans="1:44" x14ac:dyDescent="0.25"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5" t="s">
        <v>4</v>
      </c>
      <c r="R50" s="5" t="s">
        <v>3</v>
      </c>
      <c r="T50">
        <v>2009033</v>
      </c>
      <c r="U50" t="s">
        <v>720</v>
      </c>
      <c r="V50">
        <v>5.4330000000000003E-2</v>
      </c>
      <c r="W50">
        <v>0.39315</v>
      </c>
      <c r="X50">
        <v>1.5810000000000001E-2</v>
      </c>
      <c r="Y50">
        <v>1.4338200000000001</v>
      </c>
      <c r="Z50">
        <v>16.793800000000001</v>
      </c>
      <c r="AA50">
        <v>6.2078100000000003</v>
      </c>
      <c r="AB50">
        <v>-0.64139999999999997</v>
      </c>
      <c r="AD50" s="23">
        <v>47</v>
      </c>
      <c r="AE50" s="26" t="s">
        <v>719</v>
      </c>
      <c r="AF50" s="23">
        <v>6.3320000000000001E-2</v>
      </c>
      <c r="AG50" s="23">
        <v>0.39187</v>
      </c>
      <c r="AH50" s="23">
        <v>2.342E-2</v>
      </c>
      <c r="AI50" s="23">
        <v>1.35571</v>
      </c>
      <c r="AJ50" s="23">
        <v>14.603339999999999</v>
      </c>
      <c r="AK50" s="23">
        <v>8.3979099999999995</v>
      </c>
      <c r="AL50" s="23">
        <v>-1.2392700000000001</v>
      </c>
      <c r="AM50" s="25">
        <v>0.60847249999999997</v>
      </c>
      <c r="AN50" s="25">
        <v>0.39134097141227348</v>
      </c>
      <c r="AO50" s="25">
        <v>0.21908467025251799</v>
      </c>
      <c r="AP50" s="25">
        <v>0.10415551007933629</v>
      </c>
      <c r="AQ50" s="24">
        <v>1.612946425757475</v>
      </c>
      <c r="AR50" s="23">
        <v>-99</v>
      </c>
    </row>
    <row r="51" spans="1:44" x14ac:dyDescent="0.25">
      <c r="A51" s="4">
        <v>16</v>
      </c>
      <c r="B51">
        <v>30</v>
      </c>
      <c r="C51">
        <v>50</v>
      </c>
      <c r="D51">
        <v>20</v>
      </c>
      <c r="E51" s="3">
        <v>26</v>
      </c>
      <c r="F51" s="3">
        <f>1.8*E51+32</f>
        <v>78.800000000000011</v>
      </c>
      <c r="G51" s="3">
        <v>20</v>
      </c>
      <c r="H51" s="3">
        <f>IF(F51&gt;68,G51+(F51-68)*0.2,G200-(68-F51)*0.2)</f>
        <v>22.160000000000004</v>
      </c>
      <c r="I51" s="3">
        <v>23</v>
      </c>
      <c r="J51" s="3">
        <f>1.8*I51+32</f>
        <v>73.400000000000006</v>
      </c>
      <c r="K51" s="3">
        <v>12</v>
      </c>
      <c r="L51" s="3">
        <f>IF(J51&gt;67,K51+(J51-67)*0.2,K51-(67-J51)*0.2)</f>
        <v>13.280000000000001</v>
      </c>
      <c r="M51" s="3">
        <f>(C51-H51)/C51*100</f>
        <v>55.679999999999993</v>
      </c>
      <c r="N51" s="3">
        <f>100-(M51+O51)</f>
        <v>17.760000000000005</v>
      </c>
      <c r="O51" s="3">
        <f>L51/C51*100</f>
        <v>26.56</v>
      </c>
      <c r="P51" s="1" t="s">
        <v>2</v>
      </c>
      <c r="Q51" s="15">
        <v>407590.46</v>
      </c>
      <c r="R51" s="15">
        <v>3660002.5</v>
      </c>
      <c r="T51">
        <v>2009033</v>
      </c>
      <c r="U51" t="s">
        <v>718</v>
      </c>
      <c r="V51">
        <v>6.2219999999999998E-2</v>
      </c>
      <c r="W51">
        <v>0.38224999999999998</v>
      </c>
      <c r="X51">
        <v>2.7890000000000002E-2</v>
      </c>
      <c r="Y51">
        <v>1.3311500000000001</v>
      </c>
      <c r="Z51">
        <v>17.434139999999999</v>
      </c>
      <c r="AA51">
        <v>9.9759600000000006</v>
      </c>
      <c r="AB51">
        <v>-1.5061500000000001</v>
      </c>
      <c r="AD51" s="23">
        <v>48</v>
      </c>
      <c r="AE51" s="26" t="s">
        <v>717</v>
      </c>
      <c r="AF51" s="23">
        <v>5.4800000000000001E-2</v>
      </c>
      <c r="AG51" s="23">
        <v>0.38421</v>
      </c>
      <c r="AH51" s="23">
        <v>2.8379999999999999E-2</v>
      </c>
      <c r="AI51" s="23">
        <v>1.3669</v>
      </c>
      <c r="AJ51" s="23">
        <v>24.612490000000001</v>
      </c>
      <c r="AK51" s="23">
        <v>11.99493</v>
      </c>
      <c r="AL51" s="23">
        <v>-1.2879499999999999</v>
      </c>
      <c r="AM51" s="25">
        <v>1.0255204166666667</v>
      </c>
      <c r="AN51" s="25">
        <v>0.38353413204164671</v>
      </c>
      <c r="AO51" s="25">
        <v>0.1975423933447164</v>
      </c>
      <c r="AP51" s="25">
        <v>9.053460168199437E-2</v>
      </c>
      <c r="AQ51" s="24">
        <v>1.6336345500896361</v>
      </c>
      <c r="AR51" s="23">
        <v>-99</v>
      </c>
    </row>
    <row r="52" spans="1:44" x14ac:dyDescent="0.25">
      <c r="A52" s="4">
        <v>16</v>
      </c>
      <c r="B52">
        <v>60</v>
      </c>
      <c r="C52">
        <v>50</v>
      </c>
      <c r="D52">
        <v>20</v>
      </c>
      <c r="E52" s="3">
        <v>25.5</v>
      </c>
      <c r="F52" s="3">
        <f>1.8*E52+32</f>
        <v>77.900000000000006</v>
      </c>
      <c r="G52" s="3">
        <v>20</v>
      </c>
      <c r="H52" s="3">
        <f>IF(F52&gt;68,G52+(F52-68)*0.2,G201-(68-F52)*0.2)</f>
        <v>21.98</v>
      </c>
      <c r="I52" s="3">
        <v>23</v>
      </c>
      <c r="J52" s="3">
        <f>1.8*I52+32</f>
        <v>73.400000000000006</v>
      </c>
      <c r="K52" s="3">
        <v>13</v>
      </c>
      <c r="L52" s="3">
        <f>IF(J52&gt;67,K52+(J52-67)*0.2,K52-(67-J52)*0.2)</f>
        <v>14.280000000000001</v>
      </c>
      <c r="M52" s="3">
        <f>(C52-H52)/C52*100</f>
        <v>56.04</v>
      </c>
      <c r="N52" s="3">
        <f>100-(M52+O52)</f>
        <v>15.400000000000006</v>
      </c>
      <c r="O52" s="3">
        <f>L52/C52*100</f>
        <v>28.560000000000002</v>
      </c>
      <c r="P52" s="1" t="s">
        <v>2</v>
      </c>
      <c r="Q52" s="15">
        <v>407590.46</v>
      </c>
      <c r="R52" s="15">
        <v>3660002.5</v>
      </c>
      <c r="T52">
        <v>2009033</v>
      </c>
      <c r="U52" t="s">
        <v>716</v>
      </c>
      <c r="V52">
        <v>5.9470000000000002E-2</v>
      </c>
      <c r="W52">
        <v>0.38524999999999998</v>
      </c>
      <c r="X52">
        <v>2.7130000000000001E-2</v>
      </c>
      <c r="Y52">
        <v>1.34979</v>
      </c>
      <c r="Z52">
        <v>19.353729999999999</v>
      </c>
      <c r="AA52">
        <v>10.39728</v>
      </c>
      <c r="AB52">
        <v>-1.3621700000000001</v>
      </c>
      <c r="AD52" s="23">
        <v>49</v>
      </c>
      <c r="AE52" s="26" t="s">
        <v>715</v>
      </c>
      <c r="AF52" s="23">
        <v>5.806E-2</v>
      </c>
      <c r="AG52" s="23">
        <v>0.38147999999999999</v>
      </c>
      <c r="AH52" s="23">
        <v>2.9000000000000001E-2</v>
      </c>
      <c r="AI52" s="23">
        <v>1.3526400000000001</v>
      </c>
      <c r="AJ52" s="23">
        <v>22.208590000000001</v>
      </c>
      <c r="AK52" s="23">
        <v>11.4156</v>
      </c>
      <c r="AL52" s="23">
        <v>-1.4022300000000001</v>
      </c>
      <c r="AM52" s="25">
        <v>0.92535791666666667</v>
      </c>
      <c r="AN52" s="25">
        <v>0.38078204960734024</v>
      </c>
      <c r="AO52" s="25">
        <v>0.20171516310755783</v>
      </c>
      <c r="AP52" s="25">
        <v>9.6017663865912053E-2</v>
      </c>
      <c r="AQ52" s="24">
        <v>1.6409275685405484</v>
      </c>
      <c r="AR52" s="23">
        <v>-99</v>
      </c>
    </row>
    <row r="53" spans="1:44" x14ac:dyDescent="0.25">
      <c r="A53" s="4">
        <v>16</v>
      </c>
      <c r="B53">
        <v>90</v>
      </c>
      <c r="C53">
        <v>50</v>
      </c>
      <c r="D53">
        <v>20</v>
      </c>
      <c r="E53" s="3">
        <v>24</v>
      </c>
      <c r="F53" s="3">
        <f>1.8*E53+32</f>
        <v>75.2</v>
      </c>
      <c r="G53" s="3">
        <v>21</v>
      </c>
      <c r="H53" s="3">
        <f>IF(F53&gt;68,G53+(F53-68)*0.2,G202-(68-F53)*0.2)</f>
        <v>22.44</v>
      </c>
      <c r="I53" s="3">
        <v>22.5</v>
      </c>
      <c r="J53" s="3">
        <f>1.8*I53+32</f>
        <v>72.5</v>
      </c>
      <c r="K53" s="3">
        <v>9</v>
      </c>
      <c r="L53" s="3">
        <f>IF(J53&gt;67,K53+(J53-67)*0.2,K53-(67-J53)*0.2)</f>
        <v>10.1</v>
      </c>
      <c r="M53" s="3">
        <f>(C53-H53)/C53*100</f>
        <v>55.120000000000005</v>
      </c>
      <c r="N53" s="3">
        <f>100-(M53+O53)</f>
        <v>24.679999999999993</v>
      </c>
      <c r="O53" s="3">
        <f>L53/C53*100</f>
        <v>20.2</v>
      </c>
      <c r="P53" s="1" t="s">
        <v>2</v>
      </c>
      <c r="Q53" s="15">
        <v>407590.46</v>
      </c>
      <c r="R53" s="15">
        <v>3660002.5</v>
      </c>
      <c r="T53">
        <v>2009033</v>
      </c>
      <c r="U53" t="s">
        <v>714</v>
      </c>
      <c r="V53">
        <v>6.3320000000000001E-2</v>
      </c>
      <c r="W53">
        <v>0.39187</v>
      </c>
      <c r="X53">
        <v>2.342E-2</v>
      </c>
      <c r="Y53">
        <v>1.35571</v>
      </c>
      <c r="Z53">
        <v>14.603339999999999</v>
      </c>
      <c r="AA53">
        <v>8.3979099999999995</v>
      </c>
      <c r="AB53">
        <v>-1.2392700000000001</v>
      </c>
      <c r="AD53" s="23">
        <v>50</v>
      </c>
      <c r="AE53" s="26" t="s">
        <v>713</v>
      </c>
      <c r="AF53" s="23">
        <v>5.0880000000000002E-2</v>
      </c>
      <c r="AG53" s="23">
        <v>0.38316</v>
      </c>
      <c r="AH53" s="23">
        <v>3.0460000000000001E-2</v>
      </c>
      <c r="AI53" s="23">
        <v>1.38306</v>
      </c>
      <c r="AJ53" s="23">
        <v>30.859000000000002</v>
      </c>
      <c r="AK53" s="23">
        <v>14.105969999999999</v>
      </c>
      <c r="AL53" s="23">
        <v>-1.24979</v>
      </c>
      <c r="AM53" s="25">
        <v>1.2857916666666667</v>
      </c>
      <c r="AN53" s="25">
        <v>0.38242780318785918</v>
      </c>
      <c r="AO53" s="25">
        <v>0.18617865152949931</v>
      </c>
      <c r="AP53" s="25">
        <v>8.26932402201698E-2</v>
      </c>
      <c r="AQ53" s="24">
        <v>1.6365663215521731</v>
      </c>
      <c r="AR53" s="23">
        <v>-99</v>
      </c>
    </row>
    <row r="54" spans="1:44" x14ac:dyDescent="0.25">
      <c r="A54" s="4">
        <v>16</v>
      </c>
      <c r="B54">
        <v>120</v>
      </c>
      <c r="C54">
        <v>50</v>
      </c>
      <c r="D54">
        <v>20</v>
      </c>
      <c r="E54" s="3">
        <v>26</v>
      </c>
      <c r="F54" s="3">
        <f>1.8*E54+32</f>
        <v>78.800000000000011</v>
      </c>
      <c r="G54" s="3">
        <v>20</v>
      </c>
      <c r="H54" s="3">
        <f>IF(F54&gt;68,G54+(F54-68)*0.2,G203-(68-F54)*0.2)</f>
        <v>22.160000000000004</v>
      </c>
      <c r="I54" s="3">
        <v>23</v>
      </c>
      <c r="J54" s="3">
        <f>1.8*I54+32</f>
        <v>73.400000000000006</v>
      </c>
      <c r="K54" s="3">
        <v>11</v>
      </c>
      <c r="L54" s="3">
        <f>IF(J54&gt;67,K54+(J54-67)*0.2,K54-(67-J54)*0.2)</f>
        <v>12.280000000000001</v>
      </c>
      <c r="M54" s="3">
        <f>(C54-H54)/C54*100</f>
        <v>55.679999999999993</v>
      </c>
      <c r="N54" s="3">
        <f>100-(M54+O54)</f>
        <v>19.760000000000005</v>
      </c>
      <c r="O54" s="3">
        <f>L54/C54*100</f>
        <v>24.560000000000002</v>
      </c>
      <c r="P54" s="1" t="s">
        <v>2</v>
      </c>
      <c r="Q54" s="15">
        <v>407590.46</v>
      </c>
      <c r="R54" s="15">
        <v>3660002.5</v>
      </c>
      <c r="T54">
        <v>2009033</v>
      </c>
      <c r="U54" t="s">
        <v>712</v>
      </c>
      <c r="V54">
        <v>5.4800000000000001E-2</v>
      </c>
      <c r="W54">
        <v>0.38421</v>
      </c>
      <c r="X54">
        <v>2.8379999999999999E-2</v>
      </c>
      <c r="Y54">
        <v>1.3669</v>
      </c>
      <c r="Z54">
        <v>24.612490000000001</v>
      </c>
      <c r="AA54">
        <v>11.99493</v>
      </c>
      <c r="AB54">
        <v>-1.2879499999999999</v>
      </c>
      <c r="AD54" s="23">
        <v>51</v>
      </c>
      <c r="AE54" s="26" t="s">
        <v>711</v>
      </c>
      <c r="AF54" s="23">
        <v>7.17E-2</v>
      </c>
      <c r="AG54" s="23">
        <v>0.39426</v>
      </c>
      <c r="AH54" s="23">
        <v>2.5020000000000001E-2</v>
      </c>
      <c r="AI54" s="23">
        <v>1.30233</v>
      </c>
      <c r="AJ54" s="23">
        <v>10.315630000000001</v>
      </c>
      <c r="AK54" s="23">
        <v>7.6185700000000001</v>
      </c>
      <c r="AL54" s="23">
        <v>-1.6268800000000001</v>
      </c>
      <c r="AM54" s="25">
        <v>0.42981791666666669</v>
      </c>
      <c r="AN54" s="25">
        <v>0.39364874150044188</v>
      </c>
      <c r="AO54" s="25">
        <v>0.23921921318455602</v>
      </c>
      <c r="AP54" s="25">
        <v>0.12543458420634512</v>
      </c>
      <c r="AQ54" s="24">
        <v>1.6068308350238287</v>
      </c>
      <c r="AR54" s="23">
        <v>-99</v>
      </c>
    </row>
    <row r="55" spans="1:44" x14ac:dyDescent="0.25">
      <c r="A55" s="4">
        <v>16</v>
      </c>
      <c r="B55">
        <v>150</v>
      </c>
      <c r="C55">
        <v>50</v>
      </c>
      <c r="D55">
        <v>20</v>
      </c>
      <c r="E55" s="3">
        <v>26</v>
      </c>
      <c r="F55" s="3">
        <f>1.8*E55+32</f>
        <v>78.800000000000011</v>
      </c>
      <c r="G55" s="3">
        <v>17</v>
      </c>
      <c r="H55" s="3">
        <f>IF(F55&gt;68,G55+(F55-68)*0.2,G204-(68-F55)*0.2)</f>
        <v>19.160000000000004</v>
      </c>
      <c r="I55" s="3">
        <v>23.5</v>
      </c>
      <c r="J55" s="3">
        <f>1.8*I55+32</f>
        <v>74.300000000000011</v>
      </c>
      <c r="K55" s="3">
        <v>11</v>
      </c>
      <c r="L55" s="3">
        <f>IF(J55&gt;67,K55+(J55-67)*0.2,K55-(67-J55)*0.2)</f>
        <v>12.460000000000003</v>
      </c>
      <c r="M55" s="3">
        <f>(C55-H55)/C55*100</f>
        <v>61.679999999999993</v>
      </c>
      <c r="N55" s="3">
        <f>100-(M55+O55)</f>
        <v>13.400000000000006</v>
      </c>
      <c r="O55" s="3">
        <f>L55/C55*100</f>
        <v>24.920000000000005</v>
      </c>
      <c r="P55" s="1" t="s">
        <v>2</v>
      </c>
      <c r="Q55" s="15">
        <v>407590.46</v>
      </c>
      <c r="R55" s="15">
        <v>3660002.5</v>
      </c>
      <c r="T55">
        <v>2009033</v>
      </c>
      <c r="U55" t="s">
        <v>710</v>
      </c>
      <c r="V55">
        <v>5.806E-2</v>
      </c>
      <c r="W55">
        <v>0.38147999999999999</v>
      </c>
      <c r="X55">
        <v>2.9000000000000001E-2</v>
      </c>
      <c r="Y55">
        <v>1.3526400000000001</v>
      </c>
      <c r="Z55">
        <v>22.208590000000001</v>
      </c>
      <c r="AA55">
        <v>11.4156</v>
      </c>
      <c r="AB55">
        <v>-1.4022300000000001</v>
      </c>
      <c r="AD55" s="23">
        <v>52</v>
      </c>
      <c r="AE55" s="26" t="s">
        <v>709</v>
      </c>
      <c r="AF55" s="23">
        <v>6.3380000000000006E-2</v>
      </c>
      <c r="AG55" s="23">
        <v>0.38441999999999998</v>
      </c>
      <c r="AH55" s="23">
        <v>2.7179999999999999E-2</v>
      </c>
      <c r="AI55" s="23">
        <v>1.3284100000000001</v>
      </c>
      <c r="AJ55" s="23">
        <v>16.107610000000001</v>
      </c>
      <c r="AK55" s="23">
        <v>9.5432600000000001</v>
      </c>
      <c r="AL55" s="23">
        <v>-1.5024299999999999</v>
      </c>
      <c r="AM55" s="25">
        <v>0.67115041666666675</v>
      </c>
      <c r="AN55" s="25">
        <v>0.38376318968128265</v>
      </c>
      <c r="AO55" s="25">
        <v>0.21711262572577694</v>
      </c>
      <c r="AP55" s="25">
        <v>0.10797237237712226</v>
      </c>
      <c r="AQ55" s="24">
        <v>1.633027547344601</v>
      </c>
      <c r="AR55" s="23">
        <v>-99</v>
      </c>
    </row>
    <row r="56" spans="1:44" x14ac:dyDescent="0.25">
      <c r="A56" s="4">
        <v>16</v>
      </c>
      <c r="B56">
        <v>180</v>
      </c>
      <c r="C56">
        <v>50</v>
      </c>
      <c r="D56">
        <v>20</v>
      </c>
      <c r="E56" s="3">
        <v>26</v>
      </c>
      <c r="F56" s="3">
        <f>1.8*E56+32</f>
        <v>78.800000000000011</v>
      </c>
      <c r="G56" s="3">
        <v>11</v>
      </c>
      <c r="H56" s="3">
        <f>IF(F56&gt;68,G56+(F56-68)*0.2,G205-(68-F56)*0.2)</f>
        <v>13.160000000000002</v>
      </c>
      <c r="I56" s="3">
        <v>23.5</v>
      </c>
      <c r="J56" s="3">
        <f>1.8*I56+32</f>
        <v>74.300000000000011</v>
      </c>
      <c r="K56" s="3">
        <v>6</v>
      </c>
      <c r="L56" s="3">
        <f>IF(J56&gt;67,K56+(J56-67)*0.2,K56-(67-J56)*0.2)</f>
        <v>7.4600000000000026</v>
      </c>
      <c r="M56" s="3">
        <f>(C56-H56)/C56*100</f>
        <v>73.679999999999993</v>
      </c>
      <c r="N56" s="3">
        <f>100-(M56+O56)</f>
        <v>11.400000000000006</v>
      </c>
      <c r="O56" s="3">
        <f>L56/C56*100</f>
        <v>14.920000000000005</v>
      </c>
      <c r="P56" s="1" t="s">
        <v>0</v>
      </c>
      <c r="Q56" s="15">
        <v>407590.46</v>
      </c>
      <c r="R56" s="15">
        <v>3660002.5</v>
      </c>
      <c r="T56">
        <v>2009033</v>
      </c>
      <c r="U56" t="s">
        <v>708</v>
      </c>
      <c r="V56">
        <v>5.0880000000000002E-2</v>
      </c>
      <c r="W56">
        <v>0.38316</v>
      </c>
      <c r="X56">
        <v>3.0460000000000001E-2</v>
      </c>
      <c r="Y56">
        <v>1.38306</v>
      </c>
      <c r="Z56">
        <v>30.859000000000002</v>
      </c>
      <c r="AA56">
        <v>14.105969999999999</v>
      </c>
      <c r="AB56">
        <v>-1.24979</v>
      </c>
      <c r="AD56" s="23">
        <v>53</v>
      </c>
      <c r="AE56" s="26" t="s">
        <v>707</v>
      </c>
      <c r="AF56" s="23">
        <v>5.7549999999999997E-2</v>
      </c>
      <c r="AG56" s="23">
        <v>0.38553999999999999</v>
      </c>
      <c r="AH56" s="23">
        <v>2.707E-2</v>
      </c>
      <c r="AI56" s="23">
        <v>1.35867</v>
      </c>
      <c r="AJ56" s="23">
        <v>21.013719999999999</v>
      </c>
      <c r="AK56" s="23">
        <v>10.797750000000001</v>
      </c>
      <c r="AL56" s="23">
        <v>-1.3052900000000001</v>
      </c>
      <c r="AM56" s="25">
        <v>0.87557166666666664</v>
      </c>
      <c r="AN56" s="25">
        <v>0.38490073468656139</v>
      </c>
      <c r="AO56" s="25">
        <v>0.20468498711187763</v>
      </c>
      <c r="AP56" s="25">
        <v>9.5587209300756565E-2</v>
      </c>
      <c r="AQ56" s="24">
        <v>1.6300130530806123</v>
      </c>
      <c r="AR56" s="23">
        <v>-99</v>
      </c>
    </row>
    <row r="57" spans="1:44" x14ac:dyDescent="0.25">
      <c r="A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1"/>
      <c r="T57">
        <v>2009033</v>
      </c>
      <c r="U57" t="s">
        <v>706</v>
      </c>
      <c r="V57">
        <v>7.17E-2</v>
      </c>
      <c r="W57">
        <v>0.39426</v>
      </c>
      <c r="X57">
        <v>2.5020000000000001E-2</v>
      </c>
      <c r="Y57">
        <v>1.30233</v>
      </c>
      <c r="Z57">
        <v>10.315630000000001</v>
      </c>
      <c r="AA57">
        <v>7.6185700000000001</v>
      </c>
      <c r="AB57">
        <v>-1.6268800000000001</v>
      </c>
      <c r="AD57" s="23">
        <v>54</v>
      </c>
      <c r="AE57" s="26" t="s">
        <v>705</v>
      </c>
      <c r="AF57" s="23">
        <v>6.0510000000000001E-2</v>
      </c>
      <c r="AG57" s="23">
        <v>0.38013999999999998</v>
      </c>
      <c r="AH57" s="23">
        <v>2.8639999999999999E-2</v>
      </c>
      <c r="AI57" s="23">
        <v>1.34006</v>
      </c>
      <c r="AJ57" s="23">
        <v>19.601279999999999</v>
      </c>
      <c r="AK57" s="23">
        <v>10.60801</v>
      </c>
      <c r="AL57" s="23">
        <v>-1.4761</v>
      </c>
      <c r="AM57" s="25">
        <v>0.81672</v>
      </c>
      <c r="AN57" s="25">
        <v>0.37944974510154966</v>
      </c>
      <c r="AO57" s="25">
        <v>0.20718173262242373</v>
      </c>
      <c r="AP57" s="25">
        <v>0.10117446500494735</v>
      </c>
      <c r="AQ57" s="24">
        <v>1.6444581754808931</v>
      </c>
      <c r="AR57" s="23">
        <v>-99</v>
      </c>
    </row>
    <row r="58" spans="1:44" ht="51.75" x14ac:dyDescent="0.25">
      <c r="A58" s="14" t="s">
        <v>21</v>
      </c>
      <c r="B58" s="9" t="s">
        <v>20</v>
      </c>
      <c r="C58" s="13" t="s">
        <v>19</v>
      </c>
      <c r="D58" s="12" t="s">
        <v>18</v>
      </c>
      <c r="E58" s="11" t="s">
        <v>17</v>
      </c>
      <c r="F58" s="11" t="s">
        <v>16</v>
      </c>
      <c r="G58" s="11" t="s">
        <v>15</v>
      </c>
      <c r="H58" s="11" t="s">
        <v>14</v>
      </c>
      <c r="I58" s="11" t="s">
        <v>13</v>
      </c>
      <c r="J58" s="11" t="s">
        <v>12</v>
      </c>
      <c r="K58" s="11" t="s">
        <v>11</v>
      </c>
      <c r="L58" s="11" t="s">
        <v>10</v>
      </c>
      <c r="M58" s="10" t="s">
        <v>9</v>
      </c>
      <c r="N58" s="10" t="s">
        <v>8</v>
      </c>
      <c r="O58" s="10" t="s">
        <v>7</v>
      </c>
      <c r="P58" s="9" t="s">
        <v>6</v>
      </c>
      <c r="Q58" s="19" t="s">
        <v>5</v>
      </c>
      <c r="R58" s="19"/>
      <c r="T58">
        <v>2009033</v>
      </c>
      <c r="U58" t="s">
        <v>704</v>
      </c>
      <c r="V58">
        <v>6.3380000000000006E-2</v>
      </c>
      <c r="W58">
        <v>0.38441999999999998</v>
      </c>
      <c r="X58">
        <v>2.7179999999999999E-2</v>
      </c>
      <c r="Y58">
        <v>1.3284100000000001</v>
      </c>
      <c r="Z58">
        <v>16.107610000000001</v>
      </c>
      <c r="AA58">
        <v>9.5432600000000001</v>
      </c>
      <c r="AB58">
        <v>-1.5024299999999999</v>
      </c>
      <c r="AD58" s="23">
        <v>55</v>
      </c>
      <c r="AE58" s="26" t="s">
        <v>703</v>
      </c>
      <c r="AF58" s="23">
        <v>5.7700000000000001E-2</v>
      </c>
      <c r="AG58" s="23">
        <v>0.37968000000000002</v>
      </c>
      <c r="AH58" s="23">
        <v>2.9559999999999999E-2</v>
      </c>
      <c r="AI58" s="23">
        <v>1.35771</v>
      </c>
      <c r="AJ58" s="23">
        <v>23.51163</v>
      </c>
      <c r="AK58" s="23">
        <v>11.73856</v>
      </c>
      <c r="AL58" s="23">
        <v>-1.39994</v>
      </c>
      <c r="AM58" s="25">
        <v>0.97965124999999997</v>
      </c>
      <c r="AN58" s="25">
        <v>0.37897218433419344</v>
      </c>
      <c r="AO58" s="25">
        <v>0.19815964041262224</v>
      </c>
      <c r="AP58" s="25">
        <v>9.4092714006039857E-2</v>
      </c>
      <c r="AQ58" s="24">
        <v>1.6457237115143872</v>
      </c>
      <c r="AR58" s="23">
        <v>-99</v>
      </c>
    </row>
    <row r="59" spans="1:44" x14ac:dyDescent="0.25"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1"/>
      <c r="Q59" s="5" t="s">
        <v>4</v>
      </c>
      <c r="R59" s="5" t="s">
        <v>3</v>
      </c>
      <c r="T59">
        <v>2009033</v>
      </c>
      <c r="U59" t="s">
        <v>702</v>
      </c>
      <c r="V59">
        <v>5.7549999999999997E-2</v>
      </c>
      <c r="W59">
        <v>0.38553999999999999</v>
      </c>
      <c r="X59">
        <v>2.707E-2</v>
      </c>
      <c r="Y59">
        <v>1.35867</v>
      </c>
      <c r="Z59">
        <v>21.013719999999999</v>
      </c>
      <c r="AA59">
        <v>10.797750000000001</v>
      </c>
      <c r="AB59">
        <v>-1.3052900000000001</v>
      </c>
      <c r="AD59" s="23">
        <v>56</v>
      </c>
      <c r="AE59" s="26" t="s">
        <v>701</v>
      </c>
      <c r="AF59" s="23">
        <v>5.0209999999999998E-2</v>
      </c>
      <c r="AG59" s="23">
        <v>0.37752999999999998</v>
      </c>
      <c r="AH59" s="23">
        <v>3.3459999999999997E-2</v>
      </c>
      <c r="AI59" s="23">
        <v>1.59145</v>
      </c>
      <c r="AJ59" s="23">
        <v>70.882469999999998</v>
      </c>
      <c r="AK59" s="23">
        <v>19.232839999999999</v>
      </c>
      <c r="AL59" s="23">
        <v>-0.99875000000000003</v>
      </c>
      <c r="AM59" s="25">
        <v>2.9534362499999998</v>
      </c>
      <c r="AN59" s="25">
        <v>0.37698597241966986</v>
      </c>
      <c r="AO59" s="25">
        <v>0.12824654004374997</v>
      </c>
      <c r="AP59" s="25">
        <v>5.8483406702039678E-2</v>
      </c>
      <c r="AQ59" s="24">
        <v>1.6509871730878749</v>
      </c>
      <c r="AR59" s="23">
        <v>-99</v>
      </c>
    </row>
    <row r="60" spans="1:44" x14ac:dyDescent="0.25">
      <c r="A60" s="4">
        <v>17</v>
      </c>
      <c r="B60">
        <v>30</v>
      </c>
      <c r="C60">
        <v>50</v>
      </c>
      <c r="D60">
        <v>20</v>
      </c>
      <c r="E60" s="3">
        <v>26</v>
      </c>
      <c r="F60" s="3">
        <f>1.8*E60+32</f>
        <v>78.800000000000011</v>
      </c>
      <c r="G60" s="3">
        <v>19</v>
      </c>
      <c r="H60" s="3">
        <f>IF(F60&gt;68,G60+(F60-68)*0.2,G208-(68-F60)*0.2)</f>
        <v>21.160000000000004</v>
      </c>
      <c r="I60" s="3">
        <v>23.5</v>
      </c>
      <c r="J60" s="3">
        <f>1.8*I60+32</f>
        <v>74.300000000000011</v>
      </c>
      <c r="K60" s="3">
        <v>9</v>
      </c>
      <c r="L60" s="3">
        <f>IF(J60&gt;67,K60+(J60-67)*0.2,K60-(67-J60)*0.2)</f>
        <v>10.460000000000003</v>
      </c>
      <c r="M60" s="3">
        <f>(C60-H60)/C60*100</f>
        <v>57.68</v>
      </c>
      <c r="N60" s="3">
        <f>100-(M60+O60)</f>
        <v>21.399999999999991</v>
      </c>
      <c r="O60" s="3">
        <f>L60/C60*100</f>
        <v>20.920000000000005</v>
      </c>
      <c r="P60" s="1" t="s">
        <v>2</v>
      </c>
      <c r="Q60" s="15">
        <v>407590.46</v>
      </c>
      <c r="R60" s="15">
        <v>3660029</v>
      </c>
      <c r="T60">
        <v>2009033</v>
      </c>
      <c r="U60" t="s">
        <v>700</v>
      </c>
      <c r="V60">
        <v>6.0510000000000001E-2</v>
      </c>
      <c r="W60">
        <v>0.38013999999999998</v>
      </c>
      <c r="X60">
        <v>2.8639999999999999E-2</v>
      </c>
      <c r="Y60">
        <v>1.34006</v>
      </c>
      <c r="Z60">
        <v>19.601279999999999</v>
      </c>
      <c r="AA60">
        <v>10.60801</v>
      </c>
      <c r="AB60">
        <v>-1.4761</v>
      </c>
      <c r="AD60" s="23">
        <v>57</v>
      </c>
      <c r="AE60" s="26" t="s">
        <v>699</v>
      </c>
      <c r="AF60" s="23">
        <v>5.7500000000000002E-2</v>
      </c>
      <c r="AG60" s="23">
        <v>0.38168000000000002</v>
      </c>
      <c r="AH60" s="23">
        <v>2.9090000000000001E-2</v>
      </c>
      <c r="AI60" s="23">
        <v>1.3553200000000001</v>
      </c>
      <c r="AJ60" s="23">
        <v>22.827449999999999</v>
      </c>
      <c r="AK60" s="23">
        <v>11.60252</v>
      </c>
      <c r="AL60" s="23">
        <v>-1.3874599999999999</v>
      </c>
      <c r="AM60" s="25">
        <v>0.95114374999999995</v>
      </c>
      <c r="AN60" s="25">
        <v>0.38098018251947463</v>
      </c>
      <c r="AO60" s="25">
        <v>0.20047033910375564</v>
      </c>
      <c r="AP60" s="25">
        <v>9.4891247803211287E-2</v>
      </c>
      <c r="AQ60" s="24">
        <v>1.6404025163233922</v>
      </c>
      <c r="AR60" s="23">
        <v>-99</v>
      </c>
    </row>
    <row r="61" spans="1:44" x14ac:dyDescent="0.25">
      <c r="A61" s="4">
        <v>17</v>
      </c>
      <c r="B61">
        <v>60</v>
      </c>
      <c r="C61">
        <v>50</v>
      </c>
      <c r="D61">
        <v>20</v>
      </c>
      <c r="E61" s="3">
        <v>26</v>
      </c>
      <c r="F61" s="3">
        <f>1.8*E61+32</f>
        <v>78.800000000000011</v>
      </c>
      <c r="G61" s="3">
        <v>21</v>
      </c>
      <c r="H61" s="3">
        <f>IF(F61&gt;68,G61+(F61-68)*0.2,G209-(68-F61)*0.2)</f>
        <v>23.160000000000004</v>
      </c>
      <c r="I61" s="3">
        <v>23</v>
      </c>
      <c r="J61" s="3">
        <f>1.8*I61+32</f>
        <v>73.400000000000006</v>
      </c>
      <c r="K61" s="3">
        <v>13</v>
      </c>
      <c r="L61" s="3">
        <f>IF(J61&gt;67,K61+(J61-67)*0.2,K61-(67-J61)*0.2)</f>
        <v>14.280000000000001</v>
      </c>
      <c r="M61" s="3">
        <f>(C61-H61)/C61*100</f>
        <v>53.679999999999993</v>
      </c>
      <c r="N61" s="3">
        <f>100-(M61+O61)</f>
        <v>17.760000000000005</v>
      </c>
      <c r="O61" s="3">
        <f>L61/C61*100</f>
        <v>28.560000000000002</v>
      </c>
      <c r="P61" s="1" t="s">
        <v>2</v>
      </c>
      <c r="Q61" s="15">
        <v>407590.46</v>
      </c>
      <c r="R61" s="15">
        <v>3660029</v>
      </c>
      <c r="T61">
        <v>2009033</v>
      </c>
      <c r="U61" t="s">
        <v>698</v>
      </c>
      <c r="V61">
        <v>5.7700000000000001E-2</v>
      </c>
      <c r="W61">
        <v>0.37968000000000002</v>
      </c>
      <c r="X61">
        <v>2.9559999999999999E-2</v>
      </c>
      <c r="Y61">
        <v>1.35771</v>
      </c>
      <c r="Z61">
        <v>23.51163</v>
      </c>
      <c r="AA61">
        <v>11.73856</v>
      </c>
      <c r="AB61">
        <v>-1.39994</v>
      </c>
      <c r="AD61" s="23">
        <v>58</v>
      </c>
      <c r="AE61" s="26" t="s">
        <v>697</v>
      </c>
      <c r="AF61" s="23">
        <v>8.7679999999999994E-2</v>
      </c>
      <c r="AG61" s="23">
        <v>0.45732</v>
      </c>
      <c r="AH61" s="23">
        <v>1.154E-2</v>
      </c>
      <c r="AI61" s="23">
        <v>1.40726</v>
      </c>
      <c r="AJ61" s="23">
        <v>11.31148</v>
      </c>
      <c r="AK61" s="23">
        <v>2.8941300000000001</v>
      </c>
      <c r="AL61" s="23">
        <v>-0.55576000000000003</v>
      </c>
      <c r="AM61" s="25">
        <v>0.47131166666666663</v>
      </c>
      <c r="AN61" s="25">
        <v>0.45711965820880207</v>
      </c>
      <c r="AO61" s="25">
        <v>0.29282685315147094</v>
      </c>
      <c r="AP61" s="25">
        <v>0.13298239098138967</v>
      </c>
      <c r="AQ61" s="24">
        <v>1.4386329057466745</v>
      </c>
      <c r="AR61" s="23">
        <v>-99</v>
      </c>
    </row>
    <row r="62" spans="1:44" x14ac:dyDescent="0.25">
      <c r="A62" s="4">
        <v>17</v>
      </c>
      <c r="B62">
        <v>90</v>
      </c>
      <c r="C62">
        <v>50</v>
      </c>
      <c r="D62">
        <v>20</v>
      </c>
      <c r="E62" s="3">
        <v>26</v>
      </c>
      <c r="F62" s="3">
        <f>1.8*E62+32</f>
        <v>78.800000000000011</v>
      </c>
      <c r="G62" s="3">
        <v>19</v>
      </c>
      <c r="H62" s="3">
        <f>IF(F62&gt;68,G62+(F62-68)*0.2,G210-(68-F62)*0.2)</f>
        <v>21.160000000000004</v>
      </c>
      <c r="I62" s="3">
        <v>23</v>
      </c>
      <c r="J62" s="3">
        <f>1.8*I62+32</f>
        <v>73.400000000000006</v>
      </c>
      <c r="K62" s="3">
        <v>10</v>
      </c>
      <c r="L62" s="3">
        <f>IF(J62&gt;67,K62+(J62-67)*0.2,K62-(67-J62)*0.2)</f>
        <v>11.280000000000001</v>
      </c>
      <c r="M62" s="3">
        <f>(C62-H62)/C62*100</f>
        <v>57.68</v>
      </c>
      <c r="N62" s="3">
        <f>100-(M62+O62)</f>
        <v>19.759999999999991</v>
      </c>
      <c r="O62" s="3">
        <f>L62/C62*100</f>
        <v>22.560000000000002</v>
      </c>
      <c r="P62" s="1" t="s">
        <v>2</v>
      </c>
      <c r="Q62" s="15">
        <v>407590.46</v>
      </c>
      <c r="R62" s="15">
        <v>3660029</v>
      </c>
      <c r="T62">
        <v>2009033</v>
      </c>
      <c r="U62" t="s">
        <v>696</v>
      </c>
      <c r="V62">
        <v>5.0209999999999998E-2</v>
      </c>
      <c r="W62">
        <v>0.37752999999999998</v>
      </c>
      <c r="X62">
        <v>3.3459999999999997E-2</v>
      </c>
      <c r="Y62">
        <v>1.59145</v>
      </c>
      <c r="Z62">
        <v>70.882469999999998</v>
      </c>
      <c r="AA62">
        <v>19.232839999999999</v>
      </c>
      <c r="AB62">
        <v>-0.99875000000000003</v>
      </c>
      <c r="AD62" s="23">
        <v>59</v>
      </c>
      <c r="AE62" s="26" t="s">
        <v>695</v>
      </c>
      <c r="AF62" s="23">
        <v>6.2899999999999998E-2</v>
      </c>
      <c r="AG62" s="23">
        <v>0.38452999999999998</v>
      </c>
      <c r="AH62" s="23">
        <v>2.7179999999999999E-2</v>
      </c>
      <c r="AI62" s="23">
        <v>1.3312999999999999</v>
      </c>
      <c r="AJ62" s="23">
        <v>16.492039999999999</v>
      </c>
      <c r="AK62" s="23">
        <v>9.6510300000000004</v>
      </c>
      <c r="AL62" s="23">
        <v>-1.48289</v>
      </c>
      <c r="AM62" s="25">
        <v>0.68716833333333327</v>
      </c>
      <c r="AN62" s="25">
        <v>0.38387446800294084</v>
      </c>
      <c r="AO62" s="25">
        <v>0.21593700103676672</v>
      </c>
      <c r="AP62" s="25">
        <v>0.10680505136058258</v>
      </c>
      <c r="AQ62" s="24">
        <v>1.6327326597922065</v>
      </c>
      <c r="AR62" s="23">
        <v>-99</v>
      </c>
    </row>
    <row r="63" spans="1:44" x14ac:dyDescent="0.25">
      <c r="A63" s="4">
        <v>17</v>
      </c>
      <c r="B63">
        <v>120</v>
      </c>
      <c r="C63">
        <v>50</v>
      </c>
      <c r="D63">
        <v>20</v>
      </c>
      <c r="E63" s="3">
        <v>26</v>
      </c>
      <c r="F63" s="3">
        <f>1.8*E63+32</f>
        <v>78.800000000000011</v>
      </c>
      <c r="G63" s="3">
        <v>21</v>
      </c>
      <c r="H63" s="3">
        <f>IF(F63&gt;68,G63+(F63-68)*0.2,G211-(68-F63)*0.2)</f>
        <v>23.160000000000004</v>
      </c>
      <c r="I63" s="3">
        <v>23</v>
      </c>
      <c r="J63" s="3">
        <f>1.8*I63+32</f>
        <v>73.400000000000006</v>
      </c>
      <c r="K63" s="3">
        <v>11</v>
      </c>
      <c r="L63" s="3">
        <f>IF(J63&gt;67,K63+(J63-67)*0.2,K63-(67-J63)*0.2)</f>
        <v>12.280000000000001</v>
      </c>
      <c r="M63" s="3">
        <f>(C63-H63)/C63*100</f>
        <v>53.679999999999993</v>
      </c>
      <c r="N63" s="3">
        <f>100-(M63+O63)</f>
        <v>21.760000000000005</v>
      </c>
      <c r="O63" s="3">
        <f>L63/C63*100</f>
        <v>24.560000000000002</v>
      </c>
      <c r="P63" s="1" t="s">
        <v>2</v>
      </c>
      <c r="Q63" s="15">
        <v>407590.46</v>
      </c>
      <c r="R63" s="15">
        <v>3660029</v>
      </c>
      <c r="T63">
        <v>2009033</v>
      </c>
      <c r="U63" t="s">
        <v>694</v>
      </c>
      <c r="V63">
        <v>5.7500000000000002E-2</v>
      </c>
      <c r="W63">
        <v>0.38168000000000002</v>
      </c>
      <c r="X63">
        <v>2.9090000000000001E-2</v>
      </c>
      <c r="Y63">
        <v>1.3553200000000001</v>
      </c>
      <c r="Z63">
        <v>22.827449999999999</v>
      </c>
      <c r="AA63">
        <v>11.60252</v>
      </c>
      <c r="AB63">
        <v>-1.3874599999999999</v>
      </c>
      <c r="AD63" s="23">
        <v>60</v>
      </c>
      <c r="AE63" s="26" t="s">
        <v>693</v>
      </c>
      <c r="AF63" s="23">
        <v>5.9360000000000003E-2</v>
      </c>
      <c r="AG63" s="23">
        <v>0.38313000000000003</v>
      </c>
      <c r="AH63" s="23">
        <v>2.8119999999999999E-2</v>
      </c>
      <c r="AI63" s="23">
        <v>1.34667</v>
      </c>
      <c r="AJ63" s="23">
        <v>20.134329999999999</v>
      </c>
      <c r="AK63" s="23">
        <v>10.76477</v>
      </c>
      <c r="AL63" s="23">
        <v>-1.41</v>
      </c>
      <c r="AM63" s="25">
        <v>0.83893041666666657</v>
      </c>
      <c r="AN63" s="25">
        <v>0.38245390331744794</v>
      </c>
      <c r="AO63" s="25">
        <v>0.20662300092813174</v>
      </c>
      <c r="AP63" s="25">
        <v>9.9185231437041749E-2</v>
      </c>
      <c r="AQ63" s="24">
        <v>1.6364971562087631</v>
      </c>
      <c r="AR63" s="23">
        <v>-99</v>
      </c>
    </row>
    <row r="64" spans="1:44" x14ac:dyDescent="0.25">
      <c r="A64" s="4">
        <v>17</v>
      </c>
      <c r="B64">
        <v>150</v>
      </c>
      <c r="C64">
        <v>50</v>
      </c>
      <c r="D64">
        <v>20</v>
      </c>
      <c r="E64" s="3">
        <v>25</v>
      </c>
      <c r="F64" s="3">
        <f>1.8*E64+32</f>
        <v>77</v>
      </c>
      <c r="G64" s="3">
        <v>16</v>
      </c>
      <c r="H64" s="3">
        <f>IF(F64&gt;68,G64+(F64-68)*0.2,G212-(68-F64)*0.2)</f>
        <v>17.8</v>
      </c>
      <c r="I64" s="3">
        <v>23</v>
      </c>
      <c r="J64" s="3">
        <f>1.8*I64+32</f>
        <v>73.400000000000006</v>
      </c>
      <c r="K64" s="3">
        <v>8</v>
      </c>
      <c r="L64" s="3">
        <f>IF(J64&gt;67,K64+(J64-67)*0.2,K64-(67-J64)*0.2)</f>
        <v>9.2800000000000011</v>
      </c>
      <c r="M64" s="3">
        <f>(C64-H64)/C64*100</f>
        <v>64.400000000000006</v>
      </c>
      <c r="N64" s="3">
        <f>100-(M64+O64)</f>
        <v>17.039999999999992</v>
      </c>
      <c r="O64" s="3">
        <f>L64/C64*100</f>
        <v>18.560000000000002</v>
      </c>
      <c r="P64" s="1" t="s">
        <v>0</v>
      </c>
      <c r="Q64" s="15">
        <v>407590.46</v>
      </c>
      <c r="R64" s="15">
        <v>3660029</v>
      </c>
      <c r="T64">
        <v>2009033</v>
      </c>
      <c r="U64" t="s">
        <v>692</v>
      </c>
      <c r="V64">
        <v>8.7679999999999994E-2</v>
      </c>
      <c r="W64">
        <v>0.45732</v>
      </c>
      <c r="X64">
        <v>1.154E-2</v>
      </c>
      <c r="Y64">
        <v>1.40726</v>
      </c>
      <c r="Z64">
        <v>11.31148</v>
      </c>
      <c r="AA64">
        <v>2.8941300000000001</v>
      </c>
      <c r="AB64">
        <v>-0.55576000000000003</v>
      </c>
      <c r="AD64" s="23">
        <v>61</v>
      </c>
      <c r="AE64" s="26" t="s">
        <v>691</v>
      </c>
      <c r="AF64" s="23">
        <v>6.2219999999999998E-2</v>
      </c>
      <c r="AG64" s="23">
        <v>0.38224999999999998</v>
      </c>
      <c r="AH64" s="23">
        <v>2.7890000000000002E-2</v>
      </c>
      <c r="AI64" s="23">
        <v>1.3311500000000001</v>
      </c>
      <c r="AJ64" s="23">
        <v>17.434139999999999</v>
      </c>
      <c r="AK64" s="23">
        <v>9.9759600000000006</v>
      </c>
      <c r="AL64" s="23">
        <v>-1.5061500000000001</v>
      </c>
      <c r="AM64" s="25">
        <v>0.72642249999999997</v>
      </c>
      <c r="AN64" s="25">
        <v>0.38157493699415934</v>
      </c>
      <c r="AO64" s="25">
        <v>0.21331502632216148</v>
      </c>
      <c r="AP64" s="25">
        <v>0.10557436336442669</v>
      </c>
      <c r="AQ64" s="24">
        <v>1.6388264169654776</v>
      </c>
      <c r="AR64" s="23">
        <v>-99</v>
      </c>
    </row>
    <row r="65" spans="1:44" x14ac:dyDescent="0.25">
      <c r="A65" s="4">
        <v>17</v>
      </c>
      <c r="B65">
        <v>180</v>
      </c>
      <c r="C65">
        <v>50</v>
      </c>
      <c r="D65">
        <v>20</v>
      </c>
      <c r="E65" s="3">
        <v>25</v>
      </c>
      <c r="F65" s="3">
        <f>1.8*E65+32</f>
        <v>77</v>
      </c>
      <c r="G65" s="3">
        <v>17</v>
      </c>
      <c r="H65" s="3">
        <f>IF(F65&gt;68,G65+(F65-68)*0.2,G213-(68-F65)*0.2)</f>
        <v>18.8</v>
      </c>
      <c r="I65" s="3">
        <v>23</v>
      </c>
      <c r="J65" s="3">
        <f>1.8*I65+32</f>
        <v>73.400000000000006</v>
      </c>
      <c r="K65" s="3">
        <v>8</v>
      </c>
      <c r="L65" s="3">
        <f>IF(J65&gt;67,K65+(J65-67)*0.2,K65-(67-J65)*0.2)</f>
        <v>9.2800000000000011</v>
      </c>
      <c r="M65" s="3">
        <f>(C65-H65)/C65*100</f>
        <v>62.4</v>
      </c>
      <c r="N65" s="3">
        <f>100-(M65+O65)</f>
        <v>19.039999999999992</v>
      </c>
      <c r="O65" s="3">
        <f>L65/C65*100</f>
        <v>18.560000000000002</v>
      </c>
      <c r="P65" s="1" t="s">
        <v>0</v>
      </c>
      <c r="Q65" s="15">
        <v>407590.46</v>
      </c>
      <c r="R65" s="15">
        <v>3660029</v>
      </c>
      <c r="T65">
        <v>2009033</v>
      </c>
      <c r="U65" t="s">
        <v>690</v>
      </c>
      <c r="V65">
        <v>6.2899999999999998E-2</v>
      </c>
      <c r="W65">
        <v>0.38452999999999998</v>
      </c>
      <c r="X65">
        <v>2.7179999999999999E-2</v>
      </c>
      <c r="Y65">
        <v>1.3312999999999999</v>
      </c>
      <c r="Z65">
        <v>16.492039999999999</v>
      </c>
      <c r="AA65">
        <v>9.6510300000000004</v>
      </c>
      <c r="AB65">
        <v>-1.48289</v>
      </c>
      <c r="AD65" s="23">
        <v>62</v>
      </c>
      <c r="AE65" s="26" t="s">
        <v>689</v>
      </c>
      <c r="AF65" s="23">
        <v>5.6559999999999999E-2</v>
      </c>
      <c r="AG65" s="23">
        <v>0.37985999999999998</v>
      </c>
      <c r="AH65" s="23">
        <v>2.9919999999999999E-2</v>
      </c>
      <c r="AI65" s="23">
        <v>1.3644000000000001</v>
      </c>
      <c r="AJ65" s="23">
        <v>25.181840000000001</v>
      </c>
      <c r="AK65" s="23">
        <v>12.2332</v>
      </c>
      <c r="AL65" s="23">
        <v>-1.37188</v>
      </c>
      <c r="AM65" s="25">
        <v>1.0492433333333333</v>
      </c>
      <c r="AN65" s="25">
        <v>0.37914458015764063</v>
      </c>
      <c r="AO65" s="25">
        <v>0.19487066098501479</v>
      </c>
      <c r="AP65" s="25">
        <v>9.148767901324352E-2</v>
      </c>
      <c r="AQ65" s="24">
        <v>1.6452668625822522</v>
      </c>
      <c r="AR65" s="23">
        <v>-99</v>
      </c>
    </row>
    <row r="66" spans="1:44" x14ac:dyDescent="0.25">
      <c r="A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"/>
      <c r="T66">
        <v>2009033</v>
      </c>
      <c r="U66" t="s">
        <v>688</v>
      </c>
      <c r="V66">
        <v>5.9360000000000003E-2</v>
      </c>
      <c r="W66">
        <v>0.38313000000000003</v>
      </c>
      <c r="X66">
        <v>2.8119999999999999E-2</v>
      </c>
      <c r="Y66">
        <v>1.34667</v>
      </c>
      <c r="Z66">
        <v>20.134329999999999</v>
      </c>
      <c r="AA66">
        <v>10.76477</v>
      </c>
      <c r="AB66">
        <v>-1.41</v>
      </c>
      <c r="AD66" s="23">
        <v>63</v>
      </c>
      <c r="AE66" s="26" t="s">
        <v>687</v>
      </c>
      <c r="AF66" s="23">
        <v>5.289E-2</v>
      </c>
      <c r="AG66" s="23">
        <v>0.37537999999999999</v>
      </c>
      <c r="AH66" s="23">
        <v>3.1559999999999998E-2</v>
      </c>
      <c r="AI66" s="23">
        <v>1.58256</v>
      </c>
      <c r="AJ66" s="23">
        <v>64.674340000000001</v>
      </c>
      <c r="AK66" s="23">
        <v>16.726980000000001</v>
      </c>
      <c r="AL66" s="23">
        <v>-1.0106599999999999</v>
      </c>
      <c r="AM66" s="25">
        <v>2.6947641666666668</v>
      </c>
      <c r="AN66" s="25">
        <v>0.37488106825649709</v>
      </c>
      <c r="AO66" s="25">
        <v>0.13409181314483973</v>
      </c>
      <c r="AP66" s="25">
        <v>6.1803041884666857E-2</v>
      </c>
      <c r="AQ66" s="24">
        <v>1.6565651691202825</v>
      </c>
      <c r="AR66" s="23">
        <v>-99</v>
      </c>
    </row>
    <row r="67" spans="1:44" ht="51.75" x14ac:dyDescent="0.25">
      <c r="A67" s="14" t="s">
        <v>21</v>
      </c>
      <c r="B67" s="9" t="s">
        <v>20</v>
      </c>
      <c r="C67" s="13" t="s">
        <v>19</v>
      </c>
      <c r="D67" s="12" t="s">
        <v>18</v>
      </c>
      <c r="E67" s="11" t="s">
        <v>17</v>
      </c>
      <c r="F67" s="11" t="s">
        <v>16</v>
      </c>
      <c r="G67" s="11" t="s">
        <v>15</v>
      </c>
      <c r="H67" s="11" t="s">
        <v>14</v>
      </c>
      <c r="I67" s="11" t="s">
        <v>13</v>
      </c>
      <c r="J67" s="11" t="s">
        <v>12</v>
      </c>
      <c r="K67" s="11" t="s">
        <v>11</v>
      </c>
      <c r="L67" s="11" t="s">
        <v>10</v>
      </c>
      <c r="M67" s="10" t="s">
        <v>9</v>
      </c>
      <c r="N67" s="10" t="s">
        <v>8</v>
      </c>
      <c r="O67" s="10" t="s">
        <v>7</v>
      </c>
      <c r="P67" s="9" t="s">
        <v>6</v>
      </c>
      <c r="Q67" s="19" t="s">
        <v>5</v>
      </c>
      <c r="R67" s="19"/>
      <c r="T67">
        <v>2009033</v>
      </c>
      <c r="U67" t="s">
        <v>686</v>
      </c>
      <c r="V67">
        <v>6.2219999999999998E-2</v>
      </c>
      <c r="W67">
        <v>0.38224999999999998</v>
      </c>
      <c r="X67">
        <v>2.7890000000000002E-2</v>
      </c>
      <c r="Y67">
        <v>1.3311500000000001</v>
      </c>
      <c r="Z67">
        <v>17.434139999999999</v>
      </c>
      <c r="AA67">
        <v>9.9759600000000006</v>
      </c>
      <c r="AB67">
        <v>-1.5061500000000001</v>
      </c>
      <c r="AD67" s="23">
        <v>64</v>
      </c>
      <c r="AE67" s="26" t="s">
        <v>685</v>
      </c>
      <c r="AF67" s="23">
        <v>5.3620000000000001E-2</v>
      </c>
      <c r="AG67" s="23">
        <v>0.37989000000000001</v>
      </c>
      <c r="AH67" s="23">
        <v>3.1140000000000001E-2</v>
      </c>
      <c r="AI67" s="23">
        <v>1.38544</v>
      </c>
      <c r="AJ67" s="23">
        <v>30.611550000000001</v>
      </c>
      <c r="AK67" s="23">
        <v>13.783160000000001</v>
      </c>
      <c r="AL67" s="23">
        <v>-1.30061</v>
      </c>
      <c r="AM67" s="25">
        <v>1.2754812500000001</v>
      </c>
      <c r="AN67" s="25">
        <v>0.37915164008540986</v>
      </c>
      <c r="AO67" s="25">
        <v>0.18466534729066669</v>
      </c>
      <c r="AP67" s="25">
        <v>8.4144995205750001E-2</v>
      </c>
      <c r="AQ67" s="24">
        <v>1.6452481537736641</v>
      </c>
      <c r="AR67" s="23">
        <v>-99</v>
      </c>
    </row>
    <row r="68" spans="1:44" x14ac:dyDescent="0.25">
      <c r="C68" s="16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1"/>
      <c r="Q68" s="5" t="s">
        <v>4</v>
      </c>
      <c r="R68" s="5" t="s">
        <v>3</v>
      </c>
      <c r="T68">
        <v>2009033</v>
      </c>
      <c r="U68" t="s">
        <v>684</v>
      </c>
      <c r="V68">
        <v>5.6559999999999999E-2</v>
      </c>
      <c r="W68">
        <v>0.37985999999999998</v>
      </c>
      <c r="X68">
        <v>2.9919999999999999E-2</v>
      </c>
      <c r="Y68">
        <v>1.3644000000000001</v>
      </c>
      <c r="Z68">
        <v>25.181840000000001</v>
      </c>
      <c r="AA68">
        <v>12.2332</v>
      </c>
      <c r="AB68">
        <v>-1.37188</v>
      </c>
      <c r="AD68" s="23">
        <v>65</v>
      </c>
      <c r="AE68" s="26" t="s">
        <v>683</v>
      </c>
      <c r="AF68" s="23">
        <v>5.3620000000000001E-2</v>
      </c>
      <c r="AG68" s="23">
        <v>0.37989000000000001</v>
      </c>
      <c r="AH68" s="23">
        <v>3.1140000000000001E-2</v>
      </c>
      <c r="AI68" s="23">
        <v>1.38544</v>
      </c>
      <c r="AJ68" s="23">
        <v>30.611550000000001</v>
      </c>
      <c r="AK68" s="23">
        <v>13.783160000000001</v>
      </c>
      <c r="AL68" s="23">
        <v>-1.30061</v>
      </c>
      <c r="AM68" s="25">
        <v>1.2754812500000001</v>
      </c>
      <c r="AN68" s="25">
        <v>0.37915164008540986</v>
      </c>
      <c r="AO68" s="25">
        <v>0.18466534729066669</v>
      </c>
      <c r="AP68" s="25">
        <v>8.4144995205750001E-2</v>
      </c>
      <c r="AQ68" s="24">
        <v>1.6452481537736641</v>
      </c>
      <c r="AR68" s="23">
        <v>-99</v>
      </c>
    </row>
    <row r="69" spans="1:44" x14ac:dyDescent="0.25">
      <c r="A69" s="4">
        <v>21</v>
      </c>
      <c r="B69">
        <v>30</v>
      </c>
      <c r="C69" s="16">
        <v>50</v>
      </c>
      <c r="D69">
        <v>20</v>
      </c>
      <c r="E69" s="3">
        <v>26</v>
      </c>
      <c r="F69" s="3">
        <f>1.8*E69+32</f>
        <v>78.800000000000011</v>
      </c>
      <c r="G69" s="3">
        <v>15</v>
      </c>
      <c r="H69" s="3">
        <f>IF(F69&gt;68,G69+(F69-68)*0.2,G216-(68-F69)*0.2)</f>
        <v>17.160000000000004</v>
      </c>
      <c r="I69" s="3">
        <v>23</v>
      </c>
      <c r="J69" s="3">
        <f>1.8*I69+32</f>
        <v>73.400000000000006</v>
      </c>
      <c r="K69" s="3">
        <v>7</v>
      </c>
      <c r="L69" s="3">
        <f>IF(J69&gt;68,K69+(J69-68)*0.2,K69-(68-J69)*0.2)</f>
        <v>8.0800000000000018</v>
      </c>
      <c r="M69" s="3">
        <f>(C69-H69)/C69*100</f>
        <v>65.679999999999993</v>
      </c>
      <c r="N69" s="3">
        <f>100-(M69+O69)</f>
        <v>18.159999999999997</v>
      </c>
      <c r="O69" s="3">
        <f>L69/C69*100</f>
        <v>16.160000000000004</v>
      </c>
      <c r="P69" s="1" t="s">
        <v>0</v>
      </c>
      <c r="Q69" s="15">
        <v>407576.23599999998</v>
      </c>
      <c r="R69" s="15">
        <v>3659870</v>
      </c>
      <c r="T69">
        <v>2009033</v>
      </c>
      <c r="U69" t="s">
        <v>682</v>
      </c>
      <c r="V69">
        <v>5.289E-2</v>
      </c>
      <c r="W69">
        <v>0.37537999999999999</v>
      </c>
      <c r="X69">
        <v>3.1559999999999998E-2</v>
      </c>
      <c r="Y69">
        <v>1.58256</v>
      </c>
      <c r="Z69">
        <v>64.674340000000001</v>
      </c>
      <c r="AA69">
        <v>16.726980000000001</v>
      </c>
      <c r="AB69">
        <v>-1.0106599999999999</v>
      </c>
      <c r="AD69" s="23">
        <v>66</v>
      </c>
      <c r="AE69" s="26" t="s">
        <v>681</v>
      </c>
      <c r="AF69" s="23">
        <v>6.336E-2</v>
      </c>
      <c r="AG69" s="23">
        <v>0.38857000000000003</v>
      </c>
      <c r="AH69" s="23">
        <v>2.545E-2</v>
      </c>
      <c r="AI69" s="23">
        <v>1.34094</v>
      </c>
      <c r="AJ69" s="23">
        <v>15.39457</v>
      </c>
      <c r="AK69" s="23">
        <v>9.0712299999999999</v>
      </c>
      <c r="AL69" s="23">
        <v>-1.37595</v>
      </c>
      <c r="AM69" s="25">
        <v>0.64144041666666662</v>
      </c>
      <c r="AN69" s="25">
        <v>0.3879707900070084</v>
      </c>
      <c r="AO69" s="25">
        <v>0.21810316476143671</v>
      </c>
      <c r="AP69" s="25">
        <v>0.10620439749152069</v>
      </c>
      <c r="AQ69" s="24">
        <v>1.6218774064814276</v>
      </c>
      <c r="AR69" s="23">
        <v>-99</v>
      </c>
    </row>
    <row r="70" spans="1:44" x14ac:dyDescent="0.25">
      <c r="A70" s="4">
        <v>21</v>
      </c>
      <c r="B70">
        <v>60</v>
      </c>
      <c r="C70" s="16">
        <v>50</v>
      </c>
      <c r="D70">
        <v>20</v>
      </c>
      <c r="E70" s="3">
        <v>26</v>
      </c>
      <c r="F70" s="3">
        <f>1.8*E70+32</f>
        <v>78.800000000000011</v>
      </c>
      <c r="G70" s="3">
        <v>22</v>
      </c>
      <c r="H70" s="3">
        <f>IF(F70&gt;68,G70+(F70-68)*0.2,G217-(68-F70)*0.2)</f>
        <v>24.160000000000004</v>
      </c>
      <c r="I70" s="3">
        <v>23</v>
      </c>
      <c r="J70" s="3">
        <f>1.8*I70+32</f>
        <v>73.400000000000006</v>
      </c>
      <c r="K70" s="3">
        <v>7</v>
      </c>
      <c r="L70" s="3">
        <f>IF(J70&gt;68,K70+(J70-68)*0.2,K70-(68-J70)*0.2)</f>
        <v>8.0800000000000018</v>
      </c>
      <c r="M70" s="3">
        <f>(C70-H70)/C70*100</f>
        <v>51.679999999999993</v>
      </c>
      <c r="N70" s="3">
        <f>100-(M70+O70)</f>
        <v>32.159999999999997</v>
      </c>
      <c r="O70" s="3">
        <f>L70/C70*100</f>
        <v>16.160000000000004</v>
      </c>
      <c r="P70" s="1" t="s">
        <v>0</v>
      </c>
      <c r="Q70" s="15">
        <v>407576.23599999998</v>
      </c>
      <c r="R70" s="15">
        <v>3659870</v>
      </c>
      <c r="T70">
        <v>2009033</v>
      </c>
      <c r="U70" t="s">
        <v>680</v>
      </c>
      <c r="V70">
        <v>5.3620000000000001E-2</v>
      </c>
      <c r="W70">
        <v>0.37989000000000001</v>
      </c>
      <c r="X70">
        <v>3.1140000000000001E-2</v>
      </c>
      <c r="Y70">
        <v>1.38544</v>
      </c>
      <c r="Z70">
        <v>30.611550000000001</v>
      </c>
      <c r="AA70">
        <v>13.783160000000001</v>
      </c>
      <c r="AB70">
        <v>-1.30061</v>
      </c>
      <c r="AD70" s="23">
        <v>67</v>
      </c>
      <c r="AE70" s="26" t="s">
        <v>679</v>
      </c>
      <c r="AF70" s="23">
        <v>6.5740000000000007E-2</v>
      </c>
      <c r="AG70" s="23">
        <v>0.38658999999999999</v>
      </c>
      <c r="AH70" s="23">
        <v>2.6460000000000001E-2</v>
      </c>
      <c r="AI70" s="23">
        <v>1.3202199999999999</v>
      </c>
      <c r="AJ70" s="23">
        <v>14.08291</v>
      </c>
      <c r="AK70" s="23">
        <v>8.8911700000000007</v>
      </c>
      <c r="AL70" s="23">
        <v>-1.5383899999999999</v>
      </c>
      <c r="AM70" s="25">
        <v>0.58678791666666663</v>
      </c>
      <c r="AN70" s="25">
        <v>0.38594974561725026</v>
      </c>
      <c r="AO70" s="25">
        <v>0.22346110031387656</v>
      </c>
      <c r="AP70" s="25">
        <v>0.11295862401453365</v>
      </c>
      <c r="AQ70" s="24">
        <v>1.6272331741142867</v>
      </c>
      <c r="AR70" s="23">
        <v>-99</v>
      </c>
    </row>
    <row r="71" spans="1:44" x14ac:dyDescent="0.25">
      <c r="A71" s="4">
        <v>21</v>
      </c>
      <c r="B71">
        <v>90</v>
      </c>
      <c r="C71" s="16">
        <v>50</v>
      </c>
      <c r="D71">
        <v>20</v>
      </c>
      <c r="E71" s="3">
        <v>25</v>
      </c>
      <c r="F71" s="3">
        <f>1.8*E71+32</f>
        <v>77</v>
      </c>
      <c r="G71" s="3">
        <v>23</v>
      </c>
      <c r="H71" s="3">
        <f>IF(F71&gt;68,G71+(F71-68)*0.2,G218-(68-F71)*0.2)</f>
        <v>24.8</v>
      </c>
      <c r="I71" s="3">
        <v>23</v>
      </c>
      <c r="J71" s="3">
        <f>1.8*I71+32</f>
        <v>73.400000000000006</v>
      </c>
      <c r="K71" s="3">
        <v>7</v>
      </c>
      <c r="L71" s="3">
        <f>IF(J71&gt;68,K71+(J71-68)*0.2,K71-(68-J71)*0.2)</f>
        <v>8.0800000000000018</v>
      </c>
      <c r="M71" s="3">
        <f>(C71-H71)/C71*100</f>
        <v>50.4</v>
      </c>
      <c r="N71" s="3">
        <f>100-(M71+O71)</f>
        <v>33.44</v>
      </c>
      <c r="O71" s="3">
        <f>L71/C71*100</f>
        <v>16.160000000000004</v>
      </c>
      <c r="P71" s="1" t="s">
        <v>0</v>
      </c>
      <c r="Q71" s="15">
        <v>407576.23599999998</v>
      </c>
      <c r="R71" s="15">
        <v>3659870</v>
      </c>
      <c r="T71">
        <v>2009033</v>
      </c>
      <c r="U71" t="s">
        <v>678</v>
      </c>
      <c r="V71">
        <v>5.3620000000000001E-2</v>
      </c>
      <c r="W71">
        <v>0.37989000000000001</v>
      </c>
      <c r="X71">
        <v>3.1140000000000001E-2</v>
      </c>
      <c r="Y71">
        <v>1.38544</v>
      </c>
      <c r="Z71">
        <v>30.611550000000001</v>
      </c>
      <c r="AA71">
        <v>13.783160000000001</v>
      </c>
      <c r="AB71">
        <v>-1.30061</v>
      </c>
      <c r="AD71" s="23">
        <v>68</v>
      </c>
      <c r="AE71" s="26" t="s">
        <v>677</v>
      </c>
      <c r="AF71" s="23">
        <v>5.6939999999999998E-2</v>
      </c>
      <c r="AG71" s="23">
        <v>0.38186999999999999</v>
      </c>
      <c r="AH71" s="23">
        <v>2.9180000000000001E-2</v>
      </c>
      <c r="AI71" s="23">
        <v>1.3579600000000001</v>
      </c>
      <c r="AJ71" s="23">
        <v>23.455960000000001</v>
      </c>
      <c r="AK71" s="23">
        <v>11.79224</v>
      </c>
      <c r="AL71" s="23">
        <v>-1.37296</v>
      </c>
      <c r="AM71" s="25">
        <v>0.97733166666666671</v>
      </c>
      <c r="AN71" s="25">
        <v>0.38116832957234387</v>
      </c>
      <c r="AO71" s="25">
        <v>0.19923473882167586</v>
      </c>
      <c r="AP71" s="25">
        <v>9.3780422421300677E-2</v>
      </c>
      <c r="AQ71" s="24">
        <v>1.6399039266332889</v>
      </c>
      <c r="AR71" s="23">
        <v>-99</v>
      </c>
    </row>
    <row r="72" spans="1:44" x14ac:dyDescent="0.25">
      <c r="A72" s="4">
        <v>21</v>
      </c>
      <c r="B72">
        <v>120</v>
      </c>
      <c r="C72" s="16">
        <v>50</v>
      </c>
      <c r="D72">
        <v>20</v>
      </c>
      <c r="E72" s="3">
        <v>26</v>
      </c>
      <c r="F72" s="3">
        <f>1.8*E72+32</f>
        <v>78.800000000000011</v>
      </c>
      <c r="G72" s="3">
        <v>16</v>
      </c>
      <c r="H72" s="3">
        <f>IF(F72&gt;68,G72+(F72-68)*0.2,G220-(68-F72)*0.2)</f>
        <v>18.160000000000004</v>
      </c>
      <c r="I72" s="3">
        <v>23</v>
      </c>
      <c r="J72" s="3">
        <f>1.8*I72+32</f>
        <v>73.400000000000006</v>
      </c>
      <c r="K72" s="3">
        <v>10</v>
      </c>
      <c r="L72" s="3">
        <f>IF(J72&gt;68,K72+(J72-68)*0.2,K72-(68-J72)*0.2)</f>
        <v>11.080000000000002</v>
      </c>
      <c r="M72" s="3">
        <f>(C72-H72)/C72*100</f>
        <v>63.679999999999993</v>
      </c>
      <c r="N72" s="3">
        <f>100-(M72+O72)</f>
        <v>14.159999999999997</v>
      </c>
      <c r="O72" s="3">
        <f>L72/C72*100</f>
        <v>22.160000000000004</v>
      </c>
      <c r="P72" s="1" t="s">
        <v>2</v>
      </c>
      <c r="Q72" s="15">
        <v>407576.23599999998</v>
      </c>
      <c r="R72" s="15">
        <v>3659870</v>
      </c>
      <c r="T72">
        <v>2009033</v>
      </c>
      <c r="U72" t="s">
        <v>676</v>
      </c>
      <c r="V72">
        <v>6.336E-2</v>
      </c>
      <c r="W72">
        <v>0.38857000000000003</v>
      </c>
      <c r="X72">
        <v>2.545E-2</v>
      </c>
      <c r="Y72">
        <v>1.34094</v>
      </c>
      <c r="Z72">
        <v>15.39457</v>
      </c>
      <c r="AA72">
        <v>9.0712299999999999</v>
      </c>
      <c r="AB72">
        <v>-1.37595</v>
      </c>
      <c r="AD72" s="23">
        <v>69</v>
      </c>
      <c r="AE72" s="26" t="s">
        <v>675</v>
      </c>
      <c r="AF72" s="23">
        <v>5.7520000000000002E-2</v>
      </c>
      <c r="AG72" s="23">
        <v>0.37791999999999998</v>
      </c>
      <c r="AH72" s="23">
        <v>2.98E-2</v>
      </c>
      <c r="AI72" s="23">
        <v>1.36635</v>
      </c>
      <c r="AJ72" s="23">
        <v>24.838539999999998</v>
      </c>
      <c r="AK72" s="23">
        <v>11.929690000000001</v>
      </c>
      <c r="AL72" s="23">
        <v>-1.3793899999999999</v>
      </c>
      <c r="AM72" s="25">
        <v>1.0349391666666665</v>
      </c>
      <c r="AN72" s="25">
        <v>0.37721690373507666</v>
      </c>
      <c r="AO72" s="25">
        <v>0.19417035610238048</v>
      </c>
      <c r="AP72" s="25">
        <v>9.1775041398360069E-2</v>
      </c>
      <c r="AQ72" s="24">
        <v>1.6503752051020468</v>
      </c>
      <c r="AR72" s="23">
        <v>-99</v>
      </c>
    </row>
    <row r="73" spans="1:44" x14ac:dyDescent="0.25">
      <c r="A73" s="4">
        <v>21</v>
      </c>
      <c r="B73">
        <v>150</v>
      </c>
      <c r="C73" s="16">
        <v>50</v>
      </c>
      <c r="D73">
        <v>20</v>
      </c>
      <c r="E73" s="3">
        <v>26</v>
      </c>
      <c r="F73" s="3">
        <f>1.8*E73+32</f>
        <v>78.800000000000011</v>
      </c>
      <c r="G73" s="3">
        <v>17</v>
      </c>
      <c r="H73" s="3">
        <f>IF(F73&gt;68,G73+(F73-68)*0.2,G221-(68-F73)*0.2)</f>
        <v>19.160000000000004</v>
      </c>
      <c r="I73" s="3">
        <v>23</v>
      </c>
      <c r="J73" s="3">
        <f>1.8*I73+32</f>
        <v>73.400000000000006</v>
      </c>
      <c r="K73" s="3">
        <v>9</v>
      </c>
      <c r="L73" s="3">
        <f>IF(J73&gt;68,K73+(J73-68)*0.2,K73-(68-J73)*0.2)</f>
        <v>10.080000000000002</v>
      </c>
      <c r="M73" s="3">
        <f>(C73-H73)/C73*100</f>
        <v>61.679999999999993</v>
      </c>
      <c r="N73" s="3">
        <f>100-(M73+O73)</f>
        <v>18.159999999999997</v>
      </c>
      <c r="O73" s="3">
        <f>L73/C73*100</f>
        <v>20.160000000000004</v>
      </c>
      <c r="P73" s="1" t="s">
        <v>2</v>
      </c>
      <c r="Q73" s="15">
        <v>407576.23599999998</v>
      </c>
      <c r="R73" s="15">
        <v>3659870</v>
      </c>
      <c r="T73">
        <v>2009033</v>
      </c>
      <c r="U73" t="s">
        <v>674</v>
      </c>
      <c r="V73">
        <v>6.5740000000000007E-2</v>
      </c>
      <c r="W73">
        <v>0.38658999999999999</v>
      </c>
      <c r="X73">
        <v>2.6460000000000001E-2</v>
      </c>
      <c r="Y73">
        <v>1.3202199999999999</v>
      </c>
      <c r="Z73">
        <v>14.08291</v>
      </c>
      <c r="AA73">
        <v>8.8911700000000007</v>
      </c>
      <c r="AB73">
        <v>-1.5383899999999999</v>
      </c>
      <c r="AD73" s="23">
        <v>70</v>
      </c>
      <c r="AE73" s="26" t="s">
        <v>673</v>
      </c>
      <c r="AF73" s="23">
        <v>5.7520000000000002E-2</v>
      </c>
      <c r="AG73" s="23">
        <v>0.37791999999999998</v>
      </c>
      <c r="AH73" s="23">
        <v>2.98E-2</v>
      </c>
      <c r="AI73" s="23">
        <v>1.36635</v>
      </c>
      <c r="AJ73" s="23">
        <v>24.838539999999998</v>
      </c>
      <c r="AK73" s="23">
        <v>11.929690000000001</v>
      </c>
      <c r="AL73" s="23">
        <v>-1.3793899999999999</v>
      </c>
      <c r="AM73" s="25">
        <v>1.0349391666666665</v>
      </c>
      <c r="AN73" s="25">
        <v>0.37721690373507666</v>
      </c>
      <c r="AO73" s="25">
        <v>0.19417035610238048</v>
      </c>
      <c r="AP73" s="25">
        <v>9.1775041398360069E-2</v>
      </c>
      <c r="AQ73" s="24">
        <v>1.6503752051020468</v>
      </c>
      <c r="AR73" s="23">
        <v>-99</v>
      </c>
    </row>
    <row r="74" spans="1:44" x14ac:dyDescent="0.25">
      <c r="A74" s="4">
        <v>21</v>
      </c>
      <c r="B74">
        <v>180</v>
      </c>
      <c r="C74" s="16">
        <v>50</v>
      </c>
      <c r="D74">
        <v>20</v>
      </c>
      <c r="E74" s="3">
        <v>26</v>
      </c>
      <c r="F74" s="3">
        <f>1.8*E74+32</f>
        <v>78.800000000000011</v>
      </c>
      <c r="G74" s="3">
        <v>20</v>
      </c>
      <c r="H74" s="3">
        <f>IF(F74&gt;68,G74+(F74-68)*0.2,G222-(68-F74)*0.2)</f>
        <v>22.160000000000004</v>
      </c>
      <c r="I74" s="3">
        <v>23</v>
      </c>
      <c r="J74" s="3">
        <f>1.8*I74+32</f>
        <v>73.400000000000006</v>
      </c>
      <c r="K74" s="3">
        <v>10</v>
      </c>
      <c r="L74" s="3">
        <f>IF(J74&gt;68,K74+(J74-68)*0.2,K74-(68-J74)*0.2)</f>
        <v>11.080000000000002</v>
      </c>
      <c r="M74" s="3">
        <f>(C74-H74)/C74*100</f>
        <v>55.679999999999993</v>
      </c>
      <c r="N74" s="3">
        <f>100-(M74+O74)</f>
        <v>22.159999999999997</v>
      </c>
      <c r="O74" s="3">
        <f>L74/C74*100</f>
        <v>22.160000000000004</v>
      </c>
      <c r="P74" s="1" t="s">
        <v>2</v>
      </c>
      <c r="Q74" s="15">
        <v>407576.23599999998</v>
      </c>
      <c r="R74" s="15">
        <v>3659870</v>
      </c>
      <c r="T74">
        <v>2009033</v>
      </c>
      <c r="U74" t="s">
        <v>672</v>
      </c>
      <c r="V74">
        <v>5.6939999999999998E-2</v>
      </c>
      <c r="W74">
        <v>0.38186999999999999</v>
      </c>
      <c r="X74">
        <v>2.9180000000000001E-2</v>
      </c>
      <c r="Y74">
        <v>1.3579600000000001</v>
      </c>
      <c r="Z74">
        <v>23.455960000000001</v>
      </c>
      <c r="AA74">
        <v>11.79224</v>
      </c>
      <c r="AB74">
        <v>-1.37296</v>
      </c>
      <c r="AD74" s="23">
        <v>71</v>
      </c>
      <c r="AE74" s="26" t="s">
        <v>671</v>
      </c>
      <c r="AF74" s="23">
        <v>6.3149999999999998E-2</v>
      </c>
      <c r="AG74" s="23">
        <v>0.38699</v>
      </c>
      <c r="AH74" s="23">
        <v>2.6210000000000001E-2</v>
      </c>
      <c r="AI74" s="23">
        <v>1.3366</v>
      </c>
      <c r="AJ74" s="23">
        <v>15.86717</v>
      </c>
      <c r="AK74" s="23">
        <v>9.3372899999999994</v>
      </c>
      <c r="AL74" s="23">
        <v>-1.4222699999999999</v>
      </c>
      <c r="AM74" s="25">
        <v>0.66113208333333329</v>
      </c>
      <c r="AN74" s="25">
        <v>0.3863655727627095</v>
      </c>
      <c r="AO74" s="25">
        <v>0.21722689176216192</v>
      </c>
      <c r="AP74" s="25">
        <v>0.10649758831130465</v>
      </c>
      <c r="AQ74" s="24">
        <v>1.6261312321788197</v>
      </c>
      <c r="AR74" s="23">
        <v>-99</v>
      </c>
    </row>
    <row r="75" spans="1:44" x14ac:dyDescent="0.25">
      <c r="T75">
        <v>2009033</v>
      </c>
      <c r="U75" t="s">
        <v>670</v>
      </c>
      <c r="V75">
        <v>5.7520000000000002E-2</v>
      </c>
      <c r="W75">
        <v>0.37791999999999998</v>
      </c>
      <c r="X75">
        <v>2.98E-2</v>
      </c>
      <c r="Y75">
        <v>1.36635</v>
      </c>
      <c r="Z75">
        <v>24.838539999999998</v>
      </c>
      <c r="AA75">
        <v>11.929690000000001</v>
      </c>
      <c r="AB75">
        <v>-1.3793899999999999</v>
      </c>
      <c r="AD75" s="23">
        <v>72</v>
      </c>
      <c r="AE75" s="26" t="s">
        <v>669</v>
      </c>
      <c r="AF75" s="23">
        <v>6.9389999999999993E-2</v>
      </c>
      <c r="AG75" s="23">
        <v>0.39512999999999998</v>
      </c>
      <c r="AH75" s="23">
        <v>2.368E-2</v>
      </c>
      <c r="AI75" s="23">
        <v>1.3271999999999999</v>
      </c>
      <c r="AJ75" s="23">
        <v>10.902060000000001</v>
      </c>
      <c r="AK75" s="23">
        <v>7.61233</v>
      </c>
      <c r="AL75" s="23">
        <v>-1.4157200000000001</v>
      </c>
      <c r="AM75" s="25">
        <v>0.4542525</v>
      </c>
      <c r="AN75" s="25">
        <v>0.3945736479034761</v>
      </c>
      <c r="AO75" s="25">
        <v>0.23259547836165417</v>
      </c>
      <c r="AP75" s="25">
        <v>0.11706736286977722</v>
      </c>
      <c r="AQ75" s="24">
        <v>1.6043798330557884</v>
      </c>
      <c r="AR75" s="23">
        <v>-99</v>
      </c>
    </row>
    <row r="76" spans="1:44" ht="51.75" x14ac:dyDescent="0.25">
      <c r="A76" s="14" t="s">
        <v>21</v>
      </c>
      <c r="B76" s="9" t="s">
        <v>20</v>
      </c>
      <c r="C76" s="13" t="s">
        <v>19</v>
      </c>
      <c r="D76" s="12" t="s">
        <v>18</v>
      </c>
      <c r="E76" s="11" t="s">
        <v>17</v>
      </c>
      <c r="F76" s="11" t="s">
        <v>16</v>
      </c>
      <c r="G76" s="11" t="s">
        <v>15</v>
      </c>
      <c r="H76" s="11" t="s">
        <v>14</v>
      </c>
      <c r="I76" s="11" t="s">
        <v>13</v>
      </c>
      <c r="J76" s="11" t="s">
        <v>12</v>
      </c>
      <c r="K76" s="11" t="s">
        <v>11</v>
      </c>
      <c r="L76" s="11" t="s">
        <v>10</v>
      </c>
      <c r="M76" s="10" t="s">
        <v>9</v>
      </c>
      <c r="N76" s="10" t="s">
        <v>8</v>
      </c>
      <c r="O76" s="10" t="s">
        <v>7</v>
      </c>
      <c r="P76" s="9" t="s">
        <v>6</v>
      </c>
      <c r="Q76" s="19" t="s">
        <v>5</v>
      </c>
      <c r="R76" s="19"/>
      <c r="T76">
        <v>2009033</v>
      </c>
      <c r="U76" t="s">
        <v>668</v>
      </c>
      <c r="V76">
        <v>5.7520000000000002E-2</v>
      </c>
      <c r="W76">
        <v>0.37791999999999998</v>
      </c>
      <c r="X76">
        <v>2.98E-2</v>
      </c>
      <c r="Y76">
        <v>1.36635</v>
      </c>
      <c r="Z76">
        <v>24.838539999999998</v>
      </c>
      <c r="AA76">
        <v>11.929690000000001</v>
      </c>
      <c r="AB76">
        <v>-1.3793899999999999</v>
      </c>
      <c r="AD76" s="23">
        <v>73</v>
      </c>
      <c r="AE76" s="26" t="s">
        <v>667</v>
      </c>
      <c r="AF76" s="23">
        <v>6.5740000000000007E-2</v>
      </c>
      <c r="AG76" s="23">
        <v>0.38658999999999999</v>
      </c>
      <c r="AH76" s="23">
        <v>2.6460000000000001E-2</v>
      </c>
      <c r="AI76" s="23">
        <v>1.3202199999999999</v>
      </c>
      <c r="AJ76" s="23">
        <v>14.08291</v>
      </c>
      <c r="AK76" s="23">
        <v>8.8911700000000007</v>
      </c>
      <c r="AL76" s="23">
        <v>-1.5383899999999999</v>
      </c>
      <c r="AM76" s="25">
        <v>0.58678791666666663</v>
      </c>
      <c r="AN76" s="25">
        <v>0.38594974561725026</v>
      </c>
      <c r="AO76" s="25">
        <v>0.22346110031387656</v>
      </c>
      <c r="AP76" s="25">
        <v>0.11295862401453365</v>
      </c>
      <c r="AQ76" s="24">
        <v>1.6272331741142867</v>
      </c>
      <c r="AR76" s="23">
        <v>-99</v>
      </c>
    </row>
    <row r="77" spans="1:44" x14ac:dyDescent="0.25"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"/>
      <c r="Q77" s="5" t="s">
        <v>4</v>
      </c>
      <c r="R77" s="5" t="s">
        <v>3</v>
      </c>
      <c r="T77">
        <v>2009033</v>
      </c>
      <c r="U77" t="s">
        <v>666</v>
      </c>
      <c r="V77">
        <v>6.3149999999999998E-2</v>
      </c>
      <c r="W77">
        <v>0.38699</v>
      </c>
      <c r="X77">
        <v>2.6210000000000001E-2</v>
      </c>
      <c r="Y77">
        <v>1.3366</v>
      </c>
      <c r="Z77">
        <v>15.86717</v>
      </c>
      <c r="AA77">
        <v>9.3372899999999994</v>
      </c>
      <c r="AB77">
        <v>-1.4222699999999999</v>
      </c>
      <c r="AD77" s="23">
        <v>74</v>
      </c>
      <c r="AE77" s="26" t="s">
        <v>665</v>
      </c>
      <c r="AF77" s="23">
        <v>5.1639999999999998E-2</v>
      </c>
      <c r="AG77" s="23">
        <v>0.37939000000000001</v>
      </c>
      <c r="AH77" s="23">
        <v>3.2329999999999998E-2</v>
      </c>
      <c r="AI77" s="23">
        <v>1.4133199999999999</v>
      </c>
      <c r="AJ77" s="23">
        <v>37.030670000000001</v>
      </c>
      <c r="AK77" s="23">
        <v>15.34488</v>
      </c>
      <c r="AL77" s="23">
        <v>-1.2324900000000001</v>
      </c>
      <c r="AM77" s="25">
        <v>1.5429445833333333</v>
      </c>
      <c r="AN77" s="25">
        <v>0.37864355908320335</v>
      </c>
      <c r="AO77" s="25">
        <v>0.17315588238155258</v>
      </c>
      <c r="AP77" s="25">
        <v>7.7077246913698841E-2</v>
      </c>
      <c r="AQ77" s="24">
        <v>1.6465945684295111</v>
      </c>
      <c r="AR77" s="23">
        <v>-99</v>
      </c>
    </row>
    <row r="78" spans="1:44" x14ac:dyDescent="0.25">
      <c r="A78" s="4">
        <v>22</v>
      </c>
      <c r="B78">
        <v>30</v>
      </c>
      <c r="C78">
        <v>50</v>
      </c>
      <c r="D78">
        <v>20</v>
      </c>
      <c r="E78" s="3">
        <v>26</v>
      </c>
      <c r="F78" s="3">
        <f>1.8*E78+32</f>
        <v>78.800000000000011</v>
      </c>
      <c r="G78" s="3">
        <v>16</v>
      </c>
      <c r="H78" s="3">
        <f>IF(F78&gt;68,G78+(F78-68)*0.2,G226-(68-F78)*0.2)</f>
        <v>18.160000000000004</v>
      </c>
      <c r="I78" s="3">
        <v>24</v>
      </c>
      <c r="J78" s="3">
        <f>1.8*I78+32</f>
        <v>75.2</v>
      </c>
      <c r="K78" s="3">
        <v>7</v>
      </c>
      <c r="L78" s="3">
        <f>IF(J78&gt;67,K78+(J78-67)*0.2,K78-(67-J78)*0.2)</f>
        <v>8.64</v>
      </c>
      <c r="M78" s="3">
        <f>(C78-H78)/C78*100</f>
        <v>63.679999999999993</v>
      </c>
      <c r="N78" s="3">
        <f>100-(M78+O78)</f>
        <v>19.040000000000006</v>
      </c>
      <c r="O78" s="3">
        <f>L78/C78*100</f>
        <v>17.28</v>
      </c>
      <c r="P78" s="1" t="s">
        <v>0</v>
      </c>
      <c r="Q78" s="15">
        <v>407576.23599999998</v>
      </c>
      <c r="R78" s="15">
        <v>3659896.5</v>
      </c>
      <c r="T78">
        <v>2009033</v>
      </c>
      <c r="U78" t="s">
        <v>664</v>
      </c>
      <c r="V78">
        <v>6.9389999999999993E-2</v>
      </c>
      <c r="W78">
        <v>0.39512999999999998</v>
      </c>
      <c r="X78">
        <v>2.368E-2</v>
      </c>
      <c r="Y78">
        <v>1.3271999999999999</v>
      </c>
      <c r="Z78">
        <v>10.902060000000001</v>
      </c>
      <c r="AA78">
        <v>7.61233</v>
      </c>
      <c r="AB78">
        <v>-1.4157200000000001</v>
      </c>
      <c r="AD78" s="23">
        <v>75</v>
      </c>
      <c r="AE78" s="26" t="s">
        <v>663</v>
      </c>
      <c r="AF78" s="23">
        <v>5.4390000000000001E-2</v>
      </c>
      <c r="AG78" s="23">
        <v>0.37925999999999999</v>
      </c>
      <c r="AH78" s="23">
        <v>3.0949999999999998E-2</v>
      </c>
      <c r="AI78" s="23">
        <v>1.3841000000000001</v>
      </c>
      <c r="AJ78" s="23">
        <v>29.84646</v>
      </c>
      <c r="AK78" s="23">
        <v>13.461930000000001</v>
      </c>
      <c r="AL78" s="23">
        <v>-1.3107899999999999</v>
      </c>
      <c r="AM78" s="25">
        <v>1.2436024999999999</v>
      </c>
      <c r="AN78" s="25">
        <v>0.3785294360145246</v>
      </c>
      <c r="AO78" s="25">
        <v>0.18557820222970331</v>
      </c>
      <c r="AP78" s="25">
        <v>8.5107484919378279E-2</v>
      </c>
      <c r="AQ78" s="24">
        <v>1.6468969945615097</v>
      </c>
      <c r="AR78" s="23">
        <v>-99</v>
      </c>
    </row>
    <row r="79" spans="1:44" x14ac:dyDescent="0.25">
      <c r="A79" s="4">
        <v>22</v>
      </c>
      <c r="B79">
        <v>60</v>
      </c>
      <c r="C79">
        <v>50</v>
      </c>
      <c r="D79">
        <v>20</v>
      </c>
      <c r="E79" s="3">
        <v>26</v>
      </c>
      <c r="F79" s="3">
        <f>1.8*E79+32</f>
        <v>78.800000000000011</v>
      </c>
      <c r="G79" s="3">
        <v>15</v>
      </c>
      <c r="H79" s="3">
        <f>IF(F79&gt;68,G79+(F79-68)*0.2,G227-(68-F79)*0.2)</f>
        <v>17.160000000000004</v>
      </c>
      <c r="I79" s="3">
        <v>24</v>
      </c>
      <c r="J79" s="3">
        <f>1.8*I79+32</f>
        <v>75.2</v>
      </c>
      <c r="K79" s="3">
        <v>8</v>
      </c>
      <c r="L79" s="3">
        <f>IF(J79&gt;67,K79+(J79-67)*0.2,K79-(67-J79)*0.2)</f>
        <v>9.64</v>
      </c>
      <c r="M79" s="3">
        <f>(C79-H79)/C79*100</f>
        <v>65.679999999999993</v>
      </c>
      <c r="N79" s="3">
        <f>100-(M79+O79)</f>
        <v>15.040000000000006</v>
      </c>
      <c r="O79" s="3">
        <f>L79/C79*100</f>
        <v>19.28</v>
      </c>
      <c r="P79" s="1" t="s">
        <v>0</v>
      </c>
      <c r="Q79" s="15">
        <v>407576.23599999998</v>
      </c>
      <c r="R79" s="15">
        <v>3659896.5</v>
      </c>
      <c r="T79">
        <v>2009033</v>
      </c>
      <c r="U79" t="s">
        <v>662</v>
      </c>
      <c r="V79">
        <v>6.5740000000000007E-2</v>
      </c>
      <c r="W79">
        <v>0.38658999999999999</v>
      </c>
      <c r="X79">
        <v>2.6460000000000001E-2</v>
      </c>
      <c r="Y79">
        <v>1.3202199999999999</v>
      </c>
      <c r="Z79">
        <v>14.08291</v>
      </c>
      <c r="AA79">
        <v>8.8911700000000007</v>
      </c>
      <c r="AB79">
        <v>-1.5383899999999999</v>
      </c>
      <c r="AD79" s="23">
        <v>76</v>
      </c>
      <c r="AE79" s="26" t="s">
        <v>661</v>
      </c>
      <c r="AF79" s="23">
        <v>5.7520000000000002E-2</v>
      </c>
      <c r="AG79" s="23">
        <v>0.37791999999999998</v>
      </c>
      <c r="AH79" s="23">
        <v>2.98E-2</v>
      </c>
      <c r="AI79" s="23">
        <v>1.36635</v>
      </c>
      <c r="AJ79" s="23">
        <v>24.838539999999998</v>
      </c>
      <c r="AK79" s="23">
        <v>11.929690000000001</v>
      </c>
      <c r="AL79" s="23">
        <v>-1.3793899999999999</v>
      </c>
      <c r="AM79" s="25">
        <v>1.0349391666666665</v>
      </c>
      <c r="AN79" s="25">
        <v>0.37721690373507666</v>
      </c>
      <c r="AO79" s="25">
        <v>0.19417035610238048</v>
      </c>
      <c r="AP79" s="25">
        <v>9.1775041398360069E-2</v>
      </c>
      <c r="AQ79" s="24">
        <v>1.6503752051020468</v>
      </c>
      <c r="AR79" s="23">
        <v>-99</v>
      </c>
    </row>
    <row r="80" spans="1:44" x14ac:dyDescent="0.25">
      <c r="A80" s="4">
        <v>22</v>
      </c>
      <c r="B80">
        <v>90</v>
      </c>
      <c r="C80">
        <v>50</v>
      </c>
      <c r="D80">
        <v>20</v>
      </c>
      <c r="E80" s="3">
        <v>25</v>
      </c>
      <c r="F80" s="3">
        <f>1.8*E80+32</f>
        <v>77</v>
      </c>
      <c r="G80" s="3">
        <v>15</v>
      </c>
      <c r="H80" s="3">
        <f>IF(F80&gt;68,G80+(F80-68)*0.2,G228-(68-F80)*0.2)</f>
        <v>16.8</v>
      </c>
      <c r="I80" s="3">
        <v>23.5</v>
      </c>
      <c r="J80" s="3">
        <f>1.8*I80+32</f>
        <v>74.300000000000011</v>
      </c>
      <c r="K80" s="3">
        <v>6</v>
      </c>
      <c r="L80" s="3">
        <f>IF(J80&gt;67,K80+(J80-67)*0.2,K80-(67-J80)*0.2)</f>
        <v>7.4600000000000026</v>
      </c>
      <c r="M80" s="3">
        <f>(C80-H80)/C80*100</f>
        <v>66.400000000000006</v>
      </c>
      <c r="N80" s="3">
        <f>100-(M80+O80)</f>
        <v>18.679999999999993</v>
      </c>
      <c r="O80" s="3">
        <f>L80/C80*100</f>
        <v>14.920000000000005</v>
      </c>
      <c r="P80" s="1" t="s">
        <v>0</v>
      </c>
      <c r="Q80" s="15">
        <v>407576.23599999998</v>
      </c>
      <c r="R80" s="15">
        <v>3659896.5</v>
      </c>
      <c r="T80">
        <v>2009033</v>
      </c>
      <c r="U80" t="s">
        <v>660</v>
      </c>
      <c r="V80">
        <v>5.1639999999999998E-2</v>
      </c>
      <c r="W80">
        <v>0.37939000000000001</v>
      </c>
      <c r="X80">
        <v>3.2329999999999998E-2</v>
      </c>
      <c r="Y80">
        <v>1.4133199999999999</v>
      </c>
      <c r="Z80">
        <v>37.030670000000001</v>
      </c>
      <c r="AA80">
        <v>15.34488</v>
      </c>
      <c r="AB80">
        <v>-1.2324900000000001</v>
      </c>
      <c r="AD80" s="23">
        <v>77</v>
      </c>
      <c r="AE80" s="26" t="s">
        <v>659</v>
      </c>
      <c r="AF80" s="23">
        <v>6.3490000000000005E-2</v>
      </c>
      <c r="AG80" s="23">
        <v>0.38945999999999997</v>
      </c>
      <c r="AH80" s="23">
        <v>2.4989999999999998E-2</v>
      </c>
      <c r="AI80" s="23">
        <v>1.34368</v>
      </c>
      <c r="AJ80" s="23">
        <v>15.109859999999999</v>
      </c>
      <c r="AK80" s="23">
        <v>8.9015000000000004</v>
      </c>
      <c r="AL80" s="23">
        <v>-1.34765</v>
      </c>
      <c r="AM80" s="25">
        <v>0.62957750000000001</v>
      </c>
      <c r="AN80" s="25">
        <v>0.38887623937194155</v>
      </c>
      <c r="AO80" s="25">
        <v>0.21860557702765476</v>
      </c>
      <c r="AP80" s="25">
        <v>0.10600631673080248</v>
      </c>
      <c r="AQ80" s="24">
        <v>1.6194779656643548</v>
      </c>
      <c r="AR80" s="23">
        <v>-99</v>
      </c>
    </row>
    <row r="81" spans="1:44" x14ac:dyDescent="0.25">
      <c r="A81" s="4">
        <v>22</v>
      </c>
      <c r="B81">
        <v>120</v>
      </c>
      <c r="C81">
        <v>50</v>
      </c>
      <c r="D81">
        <v>20</v>
      </c>
      <c r="E81" s="3">
        <v>25</v>
      </c>
      <c r="F81" s="3">
        <f>1.8*E81+32</f>
        <v>77</v>
      </c>
      <c r="G81" s="3">
        <v>21</v>
      </c>
      <c r="H81" s="3">
        <f>IF(F81&gt;68,G81+(F81-68)*0.2,G229-(68-F81)*0.2)</f>
        <v>22.8</v>
      </c>
      <c r="I81" s="3">
        <v>23.5</v>
      </c>
      <c r="J81" s="3">
        <f>1.8*I81+32</f>
        <v>74.300000000000011</v>
      </c>
      <c r="K81" s="3">
        <v>13</v>
      </c>
      <c r="L81" s="3">
        <f>IF(J81&gt;67,K81+(J81-67)*0.2,K81-(67-J81)*0.2)</f>
        <v>14.460000000000003</v>
      </c>
      <c r="M81" s="3">
        <f>(C81-H81)/C81*100</f>
        <v>54.400000000000006</v>
      </c>
      <c r="N81" s="3">
        <f>100-(M81+O81)</f>
        <v>16.679999999999993</v>
      </c>
      <c r="O81" s="3">
        <f>L81/C81*100</f>
        <v>28.920000000000005</v>
      </c>
      <c r="P81" s="1" t="s">
        <v>2</v>
      </c>
      <c r="Q81" s="15">
        <v>407576.23599999998</v>
      </c>
      <c r="R81" s="15">
        <v>3659896.5</v>
      </c>
      <c r="T81">
        <v>2009033</v>
      </c>
      <c r="U81" t="s">
        <v>658</v>
      </c>
      <c r="V81">
        <v>5.4390000000000001E-2</v>
      </c>
      <c r="W81">
        <v>0.37925999999999999</v>
      </c>
      <c r="X81">
        <v>3.0949999999999998E-2</v>
      </c>
      <c r="Y81">
        <v>1.3841000000000001</v>
      </c>
      <c r="Z81">
        <v>29.84646</v>
      </c>
      <c r="AA81">
        <v>13.461930000000001</v>
      </c>
      <c r="AB81">
        <v>-1.3107899999999999</v>
      </c>
      <c r="AD81" s="23">
        <v>78</v>
      </c>
      <c r="AE81" s="26" t="s">
        <v>657</v>
      </c>
      <c r="AF81" s="23">
        <v>6.5509999999999999E-2</v>
      </c>
      <c r="AG81" s="23">
        <v>0.38838</v>
      </c>
      <c r="AH81" s="23">
        <v>2.579E-2</v>
      </c>
      <c r="AI81" s="23">
        <v>1.32745</v>
      </c>
      <c r="AJ81" s="23">
        <v>13.98387</v>
      </c>
      <c r="AK81" s="23">
        <v>8.7761999999999993</v>
      </c>
      <c r="AL81" s="23">
        <v>-1.47088</v>
      </c>
      <c r="AM81" s="25">
        <v>0.58266125000000002</v>
      </c>
      <c r="AN81" s="25">
        <v>0.38776292899997206</v>
      </c>
      <c r="AO81" s="25">
        <v>0.22299011144584774</v>
      </c>
      <c r="AP81" s="25">
        <v>0.11139782930163269</v>
      </c>
      <c r="AQ81" s="24">
        <v>1.6224282381500741</v>
      </c>
      <c r="AR81" s="23">
        <v>-99</v>
      </c>
    </row>
    <row r="82" spans="1:44" x14ac:dyDescent="0.25">
      <c r="A82" s="4">
        <v>22</v>
      </c>
      <c r="B82">
        <v>150</v>
      </c>
      <c r="C82">
        <v>50</v>
      </c>
      <c r="D82">
        <v>20</v>
      </c>
      <c r="E82" s="3">
        <v>26</v>
      </c>
      <c r="F82" s="3">
        <f>1.8*E82+32</f>
        <v>78.800000000000011</v>
      </c>
      <c r="G82" s="3">
        <v>17</v>
      </c>
      <c r="H82" s="3">
        <f>IF(F82&gt;68,G82+(F82-68)*0.2,G230-(68-F82)*0.2)</f>
        <v>19.160000000000004</v>
      </c>
      <c r="I82" s="3">
        <v>23.5</v>
      </c>
      <c r="J82" s="3">
        <f>1.8*I82+32</f>
        <v>74.300000000000011</v>
      </c>
      <c r="K82" s="3">
        <v>10</v>
      </c>
      <c r="L82" s="3">
        <f>IF(J82&gt;67,K82+(J82-67)*0.2,K82-(67-J82)*0.2)</f>
        <v>11.460000000000003</v>
      </c>
      <c r="M82" s="3">
        <f>(C82-H82)/C82*100</f>
        <v>61.679999999999993</v>
      </c>
      <c r="N82" s="3">
        <f>100-(M82+O82)</f>
        <v>15.400000000000006</v>
      </c>
      <c r="O82" s="3">
        <f>L82/C82*100</f>
        <v>22.920000000000005</v>
      </c>
      <c r="P82" s="1" t="s">
        <v>2</v>
      </c>
      <c r="Q82" s="15">
        <v>407576.23599999998</v>
      </c>
      <c r="R82" s="15">
        <v>3659896.5</v>
      </c>
      <c r="T82">
        <v>2009033</v>
      </c>
      <c r="U82" t="s">
        <v>656</v>
      </c>
      <c r="V82">
        <v>5.7520000000000002E-2</v>
      </c>
      <c r="W82">
        <v>0.37791999999999998</v>
      </c>
      <c r="X82">
        <v>2.98E-2</v>
      </c>
      <c r="Y82">
        <v>1.36635</v>
      </c>
      <c r="Z82">
        <v>24.838539999999998</v>
      </c>
      <c r="AA82">
        <v>11.929690000000001</v>
      </c>
      <c r="AB82">
        <v>-1.3793899999999999</v>
      </c>
      <c r="AD82" s="23">
        <v>79</v>
      </c>
      <c r="AE82" s="26" t="s">
        <v>655</v>
      </c>
      <c r="AF82" s="23">
        <v>7.3130000000000001E-2</v>
      </c>
      <c r="AG82" s="23">
        <v>0.39563999999999999</v>
      </c>
      <c r="AH82" s="23">
        <v>2.5149999999999999E-2</v>
      </c>
      <c r="AI82" s="23">
        <v>1.2939400000000001</v>
      </c>
      <c r="AJ82" s="23">
        <v>9.9098199999999999</v>
      </c>
      <c r="AK82" s="23">
        <v>7.45791</v>
      </c>
      <c r="AL82" s="23">
        <v>-1.6971000000000001</v>
      </c>
      <c r="AM82" s="25">
        <v>0.41290916666666666</v>
      </c>
      <c r="AN82" s="25">
        <v>0.39501910506572613</v>
      </c>
      <c r="AO82" s="25">
        <v>0.24339598023886072</v>
      </c>
      <c r="AP82" s="25">
        <v>0.12950974049429353</v>
      </c>
      <c r="AQ82" s="24">
        <v>1.6031993715758257</v>
      </c>
      <c r="AR82" s="23">
        <v>-99</v>
      </c>
    </row>
    <row r="83" spans="1:44" x14ac:dyDescent="0.25">
      <c r="A83" s="4">
        <v>22</v>
      </c>
      <c r="B83">
        <v>180</v>
      </c>
      <c r="C83">
        <v>50</v>
      </c>
      <c r="D83">
        <v>20</v>
      </c>
      <c r="E83" s="3">
        <v>26</v>
      </c>
      <c r="F83" s="3">
        <f>1.8*E83+32</f>
        <v>78.800000000000011</v>
      </c>
      <c r="G83" s="3">
        <v>17</v>
      </c>
      <c r="H83" s="3">
        <f>IF(F83&gt;68,G83+(F83-68)*0.2,G231-(68-F83)*0.2)</f>
        <v>19.160000000000004</v>
      </c>
      <c r="I83" s="3">
        <v>23.5</v>
      </c>
      <c r="J83" s="3">
        <f>1.8*I83+32</f>
        <v>74.300000000000011</v>
      </c>
      <c r="K83" s="3">
        <v>8</v>
      </c>
      <c r="L83" s="3">
        <f>IF(J83&gt;67,K83+(J83-67)*0.2,K83-(67-J83)*0.2)</f>
        <v>9.4600000000000026</v>
      </c>
      <c r="M83" s="3">
        <f>(C83-H83)/C83*100</f>
        <v>61.679999999999993</v>
      </c>
      <c r="N83" s="3">
        <f>100-(M83+O83)</f>
        <v>19.400000000000006</v>
      </c>
      <c r="O83" s="3">
        <f>L83/C83*100</f>
        <v>18.920000000000005</v>
      </c>
      <c r="P83" s="1" t="s">
        <v>0</v>
      </c>
      <c r="Q83" s="15">
        <v>407576.23599999998</v>
      </c>
      <c r="R83" s="15">
        <v>3659896.5</v>
      </c>
      <c r="T83">
        <v>2009033</v>
      </c>
      <c r="U83" t="s">
        <v>654</v>
      </c>
      <c r="V83">
        <v>6.3490000000000005E-2</v>
      </c>
      <c r="W83">
        <v>0.38945999999999997</v>
      </c>
      <c r="X83">
        <v>2.4989999999999998E-2</v>
      </c>
      <c r="Y83">
        <v>1.34368</v>
      </c>
      <c r="Z83">
        <v>15.109859999999999</v>
      </c>
      <c r="AA83">
        <v>8.9015000000000004</v>
      </c>
      <c r="AB83">
        <v>-1.34765</v>
      </c>
      <c r="AD83" s="23">
        <v>80</v>
      </c>
      <c r="AE83" s="26" t="s">
        <v>653</v>
      </c>
      <c r="AF83" s="23">
        <v>6.565E-2</v>
      </c>
      <c r="AG83" s="23">
        <v>0.38934999999999997</v>
      </c>
      <c r="AH83" s="23">
        <v>2.5389999999999999E-2</v>
      </c>
      <c r="AI83" s="23">
        <v>1.33012</v>
      </c>
      <c r="AJ83" s="23">
        <v>13.74577</v>
      </c>
      <c r="AK83" s="23">
        <v>8.6467899999999993</v>
      </c>
      <c r="AL83" s="23">
        <v>-1.4429099999999999</v>
      </c>
      <c r="AM83" s="25">
        <v>0.57274041666666664</v>
      </c>
      <c r="AN83" s="25">
        <v>0.38874619912510699</v>
      </c>
      <c r="AO83" s="25">
        <v>0.22339752641297811</v>
      </c>
      <c r="AP83" s="25">
        <v>0.11116393786310688</v>
      </c>
      <c r="AQ83" s="24">
        <v>1.6198225723184665</v>
      </c>
      <c r="AR83" s="23">
        <v>-99</v>
      </c>
    </row>
    <row r="84" spans="1:44" x14ac:dyDescent="0.25">
      <c r="Q84" s="18"/>
      <c r="R84" s="18"/>
      <c r="T84">
        <v>2009033</v>
      </c>
      <c r="U84" t="s">
        <v>652</v>
      </c>
      <c r="V84">
        <v>6.5509999999999999E-2</v>
      </c>
      <c r="W84">
        <v>0.38838</v>
      </c>
      <c r="X84">
        <v>2.579E-2</v>
      </c>
      <c r="Y84">
        <v>1.32745</v>
      </c>
      <c r="Z84">
        <v>13.98387</v>
      </c>
      <c r="AA84">
        <v>8.7761999999999993</v>
      </c>
      <c r="AB84">
        <v>-1.47088</v>
      </c>
      <c r="AD84" s="23">
        <v>81</v>
      </c>
      <c r="AE84" s="26" t="s">
        <v>651</v>
      </c>
      <c r="AF84" s="23">
        <v>6.3380000000000006E-2</v>
      </c>
      <c r="AG84" s="23">
        <v>0.39187</v>
      </c>
      <c r="AH84" s="23">
        <v>2.3429999999999999E-2</v>
      </c>
      <c r="AI84" s="23">
        <v>1.3553900000000001</v>
      </c>
      <c r="AJ84" s="23">
        <v>14.56967</v>
      </c>
      <c r="AK84" s="23">
        <v>8.3945600000000002</v>
      </c>
      <c r="AL84" s="23">
        <v>-1.24149</v>
      </c>
      <c r="AM84" s="25">
        <v>0.60706958333333338</v>
      </c>
      <c r="AN84" s="25">
        <v>0.39134048077462075</v>
      </c>
      <c r="AO84" s="25">
        <v>0.21919641720017519</v>
      </c>
      <c r="AP84" s="25">
        <v>0.10427849899166003</v>
      </c>
      <c r="AQ84" s="24">
        <v>1.6129477259472549</v>
      </c>
      <c r="AR84" s="23">
        <v>-99</v>
      </c>
    </row>
    <row r="85" spans="1:44" ht="51.75" x14ac:dyDescent="0.25">
      <c r="A85" s="14" t="s">
        <v>21</v>
      </c>
      <c r="B85" s="9" t="s">
        <v>20</v>
      </c>
      <c r="C85" s="13" t="s">
        <v>19</v>
      </c>
      <c r="D85" s="12" t="s">
        <v>18</v>
      </c>
      <c r="E85" s="11" t="s">
        <v>17</v>
      </c>
      <c r="F85" s="11" t="s">
        <v>16</v>
      </c>
      <c r="G85" s="11" t="s">
        <v>15</v>
      </c>
      <c r="H85" s="11" t="s">
        <v>14</v>
      </c>
      <c r="I85" s="11" t="s">
        <v>13</v>
      </c>
      <c r="J85" s="11" t="s">
        <v>12</v>
      </c>
      <c r="K85" s="11" t="s">
        <v>11</v>
      </c>
      <c r="L85" s="11" t="s">
        <v>10</v>
      </c>
      <c r="M85" s="10" t="s">
        <v>9</v>
      </c>
      <c r="N85" s="10" t="s">
        <v>8</v>
      </c>
      <c r="O85" s="10" t="s">
        <v>7</v>
      </c>
      <c r="P85" s="9" t="s">
        <v>6</v>
      </c>
      <c r="Q85" s="21" t="s">
        <v>5</v>
      </c>
      <c r="R85" s="20"/>
      <c r="T85">
        <v>2009033</v>
      </c>
      <c r="U85" t="s">
        <v>650</v>
      </c>
      <c r="V85">
        <v>7.3130000000000001E-2</v>
      </c>
      <c r="W85">
        <v>0.39563999999999999</v>
      </c>
      <c r="X85">
        <v>2.5149999999999999E-2</v>
      </c>
      <c r="Y85">
        <v>1.2939400000000001</v>
      </c>
      <c r="Z85">
        <v>9.9098199999999999</v>
      </c>
      <c r="AA85">
        <v>7.45791</v>
      </c>
      <c r="AB85">
        <v>-1.6971000000000001</v>
      </c>
      <c r="AD85" s="23">
        <v>82</v>
      </c>
      <c r="AE85" s="26" t="s">
        <v>649</v>
      </c>
      <c r="AF85" s="23">
        <v>6.2190000000000002E-2</v>
      </c>
      <c r="AG85" s="23">
        <v>0.39759</v>
      </c>
      <c r="AH85" s="23">
        <v>1.7639999999999999E-2</v>
      </c>
      <c r="AI85" s="23">
        <v>1.40438</v>
      </c>
      <c r="AJ85" s="23">
        <v>12.983309999999999</v>
      </c>
      <c r="AK85" s="23">
        <v>6.2895599999999998</v>
      </c>
      <c r="AL85" s="23">
        <v>-0.8498</v>
      </c>
      <c r="AM85" s="25">
        <v>0.54097125000000001</v>
      </c>
      <c r="AN85" s="25">
        <v>0.39725785841980082</v>
      </c>
      <c r="AO85" s="25">
        <v>0.22237584358281967</v>
      </c>
      <c r="AP85" s="25">
        <v>9.7335251900188144E-2</v>
      </c>
      <c r="AQ85" s="24">
        <v>1.597266675187528</v>
      </c>
      <c r="AR85" s="23">
        <v>-99</v>
      </c>
    </row>
    <row r="86" spans="1:44" x14ac:dyDescent="0.25"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1"/>
      <c r="Q86" s="5" t="s">
        <v>4</v>
      </c>
      <c r="R86" s="5" t="s">
        <v>3</v>
      </c>
      <c r="T86">
        <v>2009033</v>
      </c>
      <c r="U86" t="s">
        <v>648</v>
      </c>
      <c r="V86">
        <v>6.565E-2</v>
      </c>
      <c r="W86">
        <v>0.38934999999999997</v>
      </c>
      <c r="X86">
        <v>2.5389999999999999E-2</v>
      </c>
      <c r="Y86">
        <v>1.33012</v>
      </c>
      <c r="Z86">
        <v>13.74577</v>
      </c>
      <c r="AA86">
        <v>8.6467899999999993</v>
      </c>
      <c r="AB86">
        <v>-1.4429099999999999</v>
      </c>
      <c r="AD86" s="23">
        <v>83</v>
      </c>
      <c r="AE86" s="26" t="s">
        <v>647</v>
      </c>
      <c r="AF86" s="23">
        <v>5.7709999999999997E-2</v>
      </c>
      <c r="AG86" s="23">
        <v>0.39077000000000001</v>
      </c>
      <c r="AH86" s="23">
        <v>2.2190000000000001E-2</v>
      </c>
      <c r="AI86" s="23">
        <v>1.38219</v>
      </c>
      <c r="AJ86" s="23">
        <v>18.179359999999999</v>
      </c>
      <c r="AK86" s="23">
        <v>8.7328299999999999</v>
      </c>
      <c r="AL86" s="23">
        <v>-1.05921</v>
      </c>
      <c r="AM86" s="25">
        <v>0.75747333333333333</v>
      </c>
      <c r="AN86" s="25">
        <v>0.39029479887302371</v>
      </c>
      <c r="AO86" s="25">
        <v>0.21019021794548143</v>
      </c>
      <c r="AP86" s="25">
        <v>9.3893044641443546E-2</v>
      </c>
      <c r="AQ86" s="24">
        <v>1.6157187829864872</v>
      </c>
      <c r="AR86" s="23">
        <v>-99</v>
      </c>
    </row>
    <row r="87" spans="1:44" x14ac:dyDescent="0.25">
      <c r="A87" s="4">
        <v>23</v>
      </c>
      <c r="B87">
        <v>30</v>
      </c>
      <c r="C87">
        <v>50</v>
      </c>
      <c r="D87">
        <v>20</v>
      </c>
      <c r="E87" s="3">
        <v>25.5</v>
      </c>
      <c r="F87" s="3">
        <f>1.8*E87+32</f>
        <v>77.900000000000006</v>
      </c>
      <c r="G87" s="3">
        <v>15</v>
      </c>
      <c r="H87" s="3">
        <f>IF(F87&gt;68,G87+(F87-68)*0.2,G235-(68-F87)*0.2)</f>
        <v>16.98</v>
      </c>
      <c r="I87" s="3">
        <v>23.5</v>
      </c>
      <c r="J87" s="3">
        <f>1.8*I87+32</f>
        <v>74.300000000000011</v>
      </c>
      <c r="K87" s="3">
        <v>9</v>
      </c>
      <c r="L87" s="3">
        <f>IF(J87&gt;67,K87+(J87-67)*0.2,K87-(67-J87)*0.2)</f>
        <v>10.460000000000003</v>
      </c>
      <c r="M87" s="3">
        <f>(C87-H87)/C87*100</f>
        <v>66.039999999999992</v>
      </c>
      <c r="N87" s="3">
        <f>100-(M87+O87)</f>
        <v>13.040000000000006</v>
      </c>
      <c r="O87" s="3">
        <f>L87/C87*100</f>
        <v>20.920000000000005</v>
      </c>
      <c r="P87" s="1" t="s">
        <v>2</v>
      </c>
      <c r="Q87" s="15">
        <v>407576.23599999998</v>
      </c>
      <c r="R87" s="15">
        <v>3659923</v>
      </c>
      <c r="T87">
        <v>2009033</v>
      </c>
      <c r="U87" t="s">
        <v>646</v>
      </c>
      <c r="V87">
        <v>6.3380000000000006E-2</v>
      </c>
      <c r="W87">
        <v>0.39187</v>
      </c>
      <c r="X87">
        <v>2.3429999999999999E-2</v>
      </c>
      <c r="Y87">
        <v>1.3553900000000001</v>
      </c>
      <c r="Z87">
        <v>14.56967</v>
      </c>
      <c r="AA87">
        <v>8.3945600000000002</v>
      </c>
      <c r="AB87">
        <v>-1.24149</v>
      </c>
      <c r="AD87" s="23">
        <v>84</v>
      </c>
      <c r="AE87" s="26" t="s">
        <v>645</v>
      </c>
      <c r="AF87" s="23">
        <v>5.2990000000000002E-2</v>
      </c>
      <c r="AG87" s="23">
        <v>0.38296000000000002</v>
      </c>
      <c r="AH87" s="23">
        <v>2.9819999999999999E-2</v>
      </c>
      <c r="AI87" s="23">
        <v>1.37452</v>
      </c>
      <c r="AJ87" s="23">
        <v>27.988</v>
      </c>
      <c r="AK87" s="23">
        <v>13.16987</v>
      </c>
      <c r="AL87" s="23">
        <v>-1.2848299999999999</v>
      </c>
      <c r="AM87" s="25">
        <v>1.1661666666666666</v>
      </c>
      <c r="AN87" s="25">
        <v>0.38224422683714054</v>
      </c>
      <c r="AO87" s="25">
        <v>0.19107819397991302</v>
      </c>
      <c r="AP87" s="25">
        <v>8.654407393052399E-2</v>
      </c>
      <c r="AQ87" s="24">
        <v>1.6370527988815775</v>
      </c>
      <c r="AR87" s="23">
        <v>-99</v>
      </c>
    </row>
    <row r="88" spans="1:44" x14ac:dyDescent="0.25">
      <c r="A88" s="4">
        <v>23</v>
      </c>
      <c r="B88">
        <v>60</v>
      </c>
      <c r="C88">
        <v>50</v>
      </c>
      <c r="D88">
        <v>20</v>
      </c>
      <c r="E88" s="3">
        <v>26</v>
      </c>
      <c r="F88" s="3">
        <f>1.8*E88+32</f>
        <v>78.800000000000011</v>
      </c>
      <c r="G88" s="3">
        <v>14</v>
      </c>
      <c r="H88" s="3">
        <f>IF(F88&gt;68,G88+(F88-68)*0.2,G236-(68-F88)*0.2)</f>
        <v>16.160000000000004</v>
      </c>
      <c r="I88" s="3">
        <v>23.5</v>
      </c>
      <c r="J88" s="3">
        <f>1.8*I88+32</f>
        <v>74.300000000000011</v>
      </c>
      <c r="K88" s="3">
        <v>8</v>
      </c>
      <c r="L88" s="3">
        <f>IF(J88&gt;67,K88+(J88-67)*0.2,K88-(67-J88)*0.2)</f>
        <v>9.4600000000000026</v>
      </c>
      <c r="M88" s="3">
        <f>(C88-H88)/C88*100</f>
        <v>67.679999999999993</v>
      </c>
      <c r="N88" s="3">
        <f>100-(M88+O88)</f>
        <v>13.400000000000006</v>
      </c>
      <c r="O88" s="3">
        <f>L88/C88*100</f>
        <v>18.920000000000005</v>
      </c>
      <c r="P88" s="1" t="s">
        <v>0</v>
      </c>
      <c r="Q88" s="15">
        <v>407576.23599999998</v>
      </c>
      <c r="R88" s="15">
        <v>3659923</v>
      </c>
      <c r="T88">
        <v>2009033</v>
      </c>
      <c r="U88" t="s">
        <v>644</v>
      </c>
      <c r="V88">
        <v>6.2190000000000002E-2</v>
      </c>
      <c r="W88">
        <v>0.39759</v>
      </c>
      <c r="X88">
        <v>1.7639999999999999E-2</v>
      </c>
      <c r="Y88">
        <v>1.40438</v>
      </c>
      <c r="Z88">
        <v>12.983309999999999</v>
      </c>
      <c r="AA88">
        <v>6.2895599999999998</v>
      </c>
      <c r="AB88">
        <v>-0.8498</v>
      </c>
      <c r="AD88" s="23">
        <v>85</v>
      </c>
      <c r="AE88" s="26" t="s">
        <v>643</v>
      </c>
      <c r="AF88" s="23">
        <v>6.1019999999999998E-2</v>
      </c>
      <c r="AG88" s="23">
        <v>0.38906000000000002</v>
      </c>
      <c r="AH88" s="23">
        <v>2.4809999999999999E-2</v>
      </c>
      <c r="AI88" s="23">
        <v>1.35547</v>
      </c>
      <c r="AJ88" s="23">
        <v>16.88</v>
      </c>
      <c r="AK88" s="23">
        <v>9.2675000000000001</v>
      </c>
      <c r="AL88" s="23">
        <v>-1.2723</v>
      </c>
      <c r="AM88" s="25">
        <v>0.70333333333333325</v>
      </c>
      <c r="AN88" s="25">
        <v>0.38848880765100852</v>
      </c>
      <c r="AO88" s="25">
        <v>0.21363840012151042</v>
      </c>
      <c r="AP88" s="25">
        <v>0.1010215068536042</v>
      </c>
      <c r="AQ88" s="24">
        <v>1.6205046597248276</v>
      </c>
      <c r="AR88" s="23">
        <v>-99</v>
      </c>
    </row>
    <row r="89" spans="1:44" x14ac:dyDescent="0.25">
      <c r="A89" s="4">
        <v>23</v>
      </c>
      <c r="B89">
        <v>90</v>
      </c>
      <c r="C89">
        <v>50</v>
      </c>
      <c r="D89">
        <v>20</v>
      </c>
      <c r="E89" s="3">
        <v>26</v>
      </c>
      <c r="F89" s="3">
        <f>1.8*E89+32</f>
        <v>78.800000000000011</v>
      </c>
      <c r="G89" s="3">
        <v>8</v>
      </c>
      <c r="H89" s="3">
        <f>IF(F89&gt;68,G89+(F89-68)*0.2,G237-(68-F89)*0.2)</f>
        <v>10.160000000000002</v>
      </c>
      <c r="I89" s="3">
        <v>23.5</v>
      </c>
      <c r="J89" s="3">
        <f>1.8*I89+32</f>
        <v>74.300000000000011</v>
      </c>
      <c r="K89" s="3">
        <v>4</v>
      </c>
      <c r="L89" s="3">
        <f>IF(J89&gt;67,K89+(J89-67)*0.2,K89-(67-J89)*0.2)</f>
        <v>5.4600000000000026</v>
      </c>
      <c r="M89" s="3">
        <f>(C89-H89)/C89*100</f>
        <v>79.679999999999993</v>
      </c>
      <c r="N89" s="3">
        <f>100-(M89+O89)</f>
        <v>9.4000000000000057</v>
      </c>
      <c r="O89" s="3">
        <f>L89/C89*100</f>
        <v>10.920000000000005</v>
      </c>
      <c r="P89" s="1" t="s">
        <v>0</v>
      </c>
      <c r="Q89" s="15">
        <v>407576.23599999998</v>
      </c>
      <c r="R89" s="15">
        <v>3659923</v>
      </c>
      <c r="T89">
        <v>2009033</v>
      </c>
      <c r="U89" t="s">
        <v>642</v>
      </c>
      <c r="V89">
        <v>5.7709999999999997E-2</v>
      </c>
      <c r="W89">
        <v>0.39077000000000001</v>
      </c>
      <c r="X89">
        <v>2.2190000000000001E-2</v>
      </c>
      <c r="Y89">
        <v>1.38219</v>
      </c>
      <c r="Z89">
        <v>18.179359999999999</v>
      </c>
      <c r="AA89">
        <v>8.7328299999999999</v>
      </c>
      <c r="AB89">
        <v>-1.05921</v>
      </c>
      <c r="AD89" s="23">
        <v>86</v>
      </c>
      <c r="AE89" s="26" t="s">
        <v>641</v>
      </c>
      <c r="AF89" s="23">
        <v>5.4260000000000003E-2</v>
      </c>
      <c r="AG89" s="23">
        <v>0.38684000000000002</v>
      </c>
      <c r="AH89" s="23">
        <v>2.5870000000000001E-2</v>
      </c>
      <c r="AI89" s="23">
        <v>1.3749899999999999</v>
      </c>
      <c r="AJ89" s="23">
        <v>23.18252</v>
      </c>
      <c r="AK89" s="23">
        <v>10.95936</v>
      </c>
      <c r="AL89" s="23">
        <v>-1.1751799999999999</v>
      </c>
      <c r="AM89" s="25">
        <v>0.96593833333333334</v>
      </c>
      <c r="AN89" s="25">
        <v>0.3862465057305563</v>
      </c>
      <c r="AO89" s="25">
        <v>0.20054920728729131</v>
      </c>
      <c r="AP89" s="25">
        <v>8.9827758367917995E-2</v>
      </c>
      <c r="AQ89" s="24">
        <v>1.6264467598140258</v>
      </c>
      <c r="AR89" s="23">
        <v>-99</v>
      </c>
    </row>
    <row r="90" spans="1:44" x14ac:dyDescent="0.25">
      <c r="A90" s="4">
        <v>23</v>
      </c>
      <c r="B90">
        <v>120</v>
      </c>
      <c r="C90">
        <v>50</v>
      </c>
      <c r="D90">
        <v>20</v>
      </c>
      <c r="E90" s="3">
        <v>26</v>
      </c>
      <c r="F90" s="3">
        <f>1.8*E90+32</f>
        <v>78.800000000000011</v>
      </c>
      <c r="G90" s="3">
        <v>15</v>
      </c>
      <c r="H90" s="3">
        <f>IF(F90&gt;68,G90+(F90-68)*0.2,G238-(68-F90)*0.2)</f>
        <v>17.160000000000004</v>
      </c>
      <c r="I90" s="3">
        <v>23.5</v>
      </c>
      <c r="J90" s="3">
        <f>1.8*I90+32</f>
        <v>74.300000000000011</v>
      </c>
      <c r="K90" s="3">
        <v>8</v>
      </c>
      <c r="L90" s="3">
        <f>IF(J90&gt;67,K90+(J90-67)*0.2,K90-(67-J90)*0.2)</f>
        <v>9.4600000000000026</v>
      </c>
      <c r="M90" s="3">
        <f>(C90-H90)/C90*100</f>
        <v>65.679999999999993</v>
      </c>
      <c r="N90" s="3">
        <f>100-(M90+O90)</f>
        <v>15.400000000000006</v>
      </c>
      <c r="O90" s="3">
        <f>L90/C90*100</f>
        <v>18.920000000000005</v>
      </c>
      <c r="P90" s="1" t="s">
        <v>0</v>
      </c>
      <c r="Q90" s="15">
        <v>407576.23599999998</v>
      </c>
      <c r="R90" s="15">
        <v>3659923</v>
      </c>
      <c r="T90">
        <v>2009033</v>
      </c>
      <c r="U90" t="s">
        <v>640</v>
      </c>
      <c r="V90">
        <v>5.2990000000000002E-2</v>
      </c>
      <c r="W90">
        <v>0.38296000000000002</v>
      </c>
      <c r="X90">
        <v>2.9819999999999999E-2</v>
      </c>
      <c r="Y90">
        <v>1.37452</v>
      </c>
      <c r="Z90">
        <v>27.988</v>
      </c>
      <c r="AA90">
        <v>13.16987</v>
      </c>
      <c r="AB90">
        <v>-1.2848299999999999</v>
      </c>
      <c r="AD90" s="23">
        <v>87</v>
      </c>
      <c r="AE90" s="26" t="s">
        <v>639</v>
      </c>
      <c r="AF90" s="23">
        <v>5.7489999999999999E-2</v>
      </c>
      <c r="AG90" s="23">
        <v>0.38099</v>
      </c>
      <c r="AH90" s="23">
        <v>2.9319999999999999E-2</v>
      </c>
      <c r="AI90" s="23">
        <v>1.3561399999999999</v>
      </c>
      <c r="AJ90" s="23">
        <v>23.166979999999999</v>
      </c>
      <c r="AK90" s="23">
        <v>11.696070000000001</v>
      </c>
      <c r="AL90" s="23">
        <v>-1.3926799999999999</v>
      </c>
      <c r="AM90" s="25">
        <v>0.96529083333333332</v>
      </c>
      <c r="AN90" s="25">
        <v>0.38028502862572611</v>
      </c>
      <c r="AO90" s="25">
        <v>0.19951380630460769</v>
      </c>
      <c r="AP90" s="25">
        <v>9.4513348253977864E-2</v>
      </c>
      <c r="AQ90" s="24">
        <v>1.6422446741418257</v>
      </c>
      <c r="AR90" s="23">
        <v>-99</v>
      </c>
    </row>
    <row r="91" spans="1:44" x14ac:dyDescent="0.25">
      <c r="A91" s="4">
        <v>23</v>
      </c>
      <c r="B91">
        <v>150</v>
      </c>
      <c r="C91">
        <v>50</v>
      </c>
      <c r="D91">
        <v>20</v>
      </c>
      <c r="E91" s="3">
        <v>25.5</v>
      </c>
      <c r="F91" s="3">
        <f>1.8*E91+32</f>
        <v>77.900000000000006</v>
      </c>
      <c r="G91" s="3">
        <v>36</v>
      </c>
      <c r="H91" s="3">
        <f>IF(F91&gt;68,G91+(F91-68)*0.2,G239-(68-F91)*0.2)</f>
        <v>37.980000000000004</v>
      </c>
      <c r="I91" s="3">
        <v>23</v>
      </c>
      <c r="J91" s="3">
        <f>1.8*I91+32</f>
        <v>73.400000000000006</v>
      </c>
      <c r="K91" s="3">
        <v>17</v>
      </c>
      <c r="L91" s="3">
        <f>IF(J91&gt;67,K91+(J91-67)*0.2,K91-(67-J91)*0.2)</f>
        <v>18.28</v>
      </c>
      <c r="M91" s="3">
        <f>(C91-H91)/C91*100</f>
        <v>24.039999999999992</v>
      </c>
      <c r="N91" s="3">
        <f>100-(M91+O91)</f>
        <v>39.400000000000006</v>
      </c>
      <c r="O91" s="3">
        <f>L91/C91*100</f>
        <v>36.56</v>
      </c>
      <c r="P91" s="1" t="s">
        <v>22</v>
      </c>
      <c r="Q91" s="15">
        <v>407576.23599999998</v>
      </c>
      <c r="R91" s="15">
        <v>3659923</v>
      </c>
      <c r="T91">
        <v>2009033</v>
      </c>
      <c r="U91" t="s">
        <v>638</v>
      </c>
      <c r="V91">
        <v>6.1019999999999998E-2</v>
      </c>
      <c r="W91">
        <v>0.38906000000000002</v>
      </c>
      <c r="X91">
        <v>2.4809999999999999E-2</v>
      </c>
      <c r="Y91">
        <v>1.35547</v>
      </c>
      <c r="Z91">
        <v>16.88</v>
      </c>
      <c r="AA91">
        <v>9.2675000000000001</v>
      </c>
      <c r="AB91">
        <v>-1.2723</v>
      </c>
      <c r="AD91" s="23">
        <v>88</v>
      </c>
      <c r="AE91" s="26" t="s">
        <v>637</v>
      </c>
      <c r="AF91" s="23">
        <v>5.0729999999999997E-2</v>
      </c>
      <c r="AG91" s="23">
        <v>0.38364999999999999</v>
      </c>
      <c r="AH91" s="23">
        <v>3.0020000000000002E-2</v>
      </c>
      <c r="AI91" s="23">
        <v>1.38215</v>
      </c>
      <c r="AJ91" s="23">
        <v>30.353629999999999</v>
      </c>
      <c r="AK91" s="23">
        <v>13.89115</v>
      </c>
      <c r="AL91" s="23">
        <v>-1.2384999999999999</v>
      </c>
      <c r="AM91" s="25">
        <v>1.2647345833333332</v>
      </c>
      <c r="AN91" s="25">
        <v>0.38292988822405188</v>
      </c>
      <c r="AO91" s="25">
        <v>0.18730232303957395</v>
      </c>
      <c r="AP91" s="25">
        <v>8.2961335554934304E-2</v>
      </c>
      <c r="AQ91" s="24">
        <v>1.6352357962062622</v>
      </c>
      <c r="AR91" s="23">
        <v>-99</v>
      </c>
    </row>
    <row r="92" spans="1:44" x14ac:dyDescent="0.25">
      <c r="A92" s="4">
        <v>23</v>
      </c>
      <c r="B92">
        <v>180</v>
      </c>
      <c r="C92">
        <v>50</v>
      </c>
      <c r="D92">
        <v>20</v>
      </c>
      <c r="E92" s="3">
        <v>26</v>
      </c>
      <c r="F92" s="3">
        <f>1.8*E92+32</f>
        <v>78.800000000000011</v>
      </c>
      <c r="G92" s="3">
        <v>17</v>
      </c>
      <c r="H92" s="3">
        <f>IF(F92&gt;68,G92+(F92-68)*0.2,G240-(68-F92)*0.2)</f>
        <v>19.160000000000004</v>
      </c>
      <c r="I92" s="3">
        <v>23</v>
      </c>
      <c r="J92" s="3">
        <f>1.8*I92+32</f>
        <v>73.400000000000006</v>
      </c>
      <c r="K92" s="3">
        <v>10</v>
      </c>
      <c r="L92" s="3">
        <f>IF(J92&gt;67,K92+(J92-67)*0.2,K92-(67-J92)*0.2)</f>
        <v>11.280000000000001</v>
      </c>
      <c r="M92" s="3">
        <f>(C92-H92)/C92*100</f>
        <v>61.679999999999993</v>
      </c>
      <c r="N92" s="3">
        <f>100-(M92+O92)</f>
        <v>15.760000000000005</v>
      </c>
      <c r="O92" s="3">
        <f>L92/C92*100</f>
        <v>22.560000000000002</v>
      </c>
      <c r="P92" s="1" t="s">
        <v>2</v>
      </c>
      <c r="Q92" s="15">
        <v>407576.23599999998</v>
      </c>
      <c r="R92" s="15">
        <v>3659923</v>
      </c>
      <c r="T92">
        <v>2009033</v>
      </c>
      <c r="U92" t="s">
        <v>636</v>
      </c>
      <c r="V92">
        <v>5.4260000000000003E-2</v>
      </c>
      <c r="W92">
        <v>0.38684000000000002</v>
      </c>
      <c r="X92">
        <v>2.5870000000000001E-2</v>
      </c>
      <c r="Y92">
        <v>1.3749899999999999</v>
      </c>
      <c r="Z92">
        <v>23.18252</v>
      </c>
      <c r="AA92">
        <v>10.95936</v>
      </c>
      <c r="AB92">
        <v>-1.1751799999999999</v>
      </c>
      <c r="AD92" s="23">
        <v>89</v>
      </c>
      <c r="AE92" s="26" t="s">
        <v>635</v>
      </c>
      <c r="AF92" s="23">
        <v>5.7459999999999997E-2</v>
      </c>
      <c r="AG92" s="23">
        <v>0.38134000000000001</v>
      </c>
      <c r="AH92" s="23">
        <v>2.9219999999999999E-2</v>
      </c>
      <c r="AI92" s="23">
        <v>1.3558300000000001</v>
      </c>
      <c r="AJ92" s="23">
        <v>23.03464</v>
      </c>
      <c r="AK92" s="23">
        <v>11.66282</v>
      </c>
      <c r="AL92" s="23">
        <v>-1.38958</v>
      </c>
      <c r="AM92" s="25">
        <v>0.95977666666666661</v>
      </c>
      <c r="AN92" s="25">
        <v>0.38063713130048538</v>
      </c>
      <c r="AO92" s="25">
        <v>0.19991655861171087</v>
      </c>
      <c r="AP92" s="25">
        <v>9.4641999125359796E-2</v>
      </c>
      <c r="AQ92" s="24">
        <v>1.6413116020537137</v>
      </c>
      <c r="AR92" s="23">
        <v>-99</v>
      </c>
    </row>
    <row r="93" spans="1:44" x14ac:dyDescent="0.25">
      <c r="A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1"/>
      <c r="Q93" s="18"/>
      <c r="R93" s="18"/>
      <c r="T93">
        <v>2009033</v>
      </c>
      <c r="U93" t="s">
        <v>634</v>
      </c>
      <c r="V93">
        <v>5.7489999999999999E-2</v>
      </c>
      <c r="W93">
        <v>0.38099</v>
      </c>
      <c r="X93">
        <v>2.9319999999999999E-2</v>
      </c>
      <c r="Y93">
        <v>1.3561399999999999</v>
      </c>
      <c r="Z93">
        <v>23.166979999999999</v>
      </c>
      <c r="AA93">
        <v>11.696070000000001</v>
      </c>
      <c r="AB93">
        <v>-1.3926799999999999</v>
      </c>
      <c r="AD93" s="23">
        <v>90</v>
      </c>
      <c r="AE93" s="26" t="s">
        <v>633</v>
      </c>
      <c r="AF93" s="23">
        <v>5.1819999999999998E-2</v>
      </c>
      <c r="AG93" s="23">
        <v>0.38156000000000001</v>
      </c>
      <c r="AH93" s="23">
        <v>3.1269999999999999E-2</v>
      </c>
      <c r="AI93" s="23">
        <v>1.3863399999999999</v>
      </c>
      <c r="AJ93" s="23">
        <v>31.72372</v>
      </c>
      <c r="AK93" s="23">
        <v>14.345370000000001</v>
      </c>
      <c r="AL93" s="23">
        <v>-1.2753000000000001</v>
      </c>
      <c r="AM93" s="25">
        <v>1.3218216666666667</v>
      </c>
      <c r="AN93" s="25">
        <v>0.38081055649528589</v>
      </c>
      <c r="AO93" s="25">
        <v>0.1837765331093037</v>
      </c>
      <c r="AP93" s="25">
        <v>8.2450131648351507E-2</v>
      </c>
      <c r="AQ93" s="24">
        <v>1.6408520252874923</v>
      </c>
      <c r="AR93" s="23">
        <v>-99</v>
      </c>
    </row>
    <row r="94" spans="1:44" ht="51.75" x14ac:dyDescent="0.25">
      <c r="A94" s="14" t="s">
        <v>21</v>
      </c>
      <c r="B94" s="9" t="s">
        <v>20</v>
      </c>
      <c r="C94" s="13" t="s">
        <v>19</v>
      </c>
      <c r="D94" s="12" t="s">
        <v>18</v>
      </c>
      <c r="E94" s="11" t="s">
        <v>17</v>
      </c>
      <c r="F94" s="11" t="s">
        <v>16</v>
      </c>
      <c r="G94" s="11" t="s">
        <v>15</v>
      </c>
      <c r="H94" s="11" t="s">
        <v>14</v>
      </c>
      <c r="I94" s="11" t="s">
        <v>13</v>
      </c>
      <c r="J94" s="11" t="s">
        <v>12</v>
      </c>
      <c r="K94" s="11" t="s">
        <v>11</v>
      </c>
      <c r="L94" s="11" t="s">
        <v>10</v>
      </c>
      <c r="M94" s="10" t="s">
        <v>9</v>
      </c>
      <c r="N94" s="10" t="s">
        <v>8</v>
      </c>
      <c r="O94" s="10" t="s">
        <v>7</v>
      </c>
      <c r="P94" s="9" t="s">
        <v>6</v>
      </c>
      <c r="Q94" s="21" t="s">
        <v>5</v>
      </c>
      <c r="R94" s="20"/>
      <c r="T94">
        <v>2009033</v>
      </c>
      <c r="U94" t="s">
        <v>632</v>
      </c>
      <c r="V94">
        <v>5.0729999999999997E-2</v>
      </c>
      <c r="W94">
        <v>0.38364999999999999</v>
      </c>
      <c r="X94">
        <v>3.0020000000000002E-2</v>
      </c>
      <c r="Y94">
        <v>1.38215</v>
      </c>
      <c r="Z94">
        <v>30.353629999999999</v>
      </c>
      <c r="AA94">
        <v>13.89115</v>
      </c>
      <c r="AB94">
        <v>-1.2384999999999999</v>
      </c>
      <c r="AD94" s="23">
        <v>91</v>
      </c>
      <c r="AE94" s="26" t="s">
        <v>631</v>
      </c>
      <c r="AF94" s="23">
        <v>5.2749999999999998E-2</v>
      </c>
      <c r="AG94" s="23">
        <v>0.379</v>
      </c>
      <c r="AH94" s="23">
        <v>3.1809999999999998E-2</v>
      </c>
      <c r="AI94" s="23">
        <v>1.4045399999999999</v>
      </c>
      <c r="AJ94" s="23">
        <v>34.549950000000003</v>
      </c>
      <c r="AK94" s="23">
        <v>14.60979</v>
      </c>
      <c r="AL94" s="23">
        <v>-1.2565599999999999</v>
      </c>
      <c r="AM94" s="25">
        <v>1.43958125</v>
      </c>
      <c r="AN94" s="25">
        <v>0.3782628243626025</v>
      </c>
      <c r="AO94" s="25">
        <v>0.17703803271542584</v>
      </c>
      <c r="AP94" s="25">
        <v>7.9659512726443976E-2</v>
      </c>
      <c r="AQ94" s="24">
        <v>1.6476035154391033</v>
      </c>
      <c r="AR94" s="23">
        <v>-99</v>
      </c>
    </row>
    <row r="95" spans="1:44" x14ac:dyDescent="0.25">
      <c r="C95" s="16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1"/>
      <c r="Q95" s="5" t="s">
        <v>4</v>
      </c>
      <c r="R95" s="5" t="s">
        <v>3</v>
      </c>
      <c r="T95">
        <v>2009033</v>
      </c>
      <c r="U95" t="s">
        <v>630</v>
      </c>
      <c r="V95">
        <v>5.7459999999999997E-2</v>
      </c>
      <c r="W95">
        <v>0.38134000000000001</v>
      </c>
      <c r="X95">
        <v>2.9219999999999999E-2</v>
      </c>
      <c r="Y95">
        <v>1.3558300000000001</v>
      </c>
      <c r="Z95">
        <v>23.03464</v>
      </c>
      <c r="AA95">
        <v>11.66282</v>
      </c>
      <c r="AB95">
        <v>-1.38958</v>
      </c>
      <c r="AD95" s="23">
        <v>92</v>
      </c>
      <c r="AE95" s="26" t="s">
        <v>629</v>
      </c>
      <c r="AF95" s="23">
        <v>4.922E-2</v>
      </c>
      <c r="AG95" s="23">
        <v>0.38084000000000001</v>
      </c>
      <c r="AH95" s="23">
        <v>3.3270000000000001E-2</v>
      </c>
      <c r="AI95" s="23">
        <v>1.4202399999999999</v>
      </c>
      <c r="AJ95" s="23">
        <v>40.244819999999997</v>
      </c>
      <c r="AK95" s="23">
        <v>16.731169999999999</v>
      </c>
      <c r="AL95" s="23">
        <v>-1.2039200000000001</v>
      </c>
      <c r="AM95" s="25">
        <v>1.6768675</v>
      </c>
      <c r="AN95" s="25">
        <v>0.38006285102417725</v>
      </c>
      <c r="AO95" s="25">
        <v>0.16876942233414965</v>
      </c>
      <c r="AP95" s="25">
        <v>7.3584288713732071E-2</v>
      </c>
      <c r="AQ95" s="24">
        <v>1.6428334447859303</v>
      </c>
      <c r="AR95" s="23">
        <v>-99</v>
      </c>
    </row>
    <row r="96" spans="1:44" x14ac:dyDescent="0.25">
      <c r="A96" s="4">
        <v>24</v>
      </c>
      <c r="B96">
        <v>30</v>
      </c>
      <c r="C96" s="16">
        <v>50</v>
      </c>
      <c r="D96">
        <v>20</v>
      </c>
      <c r="E96" s="3">
        <v>26</v>
      </c>
      <c r="F96" s="3">
        <f>1.8*E96+32</f>
        <v>78.800000000000011</v>
      </c>
      <c r="G96" s="3">
        <v>16</v>
      </c>
      <c r="H96" s="3">
        <f>IF(F96&gt;68,G96+(F96-68)*0.2,G243-(68-F96)*0.2)</f>
        <v>18.160000000000004</v>
      </c>
      <c r="I96" s="3">
        <v>23</v>
      </c>
      <c r="J96" s="3">
        <f>1.8*I96+32</f>
        <v>73.400000000000006</v>
      </c>
      <c r="K96" s="3">
        <v>9</v>
      </c>
      <c r="L96" s="3">
        <f>IF(J96&gt;68,K96+(J96-68)*0.2,K96-(68-J96)*0.2)</f>
        <v>10.080000000000002</v>
      </c>
      <c r="M96" s="3">
        <f>(C96-H96)/C96*100</f>
        <v>63.679999999999993</v>
      </c>
      <c r="N96" s="3">
        <f>100-(M96+O96)</f>
        <v>16.159999999999997</v>
      </c>
      <c r="O96" s="3">
        <f>L96/C96*100</f>
        <v>20.160000000000004</v>
      </c>
      <c r="P96" s="1" t="s">
        <v>2</v>
      </c>
      <c r="Q96" s="15">
        <v>407576.23599999998</v>
      </c>
      <c r="R96" s="15">
        <v>3659949.5</v>
      </c>
      <c r="T96">
        <v>2009033</v>
      </c>
      <c r="U96" t="s">
        <v>628</v>
      </c>
      <c r="V96">
        <v>5.1819999999999998E-2</v>
      </c>
      <c r="W96">
        <v>0.38156000000000001</v>
      </c>
      <c r="X96">
        <v>3.1269999999999999E-2</v>
      </c>
      <c r="Y96">
        <v>1.3863399999999999</v>
      </c>
      <c r="Z96">
        <v>31.72372</v>
      </c>
      <c r="AA96">
        <v>14.345370000000001</v>
      </c>
      <c r="AB96">
        <v>-1.2753000000000001</v>
      </c>
      <c r="AD96" s="23">
        <v>93</v>
      </c>
      <c r="AE96" s="26" t="s">
        <v>627</v>
      </c>
      <c r="AF96" s="23">
        <v>6.4460000000000003E-2</v>
      </c>
      <c r="AG96" s="23">
        <v>0.38941999999999999</v>
      </c>
      <c r="AH96" s="23">
        <v>2.5170000000000001E-2</v>
      </c>
      <c r="AI96" s="23">
        <v>1.33779</v>
      </c>
      <c r="AJ96" s="23">
        <v>14.48663</v>
      </c>
      <c r="AK96" s="23">
        <v>8.78979</v>
      </c>
      <c r="AL96" s="23">
        <v>-1.38846</v>
      </c>
      <c r="AM96" s="25">
        <v>0.60360958333333337</v>
      </c>
      <c r="AN96" s="25">
        <v>0.38882729445243336</v>
      </c>
      <c r="AO96" s="25">
        <v>0.22068040715534809</v>
      </c>
      <c r="AP96" s="25">
        <v>0.10824391256073329</v>
      </c>
      <c r="AQ96" s="24">
        <v>1.6196076697010515</v>
      </c>
      <c r="AR96" s="23">
        <v>-99</v>
      </c>
    </row>
    <row r="97" spans="1:44" x14ac:dyDescent="0.25">
      <c r="A97" s="4">
        <v>24</v>
      </c>
      <c r="B97">
        <v>60</v>
      </c>
      <c r="C97" s="16">
        <v>50</v>
      </c>
      <c r="D97">
        <v>20</v>
      </c>
      <c r="E97" s="3">
        <v>26</v>
      </c>
      <c r="F97" s="3">
        <f>1.8*E97+32</f>
        <v>78.800000000000011</v>
      </c>
      <c r="G97" s="3">
        <v>16</v>
      </c>
      <c r="H97" s="3">
        <f>IF(F97&gt;68,G97+(F97-68)*0.2,G244-(68-F97)*0.2)</f>
        <v>18.160000000000004</v>
      </c>
      <c r="I97" s="3">
        <v>23</v>
      </c>
      <c r="J97" s="3">
        <f>1.8*I97+32</f>
        <v>73.400000000000006</v>
      </c>
      <c r="K97" s="3">
        <v>10</v>
      </c>
      <c r="L97" s="3">
        <f>IF(J97&gt;68,K97+(J97-68)*0.2,K97-(68-J97)*0.2)</f>
        <v>11.080000000000002</v>
      </c>
      <c r="M97" s="3">
        <f>(C97-H97)/C97*100</f>
        <v>63.679999999999993</v>
      </c>
      <c r="N97" s="3">
        <f>100-(M97+O97)</f>
        <v>14.159999999999997</v>
      </c>
      <c r="O97" s="3">
        <f>L97/C97*100</f>
        <v>22.160000000000004</v>
      </c>
      <c r="P97" s="1" t="s">
        <v>2</v>
      </c>
      <c r="Q97" s="15">
        <v>407576.23599999998</v>
      </c>
      <c r="R97" s="15">
        <v>3659949.5</v>
      </c>
      <c r="T97">
        <v>2009033</v>
      </c>
      <c r="U97" t="s">
        <v>626</v>
      </c>
      <c r="V97">
        <v>5.2749999999999998E-2</v>
      </c>
      <c r="W97">
        <v>0.379</v>
      </c>
      <c r="X97">
        <v>3.1809999999999998E-2</v>
      </c>
      <c r="Y97">
        <v>1.4045399999999999</v>
      </c>
      <c r="Z97">
        <v>34.549950000000003</v>
      </c>
      <c r="AA97">
        <v>14.60979</v>
      </c>
      <c r="AB97">
        <v>-1.2565599999999999</v>
      </c>
      <c r="AD97" s="23">
        <v>94</v>
      </c>
      <c r="AE97" s="26" t="s">
        <v>625</v>
      </c>
      <c r="AF97" s="23">
        <v>6.4009999999999997E-2</v>
      </c>
      <c r="AG97" s="23">
        <v>0.38593</v>
      </c>
      <c r="AH97" s="23">
        <v>2.665E-2</v>
      </c>
      <c r="AI97" s="23">
        <v>1.3286800000000001</v>
      </c>
      <c r="AJ97" s="23">
        <v>15.39795</v>
      </c>
      <c r="AK97" s="23">
        <v>9.2838600000000007</v>
      </c>
      <c r="AL97" s="23">
        <v>-1.48587</v>
      </c>
      <c r="AM97" s="25">
        <v>0.64158124999999999</v>
      </c>
      <c r="AN97" s="25">
        <v>0.38528853775303978</v>
      </c>
      <c r="AO97" s="25">
        <v>0.21902102413475327</v>
      </c>
      <c r="AP97" s="25">
        <v>0.10894188270824481</v>
      </c>
      <c r="AQ97" s="24">
        <v>1.6289853749544447</v>
      </c>
      <c r="AR97" s="23">
        <v>-99</v>
      </c>
    </row>
    <row r="98" spans="1:44" x14ac:dyDescent="0.25">
      <c r="A98" s="4">
        <v>24</v>
      </c>
      <c r="B98">
        <v>90</v>
      </c>
      <c r="C98" s="16">
        <v>50</v>
      </c>
      <c r="D98">
        <v>20</v>
      </c>
      <c r="E98" s="3">
        <v>25.5</v>
      </c>
      <c r="F98" s="3">
        <f>1.8*E98+32</f>
        <v>77.900000000000006</v>
      </c>
      <c r="G98" s="3">
        <v>14</v>
      </c>
      <c r="H98" s="3">
        <f>IF(F98&gt;68,G98+(F98-68)*0.2,G245-(68-F98)*0.2)</f>
        <v>15.98</v>
      </c>
      <c r="I98" s="3">
        <v>23</v>
      </c>
      <c r="J98" s="3">
        <f>1.8*I98+32</f>
        <v>73.400000000000006</v>
      </c>
      <c r="K98" s="3">
        <v>8</v>
      </c>
      <c r="L98" s="3">
        <f>IF(J98&gt;68,K98+(J98-68)*0.2,K98-(68-J98)*0.2)</f>
        <v>9.0800000000000018</v>
      </c>
      <c r="M98" s="3">
        <f>(C98-H98)/C98*100</f>
        <v>68.039999999999992</v>
      </c>
      <c r="N98" s="3">
        <f>100-(M98+O98)</f>
        <v>13.800000000000011</v>
      </c>
      <c r="O98" s="3">
        <f>L98/C98*100</f>
        <v>18.160000000000004</v>
      </c>
      <c r="P98" s="1" t="s">
        <v>0</v>
      </c>
      <c r="Q98" s="15">
        <v>407576.23599999998</v>
      </c>
      <c r="R98" s="15">
        <v>3659949.5</v>
      </c>
      <c r="T98">
        <v>2009033</v>
      </c>
      <c r="U98" t="s">
        <v>624</v>
      </c>
      <c r="V98">
        <v>4.922E-2</v>
      </c>
      <c r="W98">
        <v>0.38084000000000001</v>
      </c>
      <c r="X98">
        <v>3.3270000000000001E-2</v>
      </c>
      <c r="Y98">
        <v>1.4202399999999999</v>
      </c>
      <c r="Z98">
        <v>40.244819999999997</v>
      </c>
      <c r="AA98">
        <v>16.731169999999999</v>
      </c>
      <c r="AB98">
        <v>-1.2039200000000001</v>
      </c>
      <c r="AD98" s="23">
        <v>95</v>
      </c>
      <c r="AE98" s="26" t="s">
        <v>623</v>
      </c>
      <c r="AF98" s="23">
        <v>5.1749999999999997E-2</v>
      </c>
      <c r="AG98" s="23">
        <v>0.38181999999999999</v>
      </c>
      <c r="AH98" s="23">
        <v>3.1140000000000001E-2</v>
      </c>
      <c r="AI98" s="23">
        <v>1.38507</v>
      </c>
      <c r="AJ98" s="23">
        <v>31.4313</v>
      </c>
      <c r="AK98" s="23">
        <v>14.27609</v>
      </c>
      <c r="AL98" s="23">
        <v>-1.2742899999999999</v>
      </c>
      <c r="AM98" s="25">
        <v>1.3096375</v>
      </c>
      <c r="AN98" s="25">
        <v>0.38107260387459313</v>
      </c>
      <c r="AO98" s="25">
        <v>0.18443616020470974</v>
      </c>
      <c r="AP98" s="25">
        <v>8.2700819890082614E-2</v>
      </c>
      <c r="AQ98" s="24">
        <v>1.6401575997323283</v>
      </c>
      <c r="AR98" s="23">
        <v>-99</v>
      </c>
    </row>
    <row r="99" spans="1:44" x14ac:dyDescent="0.25">
      <c r="A99" s="4">
        <v>24</v>
      </c>
      <c r="B99">
        <v>120</v>
      </c>
      <c r="C99" s="16">
        <v>50</v>
      </c>
      <c r="D99">
        <v>20</v>
      </c>
      <c r="E99" s="3">
        <v>25.5</v>
      </c>
      <c r="F99" s="3">
        <f>1.8*E99+32</f>
        <v>77.900000000000006</v>
      </c>
      <c r="G99" s="3">
        <v>8</v>
      </c>
      <c r="H99" s="3">
        <f>IF(F99&gt;68,G99+(F99-68)*0.2,G247-(68-F99)*0.2)</f>
        <v>9.98</v>
      </c>
      <c r="I99" s="3">
        <v>23</v>
      </c>
      <c r="J99" s="3">
        <f>1.8*I99+32</f>
        <v>73.400000000000006</v>
      </c>
      <c r="K99" s="3">
        <v>5</v>
      </c>
      <c r="L99" s="3">
        <f>IF(J99&gt;68,K99+(J99-68)*0.2,K99-(68-J99)*0.2)</f>
        <v>6.080000000000001</v>
      </c>
      <c r="M99" s="3">
        <f>(C99-H99)/C99*100</f>
        <v>80.039999999999992</v>
      </c>
      <c r="N99" s="3">
        <f>100-(M99+O99)</f>
        <v>7.8000000000000114</v>
      </c>
      <c r="O99" s="3">
        <f>L99/C99*100</f>
        <v>12.160000000000002</v>
      </c>
      <c r="P99" s="1" t="s">
        <v>0</v>
      </c>
      <c r="Q99" s="15">
        <v>407576.23599999998</v>
      </c>
      <c r="R99" s="15">
        <v>3659949.5</v>
      </c>
      <c r="T99">
        <v>2009033</v>
      </c>
      <c r="U99" t="s">
        <v>622</v>
      </c>
      <c r="V99">
        <v>6.4460000000000003E-2</v>
      </c>
      <c r="W99">
        <v>0.38941999999999999</v>
      </c>
      <c r="X99">
        <v>2.5170000000000001E-2</v>
      </c>
      <c r="Y99">
        <v>1.33779</v>
      </c>
      <c r="Z99">
        <v>14.48663</v>
      </c>
      <c r="AA99">
        <v>8.78979</v>
      </c>
      <c r="AB99">
        <v>-1.38846</v>
      </c>
      <c r="AD99" s="23">
        <v>96</v>
      </c>
      <c r="AE99" s="26" t="s">
        <v>621</v>
      </c>
      <c r="AF99" s="23">
        <v>5.4859999999999999E-2</v>
      </c>
      <c r="AG99" s="23">
        <v>0.38253999999999999</v>
      </c>
      <c r="AH99" s="23">
        <v>2.9479999999999999E-2</v>
      </c>
      <c r="AI99" s="23">
        <v>1.3669800000000001</v>
      </c>
      <c r="AJ99" s="23">
        <v>25.766960000000001</v>
      </c>
      <c r="AK99" s="23">
        <v>12.48915</v>
      </c>
      <c r="AL99" s="23">
        <v>-1.3234699999999999</v>
      </c>
      <c r="AM99" s="25">
        <v>1.0736233333333334</v>
      </c>
      <c r="AN99" s="25">
        <v>0.38183207905091143</v>
      </c>
      <c r="AO99" s="25">
        <v>0.19494436901903836</v>
      </c>
      <c r="AP99" s="25">
        <v>8.9897457164082983E-2</v>
      </c>
      <c r="AQ99" s="24">
        <v>1.6381449905150847</v>
      </c>
      <c r="AR99" s="23">
        <v>-99</v>
      </c>
    </row>
    <row r="100" spans="1:44" x14ac:dyDescent="0.25">
      <c r="A100" s="4">
        <v>24</v>
      </c>
      <c r="B100">
        <v>150</v>
      </c>
      <c r="C100" s="16">
        <v>50</v>
      </c>
      <c r="D100">
        <v>20</v>
      </c>
      <c r="E100" s="3">
        <v>26</v>
      </c>
      <c r="F100" s="3">
        <f>1.8*E100+32</f>
        <v>78.800000000000011</v>
      </c>
      <c r="G100" s="3">
        <v>13</v>
      </c>
      <c r="H100" s="3">
        <f>IF(F100&gt;68,G100+(F100-68)*0.2,G248-(68-F100)*0.2)</f>
        <v>15.160000000000002</v>
      </c>
      <c r="I100" s="3">
        <v>23</v>
      </c>
      <c r="J100" s="3">
        <f>1.8*I100+32</f>
        <v>73.400000000000006</v>
      </c>
      <c r="K100" s="3">
        <v>7</v>
      </c>
      <c r="L100" s="3">
        <f>IF(J100&gt;68,K100+(J100-68)*0.2,K100-(68-J100)*0.2)</f>
        <v>8.0800000000000018</v>
      </c>
      <c r="M100" s="3">
        <f>(C100-H100)/C100*100</f>
        <v>69.679999999999993</v>
      </c>
      <c r="N100" s="3">
        <f>100-(M100+O100)</f>
        <v>14.159999999999997</v>
      </c>
      <c r="O100" s="3">
        <f>L100/C100*100</f>
        <v>16.160000000000004</v>
      </c>
      <c r="P100" s="1" t="s">
        <v>0</v>
      </c>
      <c r="Q100" s="15">
        <v>407576.23599999998</v>
      </c>
      <c r="R100" s="15">
        <v>3659949.5</v>
      </c>
      <c r="T100">
        <v>2009033</v>
      </c>
      <c r="U100" t="s">
        <v>620</v>
      </c>
      <c r="V100">
        <v>6.4009999999999997E-2</v>
      </c>
      <c r="W100">
        <v>0.38593</v>
      </c>
      <c r="X100">
        <v>2.665E-2</v>
      </c>
      <c r="Y100">
        <v>1.3286800000000001</v>
      </c>
      <c r="Z100">
        <v>15.39795</v>
      </c>
      <c r="AA100">
        <v>9.2838600000000007</v>
      </c>
      <c r="AB100">
        <v>-1.48587</v>
      </c>
      <c r="AD100" s="23">
        <v>97</v>
      </c>
      <c r="AE100" s="26" t="s">
        <v>619</v>
      </c>
      <c r="AF100" s="23">
        <v>5.4989999999999997E-2</v>
      </c>
      <c r="AG100" s="23">
        <v>0.37895000000000001</v>
      </c>
      <c r="AH100" s="23">
        <v>3.074E-2</v>
      </c>
      <c r="AI100" s="23">
        <v>1.3812500000000001</v>
      </c>
      <c r="AJ100" s="23">
        <v>28.939609999999998</v>
      </c>
      <c r="AK100" s="23">
        <v>13.166790000000001</v>
      </c>
      <c r="AL100" s="23">
        <v>-1.32209</v>
      </c>
      <c r="AM100" s="25">
        <v>1.2058170833333333</v>
      </c>
      <c r="AN100" s="25">
        <v>0.37822503036503741</v>
      </c>
      <c r="AO100" s="25">
        <v>0.18701082979728501</v>
      </c>
      <c r="AP100" s="25">
        <v>8.6243194950703705E-2</v>
      </c>
      <c r="AQ100" s="24">
        <v>1.6477036695326508</v>
      </c>
      <c r="AR100" s="23">
        <v>-99</v>
      </c>
    </row>
    <row r="101" spans="1:44" x14ac:dyDescent="0.25">
      <c r="A101" s="4">
        <v>24</v>
      </c>
      <c r="B101">
        <v>180</v>
      </c>
      <c r="C101" s="16">
        <v>50</v>
      </c>
      <c r="D101">
        <v>20</v>
      </c>
      <c r="E101" s="3">
        <v>26</v>
      </c>
      <c r="F101" s="3">
        <f>1.8*E101+32</f>
        <v>78.800000000000011</v>
      </c>
      <c r="G101" s="3">
        <v>13</v>
      </c>
      <c r="H101" s="3">
        <f>IF(F101&gt;68,G101+(F101-68)*0.2,G249-(68-F101)*0.2)</f>
        <v>15.160000000000002</v>
      </c>
      <c r="I101" s="3">
        <v>23</v>
      </c>
      <c r="J101" s="3">
        <f>1.8*I101+32</f>
        <v>73.400000000000006</v>
      </c>
      <c r="K101" s="3">
        <v>7</v>
      </c>
      <c r="L101" s="3">
        <f>IF(J101&gt;68,K101+(J101-68)*0.2,K101-(68-J101)*0.2)</f>
        <v>8.0800000000000018</v>
      </c>
      <c r="M101" s="3">
        <f>(C101-H101)/C101*100</f>
        <v>69.679999999999993</v>
      </c>
      <c r="N101" s="3">
        <f>100-(M101+O101)</f>
        <v>14.159999999999997</v>
      </c>
      <c r="O101" s="3">
        <f>L101/C101*100</f>
        <v>16.160000000000004</v>
      </c>
      <c r="P101" s="1" t="s">
        <v>0</v>
      </c>
      <c r="Q101" s="15">
        <v>407576.23599999998</v>
      </c>
      <c r="R101" s="15">
        <v>3659949.5</v>
      </c>
      <c r="T101">
        <v>2009033</v>
      </c>
      <c r="U101" t="s">
        <v>618</v>
      </c>
      <c r="V101">
        <v>5.1749999999999997E-2</v>
      </c>
      <c r="W101">
        <v>0.38181999999999999</v>
      </c>
      <c r="X101">
        <v>3.1140000000000001E-2</v>
      </c>
      <c r="Y101">
        <v>1.38507</v>
      </c>
      <c r="Z101">
        <v>31.4313</v>
      </c>
      <c r="AA101">
        <v>14.27609</v>
      </c>
      <c r="AB101">
        <v>-1.2742899999999999</v>
      </c>
      <c r="AD101" s="23">
        <v>98</v>
      </c>
      <c r="AE101" s="26" t="s">
        <v>617</v>
      </c>
      <c r="AF101" s="23">
        <v>6.658E-2</v>
      </c>
      <c r="AG101" s="23">
        <v>0.40786</v>
      </c>
      <c r="AH101" s="23">
        <v>1.268E-2</v>
      </c>
      <c r="AI101" s="23">
        <v>1.4462900000000001</v>
      </c>
      <c r="AJ101" s="23">
        <v>8.0505399999999998</v>
      </c>
      <c r="AK101" s="23">
        <v>4.0363300000000004</v>
      </c>
      <c r="AL101" s="23">
        <v>-0.53008999999999995</v>
      </c>
      <c r="AM101" s="25">
        <v>0.33543916666666668</v>
      </c>
      <c r="AN101" s="25">
        <v>0.40767010200933562</v>
      </c>
      <c r="AO101" s="25">
        <v>0.23964146344125381</v>
      </c>
      <c r="AP101" s="25">
        <v>9.9378521800978808E-2</v>
      </c>
      <c r="AQ101" s="24">
        <v>1.5696742296752606</v>
      </c>
      <c r="AR101" s="23">
        <v>-99</v>
      </c>
    </row>
    <row r="102" spans="1:44" x14ac:dyDescent="0.25">
      <c r="Q102" s="18"/>
      <c r="R102" s="18"/>
      <c r="T102">
        <v>2009033</v>
      </c>
      <c r="U102" t="s">
        <v>616</v>
      </c>
      <c r="V102">
        <v>5.4859999999999999E-2</v>
      </c>
      <c r="W102">
        <v>0.38253999999999999</v>
      </c>
      <c r="X102">
        <v>2.9479999999999999E-2</v>
      </c>
      <c r="Y102">
        <v>1.3669800000000001</v>
      </c>
      <c r="Z102">
        <v>25.766960000000001</v>
      </c>
      <c r="AA102">
        <v>12.48915</v>
      </c>
      <c r="AB102">
        <v>-1.3234699999999999</v>
      </c>
      <c r="AD102" s="23">
        <v>99</v>
      </c>
      <c r="AE102" s="26" t="s">
        <v>615</v>
      </c>
      <c r="AF102" s="23">
        <v>6.336E-2</v>
      </c>
      <c r="AG102" s="23">
        <v>0.38857000000000003</v>
      </c>
      <c r="AH102" s="23">
        <v>2.545E-2</v>
      </c>
      <c r="AI102" s="23">
        <v>1.34094</v>
      </c>
      <c r="AJ102" s="23">
        <v>15.39457</v>
      </c>
      <c r="AK102" s="23">
        <v>9.0712299999999999</v>
      </c>
      <c r="AL102" s="23">
        <v>-1.37595</v>
      </c>
      <c r="AM102" s="25">
        <v>0.64144041666666662</v>
      </c>
      <c r="AN102" s="25">
        <v>0.3879707900070084</v>
      </c>
      <c r="AO102" s="25">
        <v>0.21810316476143671</v>
      </c>
      <c r="AP102" s="25">
        <v>0.10620439749152069</v>
      </c>
      <c r="AQ102" s="24">
        <v>1.6218774064814276</v>
      </c>
      <c r="AR102" s="23">
        <v>-99</v>
      </c>
    </row>
    <row r="103" spans="1:44" ht="51.75" x14ac:dyDescent="0.25">
      <c r="A103" s="14" t="s">
        <v>21</v>
      </c>
      <c r="B103" s="9" t="s">
        <v>20</v>
      </c>
      <c r="C103" s="13" t="s">
        <v>19</v>
      </c>
      <c r="D103" s="12" t="s">
        <v>18</v>
      </c>
      <c r="E103" s="11" t="s">
        <v>17</v>
      </c>
      <c r="F103" s="11" t="s">
        <v>16</v>
      </c>
      <c r="G103" s="11" t="s">
        <v>15</v>
      </c>
      <c r="H103" s="11" t="s">
        <v>14</v>
      </c>
      <c r="I103" s="11" t="s">
        <v>13</v>
      </c>
      <c r="J103" s="11" t="s">
        <v>12</v>
      </c>
      <c r="K103" s="11" t="s">
        <v>11</v>
      </c>
      <c r="L103" s="11" t="s">
        <v>10</v>
      </c>
      <c r="M103" s="10" t="s">
        <v>9</v>
      </c>
      <c r="N103" s="10" t="s">
        <v>8</v>
      </c>
      <c r="O103" s="10" t="s">
        <v>7</v>
      </c>
      <c r="P103" s="9" t="s">
        <v>6</v>
      </c>
      <c r="Q103" s="21" t="s">
        <v>5</v>
      </c>
      <c r="R103" s="20"/>
      <c r="T103">
        <v>2009033</v>
      </c>
      <c r="U103" t="s">
        <v>614</v>
      </c>
      <c r="V103">
        <v>5.4989999999999997E-2</v>
      </c>
      <c r="W103">
        <v>0.37895000000000001</v>
      </c>
      <c r="X103">
        <v>3.074E-2</v>
      </c>
      <c r="Y103">
        <v>1.3812500000000001</v>
      </c>
      <c r="Z103">
        <v>28.939609999999998</v>
      </c>
      <c r="AA103">
        <v>13.166790000000001</v>
      </c>
      <c r="AB103">
        <v>-1.32209</v>
      </c>
      <c r="AD103" s="23">
        <v>100</v>
      </c>
      <c r="AE103" s="26" t="s">
        <v>613</v>
      </c>
      <c r="AF103" s="23">
        <v>5.7500000000000002E-2</v>
      </c>
      <c r="AG103" s="23">
        <v>0.38168000000000002</v>
      </c>
      <c r="AH103" s="23">
        <v>2.9090000000000001E-2</v>
      </c>
      <c r="AI103" s="23">
        <v>1.3553200000000001</v>
      </c>
      <c r="AJ103" s="23">
        <v>22.827449999999999</v>
      </c>
      <c r="AK103" s="23">
        <v>11.60252</v>
      </c>
      <c r="AL103" s="23">
        <v>-1.3874599999999999</v>
      </c>
      <c r="AM103" s="25">
        <v>0.95114374999999995</v>
      </c>
      <c r="AN103" s="25">
        <v>0.38098018251947463</v>
      </c>
      <c r="AO103" s="25">
        <v>0.20047033910375564</v>
      </c>
      <c r="AP103" s="25">
        <v>9.4891247803211287E-2</v>
      </c>
      <c r="AQ103" s="24">
        <v>1.6404025163233922</v>
      </c>
      <c r="AR103" s="23">
        <v>-99</v>
      </c>
    </row>
    <row r="104" spans="1:44" x14ac:dyDescent="0.25"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1"/>
      <c r="Q104" s="5" t="s">
        <v>4</v>
      </c>
      <c r="R104" s="5" t="s">
        <v>3</v>
      </c>
      <c r="T104">
        <v>2009033</v>
      </c>
      <c r="U104" t="s">
        <v>612</v>
      </c>
      <c r="V104">
        <v>6.658E-2</v>
      </c>
      <c r="W104">
        <v>0.40786</v>
      </c>
      <c r="X104">
        <v>1.268E-2</v>
      </c>
      <c r="Y104">
        <v>1.4462900000000001</v>
      </c>
      <c r="Z104">
        <v>8.0505399999999998</v>
      </c>
      <c r="AA104">
        <v>4.0363300000000004</v>
      </c>
      <c r="AB104">
        <v>-0.53008999999999995</v>
      </c>
      <c r="AD104" s="23">
        <v>101</v>
      </c>
      <c r="AE104" s="26" t="s">
        <v>611</v>
      </c>
      <c r="AF104" s="23">
        <v>6.2869999999999995E-2</v>
      </c>
      <c r="AG104" s="23">
        <v>0.38408999999999999</v>
      </c>
      <c r="AH104" s="23">
        <v>2.7320000000000001E-2</v>
      </c>
      <c r="AI104" s="23">
        <v>1.3305499999999999</v>
      </c>
      <c r="AJ104" s="23">
        <v>16.587289999999999</v>
      </c>
      <c r="AK104" s="23">
        <v>9.6931600000000007</v>
      </c>
      <c r="AL104" s="23">
        <v>-1.49211</v>
      </c>
      <c r="AM104" s="25">
        <v>0.69113708333333335</v>
      </c>
      <c r="AN104" s="25">
        <v>0.38343018377884824</v>
      </c>
      <c r="AO104" s="25">
        <v>0.2157181568049219</v>
      </c>
      <c r="AP104" s="25">
        <v>0.10684247193497465</v>
      </c>
      <c r="AQ104" s="24">
        <v>1.633910012986052</v>
      </c>
      <c r="AR104" s="23">
        <v>-99</v>
      </c>
    </row>
    <row r="105" spans="1:44" x14ac:dyDescent="0.25">
      <c r="A105" s="4">
        <v>25</v>
      </c>
      <c r="B105">
        <v>30</v>
      </c>
      <c r="C105">
        <v>50</v>
      </c>
      <c r="D105">
        <v>20</v>
      </c>
      <c r="E105" s="3">
        <v>25</v>
      </c>
      <c r="F105" s="3">
        <f>1.8*E105+32</f>
        <v>77</v>
      </c>
      <c r="G105" s="3">
        <v>19</v>
      </c>
      <c r="H105" s="3">
        <f>IF(F105&gt;68,G105+(F105-68)*0.2,G253-(68-F105)*0.2)</f>
        <v>20.8</v>
      </c>
      <c r="I105" s="3">
        <v>23</v>
      </c>
      <c r="J105" s="3">
        <f>1.8*I105+32</f>
        <v>73.400000000000006</v>
      </c>
      <c r="K105" s="3">
        <v>10</v>
      </c>
      <c r="L105" s="3">
        <f>IF(J105&gt;67,K105+(J105-67)*0.2,K105-(67-J105)*0.2)</f>
        <v>11.280000000000001</v>
      </c>
      <c r="M105" s="3">
        <f>(C105-H105)/C105*100</f>
        <v>58.4</v>
      </c>
      <c r="N105" s="3">
        <f>100-(M105+O105)</f>
        <v>19.039999999999992</v>
      </c>
      <c r="O105" s="3">
        <f>L105/C105*100</f>
        <v>22.560000000000002</v>
      </c>
      <c r="P105" s="1" t="s">
        <v>2</v>
      </c>
      <c r="Q105" s="15">
        <v>407576.23599999998</v>
      </c>
      <c r="R105" s="15">
        <v>3659976</v>
      </c>
      <c r="T105">
        <v>2009033</v>
      </c>
      <c r="U105" t="s">
        <v>610</v>
      </c>
      <c r="V105">
        <v>6.336E-2</v>
      </c>
      <c r="W105">
        <v>0.38857000000000003</v>
      </c>
      <c r="X105">
        <v>2.545E-2</v>
      </c>
      <c r="Y105">
        <v>1.34094</v>
      </c>
      <c r="Z105">
        <v>15.39457</v>
      </c>
      <c r="AA105">
        <v>9.0712299999999999</v>
      </c>
      <c r="AB105">
        <v>-1.37595</v>
      </c>
      <c r="AD105" s="23">
        <v>102</v>
      </c>
      <c r="AE105" s="26" t="s">
        <v>609</v>
      </c>
      <c r="AF105" s="23">
        <v>6.3270000000000007E-2</v>
      </c>
      <c r="AG105" s="23">
        <v>0.38352999999999998</v>
      </c>
      <c r="AH105" s="23">
        <v>2.7439999999999999E-2</v>
      </c>
      <c r="AI105" s="23">
        <v>1.3272900000000001</v>
      </c>
      <c r="AJ105" s="23">
        <v>16.324159999999999</v>
      </c>
      <c r="AK105" s="23">
        <v>9.6265900000000002</v>
      </c>
      <c r="AL105" s="23">
        <v>-1.51793</v>
      </c>
      <c r="AM105" s="25">
        <v>0.6801733333333333</v>
      </c>
      <c r="AN105" s="25">
        <v>0.38286553626927816</v>
      </c>
      <c r="AO105" s="25">
        <v>0.21655420133259023</v>
      </c>
      <c r="AP105" s="25">
        <v>0.10791520174582825</v>
      </c>
      <c r="AQ105" s="24">
        <v>1.6354063288864129</v>
      </c>
      <c r="AR105" s="23">
        <v>-99</v>
      </c>
    </row>
    <row r="106" spans="1:44" x14ac:dyDescent="0.25">
      <c r="A106" s="4">
        <v>25</v>
      </c>
      <c r="B106">
        <v>60</v>
      </c>
      <c r="C106">
        <v>50</v>
      </c>
      <c r="D106">
        <v>20</v>
      </c>
      <c r="E106" s="3">
        <v>26</v>
      </c>
      <c r="F106" s="3">
        <f>1.8*E106+32</f>
        <v>78.800000000000011</v>
      </c>
      <c r="G106" s="3">
        <v>18</v>
      </c>
      <c r="H106" s="3">
        <f>IF(F106&gt;68,G106+(F106-68)*0.2,G254-(68-F106)*0.2)</f>
        <v>20.160000000000004</v>
      </c>
      <c r="I106" s="3">
        <v>23</v>
      </c>
      <c r="J106" s="3">
        <f>1.8*I106+32</f>
        <v>73.400000000000006</v>
      </c>
      <c r="K106" s="3">
        <v>11</v>
      </c>
      <c r="L106" s="3">
        <f>IF(J106&gt;67,K106+(J106-67)*0.2,K106-(67-J106)*0.2)</f>
        <v>12.280000000000001</v>
      </c>
      <c r="M106" s="3">
        <f>(C106-H106)/C106*100</f>
        <v>59.679999999999986</v>
      </c>
      <c r="N106" s="3">
        <f>100-(M106+O106)</f>
        <v>15.760000000000019</v>
      </c>
      <c r="O106" s="3">
        <f>L106/C106*100</f>
        <v>24.560000000000002</v>
      </c>
      <c r="P106" s="1" t="s">
        <v>2</v>
      </c>
      <c r="Q106" s="15">
        <v>407576.23599999998</v>
      </c>
      <c r="R106" s="15">
        <v>3659976</v>
      </c>
      <c r="T106">
        <v>2009033</v>
      </c>
      <c r="U106" t="s">
        <v>608</v>
      </c>
      <c r="V106">
        <v>5.7500000000000002E-2</v>
      </c>
      <c r="W106">
        <v>0.38168000000000002</v>
      </c>
      <c r="X106">
        <v>2.9090000000000001E-2</v>
      </c>
      <c r="Y106">
        <v>1.3553200000000001</v>
      </c>
      <c r="Z106">
        <v>22.827449999999999</v>
      </c>
      <c r="AA106">
        <v>11.60252</v>
      </c>
      <c r="AB106">
        <v>-1.3874599999999999</v>
      </c>
      <c r="AD106" s="23">
        <v>103</v>
      </c>
      <c r="AE106" s="26" t="s">
        <v>607</v>
      </c>
      <c r="AF106" s="23">
        <v>5.9929999999999997E-2</v>
      </c>
      <c r="AG106" s="23">
        <v>0.38038</v>
      </c>
      <c r="AH106" s="23">
        <v>2.8760000000000001E-2</v>
      </c>
      <c r="AI106" s="23">
        <v>1.3432299999999999</v>
      </c>
      <c r="AJ106" s="23">
        <v>20.237549999999999</v>
      </c>
      <c r="AK106" s="23">
        <v>10.80687</v>
      </c>
      <c r="AL106" s="23">
        <v>-1.4583699999999999</v>
      </c>
      <c r="AM106" s="25">
        <v>0.84323124999999999</v>
      </c>
      <c r="AN106" s="25">
        <v>0.37968707967253013</v>
      </c>
      <c r="AO106" s="25">
        <v>0.20573088731838463</v>
      </c>
      <c r="AP106" s="25">
        <v>9.9865424888584894E-2</v>
      </c>
      <c r="AQ106" s="24">
        <v>1.6438292388677951</v>
      </c>
      <c r="AR106" s="23">
        <v>-99</v>
      </c>
    </row>
    <row r="107" spans="1:44" x14ac:dyDescent="0.25">
      <c r="A107" s="4">
        <v>25</v>
      </c>
      <c r="B107">
        <v>90</v>
      </c>
      <c r="C107">
        <v>50</v>
      </c>
      <c r="D107">
        <v>20</v>
      </c>
      <c r="E107" s="3">
        <v>26</v>
      </c>
      <c r="F107" s="3">
        <f>1.8*E107+32</f>
        <v>78.800000000000011</v>
      </c>
      <c r="G107" s="3">
        <v>15</v>
      </c>
      <c r="H107" s="3">
        <f>IF(F107&gt;68,G107+(F107-68)*0.2,G256-(68-F107)*0.2)</f>
        <v>17.160000000000004</v>
      </c>
      <c r="I107" s="3">
        <v>23</v>
      </c>
      <c r="J107" s="3">
        <f>1.8*I107+32</f>
        <v>73.400000000000006</v>
      </c>
      <c r="K107" s="3">
        <v>8</v>
      </c>
      <c r="L107" s="3">
        <f>IF(J107&gt;67,K107+(J107-67)*0.2,K107-(67-J107)*0.2)</f>
        <v>9.2800000000000011</v>
      </c>
      <c r="M107" s="3">
        <f>(C107-H107)/C107*100</f>
        <v>65.679999999999993</v>
      </c>
      <c r="N107" s="3">
        <f>100-(M107+O107)</f>
        <v>15.760000000000005</v>
      </c>
      <c r="O107" s="3">
        <f>L107/C107*100</f>
        <v>18.560000000000002</v>
      </c>
      <c r="P107" s="1" t="s">
        <v>0</v>
      </c>
      <c r="Q107" s="15">
        <v>407576.23599999998</v>
      </c>
      <c r="R107" s="15">
        <v>3659976</v>
      </c>
      <c r="T107">
        <v>2009033</v>
      </c>
      <c r="U107" t="s">
        <v>606</v>
      </c>
      <c r="V107">
        <v>6.2869999999999995E-2</v>
      </c>
      <c r="W107">
        <v>0.38408999999999999</v>
      </c>
      <c r="X107">
        <v>2.7320000000000001E-2</v>
      </c>
      <c r="Y107">
        <v>1.3305499999999999</v>
      </c>
      <c r="Z107">
        <v>16.587289999999999</v>
      </c>
      <c r="AA107">
        <v>9.6931600000000007</v>
      </c>
      <c r="AB107">
        <v>-1.49211</v>
      </c>
      <c r="AD107" s="23">
        <v>104</v>
      </c>
      <c r="AE107" s="26" t="s">
        <v>605</v>
      </c>
      <c r="AF107" s="23">
        <v>4.981E-2</v>
      </c>
      <c r="AG107" s="23">
        <v>0.37779000000000001</v>
      </c>
      <c r="AH107" s="23">
        <v>3.3750000000000002E-2</v>
      </c>
      <c r="AI107" s="23">
        <v>1.60958</v>
      </c>
      <c r="AJ107" s="23">
        <v>75.001750000000001</v>
      </c>
      <c r="AK107" s="23">
        <v>19.872330000000002</v>
      </c>
      <c r="AL107" s="23">
        <v>-0.98441000000000001</v>
      </c>
      <c r="AM107" s="25">
        <v>3.1250729166666669</v>
      </c>
      <c r="AN107" s="25">
        <v>0.37726030437134372</v>
      </c>
      <c r="AO107" s="25">
        <v>0.12428928919997304</v>
      </c>
      <c r="AP107" s="25">
        <v>5.7177382612756011E-2</v>
      </c>
      <c r="AQ107" s="24">
        <v>1.6502601934159391</v>
      </c>
      <c r="AR107" s="23">
        <v>-99</v>
      </c>
    </row>
    <row r="108" spans="1:44" x14ac:dyDescent="0.25">
      <c r="A108" s="4">
        <v>25</v>
      </c>
      <c r="B108">
        <v>120</v>
      </c>
      <c r="C108">
        <v>50</v>
      </c>
      <c r="D108">
        <v>20</v>
      </c>
      <c r="E108" s="3">
        <v>26</v>
      </c>
      <c r="F108" s="3">
        <f>1.8*E108+32</f>
        <v>78.800000000000011</v>
      </c>
      <c r="G108" s="3">
        <v>13</v>
      </c>
      <c r="H108" s="3">
        <f>IF(F108&gt;68,G108+(F108-68)*0.2,G257-(68-F108)*0.2)</f>
        <v>15.160000000000002</v>
      </c>
      <c r="I108" s="3">
        <v>23</v>
      </c>
      <c r="J108" s="3">
        <f>1.8*I108+32</f>
        <v>73.400000000000006</v>
      </c>
      <c r="K108" s="3">
        <v>8</v>
      </c>
      <c r="L108" s="3">
        <f>IF(J108&gt;67,K108+(J108-67)*0.2,K108-(67-J108)*0.2)</f>
        <v>9.2800000000000011</v>
      </c>
      <c r="M108" s="3">
        <f>(C108-H108)/C108*100</f>
        <v>69.679999999999993</v>
      </c>
      <c r="N108" s="3">
        <f>100-(M108+O108)</f>
        <v>11.760000000000005</v>
      </c>
      <c r="O108" s="3">
        <f>L108/C108*100</f>
        <v>18.560000000000002</v>
      </c>
      <c r="P108" s="1" t="s">
        <v>0</v>
      </c>
      <c r="Q108" s="15">
        <v>407576.23599999998</v>
      </c>
      <c r="R108" s="15">
        <v>3659976</v>
      </c>
      <c r="T108">
        <v>2009033</v>
      </c>
      <c r="U108" t="s">
        <v>604</v>
      </c>
      <c r="V108">
        <v>6.3270000000000007E-2</v>
      </c>
      <c r="W108">
        <v>0.38352999999999998</v>
      </c>
      <c r="X108">
        <v>2.7439999999999999E-2</v>
      </c>
      <c r="Y108">
        <v>1.3272900000000001</v>
      </c>
      <c r="Z108">
        <v>16.324159999999999</v>
      </c>
      <c r="AA108">
        <v>9.6265900000000002</v>
      </c>
      <c r="AB108">
        <v>-1.51793</v>
      </c>
      <c r="AD108" s="23">
        <v>105</v>
      </c>
      <c r="AE108" s="26" t="s">
        <v>603</v>
      </c>
      <c r="AF108" s="23">
        <v>4.913E-2</v>
      </c>
      <c r="AG108" s="23">
        <v>0.37830999999999998</v>
      </c>
      <c r="AH108" s="23">
        <v>3.424E-2</v>
      </c>
      <c r="AI108" s="23">
        <v>1.61548</v>
      </c>
      <c r="AJ108" s="23">
        <v>77.038880000000006</v>
      </c>
      <c r="AK108" s="23">
        <v>20.63203</v>
      </c>
      <c r="AL108" s="23">
        <v>-0.97867000000000004</v>
      </c>
      <c r="AM108" s="25">
        <v>3.2099533333333334</v>
      </c>
      <c r="AN108" s="25">
        <v>0.37777342546761106</v>
      </c>
      <c r="AO108" s="25">
        <v>0.12218860351873218</v>
      </c>
      <c r="AP108" s="25">
        <v>5.6194656375922636E-2</v>
      </c>
      <c r="AQ108" s="24">
        <v>1.6489004225108306</v>
      </c>
      <c r="AR108" s="23">
        <v>-99</v>
      </c>
    </row>
    <row r="109" spans="1:44" x14ac:dyDescent="0.25">
      <c r="A109" s="4">
        <v>25</v>
      </c>
      <c r="B109">
        <v>150</v>
      </c>
      <c r="C109">
        <v>50</v>
      </c>
      <c r="D109">
        <v>20</v>
      </c>
      <c r="E109" s="3">
        <v>26</v>
      </c>
      <c r="F109" s="3">
        <f>1.8*E109+32</f>
        <v>78.800000000000011</v>
      </c>
      <c r="G109" s="3">
        <v>13</v>
      </c>
      <c r="H109" s="3">
        <f>IF(F109&gt;68,G109+(F109-68)*0.2,G258-(68-F109)*0.2)</f>
        <v>15.160000000000002</v>
      </c>
      <c r="I109" s="3">
        <v>23</v>
      </c>
      <c r="J109" s="3">
        <f>1.8*I109+32</f>
        <v>73.400000000000006</v>
      </c>
      <c r="K109" s="3">
        <v>8</v>
      </c>
      <c r="L109" s="3">
        <f>IF(J109&gt;67,K109+(J109-67)*0.2,K109-(67-J109)*0.2)</f>
        <v>9.2800000000000011</v>
      </c>
      <c r="M109" s="3">
        <f>(C109-H109)/C109*100</f>
        <v>69.679999999999993</v>
      </c>
      <c r="N109" s="3">
        <f>100-(M109+O109)</f>
        <v>11.760000000000005</v>
      </c>
      <c r="O109" s="3">
        <f>L109/C109*100</f>
        <v>18.560000000000002</v>
      </c>
      <c r="P109" s="1" t="s">
        <v>0</v>
      </c>
      <c r="Q109" s="15">
        <v>407576.23599999998</v>
      </c>
      <c r="R109" s="15">
        <v>3659976</v>
      </c>
      <c r="T109">
        <v>2009033</v>
      </c>
      <c r="U109" t="s">
        <v>602</v>
      </c>
      <c r="V109">
        <v>5.9929999999999997E-2</v>
      </c>
      <c r="W109">
        <v>0.38038</v>
      </c>
      <c r="X109">
        <v>2.8760000000000001E-2</v>
      </c>
      <c r="Y109">
        <v>1.3432299999999999</v>
      </c>
      <c r="Z109">
        <v>20.237549999999999</v>
      </c>
      <c r="AA109">
        <v>10.80687</v>
      </c>
      <c r="AB109">
        <v>-1.4583699999999999</v>
      </c>
      <c r="AD109" s="23">
        <v>106</v>
      </c>
      <c r="AE109" s="26" t="s">
        <v>601</v>
      </c>
      <c r="AF109" s="23">
        <v>8.7440000000000004E-2</v>
      </c>
      <c r="AG109" s="23">
        <v>0.44045000000000001</v>
      </c>
      <c r="AH109" s="23">
        <v>2.0150000000000001E-2</v>
      </c>
      <c r="AI109" s="23">
        <v>1.27894</v>
      </c>
      <c r="AJ109" s="23">
        <v>6.6308999999999996</v>
      </c>
      <c r="AK109" s="23">
        <v>5.15557</v>
      </c>
      <c r="AL109" s="23">
        <v>-1.5904799999999999</v>
      </c>
      <c r="AM109" s="25">
        <v>0.27628749999999996</v>
      </c>
      <c r="AN109" s="25">
        <v>0.43993008911809467</v>
      </c>
      <c r="AO109" s="25">
        <v>0.2912497208348207</v>
      </c>
      <c r="AP109" s="25">
        <v>0.15919463201498532</v>
      </c>
      <c r="AQ109" s="24">
        <v>1.4841852638370492</v>
      </c>
      <c r="AR109" s="23">
        <v>-99</v>
      </c>
    </row>
    <row r="110" spans="1:44" x14ac:dyDescent="0.25">
      <c r="A110" s="4">
        <v>25</v>
      </c>
      <c r="B110">
        <v>180</v>
      </c>
      <c r="C110">
        <v>50</v>
      </c>
      <c r="D110">
        <v>20</v>
      </c>
      <c r="E110" s="3">
        <v>26</v>
      </c>
      <c r="F110" s="3">
        <f>1.8*E110+32</f>
        <v>78.800000000000011</v>
      </c>
      <c r="G110" s="3">
        <v>18</v>
      </c>
      <c r="H110" s="3">
        <f>IF(F110&gt;68,G110+(F110-68)*0.2,G259-(68-F110)*0.2)</f>
        <v>20.160000000000004</v>
      </c>
      <c r="I110" s="3">
        <v>23</v>
      </c>
      <c r="J110" s="3">
        <f>1.8*I110+32</f>
        <v>73.400000000000006</v>
      </c>
      <c r="K110" s="3">
        <v>10</v>
      </c>
      <c r="L110" s="3">
        <f>IF(J110&gt;67,K110+(J110-67)*0.2,K110-(67-J110)*0.2)</f>
        <v>11.280000000000001</v>
      </c>
      <c r="M110" s="3">
        <f>(C110-H110)/C110*100</f>
        <v>59.679999999999986</v>
      </c>
      <c r="N110" s="3">
        <f>100-(M110+O110)</f>
        <v>17.760000000000019</v>
      </c>
      <c r="O110" s="3">
        <f>L110/C110*100</f>
        <v>22.560000000000002</v>
      </c>
      <c r="P110" s="1" t="s">
        <v>2</v>
      </c>
      <c r="Q110" s="15">
        <v>407576.23599999998</v>
      </c>
      <c r="R110" s="15">
        <v>3659976</v>
      </c>
      <c r="T110">
        <v>2009033</v>
      </c>
      <c r="U110" t="s">
        <v>600</v>
      </c>
      <c r="V110">
        <v>4.981E-2</v>
      </c>
      <c r="W110">
        <v>0.37779000000000001</v>
      </c>
      <c r="X110">
        <v>3.3750000000000002E-2</v>
      </c>
      <c r="Y110">
        <v>1.60958</v>
      </c>
      <c r="Z110">
        <v>75.001750000000001</v>
      </c>
      <c r="AA110">
        <v>19.872330000000002</v>
      </c>
      <c r="AB110">
        <v>-0.98441000000000001</v>
      </c>
      <c r="AD110" s="23">
        <v>107</v>
      </c>
      <c r="AE110" s="26" t="s">
        <v>599</v>
      </c>
      <c r="AF110" s="23">
        <v>7.8359999999999999E-2</v>
      </c>
      <c r="AG110" s="23">
        <v>0.41731000000000001</v>
      </c>
      <c r="AH110" s="23">
        <v>1.857E-2</v>
      </c>
      <c r="AI110" s="23">
        <v>1.3399399999999999</v>
      </c>
      <c r="AJ110" s="23">
        <v>5.8249500000000003</v>
      </c>
      <c r="AK110" s="23">
        <v>5.2664400000000002</v>
      </c>
      <c r="AL110" s="23">
        <v>-1.1675500000000001</v>
      </c>
      <c r="AM110" s="25">
        <v>0.24270625000000001</v>
      </c>
      <c r="AN110" s="25">
        <v>0.41689935819458229</v>
      </c>
      <c r="AO110" s="25">
        <v>0.25699217686149384</v>
      </c>
      <c r="AP110" s="25">
        <v>0.1283584933547913</v>
      </c>
      <c r="AQ110" s="24">
        <v>1.5452167007843567</v>
      </c>
      <c r="AR110" s="23">
        <v>-99</v>
      </c>
    </row>
    <row r="111" spans="1:44" x14ac:dyDescent="0.25">
      <c r="Q111" s="18"/>
      <c r="R111" s="18"/>
      <c r="T111">
        <v>2009033</v>
      </c>
      <c r="U111" t="s">
        <v>598</v>
      </c>
      <c r="V111">
        <v>4.913E-2</v>
      </c>
      <c r="W111">
        <v>0.37830999999999998</v>
      </c>
      <c r="X111">
        <v>3.424E-2</v>
      </c>
      <c r="Y111">
        <v>1.61548</v>
      </c>
      <c r="Z111">
        <v>77.038880000000006</v>
      </c>
      <c r="AA111">
        <v>20.63203</v>
      </c>
      <c r="AB111">
        <v>-0.97867000000000004</v>
      </c>
      <c r="AD111" s="23">
        <v>108</v>
      </c>
      <c r="AE111" s="26" t="s">
        <v>597</v>
      </c>
      <c r="AF111" s="23">
        <v>5.6950000000000001E-2</v>
      </c>
      <c r="AG111" s="23">
        <v>0.38529000000000002</v>
      </c>
      <c r="AH111" s="23">
        <v>2.7289999999999998E-2</v>
      </c>
      <c r="AI111" s="23">
        <v>1.3604499999999999</v>
      </c>
      <c r="AJ111" s="23">
        <v>21.709859999999999</v>
      </c>
      <c r="AK111" s="23">
        <v>11.020020000000001</v>
      </c>
      <c r="AL111" s="23">
        <v>-1.2997300000000001</v>
      </c>
      <c r="AM111" s="25">
        <v>0.90457749999999992</v>
      </c>
      <c r="AN111" s="25">
        <v>0.38464478114660522</v>
      </c>
      <c r="AO111" s="25">
        <v>0.20325984826828938</v>
      </c>
      <c r="AP111" s="25">
        <v>9.4513155586313041E-2</v>
      </c>
      <c r="AQ111" s="24">
        <v>1.6306913299614962</v>
      </c>
      <c r="AR111" s="23">
        <v>-99</v>
      </c>
    </row>
    <row r="112" spans="1:44" ht="51.75" x14ac:dyDescent="0.25">
      <c r="A112" s="14" t="s">
        <v>21</v>
      </c>
      <c r="B112" s="9" t="s">
        <v>20</v>
      </c>
      <c r="C112" s="13" t="s">
        <v>19</v>
      </c>
      <c r="D112" s="12" t="s">
        <v>18</v>
      </c>
      <c r="E112" s="11" t="s">
        <v>17</v>
      </c>
      <c r="F112" s="11" t="s">
        <v>16</v>
      </c>
      <c r="G112" s="11" t="s">
        <v>15</v>
      </c>
      <c r="H112" s="11" t="s">
        <v>14</v>
      </c>
      <c r="I112" s="11" t="s">
        <v>13</v>
      </c>
      <c r="J112" s="11" t="s">
        <v>12</v>
      </c>
      <c r="K112" s="11" t="s">
        <v>11</v>
      </c>
      <c r="L112" s="11" t="s">
        <v>10</v>
      </c>
      <c r="M112" s="10" t="s">
        <v>9</v>
      </c>
      <c r="N112" s="10" t="s">
        <v>8</v>
      </c>
      <c r="O112" s="10" t="s">
        <v>7</v>
      </c>
      <c r="P112" s="9" t="s">
        <v>6</v>
      </c>
      <c r="Q112" s="21" t="s">
        <v>5</v>
      </c>
      <c r="R112" s="20"/>
      <c r="T112">
        <v>2009033</v>
      </c>
      <c r="U112" t="s">
        <v>596</v>
      </c>
      <c r="V112">
        <v>8.7440000000000004E-2</v>
      </c>
      <c r="W112">
        <v>0.44045000000000001</v>
      </c>
      <c r="X112">
        <v>2.0150000000000001E-2</v>
      </c>
      <c r="Y112">
        <v>1.27894</v>
      </c>
      <c r="Z112">
        <v>6.6308999999999996</v>
      </c>
      <c r="AA112">
        <v>5.15557</v>
      </c>
      <c r="AB112">
        <v>-1.5904799999999999</v>
      </c>
      <c r="AD112" s="23">
        <v>109</v>
      </c>
      <c r="AE112" s="26" t="s">
        <v>595</v>
      </c>
      <c r="AF112" s="23">
        <v>6.5740000000000007E-2</v>
      </c>
      <c r="AG112" s="23">
        <v>0.38658999999999999</v>
      </c>
      <c r="AH112" s="23">
        <v>2.6460000000000001E-2</v>
      </c>
      <c r="AI112" s="23">
        <v>1.3202199999999999</v>
      </c>
      <c r="AJ112" s="23">
        <v>14.08291</v>
      </c>
      <c r="AK112" s="23">
        <v>8.8911700000000007</v>
      </c>
      <c r="AL112" s="23">
        <v>-1.5383899999999999</v>
      </c>
      <c r="AM112" s="25">
        <v>0.58678791666666663</v>
      </c>
      <c r="AN112" s="25">
        <v>0.38594974561725026</v>
      </c>
      <c r="AO112" s="25">
        <v>0.22346110031387656</v>
      </c>
      <c r="AP112" s="25">
        <v>0.11295862401453365</v>
      </c>
      <c r="AQ112" s="24">
        <v>1.6272331741142867</v>
      </c>
      <c r="AR112" s="23">
        <v>-99</v>
      </c>
    </row>
    <row r="113" spans="1:44" x14ac:dyDescent="0.25"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1"/>
      <c r="Q113" s="5" t="s">
        <v>4</v>
      </c>
      <c r="R113" s="5" t="s">
        <v>3</v>
      </c>
      <c r="T113">
        <v>2009033</v>
      </c>
      <c r="U113" t="s">
        <v>594</v>
      </c>
      <c r="V113">
        <v>7.8359999999999999E-2</v>
      </c>
      <c r="W113">
        <v>0.41731000000000001</v>
      </c>
      <c r="X113">
        <v>1.857E-2</v>
      </c>
      <c r="Y113">
        <v>1.3399399999999999</v>
      </c>
      <c r="Z113">
        <v>5.8249500000000003</v>
      </c>
      <c r="AA113">
        <v>5.2664400000000002</v>
      </c>
      <c r="AB113">
        <v>-1.1675500000000001</v>
      </c>
      <c r="AD113" s="23">
        <v>110</v>
      </c>
      <c r="AE113" s="26" t="s">
        <v>593</v>
      </c>
      <c r="AF113" s="23">
        <v>5.0880000000000002E-2</v>
      </c>
      <c r="AG113" s="23">
        <v>0.37798999999999999</v>
      </c>
      <c r="AH113" s="23">
        <v>3.3020000000000001E-2</v>
      </c>
      <c r="AI113" s="23">
        <v>1.47878</v>
      </c>
      <c r="AJ113" s="23">
        <v>49.082500000000003</v>
      </c>
      <c r="AK113" s="23">
        <v>16.99277</v>
      </c>
      <c r="AL113" s="23">
        <v>-1.1190899999999999</v>
      </c>
      <c r="AM113" s="25">
        <v>2.0451041666666669</v>
      </c>
      <c r="AN113" s="25">
        <v>0.37730974073590667</v>
      </c>
      <c r="AO113" s="25">
        <v>0.15372368638781067</v>
      </c>
      <c r="AP113" s="25">
        <v>6.7646028980092782E-2</v>
      </c>
      <c r="AQ113" s="24">
        <v>1.6501291870498471</v>
      </c>
      <c r="AR113" s="23">
        <v>-99</v>
      </c>
    </row>
    <row r="114" spans="1:44" x14ac:dyDescent="0.25">
      <c r="A114" s="4">
        <v>26</v>
      </c>
      <c r="B114">
        <v>30</v>
      </c>
      <c r="C114">
        <v>50</v>
      </c>
      <c r="D114">
        <v>20</v>
      </c>
      <c r="E114" s="3">
        <v>26</v>
      </c>
      <c r="F114" s="3">
        <f>1.8*E114+32</f>
        <v>78.800000000000011</v>
      </c>
      <c r="G114" s="3">
        <v>21</v>
      </c>
      <c r="H114" s="3">
        <f>IF(F114&gt;68,G114+(F114-68)*0.2,G263-(68-F114)*0.2)</f>
        <v>23.160000000000004</v>
      </c>
      <c r="I114" s="3">
        <v>23</v>
      </c>
      <c r="J114" s="3">
        <f>1.8*I114+32</f>
        <v>73.400000000000006</v>
      </c>
      <c r="K114" s="3">
        <v>12</v>
      </c>
      <c r="L114" s="3">
        <f>IF(J114&gt;67,K114+(J114-67)*0.2,K114-(67-J114)*0.2)</f>
        <v>13.280000000000001</v>
      </c>
      <c r="M114" s="3">
        <f>(C114-H114)/C114*100</f>
        <v>53.679999999999993</v>
      </c>
      <c r="N114" s="3">
        <f>100-(M114+O114)</f>
        <v>19.760000000000005</v>
      </c>
      <c r="O114" s="3">
        <f>L114/C114*100</f>
        <v>26.56</v>
      </c>
      <c r="P114" s="1" t="s">
        <v>2</v>
      </c>
      <c r="Q114" s="15">
        <v>407576.23599999998</v>
      </c>
      <c r="R114" s="15">
        <v>3660002.5</v>
      </c>
      <c r="S114" s="1"/>
      <c r="T114">
        <v>2009033</v>
      </c>
      <c r="U114" t="s">
        <v>592</v>
      </c>
      <c r="V114">
        <v>5.6950000000000001E-2</v>
      </c>
      <c r="W114">
        <v>0.38529000000000002</v>
      </c>
      <c r="X114">
        <v>2.7289999999999998E-2</v>
      </c>
      <c r="Y114">
        <v>1.3604499999999999</v>
      </c>
      <c r="Z114">
        <v>21.709859999999999</v>
      </c>
      <c r="AA114">
        <v>11.020020000000001</v>
      </c>
      <c r="AB114">
        <v>-1.2997300000000001</v>
      </c>
      <c r="AC114" s="23">
        <v>7.603E-2</v>
      </c>
      <c r="AD114" s="23">
        <v>0.40917999999999999</v>
      </c>
      <c r="AE114" s="23">
        <v>2.0650000000000002E-2</v>
      </c>
      <c r="AF114" s="23">
        <v>1.32758</v>
      </c>
      <c r="AG114" s="23">
        <v>7.0671499999999998</v>
      </c>
      <c r="AH114" s="23">
        <v>6.0488</v>
      </c>
      <c r="AI114" s="23">
        <v>-1.3148299999999999</v>
      </c>
      <c r="AJ114" s="25">
        <v>0.29446458333333331</v>
      </c>
      <c r="AK114" s="25">
        <v>0.40870548097703252</v>
      </c>
      <c r="AL114" s="25">
        <v>0.2499518965661619</v>
      </c>
      <c r="AM114" s="25">
        <v>0.12691402959966389</v>
      </c>
      <c r="AN114" s="24">
        <v>1.5669304754108637</v>
      </c>
      <c r="AO114" s="23">
        <v>-99</v>
      </c>
    </row>
    <row r="115" spans="1:44" x14ac:dyDescent="0.25">
      <c r="A115" s="4">
        <v>26</v>
      </c>
      <c r="B115">
        <v>60</v>
      </c>
      <c r="C115">
        <v>50</v>
      </c>
      <c r="D115">
        <v>20</v>
      </c>
      <c r="E115" s="3">
        <v>26</v>
      </c>
      <c r="F115" s="3">
        <f>1.8*E115+32</f>
        <v>78.800000000000011</v>
      </c>
      <c r="G115" s="3">
        <v>18</v>
      </c>
      <c r="H115" s="3">
        <f>IF(F115&gt;68,G115+(F115-68)*0.2,G264-(68-F115)*0.2)</f>
        <v>20.160000000000004</v>
      </c>
      <c r="I115" s="3">
        <v>23</v>
      </c>
      <c r="J115" s="3">
        <f>1.8*I115+32</f>
        <v>73.400000000000006</v>
      </c>
      <c r="K115" s="3">
        <v>11</v>
      </c>
      <c r="L115" s="3">
        <f>IF(J115&gt;67,K115+(J115-67)*0.2,K115-(67-J115)*0.2)</f>
        <v>12.280000000000001</v>
      </c>
      <c r="M115" s="3">
        <f>(C115-H115)/C115*100</f>
        <v>59.679999999999986</v>
      </c>
      <c r="N115" s="3">
        <f>100-(M115+O115)</f>
        <v>15.760000000000019</v>
      </c>
      <c r="O115" s="3">
        <f>L115/C115*100</f>
        <v>24.560000000000002</v>
      </c>
      <c r="P115" s="1" t="s">
        <v>2</v>
      </c>
      <c r="Q115" s="15">
        <v>407576.23599999998</v>
      </c>
      <c r="R115" s="15">
        <v>3660002.5</v>
      </c>
      <c r="S115" s="1"/>
      <c r="T115">
        <v>2009033</v>
      </c>
      <c r="U115" t="s">
        <v>591</v>
      </c>
      <c r="V115">
        <v>6.5740000000000007E-2</v>
      </c>
      <c r="W115">
        <v>0.38658999999999999</v>
      </c>
      <c r="X115">
        <v>2.6460000000000001E-2</v>
      </c>
      <c r="Y115">
        <v>1.3202199999999999</v>
      </c>
      <c r="Z115">
        <v>14.08291</v>
      </c>
      <c r="AA115">
        <v>8.8911700000000007</v>
      </c>
      <c r="AB115">
        <v>-1.5383899999999999</v>
      </c>
      <c r="AC115" s="23">
        <v>9.1069999999999998E-2</v>
      </c>
      <c r="AD115" s="23">
        <v>0.46809000000000001</v>
      </c>
      <c r="AE115" s="23">
        <v>1.1639999999999999E-2</v>
      </c>
      <c r="AF115" s="23">
        <v>1.3988499999999999</v>
      </c>
      <c r="AG115" s="23">
        <v>12.438040000000001</v>
      </c>
      <c r="AH115" s="23">
        <v>2.8551199999999999</v>
      </c>
      <c r="AI115" s="23">
        <v>-0.57884999999999998</v>
      </c>
      <c r="AJ115" s="25">
        <v>0.51825166666666667</v>
      </c>
      <c r="AK115" s="25">
        <v>0.46787845061210065</v>
      </c>
      <c r="AL115" s="25">
        <v>0.30210024125428342</v>
      </c>
      <c r="AM115" s="25">
        <v>0.13915776582349743</v>
      </c>
      <c r="AN115" s="24">
        <v>1.4101221058779332</v>
      </c>
      <c r="AO115" s="23">
        <v>-99</v>
      </c>
    </row>
    <row r="116" spans="1:44" x14ac:dyDescent="0.25">
      <c r="A116" s="4">
        <v>26</v>
      </c>
      <c r="B116">
        <v>90</v>
      </c>
      <c r="C116">
        <v>50</v>
      </c>
      <c r="D116">
        <v>20</v>
      </c>
      <c r="E116" s="3">
        <v>25.5</v>
      </c>
      <c r="F116" s="3">
        <f>1.8*E116+32</f>
        <v>77.900000000000006</v>
      </c>
      <c r="G116" s="3">
        <v>12</v>
      </c>
      <c r="H116" s="3">
        <f>IF(F116&gt;68,G116+(F116-68)*0.2,G265-(68-F116)*0.2)</f>
        <v>13.98</v>
      </c>
      <c r="I116" s="3">
        <v>23</v>
      </c>
      <c r="J116" s="3">
        <f>1.8*I116+32</f>
        <v>73.400000000000006</v>
      </c>
      <c r="K116" s="3">
        <v>6</v>
      </c>
      <c r="L116" s="3">
        <f>IF(J116&gt;67,K116+(J116-67)*0.2,K116-(67-J116)*0.2)</f>
        <v>7.2800000000000011</v>
      </c>
      <c r="M116" s="3">
        <f>(C116-H116)/C116*100</f>
        <v>72.039999999999992</v>
      </c>
      <c r="N116" s="3">
        <f>100-(M116+O116)</f>
        <v>13.400000000000006</v>
      </c>
      <c r="O116" s="3">
        <f>L116/C116*100</f>
        <v>14.560000000000004</v>
      </c>
      <c r="P116" s="1" t="s">
        <v>0</v>
      </c>
      <c r="Q116" s="15">
        <v>407576.23599999998</v>
      </c>
      <c r="R116" s="15">
        <v>3660002.5</v>
      </c>
      <c r="S116" s="1"/>
      <c r="T116">
        <v>2009033</v>
      </c>
      <c r="U116" t="s">
        <v>590</v>
      </c>
      <c r="V116">
        <v>5.0880000000000002E-2</v>
      </c>
      <c r="W116">
        <v>0.37798999999999999</v>
      </c>
      <c r="X116">
        <v>3.3020000000000001E-2</v>
      </c>
      <c r="Y116">
        <v>1.47878</v>
      </c>
      <c r="Z116">
        <v>49.082500000000003</v>
      </c>
      <c r="AA116">
        <v>16.99277</v>
      </c>
      <c r="AB116">
        <v>-1.1190899999999999</v>
      </c>
      <c r="AC116" s="23">
        <v>5.2080000000000001E-2</v>
      </c>
      <c r="AD116" s="23">
        <v>0.37579000000000001</v>
      </c>
      <c r="AE116" s="23">
        <v>3.2099999999999997E-2</v>
      </c>
      <c r="AF116" s="23">
        <v>1.6848799999999999</v>
      </c>
      <c r="AG116" s="23">
        <v>86.720269999999999</v>
      </c>
      <c r="AH116" s="23">
        <v>18.565149999999999</v>
      </c>
      <c r="AI116" s="23">
        <v>-0.94379000000000002</v>
      </c>
      <c r="AJ116" s="25">
        <v>3.6133445833333333</v>
      </c>
      <c r="AK116" s="25">
        <v>0.37539013536401322</v>
      </c>
      <c r="AL116" s="25">
        <v>0.11549900158460574</v>
      </c>
      <c r="AM116" s="25">
        <v>5.6788626415435299E-2</v>
      </c>
      <c r="AN116" s="24">
        <v>1.655216141285365</v>
      </c>
      <c r="AO116" s="23">
        <v>-99</v>
      </c>
    </row>
    <row r="117" spans="1:44" x14ac:dyDescent="0.25">
      <c r="A117" s="4">
        <v>26</v>
      </c>
      <c r="B117">
        <v>120</v>
      </c>
      <c r="C117">
        <v>50</v>
      </c>
      <c r="D117">
        <v>20</v>
      </c>
      <c r="E117" s="3">
        <v>25.5</v>
      </c>
      <c r="F117" s="3">
        <f>1.8*E117+32</f>
        <v>77.900000000000006</v>
      </c>
      <c r="G117" s="3">
        <v>13</v>
      </c>
      <c r="H117" s="3">
        <f>IF(F117&gt;68,G117+(F117-68)*0.2,G266-(68-F117)*0.2)</f>
        <v>14.98</v>
      </c>
      <c r="I117" s="3">
        <v>23</v>
      </c>
      <c r="J117" s="3">
        <f>1.8*I117+32</f>
        <v>73.400000000000006</v>
      </c>
      <c r="K117" s="3">
        <v>7</v>
      </c>
      <c r="L117" s="3">
        <f>IF(J117&gt;67,K117+(J117-67)*0.2,K117-(67-J117)*0.2)</f>
        <v>8.2800000000000011</v>
      </c>
      <c r="M117" s="3">
        <f>(C117-H117)/C117*100</f>
        <v>70.039999999999992</v>
      </c>
      <c r="N117" s="3">
        <f>100-(M117+O117)</f>
        <v>13.400000000000006</v>
      </c>
      <c r="O117" s="3">
        <f>L117/C117*100</f>
        <v>16.560000000000002</v>
      </c>
      <c r="P117" s="1" t="s">
        <v>0</v>
      </c>
      <c r="Q117" s="15">
        <v>407576.23599999998</v>
      </c>
      <c r="R117" s="15">
        <v>3660002.5</v>
      </c>
      <c r="S117" s="1"/>
      <c r="T117">
        <v>2009033</v>
      </c>
      <c r="U117" t="s">
        <v>589</v>
      </c>
      <c r="V117">
        <v>7.603E-2</v>
      </c>
      <c r="W117">
        <v>0.40917999999999999</v>
      </c>
      <c r="X117">
        <v>2.0650000000000002E-2</v>
      </c>
      <c r="Y117">
        <v>1.32758</v>
      </c>
      <c r="Z117">
        <v>7.0671499999999998</v>
      </c>
      <c r="AA117">
        <v>6.0488</v>
      </c>
      <c r="AB117">
        <v>-1.3148299999999999</v>
      </c>
      <c r="AC117" s="23">
        <v>6.6210000000000005E-2</v>
      </c>
      <c r="AD117" s="23">
        <v>0.39008999999999999</v>
      </c>
      <c r="AE117" s="23">
        <v>2.5149999999999999E-2</v>
      </c>
      <c r="AF117" s="23">
        <v>1.32927</v>
      </c>
      <c r="AG117" s="23">
        <v>13.28688</v>
      </c>
      <c r="AH117" s="23">
        <v>8.4871999999999996</v>
      </c>
      <c r="AI117" s="23">
        <v>-1.4421900000000001</v>
      </c>
      <c r="AJ117" s="25">
        <v>0.55362</v>
      </c>
      <c r="AK117" s="25">
        <v>0.38949270853986417</v>
      </c>
      <c r="AL117" s="25">
        <v>0.22479994868691977</v>
      </c>
      <c r="AM117" s="25">
        <v>0.11212314020164964</v>
      </c>
      <c r="AN117" s="24">
        <v>1.6178443223693599</v>
      </c>
      <c r="AO117" s="23">
        <v>-99</v>
      </c>
    </row>
    <row r="118" spans="1:44" x14ac:dyDescent="0.25">
      <c r="A118" s="4">
        <v>26</v>
      </c>
      <c r="B118">
        <v>150</v>
      </c>
      <c r="C118">
        <v>50</v>
      </c>
      <c r="D118">
        <v>20</v>
      </c>
      <c r="E118" s="3">
        <v>26</v>
      </c>
      <c r="F118" s="3">
        <f>1.8*E118+32</f>
        <v>78.800000000000011</v>
      </c>
      <c r="G118" s="3">
        <v>13</v>
      </c>
      <c r="H118" s="3">
        <f>IF(F118&gt;68,G118+(F118-68)*0.2,G267-(68-F118)*0.2)</f>
        <v>15.160000000000002</v>
      </c>
      <c r="I118" s="3">
        <v>23</v>
      </c>
      <c r="J118" s="3">
        <f>1.8*I118+32</f>
        <v>73.400000000000006</v>
      </c>
      <c r="K118" s="3">
        <v>8</v>
      </c>
      <c r="L118" s="3">
        <f>IF(J118&gt;67,K118+(J118-67)*0.2,K118-(67-J118)*0.2)</f>
        <v>9.2800000000000011</v>
      </c>
      <c r="M118" s="3">
        <f>(C118-H118)/C118*100</f>
        <v>69.679999999999993</v>
      </c>
      <c r="N118" s="3">
        <f>100-(M118+O118)</f>
        <v>11.760000000000005</v>
      </c>
      <c r="O118" s="3">
        <f>L118/C118*100</f>
        <v>18.560000000000002</v>
      </c>
      <c r="P118" s="1" t="s">
        <v>0</v>
      </c>
      <c r="Q118" s="15">
        <v>407576.23599999998</v>
      </c>
      <c r="R118" s="15">
        <v>3660002.5</v>
      </c>
      <c r="S118" s="1"/>
      <c r="T118">
        <v>2009033</v>
      </c>
      <c r="U118" t="s">
        <v>588</v>
      </c>
      <c r="V118">
        <v>9.1069999999999998E-2</v>
      </c>
      <c r="W118">
        <v>0.46809000000000001</v>
      </c>
      <c r="X118">
        <v>1.1639999999999999E-2</v>
      </c>
      <c r="Y118">
        <v>1.3988499999999999</v>
      </c>
      <c r="Z118">
        <v>12.438040000000001</v>
      </c>
      <c r="AA118">
        <v>2.8551199999999999</v>
      </c>
      <c r="AB118">
        <v>-0.57884999999999998</v>
      </c>
      <c r="AC118" s="23">
        <v>6.6030000000000005E-2</v>
      </c>
      <c r="AD118" s="23">
        <v>0.38883000000000001</v>
      </c>
      <c r="AE118" s="23">
        <v>2.5669999999999998E-2</v>
      </c>
      <c r="AF118" s="23">
        <v>1.32572</v>
      </c>
      <c r="AG118" s="23">
        <v>13.59154</v>
      </c>
      <c r="AH118" s="23">
        <v>8.6533700000000007</v>
      </c>
      <c r="AI118" s="23">
        <v>-1.47915</v>
      </c>
      <c r="AJ118" s="25">
        <v>0.56631416666666667</v>
      </c>
      <c r="AK118" s="25">
        <v>0.38821543037119344</v>
      </c>
      <c r="AL118" s="25">
        <v>0.22429067723403148</v>
      </c>
      <c r="AM118" s="25">
        <v>0.11245362373480397</v>
      </c>
      <c r="AN118" s="24">
        <v>1.6212291095163374</v>
      </c>
      <c r="AO118" s="23">
        <v>-99</v>
      </c>
    </row>
    <row r="119" spans="1:44" x14ac:dyDescent="0.25">
      <c r="A119" s="4">
        <v>26</v>
      </c>
      <c r="B119">
        <v>180</v>
      </c>
      <c r="C119">
        <v>50</v>
      </c>
      <c r="D119">
        <v>20</v>
      </c>
      <c r="E119" s="3">
        <v>26</v>
      </c>
      <c r="F119" s="3">
        <f>1.8*E119+32</f>
        <v>78.800000000000011</v>
      </c>
      <c r="G119" s="3">
        <v>19</v>
      </c>
      <c r="H119" s="3">
        <f>IF(F119&gt;68,G119+(F119-68)*0.2,G268-(68-F119)*0.2)</f>
        <v>21.160000000000004</v>
      </c>
      <c r="I119" s="3">
        <v>23</v>
      </c>
      <c r="J119" s="3">
        <f>1.8*I119+32</f>
        <v>73.400000000000006</v>
      </c>
      <c r="K119" s="3">
        <v>10</v>
      </c>
      <c r="L119" s="3">
        <f>IF(J119&gt;67,K119+(J119-67)*0.2,K119-(67-J119)*0.2)</f>
        <v>11.280000000000001</v>
      </c>
      <c r="M119" s="3">
        <f>(C119-H119)/C119*100</f>
        <v>57.68</v>
      </c>
      <c r="N119" s="3">
        <f>100-(M119+O119)</f>
        <v>19.759999999999991</v>
      </c>
      <c r="O119" s="3">
        <f>L119/C119*100</f>
        <v>22.560000000000002</v>
      </c>
      <c r="P119" s="1" t="s">
        <v>2</v>
      </c>
      <c r="Q119" s="15">
        <v>407576.23599999998</v>
      </c>
      <c r="R119" s="15">
        <v>3660002.5</v>
      </c>
      <c r="S119" s="1"/>
      <c r="T119">
        <v>2009033</v>
      </c>
      <c r="U119" t="s">
        <v>587</v>
      </c>
      <c r="V119">
        <v>5.2080000000000001E-2</v>
      </c>
      <c r="W119">
        <v>0.37579000000000001</v>
      </c>
      <c r="X119">
        <v>3.2099999999999997E-2</v>
      </c>
      <c r="Y119">
        <v>1.6848799999999999</v>
      </c>
      <c r="Z119">
        <v>86.720269999999999</v>
      </c>
      <c r="AA119">
        <v>18.565149999999999</v>
      </c>
      <c r="AB119">
        <v>-0.94379000000000002</v>
      </c>
      <c r="AC119" s="23">
        <v>6.0040000000000003E-2</v>
      </c>
      <c r="AD119" s="23">
        <v>0.38474999999999998</v>
      </c>
      <c r="AE119" s="23">
        <v>2.733E-2</v>
      </c>
      <c r="AF119" s="23">
        <v>1.34609</v>
      </c>
      <c r="AG119" s="23">
        <v>18.98621</v>
      </c>
      <c r="AH119" s="23">
        <v>10.34085</v>
      </c>
      <c r="AI119" s="23">
        <v>-1.3909899999999999</v>
      </c>
      <c r="AJ119" s="25">
        <v>0.79109208333333336</v>
      </c>
      <c r="AK119" s="25">
        <v>0.3840967974765751</v>
      </c>
      <c r="AL119" s="25">
        <v>0.20931751755550965</v>
      </c>
      <c r="AM119" s="25">
        <v>0.10051824530152444</v>
      </c>
      <c r="AN119" s="24">
        <v>1.6321434866870759</v>
      </c>
      <c r="AO119" s="23">
        <v>-99</v>
      </c>
    </row>
    <row r="120" spans="1:44" x14ac:dyDescent="0.25">
      <c r="A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1"/>
      <c r="Q120" s="18"/>
      <c r="R120" s="18"/>
      <c r="S120" s="1"/>
      <c r="T120">
        <v>2009033</v>
      </c>
      <c r="U120" t="s">
        <v>586</v>
      </c>
      <c r="V120">
        <v>6.6210000000000005E-2</v>
      </c>
      <c r="W120">
        <v>0.39008999999999999</v>
      </c>
      <c r="X120">
        <v>2.5149999999999999E-2</v>
      </c>
      <c r="Y120">
        <v>1.32927</v>
      </c>
      <c r="Z120">
        <v>13.28688</v>
      </c>
      <c r="AA120">
        <v>8.4871999999999996</v>
      </c>
      <c r="AB120">
        <v>-1.4421900000000001</v>
      </c>
      <c r="AC120" s="23">
        <v>5.2580000000000002E-2</v>
      </c>
      <c r="AD120" s="23">
        <v>0.37774999999999997</v>
      </c>
      <c r="AE120" s="23">
        <v>3.2050000000000002E-2</v>
      </c>
      <c r="AF120" s="23">
        <v>1.4333899999999999</v>
      </c>
      <c r="AG120" s="23">
        <v>39.374099999999999</v>
      </c>
      <c r="AH120" s="23">
        <v>15.187279999999999</v>
      </c>
      <c r="AI120" s="23">
        <v>-1.1984600000000001</v>
      </c>
      <c r="AJ120" s="25">
        <v>1.6405874999999999</v>
      </c>
      <c r="AK120" s="25">
        <v>0.37704391052623054</v>
      </c>
      <c r="AL120" s="25">
        <v>0.16795999862560598</v>
      </c>
      <c r="AM120" s="25">
        <v>7.4955599196585926E-2</v>
      </c>
      <c r="AN120" s="24">
        <v>1.650833637105489</v>
      </c>
      <c r="AO120" s="23">
        <v>-99</v>
      </c>
    </row>
    <row r="121" spans="1:44" ht="51.75" x14ac:dyDescent="0.25">
      <c r="A121" s="14" t="s">
        <v>21</v>
      </c>
      <c r="B121" s="9" t="s">
        <v>20</v>
      </c>
      <c r="C121" s="13" t="s">
        <v>19</v>
      </c>
      <c r="D121" s="12" t="s">
        <v>18</v>
      </c>
      <c r="E121" s="11" t="s">
        <v>17</v>
      </c>
      <c r="F121" s="11" t="s">
        <v>16</v>
      </c>
      <c r="G121" s="11" t="s">
        <v>15</v>
      </c>
      <c r="H121" s="11" t="s">
        <v>14</v>
      </c>
      <c r="I121" s="11" t="s">
        <v>13</v>
      </c>
      <c r="J121" s="11" t="s">
        <v>12</v>
      </c>
      <c r="K121" s="11" t="s">
        <v>11</v>
      </c>
      <c r="L121" s="11" t="s">
        <v>10</v>
      </c>
      <c r="M121" s="10" t="s">
        <v>9</v>
      </c>
      <c r="N121" s="10" t="s">
        <v>8</v>
      </c>
      <c r="O121" s="10" t="s">
        <v>7</v>
      </c>
      <c r="P121" s="9" t="s">
        <v>6</v>
      </c>
      <c r="Q121" s="8" t="s">
        <v>5</v>
      </c>
      <c r="R121" s="7"/>
      <c r="S121" s="6"/>
      <c r="T121">
        <v>2009033</v>
      </c>
      <c r="U121" t="s">
        <v>585</v>
      </c>
      <c r="V121">
        <v>6.6030000000000005E-2</v>
      </c>
      <c r="W121">
        <v>0.38883000000000001</v>
      </c>
      <c r="X121">
        <v>2.5669999999999998E-2</v>
      </c>
      <c r="Y121">
        <v>1.32572</v>
      </c>
      <c r="Z121">
        <v>13.59154</v>
      </c>
      <c r="AA121">
        <v>8.6533700000000007</v>
      </c>
      <c r="AB121">
        <v>-1.47915</v>
      </c>
      <c r="AC121" s="23">
        <v>6.6070000000000004E-2</v>
      </c>
      <c r="AD121" s="23">
        <v>0.41776999999999997</v>
      </c>
      <c r="AE121" s="23">
        <v>6.2100000000000002E-3</v>
      </c>
      <c r="AF121" s="23">
        <v>1.5792200000000001</v>
      </c>
      <c r="AG121" s="23">
        <v>15.589510000000001</v>
      </c>
      <c r="AH121" s="23">
        <v>1.9029100000000001</v>
      </c>
      <c r="AI121" s="23">
        <v>0.11422</v>
      </c>
      <c r="AJ121" s="25">
        <v>0.64956291666666666</v>
      </c>
      <c r="AK121" s="25">
        <v>0.41772780292919781</v>
      </c>
      <c r="AL121" s="25">
        <v>0.27475438637648081</v>
      </c>
      <c r="AM121" s="25">
        <v>9.1506573519751028E-2</v>
      </c>
      <c r="AN121" s="24">
        <v>1.5430213222376259</v>
      </c>
      <c r="AO121" s="23">
        <v>-99</v>
      </c>
    </row>
    <row r="122" spans="1:44" x14ac:dyDescent="0.25"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1"/>
      <c r="Q122" s="5" t="s">
        <v>4</v>
      </c>
      <c r="R122" s="5" t="s">
        <v>3</v>
      </c>
      <c r="S122" s="1"/>
      <c r="T122">
        <v>2009033</v>
      </c>
      <c r="U122" t="s">
        <v>584</v>
      </c>
      <c r="V122">
        <v>6.0040000000000003E-2</v>
      </c>
      <c r="W122">
        <v>0.38474999999999998</v>
      </c>
      <c r="X122">
        <v>2.733E-2</v>
      </c>
      <c r="Y122">
        <v>1.34609</v>
      </c>
      <c r="Z122">
        <v>18.98621</v>
      </c>
      <c r="AA122">
        <v>10.34085</v>
      </c>
      <c r="AB122">
        <v>-1.3909899999999999</v>
      </c>
      <c r="AC122" s="23">
        <v>6.6869999999999999E-2</v>
      </c>
      <c r="AD122" s="23">
        <v>0.42087000000000002</v>
      </c>
      <c r="AE122" s="23">
        <v>5.7400000000000003E-3</v>
      </c>
      <c r="AF122" s="23">
        <v>1.5964100000000001</v>
      </c>
      <c r="AG122" s="23">
        <v>15.54716</v>
      </c>
      <c r="AH122" s="23">
        <v>1.7577700000000001</v>
      </c>
      <c r="AI122" s="23">
        <v>0.17074</v>
      </c>
      <c r="AJ122" s="25">
        <v>0.64779833333333336</v>
      </c>
      <c r="AK122" s="25">
        <v>0.42083503533177891</v>
      </c>
      <c r="AL122" s="25">
        <v>0.28157785584364131</v>
      </c>
      <c r="AM122" s="25">
        <v>9.1690808178166869E-2</v>
      </c>
      <c r="AN122" s="24">
        <v>1.5347871563707858</v>
      </c>
      <c r="AO122" s="23">
        <v>-99</v>
      </c>
    </row>
    <row r="123" spans="1:44" x14ac:dyDescent="0.25">
      <c r="A123" s="4">
        <v>27</v>
      </c>
      <c r="B123">
        <v>30</v>
      </c>
      <c r="C123">
        <v>50</v>
      </c>
      <c r="D123">
        <v>20</v>
      </c>
      <c r="E123" s="3">
        <v>25</v>
      </c>
      <c r="F123" s="3">
        <f>1.8*E123+32</f>
        <v>77</v>
      </c>
      <c r="G123" s="3">
        <v>19</v>
      </c>
      <c r="H123" s="3">
        <f>IF(F123&gt;68,G123+(F123-68)*0.2,G271-(68-F123)*0.2)</f>
        <v>20.8</v>
      </c>
      <c r="I123" s="3">
        <v>22.5</v>
      </c>
      <c r="J123" s="3">
        <f>1.8*I123+32</f>
        <v>72.5</v>
      </c>
      <c r="K123" s="3">
        <v>11</v>
      </c>
      <c r="L123" s="3">
        <f>IF(J123&gt;67,K123+(J123-67)*0.2,K123-(67-J123)*0.2)</f>
        <v>12.1</v>
      </c>
      <c r="M123" s="3">
        <f>(C123-H123)/C123*100</f>
        <v>58.4</v>
      </c>
      <c r="N123" s="3">
        <f>100-(M123+O123)</f>
        <v>17.400000000000006</v>
      </c>
      <c r="O123" s="3">
        <f>L123/C123*100</f>
        <v>24.2</v>
      </c>
      <c r="P123" s="1" t="s">
        <v>2</v>
      </c>
      <c r="Q123" s="15">
        <v>407576.23599999998</v>
      </c>
      <c r="R123" s="15">
        <v>3660029</v>
      </c>
      <c r="S123" s="1"/>
      <c r="T123">
        <v>2009033</v>
      </c>
      <c r="U123" t="s">
        <v>583</v>
      </c>
      <c r="V123">
        <v>5.2580000000000002E-2</v>
      </c>
      <c r="W123">
        <v>0.37774999999999997</v>
      </c>
      <c r="X123">
        <v>3.2050000000000002E-2</v>
      </c>
      <c r="Y123">
        <v>1.4333899999999999</v>
      </c>
      <c r="Z123">
        <v>39.374099999999999</v>
      </c>
      <c r="AA123">
        <v>15.187279999999999</v>
      </c>
      <c r="AB123">
        <v>-1.1984600000000001</v>
      </c>
      <c r="AC123" s="23">
        <v>6.8890000000000007E-2</v>
      </c>
      <c r="AD123" s="23">
        <v>0.39211000000000001</v>
      </c>
      <c r="AE123" s="23">
        <v>2.4899999999999999E-2</v>
      </c>
      <c r="AF123" s="23">
        <v>1.31789</v>
      </c>
      <c r="AG123" s="23">
        <v>11.58117</v>
      </c>
      <c r="AH123" s="23">
        <v>7.99648</v>
      </c>
      <c r="AI123" s="23">
        <v>-1.5111000000000001</v>
      </c>
      <c r="AJ123" s="25">
        <v>0.48254875000000003</v>
      </c>
      <c r="AK123" s="25">
        <v>0.39151269620648704</v>
      </c>
      <c r="AL123" s="25">
        <v>0.23152427471414247</v>
      </c>
      <c r="AM123" s="25">
        <v>0.11806564869892508</v>
      </c>
      <c r="AN123" s="24">
        <v>1.6124913550528095</v>
      </c>
      <c r="AO123" s="23">
        <v>-99</v>
      </c>
    </row>
    <row r="124" spans="1:44" x14ac:dyDescent="0.25">
      <c r="A124" s="4">
        <v>27</v>
      </c>
      <c r="B124">
        <v>60</v>
      </c>
      <c r="C124">
        <v>50</v>
      </c>
      <c r="D124">
        <v>20</v>
      </c>
      <c r="E124" s="3">
        <v>26</v>
      </c>
      <c r="F124" s="3">
        <f>1.8*E124+32</f>
        <v>78.800000000000011</v>
      </c>
      <c r="G124" s="3">
        <v>21</v>
      </c>
      <c r="H124" s="3">
        <f>IF(F124&gt;68,G124+(F124-68)*0.2,G272-(68-F124)*0.2)</f>
        <v>23.160000000000004</v>
      </c>
      <c r="I124" s="3">
        <v>22.5</v>
      </c>
      <c r="J124" s="3">
        <f>1.8*I124+32</f>
        <v>72.5</v>
      </c>
      <c r="K124" s="3">
        <v>14</v>
      </c>
      <c r="L124" s="3">
        <f>IF(J124&gt;67,K124+(J124-67)*0.2,K124-(67-J124)*0.2)</f>
        <v>15.1</v>
      </c>
      <c r="M124" s="3">
        <f>(C124-H124)/C124*100</f>
        <v>53.679999999999993</v>
      </c>
      <c r="N124" s="3">
        <f>100-(M124+O124)</f>
        <v>16.120000000000005</v>
      </c>
      <c r="O124" s="3">
        <f>L124/C124*100</f>
        <v>30.2</v>
      </c>
      <c r="P124" s="1" t="s">
        <v>2</v>
      </c>
      <c r="Q124" s="15">
        <v>407576.23599999998</v>
      </c>
      <c r="R124" s="15">
        <v>3660029</v>
      </c>
      <c r="S124" s="1"/>
      <c r="T124">
        <v>2009033</v>
      </c>
      <c r="U124" t="s">
        <v>582</v>
      </c>
      <c r="V124">
        <v>6.6070000000000004E-2</v>
      </c>
      <c r="W124">
        <v>0.41776999999999997</v>
      </c>
      <c r="X124">
        <v>6.2100000000000002E-3</v>
      </c>
      <c r="Y124">
        <v>1.5792200000000001</v>
      </c>
      <c r="Z124">
        <v>15.589510000000001</v>
      </c>
      <c r="AA124">
        <v>1.9029100000000001</v>
      </c>
      <c r="AB124">
        <v>0.11422</v>
      </c>
      <c r="AC124" s="23">
        <v>6.2770000000000006E-2</v>
      </c>
      <c r="AD124" s="23">
        <v>0.38207000000000002</v>
      </c>
      <c r="AE124" s="23">
        <v>2.784E-2</v>
      </c>
      <c r="AF124" s="23">
        <v>1.3279399999999999</v>
      </c>
      <c r="AG124" s="23">
        <v>16.951139999999999</v>
      </c>
      <c r="AH124" s="23">
        <v>9.8255800000000004</v>
      </c>
      <c r="AI124" s="23">
        <v>-1.5267299999999999</v>
      </c>
      <c r="AJ124" s="25">
        <v>0.70629749999999991</v>
      </c>
      <c r="AK124" s="25">
        <v>0.38139530364029889</v>
      </c>
      <c r="AL124" s="25">
        <v>0.21468832900294438</v>
      </c>
      <c r="AM124" s="25">
        <v>0.10689769397276622</v>
      </c>
      <c r="AN124" s="24">
        <v>1.6393024453532081</v>
      </c>
      <c r="AO124" s="23">
        <v>-99</v>
      </c>
    </row>
    <row r="125" spans="1:44" x14ac:dyDescent="0.25">
      <c r="A125" s="4">
        <v>27</v>
      </c>
      <c r="B125">
        <v>90</v>
      </c>
      <c r="C125">
        <v>50</v>
      </c>
      <c r="D125">
        <v>20</v>
      </c>
      <c r="E125" s="3">
        <v>26</v>
      </c>
      <c r="F125" s="3">
        <f>1.8*E125+32</f>
        <v>78.800000000000011</v>
      </c>
      <c r="G125" s="3">
        <v>19</v>
      </c>
      <c r="H125" s="3">
        <f>IF(F125&gt;68,G125+(F125-68)*0.2,G273-(68-F125)*0.2)</f>
        <v>21.160000000000004</v>
      </c>
      <c r="I125" s="3">
        <v>22.5</v>
      </c>
      <c r="J125" s="3">
        <f>1.8*I125+32</f>
        <v>72.5</v>
      </c>
      <c r="K125" s="3">
        <v>11</v>
      </c>
      <c r="L125" s="3">
        <f>IF(J125&gt;67,K125+(J125-67)*0.2,K125-(67-J125)*0.2)</f>
        <v>12.1</v>
      </c>
      <c r="M125" s="3">
        <f>(C125-H125)/C125*100</f>
        <v>57.68</v>
      </c>
      <c r="N125" s="3">
        <f>100-(M125+O125)</f>
        <v>18.120000000000005</v>
      </c>
      <c r="O125" s="3">
        <f>L125/C125*100</f>
        <v>24.2</v>
      </c>
      <c r="P125" s="1" t="s">
        <v>2</v>
      </c>
      <c r="Q125" s="15">
        <v>407576.23599999998</v>
      </c>
      <c r="R125" s="15">
        <v>3660029</v>
      </c>
      <c r="S125" s="1"/>
      <c r="T125">
        <v>2009033</v>
      </c>
      <c r="U125" t="s">
        <v>581</v>
      </c>
      <c r="V125">
        <v>6.6869999999999999E-2</v>
      </c>
      <c r="W125">
        <v>0.42087000000000002</v>
      </c>
      <c r="X125">
        <v>5.7400000000000003E-3</v>
      </c>
      <c r="Y125">
        <v>1.5964100000000001</v>
      </c>
      <c r="Z125">
        <v>15.54716</v>
      </c>
      <c r="AA125">
        <v>1.7577700000000001</v>
      </c>
      <c r="AB125">
        <v>0.17074</v>
      </c>
      <c r="AC125" s="23">
        <v>5.1639999999999998E-2</v>
      </c>
      <c r="AD125" s="23">
        <v>0.37939000000000001</v>
      </c>
      <c r="AE125" s="23">
        <v>3.2329999999999998E-2</v>
      </c>
      <c r="AF125" s="23">
        <v>1.4133199999999999</v>
      </c>
      <c r="AG125" s="23">
        <v>37.030670000000001</v>
      </c>
      <c r="AH125" s="23">
        <v>15.34488</v>
      </c>
      <c r="AI125" s="23">
        <v>-1.2324900000000001</v>
      </c>
      <c r="AJ125" s="25">
        <v>1.5429445833333333</v>
      </c>
      <c r="AK125" s="25">
        <v>0.37864355908320335</v>
      </c>
      <c r="AL125" s="25">
        <v>0.17315588238155258</v>
      </c>
      <c r="AM125" s="25">
        <v>7.7077246913698841E-2</v>
      </c>
      <c r="AN125" s="24">
        <v>1.6465945684295111</v>
      </c>
      <c r="AO125" s="23">
        <v>-99</v>
      </c>
    </row>
    <row r="126" spans="1:44" x14ac:dyDescent="0.25">
      <c r="A126" s="4">
        <v>27</v>
      </c>
      <c r="B126">
        <v>120</v>
      </c>
      <c r="C126">
        <v>50</v>
      </c>
      <c r="D126">
        <v>20</v>
      </c>
      <c r="E126" s="3">
        <v>26</v>
      </c>
      <c r="F126" s="3">
        <f>1.8*E126+32</f>
        <v>78.800000000000011</v>
      </c>
      <c r="G126" s="3">
        <v>20</v>
      </c>
      <c r="H126" s="3">
        <f>IF(F126&gt;68,G126+(F126-68)*0.2,G274-(68-F126)*0.2)</f>
        <v>22.160000000000004</v>
      </c>
      <c r="I126" s="3">
        <v>22.5</v>
      </c>
      <c r="J126" s="3">
        <f>1.8*I126+32</f>
        <v>72.5</v>
      </c>
      <c r="K126" s="3">
        <v>10</v>
      </c>
      <c r="L126" s="3">
        <f>IF(J126&gt;67,K126+(J126-67)*0.2,K126-(67-J126)*0.2)</f>
        <v>11.1</v>
      </c>
      <c r="M126" s="3">
        <f>(C126-H126)/C126*100</f>
        <v>55.679999999999993</v>
      </c>
      <c r="N126" s="3">
        <f>100-(M126+O126)</f>
        <v>22.120000000000005</v>
      </c>
      <c r="O126" s="3">
        <f>L126/C126*100</f>
        <v>22.2</v>
      </c>
      <c r="P126" s="1" t="s">
        <v>2</v>
      </c>
      <c r="Q126" s="15">
        <v>407576.23599999998</v>
      </c>
      <c r="R126" s="15">
        <v>3660029</v>
      </c>
      <c r="S126" s="1"/>
      <c r="T126">
        <v>2009033</v>
      </c>
      <c r="U126" t="s">
        <v>580</v>
      </c>
      <c r="V126">
        <v>6.8890000000000007E-2</v>
      </c>
      <c r="W126">
        <v>0.39211000000000001</v>
      </c>
      <c r="X126">
        <v>2.4899999999999999E-2</v>
      </c>
      <c r="Y126">
        <v>1.31789</v>
      </c>
      <c r="Z126">
        <v>11.58117</v>
      </c>
      <c r="AA126">
        <v>7.99648</v>
      </c>
      <c r="AB126">
        <v>-1.5111000000000001</v>
      </c>
      <c r="AC126" s="23">
        <v>4.9009999999999998E-2</v>
      </c>
      <c r="AD126" s="23">
        <v>0.37992999999999999</v>
      </c>
      <c r="AE126" s="23">
        <v>3.39E-2</v>
      </c>
      <c r="AF126" s="23">
        <v>1.45184</v>
      </c>
      <c r="AG126" s="23">
        <v>46.294440000000002</v>
      </c>
      <c r="AH126" s="23">
        <v>17.744230000000002</v>
      </c>
      <c r="AI126" s="23">
        <v>-1.15235</v>
      </c>
      <c r="AJ126" s="25">
        <v>1.9289350000000001</v>
      </c>
      <c r="AK126" s="25">
        <v>0.37917701025739414</v>
      </c>
      <c r="AL126" s="25">
        <v>0.15869564071132625</v>
      </c>
      <c r="AM126" s="25">
        <v>6.8820552945298763E-2</v>
      </c>
      <c r="AN126" s="24">
        <v>1.6451809228179055</v>
      </c>
      <c r="AO126" s="23">
        <v>-99</v>
      </c>
    </row>
    <row r="127" spans="1:44" x14ac:dyDescent="0.25">
      <c r="A127" s="4">
        <v>27</v>
      </c>
      <c r="B127">
        <v>150</v>
      </c>
      <c r="C127">
        <v>50</v>
      </c>
      <c r="D127">
        <v>20</v>
      </c>
      <c r="E127" s="3">
        <v>23</v>
      </c>
      <c r="F127" s="3">
        <f>1.8*E127+32</f>
        <v>73.400000000000006</v>
      </c>
      <c r="G127" s="3">
        <v>24</v>
      </c>
      <c r="H127" s="3">
        <f>IF(F127&gt;68,G127+(F127-68)*0.2,G275-(68-F127)*0.2)</f>
        <v>25.080000000000002</v>
      </c>
      <c r="I127" s="3">
        <v>23</v>
      </c>
      <c r="J127" s="3">
        <f>1.8*I127+32</f>
        <v>73.400000000000006</v>
      </c>
      <c r="K127" s="3">
        <v>9</v>
      </c>
      <c r="L127" s="3">
        <f>IF(J127&gt;67,K127+(J127-67)*0.2,K127-(67-J127)*0.2)</f>
        <v>10.280000000000001</v>
      </c>
      <c r="M127" s="3">
        <f>(C127-H127)/C127*100</f>
        <v>49.839999999999996</v>
      </c>
      <c r="N127" s="3">
        <f>100-(M127+O127)</f>
        <v>29.599999999999994</v>
      </c>
      <c r="O127" s="3">
        <f>L127/C127*100</f>
        <v>20.560000000000002</v>
      </c>
      <c r="P127" s="1" t="s">
        <v>2</v>
      </c>
      <c r="Q127" s="15">
        <v>407576.23599999998</v>
      </c>
      <c r="R127" s="15">
        <v>3660029</v>
      </c>
      <c r="S127" s="1"/>
      <c r="T127">
        <v>2009033</v>
      </c>
      <c r="U127" t="s">
        <v>579</v>
      </c>
      <c r="V127">
        <v>6.2770000000000006E-2</v>
      </c>
      <c r="W127">
        <v>0.38207000000000002</v>
      </c>
      <c r="X127">
        <v>2.784E-2</v>
      </c>
      <c r="Y127">
        <v>1.3279399999999999</v>
      </c>
      <c r="Z127">
        <v>16.951139999999999</v>
      </c>
      <c r="AA127">
        <v>9.8255800000000004</v>
      </c>
      <c r="AB127">
        <v>-1.5267299999999999</v>
      </c>
      <c r="AC127" s="23">
        <v>5.0860000000000002E-2</v>
      </c>
      <c r="AD127" s="23">
        <v>0.38114999999999999</v>
      </c>
      <c r="AE127" s="23">
        <v>3.2030000000000003E-2</v>
      </c>
      <c r="AF127" s="23">
        <v>1.39707</v>
      </c>
      <c r="AG127" s="23">
        <v>34.569600000000001</v>
      </c>
      <c r="AH127" s="23">
        <v>15.16778</v>
      </c>
      <c r="AI127" s="23">
        <v>-1.2527600000000001</v>
      </c>
      <c r="AJ127" s="25">
        <v>1.4404000000000001</v>
      </c>
      <c r="AK127" s="25">
        <v>0.3803871609197273</v>
      </c>
      <c r="AL127" s="25">
        <v>0.17858230146482801</v>
      </c>
      <c r="AM127" s="25">
        <v>7.9309277863346572E-2</v>
      </c>
      <c r="AN127" s="24">
        <v>1.6419740235627225</v>
      </c>
      <c r="AO127" s="23">
        <v>-99</v>
      </c>
    </row>
    <row r="128" spans="1:44" x14ac:dyDescent="0.25">
      <c r="A128" s="4">
        <v>27</v>
      </c>
      <c r="B128">
        <v>180</v>
      </c>
      <c r="C128">
        <v>50</v>
      </c>
      <c r="D128">
        <v>20</v>
      </c>
      <c r="E128" s="3">
        <v>23</v>
      </c>
      <c r="F128" s="3">
        <f>1.8*E128+32</f>
        <v>73.400000000000006</v>
      </c>
      <c r="G128" s="3">
        <v>21</v>
      </c>
      <c r="H128" s="3">
        <f>IF(F128&gt;68,G128+(F128-68)*0.2,G276-(68-F128)*0.2)</f>
        <v>22.080000000000002</v>
      </c>
      <c r="I128" s="3">
        <v>23</v>
      </c>
      <c r="J128" s="3">
        <f>1.8*I128+32</f>
        <v>73.400000000000006</v>
      </c>
      <c r="K128" s="3">
        <v>8</v>
      </c>
      <c r="L128" s="3">
        <f>IF(J128&gt;67,K128+(J128-67)*0.2,K128-(67-J128)*0.2)</f>
        <v>9.2800000000000011</v>
      </c>
      <c r="M128" s="3">
        <f>(C128-H128)/C128*100</f>
        <v>55.84</v>
      </c>
      <c r="N128" s="3">
        <f>100-(M128+O128)</f>
        <v>25.599999999999994</v>
      </c>
      <c r="O128" s="3">
        <f>L128/C128*100</f>
        <v>18.560000000000002</v>
      </c>
      <c r="P128" s="1" t="s">
        <v>0</v>
      </c>
      <c r="Q128" s="15">
        <v>407576.23599999998</v>
      </c>
      <c r="R128" s="15">
        <v>3660029</v>
      </c>
      <c r="S128" s="1"/>
      <c r="T128">
        <v>2009033</v>
      </c>
      <c r="U128" t="s">
        <v>578</v>
      </c>
      <c r="V128">
        <v>5.1639999999999998E-2</v>
      </c>
      <c r="W128">
        <v>0.37939000000000001</v>
      </c>
      <c r="X128">
        <v>3.2329999999999998E-2</v>
      </c>
      <c r="Y128">
        <v>1.4133199999999999</v>
      </c>
      <c r="Z128">
        <v>37.030670000000001</v>
      </c>
      <c r="AA128">
        <v>15.34488</v>
      </c>
      <c r="AB128">
        <v>-1.2324900000000001</v>
      </c>
      <c r="AC128" s="23">
        <v>6.0290000000000003E-2</v>
      </c>
      <c r="AD128" s="23">
        <v>0.38729999999999998</v>
      </c>
      <c r="AE128" s="23">
        <v>2.5909999999999999E-2</v>
      </c>
      <c r="AF128" s="23">
        <v>1.3521000000000001</v>
      </c>
      <c r="AG128" s="23">
        <v>17.98648</v>
      </c>
      <c r="AH128" s="23">
        <v>9.7968200000000003</v>
      </c>
      <c r="AI128" s="23">
        <v>-1.3180400000000001</v>
      </c>
      <c r="AJ128" s="25">
        <v>0.74943666666666664</v>
      </c>
      <c r="AK128" s="25">
        <v>0.38669310397664602</v>
      </c>
      <c r="AL128" s="25">
        <v>0.21131531075832732</v>
      </c>
      <c r="AM128" s="25">
        <v>0.10035284414893211</v>
      </c>
      <c r="AN128" s="24">
        <v>1.625263274461888</v>
      </c>
      <c r="AO128" s="23">
        <v>-99</v>
      </c>
    </row>
    <row r="129" spans="1:41" x14ac:dyDescent="0.25">
      <c r="A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"/>
      <c r="Q129" s="18"/>
      <c r="R129" s="18"/>
      <c r="S129" s="1"/>
      <c r="T129">
        <v>2009033</v>
      </c>
      <c r="U129" t="s">
        <v>577</v>
      </c>
      <c r="V129">
        <v>4.9009999999999998E-2</v>
      </c>
      <c r="W129">
        <v>0.37992999999999999</v>
      </c>
      <c r="X129">
        <v>3.39E-2</v>
      </c>
      <c r="Y129">
        <v>1.45184</v>
      </c>
      <c r="Z129">
        <v>46.294440000000002</v>
      </c>
      <c r="AA129">
        <v>17.744230000000002</v>
      </c>
      <c r="AB129">
        <v>-1.15235</v>
      </c>
      <c r="AC129" s="23">
        <v>4.9520000000000002E-2</v>
      </c>
      <c r="AD129" s="23">
        <v>0.38353999999999999</v>
      </c>
      <c r="AE129" s="23">
        <v>3.0669999999999999E-2</v>
      </c>
      <c r="AF129" s="23">
        <v>1.3874899999999999</v>
      </c>
      <c r="AG129" s="23">
        <v>32.38673</v>
      </c>
      <c r="AH129" s="23">
        <v>14.61585</v>
      </c>
      <c r="AI129" s="23">
        <v>-1.2253700000000001</v>
      </c>
      <c r="AJ129" s="25">
        <v>1.3494470833333334</v>
      </c>
      <c r="AK129" s="25">
        <v>0.38280220953193345</v>
      </c>
      <c r="AL129" s="25">
        <v>0.18379681863618799</v>
      </c>
      <c r="AM129" s="25">
        <v>8.0561139049834085E-2</v>
      </c>
      <c r="AN129" s="24">
        <v>1.6355741447403762</v>
      </c>
      <c r="AO129" s="23">
        <v>-99</v>
      </c>
    </row>
    <row r="130" spans="1:41" ht="51.75" x14ac:dyDescent="0.25">
      <c r="A130" s="14" t="s">
        <v>21</v>
      </c>
      <c r="B130" s="9" t="s">
        <v>20</v>
      </c>
      <c r="C130" s="13" t="s">
        <v>19</v>
      </c>
      <c r="D130" s="12" t="s">
        <v>18</v>
      </c>
      <c r="E130" s="11" t="s">
        <v>17</v>
      </c>
      <c r="F130" s="11" t="s">
        <v>16</v>
      </c>
      <c r="G130" s="11" t="s">
        <v>15</v>
      </c>
      <c r="H130" s="11" t="s">
        <v>14</v>
      </c>
      <c r="I130" s="11" t="s">
        <v>13</v>
      </c>
      <c r="J130" s="11" t="s">
        <v>12</v>
      </c>
      <c r="K130" s="11" t="s">
        <v>11</v>
      </c>
      <c r="L130" s="11" t="s">
        <v>10</v>
      </c>
      <c r="M130" s="10" t="s">
        <v>9</v>
      </c>
      <c r="N130" s="10" t="s">
        <v>8</v>
      </c>
      <c r="O130" s="10" t="s">
        <v>7</v>
      </c>
      <c r="P130" s="9" t="s">
        <v>6</v>
      </c>
      <c r="Q130" s="21" t="s">
        <v>5</v>
      </c>
      <c r="R130" s="20"/>
      <c r="S130" s="6"/>
      <c r="T130">
        <v>2009033</v>
      </c>
      <c r="U130" t="s">
        <v>576</v>
      </c>
      <c r="V130">
        <v>5.0860000000000002E-2</v>
      </c>
      <c r="W130">
        <v>0.38114999999999999</v>
      </c>
      <c r="X130">
        <v>3.2030000000000003E-2</v>
      </c>
      <c r="Y130">
        <v>1.39707</v>
      </c>
      <c r="Z130">
        <v>34.569600000000001</v>
      </c>
      <c r="AA130">
        <v>15.16778</v>
      </c>
      <c r="AB130">
        <v>-1.2527600000000001</v>
      </c>
      <c r="AC130" s="23">
        <v>4.7329999999999997E-2</v>
      </c>
      <c r="AD130" s="23">
        <v>0.38164999999999999</v>
      </c>
      <c r="AE130" s="23">
        <v>3.4180000000000002E-2</v>
      </c>
      <c r="AF130" s="23">
        <v>1.43187</v>
      </c>
      <c r="AG130" s="23">
        <v>43.814129999999999</v>
      </c>
      <c r="AH130" s="23">
        <v>18.110340000000001</v>
      </c>
      <c r="AI130" s="23">
        <v>-1.1726700000000001</v>
      </c>
      <c r="AJ130" s="25">
        <v>1.8255887499999999</v>
      </c>
      <c r="AK130" s="25">
        <v>0.38085214512356541</v>
      </c>
      <c r="AL130" s="25">
        <v>0.16322078359059219</v>
      </c>
      <c r="AM130" s="25">
        <v>6.9915849376618766E-2</v>
      </c>
      <c r="AN130" s="24">
        <v>1.6407418154225517</v>
      </c>
      <c r="AO130" s="23">
        <v>-99</v>
      </c>
    </row>
    <row r="131" spans="1:41" x14ac:dyDescent="0.25">
      <c r="C131" s="16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"/>
      <c r="Q131" s="5" t="s">
        <v>4</v>
      </c>
      <c r="R131" s="5" t="s">
        <v>3</v>
      </c>
      <c r="S131" s="1"/>
      <c r="T131">
        <v>2009033</v>
      </c>
      <c r="U131" t="s">
        <v>575</v>
      </c>
      <c r="V131">
        <v>6.0290000000000003E-2</v>
      </c>
      <c r="W131">
        <v>0.38729999999999998</v>
      </c>
      <c r="X131">
        <v>2.5909999999999999E-2</v>
      </c>
      <c r="Y131">
        <v>1.3521000000000001</v>
      </c>
      <c r="Z131">
        <v>17.98648</v>
      </c>
      <c r="AA131">
        <v>9.7968200000000003</v>
      </c>
      <c r="AB131">
        <v>-1.3180400000000001</v>
      </c>
      <c r="AC131" s="23">
        <v>5.289E-2</v>
      </c>
      <c r="AD131" s="23">
        <v>0.38455</v>
      </c>
      <c r="AE131" s="23">
        <v>2.8459999999999999E-2</v>
      </c>
      <c r="AF131" s="23">
        <v>1.3738999999999999</v>
      </c>
      <c r="AG131" s="23">
        <v>26.52018</v>
      </c>
      <c r="AH131" s="23">
        <v>12.50117</v>
      </c>
      <c r="AI131" s="23">
        <v>-1.2447299999999999</v>
      </c>
      <c r="AJ131" s="25">
        <v>1.1050074999999999</v>
      </c>
      <c r="AK131" s="25">
        <v>0.38387439013336794</v>
      </c>
      <c r="AL131" s="25">
        <v>0.19422583866851359</v>
      </c>
      <c r="AM131" s="25">
        <v>8.7339695793002631E-2</v>
      </c>
      <c r="AN131" s="24">
        <v>1.632732866146575</v>
      </c>
      <c r="AO131" s="23">
        <v>-99</v>
      </c>
    </row>
    <row r="132" spans="1:41" x14ac:dyDescent="0.25">
      <c r="A132" s="4">
        <v>31</v>
      </c>
      <c r="B132">
        <v>30</v>
      </c>
      <c r="C132" s="16">
        <v>50</v>
      </c>
      <c r="D132">
        <v>20</v>
      </c>
      <c r="E132" s="3">
        <v>23</v>
      </c>
      <c r="F132" s="3">
        <f>1.8*E132+32</f>
        <v>73.400000000000006</v>
      </c>
      <c r="G132" s="3">
        <v>16</v>
      </c>
      <c r="H132" s="3">
        <f>IF(F132&gt;68,G132+(F132-68)*0.2,G279-(68-F132)*0.2)</f>
        <v>17.080000000000002</v>
      </c>
      <c r="I132" s="3">
        <v>23</v>
      </c>
      <c r="J132" s="3">
        <f>1.8*I132+32</f>
        <v>73.400000000000006</v>
      </c>
      <c r="K132" s="3">
        <v>7</v>
      </c>
      <c r="L132" s="3">
        <f>IF(J132&gt;68,K132+(J132-68)*0.2,K132-(68-J132)*0.2)</f>
        <v>8.0800000000000018</v>
      </c>
      <c r="M132" s="3">
        <f>(C132-H132)/C132*100</f>
        <v>65.84</v>
      </c>
      <c r="N132" s="3">
        <f>100-(M132+O132)</f>
        <v>18</v>
      </c>
      <c r="O132" s="3">
        <f>L132/C132*100</f>
        <v>16.160000000000004</v>
      </c>
      <c r="P132" s="1" t="s">
        <v>0</v>
      </c>
      <c r="Q132" s="15">
        <v>407562.01199999999</v>
      </c>
      <c r="R132" s="15">
        <v>3659870</v>
      </c>
      <c r="S132" s="1"/>
      <c r="T132">
        <v>2009033</v>
      </c>
      <c r="U132" t="s">
        <v>574</v>
      </c>
      <c r="V132">
        <v>4.9520000000000002E-2</v>
      </c>
      <c r="W132">
        <v>0.38353999999999999</v>
      </c>
      <c r="X132">
        <v>3.0669999999999999E-2</v>
      </c>
      <c r="Y132">
        <v>1.3874899999999999</v>
      </c>
      <c r="Z132">
        <v>32.38673</v>
      </c>
      <c r="AA132">
        <v>14.61585</v>
      </c>
      <c r="AB132">
        <v>-1.2253700000000001</v>
      </c>
      <c r="AC132" s="23">
        <v>5.6500000000000002E-2</v>
      </c>
      <c r="AD132" s="23">
        <v>0.38019999999999998</v>
      </c>
      <c r="AE132" s="23">
        <v>2.9860000000000001E-2</v>
      </c>
      <c r="AF132" s="23">
        <v>1.3635699999999999</v>
      </c>
      <c r="AG132" s="23">
        <v>25.039709999999999</v>
      </c>
      <c r="AH132" s="23">
        <v>12.21683</v>
      </c>
      <c r="AI132" s="23">
        <v>-1.37144</v>
      </c>
      <c r="AJ132" s="25">
        <v>1.04332125</v>
      </c>
      <c r="AK132" s="25">
        <v>0.37948476536643927</v>
      </c>
      <c r="AL132" s="25">
        <v>0.19534302981928928</v>
      </c>
      <c r="AM132" s="25">
        <v>9.1674238925867652E-2</v>
      </c>
      <c r="AN132" s="24">
        <v>1.6443653717789359</v>
      </c>
      <c r="AO132" s="23">
        <v>-99</v>
      </c>
    </row>
    <row r="133" spans="1:41" x14ac:dyDescent="0.25">
      <c r="A133" s="4">
        <v>31</v>
      </c>
      <c r="B133">
        <v>60</v>
      </c>
      <c r="C133" s="16">
        <v>50</v>
      </c>
      <c r="D133">
        <v>20</v>
      </c>
      <c r="E133" s="3">
        <v>25.5</v>
      </c>
      <c r="F133" s="3">
        <f>1.8*E133+32</f>
        <v>77.900000000000006</v>
      </c>
      <c r="G133" s="3">
        <v>19</v>
      </c>
      <c r="H133" s="3">
        <f>IF(F133&gt;68,G133+(F133-68)*0.2,G280-(68-F133)*0.2)</f>
        <v>20.98</v>
      </c>
      <c r="I133" s="3">
        <v>24</v>
      </c>
      <c r="J133" s="3">
        <f>1.8*I133+32</f>
        <v>75.2</v>
      </c>
      <c r="K133" s="3">
        <v>9</v>
      </c>
      <c r="L133" s="3">
        <f>IF(J133&gt;68,K133+(J133-68)*0.2,K133-(68-J133)*0.2)</f>
        <v>10.440000000000001</v>
      </c>
      <c r="M133" s="3">
        <f>(C133-H133)/C133*100</f>
        <v>58.040000000000006</v>
      </c>
      <c r="N133" s="3">
        <f>100-(M133+O133)</f>
        <v>21.079999999999984</v>
      </c>
      <c r="O133" s="3">
        <f>L133/C133*100</f>
        <v>20.880000000000003</v>
      </c>
      <c r="P133" s="1" t="s">
        <v>2</v>
      </c>
      <c r="Q133" s="15">
        <v>407562.01199999999</v>
      </c>
      <c r="R133" s="15">
        <v>3659870</v>
      </c>
      <c r="S133" s="1"/>
      <c r="T133">
        <v>2009033</v>
      </c>
      <c r="U133" t="s">
        <v>573</v>
      </c>
      <c r="V133">
        <v>4.7329999999999997E-2</v>
      </c>
      <c r="W133">
        <v>0.38164999999999999</v>
      </c>
      <c r="X133">
        <v>3.4180000000000002E-2</v>
      </c>
      <c r="Y133">
        <v>1.43187</v>
      </c>
      <c r="Z133">
        <v>43.814129999999999</v>
      </c>
      <c r="AA133">
        <v>18.110340000000001</v>
      </c>
      <c r="AB133">
        <v>-1.1726700000000001</v>
      </c>
      <c r="AC133" s="23">
        <v>5.2650000000000002E-2</v>
      </c>
      <c r="AD133" s="23">
        <v>0.37977</v>
      </c>
      <c r="AE133" s="23">
        <v>3.1669999999999997E-2</v>
      </c>
      <c r="AF133" s="23">
        <v>1.3956599999999999</v>
      </c>
      <c r="AG133" s="23">
        <v>33.126190000000001</v>
      </c>
      <c r="AH133" s="23">
        <v>14.44965</v>
      </c>
      <c r="AI133" s="23">
        <v>-1.2730399999999999</v>
      </c>
      <c r="AJ133" s="25">
        <v>1.3802579166666666</v>
      </c>
      <c r="AK133" s="25">
        <v>0.37902454730084711</v>
      </c>
      <c r="AL133" s="25">
        <v>0.18011692707786595</v>
      </c>
      <c r="AM133" s="25">
        <v>8.119997935049908E-2</v>
      </c>
      <c r="AN133" s="24">
        <v>1.645584949652755</v>
      </c>
      <c r="AO133" s="23">
        <v>-99</v>
      </c>
    </row>
    <row r="134" spans="1:41" x14ac:dyDescent="0.25">
      <c r="A134" s="4">
        <v>31</v>
      </c>
      <c r="B134">
        <v>90</v>
      </c>
      <c r="C134" s="16">
        <v>50</v>
      </c>
      <c r="D134">
        <v>20</v>
      </c>
      <c r="E134" s="3">
        <v>25</v>
      </c>
      <c r="F134" s="3">
        <f>1.8*E134+32</f>
        <v>77</v>
      </c>
      <c r="G134" s="3">
        <v>18</v>
      </c>
      <c r="H134" s="3">
        <f>IF(F134&gt;68,G134+(F134-68)*0.2,G281-(68-F134)*0.2)</f>
        <v>19.8</v>
      </c>
      <c r="I134" s="3">
        <v>24</v>
      </c>
      <c r="J134" s="3">
        <f>1.8*I134+32</f>
        <v>75.2</v>
      </c>
      <c r="K134" s="3">
        <v>7</v>
      </c>
      <c r="L134" s="3">
        <f>IF(J134&gt;68,K134+(J134-68)*0.2,K134-(68-J134)*0.2)</f>
        <v>8.4400000000000013</v>
      </c>
      <c r="M134" s="3">
        <f>(C134-H134)/C134*100</f>
        <v>60.4</v>
      </c>
      <c r="N134" s="3">
        <f>100-(M134+O134)</f>
        <v>22.72</v>
      </c>
      <c r="O134" s="3">
        <f>L134/C134*100</f>
        <v>16.880000000000003</v>
      </c>
      <c r="P134" s="1" t="s">
        <v>0</v>
      </c>
      <c r="Q134" s="15">
        <v>407562.01199999999</v>
      </c>
      <c r="R134" s="15">
        <v>3659870</v>
      </c>
      <c r="S134" s="1"/>
      <c r="T134">
        <v>2009033</v>
      </c>
      <c r="U134" t="s">
        <v>572</v>
      </c>
      <c r="V134">
        <v>5.289E-2</v>
      </c>
      <c r="W134">
        <v>0.38455</v>
      </c>
      <c r="X134">
        <v>2.8459999999999999E-2</v>
      </c>
      <c r="Y134">
        <v>1.3738999999999999</v>
      </c>
      <c r="Z134">
        <v>26.52018</v>
      </c>
      <c r="AA134">
        <v>12.50117</v>
      </c>
      <c r="AB134">
        <v>-1.2447299999999999</v>
      </c>
      <c r="AC134" s="23">
        <v>5.1810000000000002E-2</v>
      </c>
      <c r="AD134" s="23">
        <v>0.38279000000000002</v>
      </c>
      <c r="AE134" s="23">
        <v>3.04E-2</v>
      </c>
      <c r="AF134" s="23">
        <v>1.3801699999999999</v>
      </c>
      <c r="AG134" s="23">
        <v>29.932970000000001</v>
      </c>
      <c r="AH134" s="23">
        <v>13.81061</v>
      </c>
      <c r="AI134" s="23">
        <v>-1.26881</v>
      </c>
      <c r="AJ134" s="25">
        <v>1.2472070833333333</v>
      </c>
      <c r="AK134" s="25">
        <v>0.38205931301453683</v>
      </c>
      <c r="AL134" s="25">
        <v>0.18758081581634162</v>
      </c>
      <c r="AM134" s="25">
        <v>8.40888091370907E-2</v>
      </c>
      <c r="AN134" s="24">
        <v>1.6375428205114773</v>
      </c>
      <c r="AO134" s="23">
        <v>-99</v>
      </c>
    </row>
    <row r="135" spans="1:41" x14ac:dyDescent="0.25">
      <c r="A135" s="4">
        <v>31</v>
      </c>
      <c r="B135">
        <v>120</v>
      </c>
      <c r="C135" s="16">
        <v>50</v>
      </c>
      <c r="D135">
        <v>20</v>
      </c>
      <c r="E135" s="3">
        <v>25</v>
      </c>
      <c r="F135" s="3">
        <f>1.8*E135+32</f>
        <v>77</v>
      </c>
      <c r="G135" s="3">
        <v>15</v>
      </c>
      <c r="H135" s="3">
        <f>IF(F135&gt;68,G135+(F135-68)*0.2,G283-(68-F135)*0.2)</f>
        <v>16.8</v>
      </c>
      <c r="I135" s="3">
        <v>24</v>
      </c>
      <c r="J135" s="3">
        <f>1.8*I135+32</f>
        <v>75.2</v>
      </c>
      <c r="K135" s="3">
        <v>8</v>
      </c>
      <c r="L135" s="3">
        <f>IF(J135&gt;68,K135+(J135-68)*0.2,K135-(68-J135)*0.2)</f>
        <v>9.4400000000000013</v>
      </c>
      <c r="M135" s="3">
        <f>(C135-H135)/C135*100</f>
        <v>66.400000000000006</v>
      </c>
      <c r="N135" s="3">
        <f>100-(M135+O135)</f>
        <v>14.719999999999999</v>
      </c>
      <c r="O135" s="3">
        <f>L135/C135*100</f>
        <v>18.880000000000003</v>
      </c>
      <c r="P135" s="1" t="s">
        <v>0</v>
      </c>
      <c r="Q135" s="15">
        <v>407562.01199999999</v>
      </c>
      <c r="R135" s="15">
        <v>3659870</v>
      </c>
      <c r="S135" s="1"/>
      <c r="T135">
        <v>2009033</v>
      </c>
      <c r="U135" t="s">
        <v>571</v>
      </c>
      <c r="V135">
        <v>5.6500000000000002E-2</v>
      </c>
      <c r="W135">
        <v>0.38019999999999998</v>
      </c>
      <c r="X135">
        <v>2.9860000000000001E-2</v>
      </c>
      <c r="Y135">
        <v>1.3635699999999999</v>
      </c>
      <c r="Z135">
        <v>25.039709999999999</v>
      </c>
      <c r="AA135">
        <v>12.21683</v>
      </c>
      <c r="AB135">
        <v>-1.37144</v>
      </c>
      <c r="AC135" s="23">
        <v>5.5730000000000002E-2</v>
      </c>
      <c r="AD135" s="23">
        <v>0.38324999999999998</v>
      </c>
      <c r="AE135" s="23">
        <v>2.8830000000000001E-2</v>
      </c>
      <c r="AF135" s="23">
        <v>1.3628199999999999</v>
      </c>
      <c r="AG135" s="23">
        <v>24.162579999999998</v>
      </c>
      <c r="AH135" s="23">
        <v>11.95955</v>
      </c>
      <c r="AI135" s="23">
        <v>-1.3278000000000001</v>
      </c>
      <c r="AJ135" s="25">
        <v>1.0067741666666665</v>
      </c>
      <c r="AK135" s="25">
        <v>0.38255919686027223</v>
      </c>
      <c r="AL135" s="25">
        <v>0.19817944045377467</v>
      </c>
      <c r="AM135" s="25">
        <v>9.1940790312011592E-2</v>
      </c>
      <c r="AN135" s="24">
        <v>1.6362181283202786</v>
      </c>
      <c r="AO135" s="23">
        <v>-99</v>
      </c>
    </row>
    <row r="136" spans="1:41" x14ac:dyDescent="0.25">
      <c r="A136" s="4">
        <v>31</v>
      </c>
      <c r="B136">
        <v>150</v>
      </c>
      <c r="C136" s="16">
        <v>50</v>
      </c>
      <c r="D136">
        <v>20</v>
      </c>
      <c r="E136" s="3">
        <v>26</v>
      </c>
      <c r="F136" s="3">
        <f>1.8*E136+32</f>
        <v>78.800000000000011</v>
      </c>
      <c r="G136" s="3">
        <v>15</v>
      </c>
      <c r="H136" s="3">
        <f>IF(F136&gt;68,G136+(F136-68)*0.2,G284-(68-F136)*0.2)</f>
        <v>17.160000000000004</v>
      </c>
      <c r="I136" s="3">
        <v>24</v>
      </c>
      <c r="J136" s="3">
        <f>1.8*I136+32</f>
        <v>75.2</v>
      </c>
      <c r="K136" s="3">
        <v>6</v>
      </c>
      <c r="L136" s="3">
        <f>IF(J136&gt;68,K136+(J136-68)*0.2,K136-(68-J136)*0.2)</f>
        <v>7.44</v>
      </c>
      <c r="M136" s="3">
        <f>(C136-H136)/C136*100</f>
        <v>65.679999999999993</v>
      </c>
      <c r="N136" s="3">
        <f>100-(M136+O136)</f>
        <v>19.440000000000012</v>
      </c>
      <c r="O136" s="3">
        <f>L136/C136*100</f>
        <v>14.88</v>
      </c>
      <c r="P136" s="1" t="s">
        <v>0</v>
      </c>
      <c r="Q136" s="15">
        <v>407562.01199999999</v>
      </c>
      <c r="R136" s="15">
        <v>3659870</v>
      </c>
      <c r="S136" s="1"/>
      <c r="T136">
        <v>2009033</v>
      </c>
      <c r="U136" t="s">
        <v>570</v>
      </c>
      <c r="V136">
        <v>5.2650000000000002E-2</v>
      </c>
      <c r="W136">
        <v>0.37977</v>
      </c>
      <c r="X136">
        <v>3.1669999999999997E-2</v>
      </c>
      <c r="Y136">
        <v>1.3956599999999999</v>
      </c>
      <c r="Z136">
        <v>33.126190000000001</v>
      </c>
      <c r="AA136">
        <v>14.44965</v>
      </c>
      <c r="AB136">
        <v>-1.2730399999999999</v>
      </c>
      <c r="AC136" s="23">
        <v>6.4250000000000002E-2</v>
      </c>
      <c r="AD136" s="23">
        <v>0.39394000000000001</v>
      </c>
      <c r="AE136" s="23">
        <v>2.2280000000000001E-2</v>
      </c>
      <c r="AF136" s="23">
        <v>1.3607800000000001</v>
      </c>
      <c r="AG136" s="23">
        <v>13.556229999999999</v>
      </c>
      <c r="AH136" s="23">
        <v>7.8638700000000004</v>
      </c>
      <c r="AI136" s="23">
        <v>-1.18421</v>
      </c>
      <c r="AJ136" s="25">
        <v>0.56484291666666664</v>
      </c>
      <c r="AK136" s="25">
        <v>0.3934480866327924</v>
      </c>
      <c r="AL136" s="25">
        <v>0.22157663276405645</v>
      </c>
      <c r="AM136" s="25">
        <v>0.10474975625978661</v>
      </c>
      <c r="AN136" s="24">
        <v>1.6073625704231</v>
      </c>
      <c r="AO136" s="23">
        <v>-99</v>
      </c>
    </row>
    <row r="137" spans="1:41" x14ac:dyDescent="0.25">
      <c r="A137" s="4">
        <v>31</v>
      </c>
      <c r="B137">
        <v>180</v>
      </c>
      <c r="C137" s="16">
        <v>50</v>
      </c>
      <c r="D137">
        <v>20</v>
      </c>
      <c r="E137" s="3">
        <v>25.5</v>
      </c>
      <c r="F137" s="3">
        <f>1.8*E137+32</f>
        <v>77.900000000000006</v>
      </c>
      <c r="G137" s="3">
        <v>15</v>
      </c>
      <c r="H137" s="3">
        <f>IF(F137&gt;68,G137+(F137-68)*0.2,G285-(68-F137)*0.2)</f>
        <v>16.98</v>
      </c>
      <c r="I137" s="3">
        <v>24</v>
      </c>
      <c r="J137" s="3">
        <f>1.8*I137+32</f>
        <v>75.2</v>
      </c>
      <c r="K137" s="3">
        <v>8</v>
      </c>
      <c r="L137" s="3">
        <f>IF(J137&gt;68,K137+(J137-68)*0.2,K137-(68-J137)*0.2)</f>
        <v>9.4400000000000013</v>
      </c>
      <c r="M137" s="3">
        <f>(C137-H137)/C137*100</f>
        <v>66.039999999999992</v>
      </c>
      <c r="N137" s="3">
        <f>100-(M137+O137)</f>
        <v>15.080000000000013</v>
      </c>
      <c r="O137" s="3">
        <f>L137/C137*100</f>
        <v>18.880000000000003</v>
      </c>
      <c r="P137" s="1" t="s">
        <v>0</v>
      </c>
      <c r="Q137" s="15">
        <v>407562.01199999999</v>
      </c>
      <c r="R137" s="15">
        <v>3659870</v>
      </c>
      <c r="S137" s="1"/>
      <c r="T137">
        <v>2009033</v>
      </c>
      <c r="U137" t="s">
        <v>569</v>
      </c>
      <c r="V137">
        <v>5.1810000000000002E-2</v>
      </c>
      <c r="W137">
        <v>0.38279000000000002</v>
      </c>
      <c r="X137">
        <v>3.04E-2</v>
      </c>
      <c r="Y137">
        <v>1.3801699999999999</v>
      </c>
      <c r="Z137">
        <v>29.932970000000001</v>
      </c>
      <c r="AA137">
        <v>13.81061</v>
      </c>
      <c r="AB137">
        <v>-1.26881</v>
      </c>
      <c r="AC137" s="23">
        <v>6.053E-2</v>
      </c>
      <c r="AD137" s="23">
        <v>0.38905000000000001</v>
      </c>
      <c r="AE137" s="23">
        <v>2.4729999999999999E-2</v>
      </c>
      <c r="AF137" s="23">
        <v>1.35789</v>
      </c>
      <c r="AG137" s="23">
        <v>17.21397</v>
      </c>
      <c r="AH137" s="23">
        <v>9.3200099999999999</v>
      </c>
      <c r="AI137" s="23">
        <v>-1.2559499999999999</v>
      </c>
      <c r="AJ137" s="25">
        <v>0.71724874999999999</v>
      </c>
      <c r="AK137" s="25">
        <v>0.3884826881345399</v>
      </c>
      <c r="AL137" s="25">
        <v>0.21275898134613871</v>
      </c>
      <c r="AM137" s="25">
        <v>0.100065970335907</v>
      </c>
      <c r="AN137" s="24">
        <v>1.6205208764434693</v>
      </c>
      <c r="AO137" s="23">
        <v>-99</v>
      </c>
    </row>
    <row r="138" spans="1:41" x14ac:dyDescent="0.25">
      <c r="Q138" s="18"/>
      <c r="R138" s="18"/>
      <c r="T138">
        <v>2009033</v>
      </c>
      <c r="U138" t="s">
        <v>568</v>
      </c>
      <c r="V138">
        <v>5.5730000000000002E-2</v>
      </c>
      <c r="W138">
        <v>0.38324999999999998</v>
      </c>
      <c r="X138">
        <v>2.8830000000000001E-2</v>
      </c>
      <c r="Y138">
        <v>1.3628199999999999</v>
      </c>
      <c r="Z138">
        <v>24.162579999999998</v>
      </c>
      <c r="AA138">
        <v>11.95955</v>
      </c>
      <c r="AB138">
        <v>-1.3278000000000001</v>
      </c>
      <c r="AC138" s="23">
        <v>7.2550000000000003E-2</v>
      </c>
      <c r="AD138" s="23">
        <v>0.40133000000000002</v>
      </c>
      <c r="AE138" s="23">
        <v>2.214E-2</v>
      </c>
      <c r="AF138" s="23">
        <v>1.3277399999999999</v>
      </c>
      <c r="AG138" s="23">
        <v>8.8790600000000008</v>
      </c>
      <c r="AH138" s="23">
        <v>6.8064</v>
      </c>
      <c r="AI138" s="23">
        <v>-1.36633</v>
      </c>
      <c r="AJ138" s="25">
        <v>0.36996083333333335</v>
      </c>
      <c r="AK138" s="25">
        <v>0.40081662675794449</v>
      </c>
      <c r="AL138" s="25">
        <v>0.24052726461262888</v>
      </c>
      <c r="AM138" s="25">
        <v>0.12158843355775428</v>
      </c>
      <c r="AN138" s="24">
        <v>1.5878359390914469</v>
      </c>
      <c r="AO138" s="23">
        <v>-99</v>
      </c>
    </row>
    <row r="139" spans="1:41" ht="51.75" x14ac:dyDescent="0.25">
      <c r="A139" s="14" t="s">
        <v>21</v>
      </c>
      <c r="B139" s="9" t="s">
        <v>20</v>
      </c>
      <c r="C139" s="13" t="s">
        <v>19</v>
      </c>
      <c r="D139" s="12" t="s">
        <v>18</v>
      </c>
      <c r="E139" s="11" t="s">
        <v>17</v>
      </c>
      <c r="F139" s="11" t="s">
        <v>16</v>
      </c>
      <c r="G139" s="11" t="s">
        <v>15</v>
      </c>
      <c r="H139" s="11" t="s">
        <v>14</v>
      </c>
      <c r="I139" s="11" t="s">
        <v>13</v>
      </c>
      <c r="J139" s="11" t="s">
        <v>12</v>
      </c>
      <c r="K139" s="11" t="s">
        <v>11</v>
      </c>
      <c r="L139" s="11" t="s">
        <v>10</v>
      </c>
      <c r="M139" s="10" t="s">
        <v>9</v>
      </c>
      <c r="N139" s="10" t="s">
        <v>8</v>
      </c>
      <c r="O139" s="10" t="s">
        <v>7</v>
      </c>
      <c r="P139" s="9" t="s">
        <v>6</v>
      </c>
      <c r="Q139" s="21" t="s">
        <v>5</v>
      </c>
      <c r="R139" s="20"/>
      <c r="S139" s="6"/>
      <c r="T139">
        <v>2009033</v>
      </c>
      <c r="U139" t="s">
        <v>567</v>
      </c>
      <c r="V139">
        <v>6.4250000000000002E-2</v>
      </c>
      <c r="W139">
        <v>0.39394000000000001</v>
      </c>
      <c r="X139">
        <v>2.2280000000000001E-2</v>
      </c>
      <c r="Y139">
        <v>1.3607800000000001</v>
      </c>
      <c r="Z139">
        <v>13.556229999999999</v>
      </c>
      <c r="AA139">
        <v>7.8638700000000004</v>
      </c>
      <c r="AB139">
        <v>-1.18421</v>
      </c>
      <c r="AC139" s="23">
        <v>5.9959999999999999E-2</v>
      </c>
      <c r="AD139" s="23">
        <v>0.38296000000000002</v>
      </c>
      <c r="AE139" s="23">
        <v>2.8080000000000001E-2</v>
      </c>
      <c r="AF139" s="23">
        <v>1.34365</v>
      </c>
      <c r="AG139" s="23">
        <v>19.564260000000001</v>
      </c>
      <c r="AH139" s="23">
        <v>10.602349999999999</v>
      </c>
      <c r="AI139" s="23">
        <v>-1.42839</v>
      </c>
      <c r="AJ139" s="25">
        <v>0.8151775</v>
      </c>
      <c r="AK139" s="25">
        <v>0.38228393816534528</v>
      </c>
      <c r="AL139" s="25">
        <v>0.20793736914073752</v>
      </c>
      <c r="AM139" s="25">
        <v>0.10044219455360617</v>
      </c>
      <c r="AN139" s="24">
        <v>1.6369475638618347</v>
      </c>
      <c r="AO139" s="23">
        <v>-99</v>
      </c>
    </row>
    <row r="140" spans="1:41" x14ac:dyDescent="0.25"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1"/>
      <c r="Q140" s="5" t="s">
        <v>4</v>
      </c>
      <c r="R140" s="5" t="s">
        <v>3</v>
      </c>
      <c r="S140" s="1"/>
      <c r="T140">
        <v>2009033</v>
      </c>
      <c r="U140" t="s">
        <v>566</v>
      </c>
      <c r="V140">
        <v>6.053E-2</v>
      </c>
      <c r="W140">
        <v>0.38905000000000001</v>
      </c>
      <c r="X140">
        <v>2.4729999999999999E-2</v>
      </c>
      <c r="Y140">
        <v>1.35789</v>
      </c>
      <c r="Z140">
        <v>17.21397</v>
      </c>
      <c r="AA140">
        <v>9.3200099999999999</v>
      </c>
      <c r="AB140">
        <v>-1.2559499999999999</v>
      </c>
      <c r="AC140" s="23">
        <v>5.3659999999999999E-2</v>
      </c>
      <c r="AD140" s="23">
        <v>0.38289000000000001</v>
      </c>
      <c r="AE140" s="23">
        <v>2.9649999999999999E-2</v>
      </c>
      <c r="AF140" s="23">
        <v>1.37178</v>
      </c>
      <c r="AG140" s="23">
        <v>27.116800000000001</v>
      </c>
      <c r="AH140" s="23">
        <v>12.896430000000001</v>
      </c>
      <c r="AI140" s="23">
        <v>-1.29695</v>
      </c>
      <c r="AJ140" s="25">
        <v>1.1298666666666668</v>
      </c>
      <c r="AK140" s="25">
        <v>0.38217837636454427</v>
      </c>
      <c r="AL140" s="25">
        <v>0.19258938888045246</v>
      </c>
      <c r="AM140" s="25">
        <v>8.7775789758235745E-2</v>
      </c>
      <c r="AN140" s="24">
        <v>1.6372273026339574</v>
      </c>
      <c r="AO140" s="23">
        <v>-99</v>
      </c>
    </row>
    <row r="141" spans="1:41" x14ac:dyDescent="0.25">
      <c r="A141" s="4">
        <v>32</v>
      </c>
      <c r="B141">
        <v>30</v>
      </c>
      <c r="C141">
        <v>50</v>
      </c>
      <c r="D141">
        <v>20</v>
      </c>
      <c r="E141" s="3">
        <v>25</v>
      </c>
      <c r="F141" s="3">
        <f>1.8*E141+32</f>
        <v>77</v>
      </c>
      <c r="G141" s="3">
        <v>14</v>
      </c>
      <c r="H141" s="3">
        <f>IF(F141&gt;68,G141+(F141-68)*0.2,G289-(68-F141)*0.2)</f>
        <v>15.8</v>
      </c>
      <c r="I141" s="3">
        <v>24</v>
      </c>
      <c r="J141" s="3">
        <f>1.8*I141+32</f>
        <v>75.2</v>
      </c>
      <c r="K141" s="3">
        <v>6</v>
      </c>
      <c r="L141" s="3">
        <f>IF(J141&gt;67,K141+(J141-67)*0.2,K141-(67-J141)*0.2)</f>
        <v>7.6400000000000006</v>
      </c>
      <c r="M141" s="3">
        <f>(C141-H141)/C141*100</f>
        <v>68.400000000000006</v>
      </c>
      <c r="N141" s="3">
        <f>100-(M141+O141)</f>
        <v>16.319999999999993</v>
      </c>
      <c r="O141" s="3">
        <f>L141/C141*100</f>
        <v>15.280000000000001</v>
      </c>
      <c r="P141" s="1" t="s">
        <v>0</v>
      </c>
      <c r="Q141" s="15">
        <v>407562.01199999999</v>
      </c>
      <c r="R141" s="15">
        <v>3659896.5</v>
      </c>
      <c r="S141" s="1"/>
      <c r="T141">
        <v>2009033</v>
      </c>
      <c r="U141" t="s">
        <v>565</v>
      </c>
      <c r="V141">
        <v>7.2550000000000003E-2</v>
      </c>
      <c r="W141">
        <v>0.40133000000000002</v>
      </c>
      <c r="X141">
        <v>2.214E-2</v>
      </c>
      <c r="Y141">
        <v>1.3277399999999999</v>
      </c>
      <c r="Z141">
        <v>8.8790600000000008</v>
      </c>
      <c r="AA141">
        <v>6.8064</v>
      </c>
      <c r="AB141">
        <v>-1.36633</v>
      </c>
      <c r="AC141" s="23">
        <v>5.2789999999999997E-2</v>
      </c>
      <c r="AD141" s="23">
        <v>0.38117000000000001</v>
      </c>
      <c r="AE141" s="23">
        <v>3.1019999999999999E-2</v>
      </c>
      <c r="AF141" s="23">
        <v>1.3825000000000001</v>
      </c>
      <c r="AG141" s="23">
        <v>30.454249999999998</v>
      </c>
      <c r="AH141" s="23">
        <v>13.912140000000001</v>
      </c>
      <c r="AI141" s="23">
        <v>-1.29301</v>
      </c>
      <c r="AJ141" s="25">
        <v>1.2689270833333333</v>
      </c>
      <c r="AK141" s="25">
        <v>0.38042737751046274</v>
      </c>
      <c r="AL141" s="25">
        <v>0.18577996392222171</v>
      </c>
      <c r="AM141" s="25">
        <v>8.4118829574823806E-2</v>
      </c>
      <c r="AN141" s="24">
        <v>1.6418674495972736</v>
      </c>
      <c r="AO141" s="23">
        <v>-99</v>
      </c>
    </row>
    <row r="142" spans="1:41" x14ac:dyDescent="0.25">
      <c r="A142" s="4">
        <v>32</v>
      </c>
      <c r="B142">
        <v>60</v>
      </c>
      <c r="C142">
        <v>50</v>
      </c>
      <c r="D142">
        <v>20</v>
      </c>
      <c r="E142" s="3">
        <v>26</v>
      </c>
      <c r="F142" s="3">
        <f>1.8*E142+32</f>
        <v>78.800000000000011</v>
      </c>
      <c r="G142" s="3">
        <v>12</v>
      </c>
      <c r="H142" s="3">
        <f>IF(F142&gt;68,G142+(F142-68)*0.2,G290-(68-F142)*0.2)</f>
        <v>14.160000000000002</v>
      </c>
      <c r="I142" s="3">
        <v>24</v>
      </c>
      <c r="J142" s="3">
        <f>1.8*I142+32</f>
        <v>75.2</v>
      </c>
      <c r="K142" s="3">
        <v>6</v>
      </c>
      <c r="L142" s="3">
        <f>IF(J142&gt;67,K142+(J142-67)*0.2,K142-(67-J142)*0.2)</f>
        <v>7.6400000000000006</v>
      </c>
      <c r="M142" s="3">
        <f>(C142-H142)/C142*100</f>
        <v>71.679999999999993</v>
      </c>
      <c r="N142" s="3">
        <f>100-(M142+O142)</f>
        <v>13.040000000000006</v>
      </c>
      <c r="O142" s="3">
        <f>L142/C142*100</f>
        <v>15.280000000000001</v>
      </c>
      <c r="P142" s="1" t="s">
        <v>0</v>
      </c>
      <c r="Q142" s="15">
        <v>407562.01199999999</v>
      </c>
      <c r="R142" s="15">
        <v>3659896.5</v>
      </c>
      <c r="S142" s="1"/>
      <c r="T142">
        <v>2009033</v>
      </c>
      <c r="U142" t="s">
        <v>564</v>
      </c>
      <c r="V142">
        <v>5.9959999999999999E-2</v>
      </c>
      <c r="W142">
        <v>0.38296000000000002</v>
      </c>
      <c r="X142">
        <v>2.8080000000000001E-2</v>
      </c>
      <c r="Y142">
        <v>1.34365</v>
      </c>
      <c r="Z142">
        <v>19.564260000000001</v>
      </c>
      <c r="AA142">
        <v>10.602349999999999</v>
      </c>
      <c r="AB142">
        <v>-1.42839</v>
      </c>
      <c r="AC142" s="23">
        <v>5.194E-2</v>
      </c>
      <c r="AD142" s="23">
        <v>0.37814999999999999</v>
      </c>
      <c r="AE142" s="23">
        <v>3.2379999999999999E-2</v>
      </c>
      <c r="AF142" s="23">
        <v>1.4368000000000001</v>
      </c>
      <c r="AG142" s="23">
        <v>40.660429999999998</v>
      </c>
      <c r="AH142" s="23">
        <v>15.620010000000001</v>
      </c>
      <c r="AI142" s="23">
        <v>-1.18994</v>
      </c>
      <c r="AJ142" s="25">
        <v>1.6941845833333333</v>
      </c>
      <c r="AK142" s="25">
        <v>0.3774356573186155</v>
      </c>
      <c r="AL142" s="25">
        <v>0.1662648463994354</v>
      </c>
      <c r="AM142" s="25">
        <v>7.3821316565334805E-2</v>
      </c>
      <c r="AN142" s="24">
        <v>1.6497955081056688</v>
      </c>
      <c r="AO142" s="23">
        <v>-99</v>
      </c>
    </row>
    <row r="143" spans="1:41" x14ac:dyDescent="0.25">
      <c r="A143" s="4">
        <v>32</v>
      </c>
      <c r="B143">
        <v>90</v>
      </c>
      <c r="C143">
        <v>50</v>
      </c>
      <c r="D143">
        <v>20</v>
      </c>
      <c r="E143" s="3">
        <v>26</v>
      </c>
      <c r="F143" s="3">
        <f>1.8*E143+32</f>
        <v>78.800000000000011</v>
      </c>
      <c r="G143" s="3">
        <v>12</v>
      </c>
      <c r="H143" s="3">
        <f>IF(F143&gt;68,G143+(F143-68)*0.2,G291-(68-F143)*0.2)</f>
        <v>14.160000000000002</v>
      </c>
      <c r="I143" s="3">
        <v>24</v>
      </c>
      <c r="J143" s="3">
        <f>1.8*I143+32</f>
        <v>75.2</v>
      </c>
      <c r="K143" s="3">
        <v>5</v>
      </c>
      <c r="L143" s="3">
        <f>IF(J143&gt;67,K143+(J143-67)*0.2,K143-(67-J143)*0.2)</f>
        <v>6.6400000000000006</v>
      </c>
      <c r="M143" s="3">
        <f>(C143-H143)/C143*100</f>
        <v>71.679999999999993</v>
      </c>
      <c r="N143" s="3">
        <f>100-(M143+O143)</f>
        <v>15.040000000000006</v>
      </c>
      <c r="O143" s="3">
        <f>L143/C143*100</f>
        <v>13.28</v>
      </c>
      <c r="P143" s="1" t="s">
        <v>0</v>
      </c>
      <c r="Q143" s="15">
        <v>407562.01199999999</v>
      </c>
      <c r="R143" s="15">
        <v>3659896.5</v>
      </c>
      <c r="S143" s="1"/>
      <c r="T143">
        <v>2009033</v>
      </c>
      <c r="U143" t="s">
        <v>563</v>
      </c>
      <c r="V143">
        <v>5.3659999999999999E-2</v>
      </c>
      <c r="W143">
        <v>0.38289000000000001</v>
      </c>
      <c r="X143">
        <v>2.9649999999999999E-2</v>
      </c>
      <c r="Y143">
        <v>1.37178</v>
      </c>
      <c r="Z143">
        <v>27.116800000000001</v>
      </c>
      <c r="AA143">
        <v>12.896430000000001</v>
      </c>
      <c r="AB143">
        <v>-1.29695</v>
      </c>
      <c r="AC143" s="23">
        <v>4.512E-2</v>
      </c>
      <c r="AD143" s="23">
        <v>0.38229999999999997</v>
      </c>
      <c r="AE143" s="23">
        <v>3.5790000000000002E-2</v>
      </c>
      <c r="AF143" s="23">
        <v>1.4637100000000001</v>
      </c>
      <c r="AG143" s="23">
        <v>51.389740000000003</v>
      </c>
      <c r="AH143" s="23">
        <v>20.639569999999999</v>
      </c>
      <c r="AI143" s="23">
        <v>-1.11527</v>
      </c>
      <c r="AJ143" s="25">
        <v>2.1412391666666668</v>
      </c>
      <c r="AK143" s="25">
        <v>0.3814879133475737</v>
      </c>
      <c r="AL143" s="25">
        <v>0.15109501597397201</v>
      </c>
      <c r="AM143" s="25">
        <v>6.3400488500712116E-2</v>
      </c>
      <c r="AN143" s="24">
        <v>1.6390570296289297</v>
      </c>
      <c r="AO143" s="23">
        <v>-99</v>
      </c>
    </row>
    <row r="144" spans="1:41" x14ac:dyDescent="0.25">
      <c r="A144" s="4">
        <v>32</v>
      </c>
      <c r="B144">
        <v>120</v>
      </c>
      <c r="C144">
        <v>50</v>
      </c>
      <c r="D144">
        <v>20</v>
      </c>
      <c r="E144" s="3">
        <v>26</v>
      </c>
      <c r="F144" s="3">
        <f>1.8*E144+32</f>
        <v>78.800000000000011</v>
      </c>
      <c r="G144" s="3">
        <v>19</v>
      </c>
      <c r="H144" s="3">
        <f>IF(F144&gt;68,G144+(F144-68)*0.2,G292-(68-F144)*0.2)</f>
        <v>21.160000000000004</v>
      </c>
      <c r="I144" s="3">
        <v>24</v>
      </c>
      <c r="J144" s="3">
        <f>1.8*I144+32</f>
        <v>75.2</v>
      </c>
      <c r="K144" s="3">
        <v>10</v>
      </c>
      <c r="L144" s="3">
        <f>IF(J144&gt;67,K144+(J144-67)*0.2,K144-(67-J144)*0.2)</f>
        <v>11.64</v>
      </c>
      <c r="M144" s="3">
        <f>(C144-H144)/C144*100</f>
        <v>57.68</v>
      </c>
      <c r="N144" s="3">
        <f>100-(M144+O144)</f>
        <v>19.039999999999992</v>
      </c>
      <c r="O144" s="3">
        <f>L144/C144*100</f>
        <v>23.28</v>
      </c>
      <c r="P144" s="1" t="s">
        <v>2</v>
      </c>
      <c r="Q144" s="15">
        <v>407562.01199999999</v>
      </c>
      <c r="R144" s="15">
        <v>3659896.5</v>
      </c>
      <c r="S144" s="1"/>
      <c r="T144">
        <v>2009033</v>
      </c>
      <c r="U144" t="s">
        <v>562</v>
      </c>
      <c r="V144">
        <v>5.2789999999999997E-2</v>
      </c>
      <c r="W144">
        <v>0.38117000000000001</v>
      </c>
      <c r="X144">
        <v>3.1019999999999999E-2</v>
      </c>
      <c r="Y144">
        <v>1.3825000000000001</v>
      </c>
      <c r="Z144">
        <v>30.454249999999998</v>
      </c>
      <c r="AA144">
        <v>13.912140000000001</v>
      </c>
      <c r="AB144">
        <v>-1.29301</v>
      </c>
      <c r="AC144" s="23">
        <v>9.3899999999999997E-2</v>
      </c>
      <c r="AD144" s="23">
        <v>0.47404000000000002</v>
      </c>
      <c r="AE144" s="23">
        <v>1.4160000000000001E-2</v>
      </c>
      <c r="AF144" s="23">
        <v>1.3326800000000001</v>
      </c>
      <c r="AG144" s="23">
        <v>12.649010000000001</v>
      </c>
      <c r="AH144" s="23">
        <v>3.41621</v>
      </c>
      <c r="AI144" s="23">
        <v>-0.93120999999999998</v>
      </c>
      <c r="AJ144" s="25">
        <v>0.52704208333333336</v>
      </c>
      <c r="AK144" s="25">
        <v>0.47371470859633219</v>
      </c>
      <c r="AL144" s="25">
        <v>0.31417124191066631</v>
      </c>
      <c r="AM144" s="25">
        <v>0.15782341857152621</v>
      </c>
      <c r="AN144" s="24">
        <v>1.3946560222197195</v>
      </c>
      <c r="AO144" s="23">
        <v>-99</v>
      </c>
    </row>
    <row r="145" spans="1:41" x14ac:dyDescent="0.25">
      <c r="A145" s="4">
        <v>32</v>
      </c>
      <c r="B145">
        <v>150</v>
      </c>
      <c r="C145">
        <v>50</v>
      </c>
      <c r="D145">
        <v>20</v>
      </c>
      <c r="E145" s="3">
        <v>25</v>
      </c>
      <c r="F145" s="3">
        <f>1.8*E145+32</f>
        <v>77</v>
      </c>
      <c r="G145" s="3">
        <v>18</v>
      </c>
      <c r="H145" s="3">
        <f>IF(F145&gt;68,G145+(F145-68)*0.2,G293-(68-F145)*0.2)</f>
        <v>19.8</v>
      </c>
      <c r="I145" s="3">
        <v>24</v>
      </c>
      <c r="J145" s="3">
        <f>1.8*I145+32</f>
        <v>75.2</v>
      </c>
      <c r="K145" s="3">
        <v>10</v>
      </c>
      <c r="L145" s="3">
        <f>IF(J145&gt;67,K145+(J145-67)*0.2,K145-(67-J145)*0.2)</f>
        <v>11.64</v>
      </c>
      <c r="M145" s="3">
        <f>(C145-H145)/C145*100</f>
        <v>60.4</v>
      </c>
      <c r="N145" s="3">
        <f>100-(M145+O145)</f>
        <v>16.319999999999993</v>
      </c>
      <c r="O145" s="3">
        <f>L145/C145*100</f>
        <v>23.28</v>
      </c>
      <c r="P145" s="1" t="s">
        <v>2</v>
      </c>
      <c r="Q145" s="15">
        <v>407562.01199999999</v>
      </c>
      <c r="R145" s="15">
        <v>3659896.5</v>
      </c>
      <c r="S145" s="1"/>
      <c r="T145">
        <v>2009033</v>
      </c>
      <c r="U145" t="s">
        <v>561</v>
      </c>
      <c r="V145">
        <v>5.194E-2</v>
      </c>
      <c r="W145">
        <v>0.37814999999999999</v>
      </c>
      <c r="X145">
        <v>3.2379999999999999E-2</v>
      </c>
      <c r="Y145">
        <v>1.4368000000000001</v>
      </c>
      <c r="Z145">
        <v>40.660429999999998</v>
      </c>
      <c r="AA145">
        <v>15.620010000000001</v>
      </c>
      <c r="AB145">
        <v>-1.18994</v>
      </c>
      <c r="AC145" s="23">
        <v>6.7400000000000002E-2</v>
      </c>
      <c r="AD145" s="23">
        <v>0.40177000000000002</v>
      </c>
      <c r="AE145" s="23">
        <v>1.8270000000000002E-2</v>
      </c>
      <c r="AF145" s="23">
        <v>1.3847400000000001</v>
      </c>
      <c r="AG145" s="23">
        <v>10.32297</v>
      </c>
      <c r="AH145" s="23">
        <v>6.0609799999999998</v>
      </c>
      <c r="AI145" s="23">
        <v>-0.96177999999999997</v>
      </c>
      <c r="AJ145" s="25">
        <v>0.43012374999999997</v>
      </c>
      <c r="AK145" s="25">
        <v>0.40140700452825834</v>
      </c>
      <c r="AL145" s="25">
        <v>0.23070698910335785</v>
      </c>
      <c r="AM145" s="25">
        <v>0.10596966625650148</v>
      </c>
      <c r="AN145" s="24">
        <v>1.5862714380001155</v>
      </c>
      <c r="AO145" s="23">
        <v>-99</v>
      </c>
    </row>
    <row r="146" spans="1:41" x14ac:dyDescent="0.25">
      <c r="A146" s="4">
        <v>32</v>
      </c>
      <c r="B146">
        <v>180</v>
      </c>
      <c r="C146">
        <v>50</v>
      </c>
      <c r="D146">
        <v>20</v>
      </c>
      <c r="E146" s="3">
        <v>25.5</v>
      </c>
      <c r="F146" s="3">
        <f>1.8*E146+32</f>
        <v>77.900000000000006</v>
      </c>
      <c r="G146" s="3">
        <v>14</v>
      </c>
      <c r="H146" s="3">
        <f>IF(F146&gt;68,G146+(F146-68)*0.2,G294-(68-F146)*0.2)</f>
        <v>15.98</v>
      </c>
      <c r="I146" s="3">
        <v>24</v>
      </c>
      <c r="J146" s="3">
        <f>1.8*I146+32</f>
        <v>75.2</v>
      </c>
      <c r="K146" s="3">
        <v>6</v>
      </c>
      <c r="L146" s="3">
        <f>IF(J146&gt;67,K146+(J146-67)*0.2,K146-(67-J146)*0.2)</f>
        <v>7.6400000000000006</v>
      </c>
      <c r="M146" s="3">
        <f>(C146-H146)/C146*100</f>
        <v>68.039999999999992</v>
      </c>
      <c r="N146" s="3">
        <f>100-(M146+O146)</f>
        <v>16.680000000000007</v>
      </c>
      <c r="O146" s="3">
        <f>L146/C146*100</f>
        <v>15.280000000000001</v>
      </c>
      <c r="P146" s="1" t="s">
        <v>0</v>
      </c>
      <c r="Q146" s="15">
        <v>407562.01199999999</v>
      </c>
      <c r="R146" s="15">
        <v>3659896.5</v>
      </c>
      <c r="S146" s="1"/>
      <c r="T146">
        <v>2009033</v>
      </c>
      <c r="U146" t="s">
        <v>560</v>
      </c>
      <c r="V146">
        <v>4.512E-2</v>
      </c>
      <c r="W146">
        <v>0.38229999999999997</v>
      </c>
      <c r="X146">
        <v>3.5790000000000002E-2</v>
      </c>
      <c r="Y146">
        <v>1.4637100000000001</v>
      </c>
      <c r="Z146">
        <v>51.389740000000003</v>
      </c>
      <c r="AA146">
        <v>20.639569999999999</v>
      </c>
      <c r="AB146">
        <v>-1.11527</v>
      </c>
      <c r="AC146" s="23">
        <v>5.9459999999999999E-2</v>
      </c>
      <c r="AD146" s="23">
        <v>0.38057000000000002</v>
      </c>
      <c r="AE146" s="23">
        <v>2.8850000000000001E-2</v>
      </c>
      <c r="AF146" s="23">
        <v>1.3457399999999999</v>
      </c>
      <c r="AG146" s="23">
        <v>20.76201</v>
      </c>
      <c r="AH146" s="23">
        <v>10.9688</v>
      </c>
      <c r="AI146" s="23">
        <v>-1.4444699999999999</v>
      </c>
      <c r="AJ146" s="25">
        <v>0.86508375000000004</v>
      </c>
      <c r="AK146" s="25">
        <v>0.37987514150952534</v>
      </c>
      <c r="AL146" s="25">
        <v>0.20458548128520887</v>
      </c>
      <c r="AM146" s="25">
        <v>9.8830380665754516E-2</v>
      </c>
      <c r="AN146" s="24">
        <v>1.6433308749997577</v>
      </c>
      <c r="AO146" s="23">
        <v>-99</v>
      </c>
    </row>
    <row r="147" spans="1:41" x14ac:dyDescent="0.25">
      <c r="Q147" s="18"/>
      <c r="R147" s="18"/>
      <c r="T147">
        <v>2009033</v>
      </c>
      <c r="U147" t="s">
        <v>559</v>
      </c>
      <c r="V147">
        <v>9.3899999999999997E-2</v>
      </c>
      <c r="W147">
        <v>0.47404000000000002</v>
      </c>
      <c r="X147">
        <v>1.4160000000000001E-2</v>
      </c>
      <c r="Y147">
        <v>1.3326800000000001</v>
      </c>
      <c r="Z147">
        <v>12.649010000000001</v>
      </c>
      <c r="AA147">
        <v>3.41621</v>
      </c>
      <c r="AB147">
        <v>-0.93120999999999998</v>
      </c>
      <c r="AC147" s="23">
        <v>6.1859999999999998E-2</v>
      </c>
      <c r="AD147" s="23">
        <v>0.38477</v>
      </c>
      <c r="AE147" s="23">
        <v>2.717E-2</v>
      </c>
      <c r="AF147" s="23">
        <v>1.3373200000000001</v>
      </c>
      <c r="AG147" s="23">
        <v>17.346720000000001</v>
      </c>
      <c r="AH147" s="23">
        <v>9.8824699999999996</v>
      </c>
      <c r="AI147" s="23">
        <v>-1.44296</v>
      </c>
      <c r="AJ147" s="25">
        <v>0.72278000000000009</v>
      </c>
      <c r="AK147" s="25">
        <v>0.38411749578876409</v>
      </c>
      <c r="AL147" s="25">
        <v>0.21349871976832371</v>
      </c>
      <c r="AM147" s="25">
        <v>0.10437869091886681</v>
      </c>
      <c r="AN147" s="24">
        <v>1.6320886361597751</v>
      </c>
      <c r="AO147" s="23">
        <v>-99</v>
      </c>
    </row>
    <row r="148" spans="1:41" ht="51.75" x14ac:dyDescent="0.25">
      <c r="A148" s="14" t="s">
        <v>21</v>
      </c>
      <c r="B148" s="9" t="s">
        <v>20</v>
      </c>
      <c r="C148" s="13" t="s">
        <v>19</v>
      </c>
      <c r="D148" s="12" t="s">
        <v>18</v>
      </c>
      <c r="E148" s="11" t="s">
        <v>17</v>
      </c>
      <c r="F148" s="11" t="s">
        <v>16</v>
      </c>
      <c r="G148" s="11" t="s">
        <v>15</v>
      </c>
      <c r="H148" s="11" t="s">
        <v>14</v>
      </c>
      <c r="I148" s="11" t="s">
        <v>13</v>
      </c>
      <c r="J148" s="11" t="s">
        <v>12</v>
      </c>
      <c r="K148" s="11" t="s">
        <v>11</v>
      </c>
      <c r="L148" s="11" t="s">
        <v>10</v>
      </c>
      <c r="M148" s="10" t="s">
        <v>9</v>
      </c>
      <c r="N148" s="10" t="s">
        <v>8</v>
      </c>
      <c r="O148" s="10" t="s">
        <v>7</v>
      </c>
      <c r="P148" s="9" t="s">
        <v>6</v>
      </c>
      <c r="Q148" s="21" t="s">
        <v>5</v>
      </c>
      <c r="R148" s="20"/>
      <c r="S148" s="6"/>
      <c r="T148">
        <v>2009033</v>
      </c>
      <c r="U148" t="s">
        <v>558</v>
      </c>
      <c r="V148">
        <v>6.7400000000000002E-2</v>
      </c>
      <c r="W148">
        <v>0.40177000000000002</v>
      </c>
      <c r="X148">
        <v>1.8270000000000002E-2</v>
      </c>
      <c r="Y148">
        <v>1.3847400000000001</v>
      </c>
      <c r="Z148">
        <v>10.32297</v>
      </c>
      <c r="AA148">
        <v>6.0609799999999998</v>
      </c>
      <c r="AB148">
        <v>-0.96177999999999997</v>
      </c>
      <c r="AC148" s="23">
        <v>5.3010000000000002E-2</v>
      </c>
      <c r="AD148" s="23">
        <v>0.38018000000000002</v>
      </c>
      <c r="AE148" s="23">
        <v>3.134E-2</v>
      </c>
      <c r="AF148" s="23">
        <v>1.3881399999999999</v>
      </c>
      <c r="AG148" s="23">
        <v>31.501860000000001</v>
      </c>
      <c r="AH148" s="23">
        <v>14.084059999999999</v>
      </c>
      <c r="AI148" s="23">
        <v>-1.2895300000000001</v>
      </c>
      <c r="AJ148" s="25">
        <v>1.3125775</v>
      </c>
      <c r="AK148" s="25">
        <v>0.37943622660822257</v>
      </c>
      <c r="AL148" s="25">
        <v>0.18327922402213465</v>
      </c>
      <c r="AM148" s="25">
        <v>8.3040726613777482E-2</v>
      </c>
      <c r="AN148" s="24">
        <v>1.6444939994882102</v>
      </c>
      <c r="AO148" s="23">
        <v>-99</v>
      </c>
    </row>
    <row r="149" spans="1:41" x14ac:dyDescent="0.25"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"/>
      <c r="Q149" s="5" t="s">
        <v>4</v>
      </c>
      <c r="R149" s="5" t="s">
        <v>3</v>
      </c>
      <c r="S149" s="1"/>
      <c r="T149">
        <v>2009033</v>
      </c>
      <c r="U149" t="s">
        <v>557</v>
      </c>
      <c r="V149">
        <v>5.9459999999999999E-2</v>
      </c>
      <c r="W149">
        <v>0.38057000000000002</v>
      </c>
      <c r="X149">
        <v>2.8850000000000001E-2</v>
      </c>
      <c r="Y149">
        <v>1.3457399999999999</v>
      </c>
      <c r="Z149">
        <v>20.76201</v>
      </c>
      <c r="AA149">
        <v>10.9688</v>
      </c>
      <c r="AB149">
        <v>-1.4444699999999999</v>
      </c>
      <c r="AC149" s="23">
        <v>5.2290000000000003E-2</v>
      </c>
      <c r="AD149" s="23">
        <v>0.38390000000000002</v>
      </c>
      <c r="AE149" s="23">
        <v>2.9239999999999999E-2</v>
      </c>
      <c r="AF149" s="23">
        <v>1.3759699999999999</v>
      </c>
      <c r="AG149" s="23">
        <v>27.915510000000001</v>
      </c>
      <c r="AH149" s="23">
        <v>13.05111</v>
      </c>
      <c r="AI149" s="23">
        <v>-1.2544599999999999</v>
      </c>
      <c r="AJ149" s="25">
        <v>1.16314625</v>
      </c>
      <c r="AK149" s="25">
        <v>0.38320133721534566</v>
      </c>
      <c r="AL149" s="25">
        <v>0.19158677908612698</v>
      </c>
      <c r="AM149" s="25">
        <v>8.5961433494726916E-2</v>
      </c>
      <c r="AN149" s="24">
        <v>1.634516456379334</v>
      </c>
      <c r="AO149" s="23">
        <v>-99</v>
      </c>
    </row>
    <row r="150" spans="1:41" x14ac:dyDescent="0.25">
      <c r="A150" s="4">
        <v>33</v>
      </c>
      <c r="B150">
        <v>30</v>
      </c>
      <c r="C150">
        <v>50</v>
      </c>
      <c r="D150">
        <v>20</v>
      </c>
      <c r="E150" s="3">
        <v>26</v>
      </c>
      <c r="F150" s="3">
        <f>1.8*E150+32</f>
        <v>78.800000000000011</v>
      </c>
      <c r="G150" s="3">
        <v>15</v>
      </c>
      <c r="H150" s="3">
        <f>IF(F150&gt;68,G150+(F150-68)*0.2,G298-(68-F150)*0.2)</f>
        <v>17.160000000000004</v>
      </c>
      <c r="I150" s="3">
        <v>24</v>
      </c>
      <c r="J150" s="3">
        <f>1.8*I150+32</f>
        <v>75.2</v>
      </c>
      <c r="K150" s="3">
        <v>7</v>
      </c>
      <c r="L150" s="3">
        <f>IF(J150&gt;67,K150+(J150-67)*0.2,K150-(67-J150)*0.2)</f>
        <v>8.64</v>
      </c>
      <c r="M150" s="3">
        <f>(C150-H150)/C150*100</f>
        <v>65.679999999999993</v>
      </c>
      <c r="N150" s="3">
        <f>100-(M150+O150)</f>
        <v>17.040000000000006</v>
      </c>
      <c r="O150" s="3">
        <f>L150/C150*100</f>
        <v>17.28</v>
      </c>
      <c r="P150" s="1" t="s">
        <v>0</v>
      </c>
      <c r="Q150" s="15">
        <v>407562.01199999999</v>
      </c>
      <c r="R150" s="15">
        <v>3659923</v>
      </c>
      <c r="S150" s="1"/>
      <c r="T150">
        <v>2009033</v>
      </c>
      <c r="U150" t="s">
        <v>556</v>
      </c>
      <c r="V150">
        <v>6.1859999999999998E-2</v>
      </c>
      <c r="W150">
        <v>0.38477</v>
      </c>
      <c r="X150">
        <v>2.717E-2</v>
      </c>
      <c r="Y150">
        <v>1.3373200000000001</v>
      </c>
      <c r="Z150">
        <v>17.346720000000001</v>
      </c>
      <c r="AA150">
        <v>9.8824699999999996</v>
      </c>
      <c r="AB150">
        <v>-1.44296</v>
      </c>
      <c r="AC150" s="23">
        <v>6.4939999999999998E-2</v>
      </c>
      <c r="AD150" s="23">
        <v>0.38796000000000003</v>
      </c>
      <c r="AE150" s="23">
        <v>2.5899999999999999E-2</v>
      </c>
      <c r="AF150" s="23">
        <v>1.32952</v>
      </c>
      <c r="AG150" s="23">
        <v>14.42656</v>
      </c>
      <c r="AH150" s="23">
        <v>8.9117899999999999</v>
      </c>
      <c r="AI150" s="23">
        <v>-1.46034</v>
      </c>
      <c r="AJ150" s="25">
        <v>0.60110666666666668</v>
      </c>
      <c r="AK150" s="25">
        <v>0.38734088947791645</v>
      </c>
      <c r="AL150" s="25">
        <v>0.22158467208291807</v>
      </c>
      <c r="AM150" s="25">
        <v>0.1102229222887032</v>
      </c>
      <c r="AN150" s="24">
        <v>1.6235466428835215</v>
      </c>
      <c r="AO150" s="23">
        <v>-99</v>
      </c>
    </row>
    <row r="151" spans="1:41" x14ac:dyDescent="0.25">
      <c r="A151" s="4">
        <v>33</v>
      </c>
      <c r="B151">
        <v>60</v>
      </c>
      <c r="C151">
        <v>50</v>
      </c>
      <c r="D151">
        <v>20</v>
      </c>
      <c r="E151" s="3">
        <v>25.5</v>
      </c>
      <c r="F151" s="3">
        <f>1.8*E151+32</f>
        <v>77.900000000000006</v>
      </c>
      <c r="G151" s="3">
        <v>13</v>
      </c>
      <c r="H151" s="3">
        <f>IF(F151&gt;68,G151+(F151-68)*0.2,G299-(68-F151)*0.2)</f>
        <v>14.98</v>
      </c>
      <c r="I151" s="3">
        <v>23.5</v>
      </c>
      <c r="J151" s="3">
        <f>1.8*I151+32</f>
        <v>74.300000000000011</v>
      </c>
      <c r="K151" s="3">
        <v>7</v>
      </c>
      <c r="L151" s="3">
        <f>IF(J151&gt;67,K151+(J151-67)*0.2,K151-(67-J151)*0.2)</f>
        <v>8.4600000000000026</v>
      </c>
      <c r="M151" s="3">
        <f>(C151-H151)/C151*100</f>
        <v>70.039999999999992</v>
      </c>
      <c r="N151" s="3">
        <f>100-(M151+O151)</f>
        <v>13.040000000000006</v>
      </c>
      <c r="O151" s="3">
        <f>L151/C151*100</f>
        <v>16.920000000000005</v>
      </c>
      <c r="P151" s="1" t="s">
        <v>0</v>
      </c>
      <c r="Q151" s="15">
        <v>407562.01199999999</v>
      </c>
      <c r="R151" s="15">
        <v>3659923</v>
      </c>
      <c r="S151" s="1"/>
      <c r="T151">
        <v>2009033</v>
      </c>
      <c r="U151" t="s">
        <v>555</v>
      </c>
      <c r="V151">
        <v>5.3010000000000002E-2</v>
      </c>
      <c r="W151">
        <v>0.38018000000000002</v>
      </c>
      <c r="X151">
        <v>3.134E-2</v>
      </c>
      <c r="Y151">
        <v>1.3881399999999999</v>
      </c>
      <c r="Z151">
        <v>31.501860000000001</v>
      </c>
      <c r="AA151">
        <v>14.084059999999999</v>
      </c>
      <c r="AB151">
        <v>-1.2895300000000001</v>
      </c>
      <c r="AC151" s="23">
        <v>5.6300000000000003E-2</v>
      </c>
      <c r="AD151" s="23">
        <v>0.38208999999999999</v>
      </c>
      <c r="AE151" s="23">
        <v>2.928E-2</v>
      </c>
      <c r="AF151" s="23">
        <v>1.36084</v>
      </c>
      <c r="AG151" s="23">
        <v>24.165389999999999</v>
      </c>
      <c r="AH151" s="23">
        <v>12.00629</v>
      </c>
      <c r="AI151" s="23">
        <v>-1.3571500000000001</v>
      </c>
      <c r="AJ151" s="25">
        <v>1.00689125</v>
      </c>
      <c r="AK151" s="25">
        <v>0.38138619531031132</v>
      </c>
      <c r="AL151" s="25">
        <v>0.19787362620474064</v>
      </c>
      <c r="AM151" s="25">
        <v>9.2551860487424531E-2</v>
      </c>
      <c r="AN151" s="24">
        <v>1.639326582427675</v>
      </c>
      <c r="AO151" s="23">
        <v>-99</v>
      </c>
    </row>
    <row r="152" spans="1:41" x14ac:dyDescent="0.25">
      <c r="A152" s="4">
        <v>33</v>
      </c>
      <c r="B152">
        <v>90</v>
      </c>
      <c r="C152">
        <v>50</v>
      </c>
      <c r="D152">
        <v>20</v>
      </c>
      <c r="E152" s="3">
        <v>25</v>
      </c>
      <c r="F152" s="3">
        <f>1.8*E152+32</f>
        <v>77</v>
      </c>
      <c r="G152" s="3">
        <v>27</v>
      </c>
      <c r="H152" s="3">
        <f>IF(F152&gt;68,G152+(F152-68)*0.2,G300-(68-F152)*0.2)</f>
        <v>28.8</v>
      </c>
      <c r="I152" s="3">
        <v>23</v>
      </c>
      <c r="J152" s="3">
        <f>1.8*I152+32</f>
        <v>73.400000000000006</v>
      </c>
      <c r="K152" s="3">
        <v>10</v>
      </c>
      <c r="L152" s="3">
        <f>IF(J152&gt;67,K152+(J152-67)*0.2,K152-(67-J152)*0.2)</f>
        <v>11.280000000000001</v>
      </c>
      <c r="M152" s="3">
        <f>(C152-H152)/C152*100</f>
        <v>42.4</v>
      </c>
      <c r="N152" s="3">
        <f>100-(M152+O152)</f>
        <v>35.039999999999992</v>
      </c>
      <c r="O152" s="3">
        <f>L152/C152*100</f>
        <v>22.560000000000002</v>
      </c>
      <c r="P152" s="1" t="s">
        <v>2</v>
      </c>
      <c r="Q152" s="15">
        <v>407562.01199999999</v>
      </c>
      <c r="R152" s="15">
        <v>3659923</v>
      </c>
      <c r="S152" s="1"/>
      <c r="T152">
        <v>2009033</v>
      </c>
      <c r="U152" t="s">
        <v>554</v>
      </c>
      <c r="V152">
        <v>5.2290000000000003E-2</v>
      </c>
      <c r="W152">
        <v>0.38390000000000002</v>
      </c>
      <c r="X152">
        <v>2.9239999999999999E-2</v>
      </c>
      <c r="Y152">
        <v>1.3759699999999999</v>
      </c>
      <c r="Z152">
        <v>27.915510000000001</v>
      </c>
      <c r="AA152">
        <v>13.05111</v>
      </c>
      <c r="AB152">
        <v>-1.2544599999999999</v>
      </c>
      <c r="AC152" s="23">
        <v>5.6250000000000001E-2</v>
      </c>
      <c r="AD152" s="23">
        <v>0.38390999999999997</v>
      </c>
      <c r="AE152" s="23">
        <v>2.8309999999999998E-2</v>
      </c>
      <c r="AF152" s="23">
        <v>1.36104</v>
      </c>
      <c r="AG152" s="23">
        <v>23.1736</v>
      </c>
      <c r="AH152" s="23">
        <v>11.608169999999999</v>
      </c>
      <c r="AI152" s="23">
        <v>-1.3234699999999999</v>
      </c>
      <c r="AJ152" s="25">
        <v>0.96556666666666668</v>
      </c>
      <c r="AK152" s="25">
        <v>0.38323392360739506</v>
      </c>
      <c r="AL152" s="25">
        <v>0.20023590565291929</v>
      </c>
      <c r="AM152" s="25">
        <v>9.3111121995649582E-2</v>
      </c>
      <c r="AN152" s="24">
        <v>1.6344301024404031</v>
      </c>
      <c r="AO152" s="23">
        <v>-99</v>
      </c>
    </row>
    <row r="153" spans="1:41" x14ac:dyDescent="0.25">
      <c r="A153" s="4">
        <v>33</v>
      </c>
      <c r="B153">
        <v>120</v>
      </c>
      <c r="C153">
        <v>50</v>
      </c>
      <c r="D153">
        <v>20</v>
      </c>
      <c r="E153" s="3">
        <v>25</v>
      </c>
      <c r="F153" s="3">
        <f>1.8*E153+32</f>
        <v>77</v>
      </c>
      <c r="G153" s="3">
        <v>19</v>
      </c>
      <c r="H153" s="3">
        <f>IF(F153&gt;68,G153+(F153-68)*0.2,G301-(68-F153)*0.2)</f>
        <v>20.8</v>
      </c>
      <c r="I153" s="3">
        <v>23</v>
      </c>
      <c r="J153" s="3">
        <f>1.8*I153+32</f>
        <v>73.400000000000006</v>
      </c>
      <c r="K153" s="3">
        <v>10</v>
      </c>
      <c r="L153" s="3">
        <f>IF(J153&gt;67,K153+(J153-67)*0.2,K153-(67-J153)*0.2)</f>
        <v>11.280000000000001</v>
      </c>
      <c r="M153" s="3">
        <f>(C153-H153)/C153*100</f>
        <v>58.4</v>
      </c>
      <c r="N153" s="3">
        <f>100-(M153+O153)</f>
        <v>19.039999999999992</v>
      </c>
      <c r="O153" s="3">
        <f>L153/C153*100</f>
        <v>22.560000000000002</v>
      </c>
      <c r="P153" s="1" t="s">
        <v>2</v>
      </c>
      <c r="Q153" s="15">
        <v>407562.01199999999</v>
      </c>
      <c r="R153" s="15">
        <v>3659923</v>
      </c>
      <c r="S153" s="1"/>
      <c r="T153">
        <v>2009033</v>
      </c>
      <c r="U153" t="s">
        <v>553</v>
      </c>
      <c r="V153">
        <v>6.4939999999999998E-2</v>
      </c>
      <c r="W153">
        <v>0.38796000000000003</v>
      </c>
      <c r="X153">
        <v>2.5899999999999999E-2</v>
      </c>
      <c r="Y153">
        <v>1.32952</v>
      </c>
      <c r="Z153">
        <v>14.42656</v>
      </c>
      <c r="AA153">
        <v>8.9117899999999999</v>
      </c>
      <c r="AB153">
        <v>-1.46034</v>
      </c>
      <c r="AC153" s="23">
        <v>5.9950000000000003E-2</v>
      </c>
      <c r="AD153" s="23">
        <v>0.38217000000000001</v>
      </c>
      <c r="AE153" s="23">
        <v>2.8340000000000001E-2</v>
      </c>
      <c r="AF153" s="23">
        <v>1.3430599999999999</v>
      </c>
      <c r="AG153" s="23">
        <v>19.779450000000001</v>
      </c>
      <c r="AH153" s="23">
        <v>10.683590000000001</v>
      </c>
      <c r="AI153" s="23">
        <v>-1.44096</v>
      </c>
      <c r="AJ153" s="25">
        <v>0.82414375000000006</v>
      </c>
      <c r="AK153" s="25">
        <v>0.38148665451249753</v>
      </c>
      <c r="AL153" s="25">
        <v>0.20732012141945796</v>
      </c>
      <c r="AM153" s="25">
        <v>0.10035076771187568</v>
      </c>
      <c r="AN153" s="24">
        <v>1.6390603655418816</v>
      </c>
      <c r="AO153" s="23">
        <v>-99</v>
      </c>
    </row>
    <row r="154" spans="1:41" x14ac:dyDescent="0.25">
      <c r="A154" s="4">
        <v>33</v>
      </c>
      <c r="B154">
        <v>150</v>
      </c>
      <c r="C154">
        <v>50</v>
      </c>
      <c r="D154">
        <v>20</v>
      </c>
      <c r="E154" s="3">
        <v>26</v>
      </c>
      <c r="F154" s="3">
        <f>1.8*E154+32</f>
        <v>78.800000000000011</v>
      </c>
      <c r="G154" s="3">
        <v>15</v>
      </c>
      <c r="H154" s="3">
        <f>IF(F154&gt;68,G154+(F154-68)*0.2,G302-(68-F154)*0.2)</f>
        <v>17.160000000000004</v>
      </c>
      <c r="I154" s="3">
        <v>23.5</v>
      </c>
      <c r="J154" s="3">
        <f>1.8*I154+32</f>
        <v>74.300000000000011</v>
      </c>
      <c r="K154" s="3">
        <v>8</v>
      </c>
      <c r="L154" s="3">
        <f>IF(J154&gt;67,K154+(J154-67)*0.2,K154-(67-J154)*0.2)</f>
        <v>9.4600000000000026</v>
      </c>
      <c r="M154" s="3">
        <f>(C154-H154)/C154*100</f>
        <v>65.679999999999993</v>
      </c>
      <c r="N154" s="3">
        <f>100-(M154+O154)</f>
        <v>15.400000000000006</v>
      </c>
      <c r="O154" s="3">
        <f>L154/C154*100</f>
        <v>18.920000000000005</v>
      </c>
      <c r="P154" s="1" t="s">
        <v>0</v>
      </c>
      <c r="Q154" s="15">
        <v>407562.01199999999</v>
      </c>
      <c r="R154" s="15">
        <v>3659923</v>
      </c>
      <c r="S154" s="1"/>
      <c r="T154">
        <v>2009033</v>
      </c>
      <c r="U154" t="s">
        <v>552</v>
      </c>
      <c r="V154">
        <v>5.6300000000000003E-2</v>
      </c>
      <c r="W154">
        <v>0.38208999999999999</v>
      </c>
      <c r="X154">
        <v>2.928E-2</v>
      </c>
      <c r="Y154">
        <v>1.36084</v>
      </c>
      <c r="Z154">
        <v>24.165389999999999</v>
      </c>
      <c r="AA154">
        <v>12.00629</v>
      </c>
      <c r="AB154">
        <v>-1.3571500000000001</v>
      </c>
      <c r="AC154" s="23">
        <v>5.7140000000000003E-2</v>
      </c>
      <c r="AD154" s="23">
        <v>0.37992999999999999</v>
      </c>
      <c r="AE154" s="23">
        <v>2.9700000000000001E-2</v>
      </c>
      <c r="AF154" s="23">
        <v>1.3605100000000001</v>
      </c>
      <c r="AG154" s="23">
        <v>24.229610000000001</v>
      </c>
      <c r="AH154" s="23">
        <v>11.96278</v>
      </c>
      <c r="AI154" s="23">
        <v>-1.3863000000000001</v>
      </c>
      <c r="AJ154" s="25">
        <v>1.0095670833333334</v>
      </c>
      <c r="AK154" s="25">
        <v>0.37921875748068085</v>
      </c>
      <c r="AL154" s="25">
        <v>0.19682708030501636</v>
      </c>
      <c r="AM154" s="25">
        <v>9.2945960814808173E-2</v>
      </c>
      <c r="AN154" s="24">
        <v>1.6450702926761955</v>
      </c>
      <c r="AO154" s="23">
        <v>-99</v>
      </c>
    </row>
    <row r="155" spans="1:41" x14ac:dyDescent="0.25">
      <c r="A155" s="4">
        <v>33</v>
      </c>
      <c r="B155">
        <v>180</v>
      </c>
      <c r="C155">
        <v>50</v>
      </c>
      <c r="D155">
        <v>20</v>
      </c>
      <c r="E155" s="3">
        <v>25.5</v>
      </c>
      <c r="F155" s="3">
        <f>1.8*E155+32</f>
        <v>77.900000000000006</v>
      </c>
      <c r="G155" s="3">
        <v>17</v>
      </c>
      <c r="H155" s="3">
        <f>IF(F155&gt;68,G155+(F155-68)*0.2,G303-(68-F155)*0.2)</f>
        <v>18.98</v>
      </c>
      <c r="I155" s="3">
        <v>23</v>
      </c>
      <c r="J155" s="3">
        <f>1.8*I155+32</f>
        <v>73.400000000000006</v>
      </c>
      <c r="K155" s="3">
        <v>10</v>
      </c>
      <c r="L155" s="3">
        <f>IF(J155&gt;67,K155+(J155-67)*0.2,K155-(67-J155)*0.2)</f>
        <v>11.280000000000001</v>
      </c>
      <c r="M155" s="3">
        <f>(C155-H155)/C155*100</f>
        <v>62.039999999999992</v>
      </c>
      <c r="N155" s="3">
        <f>100-(M155+O155)</f>
        <v>15.400000000000006</v>
      </c>
      <c r="O155" s="3">
        <f>L155/C155*100</f>
        <v>22.560000000000002</v>
      </c>
      <c r="P155" s="1" t="s">
        <v>2</v>
      </c>
      <c r="Q155" s="15">
        <v>407562.01199999999</v>
      </c>
      <c r="R155" s="15">
        <v>3659923</v>
      </c>
      <c r="S155" s="1"/>
      <c r="T155">
        <v>2009033</v>
      </c>
      <c r="U155" t="s">
        <v>551</v>
      </c>
      <c r="V155">
        <v>5.6250000000000001E-2</v>
      </c>
      <c r="W155">
        <v>0.38390999999999997</v>
      </c>
      <c r="X155">
        <v>2.8309999999999998E-2</v>
      </c>
      <c r="Y155">
        <v>1.36104</v>
      </c>
      <c r="Z155">
        <v>23.1736</v>
      </c>
      <c r="AA155">
        <v>11.608169999999999</v>
      </c>
      <c r="AB155">
        <v>-1.3234699999999999</v>
      </c>
      <c r="AC155" s="23">
        <v>4.7750000000000001E-2</v>
      </c>
      <c r="AD155" s="23">
        <v>0.37968000000000002</v>
      </c>
      <c r="AE155" s="23">
        <v>3.5069999999999997E-2</v>
      </c>
      <c r="AF155" s="23">
        <v>1.54043</v>
      </c>
      <c r="AG155" s="23">
        <v>63.931330000000003</v>
      </c>
      <c r="AH155" s="23">
        <v>20.61985</v>
      </c>
      <c r="AI155" s="23">
        <v>-1.0370299999999999</v>
      </c>
      <c r="AJ155" s="25">
        <v>2.6638054166666669</v>
      </c>
      <c r="AK155" s="25">
        <v>0.37901466361953601</v>
      </c>
      <c r="AL155" s="25">
        <v>0.13500378848153166</v>
      </c>
      <c r="AM155" s="25">
        <v>5.8983421863308363E-2</v>
      </c>
      <c r="AN155" s="24">
        <v>1.6456111414082297</v>
      </c>
      <c r="AO155" s="23">
        <v>-99</v>
      </c>
    </row>
    <row r="156" spans="1:41" x14ac:dyDescent="0.25">
      <c r="A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1"/>
      <c r="Q156" s="18"/>
      <c r="R156" s="18"/>
      <c r="S156" s="1"/>
      <c r="T156">
        <v>2009033</v>
      </c>
      <c r="U156" t="s">
        <v>550</v>
      </c>
      <c r="V156">
        <v>5.9950000000000003E-2</v>
      </c>
      <c r="W156">
        <v>0.38217000000000001</v>
      </c>
      <c r="X156">
        <v>2.8340000000000001E-2</v>
      </c>
      <c r="Y156">
        <v>1.3430599999999999</v>
      </c>
      <c r="Z156">
        <v>19.779450000000001</v>
      </c>
      <c r="AA156">
        <v>10.683590000000001</v>
      </c>
      <c r="AB156">
        <v>-1.44096</v>
      </c>
      <c r="AC156" s="23">
        <v>4.9979999999999997E-2</v>
      </c>
      <c r="AD156" s="23">
        <v>0.37870999999999999</v>
      </c>
      <c r="AE156" s="23">
        <v>3.354E-2</v>
      </c>
      <c r="AF156" s="23">
        <v>1.47648</v>
      </c>
      <c r="AG156" s="23">
        <v>49.744250000000001</v>
      </c>
      <c r="AH156" s="23">
        <v>17.595569999999999</v>
      </c>
      <c r="AI156" s="23">
        <v>-1.1196200000000001</v>
      </c>
      <c r="AJ156" s="25">
        <v>2.0726770833333332</v>
      </c>
      <c r="AK156" s="25">
        <v>0.37800729267056399</v>
      </c>
      <c r="AL156" s="25">
        <v>0.15315299050217765</v>
      </c>
      <c r="AM156" s="25">
        <v>6.6944486346256715E-2</v>
      </c>
      <c r="AN156" s="24">
        <v>1.6482806744230054</v>
      </c>
      <c r="AO156" s="23">
        <v>-99</v>
      </c>
    </row>
    <row r="157" spans="1:41" ht="51.75" x14ac:dyDescent="0.25">
      <c r="A157" s="14" t="s">
        <v>21</v>
      </c>
      <c r="B157" s="9" t="s">
        <v>20</v>
      </c>
      <c r="C157" s="13" t="s">
        <v>19</v>
      </c>
      <c r="D157" s="12" t="s">
        <v>18</v>
      </c>
      <c r="E157" s="11" t="s">
        <v>17</v>
      </c>
      <c r="F157" s="11" t="s">
        <v>16</v>
      </c>
      <c r="G157" s="11" t="s">
        <v>15</v>
      </c>
      <c r="H157" s="11" t="s">
        <v>14</v>
      </c>
      <c r="I157" s="11" t="s">
        <v>13</v>
      </c>
      <c r="J157" s="11" t="s">
        <v>12</v>
      </c>
      <c r="K157" s="11" t="s">
        <v>11</v>
      </c>
      <c r="L157" s="11" t="s">
        <v>10</v>
      </c>
      <c r="M157" s="10" t="s">
        <v>9</v>
      </c>
      <c r="N157" s="10" t="s">
        <v>8</v>
      </c>
      <c r="O157" s="10" t="s">
        <v>7</v>
      </c>
      <c r="P157" s="9" t="s">
        <v>6</v>
      </c>
      <c r="Q157" s="21" t="s">
        <v>5</v>
      </c>
      <c r="R157" s="20"/>
      <c r="S157" s="6"/>
      <c r="T157">
        <v>2009033</v>
      </c>
      <c r="U157" t="s">
        <v>549</v>
      </c>
      <c r="V157">
        <v>5.7140000000000003E-2</v>
      </c>
      <c r="W157">
        <v>0.37992999999999999</v>
      </c>
      <c r="X157">
        <v>2.9700000000000001E-2</v>
      </c>
      <c r="Y157">
        <v>1.3605100000000001</v>
      </c>
      <c r="Z157">
        <v>24.229610000000001</v>
      </c>
      <c r="AA157">
        <v>11.96278</v>
      </c>
      <c r="AB157">
        <v>-1.3863000000000001</v>
      </c>
      <c r="AC157" s="23">
        <v>4.9570000000000003E-2</v>
      </c>
      <c r="AD157" s="23">
        <v>0.37792999999999999</v>
      </c>
      <c r="AE157" s="23">
        <v>3.3930000000000002E-2</v>
      </c>
      <c r="AF157" s="23">
        <v>1.62744</v>
      </c>
      <c r="AG157" s="23">
        <v>78.87988</v>
      </c>
      <c r="AH157" s="23">
        <v>20.367000000000001</v>
      </c>
      <c r="AI157" s="23">
        <v>-0.97170999999999996</v>
      </c>
      <c r="AJ157" s="25">
        <v>3.2866616666666668</v>
      </c>
      <c r="AK157" s="25">
        <v>0.3774173613815201</v>
      </c>
      <c r="AL157" s="25">
        <v>0.12076220114395109</v>
      </c>
      <c r="AM157" s="25">
        <v>5.6147599409110564E-2</v>
      </c>
      <c r="AN157" s="24">
        <v>1.6498439923389716</v>
      </c>
      <c r="AO157" s="23">
        <v>-99</v>
      </c>
    </row>
    <row r="158" spans="1:41" x14ac:dyDescent="0.25">
      <c r="C158" s="16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1"/>
      <c r="Q158" s="5" t="s">
        <v>4</v>
      </c>
      <c r="R158" s="5" t="s">
        <v>3</v>
      </c>
      <c r="S158" s="1"/>
      <c r="T158">
        <v>2009033</v>
      </c>
      <c r="U158" t="s">
        <v>548</v>
      </c>
      <c r="V158">
        <v>4.7750000000000001E-2</v>
      </c>
      <c r="W158">
        <v>0.37968000000000002</v>
      </c>
      <c r="X158">
        <v>3.5069999999999997E-2</v>
      </c>
      <c r="Y158">
        <v>1.54043</v>
      </c>
      <c r="Z158">
        <v>63.931330000000003</v>
      </c>
      <c r="AA158">
        <v>20.61985</v>
      </c>
      <c r="AB158">
        <v>-1.0370299999999999</v>
      </c>
      <c r="AC158" s="23">
        <v>5.9420000000000001E-2</v>
      </c>
      <c r="AD158" s="23">
        <v>0.38273000000000001</v>
      </c>
      <c r="AE158" s="23">
        <v>2.826E-2</v>
      </c>
      <c r="AF158" s="23">
        <v>1.34605</v>
      </c>
      <c r="AG158" s="23">
        <v>20.198730000000001</v>
      </c>
      <c r="AH158" s="23">
        <v>10.797319999999999</v>
      </c>
      <c r="AI158" s="23">
        <v>-1.4185300000000001</v>
      </c>
      <c r="AJ158" s="25">
        <v>0.84161375000000005</v>
      </c>
      <c r="AK158" s="25">
        <v>0.38204976401929791</v>
      </c>
      <c r="AL158" s="25">
        <v>0.20643677650288922</v>
      </c>
      <c r="AM158" s="25">
        <v>9.926943522120793E-2</v>
      </c>
      <c r="AN158" s="24">
        <v>1.6375681253488605</v>
      </c>
      <c r="AO158" s="23">
        <v>-99</v>
      </c>
    </row>
    <row r="159" spans="1:41" x14ac:dyDescent="0.25">
      <c r="A159" s="4">
        <v>34</v>
      </c>
      <c r="B159">
        <v>30</v>
      </c>
      <c r="C159" s="16">
        <v>50</v>
      </c>
      <c r="D159">
        <v>20</v>
      </c>
      <c r="E159" s="3">
        <v>25</v>
      </c>
      <c r="F159" s="3">
        <f>1.8*E159+32</f>
        <v>77</v>
      </c>
      <c r="G159" s="3">
        <v>17</v>
      </c>
      <c r="H159" s="3">
        <f>IF(F159&gt;68,G159+(F159-68)*0.2,G306-(68-F159)*0.2)</f>
        <v>18.8</v>
      </c>
      <c r="I159" s="3">
        <v>24</v>
      </c>
      <c r="J159" s="3">
        <f>1.8*I159+32</f>
        <v>75.2</v>
      </c>
      <c r="K159" s="3">
        <v>10</v>
      </c>
      <c r="L159" s="3">
        <f>IF(J159&gt;68,K159+(J159-68)*0.2,K159-(68-J159)*0.2)</f>
        <v>11.440000000000001</v>
      </c>
      <c r="M159" s="3">
        <f>(C159-H159)/C159*100</f>
        <v>62.4</v>
      </c>
      <c r="N159" s="3">
        <f>100-(M159+O159)</f>
        <v>14.719999999999999</v>
      </c>
      <c r="O159" s="3">
        <f>L159/C159*100</f>
        <v>22.880000000000003</v>
      </c>
      <c r="P159" s="1" t="s">
        <v>2</v>
      </c>
      <c r="Q159" s="15">
        <v>407562.01199999999</v>
      </c>
      <c r="R159" s="15">
        <v>3659949.5</v>
      </c>
      <c r="S159" s="1"/>
      <c r="T159">
        <v>2009033</v>
      </c>
      <c r="U159" t="s">
        <v>547</v>
      </c>
      <c r="V159">
        <v>4.9979999999999997E-2</v>
      </c>
      <c r="W159">
        <v>0.37870999999999999</v>
      </c>
      <c r="X159">
        <v>3.354E-2</v>
      </c>
      <c r="Y159">
        <v>1.47648</v>
      </c>
      <c r="Z159">
        <v>49.744250000000001</v>
      </c>
      <c r="AA159">
        <v>17.595569999999999</v>
      </c>
      <c r="AB159">
        <v>-1.1196200000000001</v>
      </c>
      <c r="AC159" s="23">
        <v>5.953E-2</v>
      </c>
      <c r="AD159" s="23">
        <v>0.38524000000000003</v>
      </c>
      <c r="AE159" s="23">
        <v>2.7130000000000001E-2</v>
      </c>
      <c r="AF159" s="23">
        <v>1.3494999999999999</v>
      </c>
      <c r="AG159" s="23">
        <v>19.30228</v>
      </c>
      <c r="AH159" s="23">
        <v>10.384510000000001</v>
      </c>
      <c r="AI159" s="23">
        <v>-1.3640600000000001</v>
      </c>
      <c r="AJ159" s="25">
        <v>0.80426166666666665</v>
      </c>
      <c r="AK159" s="25">
        <v>0.38459441930858618</v>
      </c>
      <c r="AL159" s="25">
        <v>0.20850742778073086</v>
      </c>
      <c r="AM159" s="25">
        <v>9.9410689254657347E-2</v>
      </c>
      <c r="AN159" s="24">
        <v>1.6308247888322467</v>
      </c>
      <c r="AO159" s="23">
        <v>-99</v>
      </c>
    </row>
    <row r="160" spans="1:41" x14ac:dyDescent="0.25">
      <c r="A160" s="4">
        <v>34</v>
      </c>
      <c r="B160">
        <v>60</v>
      </c>
      <c r="C160" s="16">
        <v>50</v>
      </c>
      <c r="D160">
        <v>20</v>
      </c>
      <c r="E160" s="3">
        <v>25.5</v>
      </c>
      <c r="F160" s="3">
        <f>1.8*E160+32</f>
        <v>77.900000000000006</v>
      </c>
      <c r="G160" s="3">
        <v>15</v>
      </c>
      <c r="H160" s="3">
        <f>IF(F160&gt;68,G160+(F160-68)*0.2,G307-(68-F160)*0.2)</f>
        <v>16.98</v>
      </c>
      <c r="I160" s="3">
        <v>23.5</v>
      </c>
      <c r="J160" s="3">
        <f>1.8*I160+32</f>
        <v>74.300000000000011</v>
      </c>
      <c r="K160" s="3">
        <v>9</v>
      </c>
      <c r="L160" s="3">
        <f>IF(J160&gt;68,K160+(J160-68)*0.2,K160-(68-J160)*0.2)</f>
        <v>10.260000000000002</v>
      </c>
      <c r="M160" s="3">
        <f>(C160-H160)/C160*100</f>
        <v>66.039999999999992</v>
      </c>
      <c r="N160" s="3">
        <f>100-(M160+O160)</f>
        <v>13.439999999999998</v>
      </c>
      <c r="O160" s="3">
        <f>L160/C160*100</f>
        <v>20.520000000000003</v>
      </c>
      <c r="P160" s="1" t="s">
        <v>2</v>
      </c>
      <c r="Q160" s="15">
        <v>407562.01199999999</v>
      </c>
      <c r="R160" s="15">
        <v>3659949.5</v>
      </c>
      <c r="S160" s="1"/>
      <c r="T160">
        <v>2009033</v>
      </c>
      <c r="U160" t="s">
        <v>546</v>
      </c>
      <c r="V160">
        <v>4.9570000000000003E-2</v>
      </c>
      <c r="W160">
        <v>0.37792999999999999</v>
      </c>
      <c r="X160">
        <v>3.3930000000000002E-2</v>
      </c>
      <c r="Y160">
        <v>1.62744</v>
      </c>
      <c r="Z160">
        <v>78.87988</v>
      </c>
      <c r="AA160">
        <v>20.367000000000001</v>
      </c>
      <c r="AB160">
        <v>-0.97170999999999996</v>
      </c>
      <c r="AC160" s="23">
        <v>5.389E-2</v>
      </c>
      <c r="AD160" s="23">
        <v>0.37924999999999998</v>
      </c>
      <c r="AE160" s="23">
        <v>3.1179999999999999E-2</v>
      </c>
      <c r="AF160" s="23">
        <v>1.3888199999999999</v>
      </c>
      <c r="AG160" s="23">
        <v>31.00339</v>
      </c>
      <c r="AH160" s="23">
        <v>13.76878</v>
      </c>
      <c r="AI160" s="23">
        <v>-1.29688</v>
      </c>
      <c r="AJ160" s="25">
        <v>1.2918079166666667</v>
      </c>
      <c r="AK160" s="25">
        <v>0.3785163488385842</v>
      </c>
      <c r="AL160" s="25">
        <v>0.18348058534335487</v>
      </c>
      <c r="AM160" s="25">
        <v>8.3689133626255477E-2</v>
      </c>
      <c r="AN160" s="24">
        <v>1.6469316755777519</v>
      </c>
      <c r="AO160" s="23">
        <v>-99</v>
      </c>
    </row>
    <row r="161" spans="1:41" x14ac:dyDescent="0.25">
      <c r="A161" s="4">
        <v>34</v>
      </c>
      <c r="B161">
        <v>90</v>
      </c>
      <c r="C161" s="16">
        <v>50</v>
      </c>
      <c r="D161">
        <v>20</v>
      </c>
      <c r="E161" s="3">
        <v>25.5</v>
      </c>
      <c r="F161" s="3">
        <f>1.8*E161+32</f>
        <v>77.900000000000006</v>
      </c>
      <c r="G161" s="3">
        <v>8</v>
      </c>
      <c r="H161" s="3">
        <f>IF(F161&gt;68,G161+(F161-68)*0.2,G308-(68-F161)*0.2)</f>
        <v>9.98</v>
      </c>
      <c r="I161" s="3">
        <v>23.5</v>
      </c>
      <c r="J161" s="3">
        <f>1.8*I161+32</f>
        <v>74.300000000000011</v>
      </c>
      <c r="K161" s="3">
        <v>4</v>
      </c>
      <c r="L161" s="3">
        <f>IF(J161&gt;68,K161+(J161-68)*0.2,K161-(68-J161)*0.2)</f>
        <v>5.2600000000000025</v>
      </c>
      <c r="M161" s="3">
        <f>(C161-H161)/C161*100</f>
        <v>80.039999999999992</v>
      </c>
      <c r="N161" s="3">
        <f>100-(M161+O161)</f>
        <v>9.4399999999999977</v>
      </c>
      <c r="O161" s="3">
        <f>L161/C161*100</f>
        <v>10.520000000000005</v>
      </c>
      <c r="P161" s="1" t="s">
        <v>0</v>
      </c>
      <c r="Q161" s="15">
        <v>407562.01199999999</v>
      </c>
      <c r="R161" s="15">
        <v>3659949.5</v>
      </c>
      <c r="S161" s="1"/>
      <c r="T161">
        <v>2009033</v>
      </c>
      <c r="U161" t="s">
        <v>545</v>
      </c>
      <c r="V161">
        <v>5.9420000000000001E-2</v>
      </c>
      <c r="W161">
        <v>0.38273000000000001</v>
      </c>
      <c r="X161">
        <v>2.826E-2</v>
      </c>
      <c r="Y161">
        <v>1.34605</v>
      </c>
      <c r="Z161">
        <v>20.198730000000001</v>
      </c>
      <c r="AA161">
        <v>10.797319999999999</v>
      </c>
      <c r="AB161">
        <v>-1.4185300000000001</v>
      </c>
      <c r="AC161" s="23">
        <v>5.2580000000000002E-2</v>
      </c>
      <c r="AD161" s="23">
        <v>0.37774999999999997</v>
      </c>
      <c r="AE161" s="23">
        <v>3.2050000000000002E-2</v>
      </c>
      <c r="AF161" s="23">
        <v>1.4333899999999999</v>
      </c>
      <c r="AG161" s="23">
        <v>39.374099999999999</v>
      </c>
      <c r="AH161" s="23">
        <v>15.187279999999999</v>
      </c>
      <c r="AI161" s="23">
        <v>-1.1984600000000001</v>
      </c>
      <c r="AJ161" s="25">
        <v>1.6405874999999999</v>
      </c>
      <c r="AK161" s="25">
        <v>0.37704391052623054</v>
      </c>
      <c r="AL161" s="25">
        <v>0.16795999862560598</v>
      </c>
      <c r="AM161" s="25">
        <v>7.4955599196585926E-2</v>
      </c>
      <c r="AN161" s="24">
        <v>1.650833637105489</v>
      </c>
      <c r="AO161" s="23">
        <v>-99</v>
      </c>
    </row>
    <row r="162" spans="1:41" x14ac:dyDescent="0.25">
      <c r="A162" s="4">
        <v>34</v>
      </c>
      <c r="B162">
        <v>120</v>
      </c>
      <c r="C162" s="16">
        <v>50</v>
      </c>
      <c r="D162">
        <v>20</v>
      </c>
      <c r="E162" s="3">
        <v>25.5</v>
      </c>
      <c r="F162" s="3">
        <f>1.8*E162+32</f>
        <v>77.900000000000006</v>
      </c>
      <c r="G162" s="3">
        <v>8</v>
      </c>
      <c r="H162" s="3">
        <f>IF(F162&gt;68,G162+(F162-68)*0.2,G310-(68-F162)*0.2)</f>
        <v>9.98</v>
      </c>
      <c r="I162" s="3">
        <v>23</v>
      </c>
      <c r="J162" s="3">
        <f>1.8*I162+32</f>
        <v>73.400000000000006</v>
      </c>
      <c r="K162" s="3">
        <v>4</v>
      </c>
      <c r="L162" s="3">
        <f>IF(J162&gt;68,K162+(J162-68)*0.2,K162-(68-J162)*0.2)</f>
        <v>5.080000000000001</v>
      </c>
      <c r="M162" s="3">
        <f>(C162-H162)/C162*100</f>
        <v>80.039999999999992</v>
      </c>
      <c r="N162" s="3">
        <f>100-(M162+O162)</f>
        <v>9.8000000000000114</v>
      </c>
      <c r="O162" s="3">
        <f>L162/C162*100</f>
        <v>10.160000000000002</v>
      </c>
      <c r="P162" s="1" t="s">
        <v>0</v>
      </c>
      <c r="Q162" s="15">
        <v>407562.01199999999</v>
      </c>
      <c r="R162" s="15">
        <v>3659949.5</v>
      </c>
      <c r="S162" s="1"/>
      <c r="T162">
        <v>2009033</v>
      </c>
      <c r="U162" t="s">
        <v>544</v>
      </c>
      <c r="V162">
        <v>5.953E-2</v>
      </c>
      <c r="W162">
        <v>0.38524000000000003</v>
      </c>
      <c r="X162">
        <v>2.7130000000000001E-2</v>
      </c>
      <c r="Y162">
        <v>1.3494999999999999</v>
      </c>
      <c r="Z162">
        <v>19.30228</v>
      </c>
      <c r="AA162">
        <v>10.384510000000001</v>
      </c>
      <c r="AB162">
        <v>-1.3640600000000001</v>
      </c>
      <c r="AC162" s="23">
        <v>5.7189999999999998E-2</v>
      </c>
      <c r="AD162" s="23">
        <v>0.37957000000000002</v>
      </c>
      <c r="AE162" s="23">
        <v>2.9749999999999999E-2</v>
      </c>
      <c r="AF162" s="23">
        <v>1.3613</v>
      </c>
      <c r="AG162" s="23">
        <v>24.351179999999999</v>
      </c>
      <c r="AH162" s="23">
        <v>11.972250000000001</v>
      </c>
      <c r="AI162" s="23">
        <v>-1.38656</v>
      </c>
      <c r="AJ162" s="25">
        <v>1.0146325</v>
      </c>
      <c r="AK162" s="25">
        <v>0.37885886419086523</v>
      </c>
      <c r="AL162" s="25">
        <v>0.19636655499445119</v>
      </c>
      <c r="AM162" s="25">
        <v>9.2756979239587922E-2</v>
      </c>
      <c r="AN162" s="24">
        <v>1.6460240098942072</v>
      </c>
      <c r="AO162" s="23">
        <v>-99</v>
      </c>
    </row>
    <row r="163" spans="1:41" x14ac:dyDescent="0.25">
      <c r="A163" s="4">
        <v>34</v>
      </c>
      <c r="B163">
        <v>150</v>
      </c>
      <c r="C163" s="16">
        <v>50</v>
      </c>
      <c r="D163">
        <v>20</v>
      </c>
      <c r="E163" s="3">
        <v>25</v>
      </c>
      <c r="F163" s="3">
        <f>1.8*E163+32</f>
        <v>77</v>
      </c>
      <c r="G163" s="3">
        <v>31</v>
      </c>
      <c r="H163" s="3">
        <f>IF(F163&gt;68,G163+(F163-68)*0.2,G311-(68-F163)*0.2)</f>
        <v>32.799999999999997</v>
      </c>
      <c r="I163" s="3">
        <v>23</v>
      </c>
      <c r="J163" s="3">
        <f>1.8*I163+32</f>
        <v>73.400000000000006</v>
      </c>
      <c r="K163" s="3">
        <v>20</v>
      </c>
      <c r="L163" s="3">
        <f>IF(J163&gt;68,K163+(J163-68)*0.2,K163-(68-J163)*0.2)</f>
        <v>21.080000000000002</v>
      </c>
      <c r="M163" s="3">
        <f>(C163-H163)/C163*100</f>
        <v>34.400000000000006</v>
      </c>
      <c r="N163" s="3">
        <f>100-(M163+O163)</f>
        <v>23.439999999999998</v>
      </c>
      <c r="O163" s="3">
        <f>L163/C163*100</f>
        <v>42.160000000000004</v>
      </c>
      <c r="P163" s="1" t="s">
        <v>489</v>
      </c>
      <c r="Q163" s="15">
        <v>407562.01199999999</v>
      </c>
      <c r="R163" s="15">
        <v>3659949.5</v>
      </c>
      <c r="S163" s="1"/>
      <c r="T163">
        <v>2009033</v>
      </c>
      <c r="U163" t="s">
        <v>543</v>
      </c>
      <c r="V163">
        <v>5.389E-2</v>
      </c>
      <c r="W163">
        <v>0.37924999999999998</v>
      </c>
      <c r="X163">
        <v>3.1179999999999999E-2</v>
      </c>
      <c r="Y163">
        <v>1.3888199999999999</v>
      </c>
      <c r="Z163">
        <v>31.00339</v>
      </c>
      <c r="AA163">
        <v>13.76878</v>
      </c>
      <c r="AB163">
        <v>-1.29688</v>
      </c>
      <c r="AC163" s="23">
        <v>5.432E-2</v>
      </c>
      <c r="AD163" s="23">
        <v>0.37813000000000002</v>
      </c>
      <c r="AE163" s="23">
        <v>3.1150000000000001E-2</v>
      </c>
      <c r="AF163" s="23">
        <v>1.3968499999999999</v>
      </c>
      <c r="AG163" s="23">
        <v>31.8749</v>
      </c>
      <c r="AH163" s="23">
        <v>13.72203</v>
      </c>
      <c r="AI163" s="23">
        <v>-1.2822800000000001</v>
      </c>
      <c r="AJ163" s="25">
        <v>1.3281208333333334</v>
      </c>
      <c r="AK163" s="25">
        <v>0.37741027134493321</v>
      </c>
      <c r="AL163" s="25">
        <v>0.180943904035475</v>
      </c>
      <c r="AM163" s="25">
        <v>8.2559472804496575E-2</v>
      </c>
      <c r="AN163" s="24">
        <v>1.649862780935927</v>
      </c>
      <c r="AO163" s="23">
        <v>-99</v>
      </c>
    </row>
    <row r="164" spans="1:41" x14ac:dyDescent="0.25">
      <c r="A164" s="4">
        <v>34</v>
      </c>
      <c r="B164">
        <v>180</v>
      </c>
      <c r="C164" s="16">
        <v>50</v>
      </c>
      <c r="D164">
        <v>20</v>
      </c>
      <c r="E164" s="3">
        <v>25.5</v>
      </c>
      <c r="F164" s="3">
        <f>1.8*E164+32</f>
        <v>77.900000000000006</v>
      </c>
      <c r="G164" s="3">
        <v>27</v>
      </c>
      <c r="H164" s="3">
        <f>IF(F164&gt;68,G164+(F164-68)*0.2,G312-(68-F164)*0.2)</f>
        <v>28.98</v>
      </c>
      <c r="I164" s="3">
        <v>23</v>
      </c>
      <c r="J164" s="3">
        <f>1.8*I164+32</f>
        <v>73.400000000000006</v>
      </c>
      <c r="K164" s="3">
        <v>15</v>
      </c>
      <c r="L164" s="3">
        <f>IF(J164&gt;68,K164+(J164-68)*0.2,K164-(68-J164)*0.2)</f>
        <v>16.080000000000002</v>
      </c>
      <c r="M164" s="3">
        <f>(C164-H164)/C164*100</f>
        <v>42.04</v>
      </c>
      <c r="N164" s="3">
        <f>100-(M164+O164)</f>
        <v>25.799999999999997</v>
      </c>
      <c r="O164" s="3">
        <f>L164/C164*100</f>
        <v>32.160000000000004</v>
      </c>
      <c r="P164" s="1" t="s">
        <v>22</v>
      </c>
      <c r="Q164" s="15">
        <v>407562.01199999999</v>
      </c>
      <c r="R164" s="15">
        <v>3659949.5</v>
      </c>
      <c r="S164" s="1"/>
      <c r="T164">
        <v>2009033</v>
      </c>
      <c r="U164" t="s">
        <v>542</v>
      </c>
      <c r="V164">
        <v>5.2580000000000002E-2</v>
      </c>
      <c r="W164">
        <v>0.37774999999999997</v>
      </c>
      <c r="X164">
        <v>3.2050000000000002E-2</v>
      </c>
      <c r="Y164">
        <v>1.4333899999999999</v>
      </c>
      <c r="Z164">
        <v>39.374099999999999</v>
      </c>
      <c r="AA164">
        <v>15.187279999999999</v>
      </c>
      <c r="AB164">
        <v>-1.1984600000000001</v>
      </c>
      <c r="AC164" s="23">
        <v>5.953E-2</v>
      </c>
      <c r="AD164" s="23">
        <v>0.38524000000000003</v>
      </c>
      <c r="AE164" s="23">
        <v>2.7130000000000001E-2</v>
      </c>
      <c r="AF164" s="23">
        <v>1.3494999999999999</v>
      </c>
      <c r="AG164" s="23">
        <v>19.30228</v>
      </c>
      <c r="AH164" s="23">
        <v>10.384510000000001</v>
      </c>
      <c r="AI164" s="23">
        <v>-1.3640600000000001</v>
      </c>
      <c r="AJ164" s="25">
        <v>0.80426166666666665</v>
      </c>
      <c r="AK164" s="25">
        <v>0.38459441930858618</v>
      </c>
      <c r="AL164" s="25">
        <v>0.20850742778073086</v>
      </c>
      <c r="AM164" s="25">
        <v>9.9410689254657347E-2</v>
      </c>
      <c r="AN164" s="24">
        <v>1.6308247888322467</v>
      </c>
      <c r="AO164" s="23">
        <v>-99</v>
      </c>
    </row>
    <row r="165" spans="1:41" x14ac:dyDescent="0.25">
      <c r="Q165" s="18"/>
      <c r="R165" s="18"/>
      <c r="T165">
        <v>2009033</v>
      </c>
      <c r="U165" t="s">
        <v>541</v>
      </c>
      <c r="V165">
        <v>5.7189999999999998E-2</v>
      </c>
      <c r="W165">
        <v>0.37957000000000002</v>
      </c>
      <c r="X165">
        <v>2.9749999999999999E-2</v>
      </c>
      <c r="Y165">
        <v>1.3613</v>
      </c>
      <c r="Z165">
        <v>24.351179999999999</v>
      </c>
      <c r="AA165">
        <v>11.972250000000001</v>
      </c>
      <c r="AB165">
        <v>-1.38656</v>
      </c>
      <c r="AC165" s="23">
        <v>5.9580000000000001E-2</v>
      </c>
      <c r="AD165" s="23">
        <v>0.38583000000000001</v>
      </c>
      <c r="AE165" s="23">
        <v>2.6800000000000001E-2</v>
      </c>
      <c r="AF165" s="23">
        <v>1.35077</v>
      </c>
      <c r="AG165" s="23">
        <v>19.06053</v>
      </c>
      <c r="AH165" s="23">
        <v>10.25643</v>
      </c>
      <c r="AI165" s="23">
        <v>-1.34772</v>
      </c>
      <c r="AJ165" s="25">
        <v>0.79418875</v>
      </c>
      <c r="AK165" s="25">
        <v>0.38519509267170432</v>
      </c>
      <c r="AL165" s="25">
        <v>0.20899666961913699</v>
      </c>
      <c r="AM165" s="25">
        <v>9.939364267694295E-2</v>
      </c>
      <c r="AN165" s="24">
        <v>1.6292330044199836</v>
      </c>
      <c r="AO165" s="23">
        <v>-99</v>
      </c>
    </row>
    <row r="166" spans="1:41" ht="51.75" x14ac:dyDescent="0.25">
      <c r="A166" s="14" t="s">
        <v>21</v>
      </c>
      <c r="B166" s="9" t="s">
        <v>20</v>
      </c>
      <c r="C166" s="13" t="s">
        <v>19</v>
      </c>
      <c r="D166" s="12" t="s">
        <v>18</v>
      </c>
      <c r="E166" s="11" t="s">
        <v>17</v>
      </c>
      <c r="F166" s="11" t="s">
        <v>16</v>
      </c>
      <c r="G166" s="11" t="s">
        <v>15</v>
      </c>
      <c r="H166" s="11" t="s">
        <v>14</v>
      </c>
      <c r="I166" s="11" t="s">
        <v>13</v>
      </c>
      <c r="J166" s="11" t="s">
        <v>12</v>
      </c>
      <c r="K166" s="11" t="s">
        <v>11</v>
      </c>
      <c r="L166" s="11" t="s">
        <v>10</v>
      </c>
      <c r="M166" s="10" t="s">
        <v>9</v>
      </c>
      <c r="N166" s="10" t="s">
        <v>8</v>
      </c>
      <c r="O166" s="10" t="s">
        <v>7</v>
      </c>
      <c r="P166" s="9" t="s">
        <v>6</v>
      </c>
      <c r="Q166" s="19" t="s">
        <v>5</v>
      </c>
      <c r="R166" s="19"/>
      <c r="S166" s="6"/>
      <c r="T166">
        <v>2009033</v>
      </c>
      <c r="U166" t="s">
        <v>540</v>
      </c>
      <c r="V166">
        <v>5.432E-2</v>
      </c>
      <c r="W166">
        <v>0.37813000000000002</v>
      </c>
      <c r="X166">
        <v>3.1150000000000001E-2</v>
      </c>
      <c r="Y166">
        <v>1.3968499999999999</v>
      </c>
      <c r="Z166">
        <v>31.8749</v>
      </c>
      <c r="AA166">
        <v>13.72203</v>
      </c>
      <c r="AB166">
        <v>-1.2822800000000001</v>
      </c>
      <c r="AC166" s="23">
        <v>6.8379999999999996E-2</v>
      </c>
      <c r="AD166" s="23">
        <v>0.38861000000000001</v>
      </c>
      <c r="AE166" s="23">
        <v>2.6079999999999999E-2</v>
      </c>
      <c r="AF166" s="23">
        <v>1.3086599999999999</v>
      </c>
      <c r="AG166" s="23">
        <v>12.347630000000001</v>
      </c>
      <c r="AH166" s="23">
        <v>8.3287499999999994</v>
      </c>
      <c r="AI166" s="23">
        <v>-1.6109199999999999</v>
      </c>
      <c r="AJ166" s="25">
        <v>0.51448458333333336</v>
      </c>
      <c r="AK166" s="25">
        <v>0.38797417439629389</v>
      </c>
      <c r="AL166" s="25">
        <v>0.23049623100306005</v>
      </c>
      <c r="AM166" s="25">
        <v>0.11910834724367836</v>
      </c>
      <c r="AN166" s="24">
        <v>1.6218684378498212</v>
      </c>
      <c r="AO166" s="23">
        <v>-99</v>
      </c>
    </row>
    <row r="167" spans="1:41" x14ac:dyDescent="0.25"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1"/>
      <c r="Q167" s="5" t="s">
        <v>4</v>
      </c>
      <c r="R167" s="5" t="s">
        <v>3</v>
      </c>
      <c r="S167" s="1"/>
      <c r="T167">
        <v>2009033</v>
      </c>
      <c r="U167" t="s">
        <v>539</v>
      </c>
      <c r="V167">
        <v>5.953E-2</v>
      </c>
      <c r="W167">
        <v>0.38524000000000003</v>
      </c>
      <c r="X167">
        <v>2.7130000000000001E-2</v>
      </c>
      <c r="Y167">
        <v>1.3494999999999999</v>
      </c>
      <c r="Z167">
        <v>19.30228</v>
      </c>
      <c r="AA167">
        <v>10.384510000000001</v>
      </c>
      <c r="AB167">
        <v>-1.3640600000000001</v>
      </c>
      <c r="AC167" s="23">
        <v>6.0040000000000003E-2</v>
      </c>
      <c r="AD167" s="23">
        <v>0.38474999999999998</v>
      </c>
      <c r="AE167" s="23">
        <v>2.733E-2</v>
      </c>
      <c r="AF167" s="23">
        <v>1.34609</v>
      </c>
      <c r="AG167" s="23">
        <v>18.98621</v>
      </c>
      <c r="AH167" s="23">
        <v>10.34085</v>
      </c>
      <c r="AI167" s="23">
        <v>-1.3909899999999999</v>
      </c>
      <c r="AJ167" s="25">
        <v>0.79109208333333336</v>
      </c>
      <c r="AK167" s="25">
        <v>0.3840967974765751</v>
      </c>
      <c r="AL167" s="25">
        <v>0.20931751755550965</v>
      </c>
      <c r="AM167" s="25">
        <v>0.10051824530152444</v>
      </c>
      <c r="AN167" s="24">
        <v>1.6321434866870759</v>
      </c>
      <c r="AO167" s="23">
        <v>-99</v>
      </c>
    </row>
    <row r="168" spans="1:41" x14ac:dyDescent="0.25">
      <c r="A168" s="4">
        <v>35</v>
      </c>
      <c r="B168">
        <v>30</v>
      </c>
      <c r="C168">
        <v>50</v>
      </c>
      <c r="D168">
        <v>20</v>
      </c>
      <c r="E168" s="3">
        <v>25.5</v>
      </c>
      <c r="F168" s="3">
        <f>1.8*E168+32</f>
        <v>77.900000000000006</v>
      </c>
      <c r="G168" s="3">
        <v>17</v>
      </c>
      <c r="H168" s="3">
        <f>IF(F168&gt;68,G168+(F168-68)*0.2,G316-(68-F168)*0.2)</f>
        <v>18.98</v>
      </c>
      <c r="I168" s="3">
        <v>23</v>
      </c>
      <c r="J168" s="3">
        <f>1.8*I168+32</f>
        <v>73.400000000000006</v>
      </c>
      <c r="K168" s="3">
        <v>8</v>
      </c>
      <c r="L168" s="3">
        <f>IF(J168&gt;67,K168+(J168-67)*0.2,K168-(67-J168)*0.2)</f>
        <v>9.2800000000000011</v>
      </c>
      <c r="M168" s="3">
        <f>(C168-H168)/C168*100</f>
        <v>62.039999999999992</v>
      </c>
      <c r="N168" s="3">
        <f>100-(M168+O168)</f>
        <v>19.400000000000006</v>
      </c>
      <c r="O168" s="3">
        <f>L168/C168*100</f>
        <v>18.560000000000002</v>
      </c>
      <c r="P168" s="1" t="s">
        <v>0</v>
      </c>
      <c r="Q168" s="15">
        <v>407562.01199999999</v>
      </c>
      <c r="R168" s="15">
        <v>3659976</v>
      </c>
      <c r="S168" s="1"/>
      <c r="T168">
        <v>2009033</v>
      </c>
      <c r="U168" t="s">
        <v>538</v>
      </c>
      <c r="V168">
        <v>5.9580000000000001E-2</v>
      </c>
      <c r="W168">
        <v>0.38583000000000001</v>
      </c>
      <c r="X168">
        <v>2.6800000000000001E-2</v>
      </c>
      <c r="Y168">
        <v>1.35077</v>
      </c>
      <c r="Z168">
        <v>19.06053</v>
      </c>
      <c r="AA168">
        <v>10.25643</v>
      </c>
      <c r="AB168">
        <v>-1.34772</v>
      </c>
      <c r="AC168" s="23">
        <v>5.7140000000000003E-2</v>
      </c>
      <c r="AD168" s="23">
        <v>0.37992999999999999</v>
      </c>
      <c r="AE168" s="23">
        <v>2.9700000000000001E-2</v>
      </c>
      <c r="AF168" s="23">
        <v>1.3605100000000001</v>
      </c>
      <c r="AG168" s="23">
        <v>24.229610000000001</v>
      </c>
      <c r="AH168" s="23">
        <v>11.96278</v>
      </c>
      <c r="AI168" s="23">
        <v>-1.3863000000000001</v>
      </c>
      <c r="AJ168" s="25">
        <v>1.0095670833333334</v>
      </c>
      <c r="AK168" s="25">
        <v>0.37921875748068085</v>
      </c>
      <c r="AL168" s="25">
        <v>0.19682708030501636</v>
      </c>
      <c r="AM168" s="25">
        <v>9.2945960814808173E-2</v>
      </c>
      <c r="AN168" s="24">
        <v>1.6450702926761955</v>
      </c>
      <c r="AO168" s="23">
        <v>-99</v>
      </c>
    </row>
    <row r="169" spans="1:41" x14ac:dyDescent="0.25">
      <c r="A169" s="4">
        <v>35</v>
      </c>
      <c r="B169">
        <v>60</v>
      </c>
      <c r="C169">
        <v>50</v>
      </c>
      <c r="D169">
        <v>20</v>
      </c>
      <c r="E169" s="3">
        <v>26</v>
      </c>
      <c r="F169" s="3">
        <f>1.8*E169+32</f>
        <v>78.800000000000011</v>
      </c>
      <c r="G169" s="3">
        <v>18</v>
      </c>
      <c r="H169" s="3">
        <f>IF(F169&gt;68,G169+(F169-68)*0.2,G317-(68-F169)*0.2)</f>
        <v>20.160000000000004</v>
      </c>
      <c r="I169" s="3">
        <v>23</v>
      </c>
      <c r="J169" s="3">
        <f>1.8*I169+32</f>
        <v>73.400000000000006</v>
      </c>
      <c r="K169" s="3">
        <v>11</v>
      </c>
      <c r="L169" s="3">
        <f>IF(J169&gt;67,K169+(J169-67)*0.2,K169-(67-J169)*0.2)</f>
        <v>12.280000000000001</v>
      </c>
      <c r="M169" s="3">
        <f>(C169-H169)/C169*100</f>
        <v>59.679999999999986</v>
      </c>
      <c r="N169" s="3">
        <f>100-(M169+O169)</f>
        <v>15.760000000000019</v>
      </c>
      <c r="O169" s="3">
        <f>L169/C169*100</f>
        <v>24.560000000000002</v>
      </c>
      <c r="P169" s="1" t="s">
        <v>2</v>
      </c>
      <c r="Q169" s="15">
        <v>407562.01199999999</v>
      </c>
      <c r="R169" s="15">
        <v>3659976</v>
      </c>
      <c r="S169" s="1"/>
      <c r="T169">
        <v>2009033</v>
      </c>
      <c r="U169" t="s">
        <v>537</v>
      </c>
      <c r="V169">
        <v>6.8379999999999996E-2</v>
      </c>
      <c r="W169">
        <v>0.38861000000000001</v>
      </c>
      <c r="X169">
        <v>2.6079999999999999E-2</v>
      </c>
      <c r="Y169">
        <v>1.3086599999999999</v>
      </c>
      <c r="Z169">
        <v>12.347630000000001</v>
      </c>
      <c r="AA169">
        <v>8.3287499999999994</v>
      </c>
      <c r="AB169">
        <v>-1.6109199999999999</v>
      </c>
      <c r="AC169" s="23">
        <v>5.7189999999999998E-2</v>
      </c>
      <c r="AD169" s="23">
        <v>0.37957000000000002</v>
      </c>
      <c r="AE169" s="23">
        <v>2.9749999999999999E-2</v>
      </c>
      <c r="AF169" s="23">
        <v>1.3613</v>
      </c>
      <c r="AG169" s="23">
        <v>24.351179999999999</v>
      </c>
      <c r="AH169" s="23">
        <v>11.972250000000001</v>
      </c>
      <c r="AI169" s="23">
        <v>-1.38656</v>
      </c>
      <c r="AJ169" s="25">
        <v>1.0146325</v>
      </c>
      <c r="AK169" s="25">
        <v>0.37885886419086523</v>
      </c>
      <c r="AL169" s="25">
        <v>0.19636655499445119</v>
      </c>
      <c r="AM169" s="25">
        <v>9.2756979239587922E-2</v>
      </c>
      <c r="AN169" s="24">
        <v>1.6460240098942072</v>
      </c>
      <c r="AO169" s="23">
        <v>-99</v>
      </c>
    </row>
    <row r="170" spans="1:41" x14ac:dyDescent="0.25">
      <c r="A170" s="4">
        <v>35</v>
      </c>
      <c r="B170">
        <v>90</v>
      </c>
      <c r="C170">
        <v>50</v>
      </c>
      <c r="D170">
        <v>20</v>
      </c>
      <c r="E170" s="3">
        <v>25.5</v>
      </c>
      <c r="F170" s="3">
        <f>1.8*E170+32</f>
        <v>77.900000000000006</v>
      </c>
      <c r="G170" s="3">
        <v>10</v>
      </c>
      <c r="H170" s="3">
        <f>IF(F170&gt;68,G170+(F170-68)*0.2,G319-(68-F170)*0.2)</f>
        <v>11.98</v>
      </c>
      <c r="I170" s="3">
        <v>23.5</v>
      </c>
      <c r="J170" s="3">
        <f>1.8*I170+32</f>
        <v>74.300000000000011</v>
      </c>
      <c r="K170" s="3">
        <v>5</v>
      </c>
      <c r="L170" s="3">
        <f>IF(J170&gt;67,K170+(J170-67)*0.2,K170-(67-J170)*0.2)</f>
        <v>6.4600000000000026</v>
      </c>
      <c r="M170" s="3">
        <f>(C170-H170)/C170*100</f>
        <v>76.039999999999992</v>
      </c>
      <c r="N170" s="3">
        <f>100-(M170+O170)</f>
        <v>11.040000000000006</v>
      </c>
      <c r="O170" s="3">
        <f>L170/C170*100</f>
        <v>12.920000000000007</v>
      </c>
      <c r="P170" s="1" t="s">
        <v>0</v>
      </c>
      <c r="Q170" s="15">
        <v>407562.01199999999</v>
      </c>
      <c r="R170" s="15">
        <v>3659976</v>
      </c>
      <c r="S170" s="1"/>
      <c r="T170">
        <v>2009033</v>
      </c>
      <c r="U170" t="s">
        <v>536</v>
      </c>
      <c r="V170">
        <v>6.0040000000000003E-2</v>
      </c>
      <c r="W170">
        <v>0.38474999999999998</v>
      </c>
      <c r="X170">
        <v>2.733E-2</v>
      </c>
      <c r="Y170">
        <v>1.34609</v>
      </c>
      <c r="Z170">
        <v>18.98621</v>
      </c>
      <c r="AA170">
        <v>10.34085</v>
      </c>
      <c r="AB170">
        <v>-1.3909899999999999</v>
      </c>
      <c r="AC170" s="23">
        <v>6.2869999999999995E-2</v>
      </c>
      <c r="AD170" s="23">
        <v>0.38408999999999999</v>
      </c>
      <c r="AE170" s="23">
        <v>2.7320000000000001E-2</v>
      </c>
      <c r="AF170" s="23">
        <v>1.3305499999999999</v>
      </c>
      <c r="AG170" s="23">
        <v>16.587289999999999</v>
      </c>
      <c r="AH170" s="23">
        <v>9.6931600000000007</v>
      </c>
      <c r="AI170" s="23">
        <v>-1.49211</v>
      </c>
      <c r="AJ170" s="25">
        <v>0.69113708333333335</v>
      </c>
      <c r="AK170" s="25">
        <v>0.38343018377884824</v>
      </c>
      <c r="AL170" s="25">
        <v>0.2157181568049219</v>
      </c>
      <c r="AM170" s="25">
        <v>0.10684247193497465</v>
      </c>
      <c r="AN170" s="24">
        <v>1.633910012986052</v>
      </c>
      <c r="AO170" s="23">
        <v>-99</v>
      </c>
    </row>
    <row r="171" spans="1:41" x14ac:dyDescent="0.25">
      <c r="A171" s="4">
        <v>35</v>
      </c>
      <c r="B171">
        <v>120</v>
      </c>
      <c r="C171">
        <v>50</v>
      </c>
      <c r="D171">
        <v>20</v>
      </c>
      <c r="E171" s="3">
        <v>25.5</v>
      </c>
      <c r="F171" s="3">
        <f>1.8*E171+32</f>
        <v>77.900000000000006</v>
      </c>
      <c r="G171" s="3">
        <v>25</v>
      </c>
      <c r="H171" s="3">
        <f>IF(F171&gt;68,G171+(F171-68)*0.2,G320-(68-F171)*0.2)</f>
        <v>26.98</v>
      </c>
      <c r="I171" s="3">
        <v>23.5</v>
      </c>
      <c r="J171" s="3">
        <f>1.8*I171+32</f>
        <v>74.300000000000011</v>
      </c>
      <c r="K171" s="3">
        <v>14</v>
      </c>
      <c r="L171" s="3">
        <f>IF(J171&gt;67,K171+(J171-67)*0.2,K171-(67-J171)*0.2)</f>
        <v>15.460000000000003</v>
      </c>
      <c r="M171" s="3">
        <f>(C171-H171)/C171*100</f>
        <v>46.04</v>
      </c>
      <c r="N171" s="3">
        <f>100-(M171+O171)</f>
        <v>23.039999999999992</v>
      </c>
      <c r="O171" s="3">
        <f>L171/C171*100</f>
        <v>30.92</v>
      </c>
      <c r="P171" s="1" t="s">
        <v>22</v>
      </c>
      <c r="Q171" s="15">
        <v>407562.01199999999</v>
      </c>
      <c r="R171" s="15">
        <v>3659976</v>
      </c>
      <c r="S171" s="1"/>
      <c r="T171">
        <v>2009033</v>
      </c>
      <c r="U171" t="s">
        <v>535</v>
      </c>
      <c r="V171">
        <v>5.7140000000000003E-2</v>
      </c>
      <c r="W171">
        <v>0.37992999999999999</v>
      </c>
      <c r="X171">
        <v>2.9700000000000001E-2</v>
      </c>
      <c r="Y171">
        <v>1.3605100000000001</v>
      </c>
      <c r="Z171">
        <v>24.229610000000001</v>
      </c>
      <c r="AA171">
        <v>11.96278</v>
      </c>
      <c r="AB171">
        <v>-1.3863000000000001</v>
      </c>
      <c r="AC171" s="23">
        <v>5.289E-2</v>
      </c>
      <c r="AD171" s="23">
        <v>0.38429000000000002</v>
      </c>
      <c r="AE171" s="23">
        <v>2.8709999999999999E-2</v>
      </c>
      <c r="AF171" s="23">
        <v>1.3737600000000001</v>
      </c>
      <c r="AG171" s="23">
        <v>26.76576</v>
      </c>
      <c r="AH171" s="23">
        <v>12.626390000000001</v>
      </c>
      <c r="AI171" s="23">
        <v>-1.25291</v>
      </c>
      <c r="AJ171" s="25">
        <v>1.11524</v>
      </c>
      <c r="AK171" s="25">
        <v>0.38360664638957354</v>
      </c>
      <c r="AL171" s="25">
        <v>0.19371834354239623</v>
      </c>
      <c r="AM171" s="25">
        <v>8.7229480461631148E-2</v>
      </c>
      <c r="AN171" s="24">
        <v>1.63344238706763</v>
      </c>
      <c r="AO171" s="23">
        <v>-99</v>
      </c>
    </row>
    <row r="172" spans="1:41" x14ac:dyDescent="0.25">
      <c r="A172" s="4">
        <v>35</v>
      </c>
      <c r="B172">
        <v>150</v>
      </c>
      <c r="C172">
        <v>50</v>
      </c>
      <c r="D172">
        <v>20</v>
      </c>
      <c r="E172" s="3">
        <v>25.5</v>
      </c>
      <c r="F172" s="3">
        <f>1.8*E172+32</f>
        <v>77.900000000000006</v>
      </c>
      <c r="G172" s="3">
        <v>38</v>
      </c>
      <c r="H172" s="3">
        <f>IF(F172&gt;68,G172+(F172-68)*0.2,G321-(68-F172)*0.2)</f>
        <v>39.980000000000004</v>
      </c>
      <c r="I172" s="3">
        <v>23.5</v>
      </c>
      <c r="J172" s="3">
        <f>1.8*I172+32</f>
        <v>74.300000000000011</v>
      </c>
      <c r="K172" s="3">
        <v>18</v>
      </c>
      <c r="L172" s="3">
        <f>IF(J172&gt;67,K172+(J172-67)*0.2,K172-(67-J172)*0.2)</f>
        <v>19.46</v>
      </c>
      <c r="M172" s="3">
        <f>(C172-H172)/C172*100</f>
        <v>20.039999999999992</v>
      </c>
      <c r="N172" s="3">
        <f>100-(M172+O172)</f>
        <v>41.040000000000006</v>
      </c>
      <c r="O172" s="3">
        <f>L172/C172*100</f>
        <v>38.92</v>
      </c>
      <c r="P172" s="1" t="s">
        <v>534</v>
      </c>
      <c r="Q172" s="15">
        <v>407562.01199999999</v>
      </c>
      <c r="R172" s="15">
        <v>3659976</v>
      </c>
      <c r="S172" s="1"/>
      <c r="T172">
        <v>2009033</v>
      </c>
      <c r="U172" t="s">
        <v>533</v>
      </c>
      <c r="V172">
        <v>5.7189999999999998E-2</v>
      </c>
      <c r="W172">
        <v>0.37957000000000002</v>
      </c>
      <c r="X172">
        <v>2.9749999999999999E-2</v>
      </c>
      <c r="Y172">
        <v>1.3613</v>
      </c>
      <c r="Z172">
        <v>24.351179999999999</v>
      </c>
      <c r="AA172">
        <v>11.972250000000001</v>
      </c>
      <c r="AB172">
        <v>-1.38656</v>
      </c>
      <c r="AC172" s="23">
        <v>5.0799999999999998E-2</v>
      </c>
      <c r="AD172" s="23">
        <v>0.38003999999999999</v>
      </c>
      <c r="AE172" s="23">
        <v>3.2620000000000003E-2</v>
      </c>
      <c r="AF172" s="23">
        <v>1.41351</v>
      </c>
      <c r="AG172" s="23">
        <v>37.780819999999999</v>
      </c>
      <c r="AH172" s="23">
        <v>15.7645</v>
      </c>
      <c r="AI172" s="23">
        <v>-1.2265299999999999</v>
      </c>
      <c r="AJ172" s="25">
        <v>1.5742008333333333</v>
      </c>
      <c r="AK172" s="25">
        <v>0.37928093514310474</v>
      </c>
      <c r="AL172" s="25">
        <v>0.17237862430744993</v>
      </c>
      <c r="AM172" s="25">
        <v>7.6228824928215796E-2</v>
      </c>
      <c r="AN172" s="24">
        <v>1.6449055218707722</v>
      </c>
      <c r="AO172" s="23">
        <v>-99</v>
      </c>
    </row>
    <row r="173" spans="1:41" x14ac:dyDescent="0.25">
      <c r="A173" s="4">
        <v>35</v>
      </c>
      <c r="B173">
        <v>180</v>
      </c>
      <c r="C173">
        <v>50</v>
      </c>
      <c r="D173">
        <v>20</v>
      </c>
      <c r="E173" s="3">
        <v>25.5</v>
      </c>
      <c r="F173" s="3">
        <f>1.8*E173+32</f>
        <v>77.900000000000006</v>
      </c>
      <c r="G173" s="3">
        <v>7</v>
      </c>
      <c r="H173" s="3">
        <f>IF(F173&gt;68,G173+(F173-68)*0.2,G322-(68-F173)*0.2)</f>
        <v>8.98</v>
      </c>
      <c r="I173" s="3">
        <v>23</v>
      </c>
      <c r="J173" s="3">
        <f>1.8*I173+32</f>
        <v>73.400000000000006</v>
      </c>
      <c r="K173" s="3">
        <v>4</v>
      </c>
      <c r="L173" s="3">
        <f>IF(J173&gt;67,K173+(J173-67)*0.2,K173-(67-J173)*0.2)</f>
        <v>5.2800000000000011</v>
      </c>
      <c r="M173" s="3">
        <f>(C173-H173)/C173*100</f>
        <v>82.039999999999992</v>
      </c>
      <c r="N173" s="3">
        <f>100-(M173+O173)</f>
        <v>7.4000000000000057</v>
      </c>
      <c r="O173" s="3">
        <f>L173/C173*100</f>
        <v>10.560000000000002</v>
      </c>
      <c r="P173" s="1" t="s">
        <v>0</v>
      </c>
      <c r="Q173" s="15">
        <v>407562.01199999999</v>
      </c>
      <c r="R173" s="15">
        <v>3659976</v>
      </c>
      <c r="S173" s="1"/>
      <c r="T173">
        <v>2009033</v>
      </c>
      <c r="U173" t="s">
        <v>532</v>
      </c>
      <c r="V173">
        <v>6.2869999999999995E-2</v>
      </c>
      <c r="W173">
        <v>0.38408999999999999</v>
      </c>
      <c r="X173">
        <v>2.7320000000000001E-2</v>
      </c>
      <c r="Y173">
        <v>1.3305499999999999</v>
      </c>
      <c r="Z173">
        <v>16.587289999999999</v>
      </c>
      <c r="AA173">
        <v>9.6931600000000007</v>
      </c>
      <c r="AB173">
        <v>-1.49211</v>
      </c>
      <c r="AC173" s="23">
        <v>4.7329999999999997E-2</v>
      </c>
      <c r="AD173" s="23">
        <v>0.38164999999999999</v>
      </c>
      <c r="AE173" s="23">
        <v>3.4180000000000002E-2</v>
      </c>
      <c r="AF173" s="23">
        <v>1.43187</v>
      </c>
      <c r="AG173" s="23">
        <v>43.814129999999999</v>
      </c>
      <c r="AH173" s="23">
        <v>18.110340000000001</v>
      </c>
      <c r="AI173" s="23">
        <v>-1.1726700000000001</v>
      </c>
      <c r="AJ173" s="25">
        <v>1.8255887499999999</v>
      </c>
      <c r="AK173" s="25">
        <v>0.38085214512356541</v>
      </c>
      <c r="AL173" s="25">
        <v>0.16322078359059219</v>
      </c>
      <c r="AM173" s="25">
        <v>6.9915849376618766E-2</v>
      </c>
      <c r="AN173" s="24">
        <v>1.6407418154225517</v>
      </c>
      <c r="AO173" s="23">
        <v>-99</v>
      </c>
    </row>
    <row r="174" spans="1:41" x14ac:dyDescent="0.25">
      <c r="T174">
        <v>2009033</v>
      </c>
      <c r="U174" t="s">
        <v>531</v>
      </c>
      <c r="V174">
        <v>5.289E-2</v>
      </c>
      <c r="W174">
        <v>0.38429000000000002</v>
      </c>
      <c r="X174">
        <v>2.8709999999999999E-2</v>
      </c>
      <c r="Y174">
        <v>1.3737600000000001</v>
      </c>
      <c r="Z174">
        <v>26.76576</v>
      </c>
      <c r="AA174">
        <v>12.626390000000001</v>
      </c>
      <c r="AB174">
        <v>-1.25291</v>
      </c>
      <c r="AC174" s="23">
        <v>7.1510000000000004E-2</v>
      </c>
      <c r="AD174" s="23">
        <v>0.40977000000000002</v>
      </c>
      <c r="AE174" s="23">
        <v>1.6199999999999999E-2</v>
      </c>
      <c r="AF174" s="23">
        <v>1.39316</v>
      </c>
      <c r="AG174" s="23">
        <v>7.6030899999999999</v>
      </c>
      <c r="AH174" s="23">
        <v>4.99946</v>
      </c>
      <c r="AI174" s="23">
        <v>-0.85907999999999995</v>
      </c>
      <c r="AJ174" s="25">
        <v>0.31679541666666666</v>
      </c>
      <c r="AK174" s="25">
        <v>0.40946486196857135</v>
      </c>
      <c r="AL174" s="25">
        <v>0.24144711301869148</v>
      </c>
      <c r="AM174" s="25">
        <v>0.11052822505838436</v>
      </c>
      <c r="AN174" s="24">
        <v>1.5649181157832859</v>
      </c>
      <c r="AO174" s="23">
        <v>-99</v>
      </c>
    </row>
    <row r="175" spans="1:41" ht="51.75" x14ac:dyDescent="0.25">
      <c r="A175" s="14" t="s">
        <v>21</v>
      </c>
      <c r="B175" s="9" t="s">
        <v>20</v>
      </c>
      <c r="C175" s="13" t="s">
        <v>19</v>
      </c>
      <c r="D175" s="12" t="s">
        <v>18</v>
      </c>
      <c r="E175" s="11" t="s">
        <v>17</v>
      </c>
      <c r="F175" s="11" t="s">
        <v>16</v>
      </c>
      <c r="G175" s="11" t="s">
        <v>15</v>
      </c>
      <c r="H175" s="11" t="s">
        <v>14</v>
      </c>
      <c r="I175" s="11" t="s">
        <v>13</v>
      </c>
      <c r="J175" s="11" t="s">
        <v>12</v>
      </c>
      <c r="K175" s="11" t="s">
        <v>11</v>
      </c>
      <c r="L175" s="11" t="s">
        <v>10</v>
      </c>
      <c r="M175" s="10" t="s">
        <v>9</v>
      </c>
      <c r="N175" s="10" t="s">
        <v>8</v>
      </c>
      <c r="O175" s="10" t="s">
        <v>7</v>
      </c>
      <c r="P175" s="9" t="s">
        <v>6</v>
      </c>
      <c r="Q175" s="19" t="s">
        <v>5</v>
      </c>
      <c r="R175" s="19"/>
      <c r="S175" s="6"/>
      <c r="T175">
        <v>2009033</v>
      </c>
      <c r="U175" t="s">
        <v>530</v>
      </c>
      <c r="V175">
        <v>5.0799999999999998E-2</v>
      </c>
      <c r="W175">
        <v>0.38003999999999999</v>
      </c>
      <c r="X175">
        <v>3.2620000000000003E-2</v>
      </c>
      <c r="Y175">
        <v>1.41351</v>
      </c>
      <c r="Z175">
        <v>37.780819999999999</v>
      </c>
      <c r="AA175">
        <v>15.7645</v>
      </c>
      <c r="AB175">
        <v>-1.2265299999999999</v>
      </c>
      <c r="AC175" s="23">
        <v>5.289E-2</v>
      </c>
      <c r="AD175" s="23">
        <v>0.38455</v>
      </c>
      <c r="AE175" s="23">
        <v>2.8459999999999999E-2</v>
      </c>
      <c r="AF175" s="23">
        <v>1.3738999999999999</v>
      </c>
      <c r="AG175" s="23">
        <v>26.52018</v>
      </c>
      <c r="AH175" s="23">
        <v>12.50117</v>
      </c>
      <c r="AI175" s="23">
        <v>-1.2447299999999999</v>
      </c>
      <c r="AJ175" s="25">
        <v>1.1050074999999999</v>
      </c>
      <c r="AK175" s="25">
        <v>0.38387439013336794</v>
      </c>
      <c r="AL175" s="25">
        <v>0.19422583866851359</v>
      </c>
      <c r="AM175" s="25">
        <v>8.7339695793002631E-2</v>
      </c>
      <c r="AN175" s="24">
        <v>1.632732866146575</v>
      </c>
      <c r="AO175" s="23">
        <v>-99</v>
      </c>
    </row>
    <row r="176" spans="1:41" x14ac:dyDescent="0.25"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1"/>
      <c r="Q176" s="5" t="s">
        <v>4</v>
      </c>
      <c r="R176" s="5" t="s">
        <v>3</v>
      </c>
      <c r="S176" s="1"/>
      <c r="T176">
        <v>2009033</v>
      </c>
      <c r="U176" t="s">
        <v>529</v>
      </c>
      <c r="V176">
        <v>4.7329999999999997E-2</v>
      </c>
      <c r="W176">
        <v>0.38164999999999999</v>
      </c>
      <c r="X176">
        <v>3.4180000000000002E-2</v>
      </c>
      <c r="Y176">
        <v>1.43187</v>
      </c>
      <c r="Z176">
        <v>43.814129999999999</v>
      </c>
      <c r="AA176">
        <v>18.110340000000001</v>
      </c>
      <c r="AB176">
        <v>-1.1726700000000001</v>
      </c>
      <c r="AC176" s="23">
        <v>5.6250000000000001E-2</v>
      </c>
      <c r="AD176" s="23">
        <v>0.38390999999999997</v>
      </c>
      <c r="AE176" s="23">
        <v>2.8309999999999998E-2</v>
      </c>
      <c r="AF176" s="23">
        <v>1.36104</v>
      </c>
      <c r="AG176" s="23">
        <v>23.1736</v>
      </c>
      <c r="AH176" s="23">
        <v>11.608169999999999</v>
      </c>
      <c r="AI176" s="23">
        <v>-1.3234699999999999</v>
      </c>
      <c r="AJ176" s="25">
        <v>0.96556666666666668</v>
      </c>
      <c r="AK176" s="25">
        <v>0.38323392360739506</v>
      </c>
      <c r="AL176" s="25">
        <v>0.20023590565291929</v>
      </c>
      <c r="AM176" s="25">
        <v>9.3111121995649582E-2</v>
      </c>
      <c r="AN176" s="24">
        <v>1.6344301024404031</v>
      </c>
      <c r="AO176" s="23">
        <v>-99</v>
      </c>
    </row>
    <row r="177" spans="1:41" x14ac:dyDescent="0.25">
      <c r="A177" s="4">
        <v>36</v>
      </c>
      <c r="B177">
        <v>30</v>
      </c>
      <c r="C177">
        <v>50</v>
      </c>
      <c r="D177">
        <v>20</v>
      </c>
      <c r="E177" s="3">
        <v>24</v>
      </c>
      <c r="F177" s="3">
        <f>1.8*E177+32</f>
        <v>75.2</v>
      </c>
      <c r="G177" s="3">
        <v>20</v>
      </c>
      <c r="H177" s="3">
        <f>IF(F177&gt;68,G177+(F177-68)*0.2,G326-(68-F177)*0.2)</f>
        <v>21.44</v>
      </c>
      <c r="I177" s="3">
        <v>23</v>
      </c>
      <c r="J177" s="3">
        <f>1.8*I177+32</f>
        <v>73.400000000000006</v>
      </c>
      <c r="K177" s="3">
        <v>11</v>
      </c>
      <c r="L177" s="3">
        <f>IF(J177&gt;67,K177+(J177-67)*0.2,K177-(67-J177)*0.2)</f>
        <v>12.280000000000001</v>
      </c>
      <c r="M177" s="3">
        <f>(C177-H177)/C177*100</f>
        <v>57.11999999999999</v>
      </c>
      <c r="N177" s="3">
        <f>100-(M177+O177)</f>
        <v>18.320000000000007</v>
      </c>
      <c r="O177" s="3">
        <f>L177/C177*100</f>
        <v>24.560000000000002</v>
      </c>
      <c r="P177" s="1" t="s">
        <v>2</v>
      </c>
      <c r="Q177" s="15">
        <v>407562.01199999999</v>
      </c>
      <c r="R177" s="15">
        <v>3660002.5</v>
      </c>
      <c r="S177" s="1"/>
      <c r="T177">
        <v>2009033</v>
      </c>
      <c r="U177" t="s">
        <v>528</v>
      </c>
      <c r="V177">
        <v>7.1510000000000004E-2</v>
      </c>
      <c r="W177">
        <v>0.40977000000000002</v>
      </c>
      <c r="X177">
        <v>1.6199999999999999E-2</v>
      </c>
      <c r="Y177">
        <v>1.39316</v>
      </c>
      <c r="Z177">
        <v>7.6030899999999999</v>
      </c>
      <c r="AA177">
        <v>4.99946</v>
      </c>
      <c r="AB177">
        <v>-0.85907999999999995</v>
      </c>
      <c r="AC177" s="23">
        <v>5.3109999999999997E-2</v>
      </c>
      <c r="AD177" s="23">
        <v>0.38251000000000002</v>
      </c>
      <c r="AE177" s="23">
        <v>3.0099999999999998E-2</v>
      </c>
      <c r="AF177" s="23">
        <v>1.37503</v>
      </c>
      <c r="AG177" s="23">
        <v>28.288229999999999</v>
      </c>
      <c r="AH177" s="23">
        <v>13.283300000000001</v>
      </c>
      <c r="AI177" s="23">
        <v>-1.29301</v>
      </c>
      <c r="AJ177" s="25">
        <v>1.1786762499999999</v>
      </c>
      <c r="AK177" s="25">
        <v>0.38178684299879695</v>
      </c>
      <c r="AL177" s="25">
        <v>0.19033637906748413</v>
      </c>
      <c r="AM177" s="25">
        <v>8.6385209351004966E-2</v>
      </c>
      <c r="AN177" s="24">
        <v>1.638264866053188</v>
      </c>
      <c r="AO177" s="23">
        <v>-99</v>
      </c>
    </row>
    <row r="178" spans="1:41" x14ac:dyDescent="0.25">
      <c r="A178" s="4">
        <v>36</v>
      </c>
      <c r="B178">
        <v>60</v>
      </c>
      <c r="C178">
        <v>50</v>
      </c>
      <c r="D178">
        <v>20</v>
      </c>
      <c r="E178" s="3">
        <v>25.5</v>
      </c>
      <c r="F178" s="3">
        <f>1.8*E178+32</f>
        <v>77.900000000000006</v>
      </c>
      <c r="G178" s="3">
        <v>19</v>
      </c>
      <c r="H178" s="3">
        <f>IF(F178&gt;68,G178+(F178-68)*0.2,G327-(68-F178)*0.2)</f>
        <v>20.98</v>
      </c>
      <c r="I178" s="3">
        <v>23</v>
      </c>
      <c r="J178" s="3">
        <f>1.8*I178+32</f>
        <v>73.400000000000006</v>
      </c>
      <c r="K178" s="3">
        <v>11</v>
      </c>
      <c r="L178" s="3">
        <f>IF(J178&gt;67,K178+(J178-67)*0.2,K178-(67-J178)*0.2)</f>
        <v>12.280000000000001</v>
      </c>
      <c r="M178" s="3">
        <f>(C178-H178)/C178*100</f>
        <v>58.040000000000006</v>
      </c>
      <c r="N178" s="3">
        <f>100-(M178+O178)</f>
        <v>17.399999999999991</v>
      </c>
      <c r="O178" s="3">
        <f>L178/C178*100</f>
        <v>24.560000000000002</v>
      </c>
      <c r="P178" s="1" t="s">
        <v>2</v>
      </c>
      <c r="Q178" s="15">
        <v>407562.01199999999</v>
      </c>
      <c r="R178" s="15">
        <v>3660002.5</v>
      </c>
      <c r="S178" s="1"/>
      <c r="T178">
        <v>2009033</v>
      </c>
      <c r="U178" t="s">
        <v>527</v>
      </c>
      <c r="V178">
        <v>5.289E-2</v>
      </c>
      <c r="W178">
        <v>0.38455</v>
      </c>
      <c r="X178">
        <v>2.8459999999999999E-2</v>
      </c>
      <c r="Y178">
        <v>1.3738999999999999</v>
      </c>
      <c r="Z178">
        <v>26.52018</v>
      </c>
      <c r="AA178">
        <v>12.50117</v>
      </c>
      <c r="AB178">
        <v>-1.2447299999999999</v>
      </c>
      <c r="AC178" s="23">
        <v>6.3380000000000006E-2</v>
      </c>
      <c r="AD178" s="23">
        <v>0.39187</v>
      </c>
      <c r="AE178" s="23">
        <v>2.3429999999999999E-2</v>
      </c>
      <c r="AF178" s="23">
        <v>1.3553900000000001</v>
      </c>
      <c r="AG178" s="23">
        <v>14.56967</v>
      </c>
      <c r="AH178" s="23">
        <v>8.3945600000000002</v>
      </c>
      <c r="AI178" s="23">
        <v>-1.24149</v>
      </c>
      <c r="AJ178" s="25">
        <v>0.60706958333333338</v>
      </c>
      <c r="AK178" s="25">
        <v>0.39134048077462075</v>
      </c>
      <c r="AL178" s="25">
        <v>0.21919641720017519</v>
      </c>
      <c r="AM178" s="25">
        <v>0.10427849899166003</v>
      </c>
      <c r="AN178" s="24">
        <v>1.6129477259472549</v>
      </c>
      <c r="AO178" s="23">
        <v>-99</v>
      </c>
    </row>
    <row r="179" spans="1:41" x14ac:dyDescent="0.25">
      <c r="A179" s="4">
        <v>36</v>
      </c>
      <c r="B179">
        <v>90</v>
      </c>
      <c r="C179">
        <v>50</v>
      </c>
      <c r="D179">
        <v>20</v>
      </c>
      <c r="E179" s="3">
        <v>25.5</v>
      </c>
      <c r="F179" s="3">
        <f>1.8*E179+32</f>
        <v>77.900000000000006</v>
      </c>
      <c r="G179" s="3">
        <v>17</v>
      </c>
      <c r="H179" s="3">
        <f>IF(F179&gt;68,G179+(F179-68)*0.2,G328-(68-F179)*0.2)</f>
        <v>18.98</v>
      </c>
      <c r="I179" s="3">
        <v>23</v>
      </c>
      <c r="J179" s="3">
        <f>1.8*I179+32</f>
        <v>73.400000000000006</v>
      </c>
      <c r="K179" s="3">
        <v>9</v>
      </c>
      <c r="L179" s="3">
        <f>IF(J179&gt;67,K179+(J179-67)*0.2,K179-(67-J179)*0.2)</f>
        <v>10.280000000000001</v>
      </c>
      <c r="M179" s="3">
        <f>(C179-H179)/C179*100</f>
        <v>62.039999999999992</v>
      </c>
      <c r="N179" s="3">
        <f>100-(M179+O179)</f>
        <v>17.400000000000006</v>
      </c>
      <c r="O179" s="3">
        <f>L179/C179*100</f>
        <v>20.560000000000002</v>
      </c>
      <c r="P179" s="1" t="s">
        <v>2</v>
      </c>
      <c r="Q179" s="15">
        <v>407562.01199999999</v>
      </c>
      <c r="R179" s="15">
        <v>3660002.5</v>
      </c>
      <c r="S179" s="1"/>
      <c r="T179">
        <v>2009033</v>
      </c>
      <c r="U179" t="s">
        <v>526</v>
      </c>
      <c r="V179">
        <v>5.6250000000000001E-2</v>
      </c>
      <c r="W179">
        <v>0.38390999999999997</v>
      </c>
      <c r="X179">
        <v>2.8309999999999998E-2</v>
      </c>
      <c r="Y179">
        <v>1.36104</v>
      </c>
      <c r="Z179">
        <v>23.1736</v>
      </c>
      <c r="AA179">
        <v>11.608169999999999</v>
      </c>
      <c r="AB179">
        <v>-1.3234699999999999</v>
      </c>
      <c r="AC179" s="23">
        <v>6.7040000000000002E-2</v>
      </c>
      <c r="AD179" s="23">
        <v>0.39750999999999997</v>
      </c>
      <c r="AE179" s="23">
        <v>2.1149999999999999E-2</v>
      </c>
      <c r="AF179" s="23">
        <v>1.3598300000000001</v>
      </c>
      <c r="AG179" s="23">
        <v>11.45829</v>
      </c>
      <c r="AH179" s="23">
        <v>7.1218599999999999</v>
      </c>
      <c r="AI179" s="23">
        <v>-1.16154</v>
      </c>
      <c r="AJ179" s="25">
        <v>0.47742875000000001</v>
      </c>
      <c r="AK179" s="25">
        <v>0.39704973836900442</v>
      </c>
      <c r="AL179" s="25">
        <v>0.22783506313875695</v>
      </c>
      <c r="AM179" s="25">
        <v>0.10863174155664569</v>
      </c>
      <c r="AN179" s="24">
        <v>1.5978181933221385</v>
      </c>
      <c r="AO179" s="23">
        <v>-99</v>
      </c>
    </row>
    <row r="180" spans="1:41" x14ac:dyDescent="0.25">
      <c r="A180" s="4">
        <v>36</v>
      </c>
      <c r="B180">
        <v>120</v>
      </c>
      <c r="C180">
        <v>50</v>
      </c>
      <c r="D180">
        <v>20</v>
      </c>
      <c r="E180" s="3">
        <v>25.5</v>
      </c>
      <c r="F180" s="3">
        <f>1.8*E180+32</f>
        <v>77.900000000000006</v>
      </c>
      <c r="G180" s="3">
        <v>11</v>
      </c>
      <c r="H180" s="3">
        <f>IF(F180&gt;68,G180+(F180-68)*0.2,G329-(68-F180)*0.2)</f>
        <v>12.98</v>
      </c>
      <c r="I180" s="3">
        <v>23</v>
      </c>
      <c r="J180" s="3">
        <f>1.8*I180+32</f>
        <v>73.400000000000006</v>
      </c>
      <c r="K180" s="3">
        <v>6</v>
      </c>
      <c r="L180" s="3">
        <f>IF(J180&gt;67,K180+(J180-67)*0.2,K180-(67-J180)*0.2)</f>
        <v>7.2800000000000011</v>
      </c>
      <c r="M180" s="3">
        <f>(C180-H180)/C180*100</f>
        <v>74.039999999999992</v>
      </c>
      <c r="N180" s="3">
        <f>100-(M180+O180)</f>
        <v>11.400000000000006</v>
      </c>
      <c r="O180" s="3">
        <f>L180/C180*100</f>
        <v>14.560000000000004</v>
      </c>
      <c r="P180" s="1" t="s">
        <v>0</v>
      </c>
      <c r="Q180" s="15">
        <v>407562.01199999999</v>
      </c>
      <c r="R180" s="15">
        <v>3660002.5</v>
      </c>
      <c r="S180" s="1"/>
      <c r="T180">
        <v>2009033</v>
      </c>
      <c r="U180" t="s">
        <v>525</v>
      </c>
      <c r="V180">
        <v>5.3109999999999997E-2</v>
      </c>
      <c r="W180">
        <v>0.38251000000000002</v>
      </c>
      <c r="X180">
        <v>3.0099999999999998E-2</v>
      </c>
      <c r="Y180">
        <v>1.37503</v>
      </c>
      <c r="Z180">
        <v>28.288229999999999</v>
      </c>
      <c r="AA180">
        <v>13.283300000000001</v>
      </c>
      <c r="AB180">
        <v>-1.29301</v>
      </c>
      <c r="AC180" s="23">
        <v>6.5290000000000001E-2</v>
      </c>
      <c r="AD180" s="23">
        <v>0.38667000000000001</v>
      </c>
      <c r="AE180" s="23">
        <v>2.6419999999999999E-2</v>
      </c>
      <c r="AF180" s="23">
        <v>1.32321</v>
      </c>
      <c r="AG180" s="23">
        <v>14.37218</v>
      </c>
      <c r="AH180" s="23">
        <v>8.9698899999999995</v>
      </c>
      <c r="AI180" s="23">
        <v>-1.5164599999999999</v>
      </c>
      <c r="AJ180" s="25">
        <v>0.59884083333333338</v>
      </c>
      <c r="AK180" s="25">
        <v>0.38603237889830488</v>
      </c>
      <c r="AL180" s="25">
        <v>0.2223183044492445</v>
      </c>
      <c r="AM180" s="25">
        <v>0.11177071236224367</v>
      </c>
      <c r="AN180" s="24">
        <v>1.6270141959194919</v>
      </c>
      <c r="AO180" s="23">
        <v>-99</v>
      </c>
    </row>
    <row r="181" spans="1:41" x14ac:dyDescent="0.25">
      <c r="A181" s="4">
        <v>36</v>
      </c>
      <c r="B181">
        <v>150</v>
      </c>
      <c r="C181">
        <v>50</v>
      </c>
      <c r="D181">
        <v>20</v>
      </c>
      <c r="E181" s="3">
        <v>25</v>
      </c>
      <c r="F181" s="3">
        <f>1.8*E181+32</f>
        <v>77</v>
      </c>
      <c r="G181" s="3">
        <v>33</v>
      </c>
      <c r="H181" s="3">
        <f>IF(F181&gt;68,G181+(F181-68)*0.2,G330-(68-F181)*0.2)</f>
        <v>34.799999999999997</v>
      </c>
      <c r="I181" s="3">
        <v>23</v>
      </c>
      <c r="J181" s="3">
        <f>1.8*I181+32</f>
        <v>73.400000000000006</v>
      </c>
      <c r="K181" s="3">
        <v>9</v>
      </c>
      <c r="L181" s="3">
        <f>IF(J181&gt;67,K181+(J181-67)*0.2,K181-(67-J181)*0.2)</f>
        <v>10.280000000000001</v>
      </c>
      <c r="M181" s="3">
        <f>(C181-H181)/C181*100</f>
        <v>30.400000000000006</v>
      </c>
      <c r="N181" s="3">
        <f>100-(M181+O181)</f>
        <v>49.039999999999992</v>
      </c>
      <c r="O181" s="3">
        <f>L181/C181*100</f>
        <v>20.560000000000002</v>
      </c>
      <c r="P181" s="1" t="s">
        <v>2</v>
      </c>
      <c r="Q181" s="15">
        <v>407562.01199999999</v>
      </c>
      <c r="R181" s="15">
        <v>3660002.5</v>
      </c>
      <c r="S181" s="1"/>
      <c r="T181">
        <v>2009033</v>
      </c>
      <c r="U181" t="s">
        <v>524</v>
      </c>
      <c r="V181">
        <v>6.3380000000000006E-2</v>
      </c>
      <c r="W181">
        <v>0.39187</v>
      </c>
      <c r="X181">
        <v>2.3429999999999999E-2</v>
      </c>
      <c r="Y181">
        <v>1.3553900000000001</v>
      </c>
      <c r="Z181">
        <v>14.56967</v>
      </c>
      <c r="AA181">
        <v>8.3945600000000002</v>
      </c>
      <c r="AB181">
        <v>-1.24149</v>
      </c>
      <c r="AC181" s="23">
        <v>5.8950000000000002E-2</v>
      </c>
      <c r="AD181" s="23">
        <v>0.38479999999999998</v>
      </c>
      <c r="AE181" s="23">
        <v>2.742E-2</v>
      </c>
      <c r="AF181" s="23">
        <v>1.3511200000000001</v>
      </c>
      <c r="AG181" s="23">
        <v>19.99851</v>
      </c>
      <c r="AH181" s="23">
        <v>10.617319999999999</v>
      </c>
      <c r="AI181" s="23">
        <v>-1.36138</v>
      </c>
      <c r="AJ181" s="25">
        <v>0.83327125000000002</v>
      </c>
      <c r="AK181" s="25">
        <v>0.38414640856355609</v>
      </c>
      <c r="AL181" s="25">
        <v>0.20693435374024441</v>
      </c>
      <c r="AM181" s="25">
        <v>9.8314176694855149E-2</v>
      </c>
      <c r="AN181" s="24">
        <v>1.6320120173065764</v>
      </c>
      <c r="AO181" s="23">
        <v>-99</v>
      </c>
    </row>
    <row r="182" spans="1:41" x14ac:dyDescent="0.25">
      <c r="A182" s="4">
        <v>36</v>
      </c>
      <c r="B182">
        <v>180</v>
      </c>
      <c r="C182">
        <v>50</v>
      </c>
      <c r="D182">
        <v>20</v>
      </c>
      <c r="E182" s="3">
        <v>25.5</v>
      </c>
      <c r="F182" s="3">
        <f>1.8*E182+32</f>
        <v>77.900000000000006</v>
      </c>
      <c r="G182" s="3">
        <v>34</v>
      </c>
      <c r="H182" s="3">
        <f>IF(F182&gt;68,G182+(F182-68)*0.2,G331-(68-F182)*0.2)</f>
        <v>35.980000000000004</v>
      </c>
      <c r="I182" s="3">
        <v>23</v>
      </c>
      <c r="J182" s="3">
        <f>1.8*I182+32</f>
        <v>73.400000000000006</v>
      </c>
      <c r="K182" s="3">
        <v>9</v>
      </c>
      <c r="L182" s="3">
        <f>IF(J182&gt;67,K182+(J182-67)*0.2,K182-(67-J182)*0.2)</f>
        <v>10.280000000000001</v>
      </c>
      <c r="M182" s="3">
        <f>(C182-H182)/C182*100</f>
        <v>28.039999999999992</v>
      </c>
      <c r="N182" s="3">
        <f>100-(M182+O182)</f>
        <v>51.400000000000006</v>
      </c>
      <c r="O182" s="3">
        <f>L182/C182*100</f>
        <v>20.560000000000002</v>
      </c>
      <c r="P182" s="1" t="s">
        <v>2</v>
      </c>
      <c r="Q182" s="15">
        <v>407562.01199999999</v>
      </c>
      <c r="R182" s="15">
        <v>3660002.5</v>
      </c>
      <c r="S182" s="1"/>
      <c r="T182">
        <v>2009033</v>
      </c>
      <c r="U182" t="s">
        <v>523</v>
      </c>
      <c r="V182">
        <v>6.7040000000000002E-2</v>
      </c>
      <c r="W182">
        <v>0.39750999999999997</v>
      </c>
      <c r="X182">
        <v>2.1149999999999999E-2</v>
      </c>
      <c r="Y182">
        <v>1.3598300000000001</v>
      </c>
      <c r="Z182">
        <v>11.45829</v>
      </c>
      <c r="AA182">
        <v>7.1218599999999999</v>
      </c>
      <c r="AB182">
        <v>-1.16154</v>
      </c>
      <c r="AC182" s="23">
        <v>5.8880000000000002E-2</v>
      </c>
      <c r="AD182" s="23">
        <v>0.3831</v>
      </c>
      <c r="AE182" s="23">
        <v>2.8230000000000002E-2</v>
      </c>
      <c r="AF182" s="23">
        <v>1.3489100000000001</v>
      </c>
      <c r="AG182" s="23">
        <v>20.659420000000001</v>
      </c>
      <c r="AH182" s="23">
        <v>10.921239999999999</v>
      </c>
      <c r="AI182" s="23">
        <v>-1.3986700000000001</v>
      </c>
      <c r="AJ182" s="25">
        <v>0.86080916666666674</v>
      </c>
      <c r="AK182" s="25">
        <v>0.38242157133561971</v>
      </c>
      <c r="AL182" s="25">
        <v>0.2054203800555095</v>
      </c>
      <c r="AM182" s="25">
        <v>9.817073212389206E-2</v>
      </c>
      <c r="AN182" s="24">
        <v>1.6365828359606076</v>
      </c>
      <c r="AO182" s="23">
        <v>-99</v>
      </c>
    </row>
    <row r="183" spans="1:41" x14ac:dyDescent="0.25">
      <c r="A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1"/>
      <c r="S183" s="1"/>
      <c r="T183">
        <v>2009033</v>
      </c>
      <c r="U183" t="s">
        <v>522</v>
      </c>
      <c r="V183">
        <v>6.5290000000000001E-2</v>
      </c>
      <c r="W183">
        <v>0.38667000000000001</v>
      </c>
      <c r="X183">
        <v>2.6419999999999999E-2</v>
      </c>
      <c r="Y183">
        <v>1.32321</v>
      </c>
      <c r="Z183">
        <v>14.37218</v>
      </c>
      <c r="AA183">
        <v>8.9698899999999995</v>
      </c>
      <c r="AB183">
        <v>-1.5164599999999999</v>
      </c>
      <c r="AC183" s="23">
        <v>5.3060000000000003E-2</v>
      </c>
      <c r="AD183" s="23">
        <v>0.38294</v>
      </c>
      <c r="AE183" s="23">
        <v>2.981E-2</v>
      </c>
      <c r="AF183" s="23">
        <v>1.3742700000000001</v>
      </c>
      <c r="AG183" s="23">
        <v>27.910730000000001</v>
      </c>
      <c r="AH183" s="23">
        <v>13.14621</v>
      </c>
      <c r="AI183" s="23">
        <v>-1.28624</v>
      </c>
      <c r="AJ183" s="25">
        <v>1.1629470833333333</v>
      </c>
      <c r="AK183" s="25">
        <v>0.38222447230928636</v>
      </c>
      <c r="AL183" s="25">
        <v>0.19120629024469954</v>
      </c>
      <c r="AM183" s="25">
        <v>8.6660358633683904E-2</v>
      </c>
      <c r="AN183" s="24">
        <v>1.6371051483803911</v>
      </c>
      <c r="AO183" s="23">
        <v>-99</v>
      </c>
    </row>
    <row r="184" spans="1:41" ht="51.75" x14ac:dyDescent="0.25">
      <c r="A184" s="14" t="s">
        <v>21</v>
      </c>
      <c r="B184" s="9" t="s">
        <v>20</v>
      </c>
      <c r="C184" s="13" t="s">
        <v>19</v>
      </c>
      <c r="D184" s="12" t="s">
        <v>18</v>
      </c>
      <c r="E184" s="11" t="s">
        <v>17</v>
      </c>
      <c r="F184" s="11" t="s">
        <v>16</v>
      </c>
      <c r="G184" s="11" t="s">
        <v>15</v>
      </c>
      <c r="H184" s="11" t="s">
        <v>14</v>
      </c>
      <c r="I184" s="11" t="s">
        <v>13</v>
      </c>
      <c r="J184" s="11" t="s">
        <v>12</v>
      </c>
      <c r="K184" s="11" t="s">
        <v>11</v>
      </c>
      <c r="L184" s="11" t="s">
        <v>10</v>
      </c>
      <c r="M184" s="10" t="s">
        <v>9</v>
      </c>
      <c r="N184" s="10" t="s">
        <v>8</v>
      </c>
      <c r="O184" s="10" t="s">
        <v>7</v>
      </c>
      <c r="P184" s="9" t="s">
        <v>6</v>
      </c>
      <c r="Q184" s="19" t="s">
        <v>5</v>
      </c>
      <c r="R184" s="19"/>
      <c r="S184" s="6"/>
      <c r="T184">
        <v>2009033</v>
      </c>
      <c r="U184" t="s">
        <v>521</v>
      </c>
      <c r="V184">
        <v>5.8950000000000002E-2</v>
      </c>
      <c r="W184">
        <v>0.38479999999999998</v>
      </c>
      <c r="X184">
        <v>2.742E-2</v>
      </c>
      <c r="Y184">
        <v>1.3511200000000001</v>
      </c>
      <c r="Z184">
        <v>19.99851</v>
      </c>
      <c r="AA184">
        <v>10.617319999999999</v>
      </c>
      <c r="AB184">
        <v>-1.36138</v>
      </c>
      <c r="AC184" s="23">
        <v>5.6959999999999997E-2</v>
      </c>
      <c r="AD184" s="23">
        <v>0.38152999999999998</v>
      </c>
      <c r="AE184" s="23">
        <v>2.93E-2</v>
      </c>
      <c r="AF184" s="23">
        <v>1.35819</v>
      </c>
      <c r="AG184" s="23">
        <v>23.606870000000001</v>
      </c>
      <c r="AH184" s="23">
        <v>11.83727</v>
      </c>
      <c r="AI184" s="23">
        <v>-1.3768400000000001</v>
      </c>
      <c r="AJ184" s="25">
        <v>0.98361958333333332</v>
      </c>
      <c r="AK184" s="25">
        <v>0.38082544657218881</v>
      </c>
      <c r="AL184" s="25">
        <v>0.19882322014684678</v>
      </c>
      <c r="AM184" s="25">
        <v>9.3654204241479272E-2</v>
      </c>
      <c r="AN184" s="24">
        <v>1.6408125665836997</v>
      </c>
      <c r="AO184" s="23">
        <v>-99</v>
      </c>
    </row>
    <row r="185" spans="1:41" x14ac:dyDescent="0.25"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1"/>
      <c r="Q185" s="5" t="s">
        <v>4</v>
      </c>
      <c r="R185" s="5" t="s">
        <v>3</v>
      </c>
      <c r="S185" s="1"/>
      <c r="T185">
        <v>2009033</v>
      </c>
      <c r="U185" t="s">
        <v>520</v>
      </c>
      <c r="V185">
        <v>5.8880000000000002E-2</v>
      </c>
      <c r="W185">
        <v>0.3831</v>
      </c>
      <c r="X185">
        <v>2.8230000000000002E-2</v>
      </c>
      <c r="Y185">
        <v>1.3489100000000001</v>
      </c>
      <c r="Z185">
        <v>20.659420000000001</v>
      </c>
      <c r="AA185">
        <v>10.921239999999999</v>
      </c>
      <c r="AB185">
        <v>-1.3986700000000001</v>
      </c>
      <c r="AC185" s="23">
        <v>5.7369999999999997E-2</v>
      </c>
      <c r="AD185" s="23">
        <v>0.38886999999999999</v>
      </c>
      <c r="AE185" s="23">
        <v>2.418E-2</v>
      </c>
      <c r="AF185" s="23">
        <v>1.3722000000000001</v>
      </c>
      <c r="AG185" s="23">
        <v>19.481549999999999</v>
      </c>
      <c r="AH185" s="23">
        <v>9.6418300000000006</v>
      </c>
      <c r="AI185" s="23">
        <v>-1.15815</v>
      </c>
      <c r="AJ185" s="25">
        <v>0.8117312499999999</v>
      </c>
      <c r="AK185" s="25">
        <v>0.38832805468663523</v>
      </c>
      <c r="AL185" s="25">
        <v>0.20760178392750361</v>
      </c>
      <c r="AM185" s="25">
        <v>9.4334404961113574E-2</v>
      </c>
      <c r="AN185" s="24">
        <v>1.6209306550804166</v>
      </c>
      <c r="AO185" s="23">
        <v>-99</v>
      </c>
    </row>
    <row r="186" spans="1:41" x14ac:dyDescent="0.25">
      <c r="A186" s="4">
        <v>37</v>
      </c>
      <c r="B186">
        <v>30</v>
      </c>
      <c r="C186">
        <v>50</v>
      </c>
      <c r="D186">
        <v>20</v>
      </c>
      <c r="E186" s="3">
        <v>26</v>
      </c>
      <c r="F186" s="3">
        <f>1.8*E186+32</f>
        <v>78.800000000000011</v>
      </c>
      <c r="G186" s="3">
        <v>20</v>
      </c>
      <c r="H186" s="3">
        <f>IF(F186&gt;68,G186+(F186-68)*0.2,G334-(68-F186)*0.2)</f>
        <v>22.160000000000004</v>
      </c>
      <c r="I186" s="3">
        <v>23</v>
      </c>
      <c r="J186" s="3">
        <f>1.8*I186+32</f>
        <v>73.400000000000006</v>
      </c>
      <c r="K186" s="3">
        <v>12</v>
      </c>
      <c r="L186" s="3">
        <f>IF(J186&gt;67,K186+(J186-67)*0.2,K186-(67-J186)*0.2)</f>
        <v>13.280000000000001</v>
      </c>
      <c r="M186" s="3">
        <f>(C186-H186)/C186*100</f>
        <v>55.679999999999993</v>
      </c>
      <c r="N186" s="3">
        <f>100-(M186+O186)</f>
        <v>17.760000000000005</v>
      </c>
      <c r="O186" s="3">
        <f>L186/C186*100</f>
        <v>26.56</v>
      </c>
      <c r="P186" s="1" t="s">
        <v>2</v>
      </c>
      <c r="Q186" s="15">
        <v>407562.01199999999</v>
      </c>
      <c r="R186" s="15">
        <v>3660029</v>
      </c>
      <c r="S186" s="1"/>
      <c r="T186">
        <v>2009033</v>
      </c>
      <c r="U186" t="s">
        <v>519</v>
      </c>
      <c r="V186">
        <v>5.3060000000000003E-2</v>
      </c>
      <c r="W186">
        <v>0.38294</v>
      </c>
      <c r="X186">
        <v>2.981E-2</v>
      </c>
      <c r="Y186">
        <v>1.3742700000000001</v>
      </c>
      <c r="Z186">
        <v>27.910730000000001</v>
      </c>
      <c r="AA186">
        <v>13.14621</v>
      </c>
      <c r="AB186">
        <v>-1.28624</v>
      </c>
      <c r="AC186" s="23">
        <v>6.7409999999999998E-2</v>
      </c>
      <c r="AD186" s="23">
        <v>0.39712999999999998</v>
      </c>
      <c r="AE186" s="23">
        <v>2.1610000000000001E-2</v>
      </c>
      <c r="AF186" s="23">
        <v>1.3544099999999999</v>
      </c>
      <c r="AG186" s="23">
        <v>11.386049999999999</v>
      </c>
      <c r="AH186" s="23">
        <v>7.2335700000000003</v>
      </c>
      <c r="AI186" s="23">
        <v>-1.20241</v>
      </c>
      <c r="AJ186" s="25">
        <v>0.47441874999999994</v>
      </c>
      <c r="AK186" s="25">
        <v>0.39665266473454575</v>
      </c>
      <c r="AL186" s="25">
        <v>0.22839794212835934</v>
      </c>
      <c r="AM186" s="25">
        <v>0.1098980324011896</v>
      </c>
      <c r="AN186" s="24">
        <v>1.5988704384534538</v>
      </c>
      <c r="AO186" s="23">
        <v>-99</v>
      </c>
    </row>
    <row r="187" spans="1:41" x14ac:dyDescent="0.25">
      <c r="A187" s="4">
        <v>37</v>
      </c>
      <c r="B187">
        <v>60</v>
      </c>
      <c r="C187">
        <v>50</v>
      </c>
      <c r="D187">
        <v>20</v>
      </c>
      <c r="E187" s="3">
        <v>26</v>
      </c>
      <c r="F187" s="3">
        <f>1.8*E187+32</f>
        <v>78.800000000000011</v>
      </c>
      <c r="G187" s="3">
        <v>16</v>
      </c>
      <c r="H187" s="3">
        <f>IF(F187&gt;68,G187+(F187-68)*0.2,G335-(68-F187)*0.2)</f>
        <v>18.160000000000004</v>
      </c>
      <c r="I187" s="3">
        <v>23</v>
      </c>
      <c r="J187" s="3">
        <f>1.8*I187+32</f>
        <v>73.400000000000006</v>
      </c>
      <c r="K187" s="3">
        <v>10</v>
      </c>
      <c r="L187" s="3">
        <f>IF(J187&gt;67,K187+(J187-67)*0.2,K187-(67-J187)*0.2)</f>
        <v>11.280000000000001</v>
      </c>
      <c r="M187" s="3">
        <f>(C187-H187)/C187*100</f>
        <v>63.679999999999993</v>
      </c>
      <c r="N187" s="3">
        <f>100-(M187+O187)</f>
        <v>13.760000000000005</v>
      </c>
      <c r="O187" s="3">
        <f>L187/C187*100</f>
        <v>22.560000000000002</v>
      </c>
      <c r="P187" s="1" t="s">
        <v>2</v>
      </c>
      <c r="Q187" s="15">
        <v>407562.01199999999</v>
      </c>
      <c r="R187" s="15">
        <v>3660029</v>
      </c>
      <c r="S187" s="1"/>
      <c r="T187">
        <v>2009033</v>
      </c>
      <c r="U187" t="s">
        <v>518</v>
      </c>
      <c r="V187">
        <v>5.6959999999999997E-2</v>
      </c>
      <c r="W187">
        <v>0.38152999999999998</v>
      </c>
      <c r="X187">
        <v>2.93E-2</v>
      </c>
      <c r="Y187">
        <v>1.35819</v>
      </c>
      <c r="Z187">
        <v>23.606870000000001</v>
      </c>
      <c r="AA187">
        <v>11.83727</v>
      </c>
      <c r="AB187">
        <v>-1.3768400000000001</v>
      </c>
      <c r="AC187" s="23">
        <v>6.0290000000000003E-2</v>
      </c>
      <c r="AD187" s="23">
        <v>0.38729999999999998</v>
      </c>
      <c r="AE187" s="23">
        <v>2.5909999999999999E-2</v>
      </c>
      <c r="AF187" s="23">
        <v>1.3521000000000001</v>
      </c>
      <c r="AG187" s="23">
        <v>17.98648</v>
      </c>
      <c r="AH187" s="23">
        <v>9.7968200000000003</v>
      </c>
      <c r="AI187" s="23">
        <v>-1.3180400000000001</v>
      </c>
      <c r="AJ187" s="25">
        <v>0.74943666666666664</v>
      </c>
      <c r="AK187" s="25">
        <v>0.38669310397664602</v>
      </c>
      <c r="AL187" s="25">
        <v>0.21131531075832732</v>
      </c>
      <c r="AM187" s="25">
        <v>0.10035284414893211</v>
      </c>
      <c r="AN187" s="24">
        <v>1.625263274461888</v>
      </c>
      <c r="AO187" s="23">
        <v>-99</v>
      </c>
    </row>
    <row r="188" spans="1:41" x14ac:dyDescent="0.25">
      <c r="A188" s="4">
        <v>37</v>
      </c>
      <c r="B188">
        <v>90</v>
      </c>
      <c r="C188">
        <v>50</v>
      </c>
      <c r="D188">
        <v>20</v>
      </c>
      <c r="E188" s="3">
        <v>25.5</v>
      </c>
      <c r="F188" s="3">
        <f>1.8*E188+32</f>
        <v>77.900000000000006</v>
      </c>
      <c r="G188" s="3">
        <v>12</v>
      </c>
      <c r="H188" s="3">
        <f>IF(F188&gt;68,G188+(F188-68)*0.2,G336-(68-F188)*0.2)</f>
        <v>13.98</v>
      </c>
      <c r="I188" s="3">
        <v>23</v>
      </c>
      <c r="J188" s="3">
        <f>1.8*I188+32</f>
        <v>73.400000000000006</v>
      </c>
      <c r="K188" s="3">
        <v>6</v>
      </c>
      <c r="L188" s="3">
        <f>IF(J188&gt;67,K188+(J188-67)*0.2,K188-(67-J188)*0.2)</f>
        <v>7.2800000000000011</v>
      </c>
      <c r="M188" s="3">
        <f>(C188-H188)/C188*100</f>
        <v>72.039999999999992</v>
      </c>
      <c r="N188" s="3">
        <f>100-(M188+O188)</f>
        <v>13.400000000000006</v>
      </c>
      <c r="O188" s="3">
        <f>L188/C188*100</f>
        <v>14.560000000000004</v>
      </c>
      <c r="P188" s="1" t="s">
        <v>0</v>
      </c>
      <c r="Q188" s="15">
        <v>407562.01199999999</v>
      </c>
      <c r="R188" s="15">
        <v>3660029</v>
      </c>
      <c r="S188" s="1"/>
      <c r="T188">
        <v>2009033</v>
      </c>
      <c r="U188" t="s">
        <v>517</v>
      </c>
      <c r="V188">
        <v>5.7369999999999997E-2</v>
      </c>
      <c r="W188">
        <v>0.38886999999999999</v>
      </c>
      <c r="X188">
        <v>2.418E-2</v>
      </c>
      <c r="Y188">
        <v>1.3722000000000001</v>
      </c>
      <c r="Z188">
        <v>19.481549999999999</v>
      </c>
      <c r="AA188">
        <v>9.6418300000000006</v>
      </c>
      <c r="AB188">
        <v>-1.15815</v>
      </c>
      <c r="AC188" s="23">
        <v>5.389E-2</v>
      </c>
      <c r="AD188" s="23">
        <v>0.38127</v>
      </c>
      <c r="AE188" s="23">
        <v>3.049E-2</v>
      </c>
      <c r="AF188" s="23">
        <v>1.3752599999999999</v>
      </c>
      <c r="AG188" s="23">
        <v>28.382339999999999</v>
      </c>
      <c r="AH188" s="23">
        <v>13.284750000000001</v>
      </c>
      <c r="AI188" s="23">
        <v>-1.3148500000000001</v>
      </c>
      <c r="AJ188" s="25">
        <v>1.1825975</v>
      </c>
      <c r="AK188" s="25">
        <v>0.38053876702189332</v>
      </c>
      <c r="AL188" s="25">
        <v>0.18957195674720437</v>
      </c>
      <c r="AM188" s="25">
        <v>8.675557332978312E-2</v>
      </c>
      <c r="AN188" s="24">
        <v>1.6415722673919826</v>
      </c>
      <c r="AO188" s="23">
        <v>-99</v>
      </c>
    </row>
    <row r="189" spans="1:41" x14ac:dyDescent="0.25">
      <c r="A189" s="4">
        <v>37</v>
      </c>
      <c r="B189">
        <v>120</v>
      </c>
      <c r="C189">
        <v>50</v>
      </c>
      <c r="D189">
        <v>20</v>
      </c>
      <c r="E189" s="3">
        <v>25.5</v>
      </c>
      <c r="F189" s="3">
        <f>1.8*E189+32</f>
        <v>77.900000000000006</v>
      </c>
      <c r="G189" s="3">
        <v>11</v>
      </c>
      <c r="H189" s="3">
        <f>IF(F189&gt;68,G189+(F189-68)*0.2,G337-(68-F189)*0.2)</f>
        <v>12.98</v>
      </c>
      <c r="I189" s="3">
        <v>23</v>
      </c>
      <c r="J189" s="3">
        <f>1.8*I189+32</f>
        <v>73.400000000000006</v>
      </c>
      <c r="K189" s="3">
        <v>5</v>
      </c>
      <c r="L189" s="3">
        <f>IF(J189&gt;67,K189+(J189-67)*0.2,K189-(67-J189)*0.2)</f>
        <v>6.2800000000000011</v>
      </c>
      <c r="M189" s="3">
        <f>(C189-H189)/C189*100</f>
        <v>74.039999999999992</v>
      </c>
      <c r="N189" s="3">
        <f>100-(M189+O189)</f>
        <v>13.400000000000006</v>
      </c>
      <c r="O189" s="3">
        <f>L189/C189*100</f>
        <v>12.560000000000002</v>
      </c>
      <c r="P189" s="1" t="s">
        <v>0</v>
      </c>
      <c r="Q189" s="15">
        <v>407562.01199999999</v>
      </c>
      <c r="R189" s="15">
        <v>3660029</v>
      </c>
      <c r="S189" s="1"/>
      <c r="T189">
        <v>2009033</v>
      </c>
      <c r="U189" t="s">
        <v>516</v>
      </c>
      <c r="V189">
        <v>6.7409999999999998E-2</v>
      </c>
      <c r="W189">
        <v>0.39712999999999998</v>
      </c>
      <c r="X189">
        <v>2.1610000000000001E-2</v>
      </c>
      <c r="Y189">
        <v>1.3544099999999999</v>
      </c>
      <c r="Z189">
        <v>11.386049999999999</v>
      </c>
      <c r="AA189">
        <v>7.2335700000000003</v>
      </c>
      <c r="AB189">
        <v>-1.20241</v>
      </c>
      <c r="AC189" s="23">
        <v>5.9429999999999997E-2</v>
      </c>
      <c r="AD189" s="23">
        <v>0.38019999999999998</v>
      </c>
      <c r="AE189" s="23">
        <v>2.8930000000000001E-2</v>
      </c>
      <c r="AF189" s="23">
        <v>1.3462799999999999</v>
      </c>
      <c r="AG189" s="23">
        <v>20.909970000000001</v>
      </c>
      <c r="AH189" s="23">
        <v>11.00189</v>
      </c>
      <c r="AI189" s="23">
        <v>-1.4453</v>
      </c>
      <c r="AJ189" s="25">
        <v>0.87124875000000002</v>
      </c>
      <c r="AK189" s="25">
        <v>0.37950381821351109</v>
      </c>
      <c r="AL189" s="25">
        <v>0.20409237600519353</v>
      </c>
      <c r="AM189" s="25">
        <v>9.8592436328144309E-2</v>
      </c>
      <c r="AN189" s="24">
        <v>1.6443148817341955</v>
      </c>
      <c r="AO189" s="23">
        <v>-99</v>
      </c>
    </row>
    <row r="190" spans="1:41" x14ac:dyDescent="0.25">
      <c r="A190" s="4">
        <v>37</v>
      </c>
      <c r="B190">
        <v>150</v>
      </c>
      <c r="C190">
        <v>50</v>
      </c>
      <c r="D190">
        <v>20</v>
      </c>
      <c r="E190" s="3">
        <v>26</v>
      </c>
      <c r="F190" s="3">
        <f>1.8*E190+32</f>
        <v>78.800000000000011</v>
      </c>
      <c r="G190" s="3">
        <v>13</v>
      </c>
      <c r="H190" s="3">
        <f>IF(F190&gt;68,G190+(F190-68)*0.2,G338-(68-F190)*0.2)</f>
        <v>15.160000000000002</v>
      </c>
      <c r="I190" s="3">
        <v>23</v>
      </c>
      <c r="J190" s="3">
        <f>1.8*I190+32</f>
        <v>73.400000000000006</v>
      </c>
      <c r="K190" s="3">
        <v>6</v>
      </c>
      <c r="L190" s="3">
        <f>IF(J190&gt;67,K190+(J190-67)*0.2,K190-(67-J190)*0.2)</f>
        <v>7.2800000000000011</v>
      </c>
      <c r="M190" s="3">
        <f>(C190-H190)/C190*100</f>
        <v>69.679999999999993</v>
      </c>
      <c r="N190" s="3">
        <f>100-(M190+O190)</f>
        <v>15.760000000000005</v>
      </c>
      <c r="O190" s="3">
        <f>L190/C190*100</f>
        <v>14.560000000000004</v>
      </c>
      <c r="P190" s="1" t="s">
        <v>0</v>
      </c>
      <c r="Q190" s="15">
        <v>407562.01199999999</v>
      </c>
      <c r="R190" s="15">
        <v>3660029</v>
      </c>
      <c r="S190" s="1"/>
      <c r="T190">
        <v>2009033</v>
      </c>
      <c r="U190" t="s">
        <v>515</v>
      </c>
      <c r="V190">
        <v>6.0290000000000003E-2</v>
      </c>
      <c r="W190">
        <v>0.38729999999999998</v>
      </c>
      <c r="X190">
        <v>2.5909999999999999E-2</v>
      </c>
      <c r="Y190">
        <v>1.3521000000000001</v>
      </c>
      <c r="Z190">
        <v>17.98648</v>
      </c>
      <c r="AA190">
        <v>9.7968200000000003</v>
      </c>
      <c r="AB190">
        <v>-1.3180400000000001</v>
      </c>
      <c r="AC190" s="23">
        <v>5.6890000000000003E-2</v>
      </c>
      <c r="AD190" s="23">
        <v>0.37825999999999999</v>
      </c>
      <c r="AE190" s="23">
        <v>3.0030000000000001E-2</v>
      </c>
      <c r="AF190" s="23">
        <v>1.36965</v>
      </c>
      <c r="AG190" s="23">
        <v>25.766919999999999</v>
      </c>
      <c r="AH190" s="23">
        <v>12.22044</v>
      </c>
      <c r="AI190" s="23">
        <v>-1.36564</v>
      </c>
      <c r="AJ190" s="25">
        <v>1.0736216666666667</v>
      </c>
      <c r="AK190" s="25">
        <v>0.37755089260303692</v>
      </c>
      <c r="AL190" s="25">
        <v>0.19255111374238559</v>
      </c>
      <c r="AM190" s="25">
        <v>9.046822107726088E-2</v>
      </c>
      <c r="AN190" s="24">
        <v>1.6494901346019522</v>
      </c>
      <c r="AO190" s="23">
        <v>-99</v>
      </c>
    </row>
    <row r="191" spans="1:41" x14ac:dyDescent="0.25">
      <c r="A191" s="4">
        <v>37</v>
      </c>
      <c r="B191">
        <v>180</v>
      </c>
      <c r="C191">
        <v>50</v>
      </c>
      <c r="D191">
        <v>20</v>
      </c>
      <c r="E191" s="3">
        <v>26</v>
      </c>
      <c r="F191" s="3">
        <f>1.8*E191+32</f>
        <v>78.800000000000011</v>
      </c>
      <c r="G191" s="3">
        <v>18</v>
      </c>
      <c r="H191" s="3">
        <f>IF(F191&gt;68,G191+(F191-68)*0.2,G339-(68-F191)*0.2)</f>
        <v>20.160000000000004</v>
      </c>
      <c r="I191" s="3">
        <v>23</v>
      </c>
      <c r="J191" s="3">
        <f>1.8*I191+32</f>
        <v>73.400000000000006</v>
      </c>
      <c r="K191" s="3">
        <v>9</v>
      </c>
      <c r="L191" s="3">
        <f>IF(J191&gt;67,K191+(J191-67)*0.2,K191-(67-J191)*0.2)</f>
        <v>10.280000000000001</v>
      </c>
      <c r="M191" s="3">
        <f>(C191-H191)/C191*100</f>
        <v>59.679999999999986</v>
      </c>
      <c r="N191" s="3">
        <f>100-(M191+O191)</f>
        <v>19.760000000000019</v>
      </c>
      <c r="O191" s="3">
        <f>L191/C191*100</f>
        <v>20.560000000000002</v>
      </c>
      <c r="P191" s="1" t="s">
        <v>2</v>
      </c>
      <c r="Q191" s="15">
        <v>407562.01199999999</v>
      </c>
      <c r="R191" s="15">
        <v>3660029</v>
      </c>
      <c r="S191" s="1"/>
      <c r="T191">
        <v>2009033</v>
      </c>
      <c r="U191" t="s">
        <v>514</v>
      </c>
      <c r="V191">
        <v>5.389E-2</v>
      </c>
      <c r="W191">
        <v>0.38127</v>
      </c>
      <c r="X191">
        <v>3.049E-2</v>
      </c>
      <c r="Y191">
        <v>1.3752599999999999</v>
      </c>
      <c r="Z191">
        <v>28.382339999999999</v>
      </c>
      <c r="AA191">
        <v>13.284750000000001</v>
      </c>
      <c r="AB191">
        <v>-1.3148500000000001</v>
      </c>
      <c r="AC191" s="23">
        <v>5.2850000000000001E-2</v>
      </c>
      <c r="AD191" s="23">
        <v>0.37679000000000001</v>
      </c>
      <c r="AE191" s="23">
        <v>3.1870000000000002E-2</v>
      </c>
      <c r="AF191" s="23">
        <v>1.4594199999999999</v>
      </c>
      <c r="AG191" s="23">
        <v>43.189770000000003</v>
      </c>
      <c r="AH191" s="23">
        <v>15.353529999999999</v>
      </c>
      <c r="AI191" s="23">
        <v>-1.15337</v>
      </c>
      <c r="AJ191" s="25">
        <v>1.7995737500000002</v>
      </c>
      <c r="AK191" s="25">
        <v>0.3761255883401306</v>
      </c>
      <c r="AL191" s="25">
        <v>0.16121652841049006</v>
      </c>
      <c r="AM191" s="25">
        <v>7.1880234678243379E-2</v>
      </c>
      <c r="AN191" s="24">
        <v>1.6532671908986538</v>
      </c>
      <c r="AO191" s="23">
        <v>-99</v>
      </c>
    </row>
    <row r="192" spans="1:41" x14ac:dyDescent="0.25">
      <c r="A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1"/>
      <c r="S192" s="1"/>
      <c r="T192">
        <v>2009033</v>
      </c>
      <c r="U192" t="s">
        <v>513</v>
      </c>
      <c r="V192">
        <v>5.9429999999999997E-2</v>
      </c>
      <c r="W192">
        <v>0.38019999999999998</v>
      </c>
      <c r="X192">
        <v>2.8930000000000001E-2</v>
      </c>
      <c r="Y192">
        <v>1.3462799999999999</v>
      </c>
      <c r="Z192">
        <v>20.909970000000001</v>
      </c>
      <c r="AA192">
        <v>11.00189</v>
      </c>
      <c r="AB192">
        <v>-1.4453</v>
      </c>
      <c r="AC192" s="23">
        <v>5.9389999999999998E-2</v>
      </c>
      <c r="AD192" s="23">
        <v>0.38097999999999999</v>
      </c>
      <c r="AE192" s="23">
        <v>2.878E-2</v>
      </c>
      <c r="AF192" s="23">
        <v>1.34592</v>
      </c>
      <c r="AG192" s="23">
        <v>20.74044</v>
      </c>
      <c r="AH192" s="23">
        <v>10.97067</v>
      </c>
      <c r="AI192" s="23">
        <v>-1.43953</v>
      </c>
      <c r="AJ192" s="25">
        <v>0.86418499999999998</v>
      </c>
      <c r="AK192" s="25">
        <v>0.38028653484708502</v>
      </c>
      <c r="AL192" s="25">
        <v>0.2047898371902018</v>
      </c>
      <c r="AM192" s="25">
        <v>9.8809278451617355E-2</v>
      </c>
      <c r="AN192" s="24">
        <v>1.6422406826552247</v>
      </c>
      <c r="AO192" s="23">
        <v>-99</v>
      </c>
    </row>
    <row r="193" spans="1:41" ht="51.75" x14ac:dyDescent="0.25">
      <c r="A193" s="14" t="s">
        <v>21</v>
      </c>
      <c r="B193" s="9" t="s">
        <v>20</v>
      </c>
      <c r="C193" s="13" t="s">
        <v>19</v>
      </c>
      <c r="D193" s="12" t="s">
        <v>18</v>
      </c>
      <c r="E193" s="11" t="s">
        <v>17</v>
      </c>
      <c r="F193" s="11" t="s">
        <v>16</v>
      </c>
      <c r="G193" s="11" t="s">
        <v>15</v>
      </c>
      <c r="H193" s="11" t="s">
        <v>14</v>
      </c>
      <c r="I193" s="11" t="s">
        <v>13</v>
      </c>
      <c r="J193" s="11" t="s">
        <v>12</v>
      </c>
      <c r="K193" s="11" t="s">
        <v>11</v>
      </c>
      <c r="L193" s="11" t="s">
        <v>10</v>
      </c>
      <c r="M193" s="10" t="s">
        <v>9</v>
      </c>
      <c r="N193" s="10" t="s">
        <v>8</v>
      </c>
      <c r="O193" s="10" t="s">
        <v>7</v>
      </c>
      <c r="P193" s="9" t="s">
        <v>6</v>
      </c>
      <c r="Q193" s="19" t="s">
        <v>5</v>
      </c>
      <c r="R193" s="19"/>
      <c r="S193" s="17"/>
      <c r="T193">
        <v>2009033</v>
      </c>
      <c r="U193" t="s">
        <v>512</v>
      </c>
      <c r="V193">
        <v>5.6890000000000003E-2</v>
      </c>
      <c r="W193">
        <v>0.37825999999999999</v>
      </c>
      <c r="X193">
        <v>3.0030000000000001E-2</v>
      </c>
      <c r="Y193">
        <v>1.36965</v>
      </c>
      <c r="Z193">
        <v>25.766919999999999</v>
      </c>
      <c r="AA193">
        <v>12.22044</v>
      </c>
      <c r="AB193">
        <v>-1.36564</v>
      </c>
      <c r="AC193" s="23">
        <v>6.2359999999999999E-2</v>
      </c>
      <c r="AD193" s="23">
        <v>0.38466</v>
      </c>
      <c r="AE193" s="23">
        <v>2.7179999999999999E-2</v>
      </c>
      <c r="AF193" s="23">
        <v>1.3344800000000001</v>
      </c>
      <c r="AG193" s="23">
        <v>16.93516</v>
      </c>
      <c r="AH193" s="23">
        <v>9.7721999999999998</v>
      </c>
      <c r="AI193" s="23">
        <v>-1.46166</v>
      </c>
      <c r="AJ193" s="25">
        <v>0.70563166666666666</v>
      </c>
      <c r="AK193" s="25">
        <v>0.3840058862742235</v>
      </c>
      <c r="AL193" s="25">
        <v>0.21464460779674863</v>
      </c>
      <c r="AM193" s="25">
        <v>0.10552361303798077</v>
      </c>
      <c r="AN193" s="24">
        <v>1.6323844013733078</v>
      </c>
      <c r="AO193" s="23">
        <v>-99</v>
      </c>
    </row>
    <row r="194" spans="1:41" x14ac:dyDescent="0.25">
      <c r="C194" s="16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1"/>
      <c r="Q194" s="5" t="s">
        <v>4</v>
      </c>
      <c r="R194" s="5" t="s">
        <v>3</v>
      </c>
      <c r="S194" s="17"/>
      <c r="T194">
        <v>2009033</v>
      </c>
      <c r="U194" t="s">
        <v>511</v>
      </c>
      <c r="V194">
        <v>5.2850000000000001E-2</v>
      </c>
      <c r="W194">
        <v>0.37679000000000001</v>
      </c>
      <c r="X194">
        <v>3.1870000000000002E-2</v>
      </c>
      <c r="Y194">
        <v>1.4594199999999999</v>
      </c>
      <c r="Z194">
        <v>43.189770000000003</v>
      </c>
      <c r="AA194">
        <v>15.353529999999999</v>
      </c>
      <c r="AB194">
        <v>-1.15337</v>
      </c>
      <c r="AC194" s="23">
        <v>5.321E-2</v>
      </c>
      <c r="AD194" s="23">
        <v>0.38152999999999998</v>
      </c>
      <c r="AE194" s="23">
        <v>3.065E-2</v>
      </c>
      <c r="AF194" s="23">
        <v>1.3780399999999999</v>
      </c>
      <c r="AG194" s="23">
        <v>29.239100000000001</v>
      </c>
      <c r="AH194" s="23">
        <v>13.56474</v>
      </c>
      <c r="AI194" s="23">
        <v>-1.30138</v>
      </c>
      <c r="AJ194" s="25">
        <v>1.2182958333333334</v>
      </c>
      <c r="AK194" s="25">
        <v>0.38079455404440593</v>
      </c>
      <c r="AL194" s="25">
        <v>0.1881522467163371</v>
      </c>
      <c r="AM194" s="25">
        <v>8.5549410350876653E-2</v>
      </c>
      <c r="AN194" s="24">
        <v>1.6408944317823242</v>
      </c>
      <c r="AO194" s="23">
        <v>-99</v>
      </c>
    </row>
    <row r="195" spans="1:41" x14ac:dyDescent="0.25">
      <c r="A195" s="4">
        <v>41</v>
      </c>
      <c r="B195">
        <v>30</v>
      </c>
      <c r="C195" s="16">
        <v>50</v>
      </c>
      <c r="D195">
        <v>20</v>
      </c>
      <c r="E195" s="3">
        <v>25</v>
      </c>
      <c r="F195" s="3">
        <f>1.8*E195+32</f>
        <v>77</v>
      </c>
      <c r="G195" s="3">
        <v>15</v>
      </c>
      <c r="H195" s="3">
        <f>IF(F195&gt;68,G195+(F195-68)*0.2,G342-(68-F195)*0.2)</f>
        <v>16.8</v>
      </c>
      <c r="I195" s="3">
        <v>23</v>
      </c>
      <c r="J195" s="3">
        <f>1.8*I195+32</f>
        <v>73.400000000000006</v>
      </c>
      <c r="K195" s="3">
        <v>6</v>
      </c>
      <c r="L195" s="3">
        <f>IF(J195&gt;68,K195+(J195-68)*0.2,K195-(68-J195)*0.2)</f>
        <v>7.080000000000001</v>
      </c>
      <c r="M195" s="3">
        <f>(C195-H195)/C195*100</f>
        <v>66.400000000000006</v>
      </c>
      <c r="N195" s="3">
        <f>100-(M195+O195)</f>
        <v>19.439999999999998</v>
      </c>
      <c r="O195" s="3">
        <f>L195/C195*100</f>
        <v>14.160000000000004</v>
      </c>
      <c r="P195" s="1" t="s">
        <v>0</v>
      </c>
      <c r="Q195" s="15">
        <v>407547.788</v>
      </c>
      <c r="R195" s="15">
        <v>3659870</v>
      </c>
      <c r="S195" s="17"/>
      <c r="T195">
        <v>2009033</v>
      </c>
      <c r="U195" t="s">
        <v>510</v>
      </c>
      <c r="V195">
        <v>5.9389999999999998E-2</v>
      </c>
      <c r="W195">
        <v>0.38097999999999999</v>
      </c>
      <c r="X195">
        <v>2.878E-2</v>
      </c>
      <c r="Y195">
        <v>1.34592</v>
      </c>
      <c r="Z195">
        <v>20.74044</v>
      </c>
      <c r="AA195">
        <v>10.97067</v>
      </c>
      <c r="AB195">
        <v>-1.43953</v>
      </c>
      <c r="AC195" s="23">
        <v>5.6939999999999998E-2</v>
      </c>
      <c r="AD195" s="23">
        <v>0.38186999999999999</v>
      </c>
      <c r="AE195" s="23">
        <v>2.9180000000000001E-2</v>
      </c>
      <c r="AF195" s="23">
        <v>1.3579600000000001</v>
      </c>
      <c r="AG195" s="23">
        <v>23.455960000000001</v>
      </c>
      <c r="AH195" s="23">
        <v>11.79224</v>
      </c>
      <c r="AI195" s="23">
        <v>-1.37296</v>
      </c>
      <c r="AJ195" s="25">
        <v>0.97733166666666671</v>
      </c>
      <c r="AK195" s="25">
        <v>0.38116832957234387</v>
      </c>
      <c r="AL195" s="25">
        <v>0.19923473882167586</v>
      </c>
      <c r="AM195" s="25">
        <v>9.3780422421300677E-2</v>
      </c>
      <c r="AN195" s="24">
        <v>1.6399039266332889</v>
      </c>
      <c r="AO195" s="23">
        <v>-99</v>
      </c>
    </row>
    <row r="196" spans="1:41" x14ac:dyDescent="0.25">
      <c r="A196" s="4">
        <v>41</v>
      </c>
      <c r="B196">
        <v>60</v>
      </c>
      <c r="C196" s="16">
        <v>50</v>
      </c>
      <c r="D196">
        <v>20</v>
      </c>
      <c r="E196" s="3">
        <v>25.5</v>
      </c>
      <c r="F196" s="3">
        <f>1.8*E196+32</f>
        <v>77.900000000000006</v>
      </c>
      <c r="G196" s="3">
        <v>12</v>
      </c>
      <c r="H196" s="3">
        <f>IF(F196&gt;68,G196+(F196-68)*0.2,G343-(68-F196)*0.2)</f>
        <v>13.98</v>
      </c>
      <c r="I196" s="3">
        <v>23</v>
      </c>
      <c r="J196" s="3">
        <f>1.8*I196+32</f>
        <v>73.400000000000006</v>
      </c>
      <c r="K196" s="3">
        <v>5</v>
      </c>
      <c r="L196" s="3">
        <f>IF(J196&gt;68,K196+(J196-68)*0.2,K196-(68-J196)*0.2)</f>
        <v>6.080000000000001</v>
      </c>
      <c r="M196" s="3">
        <f>(C196-H196)/C196*100</f>
        <v>72.039999999999992</v>
      </c>
      <c r="N196" s="3">
        <f>100-(M196+O196)</f>
        <v>15.800000000000011</v>
      </c>
      <c r="O196" s="3">
        <f>L196/C196*100</f>
        <v>12.160000000000002</v>
      </c>
      <c r="P196" s="1" t="s">
        <v>0</v>
      </c>
      <c r="Q196" s="15">
        <v>407547.788</v>
      </c>
      <c r="R196" s="15">
        <v>3659870</v>
      </c>
      <c r="S196" s="17"/>
      <c r="T196">
        <v>2009033</v>
      </c>
      <c r="U196" t="s">
        <v>509</v>
      </c>
      <c r="V196">
        <v>6.2359999999999999E-2</v>
      </c>
      <c r="W196">
        <v>0.38466</v>
      </c>
      <c r="X196">
        <v>2.7179999999999999E-2</v>
      </c>
      <c r="Y196">
        <v>1.3344800000000001</v>
      </c>
      <c r="Z196">
        <v>16.93516</v>
      </c>
      <c r="AA196">
        <v>9.7721999999999998</v>
      </c>
      <c r="AB196">
        <v>-1.46166</v>
      </c>
      <c r="AC196" s="23">
        <v>5.3319999999999999E-2</v>
      </c>
      <c r="AD196" s="23">
        <v>0.37663000000000002</v>
      </c>
      <c r="AE196" s="23">
        <v>3.1609999999999999E-2</v>
      </c>
      <c r="AF196" s="23">
        <v>1.4498500000000001</v>
      </c>
      <c r="AG196" s="23">
        <v>41.017910000000001</v>
      </c>
      <c r="AH196" s="23">
        <v>14.9316</v>
      </c>
      <c r="AI196" s="23">
        <v>-1.17049</v>
      </c>
      <c r="AJ196" s="25">
        <v>1.7090795833333334</v>
      </c>
      <c r="AK196" s="25">
        <v>0.37596251966310312</v>
      </c>
      <c r="AL196" s="25">
        <v>0.16433535052705747</v>
      </c>
      <c r="AM196" s="25">
        <v>7.3542770797963633E-2</v>
      </c>
      <c r="AN196" s="24">
        <v>1.6536993228927768</v>
      </c>
      <c r="AO196" s="23">
        <v>-99</v>
      </c>
    </row>
    <row r="197" spans="1:41" x14ac:dyDescent="0.25">
      <c r="A197" s="4">
        <v>41</v>
      </c>
      <c r="B197">
        <v>90</v>
      </c>
      <c r="C197" s="16">
        <v>50</v>
      </c>
      <c r="D197">
        <v>20</v>
      </c>
      <c r="E197" s="3">
        <v>26</v>
      </c>
      <c r="F197" s="3">
        <f>1.8*E197+32</f>
        <v>78.800000000000011</v>
      </c>
      <c r="G197" s="3">
        <v>16</v>
      </c>
      <c r="H197" s="3">
        <f>IF(F197&gt;68,G197+(F197-68)*0.2,G344-(68-F197)*0.2)</f>
        <v>18.160000000000004</v>
      </c>
      <c r="I197" s="3">
        <v>23</v>
      </c>
      <c r="J197" s="3">
        <f>1.8*I197+32</f>
        <v>73.400000000000006</v>
      </c>
      <c r="K197" s="3">
        <v>7</v>
      </c>
      <c r="L197" s="3">
        <f>IF(J197&gt;68,K197+(J197-68)*0.2,K197-(68-J197)*0.2)</f>
        <v>8.0800000000000018</v>
      </c>
      <c r="M197" s="3">
        <f>(C197-H197)/C197*100</f>
        <v>63.679999999999993</v>
      </c>
      <c r="N197" s="3">
        <f>100-(M197+O197)</f>
        <v>20.159999999999997</v>
      </c>
      <c r="O197" s="3">
        <f>L197/C197*100</f>
        <v>16.160000000000004</v>
      </c>
      <c r="P197" s="1" t="s">
        <v>0</v>
      </c>
      <c r="Q197" s="15">
        <v>407547.788</v>
      </c>
      <c r="R197" s="15">
        <v>3659870</v>
      </c>
      <c r="S197" s="17"/>
      <c r="T197">
        <v>2009033</v>
      </c>
      <c r="U197" t="s">
        <v>508</v>
      </c>
      <c r="V197">
        <v>5.321E-2</v>
      </c>
      <c r="W197">
        <v>0.38152999999999998</v>
      </c>
      <c r="X197">
        <v>3.065E-2</v>
      </c>
      <c r="Y197">
        <v>1.3780399999999999</v>
      </c>
      <c r="Z197">
        <v>29.239100000000001</v>
      </c>
      <c r="AA197">
        <v>13.56474</v>
      </c>
      <c r="AB197">
        <v>-1.30138</v>
      </c>
      <c r="AC197" s="23">
        <v>4.8210000000000003E-2</v>
      </c>
      <c r="AD197" s="23">
        <v>0.38103999999999999</v>
      </c>
      <c r="AE197" s="23">
        <v>3.3910000000000003E-2</v>
      </c>
      <c r="AF197" s="23">
        <v>1.4325300000000001</v>
      </c>
      <c r="AG197" s="23">
        <v>43.337629999999997</v>
      </c>
      <c r="AH197" s="23">
        <v>17.66536</v>
      </c>
      <c r="AI197" s="23">
        <v>-1.1778200000000001</v>
      </c>
      <c r="AJ197" s="25">
        <v>1.8057345833333331</v>
      </c>
      <c r="AK197" s="25">
        <v>0.38025553254608646</v>
      </c>
      <c r="AL197" s="25">
        <v>0.16378372085471482</v>
      </c>
      <c r="AM197" s="25">
        <v>7.0679718421499407E-2</v>
      </c>
      <c r="AN197" s="24">
        <v>1.6423228387528708</v>
      </c>
      <c r="AO197" s="23">
        <v>-99</v>
      </c>
    </row>
    <row r="198" spans="1:41" x14ac:dyDescent="0.25">
      <c r="A198" s="4">
        <v>41</v>
      </c>
      <c r="B198">
        <v>120</v>
      </c>
      <c r="C198" s="16">
        <v>50</v>
      </c>
      <c r="D198">
        <v>20</v>
      </c>
      <c r="E198" s="3">
        <v>26</v>
      </c>
      <c r="F198" s="3">
        <f>1.8*E198+32</f>
        <v>78.800000000000011</v>
      </c>
      <c r="G198" s="3">
        <v>14</v>
      </c>
      <c r="H198" s="3">
        <f>IF(F198&gt;68,G198+(F198-68)*0.2,G346-(68-F198)*0.2)</f>
        <v>16.160000000000004</v>
      </c>
      <c r="I198" s="3">
        <v>23</v>
      </c>
      <c r="J198" s="3">
        <f>1.8*I198+32</f>
        <v>73.400000000000006</v>
      </c>
      <c r="K198" s="3">
        <v>8</v>
      </c>
      <c r="L198" s="3">
        <f>IF(J198&gt;68,K198+(J198-68)*0.2,K198-(68-J198)*0.2)</f>
        <v>9.0800000000000018</v>
      </c>
      <c r="M198" s="3">
        <f>(C198-H198)/C198*100</f>
        <v>67.679999999999993</v>
      </c>
      <c r="N198" s="3">
        <f>100-(M198+O198)</f>
        <v>14.159999999999997</v>
      </c>
      <c r="O198" s="3">
        <f>L198/C198*100</f>
        <v>18.160000000000004</v>
      </c>
      <c r="P198" s="1" t="s">
        <v>0</v>
      </c>
      <c r="Q198" s="15">
        <v>407547.788</v>
      </c>
      <c r="R198" s="15">
        <v>3659870</v>
      </c>
      <c r="S198" s="17"/>
      <c r="T198">
        <v>2009033</v>
      </c>
      <c r="U198" t="s">
        <v>507</v>
      </c>
      <c r="V198">
        <v>5.6939999999999998E-2</v>
      </c>
      <c r="W198">
        <v>0.38186999999999999</v>
      </c>
      <c r="X198">
        <v>2.9180000000000001E-2</v>
      </c>
      <c r="Y198">
        <v>1.3579600000000001</v>
      </c>
      <c r="Z198">
        <v>23.455960000000001</v>
      </c>
      <c r="AA198">
        <v>11.79224</v>
      </c>
      <c r="AB198">
        <v>-1.37296</v>
      </c>
      <c r="AC198" s="23">
        <v>5.9950000000000003E-2</v>
      </c>
      <c r="AD198" s="23">
        <v>0.38217000000000001</v>
      </c>
      <c r="AE198" s="23">
        <v>2.8340000000000001E-2</v>
      </c>
      <c r="AF198" s="23">
        <v>1.3430599999999999</v>
      </c>
      <c r="AG198" s="23">
        <v>19.779450000000001</v>
      </c>
      <c r="AH198" s="23">
        <v>10.683590000000001</v>
      </c>
      <c r="AI198" s="23">
        <v>-1.44096</v>
      </c>
      <c r="AJ198" s="25">
        <v>0.82414375000000006</v>
      </c>
      <c r="AK198" s="25">
        <v>0.38148665451249753</v>
      </c>
      <c r="AL198" s="25">
        <v>0.20732012141945796</v>
      </c>
      <c r="AM198" s="25">
        <v>0.10035076771187568</v>
      </c>
      <c r="AN198" s="24">
        <v>1.6390603655418816</v>
      </c>
      <c r="AO198" s="23">
        <v>-99</v>
      </c>
    </row>
    <row r="199" spans="1:41" x14ac:dyDescent="0.25">
      <c r="A199" s="4">
        <v>41</v>
      </c>
      <c r="B199">
        <v>150</v>
      </c>
      <c r="C199" s="16">
        <v>50</v>
      </c>
      <c r="D199">
        <v>20</v>
      </c>
      <c r="E199" s="3">
        <v>22</v>
      </c>
      <c r="F199" s="3">
        <f>1.8*E199+32</f>
        <v>71.599999999999994</v>
      </c>
      <c r="G199" s="3">
        <v>14</v>
      </c>
      <c r="H199" s="3">
        <f>IF(F199&gt;68,G199+(F199-68)*0.2,G347-(68-F199)*0.2)</f>
        <v>14.719999999999999</v>
      </c>
      <c r="I199" s="3">
        <v>22</v>
      </c>
      <c r="J199" s="3">
        <f>1.8*I199+32</f>
        <v>71.599999999999994</v>
      </c>
      <c r="K199" s="3">
        <v>7</v>
      </c>
      <c r="L199" s="3">
        <f>IF(J199&gt;68,K199+(J199-68)*0.2,K199-(68-J199)*0.2)</f>
        <v>7.7199999999999989</v>
      </c>
      <c r="M199" s="3">
        <f>(C199-H199)/C199*100</f>
        <v>70.56</v>
      </c>
      <c r="N199" s="3">
        <f>100-(M199+O199)</f>
        <v>14</v>
      </c>
      <c r="O199" s="3">
        <f>L199/C199*100</f>
        <v>15.439999999999998</v>
      </c>
      <c r="P199" s="1" t="s">
        <v>0</v>
      </c>
      <c r="Q199" s="15">
        <v>407547.788</v>
      </c>
      <c r="R199" s="15">
        <v>3659870</v>
      </c>
      <c r="S199" s="17"/>
      <c r="T199">
        <v>2009033</v>
      </c>
      <c r="U199" t="s">
        <v>506</v>
      </c>
      <c r="V199">
        <v>5.3319999999999999E-2</v>
      </c>
      <c r="W199">
        <v>0.37663000000000002</v>
      </c>
      <c r="X199">
        <v>3.1609999999999999E-2</v>
      </c>
      <c r="Y199">
        <v>1.4498500000000001</v>
      </c>
      <c r="Z199">
        <v>41.017910000000001</v>
      </c>
      <c r="AA199">
        <v>14.9316</v>
      </c>
      <c r="AB199">
        <v>-1.17049</v>
      </c>
      <c r="AC199" s="23">
        <v>5.6939999999999998E-2</v>
      </c>
      <c r="AD199" s="23">
        <v>0.38186999999999999</v>
      </c>
      <c r="AE199" s="23">
        <v>2.9180000000000001E-2</v>
      </c>
      <c r="AF199" s="23">
        <v>1.3579600000000001</v>
      </c>
      <c r="AG199" s="23">
        <v>23.455960000000001</v>
      </c>
      <c r="AH199" s="23">
        <v>11.79224</v>
      </c>
      <c r="AI199" s="23">
        <v>-1.37296</v>
      </c>
      <c r="AJ199" s="25">
        <v>0.97733166666666671</v>
      </c>
      <c r="AK199" s="25">
        <v>0.38116832957234387</v>
      </c>
      <c r="AL199" s="25">
        <v>0.19923473882167586</v>
      </c>
      <c r="AM199" s="25">
        <v>9.3780422421300677E-2</v>
      </c>
      <c r="AN199" s="24">
        <v>1.6399039266332889</v>
      </c>
      <c r="AO199" s="23">
        <v>-99</v>
      </c>
    </row>
    <row r="200" spans="1:41" x14ac:dyDescent="0.25">
      <c r="A200" s="4">
        <v>41</v>
      </c>
      <c r="B200">
        <v>180</v>
      </c>
      <c r="C200" s="16">
        <v>50</v>
      </c>
      <c r="D200">
        <v>20</v>
      </c>
      <c r="E200" s="3">
        <v>22</v>
      </c>
      <c r="F200" s="3">
        <f>1.8*E200+32</f>
        <v>71.599999999999994</v>
      </c>
      <c r="G200" s="3">
        <v>16</v>
      </c>
      <c r="H200" s="3">
        <f>IF(F200&gt;68,G200+(F200-68)*0.2,G348-(68-F200)*0.2)</f>
        <v>16.72</v>
      </c>
      <c r="I200" s="3">
        <v>22</v>
      </c>
      <c r="J200" s="3">
        <f>1.8*I200+32</f>
        <v>71.599999999999994</v>
      </c>
      <c r="K200" s="3">
        <v>7</v>
      </c>
      <c r="L200" s="3">
        <f>IF(J200&gt;68,K200+(J200-68)*0.2,K200-(68-J200)*0.2)</f>
        <v>7.7199999999999989</v>
      </c>
      <c r="M200" s="3">
        <f>(C200-H200)/C200*100</f>
        <v>66.56</v>
      </c>
      <c r="N200" s="3">
        <f>100-(M200+O200)</f>
        <v>18</v>
      </c>
      <c r="O200" s="3">
        <f>L200/C200*100</f>
        <v>15.439999999999998</v>
      </c>
      <c r="P200" s="1" t="s">
        <v>0</v>
      </c>
      <c r="Q200" s="15">
        <v>407547.788</v>
      </c>
      <c r="R200" s="15">
        <v>3659870</v>
      </c>
      <c r="S200" s="17"/>
      <c r="T200">
        <v>2009033</v>
      </c>
      <c r="U200" t="s">
        <v>505</v>
      </c>
      <c r="V200">
        <v>4.8210000000000003E-2</v>
      </c>
      <c r="W200">
        <v>0.38103999999999999</v>
      </c>
      <c r="X200">
        <v>3.3910000000000003E-2</v>
      </c>
      <c r="Y200">
        <v>1.4325300000000001</v>
      </c>
      <c r="Z200">
        <v>43.337629999999997</v>
      </c>
      <c r="AA200">
        <v>17.66536</v>
      </c>
      <c r="AB200">
        <v>-1.1778200000000001</v>
      </c>
      <c r="AC200" s="23">
        <v>5.7459999999999997E-2</v>
      </c>
      <c r="AD200" s="23">
        <v>0.38363000000000003</v>
      </c>
      <c r="AE200" s="23">
        <v>2.8250000000000001E-2</v>
      </c>
      <c r="AF200" s="23">
        <v>1.3557399999999999</v>
      </c>
      <c r="AG200" s="23">
        <v>21.981079999999999</v>
      </c>
      <c r="AH200" s="23">
        <v>11.281750000000001</v>
      </c>
      <c r="AI200" s="23">
        <v>-1.3553500000000001</v>
      </c>
      <c r="AJ200" s="25">
        <v>0.91587833333333324</v>
      </c>
      <c r="AK200" s="25">
        <v>0.38295358343932245</v>
      </c>
      <c r="AL200" s="25">
        <v>0.20260889614147476</v>
      </c>
      <c r="AM200" s="25">
        <v>9.5377940777039122E-2</v>
      </c>
      <c r="AN200" s="24">
        <v>1.6351730038857952</v>
      </c>
      <c r="AO200" s="23">
        <v>-99</v>
      </c>
    </row>
    <row r="201" spans="1:41" x14ac:dyDescent="0.25">
      <c r="S201" s="17"/>
      <c r="T201">
        <v>2009033</v>
      </c>
      <c r="U201" t="s">
        <v>504</v>
      </c>
      <c r="V201">
        <v>5.9950000000000003E-2</v>
      </c>
      <c r="W201">
        <v>0.38217000000000001</v>
      </c>
      <c r="X201">
        <v>2.8340000000000001E-2</v>
      </c>
      <c r="Y201">
        <v>1.3430599999999999</v>
      </c>
      <c r="Z201">
        <v>19.779450000000001</v>
      </c>
      <c r="AA201">
        <v>10.683590000000001</v>
      </c>
      <c r="AB201">
        <v>-1.44096</v>
      </c>
      <c r="AC201" s="23">
        <v>6.3350000000000004E-2</v>
      </c>
      <c r="AD201" s="23">
        <v>0.38396000000000002</v>
      </c>
      <c r="AE201" s="23">
        <v>2.7320000000000001E-2</v>
      </c>
      <c r="AF201" s="23">
        <v>1.3276600000000001</v>
      </c>
      <c r="AG201" s="23">
        <v>16.196940000000001</v>
      </c>
      <c r="AH201" s="23">
        <v>9.5807500000000001</v>
      </c>
      <c r="AI201" s="23">
        <v>-1.5115499999999999</v>
      </c>
      <c r="AJ201" s="25">
        <v>0.6748725000000001</v>
      </c>
      <c r="AK201" s="25">
        <v>0.38329896232002436</v>
      </c>
      <c r="AL201" s="25">
        <v>0.21688526670783997</v>
      </c>
      <c r="AM201" s="25">
        <v>0.1080086210794384</v>
      </c>
      <c r="AN201" s="24">
        <v>1.6342577498519353</v>
      </c>
      <c r="AO201" s="23">
        <v>-99</v>
      </c>
    </row>
    <row r="202" spans="1:41" ht="51.75" x14ac:dyDescent="0.25">
      <c r="A202" s="14" t="s">
        <v>21</v>
      </c>
      <c r="B202" s="9" t="s">
        <v>20</v>
      </c>
      <c r="C202" s="13" t="s">
        <v>19</v>
      </c>
      <c r="D202" s="12" t="s">
        <v>18</v>
      </c>
      <c r="E202" s="11" t="s">
        <v>17</v>
      </c>
      <c r="F202" s="11" t="s">
        <v>16</v>
      </c>
      <c r="G202" s="11" t="s">
        <v>15</v>
      </c>
      <c r="H202" s="11" t="s">
        <v>14</v>
      </c>
      <c r="I202" s="11" t="s">
        <v>13</v>
      </c>
      <c r="J202" s="11" t="s">
        <v>12</v>
      </c>
      <c r="K202" s="11" t="s">
        <v>11</v>
      </c>
      <c r="L202" s="11" t="s">
        <v>10</v>
      </c>
      <c r="M202" s="10" t="s">
        <v>9</v>
      </c>
      <c r="N202" s="10" t="s">
        <v>8</v>
      </c>
      <c r="O202" s="10" t="s">
        <v>7</v>
      </c>
      <c r="P202" s="9" t="s">
        <v>6</v>
      </c>
      <c r="Q202" s="19" t="s">
        <v>5</v>
      </c>
      <c r="R202" s="19"/>
      <c r="S202" s="17"/>
      <c r="T202">
        <v>2009033</v>
      </c>
      <c r="U202" t="s">
        <v>503</v>
      </c>
      <c r="V202">
        <v>5.6939999999999998E-2</v>
      </c>
      <c r="W202">
        <v>0.38186999999999999</v>
      </c>
      <c r="X202">
        <v>2.9180000000000001E-2</v>
      </c>
      <c r="Y202">
        <v>1.3579600000000001</v>
      </c>
      <c r="Z202">
        <v>23.455960000000001</v>
      </c>
      <c r="AA202">
        <v>11.79224</v>
      </c>
      <c r="AB202">
        <v>-1.37296</v>
      </c>
      <c r="AC202" s="23">
        <v>6.3380000000000006E-2</v>
      </c>
      <c r="AD202" s="23">
        <v>0.38441999999999998</v>
      </c>
      <c r="AE202" s="23">
        <v>2.7179999999999999E-2</v>
      </c>
      <c r="AF202" s="23">
        <v>1.3284100000000001</v>
      </c>
      <c r="AG202" s="23">
        <v>16.107610000000001</v>
      </c>
      <c r="AH202" s="23">
        <v>9.5432600000000001</v>
      </c>
      <c r="AI202" s="23">
        <v>-1.5024299999999999</v>
      </c>
      <c r="AJ202" s="25">
        <v>0.67115041666666675</v>
      </c>
      <c r="AK202" s="25">
        <v>0.38376318968128265</v>
      </c>
      <c r="AL202" s="25">
        <v>0.21711262572577694</v>
      </c>
      <c r="AM202" s="25">
        <v>0.10797237237712226</v>
      </c>
      <c r="AN202" s="24">
        <v>1.633027547344601</v>
      </c>
      <c r="AO202" s="23">
        <v>-99</v>
      </c>
    </row>
    <row r="203" spans="1:41" x14ac:dyDescent="0.25"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1"/>
      <c r="Q203" s="5" t="s">
        <v>4</v>
      </c>
      <c r="R203" s="5" t="s">
        <v>3</v>
      </c>
      <c r="S203" s="17"/>
      <c r="T203">
        <v>2009033</v>
      </c>
      <c r="U203" t="s">
        <v>502</v>
      </c>
      <c r="V203">
        <v>5.7459999999999997E-2</v>
      </c>
      <c r="W203">
        <v>0.38363000000000003</v>
      </c>
      <c r="X203">
        <v>2.8250000000000001E-2</v>
      </c>
      <c r="Y203">
        <v>1.3557399999999999</v>
      </c>
      <c r="Z203">
        <v>21.981079999999999</v>
      </c>
      <c r="AA203">
        <v>11.281750000000001</v>
      </c>
      <c r="AB203">
        <v>-1.3553500000000001</v>
      </c>
      <c r="AC203" s="23">
        <v>5.4800000000000001E-2</v>
      </c>
      <c r="AD203" s="23">
        <v>0.37959999999999999</v>
      </c>
      <c r="AE203" s="23">
        <v>3.0689999999999999E-2</v>
      </c>
      <c r="AF203" s="23">
        <v>1.3780699999999999</v>
      </c>
      <c r="AG203" s="23">
        <v>28.546389999999999</v>
      </c>
      <c r="AH203" s="23">
        <v>13.16109</v>
      </c>
      <c r="AI203" s="23">
        <v>-1.3265199999999999</v>
      </c>
      <c r="AJ203" s="25">
        <v>1.1894329166666666</v>
      </c>
      <c r="AK203" s="25">
        <v>0.3788711708230772</v>
      </c>
      <c r="AL203" s="25">
        <v>0.18822297801543086</v>
      </c>
      <c r="AM203" s="25">
        <v>8.6771043359111316E-2</v>
      </c>
      <c r="AN203" s="24">
        <v>1.6459913973188454</v>
      </c>
      <c r="AO203" s="23">
        <v>-99</v>
      </c>
    </row>
    <row r="204" spans="1:41" x14ac:dyDescent="0.25">
      <c r="A204" s="4">
        <v>42</v>
      </c>
      <c r="B204">
        <v>30</v>
      </c>
      <c r="C204">
        <v>50</v>
      </c>
      <c r="D204">
        <v>20</v>
      </c>
      <c r="E204" s="3">
        <v>22</v>
      </c>
      <c r="F204" s="3">
        <f>1.8*E204+32</f>
        <v>71.599999999999994</v>
      </c>
      <c r="G204" s="3">
        <v>17</v>
      </c>
      <c r="H204" s="3">
        <f>IF(F204&gt;68,G204+(F204-68)*0.2,G352-(68-F204)*0.2)</f>
        <v>17.72</v>
      </c>
      <c r="I204" s="3">
        <v>22</v>
      </c>
      <c r="J204" s="3">
        <f>1.8*I204+32</f>
        <v>71.599999999999994</v>
      </c>
      <c r="K204" s="3">
        <v>8</v>
      </c>
      <c r="L204" s="3">
        <f>IF(J204&gt;67,K204+(J204-67)*0.2,K204-(67-J204)*0.2)</f>
        <v>8.9199999999999982</v>
      </c>
      <c r="M204" s="3">
        <f>(C204-H204)/C204*100</f>
        <v>64.56</v>
      </c>
      <c r="N204" s="3">
        <f>100-(M204+O204)</f>
        <v>17.599999999999994</v>
      </c>
      <c r="O204" s="3">
        <f>L204/C204*100</f>
        <v>17.839999999999996</v>
      </c>
      <c r="P204" s="1" t="s">
        <v>0</v>
      </c>
      <c r="Q204" s="15">
        <v>407547.788</v>
      </c>
      <c r="R204" s="15">
        <v>3659896.5</v>
      </c>
      <c r="S204" s="17"/>
      <c r="T204">
        <v>2009033</v>
      </c>
      <c r="U204" t="s">
        <v>501</v>
      </c>
      <c r="V204">
        <v>6.3350000000000004E-2</v>
      </c>
      <c r="W204">
        <v>0.38396000000000002</v>
      </c>
      <c r="X204">
        <v>2.7320000000000001E-2</v>
      </c>
      <c r="Y204">
        <v>1.3276600000000001</v>
      </c>
      <c r="Z204">
        <v>16.196940000000001</v>
      </c>
      <c r="AA204">
        <v>9.5807500000000001</v>
      </c>
      <c r="AB204">
        <v>-1.5115499999999999</v>
      </c>
      <c r="AC204" s="23">
        <v>5.2389999999999999E-2</v>
      </c>
      <c r="AD204" s="23">
        <v>0.37806000000000001</v>
      </c>
      <c r="AE204" s="23">
        <v>3.2140000000000002E-2</v>
      </c>
      <c r="AF204" s="23">
        <v>1.4292899999999999</v>
      </c>
      <c r="AG204" s="23">
        <v>38.93329</v>
      </c>
      <c r="AH204" s="23">
        <v>15.23728</v>
      </c>
      <c r="AI204" s="23">
        <v>-1.2055499999999999</v>
      </c>
      <c r="AJ204" s="25">
        <v>1.6222204166666667</v>
      </c>
      <c r="AK204" s="25">
        <v>0.37734472048098877</v>
      </c>
      <c r="AL204" s="25">
        <v>0.16893547285104843</v>
      </c>
      <c r="AM204" s="25">
        <v>7.5346979305854711E-2</v>
      </c>
      <c r="AN204" s="24">
        <v>1.6500364907253797</v>
      </c>
      <c r="AO204" s="23">
        <v>-99</v>
      </c>
    </row>
    <row r="205" spans="1:41" x14ac:dyDescent="0.25">
      <c r="A205" s="4">
        <v>42</v>
      </c>
      <c r="B205">
        <v>60</v>
      </c>
      <c r="C205">
        <v>50</v>
      </c>
      <c r="D205">
        <v>20</v>
      </c>
      <c r="E205" s="3">
        <v>25.5</v>
      </c>
      <c r="F205" s="3">
        <f>1.8*E205+32</f>
        <v>77.900000000000006</v>
      </c>
      <c r="G205" s="3">
        <v>21</v>
      </c>
      <c r="H205" s="3">
        <f>IF(F205&gt;68,G205+(F205-68)*0.2,G353-(68-F205)*0.2)</f>
        <v>22.98</v>
      </c>
      <c r="I205" s="3">
        <v>23</v>
      </c>
      <c r="J205" s="3">
        <f>1.8*I205+32</f>
        <v>73.400000000000006</v>
      </c>
      <c r="K205" s="3">
        <v>10</v>
      </c>
      <c r="L205" s="3">
        <f>IF(J205&gt;67,K205+(J205-67)*0.2,K205-(67-J205)*0.2)</f>
        <v>11.280000000000001</v>
      </c>
      <c r="M205" s="3">
        <f>(C205-H205)/C205*100</f>
        <v>54.04</v>
      </c>
      <c r="N205" s="3">
        <f>100-(M205+O205)</f>
        <v>23.400000000000006</v>
      </c>
      <c r="O205" s="3">
        <f>L205/C205*100</f>
        <v>22.560000000000002</v>
      </c>
      <c r="P205" s="1" t="s">
        <v>2</v>
      </c>
      <c r="Q205" s="15">
        <v>407547.788</v>
      </c>
      <c r="R205" s="15">
        <v>3659896.5</v>
      </c>
      <c r="S205" s="17"/>
      <c r="T205">
        <v>2009033</v>
      </c>
      <c r="U205" t="s">
        <v>500</v>
      </c>
      <c r="V205">
        <v>6.3380000000000006E-2</v>
      </c>
      <c r="W205">
        <v>0.38441999999999998</v>
      </c>
      <c r="X205">
        <v>2.7179999999999999E-2</v>
      </c>
      <c r="Y205">
        <v>1.3284100000000001</v>
      </c>
      <c r="Z205">
        <v>16.107610000000001</v>
      </c>
      <c r="AA205">
        <v>9.5432600000000001</v>
      </c>
      <c r="AB205">
        <v>-1.5024299999999999</v>
      </c>
      <c r="AC205" s="23">
        <v>5.0860000000000002E-2</v>
      </c>
      <c r="AD205" s="23">
        <v>0.38114999999999999</v>
      </c>
      <c r="AE205" s="23">
        <v>3.2030000000000003E-2</v>
      </c>
      <c r="AF205" s="23">
        <v>1.39707</v>
      </c>
      <c r="AG205" s="23">
        <v>34.569600000000001</v>
      </c>
      <c r="AH205" s="23">
        <v>15.16778</v>
      </c>
      <c r="AI205" s="23">
        <v>-1.2527600000000001</v>
      </c>
      <c r="AJ205" s="25">
        <v>1.4404000000000001</v>
      </c>
      <c r="AK205" s="25">
        <v>0.3803871609197273</v>
      </c>
      <c r="AL205" s="25">
        <v>0.17858230146482801</v>
      </c>
      <c r="AM205" s="25">
        <v>7.9309277863346572E-2</v>
      </c>
      <c r="AN205" s="24">
        <v>1.6419740235627225</v>
      </c>
      <c r="AO205" s="23">
        <v>-99</v>
      </c>
    </row>
    <row r="206" spans="1:41" x14ac:dyDescent="0.25">
      <c r="A206" s="4">
        <v>42</v>
      </c>
      <c r="B206">
        <v>90</v>
      </c>
      <c r="C206">
        <v>50</v>
      </c>
      <c r="D206">
        <v>20</v>
      </c>
      <c r="E206" s="3">
        <v>25.5</v>
      </c>
      <c r="F206" s="3">
        <f>1.8*E206+32</f>
        <v>77.900000000000006</v>
      </c>
      <c r="G206" s="3">
        <v>19</v>
      </c>
      <c r="H206" s="3">
        <f>IF(F206&gt;68,G206+(F206-68)*0.2,G354-(68-F206)*0.2)</f>
        <v>20.98</v>
      </c>
      <c r="I206" s="3">
        <v>23</v>
      </c>
      <c r="J206" s="3">
        <f>1.8*I206+32</f>
        <v>73.400000000000006</v>
      </c>
      <c r="K206" s="3">
        <v>9</v>
      </c>
      <c r="L206" s="3">
        <f>IF(J206&gt;67,K206+(J206-67)*0.2,K206-(67-J206)*0.2)</f>
        <v>10.280000000000001</v>
      </c>
      <c r="M206" s="3">
        <f>(C206-H206)/C206*100</f>
        <v>58.040000000000006</v>
      </c>
      <c r="N206" s="3">
        <f>100-(M206+O206)</f>
        <v>21.399999999999991</v>
      </c>
      <c r="O206" s="3">
        <f>L206/C206*100</f>
        <v>20.560000000000002</v>
      </c>
      <c r="P206" s="1" t="s">
        <v>2</v>
      </c>
      <c r="Q206" s="15">
        <v>407547.788</v>
      </c>
      <c r="R206" s="15">
        <v>3659896.5</v>
      </c>
      <c r="S206" s="17"/>
      <c r="T206">
        <v>2009033</v>
      </c>
      <c r="U206" t="s">
        <v>499</v>
      </c>
      <c r="V206">
        <v>5.4800000000000001E-2</v>
      </c>
      <c r="W206">
        <v>0.37959999999999999</v>
      </c>
      <c r="X206">
        <v>3.0689999999999999E-2</v>
      </c>
      <c r="Y206">
        <v>1.3780699999999999</v>
      </c>
      <c r="Z206">
        <v>28.546389999999999</v>
      </c>
      <c r="AA206">
        <v>13.16109</v>
      </c>
      <c r="AB206">
        <v>-1.3265199999999999</v>
      </c>
      <c r="AC206" s="23">
        <v>5.7140000000000003E-2</v>
      </c>
      <c r="AD206" s="23">
        <v>0.37992999999999999</v>
      </c>
      <c r="AE206" s="23">
        <v>2.9700000000000001E-2</v>
      </c>
      <c r="AF206" s="23">
        <v>1.3605100000000001</v>
      </c>
      <c r="AG206" s="23">
        <v>24.229610000000001</v>
      </c>
      <c r="AH206" s="23">
        <v>11.96278</v>
      </c>
      <c r="AI206" s="23">
        <v>-1.3863000000000001</v>
      </c>
      <c r="AJ206" s="25">
        <v>1.0095670833333334</v>
      </c>
      <c r="AK206" s="25">
        <v>0.37921875748068085</v>
      </c>
      <c r="AL206" s="25">
        <v>0.19682708030501636</v>
      </c>
      <c r="AM206" s="25">
        <v>9.2945960814808173E-2</v>
      </c>
      <c r="AN206" s="24">
        <v>1.6450702926761955</v>
      </c>
      <c r="AO206" s="23">
        <v>-99</v>
      </c>
    </row>
    <row r="207" spans="1:41" x14ac:dyDescent="0.25">
      <c r="A207" s="4">
        <v>42</v>
      </c>
      <c r="B207">
        <v>120</v>
      </c>
      <c r="C207">
        <v>50</v>
      </c>
      <c r="D207">
        <v>20</v>
      </c>
      <c r="E207" s="3">
        <v>25.5</v>
      </c>
      <c r="F207" s="3">
        <f>1.8*E207+32</f>
        <v>77.900000000000006</v>
      </c>
      <c r="G207" s="3">
        <v>23</v>
      </c>
      <c r="H207" s="3">
        <f>IF(F207&gt;68,G207+(F207-68)*0.2,G355-(68-F207)*0.2)</f>
        <v>24.98</v>
      </c>
      <c r="I207" s="3">
        <v>23</v>
      </c>
      <c r="J207" s="3">
        <f>1.8*I207+32</f>
        <v>73.400000000000006</v>
      </c>
      <c r="K207" s="3">
        <v>13</v>
      </c>
      <c r="L207" s="3">
        <f>IF(J207&gt;67,K207+(J207-67)*0.2,K207-(67-J207)*0.2)</f>
        <v>14.280000000000001</v>
      </c>
      <c r="M207" s="3">
        <f>(C207-H207)/C207*100</f>
        <v>50.039999999999992</v>
      </c>
      <c r="N207" s="3">
        <f>100-(M207+O207)</f>
        <v>21.400000000000006</v>
      </c>
      <c r="O207" s="3">
        <f>L207/C207*100</f>
        <v>28.560000000000002</v>
      </c>
      <c r="P207" s="1" t="s">
        <v>2</v>
      </c>
      <c r="Q207" s="15">
        <v>407547.788</v>
      </c>
      <c r="R207" s="15">
        <v>3659896.5</v>
      </c>
      <c r="T207">
        <v>2009033</v>
      </c>
      <c r="U207" t="s">
        <v>498</v>
      </c>
      <c r="V207">
        <v>5.2389999999999999E-2</v>
      </c>
      <c r="W207">
        <v>0.37806000000000001</v>
      </c>
      <c r="X207">
        <v>3.2140000000000002E-2</v>
      </c>
      <c r="Y207">
        <v>1.4292899999999999</v>
      </c>
      <c r="Z207">
        <v>38.93329</v>
      </c>
      <c r="AA207">
        <v>15.23728</v>
      </c>
      <c r="AB207">
        <v>-1.2055499999999999</v>
      </c>
      <c r="AC207" s="23">
        <v>6.2899999999999998E-2</v>
      </c>
      <c r="AD207" s="23">
        <v>0.38452999999999998</v>
      </c>
      <c r="AE207" s="23">
        <v>2.7179999999999999E-2</v>
      </c>
      <c r="AF207" s="23">
        <v>1.3312999999999999</v>
      </c>
      <c r="AG207" s="23">
        <v>16.492039999999999</v>
      </c>
      <c r="AH207" s="23">
        <v>9.6510300000000004</v>
      </c>
      <c r="AI207" s="23">
        <v>-1.48289</v>
      </c>
      <c r="AJ207" s="25">
        <v>0.68716833333333327</v>
      </c>
      <c r="AK207" s="25">
        <v>0.38387446800294084</v>
      </c>
      <c r="AL207" s="25">
        <v>0.21593700103676672</v>
      </c>
      <c r="AM207" s="25">
        <v>0.10680505136058258</v>
      </c>
      <c r="AN207" s="24">
        <v>1.6327326597922065</v>
      </c>
      <c r="AO207" s="23">
        <v>-99</v>
      </c>
    </row>
    <row r="208" spans="1:41" x14ac:dyDescent="0.25">
      <c r="A208" s="4">
        <v>42</v>
      </c>
      <c r="B208">
        <v>150</v>
      </c>
      <c r="C208">
        <v>50</v>
      </c>
      <c r="D208">
        <v>20</v>
      </c>
      <c r="E208" s="3">
        <v>26</v>
      </c>
      <c r="F208" s="3">
        <f>1.8*E208+32</f>
        <v>78.800000000000011</v>
      </c>
      <c r="G208" s="3">
        <v>16</v>
      </c>
      <c r="H208" s="3">
        <f>IF(F208&gt;68,G208+(F208-68)*0.2,G356-(68-F208)*0.2)</f>
        <v>18.160000000000004</v>
      </c>
      <c r="I208" s="3">
        <v>23</v>
      </c>
      <c r="J208" s="3">
        <f>1.8*I208+32</f>
        <v>73.400000000000006</v>
      </c>
      <c r="K208" s="3">
        <v>9</v>
      </c>
      <c r="L208" s="3">
        <f>IF(J208&gt;67,K208+(J208-67)*0.2,K208-(67-J208)*0.2)</f>
        <v>10.280000000000001</v>
      </c>
      <c r="M208" s="3">
        <f>(C208-H208)/C208*100</f>
        <v>63.679999999999993</v>
      </c>
      <c r="N208" s="3">
        <f>100-(M208+O208)</f>
        <v>15.760000000000005</v>
      </c>
      <c r="O208" s="3">
        <f>L208/C208*100</f>
        <v>20.560000000000002</v>
      </c>
      <c r="P208" s="1" t="s">
        <v>2</v>
      </c>
      <c r="Q208" s="15">
        <v>407547.788</v>
      </c>
      <c r="R208" s="15">
        <v>3659896.5</v>
      </c>
      <c r="T208">
        <v>2009033</v>
      </c>
      <c r="U208" t="s">
        <v>497</v>
      </c>
      <c r="V208">
        <v>5.0860000000000002E-2</v>
      </c>
      <c r="W208">
        <v>0.38114999999999999</v>
      </c>
      <c r="X208">
        <v>3.2030000000000003E-2</v>
      </c>
      <c r="Y208">
        <v>1.39707</v>
      </c>
      <c r="Z208">
        <v>34.569600000000001</v>
      </c>
      <c r="AA208">
        <v>15.16778</v>
      </c>
      <c r="AB208">
        <v>-1.2527600000000001</v>
      </c>
      <c r="AC208" s="23">
        <v>6.2899999999999998E-2</v>
      </c>
      <c r="AD208" s="23">
        <v>0.38452999999999998</v>
      </c>
      <c r="AE208" s="23">
        <v>2.7179999999999999E-2</v>
      </c>
      <c r="AF208" s="23">
        <v>1.3312999999999999</v>
      </c>
      <c r="AG208" s="23">
        <v>16.492039999999999</v>
      </c>
      <c r="AH208" s="23">
        <v>9.6510300000000004</v>
      </c>
      <c r="AI208" s="23">
        <v>-1.48289</v>
      </c>
      <c r="AJ208" s="25">
        <v>0.68716833333333327</v>
      </c>
      <c r="AK208" s="25">
        <v>0.38387446800294084</v>
      </c>
      <c r="AL208" s="25">
        <v>0.21593700103676672</v>
      </c>
      <c r="AM208" s="25">
        <v>0.10680505136058258</v>
      </c>
      <c r="AN208" s="24">
        <v>1.6327326597922065</v>
      </c>
      <c r="AO208" s="23">
        <v>-99</v>
      </c>
    </row>
    <row r="209" spans="1:41" x14ac:dyDescent="0.25">
      <c r="A209" s="4">
        <v>42</v>
      </c>
      <c r="B209">
        <v>180</v>
      </c>
      <c r="C209">
        <v>50</v>
      </c>
      <c r="D209">
        <v>20</v>
      </c>
      <c r="E209" s="3">
        <v>26</v>
      </c>
      <c r="F209" s="3">
        <f>1.8*E209+32</f>
        <v>78.800000000000011</v>
      </c>
      <c r="G209" s="3">
        <v>15</v>
      </c>
      <c r="H209" s="3">
        <f>IF(F209&gt;68,G209+(F209-68)*0.2,G357-(68-F209)*0.2)</f>
        <v>17.160000000000004</v>
      </c>
      <c r="I209" s="3">
        <v>23</v>
      </c>
      <c r="J209" s="3">
        <f>1.8*I209+32</f>
        <v>73.400000000000006</v>
      </c>
      <c r="K209" s="3">
        <v>7</v>
      </c>
      <c r="L209" s="3">
        <f>IF(J209&gt;67,K209+(J209-67)*0.2,K209-(67-J209)*0.2)</f>
        <v>8.2800000000000011</v>
      </c>
      <c r="M209" s="3">
        <f>(C209-H209)/C209*100</f>
        <v>65.679999999999993</v>
      </c>
      <c r="N209" s="3">
        <f>100-(M209+O209)</f>
        <v>17.760000000000005</v>
      </c>
      <c r="O209" s="3">
        <f>L209/C209*100</f>
        <v>16.560000000000002</v>
      </c>
      <c r="P209" s="1" t="s">
        <v>0</v>
      </c>
      <c r="Q209" s="15">
        <v>407547.788</v>
      </c>
      <c r="R209" s="15">
        <v>3659896.5</v>
      </c>
      <c r="T209">
        <v>2009033</v>
      </c>
      <c r="U209" t="s">
        <v>496</v>
      </c>
      <c r="V209">
        <v>5.7140000000000003E-2</v>
      </c>
      <c r="W209">
        <v>0.37992999999999999</v>
      </c>
      <c r="X209">
        <v>2.9700000000000001E-2</v>
      </c>
      <c r="Y209">
        <v>1.3605100000000001</v>
      </c>
      <c r="Z209">
        <v>24.229610000000001</v>
      </c>
      <c r="AA209">
        <v>11.96278</v>
      </c>
      <c r="AB209">
        <v>-1.3863000000000001</v>
      </c>
      <c r="AC209" s="23">
        <v>5.1639999999999998E-2</v>
      </c>
      <c r="AD209" s="23">
        <v>0.37939000000000001</v>
      </c>
      <c r="AE209" s="23">
        <v>3.2329999999999998E-2</v>
      </c>
      <c r="AF209" s="23">
        <v>1.4133199999999999</v>
      </c>
      <c r="AG209" s="23">
        <v>37.030670000000001</v>
      </c>
      <c r="AH209" s="23">
        <v>15.34488</v>
      </c>
      <c r="AI209" s="23">
        <v>-1.2324900000000001</v>
      </c>
      <c r="AJ209" s="25">
        <v>1.5429445833333333</v>
      </c>
      <c r="AK209" s="25">
        <v>0.37864355908320335</v>
      </c>
      <c r="AL209" s="25">
        <v>0.17315588238155258</v>
      </c>
      <c r="AM209" s="25">
        <v>7.7077246913698841E-2</v>
      </c>
      <c r="AN209" s="24">
        <v>1.6465945684295111</v>
      </c>
      <c r="AO209" s="23">
        <v>-99</v>
      </c>
    </row>
    <row r="210" spans="1:41" x14ac:dyDescent="0.25">
      <c r="T210">
        <v>2009033</v>
      </c>
      <c r="U210" t="s">
        <v>495</v>
      </c>
      <c r="V210">
        <v>6.2899999999999998E-2</v>
      </c>
      <c r="W210">
        <v>0.38452999999999998</v>
      </c>
      <c r="X210">
        <v>2.7179999999999999E-2</v>
      </c>
      <c r="Y210">
        <v>1.3312999999999999</v>
      </c>
      <c r="Z210">
        <v>16.492039999999999</v>
      </c>
      <c r="AA210">
        <v>9.6510300000000004</v>
      </c>
      <c r="AB210">
        <v>-1.48289</v>
      </c>
      <c r="AC210" s="23">
        <v>5.4420000000000003E-2</v>
      </c>
      <c r="AD210" s="23">
        <v>0.37552000000000002</v>
      </c>
      <c r="AE210" s="23">
        <v>3.091E-2</v>
      </c>
      <c r="AF210" s="23">
        <v>1.45645</v>
      </c>
      <c r="AG210" s="23">
        <v>40.4343</v>
      </c>
      <c r="AH210" s="23">
        <v>14.27969</v>
      </c>
      <c r="AI210" s="23">
        <v>-1.1607700000000001</v>
      </c>
      <c r="AJ210" s="25">
        <v>1.6847624999999999</v>
      </c>
      <c r="AK210" s="25">
        <v>0.37488635733393999</v>
      </c>
      <c r="AL210" s="25">
        <v>0.16406217686713565</v>
      </c>
      <c r="AM210" s="25">
        <v>7.3902287539589689E-2</v>
      </c>
      <c r="AN210" s="24">
        <v>1.6565511530650587</v>
      </c>
      <c r="AO210" s="23">
        <v>-99</v>
      </c>
    </row>
    <row r="211" spans="1:41" ht="51.75" x14ac:dyDescent="0.25">
      <c r="A211" s="14" t="s">
        <v>21</v>
      </c>
      <c r="B211" s="9" t="s">
        <v>20</v>
      </c>
      <c r="C211" s="13" t="s">
        <v>19</v>
      </c>
      <c r="D211" s="12" t="s">
        <v>18</v>
      </c>
      <c r="E211" s="11" t="s">
        <v>17</v>
      </c>
      <c r="F211" s="11" t="s">
        <v>16</v>
      </c>
      <c r="G211" s="11" t="s">
        <v>15</v>
      </c>
      <c r="H211" s="11" t="s">
        <v>14</v>
      </c>
      <c r="I211" s="11" t="s">
        <v>13</v>
      </c>
      <c r="J211" s="11" t="s">
        <v>12</v>
      </c>
      <c r="K211" s="11" t="s">
        <v>11</v>
      </c>
      <c r="L211" s="11" t="s">
        <v>10</v>
      </c>
      <c r="M211" s="10" t="s">
        <v>9</v>
      </c>
      <c r="N211" s="10" t="s">
        <v>8</v>
      </c>
      <c r="O211" s="10" t="s">
        <v>7</v>
      </c>
      <c r="P211" s="9" t="s">
        <v>6</v>
      </c>
      <c r="Q211" s="19" t="s">
        <v>5</v>
      </c>
      <c r="R211" s="19"/>
      <c r="T211">
        <v>2009033</v>
      </c>
      <c r="U211" t="s">
        <v>494</v>
      </c>
      <c r="V211">
        <v>6.2899999999999998E-2</v>
      </c>
      <c r="W211">
        <v>0.38452999999999998</v>
      </c>
      <c r="X211">
        <v>2.7179999999999999E-2</v>
      </c>
      <c r="Y211">
        <v>1.3312999999999999</v>
      </c>
      <c r="Z211">
        <v>16.492039999999999</v>
      </c>
      <c r="AA211">
        <v>9.6510300000000004</v>
      </c>
      <c r="AB211">
        <v>-1.48289</v>
      </c>
      <c r="AC211" s="23">
        <v>5.4179999999999999E-2</v>
      </c>
      <c r="AD211" s="23">
        <v>0.37586000000000003</v>
      </c>
      <c r="AE211" s="23">
        <v>3.109E-2</v>
      </c>
      <c r="AF211" s="23">
        <v>1.4511000000000001</v>
      </c>
      <c r="AG211" s="23">
        <v>39.988529999999997</v>
      </c>
      <c r="AH211" s="23">
        <v>14.38833</v>
      </c>
      <c r="AI211" s="23">
        <v>-1.16974</v>
      </c>
      <c r="AJ211" s="25">
        <v>1.6661887499999999</v>
      </c>
      <c r="AK211" s="25">
        <v>0.37521315877337397</v>
      </c>
      <c r="AL211" s="25">
        <v>0.16511266639086081</v>
      </c>
      <c r="AM211" s="25">
        <v>7.4296386995686164E-2</v>
      </c>
      <c r="AN211" s="24">
        <v>1.6556851292505588</v>
      </c>
      <c r="AO211" s="23">
        <v>-99</v>
      </c>
    </row>
    <row r="212" spans="1:41" x14ac:dyDescent="0.25"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"/>
      <c r="Q212" s="5" t="s">
        <v>4</v>
      </c>
      <c r="R212" s="5" t="s">
        <v>3</v>
      </c>
      <c r="T212">
        <v>2009033</v>
      </c>
      <c r="U212" t="s">
        <v>493</v>
      </c>
      <c r="V212">
        <v>5.1639999999999998E-2</v>
      </c>
      <c r="W212">
        <v>0.37939000000000001</v>
      </c>
      <c r="X212">
        <v>3.2329999999999998E-2</v>
      </c>
      <c r="Y212">
        <v>1.4133199999999999</v>
      </c>
      <c r="Z212">
        <v>37.030670000000001</v>
      </c>
      <c r="AA212">
        <v>15.34488</v>
      </c>
      <c r="AB212">
        <v>-1.2324900000000001</v>
      </c>
      <c r="AC212" s="23">
        <v>5.4179999999999999E-2</v>
      </c>
      <c r="AD212" s="23">
        <v>0.37586000000000003</v>
      </c>
      <c r="AE212" s="23">
        <v>3.109E-2</v>
      </c>
      <c r="AF212" s="23">
        <v>1.4511000000000001</v>
      </c>
      <c r="AG212" s="23">
        <v>39.988529999999997</v>
      </c>
      <c r="AH212" s="23">
        <v>14.38833</v>
      </c>
      <c r="AI212" s="23">
        <v>-1.16974</v>
      </c>
      <c r="AJ212" s="25">
        <v>1.6661887499999999</v>
      </c>
      <c r="AK212" s="25">
        <v>0.37521315877337397</v>
      </c>
      <c r="AL212" s="25">
        <v>0.16511266639086081</v>
      </c>
      <c r="AM212" s="25">
        <v>7.4296386995686164E-2</v>
      </c>
      <c r="AN212" s="24">
        <v>1.6556851292505588</v>
      </c>
      <c r="AO212" s="23">
        <v>-99</v>
      </c>
    </row>
    <row r="213" spans="1:41" x14ac:dyDescent="0.25">
      <c r="A213" s="4">
        <v>43</v>
      </c>
      <c r="B213">
        <v>30</v>
      </c>
      <c r="C213">
        <v>50</v>
      </c>
      <c r="D213">
        <v>20</v>
      </c>
      <c r="E213" s="3">
        <v>25</v>
      </c>
      <c r="F213" s="3">
        <f>1.8*E213+32</f>
        <v>77</v>
      </c>
      <c r="G213" s="3">
        <v>14</v>
      </c>
      <c r="H213" s="3">
        <f>IF(F213&gt;68,G213+(F213-68)*0.2,G361-(68-F213)*0.2)</f>
        <v>15.8</v>
      </c>
      <c r="I213" s="3">
        <v>22</v>
      </c>
      <c r="J213" s="3">
        <f>1.8*I213+32</f>
        <v>71.599999999999994</v>
      </c>
      <c r="K213" s="3">
        <v>7</v>
      </c>
      <c r="L213" s="3">
        <f>IF(J213&gt;67,K213+(J213-67)*0.2,K213-(67-J213)*0.2)</f>
        <v>7.919999999999999</v>
      </c>
      <c r="M213" s="3">
        <f>(C213-H213)/C213*100</f>
        <v>68.400000000000006</v>
      </c>
      <c r="N213" s="3">
        <f>100-(M213+O213)</f>
        <v>15.759999999999991</v>
      </c>
      <c r="O213" s="3">
        <f>L213/C213*100</f>
        <v>15.839999999999998</v>
      </c>
      <c r="P213" s="1" t="s">
        <v>0</v>
      </c>
      <c r="Q213" s="15">
        <v>407547.788</v>
      </c>
      <c r="R213" s="15">
        <v>3659923</v>
      </c>
      <c r="T213">
        <v>2009033</v>
      </c>
      <c r="U213" t="s">
        <v>492</v>
      </c>
      <c r="V213">
        <v>5.4420000000000003E-2</v>
      </c>
      <c r="W213">
        <v>0.37552000000000002</v>
      </c>
      <c r="X213">
        <v>3.091E-2</v>
      </c>
      <c r="Y213">
        <v>1.45645</v>
      </c>
      <c r="Z213">
        <v>40.4343</v>
      </c>
      <c r="AA213">
        <v>14.27969</v>
      </c>
      <c r="AB213">
        <v>-1.1607700000000001</v>
      </c>
      <c r="AC213" s="23">
        <v>4.9520000000000002E-2</v>
      </c>
      <c r="AD213" s="23">
        <v>0.38353999999999999</v>
      </c>
      <c r="AE213" s="23">
        <v>3.0669999999999999E-2</v>
      </c>
      <c r="AF213" s="23">
        <v>1.3874899999999999</v>
      </c>
      <c r="AG213" s="23">
        <v>32.38673</v>
      </c>
      <c r="AH213" s="23">
        <v>14.61585</v>
      </c>
      <c r="AI213" s="23">
        <v>-1.2253700000000001</v>
      </c>
      <c r="AJ213" s="25">
        <v>1.3494470833333334</v>
      </c>
      <c r="AK213" s="25">
        <v>0.38280220953193345</v>
      </c>
      <c r="AL213" s="25">
        <v>0.18379681863618799</v>
      </c>
      <c r="AM213" s="25">
        <v>8.0561139049834085E-2</v>
      </c>
      <c r="AN213" s="24">
        <v>1.6355741447403762</v>
      </c>
      <c r="AO213" s="23">
        <v>-99</v>
      </c>
    </row>
    <row r="214" spans="1:41" x14ac:dyDescent="0.25">
      <c r="A214" s="4">
        <v>43</v>
      </c>
      <c r="B214">
        <v>60</v>
      </c>
      <c r="C214">
        <v>50</v>
      </c>
      <c r="D214">
        <v>20</v>
      </c>
      <c r="E214" s="3">
        <v>25.5</v>
      </c>
      <c r="F214" s="3">
        <f>1.8*E214+32</f>
        <v>77.900000000000006</v>
      </c>
      <c r="G214" s="3">
        <v>11</v>
      </c>
      <c r="H214" s="3">
        <f>IF(F214&gt;68,G214+(F214-68)*0.2,G362-(68-F214)*0.2)</f>
        <v>12.98</v>
      </c>
      <c r="I214" s="3">
        <v>22.5</v>
      </c>
      <c r="J214" s="3">
        <f>1.8*I214+32</f>
        <v>72.5</v>
      </c>
      <c r="K214" s="3">
        <v>6</v>
      </c>
      <c r="L214" s="3">
        <f>IF(J214&gt;67,K214+(J214-67)*0.2,K214-(67-J214)*0.2)</f>
        <v>7.1</v>
      </c>
      <c r="M214" s="3">
        <f>(C214-H214)/C214*100</f>
        <v>74.039999999999992</v>
      </c>
      <c r="N214" s="3">
        <f>100-(M214+O214)</f>
        <v>11.760000000000005</v>
      </c>
      <c r="O214" s="3">
        <f>L214/C214*100</f>
        <v>14.2</v>
      </c>
      <c r="P214" s="1" t="s">
        <v>0</v>
      </c>
      <c r="Q214" s="15">
        <v>407547.788</v>
      </c>
      <c r="R214" s="15">
        <v>3659923</v>
      </c>
      <c r="T214">
        <v>2009033</v>
      </c>
      <c r="U214" t="s">
        <v>491</v>
      </c>
      <c r="V214">
        <v>5.4179999999999999E-2</v>
      </c>
      <c r="W214">
        <v>0.37586000000000003</v>
      </c>
      <c r="X214">
        <v>3.109E-2</v>
      </c>
      <c r="Y214">
        <v>1.4511000000000001</v>
      </c>
      <c r="Z214">
        <v>39.988529999999997</v>
      </c>
      <c r="AA214">
        <v>14.38833</v>
      </c>
      <c r="AB214">
        <v>-1.16974</v>
      </c>
      <c r="AC214" s="23">
        <v>5.7419999999999999E-2</v>
      </c>
      <c r="AD214" s="23">
        <v>0.39237</v>
      </c>
      <c r="AE214" s="23">
        <v>1.9970000000000002E-2</v>
      </c>
      <c r="AF214" s="23">
        <v>1.3970899999999999</v>
      </c>
      <c r="AG214" s="23">
        <v>17.272960000000001</v>
      </c>
      <c r="AH214" s="23">
        <v>7.7914599999999998</v>
      </c>
      <c r="AI214" s="23">
        <v>-0.93049000000000004</v>
      </c>
      <c r="AJ214" s="25">
        <v>0.71970666666666672</v>
      </c>
      <c r="AK214" s="25">
        <v>0.39196918435485062</v>
      </c>
      <c r="AL214" s="25">
        <v>0.21222816561986194</v>
      </c>
      <c r="AM214" s="25">
        <v>9.2218135147681041E-2</v>
      </c>
      <c r="AN214" s="24">
        <v>1.6112816614596459</v>
      </c>
      <c r="AO214" s="23">
        <v>-99</v>
      </c>
    </row>
    <row r="215" spans="1:41" x14ac:dyDescent="0.25">
      <c r="A215" s="4">
        <v>43</v>
      </c>
      <c r="B215">
        <v>90</v>
      </c>
      <c r="C215">
        <v>50</v>
      </c>
      <c r="D215">
        <v>20</v>
      </c>
      <c r="E215" s="3">
        <v>26</v>
      </c>
      <c r="F215" s="3">
        <f>1.8*E215+32</f>
        <v>78.800000000000011</v>
      </c>
      <c r="G215" s="3">
        <v>11</v>
      </c>
      <c r="H215" s="3">
        <f>IF(F215&gt;68,G215+(F215-68)*0.2,G363-(68-F215)*0.2)</f>
        <v>13.160000000000002</v>
      </c>
      <c r="I215" s="3">
        <v>23</v>
      </c>
      <c r="J215" s="3">
        <f>1.8*I215+32</f>
        <v>73.400000000000006</v>
      </c>
      <c r="K215" s="3">
        <v>4</v>
      </c>
      <c r="L215" s="3">
        <f>IF(J215&gt;67,K215+(J215-67)*0.2,K215-(67-J215)*0.2)</f>
        <v>5.2800000000000011</v>
      </c>
      <c r="M215" s="3">
        <f>(C215-H215)/C215*100</f>
        <v>73.679999999999993</v>
      </c>
      <c r="N215" s="3">
        <f>100-(M215+O215)</f>
        <v>15.760000000000005</v>
      </c>
      <c r="O215" s="3">
        <f>L215/C215*100</f>
        <v>10.560000000000002</v>
      </c>
      <c r="P215" s="1" t="s">
        <v>0</v>
      </c>
      <c r="Q215" s="15">
        <v>407547.788</v>
      </c>
      <c r="R215" s="15">
        <v>3659923</v>
      </c>
      <c r="T215">
        <v>2009033</v>
      </c>
      <c r="U215" t="s">
        <v>490</v>
      </c>
      <c r="V215">
        <v>5.4179999999999999E-2</v>
      </c>
      <c r="W215">
        <v>0.37586000000000003</v>
      </c>
      <c r="X215">
        <v>3.109E-2</v>
      </c>
      <c r="Y215">
        <v>1.4511000000000001</v>
      </c>
      <c r="Z215">
        <v>39.988529999999997</v>
      </c>
      <c r="AA215">
        <v>14.38833</v>
      </c>
      <c r="AB215">
        <v>-1.16974</v>
      </c>
      <c r="AC215" s="23">
        <v>6.3399999999999998E-2</v>
      </c>
      <c r="AD215" s="23">
        <v>0.39229999999999998</v>
      </c>
      <c r="AE215" s="23">
        <v>2.3140000000000001E-2</v>
      </c>
      <c r="AF215" s="23">
        <v>1.35747</v>
      </c>
      <c r="AG215" s="23">
        <v>14.44266</v>
      </c>
      <c r="AH215" s="23">
        <v>8.2873699999999992</v>
      </c>
      <c r="AI215" s="23">
        <v>-1.22271</v>
      </c>
      <c r="AJ215" s="25">
        <v>0.60177749999999997</v>
      </c>
      <c r="AK215" s="25">
        <v>0.39178048493198414</v>
      </c>
      <c r="AL215" s="25">
        <v>0.21939787806237526</v>
      </c>
      <c r="AM215" s="25">
        <v>0.10403374584194942</v>
      </c>
      <c r="AN215" s="24">
        <v>1.611781714930242</v>
      </c>
      <c r="AO215" s="23">
        <v>-99</v>
      </c>
    </row>
    <row r="216" spans="1:41" x14ac:dyDescent="0.25">
      <c r="A216" s="4">
        <v>43</v>
      </c>
      <c r="B216">
        <v>120</v>
      </c>
      <c r="C216">
        <v>50</v>
      </c>
      <c r="D216">
        <v>20</v>
      </c>
      <c r="E216" s="3">
        <v>26</v>
      </c>
      <c r="F216" s="3">
        <f>1.8*E216+32</f>
        <v>78.800000000000011</v>
      </c>
      <c r="G216" s="3">
        <v>38</v>
      </c>
      <c r="H216" s="3">
        <f>IF(F216&gt;68,G216+(F216-68)*0.2,G364-(68-F216)*0.2)</f>
        <v>40.160000000000004</v>
      </c>
      <c r="I216" s="3">
        <v>23</v>
      </c>
      <c r="J216" s="3">
        <f>1.8*I216+32</f>
        <v>73.400000000000006</v>
      </c>
      <c r="K216" s="3">
        <v>21</v>
      </c>
      <c r="L216" s="3">
        <f>IF(J216&gt;67,K216+(J216-67)*0.2,K216-(67-J216)*0.2)</f>
        <v>22.28</v>
      </c>
      <c r="M216" s="3">
        <f>(C216-H216)/C216*100</f>
        <v>19.679999999999993</v>
      </c>
      <c r="N216" s="3">
        <f>100-(M216+O216)</f>
        <v>35.760000000000005</v>
      </c>
      <c r="O216" s="3">
        <f>L216/C216*100</f>
        <v>44.56</v>
      </c>
      <c r="P216" s="1" t="s">
        <v>489</v>
      </c>
      <c r="Q216" s="15">
        <v>407547.788</v>
      </c>
      <c r="R216" s="15">
        <v>3659923</v>
      </c>
      <c r="T216">
        <v>2009033</v>
      </c>
      <c r="U216" t="s">
        <v>488</v>
      </c>
      <c r="V216">
        <v>4.9520000000000002E-2</v>
      </c>
      <c r="W216">
        <v>0.38353999999999999</v>
      </c>
      <c r="X216">
        <v>3.0669999999999999E-2</v>
      </c>
      <c r="Y216">
        <v>1.3874899999999999</v>
      </c>
      <c r="Z216">
        <v>32.38673</v>
      </c>
      <c r="AA216">
        <v>14.61585</v>
      </c>
      <c r="AB216">
        <v>-1.2253700000000001</v>
      </c>
      <c r="AC216" s="23">
        <v>6.2359999999999999E-2</v>
      </c>
      <c r="AD216" s="23">
        <v>0.38466</v>
      </c>
      <c r="AE216" s="23">
        <v>2.7179999999999999E-2</v>
      </c>
      <c r="AF216" s="23">
        <v>1.3344800000000001</v>
      </c>
      <c r="AG216" s="23">
        <v>16.93516</v>
      </c>
      <c r="AH216" s="23">
        <v>9.7721999999999998</v>
      </c>
      <c r="AI216" s="23">
        <v>-1.46166</v>
      </c>
      <c r="AJ216" s="25">
        <v>0.70563166666666666</v>
      </c>
      <c r="AK216" s="25">
        <v>0.3840058862742235</v>
      </c>
      <c r="AL216" s="25">
        <v>0.21464460779674863</v>
      </c>
      <c r="AM216" s="25">
        <v>0.10552361303798077</v>
      </c>
      <c r="AN216" s="24">
        <v>1.6323844013733078</v>
      </c>
      <c r="AO216" s="23">
        <v>-99</v>
      </c>
    </row>
    <row r="217" spans="1:41" x14ac:dyDescent="0.25">
      <c r="A217" s="4">
        <v>43</v>
      </c>
      <c r="B217">
        <v>150</v>
      </c>
      <c r="C217">
        <v>50</v>
      </c>
      <c r="D217">
        <v>20</v>
      </c>
      <c r="E217" s="3">
        <v>25</v>
      </c>
      <c r="F217" s="3">
        <f>1.8*E217+32</f>
        <v>77</v>
      </c>
      <c r="G217" s="3">
        <v>24</v>
      </c>
      <c r="H217" s="3">
        <f>IF(F217&gt;68,G217+(F217-68)*0.2,G365-(68-F217)*0.2)</f>
        <v>25.8</v>
      </c>
      <c r="I217" s="3">
        <v>22</v>
      </c>
      <c r="J217" s="3">
        <f>1.8*I217+32</f>
        <v>71.599999999999994</v>
      </c>
      <c r="K217" s="3">
        <v>11</v>
      </c>
      <c r="L217" s="3">
        <f>IF(J217&gt;67,K217+(J217-67)*0.2,K217-(67-J217)*0.2)</f>
        <v>11.919999999999998</v>
      </c>
      <c r="M217" s="3">
        <f>(C217-H217)/C217*100</f>
        <v>48.4</v>
      </c>
      <c r="N217" s="3">
        <f>100-(M217+O217)</f>
        <v>27.760000000000005</v>
      </c>
      <c r="O217" s="3">
        <f>L217/C217*100</f>
        <v>23.839999999999996</v>
      </c>
      <c r="P217" s="1" t="s">
        <v>2</v>
      </c>
      <c r="Q217" s="15">
        <v>407547.788</v>
      </c>
      <c r="R217" s="15">
        <v>3659923</v>
      </c>
      <c r="T217">
        <v>2009033</v>
      </c>
      <c r="U217" t="s">
        <v>487</v>
      </c>
      <c r="V217">
        <v>5.7419999999999999E-2</v>
      </c>
      <c r="W217">
        <v>0.39237</v>
      </c>
      <c r="X217">
        <v>1.9970000000000002E-2</v>
      </c>
      <c r="Y217">
        <v>1.3970899999999999</v>
      </c>
      <c r="Z217">
        <v>17.272960000000001</v>
      </c>
      <c r="AA217">
        <v>7.7914599999999998</v>
      </c>
      <c r="AB217">
        <v>-0.93049000000000004</v>
      </c>
      <c r="AC217" s="23">
        <v>5.6320000000000002E-2</v>
      </c>
      <c r="AD217" s="23">
        <v>0.38568999999999998</v>
      </c>
      <c r="AE217" s="23">
        <v>2.7029999999999998E-2</v>
      </c>
      <c r="AF217" s="23">
        <v>1.3638399999999999</v>
      </c>
      <c r="AG217" s="23">
        <v>22.09507</v>
      </c>
      <c r="AH217" s="23">
        <v>11.047280000000001</v>
      </c>
      <c r="AI217" s="23">
        <v>-1.27196</v>
      </c>
      <c r="AJ217" s="25">
        <v>0.92062791666666666</v>
      </c>
      <c r="AK217" s="25">
        <v>0.38505448232157358</v>
      </c>
      <c r="AL217" s="25">
        <v>0.20247989520733495</v>
      </c>
      <c r="AM217" s="25">
        <v>9.336929852507464E-2</v>
      </c>
      <c r="AN217" s="24">
        <v>1.6296056218478299</v>
      </c>
      <c r="AO217" s="23">
        <v>-99</v>
      </c>
    </row>
    <row r="218" spans="1:41" x14ac:dyDescent="0.25">
      <c r="A218" s="4">
        <v>43</v>
      </c>
      <c r="B218">
        <v>180</v>
      </c>
      <c r="C218">
        <v>50</v>
      </c>
      <c r="D218">
        <v>20</v>
      </c>
      <c r="E218" s="3">
        <v>25.5</v>
      </c>
      <c r="F218" s="3">
        <f>1.8*E218+32</f>
        <v>77.900000000000006</v>
      </c>
      <c r="G218" s="3">
        <v>15</v>
      </c>
      <c r="H218" s="3">
        <f>IF(F218&gt;68,G218+(F218-68)*0.2,G366-(68-F218)*0.2)</f>
        <v>16.98</v>
      </c>
      <c r="I218" s="3">
        <v>22.5</v>
      </c>
      <c r="J218" s="3">
        <f>1.8*I218+32</f>
        <v>72.5</v>
      </c>
      <c r="K218" s="3">
        <v>9</v>
      </c>
      <c r="L218" s="3">
        <f>IF(J218&gt;67,K218+(J218-67)*0.2,K218-(67-J218)*0.2)</f>
        <v>10.1</v>
      </c>
      <c r="M218" s="3">
        <f>(C218-H218)/C218*100</f>
        <v>66.039999999999992</v>
      </c>
      <c r="N218" s="3">
        <f>100-(M218+O218)</f>
        <v>13.760000000000005</v>
      </c>
      <c r="O218" s="3">
        <f>L218/C218*100</f>
        <v>20.2</v>
      </c>
      <c r="P218" s="1" t="s">
        <v>2</v>
      </c>
      <c r="Q218" s="15">
        <v>407547.788</v>
      </c>
      <c r="R218" s="15">
        <v>3659923</v>
      </c>
      <c r="T218">
        <v>2009033</v>
      </c>
      <c r="U218" t="s">
        <v>486</v>
      </c>
      <c r="V218">
        <v>6.3399999999999998E-2</v>
      </c>
      <c r="W218">
        <v>0.39229999999999998</v>
      </c>
      <c r="X218">
        <v>2.3140000000000001E-2</v>
      </c>
      <c r="Y218">
        <v>1.35747</v>
      </c>
      <c r="Z218">
        <v>14.44266</v>
      </c>
      <c r="AA218">
        <v>8.2873699999999992</v>
      </c>
      <c r="AB218">
        <v>-1.22271</v>
      </c>
      <c r="AC218" s="23">
        <v>5.6250000000000001E-2</v>
      </c>
      <c r="AD218" s="23">
        <v>0.38390999999999997</v>
      </c>
      <c r="AE218" s="23">
        <v>2.8309999999999998E-2</v>
      </c>
      <c r="AF218" s="23">
        <v>1.36104</v>
      </c>
      <c r="AG218" s="23">
        <v>23.1736</v>
      </c>
      <c r="AH218" s="23">
        <v>11.608169999999999</v>
      </c>
      <c r="AI218" s="23">
        <v>-1.3234699999999999</v>
      </c>
      <c r="AJ218" s="25">
        <v>0.96556666666666668</v>
      </c>
      <c r="AK218" s="25">
        <v>0.38323392360739506</v>
      </c>
      <c r="AL218" s="25">
        <v>0.20023590565291929</v>
      </c>
      <c r="AM218" s="25">
        <v>9.3111121995649582E-2</v>
      </c>
      <c r="AN218" s="24">
        <v>1.6344301024404031</v>
      </c>
      <c r="AO218" s="23">
        <v>-99</v>
      </c>
    </row>
    <row r="219" spans="1:41" x14ac:dyDescent="0.25">
      <c r="A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"/>
      <c r="Q219" s="18"/>
      <c r="R219" s="18"/>
      <c r="T219">
        <v>2009033</v>
      </c>
      <c r="U219" t="s">
        <v>485</v>
      </c>
      <c r="V219">
        <v>6.2359999999999999E-2</v>
      </c>
      <c r="W219">
        <v>0.38466</v>
      </c>
      <c r="X219">
        <v>2.7179999999999999E-2</v>
      </c>
      <c r="Y219">
        <v>1.3344800000000001</v>
      </c>
      <c r="Z219">
        <v>16.93516</v>
      </c>
      <c r="AA219">
        <v>9.7721999999999998</v>
      </c>
      <c r="AB219">
        <v>-1.46166</v>
      </c>
      <c r="AC219" s="23">
        <v>5.3659999999999999E-2</v>
      </c>
      <c r="AD219" s="23">
        <v>0.38289000000000001</v>
      </c>
      <c r="AE219" s="23">
        <v>2.9649999999999999E-2</v>
      </c>
      <c r="AF219" s="23">
        <v>1.37178</v>
      </c>
      <c r="AG219" s="23">
        <v>27.116800000000001</v>
      </c>
      <c r="AH219" s="23">
        <v>12.896430000000001</v>
      </c>
      <c r="AI219" s="23">
        <v>-1.29695</v>
      </c>
      <c r="AJ219" s="25">
        <v>1.1298666666666668</v>
      </c>
      <c r="AK219" s="25">
        <v>0.38217837636454427</v>
      </c>
      <c r="AL219" s="25">
        <v>0.19258938888045246</v>
      </c>
      <c r="AM219" s="25">
        <v>8.7775789758235745E-2</v>
      </c>
      <c r="AN219" s="24">
        <v>1.6372273026339574</v>
      </c>
      <c r="AO219" s="23">
        <v>-99</v>
      </c>
    </row>
    <row r="220" spans="1:41" ht="51.75" x14ac:dyDescent="0.25">
      <c r="A220" s="14" t="s">
        <v>21</v>
      </c>
      <c r="B220" s="9" t="s">
        <v>20</v>
      </c>
      <c r="C220" s="13" t="s">
        <v>19</v>
      </c>
      <c r="D220" s="12" t="s">
        <v>18</v>
      </c>
      <c r="E220" s="11" t="s">
        <v>17</v>
      </c>
      <c r="F220" s="11" t="s">
        <v>16</v>
      </c>
      <c r="G220" s="11" t="s">
        <v>15</v>
      </c>
      <c r="H220" s="11" t="s">
        <v>14</v>
      </c>
      <c r="I220" s="11" t="s">
        <v>13</v>
      </c>
      <c r="J220" s="11" t="s">
        <v>12</v>
      </c>
      <c r="K220" s="11" t="s">
        <v>11</v>
      </c>
      <c r="L220" s="11" t="s">
        <v>10</v>
      </c>
      <c r="M220" s="10" t="s">
        <v>9</v>
      </c>
      <c r="N220" s="10" t="s">
        <v>8</v>
      </c>
      <c r="O220" s="10" t="s">
        <v>7</v>
      </c>
      <c r="P220" s="9" t="s">
        <v>6</v>
      </c>
      <c r="Q220" s="21" t="s">
        <v>5</v>
      </c>
      <c r="R220" s="20"/>
      <c r="T220">
        <v>2009033</v>
      </c>
      <c r="U220" t="s">
        <v>484</v>
      </c>
      <c r="V220">
        <v>5.6320000000000002E-2</v>
      </c>
      <c r="W220">
        <v>0.38568999999999998</v>
      </c>
      <c r="X220">
        <v>2.7029999999999998E-2</v>
      </c>
      <c r="Y220">
        <v>1.3638399999999999</v>
      </c>
      <c r="Z220">
        <v>22.09507</v>
      </c>
      <c r="AA220">
        <v>11.047280000000001</v>
      </c>
      <c r="AB220">
        <v>-1.27196</v>
      </c>
      <c r="AC220" s="23">
        <v>5.774E-2</v>
      </c>
      <c r="AD220" s="23">
        <v>0.39090999999999998</v>
      </c>
      <c r="AE220" s="23">
        <v>2.205E-2</v>
      </c>
      <c r="AF220" s="23">
        <v>1.3830100000000001</v>
      </c>
      <c r="AG220" s="23">
        <v>18.083500000000001</v>
      </c>
      <c r="AH220" s="23">
        <v>8.6641999999999992</v>
      </c>
      <c r="AI220" s="23">
        <v>-1.0515399999999999</v>
      </c>
      <c r="AJ220" s="25">
        <v>0.7534791666666667</v>
      </c>
      <c r="AK220" s="25">
        <v>0.39043950735327299</v>
      </c>
      <c r="AL220" s="25">
        <v>0.21036833863929699</v>
      </c>
      <c r="AM220" s="25">
        <v>9.3850444996916874E-2</v>
      </c>
      <c r="AN220" s="24">
        <v>1.6153353055138266</v>
      </c>
      <c r="AO220" s="23">
        <v>-99</v>
      </c>
    </row>
    <row r="221" spans="1:41" x14ac:dyDescent="0.25">
      <c r="C221" s="16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"/>
      <c r="Q221" s="5" t="s">
        <v>4</v>
      </c>
      <c r="R221" s="5" t="s">
        <v>3</v>
      </c>
      <c r="T221">
        <v>2009033</v>
      </c>
      <c r="U221" t="s">
        <v>483</v>
      </c>
      <c r="V221">
        <v>5.6250000000000001E-2</v>
      </c>
      <c r="W221">
        <v>0.38390999999999997</v>
      </c>
      <c r="X221">
        <v>2.8309999999999998E-2</v>
      </c>
      <c r="Y221">
        <v>1.36104</v>
      </c>
      <c r="Z221">
        <v>23.1736</v>
      </c>
      <c r="AA221">
        <v>11.608169999999999</v>
      </c>
      <c r="AB221">
        <v>-1.3234699999999999</v>
      </c>
      <c r="AC221" s="23">
        <v>6.3810000000000006E-2</v>
      </c>
      <c r="AD221" s="23">
        <v>0.39147999999999999</v>
      </c>
      <c r="AE221" s="23">
        <v>2.383E-2</v>
      </c>
      <c r="AF221" s="23">
        <v>1.3507400000000001</v>
      </c>
      <c r="AG221" s="23">
        <v>14.42624</v>
      </c>
      <c r="AH221" s="23">
        <v>8.4673099999999994</v>
      </c>
      <c r="AI221" s="23">
        <v>-1.2778499999999999</v>
      </c>
      <c r="AJ221" s="25">
        <v>0.60109333333333337</v>
      </c>
      <c r="AK221" s="25">
        <v>0.39093547972715226</v>
      </c>
      <c r="AL221" s="25">
        <v>0.21985536567507857</v>
      </c>
      <c r="AM221" s="25">
        <v>0.10548559640584233</v>
      </c>
      <c r="AN221" s="24">
        <v>1.6140209787230464</v>
      </c>
      <c r="AO221" s="23">
        <v>-99</v>
      </c>
    </row>
    <row r="222" spans="1:41" x14ac:dyDescent="0.25">
      <c r="A222" s="4">
        <v>44</v>
      </c>
      <c r="B222">
        <v>30</v>
      </c>
      <c r="C222" s="16">
        <v>50</v>
      </c>
      <c r="D222">
        <v>20</v>
      </c>
      <c r="E222" s="3">
        <v>26</v>
      </c>
      <c r="F222" s="3">
        <f>1.8*E222+32</f>
        <v>78.800000000000011</v>
      </c>
      <c r="G222" s="3">
        <v>17</v>
      </c>
      <c r="H222" s="3">
        <f>IF(F222&gt;68,G222+(F222-68)*0.2,G369-(68-F222)*0.2)</f>
        <v>19.160000000000004</v>
      </c>
      <c r="I222" s="3">
        <v>22.5</v>
      </c>
      <c r="J222" s="3">
        <f>1.8*I222+32</f>
        <v>72.5</v>
      </c>
      <c r="K222" s="3">
        <v>10</v>
      </c>
      <c r="L222" s="3">
        <f>IF(J222&gt;68,K222+(J222-68)*0.2,K222-(68-J222)*0.2)</f>
        <v>10.9</v>
      </c>
      <c r="M222" s="3">
        <f>(C222-H222)/C222*100</f>
        <v>61.679999999999993</v>
      </c>
      <c r="N222" s="3">
        <f>100-(M222+O222)</f>
        <v>16.52000000000001</v>
      </c>
      <c r="O222" s="3">
        <f>L222/C222*100</f>
        <v>21.8</v>
      </c>
      <c r="P222" s="1" t="s">
        <v>2</v>
      </c>
      <c r="Q222" s="15">
        <v>407547.788</v>
      </c>
      <c r="R222" s="15">
        <v>3659949.5</v>
      </c>
      <c r="T222">
        <v>2009033</v>
      </c>
      <c r="U222" t="s">
        <v>482</v>
      </c>
      <c r="V222">
        <v>5.3659999999999999E-2</v>
      </c>
      <c r="W222">
        <v>0.38289000000000001</v>
      </c>
      <c r="X222">
        <v>2.9649999999999999E-2</v>
      </c>
      <c r="Y222">
        <v>1.37178</v>
      </c>
      <c r="Z222">
        <v>27.116800000000001</v>
      </c>
      <c r="AA222">
        <v>12.896430000000001</v>
      </c>
      <c r="AB222">
        <v>-1.29695</v>
      </c>
      <c r="AC222" s="23">
        <v>6.7409999999999998E-2</v>
      </c>
      <c r="AD222" s="23">
        <v>0.39712999999999998</v>
      </c>
      <c r="AE222" s="23">
        <v>2.1610000000000001E-2</v>
      </c>
      <c r="AF222" s="23">
        <v>1.3544099999999999</v>
      </c>
      <c r="AG222" s="23">
        <v>11.386049999999999</v>
      </c>
      <c r="AH222" s="23">
        <v>7.2335700000000003</v>
      </c>
      <c r="AI222" s="23">
        <v>-1.20241</v>
      </c>
      <c r="AJ222" s="25">
        <v>0.47441874999999994</v>
      </c>
      <c r="AK222" s="25">
        <v>0.39665266473454575</v>
      </c>
      <c r="AL222" s="25">
        <v>0.22839794212835934</v>
      </c>
      <c r="AM222" s="25">
        <v>0.1098980324011896</v>
      </c>
      <c r="AN222" s="24">
        <v>1.5988704384534538</v>
      </c>
      <c r="AO222" s="23">
        <v>-99</v>
      </c>
    </row>
    <row r="223" spans="1:41" x14ac:dyDescent="0.25">
      <c r="A223" s="4">
        <v>44</v>
      </c>
      <c r="B223">
        <v>60</v>
      </c>
      <c r="C223" s="16">
        <v>50</v>
      </c>
      <c r="D223">
        <v>20</v>
      </c>
      <c r="E223" s="3">
        <v>26</v>
      </c>
      <c r="F223" s="3">
        <f>1.8*E223+32</f>
        <v>78.800000000000011</v>
      </c>
      <c r="G223" s="3">
        <v>13</v>
      </c>
      <c r="H223" s="3">
        <f>IF(F223&gt;68,G223+(F223-68)*0.2,G370-(68-F223)*0.2)</f>
        <v>15.160000000000002</v>
      </c>
      <c r="I223" s="3">
        <v>22.5</v>
      </c>
      <c r="J223" s="3">
        <f>1.8*I223+32</f>
        <v>72.5</v>
      </c>
      <c r="K223" s="3">
        <v>7</v>
      </c>
      <c r="L223" s="3">
        <f>IF(J223&gt;68,K223+(J223-68)*0.2,K223-(68-J223)*0.2)</f>
        <v>7.9</v>
      </c>
      <c r="M223" s="3">
        <f>(C223-H223)/C223*100</f>
        <v>69.679999999999993</v>
      </c>
      <c r="N223" s="3">
        <f>100-(M223+O223)</f>
        <v>14.52000000000001</v>
      </c>
      <c r="O223" s="3">
        <f>L223/C223*100</f>
        <v>15.8</v>
      </c>
      <c r="P223" s="1" t="s">
        <v>0</v>
      </c>
      <c r="Q223" s="15">
        <v>407547.788</v>
      </c>
      <c r="R223" s="15">
        <v>3659949.5</v>
      </c>
      <c r="T223">
        <v>2009033</v>
      </c>
      <c r="U223" t="s">
        <v>481</v>
      </c>
      <c r="V223">
        <v>5.774E-2</v>
      </c>
      <c r="W223">
        <v>0.39090999999999998</v>
      </c>
      <c r="X223">
        <v>2.205E-2</v>
      </c>
      <c r="Y223">
        <v>1.3830100000000001</v>
      </c>
      <c r="Z223">
        <v>18.083500000000001</v>
      </c>
      <c r="AA223">
        <v>8.6641999999999992</v>
      </c>
      <c r="AB223">
        <v>-1.0515399999999999</v>
      </c>
      <c r="AC223" s="23">
        <v>6.3490000000000005E-2</v>
      </c>
      <c r="AD223" s="23">
        <v>0.38945999999999997</v>
      </c>
      <c r="AE223" s="23">
        <v>2.4989999999999998E-2</v>
      </c>
      <c r="AF223" s="23">
        <v>1.34368</v>
      </c>
      <c r="AG223" s="23">
        <v>15.109859999999999</v>
      </c>
      <c r="AH223" s="23">
        <v>8.9015000000000004</v>
      </c>
      <c r="AI223" s="23">
        <v>-1.34765</v>
      </c>
      <c r="AJ223" s="25">
        <v>0.62957750000000001</v>
      </c>
      <c r="AK223" s="25">
        <v>0.38887623937194155</v>
      </c>
      <c r="AL223" s="25">
        <v>0.21860557702765476</v>
      </c>
      <c r="AM223" s="25">
        <v>0.10600631673080248</v>
      </c>
      <c r="AN223" s="24">
        <v>1.6194779656643548</v>
      </c>
      <c r="AO223" s="23">
        <v>-99</v>
      </c>
    </row>
    <row r="224" spans="1:41" x14ac:dyDescent="0.25">
      <c r="A224" s="4">
        <v>44</v>
      </c>
      <c r="B224">
        <v>90</v>
      </c>
      <c r="C224" s="16">
        <v>50</v>
      </c>
      <c r="D224">
        <v>20</v>
      </c>
      <c r="E224" s="3">
        <v>24.5</v>
      </c>
      <c r="F224" s="3">
        <f>1.8*E224+32</f>
        <v>76.099999999999994</v>
      </c>
      <c r="G224" s="3">
        <v>16</v>
      </c>
      <c r="H224" s="3">
        <f>IF(F224&gt;68,G224+(F224-68)*0.2,G371-(68-F224)*0.2)</f>
        <v>17.619999999999997</v>
      </c>
      <c r="I224" s="3">
        <v>22.5</v>
      </c>
      <c r="J224" s="3">
        <f>1.8*I224+32</f>
        <v>72.5</v>
      </c>
      <c r="K224" s="3">
        <v>7</v>
      </c>
      <c r="L224" s="3">
        <f>IF(J224&gt;68,K224+(J224-68)*0.2,K224-(68-J224)*0.2)</f>
        <v>7.9</v>
      </c>
      <c r="M224" s="3">
        <f>(C224-H224)/C224*100</f>
        <v>64.760000000000005</v>
      </c>
      <c r="N224" s="3">
        <f>100-(M224+O224)</f>
        <v>19.439999999999998</v>
      </c>
      <c r="O224" s="3">
        <f>L224/C224*100</f>
        <v>15.8</v>
      </c>
      <c r="P224" s="1" t="s">
        <v>0</v>
      </c>
      <c r="Q224" s="15">
        <v>407547.788</v>
      </c>
      <c r="R224" s="15">
        <v>3659949.5</v>
      </c>
      <c r="T224">
        <v>2009033</v>
      </c>
      <c r="U224" t="s">
        <v>480</v>
      </c>
      <c r="V224">
        <v>6.3810000000000006E-2</v>
      </c>
      <c r="W224">
        <v>0.39147999999999999</v>
      </c>
      <c r="X224">
        <v>2.383E-2</v>
      </c>
      <c r="Y224">
        <v>1.3507400000000001</v>
      </c>
      <c r="Z224">
        <v>14.42624</v>
      </c>
      <c r="AA224">
        <v>8.4673099999999994</v>
      </c>
      <c r="AB224">
        <v>-1.2778499999999999</v>
      </c>
      <c r="AC224" s="23">
        <v>5.6890000000000003E-2</v>
      </c>
      <c r="AD224" s="23">
        <v>0.38377</v>
      </c>
      <c r="AE224" s="23">
        <v>2.828E-2</v>
      </c>
      <c r="AF224" s="23">
        <v>1.3582700000000001</v>
      </c>
      <c r="AG224" s="23">
        <v>22.54008</v>
      </c>
      <c r="AH224" s="23">
        <v>11.43548</v>
      </c>
      <c r="AI224" s="23">
        <v>-1.3401000000000001</v>
      </c>
      <c r="AJ224" s="25">
        <v>0.93916999999999995</v>
      </c>
      <c r="AK224" s="25">
        <v>0.38309368693321993</v>
      </c>
      <c r="AL224" s="25">
        <v>0.20148033531753817</v>
      </c>
      <c r="AM224" s="25">
        <v>9.4299138294477211E-2</v>
      </c>
      <c r="AN224" s="24">
        <v>1.634801729626967</v>
      </c>
      <c r="AO224" s="23">
        <v>-99</v>
      </c>
    </row>
    <row r="225" spans="1:41" x14ac:dyDescent="0.25">
      <c r="A225" s="4">
        <v>44</v>
      </c>
      <c r="B225">
        <v>120</v>
      </c>
      <c r="C225" s="16">
        <v>50</v>
      </c>
      <c r="D225">
        <v>20</v>
      </c>
      <c r="E225" s="3">
        <v>24.5</v>
      </c>
      <c r="F225" s="3">
        <f>1.8*E225+32</f>
        <v>76.099999999999994</v>
      </c>
      <c r="G225" s="3">
        <v>19</v>
      </c>
      <c r="H225" s="3">
        <f>IF(F225&gt;68,G225+(F225-68)*0.2,G373-(68-F225)*0.2)</f>
        <v>20.619999999999997</v>
      </c>
      <c r="I225" s="3">
        <v>22.5</v>
      </c>
      <c r="J225" s="3">
        <f>1.8*I225+32</f>
        <v>72.5</v>
      </c>
      <c r="K225" s="3">
        <v>11</v>
      </c>
      <c r="L225" s="3">
        <f>IF(J225&gt;68,K225+(J225-68)*0.2,K225-(68-J225)*0.2)</f>
        <v>11.9</v>
      </c>
      <c r="M225" s="3">
        <f>(C225-H225)/C225*100</f>
        <v>58.76</v>
      </c>
      <c r="N225" s="3">
        <f>100-(M225+O225)</f>
        <v>17.439999999999998</v>
      </c>
      <c r="O225" s="3">
        <f>L225/C225*100</f>
        <v>23.8</v>
      </c>
      <c r="P225" s="1" t="s">
        <v>2</v>
      </c>
      <c r="Q225" s="15">
        <v>407547.788</v>
      </c>
      <c r="R225" s="15">
        <v>3659949.5</v>
      </c>
      <c r="T225">
        <v>2009033</v>
      </c>
      <c r="U225" t="s">
        <v>479</v>
      </c>
      <c r="V225">
        <v>6.7409999999999998E-2</v>
      </c>
      <c r="W225">
        <v>0.39712999999999998</v>
      </c>
      <c r="X225">
        <v>2.1610000000000001E-2</v>
      </c>
      <c r="Y225">
        <v>1.3544099999999999</v>
      </c>
      <c r="Z225">
        <v>11.386049999999999</v>
      </c>
      <c r="AA225">
        <v>7.2335700000000003</v>
      </c>
      <c r="AB225">
        <v>-1.20241</v>
      </c>
      <c r="AC225" s="23">
        <v>5.4010000000000002E-2</v>
      </c>
      <c r="AD225" s="23">
        <v>0.38067000000000001</v>
      </c>
      <c r="AE225" s="23">
        <v>3.0700000000000002E-2</v>
      </c>
      <c r="AF225" s="23">
        <v>1.37738</v>
      </c>
      <c r="AG225" s="23">
        <v>28.83333</v>
      </c>
      <c r="AH225" s="23">
        <v>13.37265</v>
      </c>
      <c r="AI225" s="23">
        <v>-1.3164899999999999</v>
      </c>
      <c r="AJ225" s="25">
        <v>1.20138875</v>
      </c>
      <c r="AK225" s="25">
        <v>0.3799358870167921</v>
      </c>
      <c r="AL225" s="25">
        <v>0.18839617894133115</v>
      </c>
      <c r="AM225" s="25">
        <v>8.6296489021551848E-2</v>
      </c>
      <c r="AN225" s="24">
        <v>1.6431698994055008</v>
      </c>
      <c r="AO225" s="23">
        <v>-99</v>
      </c>
    </row>
    <row r="226" spans="1:41" x14ac:dyDescent="0.25">
      <c r="A226" s="4">
        <v>44</v>
      </c>
      <c r="B226">
        <v>150</v>
      </c>
      <c r="C226" s="16">
        <v>50</v>
      </c>
      <c r="D226">
        <v>20</v>
      </c>
      <c r="E226" s="3">
        <v>26</v>
      </c>
      <c r="F226" s="3">
        <f>1.8*E226+32</f>
        <v>78.800000000000011</v>
      </c>
      <c r="G226" s="3">
        <v>15</v>
      </c>
      <c r="H226" s="3">
        <f>IF(F226&gt;68,G226+(F226-68)*0.2,G374-(68-F226)*0.2)</f>
        <v>17.160000000000004</v>
      </c>
      <c r="I226" s="3">
        <v>23</v>
      </c>
      <c r="J226" s="3">
        <f>1.8*I226+32</f>
        <v>73.400000000000006</v>
      </c>
      <c r="K226" s="3">
        <v>8</v>
      </c>
      <c r="L226" s="3">
        <f>IF(J226&gt;68,K226+(J226-68)*0.2,K226-(68-J226)*0.2)</f>
        <v>9.0800000000000018</v>
      </c>
      <c r="M226" s="3">
        <f>(C226-H226)/C226*100</f>
        <v>65.679999999999993</v>
      </c>
      <c r="N226" s="3">
        <f>100-(M226+O226)</f>
        <v>16.159999999999997</v>
      </c>
      <c r="O226" s="3">
        <f>L226/C226*100</f>
        <v>18.160000000000004</v>
      </c>
      <c r="P226" s="1" t="s">
        <v>0</v>
      </c>
      <c r="Q226" s="15">
        <v>407547.788</v>
      </c>
      <c r="R226" s="15">
        <v>3659949.5</v>
      </c>
      <c r="T226">
        <v>2009033</v>
      </c>
      <c r="U226" t="s">
        <v>478</v>
      </c>
      <c r="V226">
        <v>6.3490000000000005E-2</v>
      </c>
      <c r="W226">
        <v>0.38945999999999997</v>
      </c>
      <c r="X226">
        <v>2.4989999999999998E-2</v>
      </c>
      <c r="Y226">
        <v>1.34368</v>
      </c>
      <c r="Z226">
        <v>15.109859999999999</v>
      </c>
      <c r="AA226">
        <v>8.9015000000000004</v>
      </c>
      <c r="AB226">
        <v>-1.34765</v>
      </c>
      <c r="AC226" s="23">
        <v>5.4919999999999997E-2</v>
      </c>
      <c r="AD226" s="23">
        <v>0.37778</v>
      </c>
      <c r="AE226" s="23">
        <v>3.0890000000000001E-2</v>
      </c>
      <c r="AF226" s="23">
        <v>1.39377</v>
      </c>
      <c r="AG226" s="23">
        <v>30.834150000000001</v>
      </c>
      <c r="AH226" s="23">
        <v>13.389150000000001</v>
      </c>
      <c r="AI226" s="23">
        <v>-1.29261</v>
      </c>
      <c r="AJ226" s="25">
        <v>1.28475625</v>
      </c>
      <c r="AK226" s="25">
        <v>0.37706708267865929</v>
      </c>
      <c r="AL226" s="25">
        <v>0.18248804567119659</v>
      </c>
      <c r="AM226" s="25">
        <v>8.3709596479148218E-2</v>
      </c>
      <c r="AN226" s="24">
        <v>1.6507722309015529</v>
      </c>
      <c r="AO226" s="23">
        <v>-99</v>
      </c>
    </row>
    <row r="227" spans="1:41" x14ac:dyDescent="0.25">
      <c r="A227" s="4">
        <v>44</v>
      </c>
      <c r="B227">
        <v>180</v>
      </c>
      <c r="C227" s="16">
        <v>50</v>
      </c>
      <c r="D227">
        <v>20</v>
      </c>
      <c r="E227" s="3">
        <v>26</v>
      </c>
      <c r="F227" s="3">
        <f>1.8*E227+32</f>
        <v>78.800000000000011</v>
      </c>
      <c r="G227" s="3">
        <v>16</v>
      </c>
      <c r="H227" s="3">
        <f>IF(F227&gt;68,G227+(F227-68)*0.2,G375-(68-F227)*0.2)</f>
        <v>18.160000000000004</v>
      </c>
      <c r="I227" s="3">
        <v>23</v>
      </c>
      <c r="J227" s="3">
        <f>1.8*I227+32</f>
        <v>73.400000000000006</v>
      </c>
      <c r="K227" s="3">
        <v>8</v>
      </c>
      <c r="L227" s="3">
        <f>IF(J227&gt;68,K227+(J227-68)*0.2,K227-(68-J227)*0.2)</f>
        <v>9.0800000000000018</v>
      </c>
      <c r="M227" s="3">
        <f>(C227-H227)/C227*100</f>
        <v>63.679999999999993</v>
      </c>
      <c r="N227" s="3">
        <f>100-(M227+O227)</f>
        <v>18.159999999999997</v>
      </c>
      <c r="O227" s="3">
        <f>L227/C227*100</f>
        <v>18.160000000000004</v>
      </c>
      <c r="P227" s="1" t="s">
        <v>0</v>
      </c>
      <c r="Q227" s="15">
        <v>407547.788</v>
      </c>
      <c r="R227" s="15">
        <v>3659949.5</v>
      </c>
      <c r="T227">
        <v>2009033</v>
      </c>
      <c r="U227" t="s">
        <v>477</v>
      </c>
      <c r="V227">
        <v>5.6890000000000003E-2</v>
      </c>
      <c r="W227">
        <v>0.38377</v>
      </c>
      <c r="X227">
        <v>2.828E-2</v>
      </c>
      <c r="Y227">
        <v>1.3582700000000001</v>
      </c>
      <c r="Z227">
        <v>22.54008</v>
      </c>
      <c r="AA227">
        <v>11.43548</v>
      </c>
      <c r="AB227">
        <v>-1.3401000000000001</v>
      </c>
      <c r="AC227" s="23">
        <v>7.1620000000000003E-2</v>
      </c>
      <c r="AD227" s="23">
        <v>0.39595000000000002</v>
      </c>
      <c r="AE227" s="23">
        <v>2.427E-2</v>
      </c>
      <c r="AF227" s="23">
        <v>1.3105500000000001</v>
      </c>
      <c r="AG227" s="23">
        <v>10.00163</v>
      </c>
      <c r="AH227" s="23">
        <v>7.4661999999999997</v>
      </c>
      <c r="AI227" s="23">
        <v>-1.54362</v>
      </c>
      <c r="AJ227" s="25">
        <v>0.41673458333333335</v>
      </c>
      <c r="AK227" s="25">
        <v>0.39536497990854419</v>
      </c>
      <c r="AL227" s="25">
        <v>0.23861765991744766</v>
      </c>
      <c r="AM227" s="25">
        <v>0.12356853323202005</v>
      </c>
      <c r="AN227" s="24">
        <v>1.6022828032423579</v>
      </c>
      <c r="AO227" s="23">
        <v>-99</v>
      </c>
    </row>
    <row r="228" spans="1:41" x14ac:dyDescent="0.25">
      <c r="Q228" s="18"/>
      <c r="R228" s="18"/>
      <c r="T228">
        <v>2009033</v>
      </c>
      <c r="U228" t="s">
        <v>476</v>
      </c>
      <c r="V228">
        <v>5.4010000000000002E-2</v>
      </c>
      <c r="W228">
        <v>0.38067000000000001</v>
      </c>
      <c r="X228">
        <v>3.0700000000000002E-2</v>
      </c>
      <c r="Y228">
        <v>1.37738</v>
      </c>
      <c r="Z228">
        <v>28.83333</v>
      </c>
      <c r="AA228">
        <v>13.37265</v>
      </c>
      <c r="AB228">
        <v>-1.3164899999999999</v>
      </c>
      <c r="AC228" s="23">
        <v>7.5310000000000002E-2</v>
      </c>
      <c r="AD228" s="23">
        <v>0.40672000000000003</v>
      </c>
      <c r="AE228" s="23">
        <v>2.1350000000000001E-2</v>
      </c>
      <c r="AF228" s="23">
        <v>1.3235300000000001</v>
      </c>
      <c r="AG228" s="23">
        <v>7.52135</v>
      </c>
      <c r="AH228" s="23">
        <v>6.3074899999999996</v>
      </c>
      <c r="AI228" s="23">
        <v>-1.3633299999999999</v>
      </c>
      <c r="AJ228" s="25">
        <v>0.31338958333333333</v>
      </c>
      <c r="AK228" s="25">
        <v>0.40622363999970751</v>
      </c>
      <c r="AL228" s="25">
        <v>0.2479470531283457</v>
      </c>
      <c r="AM228" s="25">
        <v>0.12656231052554615</v>
      </c>
      <c r="AN228" s="24">
        <v>1.5735073540007751</v>
      </c>
      <c r="AO228" s="23">
        <v>-99</v>
      </c>
    </row>
    <row r="229" spans="1:41" ht="51.75" x14ac:dyDescent="0.25">
      <c r="A229" s="14" t="s">
        <v>21</v>
      </c>
      <c r="B229" s="9" t="s">
        <v>20</v>
      </c>
      <c r="C229" s="13" t="s">
        <v>19</v>
      </c>
      <c r="D229" s="12" t="s">
        <v>18</v>
      </c>
      <c r="E229" s="11" t="s">
        <v>17</v>
      </c>
      <c r="F229" s="11" t="s">
        <v>16</v>
      </c>
      <c r="G229" s="11" t="s">
        <v>15</v>
      </c>
      <c r="H229" s="11" t="s">
        <v>14</v>
      </c>
      <c r="I229" s="11" t="s">
        <v>13</v>
      </c>
      <c r="J229" s="11" t="s">
        <v>12</v>
      </c>
      <c r="K229" s="11" t="s">
        <v>11</v>
      </c>
      <c r="L229" s="11" t="s">
        <v>10</v>
      </c>
      <c r="M229" s="10" t="s">
        <v>9</v>
      </c>
      <c r="N229" s="10" t="s">
        <v>8</v>
      </c>
      <c r="O229" s="10" t="s">
        <v>7</v>
      </c>
      <c r="P229" s="9" t="s">
        <v>6</v>
      </c>
      <c r="Q229" s="21" t="s">
        <v>5</v>
      </c>
      <c r="R229" s="20"/>
      <c r="T229">
        <v>2009033</v>
      </c>
      <c r="U229" t="s">
        <v>475</v>
      </c>
      <c r="V229">
        <v>5.4919999999999997E-2</v>
      </c>
      <c r="W229">
        <v>0.37778</v>
      </c>
      <c r="X229">
        <v>3.0890000000000001E-2</v>
      </c>
      <c r="Y229">
        <v>1.39377</v>
      </c>
      <c r="Z229">
        <v>30.834150000000001</v>
      </c>
      <c r="AA229">
        <v>13.389150000000001</v>
      </c>
      <c r="AB229">
        <v>-1.29261</v>
      </c>
      <c r="AC229" s="23">
        <v>5.5730000000000002E-2</v>
      </c>
      <c r="AD229" s="23">
        <v>0.38357000000000002</v>
      </c>
      <c r="AE229" s="23">
        <v>2.8639999999999999E-2</v>
      </c>
      <c r="AF229" s="23">
        <v>1.3629100000000001</v>
      </c>
      <c r="AG229" s="23">
        <v>23.970970000000001</v>
      </c>
      <c r="AH229" s="23">
        <v>11.876849999999999</v>
      </c>
      <c r="AI229" s="23">
        <v>-1.3210999999999999</v>
      </c>
      <c r="AJ229" s="25">
        <v>0.99879041666666668</v>
      </c>
      <c r="AK229" s="25">
        <v>0.38288478765268319</v>
      </c>
      <c r="AL229" s="25">
        <v>0.19861703190687477</v>
      </c>
      <c r="AM229" s="25">
        <v>9.204338809558324E-2</v>
      </c>
      <c r="AN229" s="24">
        <v>1.6353553127203895</v>
      </c>
      <c r="AO229" s="23">
        <v>-99</v>
      </c>
    </row>
    <row r="230" spans="1:41" x14ac:dyDescent="0.25"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1"/>
      <c r="Q230" s="5" t="s">
        <v>4</v>
      </c>
      <c r="R230" s="5" t="s">
        <v>3</v>
      </c>
      <c r="T230">
        <v>2009033</v>
      </c>
      <c r="U230" t="s">
        <v>474</v>
      </c>
      <c r="V230">
        <v>7.1620000000000003E-2</v>
      </c>
      <c r="W230">
        <v>0.39595000000000002</v>
      </c>
      <c r="X230">
        <v>2.427E-2</v>
      </c>
      <c r="Y230">
        <v>1.3105500000000001</v>
      </c>
      <c r="Z230">
        <v>10.00163</v>
      </c>
      <c r="AA230">
        <v>7.4661999999999997</v>
      </c>
      <c r="AB230">
        <v>-1.54362</v>
      </c>
      <c r="AC230" s="23">
        <v>6.1870000000000001E-2</v>
      </c>
      <c r="AD230" s="23">
        <v>0.38414999999999999</v>
      </c>
      <c r="AE230" s="23">
        <v>2.7400000000000001E-2</v>
      </c>
      <c r="AF230" s="23">
        <v>1.3359399999999999</v>
      </c>
      <c r="AG230" s="23">
        <v>17.457609999999999</v>
      </c>
      <c r="AH230" s="23">
        <v>9.9436300000000006</v>
      </c>
      <c r="AI230" s="23">
        <v>-1.45841</v>
      </c>
      <c r="AJ230" s="25">
        <v>0.72740041666666666</v>
      </c>
      <c r="AK230" s="25">
        <v>0.38349018725013612</v>
      </c>
      <c r="AL230" s="25">
        <v>0.21326586137322831</v>
      </c>
      <c r="AM230" s="25">
        <v>0.10453818375696924</v>
      </c>
      <c r="AN230" s="24">
        <v>1.633751003787139</v>
      </c>
      <c r="AO230" s="23">
        <v>-99</v>
      </c>
    </row>
    <row r="231" spans="1:41" x14ac:dyDescent="0.25">
      <c r="A231" s="4">
        <v>45</v>
      </c>
      <c r="B231">
        <v>30</v>
      </c>
      <c r="C231">
        <v>50</v>
      </c>
      <c r="D231">
        <v>20</v>
      </c>
      <c r="E231" s="3">
        <v>25</v>
      </c>
      <c r="F231" s="3">
        <f>1.8*E231+32</f>
        <v>77</v>
      </c>
      <c r="G231" s="3">
        <v>16</v>
      </c>
      <c r="H231" s="3">
        <f>IF(F231&gt;68,G231+(F231-68)*0.2,G379-(68-F231)*0.2)</f>
        <v>17.8</v>
      </c>
      <c r="I231" s="3">
        <v>23</v>
      </c>
      <c r="J231" s="3">
        <f>1.8*I231+32</f>
        <v>73.400000000000006</v>
      </c>
      <c r="K231" s="3">
        <v>9</v>
      </c>
      <c r="L231" s="3">
        <f>IF(J231&gt;67,K231+(J231-67)*0.2,K231-(67-J231)*0.2)</f>
        <v>10.280000000000001</v>
      </c>
      <c r="M231" s="3">
        <f>(C231-H231)/C231*100</f>
        <v>64.400000000000006</v>
      </c>
      <c r="N231" s="3">
        <f>100-(M231+O231)</f>
        <v>15.039999999999992</v>
      </c>
      <c r="O231" s="3">
        <f>L231/C231*100</f>
        <v>20.560000000000002</v>
      </c>
      <c r="P231" s="1" t="s">
        <v>2</v>
      </c>
      <c r="Q231" s="15">
        <v>407547.788</v>
      </c>
      <c r="R231" s="15">
        <v>3659976</v>
      </c>
      <c r="T231">
        <v>2009033</v>
      </c>
      <c r="U231" t="s">
        <v>473</v>
      </c>
      <c r="V231">
        <v>7.5310000000000002E-2</v>
      </c>
      <c r="W231">
        <v>0.40672000000000003</v>
      </c>
      <c r="X231">
        <v>2.1350000000000001E-2</v>
      </c>
      <c r="Y231">
        <v>1.3235300000000001</v>
      </c>
      <c r="Z231">
        <v>7.52135</v>
      </c>
      <c r="AA231">
        <v>6.3074899999999996</v>
      </c>
      <c r="AB231">
        <v>-1.3633299999999999</v>
      </c>
      <c r="AC231" s="23">
        <v>5.2060000000000002E-2</v>
      </c>
      <c r="AD231" s="23">
        <v>0.38159999999999999</v>
      </c>
      <c r="AE231" s="23">
        <v>3.1130000000000001E-2</v>
      </c>
      <c r="AF231" s="23">
        <v>1.3845499999999999</v>
      </c>
      <c r="AG231" s="23">
        <v>31.202470000000002</v>
      </c>
      <c r="AH231" s="23">
        <v>14.18491</v>
      </c>
      <c r="AI231" s="23">
        <v>-1.27986</v>
      </c>
      <c r="AJ231" s="25">
        <v>1.3001029166666667</v>
      </c>
      <c r="AK231" s="25">
        <v>0.38085352220312102</v>
      </c>
      <c r="AL231" s="25">
        <v>0.18470977361745486</v>
      </c>
      <c r="AM231" s="25">
        <v>8.3063870241188248E-2</v>
      </c>
      <c r="AN231" s="24">
        <v>1.6407381661617291</v>
      </c>
      <c r="AO231" s="23">
        <v>-99</v>
      </c>
    </row>
    <row r="232" spans="1:41" x14ac:dyDescent="0.25">
      <c r="A232" s="4">
        <v>45</v>
      </c>
      <c r="B232">
        <v>60</v>
      </c>
      <c r="C232">
        <v>50</v>
      </c>
      <c r="D232">
        <v>20</v>
      </c>
      <c r="E232" s="3">
        <v>26</v>
      </c>
      <c r="F232" s="3">
        <f>1.8*E232+32</f>
        <v>78.800000000000011</v>
      </c>
      <c r="G232" s="3">
        <v>14</v>
      </c>
      <c r="H232" s="3">
        <f>IF(F232&gt;68,G232+(F232-68)*0.2,G380-(68-F232)*0.2)</f>
        <v>16.160000000000004</v>
      </c>
      <c r="I232" s="3">
        <v>23</v>
      </c>
      <c r="J232" s="3">
        <f>1.8*I232+32</f>
        <v>73.400000000000006</v>
      </c>
      <c r="K232" s="3">
        <v>8</v>
      </c>
      <c r="L232" s="3">
        <f>IF(J232&gt;67,K232+(J232-67)*0.2,K232-(67-J232)*0.2)</f>
        <v>9.2800000000000011</v>
      </c>
      <c r="M232" s="3">
        <f>(C232-H232)/C232*100</f>
        <v>67.679999999999993</v>
      </c>
      <c r="N232" s="3">
        <f>100-(M232+O232)</f>
        <v>13.760000000000005</v>
      </c>
      <c r="O232" s="3">
        <f>L232/C232*100</f>
        <v>18.560000000000002</v>
      </c>
      <c r="P232" s="1" t="s">
        <v>0</v>
      </c>
      <c r="Q232" s="15">
        <v>407547.788</v>
      </c>
      <c r="R232" s="15">
        <v>3659976</v>
      </c>
      <c r="T232">
        <v>2009033</v>
      </c>
      <c r="U232" t="s">
        <v>472</v>
      </c>
      <c r="V232">
        <v>5.5730000000000002E-2</v>
      </c>
      <c r="W232">
        <v>0.38357000000000002</v>
      </c>
      <c r="X232">
        <v>2.8639999999999999E-2</v>
      </c>
      <c r="Y232">
        <v>1.3629100000000001</v>
      </c>
      <c r="Z232">
        <v>23.970970000000001</v>
      </c>
      <c r="AA232">
        <v>11.876849999999999</v>
      </c>
      <c r="AB232">
        <v>-1.3210999999999999</v>
      </c>
      <c r="AC232" s="23">
        <v>5.4390000000000001E-2</v>
      </c>
      <c r="AD232" s="23">
        <v>0.37784000000000001</v>
      </c>
      <c r="AE232" s="23">
        <v>3.1130000000000001E-2</v>
      </c>
      <c r="AF232" s="23">
        <v>1.3998200000000001</v>
      </c>
      <c r="AG232" s="23">
        <v>32.239739999999998</v>
      </c>
      <c r="AH232" s="23">
        <v>13.72831</v>
      </c>
      <c r="AI232" s="23">
        <v>-1.2758100000000001</v>
      </c>
      <c r="AJ232" s="25">
        <v>1.3433225</v>
      </c>
      <c r="AK232" s="25">
        <v>0.37712524332252306</v>
      </c>
      <c r="AL232" s="25">
        <v>0.18003050705419593</v>
      </c>
      <c r="AM232" s="25">
        <v>8.209490844107209E-2</v>
      </c>
      <c r="AN232" s="24">
        <v>1.6506181051953139</v>
      </c>
      <c r="AO232" s="23">
        <v>-99</v>
      </c>
    </row>
    <row r="233" spans="1:41" x14ac:dyDescent="0.25">
      <c r="A233" s="4">
        <v>45</v>
      </c>
      <c r="B233">
        <v>90</v>
      </c>
      <c r="C233">
        <v>50</v>
      </c>
      <c r="D233">
        <v>20</v>
      </c>
      <c r="E233" s="3">
        <v>26</v>
      </c>
      <c r="F233" s="3">
        <f>1.8*E233+32</f>
        <v>78.800000000000011</v>
      </c>
      <c r="G233" s="3">
        <v>9</v>
      </c>
      <c r="H233" s="3">
        <f>IF(F233&gt;68,G233+(F233-68)*0.2,G382-(68-F233)*0.2)</f>
        <v>11.160000000000002</v>
      </c>
      <c r="I233" s="3">
        <v>23</v>
      </c>
      <c r="J233" s="3">
        <f>1.8*I233+32</f>
        <v>73.400000000000006</v>
      </c>
      <c r="K233" s="3">
        <v>4</v>
      </c>
      <c r="L233" s="3">
        <f>IF(J233&gt;67,K233+(J233-67)*0.2,K233-(67-J233)*0.2)</f>
        <v>5.2800000000000011</v>
      </c>
      <c r="M233" s="3">
        <f>(C233-H233)/C233*100</f>
        <v>77.679999999999993</v>
      </c>
      <c r="N233" s="3">
        <f>100-(M233+O233)</f>
        <v>11.760000000000005</v>
      </c>
      <c r="O233" s="3">
        <f>L233/C233*100</f>
        <v>10.560000000000002</v>
      </c>
      <c r="P233" s="1" t="s">
        <v>0</v>
      </c>
      <c r="Q233" s="15">
        <v>407547.788</v>
      </c>
      <c r="R233" s="15">
        <v>3659976</v>
      </c>
      <c r="T233">
        <v>2009033</v>
      </c>
      <c r="U233" t="s">
        <v>471</v>
      </c>
      <c r="V233">
        <v>6.1870000000000001E-2</v>
      </c>
      <c r="W233">
        <v>0.38414999999999999</v>
      </c>
      <c r="X233">
        <v>2.7400000000000001E-2</v>
      </c>
      <c r="Y233">
        <v>1.3359399999999999</v>
      </c>
      <c r="Z233">
        <v>17.457609999999999</v>
      </c>
      <c r="AA233">
        <v>9.9436300000000006</v>
      </c>
      <c r="AB233">
        <v>-1.45841</v>
      </c>
      <c r="AC233" s="23">
        <v>5.3339999999999999E-2</v>
      </c>
      <c r="AD233" s="23">
        <v>0.38095000000000001</v>
      </c>
      <c r="AE233" s="23">
        <v>3.0880000000000001E-2</v>
      </c>
      <c r="AF233" s="23">
        <v>1.38025</v>
      </c>
      <c r="AG233" s="23">
        <v>29.731680000000001</v>
      </c>
      <c r="AH233" s="23">
        <v>13.66996</v>
      </c>
      <c r="AI233" s="23">
        <v>-1.3033399999999999</v>
      </c>
      <c r="AJ233" s="25">
        <v>1.23882</v>
      </c>
      <c r="AK233" s="25">
        <v>0.3802111188960231</v>
      </c>
      <c r="AL233" s="25">
        <v>0.18693653342278796</v>
      </c>
      <c r="AM233" s="25">
        <v>8.508487567055989E-2</v>
      </c>
      <c r="AN233" s="24">
        <v>1.6424405349255387</v>
      </c>
      <c r="AO233" s="23">
        <v>-99</v>
      </c>
    </row>
    <row r="234" spans="1:41" x14ac:dyDescent="0.25">
      <c r="A234" s="4">
        <v>45</v>
      </c>
      <c r="B234">
        <v>120</v>
      </c>
      <c r="C234">
        <v>50</v>
      </c>
      <c r="D234">
        <v>20</v>
      </c>
      <c r="E234" s="3">
        <v>26</v>
      </c>
      <c r="F234" s="3">
        <f>1.8*E234+32</f>
        <v>78.800000000000011</v>
      </c>
      <c r="G234" s="3">
        <v>10</v>
      </c>
      <c r="H234" s="3">
        <f>IF(F234&gt;68,G234+(F234-68)*0.2,G383-(68-F234)*0.2)</f>
        <v>12.160000000000002</v>
      </c>
      <c r="I234" s="3">
        <v>23</v>
      </c>
      <c r="J234" s="3">
        <f>1.8*I234+32</f>
        <v>73.400000000000006</v>
      </c>
      <c r="K234" s="3">
        <v>5</v>
      </c>
      <c r="L234" s="3">
        <f>IF(J234&gt;67,K234+(J234-67)*0.2,K234-(67-J234)*0.2)</f>
        <v>6.2800000000000011</v>
      </c>
      <c r="M234" s="3">
        <f>(C234-H234)/C234*100</f>
        <v>75.679999999999993</v>
      </c>
      <c r="N234" s="3">
        <f>100-(M234+O234)</f>
        <v>11.760000000000005</v>
      </c>
      <c r="O234" s="3">
        <f>L234/C234*100</f>
        <v>12.560000000000002</v>
      </c>
      <c r="P234" s="1" t="s">
        <v>0</v>
      </c>
      <c r="Q234" s="15">
        <v>407547.788</v>
      </c>
      <c r="R234" s="15">
        <v>3659976</v>
      </c>
      <c r="T234">
        <v>2009033</v>
      </c>
      <c r="U234" t="s">
        <v>470</v>
      </c>
      <c r="V234">
        <v>5.2060000000000002E-2</v>
      </c>
      <c r="W234">
        <v>0.38159999999999999</v>
      </c>
      <c r="X234">
        <v>3.1130000000000001E-2</v>
      </c>
      <c r="Y234">
        <v>1.3845499999999999</v>
      </c>
      <c r="Z234">
        <v>31.202470000000002</v>
      </c>
      <c r="AA234">
        <v>14.18491</v>
      </c>
      <c r="AB234">
        <v>-1.27986</v>
      </c>
      <c r="AC234" s="23">
        <v>6.2289999999999998E-2</v>
      </c>
      <c r="AD234" s="23">
        <v>0.38379000000000002</v>
      </c>
      <c r="AE234" s="23">
        <v>2.7470000000000001E-2</v>
      </c>
      <c r="AF234" s="23">
        <v>1.3330500000000001</v>
      </c>
      <c r="AG234" s="23">
        <v>17.135570000000001</v>
      </c>
      <c r="AH234" s="23">
        <v>9.86252</v>
      </c>
      <c r="AI234" s="23">
        <v>-1.47973</v>
      </c>
      <c r="AJ234" s="25">
        <v>0.71398208333333335</v>
      </c>
      <c r="AK234" s="25">
        <v>0.38312698882934798</v>
      </c>
      <c r="AL234" s="25">
        <v>0.21416534222454497</v>
      </c>
      <c r="AM234" s="25">
        <v>0.10556493906074629</v>
      </c>
      <c r="AN234" s="24">
        <v>1.6347134796022276</v>
      </c>
      <c r="AO234" s="23">
        <v>-99</v>
      </c>
    </row>
    <row r="235" spans="1:41" x14ac:dyDescent="0.25">
      <c r="A235" s="4">
        <v>45</v>
      </c>
      <c r="B235">
        <v>150</v>
      </c>
      <c r="C235">
        <v>50</v>
      </c>
      <c r="D235">
        <v>20</v>
      </c>
      <c r="E235" s="3">
        <v>25</v>
      </c>
      <c r="F235" s="3">
        <f>1.8*E235+32</f>
        <v>77</v>
      </c>
      <c r="G235" s="3">
        <v>8</v>
      </c>
      <c r="H235" s="3">
        <f>IF(F235&gt;68,G235+(F235-68)*0.2,G384-(68-F235)*0.2)</f>
        <v>9.8000000000000007</v>
      </c>
      <c r="I235" s="3">
        <v>22.5</v>
      </c>
      <c r="J235" s="3">
        <f>1.8*I235+32</f>
        <v>72.5</v>
      </c>
      <c r="K235" s="3">
        <v>4</v>
      </c>
      <c r="L235" s="3">
        <f>IF(J235&gt;67,K235+(J235-67)*0.2,K235-(67-J235)*0.2)</f>
        <v>5.0999999999999996</v>
      </c>
      <c r="M235" s="3">
        <f>(C235-H235)/C235*100</f>
        <v>80.400000000000006</v>
      </c>
      <c r="N235" s="3">
        <f>100-(M235+O235)</f>
        <v>9.3999999999999915</v>
      </c>
      <c r="O235" s="3">
        <f>L235/C235*100</f>
        <v>10.199999999999999</v>
      </c>
      <c r="P235" s="1" t="s">
        <v>0</v>
      </c>
      <c r="Q235" s="15">
        <v>407547.788</v>
      </c>
      <c r="R235" s="15">
        <v>3659976</v>
      </c>
      <c r="T235">
        <v>2009033</v>
      </c>
      <c r="U235" t="s">
        <v>469</v>
      </c>
      <c r="V235">
        <v>5.4390000000000001E-2</v>
      </c>
      <c r="W235">
        <v>0.37784000000000001</v>
      </c>
      <c r="X235">
        <v>3.1130000000000001E-2</v>
      </c>
      <c r="Y235">
        <v>1.3998200000000001</v>
      </c>
      <c r="Z235">
        <v>32.239739999999998</v>
      </c>
      <c r="AA235">
        <v>13.72831</v>
      </c>
      <c r="AB235">
        <v>-1.2758100000000001</v>
      </c>
      <c r="AC235" s="23">
        <v>5.6500000000000002E-2</v>
      </c>
      <c r="AD235" s="23">
        <v>0.38019999999999998</v>
      </c>
      <c r="AE235" s="23">
        <v>2.9860000000000001E-2</v>
      </c>
      <c r="AF235" s="23">
        <v>1.3635699999999999</v>
      </c>
      <c r="AG235" s="23">
        <v>25.039709999999999</v>
      </c>
      <c r="AH235" s="23">
        <v>12.21683</v>
      </c>
      <c r="AI235" s="23">
        <v>-1.37144</v>
      </c>
      <c r="AJ235" s="25">
        <v>1.04332125</v>
      </c>
      <c r="AK235" s="25">
        <v>0.37948476536643927</v>
      </c>
      <c r="AL235" s="25">
        <v>0.19534302981928928</v>
      </c>
      <c r="AM235" s="25">
        <v>9.1674238925867652E-2</v>
      </c>
      <c r="AN235" s="24">
        <v>1.6443653717789359</v>
      </c>
      <c r="AO235" s="23">
        <v>-99</v>
      </c>
    </row>
    <row r="236" spans="1:41" x14ac:dyDescent="0.25">
      <c r="A236" s="4">
        <v>45</v>
      </c>
      <c r="B236">
        <v>180</v>
      </c>
      <c r="C236">
        <v>50</v>
      </c>
      <c r="D236">
        <v>20</v>
      </c>
      <c r="E236" s="3">
        <v>25.5</v>
      </c>
      <c r="F236" s="3">
        <f>1.8*E236+32</f>
        <v>77.900000000000006</v>
      </c>
      <c r="G236" s="3">
        <v>16</v>
      </c>
      <c r="H236" s="3">
        <f>IF(F236&gt;68,G236+(F236-68)*0.2,G385-(68-F236)*0.2)</f>
        <v>17.98</v>
      </c>
      <c r="I236" s="3">
        <v>22.5</v>
      </c>
      <c r="J236" s="3">
        <f>1.8*I236+32</f>
        <v>72.5</v>
      </c>
      <c r="K236" s="3">
        <v>9</v>
      </c>
      <c r="L236" s="3">
        <f>IF(J236&gt;67,K236+(J236-67)*0.2,K236-(67-J236)*0.2)</f>
        <v>10.1</v>
      </c>
      <c r="M236" s="3">
        <f>(C236-H236)/C236*100</f>
        <v>64.039999999999992</v>
      </c>
      <c r="N236" s="3">
        <f>100-(M236+O236)</f>
        <v>15.760000000000005</v>
      </c>
      <c r="O236" s="3">
        <f>L236/C236*100</f>
        <v>20.2</v>
      </c>
      <c r="P236" s="1" t="s">
        <v>2</v>
      </c>
      <c r="Q236" s="15">
        <v>407547.788</v>
      </c>
      <c r="R236" s="15">
        <v>3659976</v>
      </c>
      <c r="T236">
        <v>2009033</v>
      </c>
      <c r="U236" t="s">
        <v>468</v>
      </c>
      <c r="V236">
        <v>5.3339999999999999E-2</v>
      </c>
      <c r="W236">
        <v>0.38095000000000001</v>
      </c>
      <c r="X236">
        <v>3.0880000000000001E-2</v>
      </c>
      <c r="Y236">
        <v>1.38025</v>
      </c>
      <c r="Z236">
        <v>29.731680000000001</v>
      </c>
      <c r="AA236">
        <v>13.66996</v>
      </c>
      <c r="AB236">
        <v>-1.3033399999999999</v>
      </c>
      <c r="AC236" s="23">
        <v>5.5719999999999999E-2</v>
      </c>
      <c r="AD236" s="23">
        <v>0.38227</v>
      </c>
      <c r="AE236" s="23">
        <v>2.9360000000000001E-2</v>
      </c>
      <c r="AF236" s="23">
        <v>1.36338</v>
      </c>
      <c r="AG236" s="23">
        <v>24.813829999999999</v>
      </c>
      <c r="AH236" s="23">
        <v>12.201840000000001</v>
      </c>
      <c r="AI236" s="23">
        <v>-1.3431999999999999</v>
      </c>
      <c r="AJ236" s="25">
        <v>1.0339095833333334</v>
      </c>
      <c r="AK236" s="25">
        <v>0.38156460798737846</v>
      </c>
      <c r="AL236" s="25">
        <v>0.19667244950161136</v>
      </c>
      <c r="AM236" s="25">
        <v>9.1463714678780408E-2</v>
      </c>
      <c r="AN236" s="24">
        <v>1.6388537888334471</v>
      </c>
      <c r="AO236" s="23">
        <v>-99</v>
      </c>
    </row>
    <row r="237" spans="1:41" x14ac:dyDescent="0.25">
      <c r="Q237" s="18"/>
      <c r="R237" s="18"/>
      <c r="T237">
        <v>2009033</v>
      </c>
      <c r="U237" t="s">
        <v>467</v>
      </c>
      <c r="V237">
        <v>6.2289999999999998E-2</v>
      </c>
      <c r="W237">
        <v>0.38379000000000002</v>
      </c>
      <c r="X237">
        <v>2.7470000000000001E-2</v>
      </c>
      <c r="Y237">
        <v>1.3330500000000001</v>
      </c>
      <c r="Z237">
        <v>17.135570000000001</v>
      </c>
      <c r="AA237">
        <v>9.86252</v>
      </c>
      <c r="AB237">
        <v>-1.47973</v>
      </c>
      <c r="AC237" s="23">
        <v>5.6959999999999997E-2</v>
      </c>
      <c r="AD237" s="23">
        <v>0.38152999999999998</v>
      </c>
      <c r="AE237" s="23">
        <v>2.93E-2</v>
      </c>
      <c r="AF237" s="23">
        <v>1.35819</v>
      </c>
      <c r="AG237" s="23">
        <v>23.606870000000001</v>
      </c>
      <c r="AH237" s="23">
        <v>11.83727</v>
      </c>
      <c r="AI237" s="23">
        <v>-1.3768400000000001</v>
      </c>
      <c r="AJ237" s="25">
        <v>0.98361958333333332</v>
      </c>
      <c r="AK237" s="25">
        <v>0.38082544657218881</v>
      </c>
      <c r="AL237" s="25">
        <v>0.19882322014684678</v>
      </c>
      <c r="AM237" s="25">
        <v>9.3654204241479272E-2</v>
      </c>
      <c r="AN237" s="24">
        <v>1.6408125665836997</v>
      </c>
      <c r="AO237" s="23">
        <v>-99</v>
      </c>
    </row>
    <row r="238" spans="1:41" ht="51.75" x14ac:dyDescent="0.25">
      <c r="A238" s="14" t="s">
        <v>21</v>
      </c>
      <c r="B238" s="9" t="s">
        <v>20</v>
      </c>
      <c r="C238" s="13" t="s">
        <v>19</v>
      </c>
      <c r="D238" s="12" t="s">
        <v>18</v>
      </c>
      <c r="E238" s="11" t="s">
        <v>17</v>
      </c>
      <c r="F238" s="11" t="s">
        <v>16</v>
      </c>
      <c r="G238" s="11" t="s">
        <v>15</v>
      </c>
      <c r="H238" s="11" t="s">
        <v>14</v>
      </c>
      <c r="I238" s="11" t="s">
        <v>13</v>
      </c>
      <c r="J238" s="11" t="s">
        <v>12</v>
      </c>
      <c r="K238" s="11" t="s">
        <v>11</v>
      </c>
      <c r="L238" s="11" t="s">
        <v>10</v>
      </c>
      <c r="M238" s="10" t="s">
        <v>9</v>
      </c>
      <c r="N238" s="10" t="s">
        <v>8</v>
      </c>
      <c r="O238" s="10" t="s">
        <v>7</v>
      </c>
      <c r="P238" s="9" t="s">
        <v>6</v>
      </c>
      <c r="Q238" s="21" t="s">
        <v>5</v>
      </c>
      <c r="R238" s="20"/>
      <c r="T238">
        <v>2009033</v>
      </c>
      <c r="U238" t="s">
        <v>466</v>
      </c>
      <c r="V238">
        <v>5.6500000000000002E-2</v>
      </c>
      <c r="W238">
        <v>0.38019999999999998</v>
      </c>
      <c r="X238">
        <v>2.9860000000000001E-2</v>
      </c>
      <c r="Y238">
        <v>1.3635699999999999</v>
      </c>
      <c r="Z238">
        <v>25.039709999999999</v>
      </c>
      <c r="AA238">
        <v>12.21683</v>
      </c>
      <c r="AB238">
        <v>-1.37144</v>
      </c>
      <c r="AC238" s="23">
        <v>5.6939999999999998E-2</v>
      </c>
      <c r="AD238" s="23">
        <v>0.38186999999999999</v>
      </c>
      <c r="AE238" s="23">
        <v>2.9180000000000001E-2</v>
      </c>
      <c r="AF238" s="23">
        <v>1.3579600000000001</v>
      </c>
      <c r="AG238" s="23">
        <v>23.455960000000001</v>
      </c>
      <c r="AH238" s="23">
        <v>11.79224</v>
      </c>
      <c r="AI238" s="23">
        <v>-1.37296</v>
      </c>
      <c r="AJ238" s="25">
        <v>0.97733166666666671</v>
      </c>
      <c r="AK238" s="25">
        <v>0.38116832957234387</v>
      </c>
      <c r="AL238" s="25">
        <v>0.19923473882167586</v>
      </c>
      <c r="AM238" s="25">
        <v>9.3780422421300677E-2</v>
      </c>
      <c r="AN238" s="24">
        <v>1.6399039266332889</v>
      </c>
      <c r="AO238" s="23">
        <v>-99</v>
      </c>
    </row>
    <row r="239" spans="1:41" x14ac:dyDescent="0.25"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"/>
      <c r="Q239" s="5" t="s">
        <v>4</v>
      </c>
      <c r="R239" s="5" t="s">
        <v>3</v>
      </c>
      <c r="T239">
        <v>2009033</v>
      </c>
      <c r="U239" t="s">
        <v>465</v>
      </c>
      <c r="V239">
        <v>5.5719999999999999E-2</v>
      </c>
      <c r="W239">
        <v>0.38227</v>
      </c>
      <c r="X239">
        <v>2.9360000000000001E-2</v>
      </c>
      <c r="Y239">
        <v>1.36338</v>
      </c>
      <c r="Z239">
        <v>24.813829999999999</v>
      </c>
      <c r="AA239">
        <v>12.201840000000001</v>
      </c>
      <c r="AB239">
        <v>-1.3431999999999999</v>
      </c>
      <c r="AC239" s="23">
        <v>6.7510000000000001E-2</v>
      </c>
      <c r="AD239" s="23">
        <v>0.39763999999999999</v>
      </c>
      <c r="AE239" s="23">
        <v>2.1329999999999998E-2</v>
      </c>
      <c r="AF239" s="23">
        <v>1.3565199999999999</v>
      </c>
      <c r="AG239" s="23">
        <v>11.24621</v>
      </c>
      <c r="AH239" s="23">
        <v>7.1285499999999997</v>
      </c>
      <c r="AI239" s="23">
        <v>-1.1836800000000001</v>
      </c>
      <c r="AJ239" s="25">
        <v>0.4685920833333333</v>
      </c>
      <c r="AK239" s="25">
        <v>0.39717215154537761</v>
      </c>
      <c r="AL239" s="25">
        <v>0.22872676932741559</v>
      </c>
      <c r="AM239" s="25">
        <v>0.1097309008861721</v>
      </c>
      <c r="AN239" s="24">
        <v>1.5974937984047493</v>
      </c>
      <c r="AO239" s="23">
        <v>-99</v>
      </c>
    </row>
    <row r="240" spans="1:41" x14ac:dyDescent="0.25">
      <c r="A240" s="4">
        <v>46</v>
      </c>
      <c r="B240">
        <v>30</v>
      </c>
      <c r="C240">
        <v>50</v>
      </c>
      <c r="D240">
        <v>20</v>
      </c>
      <c r="E240" s="3">
        <v>26</v>
      </c>
      <c r="F240" s="3">
        <f>1.8*E240+32</f>
        <v>78.800000000000011</v>
      </c>
      <c r="G240" s="3">
        <v>17</v>
      </c>
      <c r="H240" s="3">
        <f>IF(F240&gt;68,G240+(F240-68)*0.2,G389-(68-F240)*0.2)</f>
        <v>19.160000000000004</v>
      </c>
      <c r="I240" s="3">
        <v>22.5</v>
      </c>
      <c r="J240" s="3">
        <f>1.8*I240+32</f>
        <v>72.5</v>
      </c>
      <c r="K240" s="3">
        <v>9</v>
      </c>
      <c r="L240" s="3">
        <f>IF(J240&gt;67,K240+(J240-67)*0.2,K240-(67-J240)*0.2)</f>
        <v>10.1</v>
      </c>
      <c r="M240" s="3">
        <f>(C240-H240)/C240*100</f>
        <v>61.679999999999993</v>
      </c>
      <c r="N240" s="3">
        <f>100-(M240+O240)</f>
        <v>18.120000000000005</v>
      </c>
      <c r="O240" s="3">
        <f>L240/C240*100</f>
        <v>20.2</v>
      </c>
      <c r="P240" s="1" t="s">
        <v>2</v>
      </c>
      <c r="Q240" s="15">
        <v>407547.788</v>
      </c>
      <c r="R240" s="15">
        <v>3660002.5</v>
      </c>
      <c r="T240">
        <v>2009033</v>
      </c>
      <c r="U240" t="s">
        <v>464</v>
      </c>
      <c r="V240">
        <v>5.6959999999999997E-2</v>
      </c>
      <c r="W240">
        <v>0.38152999999999998</v>
      </c>
      <c r="X240">
        <v>2.93E-2</v>
      </c>
      <c r="Y240">
        <v>1.35819</v>
      </c>
      <c r="Z240">
        <v>23.606870000000001</v>
      </c>
      <c r="AA240">
        <v>11.83727</v>
      </c>
      <c r="AB240">
        <v>-1.3768400000000001</v>
      </c>
      <c r="AC240" s="23">
        <v>7.2870000000000004E-2</v>
      </c>
      <c r="AD240" s="23">
        <v>0.40515000000000001</v>
      </c>
      <c r="AE240" s="23">
        <v>2.0230000000000001E-2</v>
      </c>
      <c r="AF240" s="23">
        <v>1.34565</v>
      </c>
      <c r="AG240" s="23">
        <v>8.2168500000000009</v>
      </c>
      <c r="AH240" s="23">
        <v>6.2133099999999999</v>
      </c>
      <c r="AI240" s="23">
        <v>-1.2063600000000001</v>
      </c>
      <c r="AJ240" s="25">
        <v>0.34236875000000005</v>
      </c>
      <c r="AK240" s="25">
        <v>0.40470306801328715</v>
      </c>
      <c r="AL240" s="25">
        <v>0.24148736337559068</v>
      </c>
      <c r="AM240" s="25">
        <v>0.11895077821239265</v>
      </c>
      <c r="AN240" s="24">
        <v>1.5775368697647889</v>
      </c>
      <c r="AO240" s="23">
        <v>-99</v>
      </c>
    </row>
    <row r="241" spans="1:41" x14ac:dyDescent="0.25">
      <c r="A241" s="4">
        <v>46</v>
      </c>
      <c r="B241">
        <v>60</v>
      </c>
      <c r="C241">
        <v>50</v>
      </c>
      <c r="D241">
        <v>20</v>
      </c>
      <c r="E241" s="3">
        <v>25</v>
      </c>
      <c r="F241" s="3">
        <f>1.8*E241+32</f>
        <v>77</v>
      </c>
      <c r="G241" s="3">
        <v>13</v>
      </c>
      <c r="H241" s="3">
        <f>IF(F241&gt;68,G241+(F241-68)*0.2,G390-(68-F241)*0.2)</f>
        <v>14.8</v>
      </c>
      <c r="I241" s="3">
        <v>22.5</v>
      </c>
      <c r="J241" s="3">
        <f>1.8*I241+32</f>
        <v>72.5</v>
      </c>
      <c r="K241" s="3">
        <v>7</v>
      </c>
      <c r="L241" s="3">
        <f>IF(J241&gt;67,K241+(J241-67)*0.2,K241-(67-J241)*0.2)</f>
        <v>8.1</v>
      </c>
      <c r="M241" s="3">
        <f>(C241-H241)/C241*100</f>
        <v>70.400000000000006</v>
      </c>
      <c r="N241" s="3">
        <f>100-(M241+O241)</f>
        <v>13.399999999999991</v>
      </c>
      <c r="O241" s="3">
        <f>L241/C241*100</f>
        <v>16.2</v>
      </c>
      <c r="P241" s="1" t="s">
        <v>0</v>
      </c>
      <c r="Q241" s="15">
        <v>407547.788</v>
      </c>
      <c r="R241" s="15">
        <v>3660002.5</v>
      </c>
      <c r="T241">
        <v>2009033</v>
      </c>
      <c r="U241" t="s">
        <v>463</v>
      </c>
      <c r="V241">
        <v>5.6939999999999998E-2</v>
      </c>
      <c r="W241">
        <v>0.38186999999999999</v>
      </c>
      <c r="X241">
        <v>2.9180000000000001E-2</v>
      </c>
      <c r="Y241">
        <v>1.3579600000000001</v>
      </c>
      <c r="Z241">
        <v>23.455960000000001</v>
      </c>
      <c r="AA241">
        <v>11.79224</v>
      </c>
      <c r="AB241">
        <v>-1.37296</v>
      </c>
      <c r="AC241" s="23">
        <v>5.3940000000000002E-2</v>
      </c>
      <c r="AD241" s="23">
        <v>0.38096999999999998</v>
      </c>
      <c r="AE241" s="23">
        <v>3.0599999999999999E-2</v>
      </c>
      <c r="AF241" s="23">
        <v>1.37626</v>
      </c>
      <c r="AG241" s="23">
        <v>28.6082</v>
      </c>
      <c r="AH241" s="23">
        <v>13.3323</v>
      </c>
      <c r="AI241" s="23">
        <v>-1.31599</v>
      </c>
      <c r="AJ241" s="25">
        <v>1.1920083333333333</v>
      </c>
      <c r="AK241" s="25">
        <v>0.38023706797601148</v>
      </c>
      <c r="AL241" s="25">
        <v>0.18898773625406023</v>
      </c>
      <c r="AM241" s="25">
        <v>8.6525784383339452E-2</v>
      </c>
      <c r="AN241" s="24">
        <v>1.6423717698635696</v>
      </c>
      <c r="AO241" s="23">
        <v>-99</v>
      </c>
    </row>
    <row r="242" spans="1:41" x14ac:dyDescent="0.25">
      <c r="A242" s="4">
        <v>46</v>
      </c>
      <c r="B242">
        <v>90</v>
      </c>
      <c r="C242">
        <v>50</v>
      </c>
      <c r="D242">
        <v>20</v>
      </c>
      <c r="E242" s="3">
        <v>25.5</v>
      </c>
      <c r="F242" s="3">
        <f>1.8*E242+32</f>
        <v>77.900000000000006</v>
      </c>
      <c r="G242" s="3">
        <v>11</v>
      </c>
      <c r="H242" s="3">
        <f>IF(F242&gt;68,G242+(F242-68)*0.2,G391-(68-F242)*0.2)</f>
        <v>12.98</v>
      </c>
      <c r="I242" s="3">
        <v>23</v>
      </c>
      <c r="J242" s="3">
        <f>1.8*I242+32</f>
        <v>73.400000000000006</v>
      </c>
      <c r="K242" s="3">
        <v>6</v>
      </c>
      <c r="L242" s="3">
        <f>IF(J242&gt;67,K242+(J242-67)*0.2,K242-(67-J242)*0.2)</f>
        <v>7.2800000000000011</v>
      </c>
      <c r="M242" s="3">
        <f>(C242-H242)/C242*100</f>
        <v>74.039999999999992</v>
      </c>
      <c r="N242" s="3">
        <f>100-(M242+O242)</f>
        <v>11.400000000000006</v>
      </c>
      <c r="O242" s="3">
        <f>L242/C242*100</f>
        <v>14.560000000000004</v>
      </c>
      <c r="P242" s="1" t="s">
        <v>0</v>
      </c>
      <c r="Q242" s="15">
        <v>407547.788</v>
      </c>
      <c r="R242" s="15">
        <v>3660002.5</v>
      </c>
      <c r="T242">
        <v>2009033</v>
      </c>
      <c r="U242" t="s">
        <v>462</v>
      </c>
      <c r="V242">
        <v>6.7510000000000001E-2</v>
      </c>
      <c r="W242">
        <v>0.39763999999999999</v>
      </c>
      <c r="X242">
        <v>2.1329999999999998E-2</v>
      </c>
      <c r="Y242">
        <v>1.3565199999999999</v>
      </c>
      <c r="Z242">
        <v>11.24621</v>
      </c>
      <c r="AA242">
        <v>7.1285499999999997</v>
      </c>
      <c r="AB242">
        <v>-1.1836800000000001</v>
      </c>
      <c r="AC242" s="23">
        <v>5.389E-2</v>
      </c>
      <c r="AD242" s="23">
        <v>0.38127</v>
      </c>
      <c r="AE242" s="23">
        <v>3.049E-2</v>
      </c>
      <c r="AF242" s="23">
        <v>1.3752599999999999</v>
      </c>
      <c r="AG242" s="23">
        <v>28.382339999999999</v>
      </c>
      <c r="AH242" s="23">
        <v>13.284750000000001</v>
      </c>
      <c r="AI242" s="23">
        <v>-1.3148500000000001</v>
      </c>
      <c r="AJ242" s="25">
        <v>1.1825975</v>
      </c>
      <c r="AK242" s="25">
        <v>0.38053876702189332</v>
      </c>
      <c r="AL242" s="25">
        <v>0.18957195674720437</v>
      </c>
      <c r="AM242" s="25">
        <v>8.675557332978312E-2</v>
      </c>
      <c r="AN242" s="24">
        <v>1.6415722673919826</v>
      </c>
      <c r="AO242" s="23">
        <v>-99</v>
      </c>
    </row>
    <row r="243" spans="1:41" x14ac:dyDescent="0.25">
      <c r="A243" s="4">
        <v>46</v>
      </c>
      <c r="B243">
        <v>120</v>
      </c>
      <c r="C243">
        <v>50</v>
      </c>
      <c r="D243">
        <v>20</v>
      </c>
      <c r="E243" s="3">
        <v>25.5</v>
      </c>
      <c r="F243" s="3">
        <f>1.8*E243+32</f>
        <v>77.900000000000006</v>
      </c>
      <c r="G243" s="3">
        <v>14</v>
      </c>
      <c r="H243" s="3">
        <f>IF(F243&gt;68,G243+(F243-68)*0.2,G392-(68-F243)*0.2)</f>
        <v>15.98</v>
      </c>
      <c r="I243" s="3">
        <v>23</v>
      </c>
      <c r="J243" s="3">
        <f>1.8*I243+32</f>
        <v>73.400000000000006</v>
      </c>
      <c r="K243" s="3">
        <v>8</v>
      </c>
      <c r="L243" s="3">
        <f>IF(J243&gt;67,K243+(J243-67)*0.2,K243-(67-J243)*0.2)</f>
        <v>9.2800000000000011</v>
      </c>
      <c r="M243" s="3">
        <f>(C243-H243)/C243*100</f>
        <v>68.039999999999992</v>
      </c>
      <c r="N243" s="3">
        <f>100-(M243+O243)</f>
        <v>13.400000000000006</v>
      </c>
      <c r="O243" s="3">
        <f>L243/C243*100</f>
        <v>18.560000000000002</v>
      </c>
      <c r="P243" s="1" t="s">
        <v>0</v>
      </c>
      <c r="Q243" s="15">
        <v>407547.788</v>
      </c>
      <c r="R243" s="15">
        <v>3660002.5</v>
      </c>
      <c r="T243">
        <v>2009033</v>
      </c>
      <c r="U243" t="s">
        <v>461</v>
      </c>
      <c r="V243">
        <v>7.2870000000000004E-2</v>
      </c>
      <c r="W243">
        <v>0.40515000000000001</v>
      </c>
      <c r="X243">
        <v>2.0230000000000001E-2</v>
      </c>
      <c r="Y243">
        <v>1.34565</v>
      </c>
      <c r="Z243">
        <v>8.2168500000000009</v>
      </c>
      <c r="AA243">
        <v>6.2133099999999999</v>
      </c>
      <c r="AB243">
        <v>-1.2063600000000001</v>
      </c>
      <c r="AC243" s="23">
        <v>5.9959999999999999E-2</v>
      </c>
      <c r="AD243" s="23">
        <v>0.38296000000000002</v>
      </c>
      <c r="AE243" s="23">
        <v>2.8080000000000001E-2</v>
      </c>
      <c r="AF243" s="23">
        <v>1.34365</v>
      </c>
      <c r="AG243" s="23">
        <v>19.564260000000001</v>
      </c>
      <c r="AH243" s="23">
        <v>10.602349999999999</v>
      </c>
      <c r="AI243" s="23">
        <v>-1.42839</v>
      </c>
      <c r="AJ243" s="25">
        <v>0.8151775</v>
      </c>
      <c r="AK243" s="25">
        <v>0.38228393816534528</v>
      </c>
      <c r="AL243" s="25">
        <v>0.20793736914073752</v>
      </c>
      <c r="AM243" s="25">
        <v>0.10044219455360617</v>
      </c>
      <c r="AN243" s="24">
        <v>1.6369475638618347</v>
      </c>
      <c r="AO243" s="23">
        <v>-99</v>
      </c>
    </row>
    <row r="244" spans="1:41" x14ac:dyDescent="0.25">
      <c r="A244" s="4">
        <v>46</v>
      </c>
      <c r="B244">
        <v>150</v>
      </c>
      <c r="C244">
        <v>50</v>
      </c>
      <c r="D244">
        <v>20</v>
      </c>
      <c r="E244" s="3">
        <v>26</v>
      </c>
      <c r="F244" s="3">
        <f>1.8*E244+32</f>
        <v>78.800000000000011</v>
      </c>
      <c r="G244" s="3">
        <v>12</v>
      </c>
      <c r="H244" s="3">
        <f>IF(F244&gt;68,G244+(F244-68)*0.2,G393-(68-F244)*0.2)</f>
        <v>14.160000000000002</v>
      </c>
      <c r="I244" s="3">
        <v>22.5</v>
      </c>
      <c r="J244" s="3">
        <f>1.8*I244+32</f>
        <v>72.5</v>
      </c>
      <c r="K244" s="3">
        <v>7</v>
      </c>
      <c r="L244" s="3">
        <f>IF(J244&gt;67,K244+(J244-67)*0.2,K244-(67-J244)*0.2)</f>
        <v>8.1</v>
      </c>
      <c r="M244" s="3">
        <f>(C244-H244)/C244*100</f>
        <v>71.679999999999993</v>
      </c>
      <c r="N244" s="3">
        <f>100-(M244+O244)</f>
        <v>12.120000000000005</v>
      </c>
      <c r="O244" s="3">
        <f>L244/C244*100</f>
        <v>16.2</v>
      </c>
      <c r="P244" s="1" t="s">
        <v>0</v>
      </c>
      <c r="Q244" s="15">
        <v>407547.788</v>
      </c>
      <c r="R244" s="15">
        <v>3660002.5</v>
      </c>
      <c r="T244">
        <v>2009033</v>
      </c>
      <c r="U244" t="s">
        <v>460</v>
      </c>
      <c r="V244">
        <v>5.3940000000000002E-2</v>
      </c>
      <c r="W244">
        <v>0.38096999999999998</v>
      </c>
      <c r="X244">
        <v>3.0599999999999999E-2</v>
      </c>
      <c r="Y244">
        <v>1.37626</v>
      </c>
      <c r="Z244">
        <v>28.6082</v>
      </c>
      <c r="AA244">
        <v>13.3323</v>
      </c>
      <c r="AB244">
        <v>-1.31599</v>
      </c>
      <c r="AC244" s="23">
        <v>6.3880000000000006E-2</v>
      </c>
      <c r="AD244" s="23">
        <v>0.39191999999999999</v>
      </c>
      <c r="AE244" s="23">
        <v>2.3560000000000001E-2</v>
      </c>
      <c r="AF244" s="23">
        <v>1.35243</v>
      </c>
      <c r="AG244" s="23">
        <v>14.27162</v>
      </c>
      <c r="AH244" s="23">
        <v>8.3640799999999995</v>
      </c>
      <c r="AI244" s="23">
        <v>-1.2616400000000001</v>
      </c>
      <c r="AJ244" s="25">
        <v>0.59465083333333335</v>
      </c>
      <c r="AK244" s="25">
        <v>0.39138463557054509</v>
      </c>
      <c r="AL244" s="25">
        <v>0.22014552895186373</v>
      </c>
      <c r="AM244" s="25">
        <v>0.10535636980322127</v>
      </c>
      <c r="AN244" s="24">
        <v>1.6128307157380557</v>
      </c>
      <c r="AO244" s="23">
        <v>-99</v>
      </c>
    </row>
    <row r="245" spans="1:41" x14ac:dyDescent="0.25">
      <c r="A245" s="4">
        <v>46</v>
      </c>
      <c r="B245">
        <v>180</v>
      </c>
      <c r="C245">
        <v>50</v>
      </c>
      <c r="D245">
        <v>20</v>
      </c>
      <c r="E245" s="3">
        <v>26</v>
      </c>
      <c r="F245" s="3">
        <f>1.8*E245+32</f>
        <v>78.800000000000011</v>
      </c>
      <c r="G245" s="3">
        <v>17</v>
      </c>
      <c r="H245" s="3">
        <f>IF(F245&gt;68,G245+(F245-68)*0.2,G394-(68-F245)*0.2)</f>
        <v>19.160000000000004</v>
      </c>
      <c r="I245" s="3">
        <v>22.5</v>
      </c>
      <c r="J245" s="3">
        <f>1.8*I245+32</f>
        <v>72.5</v>
      </c>
      <c r="K245" s="3">
        <v>9</v>
      </c>
      <c r="L245" s="3">
        <f>IF(J245&gt;67,K245+(J245-67)*0.2,K245-(67-J245)*0.2)</f>
        <v>10.1</v>
      </c>
      <c r="M245" s="3">
        <f>(C245-H245)/C245*100</f>
        <v>61.679999999999993</v>
      </c>
      <c r="N245" s="3">
        <f>100-(M245+O245)</f>
        <v>18.120000000000005</v>
      </c>
      <c r="O245" s="3">
        <f>L245/C245*100</f>
        <v>20.2</v>
      </c>
      <c r="P245" s="1" t="s">
        <v>2</v>
      </c>
      <c r="Q245" s="15">
        <v>407547.788</v>
      </c>
      <c r="R245" s="15">
        <v>3660002.5</v>
      </c>
      <c r="T245">
        <v>2009033</v>
      </c>
      <c r="U245" t="s">
        <v>459</v>
      </c>
      <c r="V245">
        <v>5.389E-2</v>
      </c>
      <c r="W245">
        <v>0.38127</v>
      </c>
      <c r="X245">
        <v>3.049E-2</v>
      </c>
      <c r="Y245">
        <v>1.3752599999999999</v>
      </c>
      <c r="Z245">
        <v>28.382339999999999</v>
      </c>
      <c r="AA245">
        <v>13.284750000000001</v>
      </c>
      <c r="AB245">
        <v>-1.3148500000000001</v>
      </c>
      <c r="AC245" s="23">
        <v>5.7619999999999998E-2</v>
      </c>
      <c r="AD245" s="23">
        <v>0.39029000000000003</v>
      </c>
      <c r="AE245" s="23">
        <v>2.2710000000000001E-2</v>
      </c>
      <c r="AF245" s="23">
        <v>1.3794200000000001</v>
      </c>
      <c r="AG245" s="23">
        <v>18.513850000000001</v>
      </c>
      <c r="AH245" s="23">
        <v>8.9708100000000002</v>
      </c>
      <c r="AI245" s="23">
        <v>-1.08558</v>
      </c>
      <c r="AJ245" s="25">
        <v>0.77141041666666677</v>
      </c>
      <c r="AK245" s="25">
        <v>0.38979741825567982</v>
      </c>
      <c r="AL245" s="25">
        <v>0.20950576262865123</v>
      </c>
      <c r="AM245" s="25">
        <v>9.4025484482841828E-2</v>
      </c>
      <c r="AN245" s="24">
        <v>1.6170368416224485</v>
      </c>
      <c r="AO245" s="23">
        <v>-99</v>
      </c>
    </row>
    <row r="246" spans="1:41" x14ac:dyDescent="0.25">
      <c r="A246" s="4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1"/>
      <c r="Q246" s="18"/>
      <c r="R246" s="18"/>
      <c r="T246">
        <v>2009033</v>
      </c>
      <c r="U246" t="s">
        <v>458</v>
      </c>
      <c r="V246">
        <v>5.9959999999999999E-2</v>
      </c>
      <c r="W246">
        <v>0.38296000000000002</v>
      </c>
      <c r="X246">
        <v>2.8080000000000001E-2</v>
      </c>
      <c r="Y246">
        <v>1.34365</v>
      </c>
      <c r="Z246">
        <v>19.564260000000001</v>
      </c>
      <c r="AA246">
        <v>10.602349999999999</v>
      </c>
      <c r="AB246">
        <v>-1.42839</v>
      </c>
      <c r="AC246" s="23">
        <v>6.0199999999999997E-2</v>
      </c>
      <c r="AD246" s="23">
        <v>0.38652999999999998</v>
      </c>
      <c r="AE246" s="23">
        <v>2.639E-2</v>
      </c>
      <c r="AF246" s="23">
        <v>1.3499699999999999</v>
      </c>
      <c r="AG246" s="23">
        <v>18.308240000000001</v>
      </c>
      <c r="AH246" s="23">
        <v>9.9819899999999997</v>
      </c>
      <c r="AI246" s="23">
        <v>-1.34249</v>
      </c>
      <c r="AJ246" s="25">
        <v>0.76284333333333343</v>
      </c>
      <c r="AK246" s="25">
        <v>0.38590721460504718</v>
      </c>
      <c r="AL246" s="25">
        <v>0.21068455410938602</v>
      </c>
      <c r="AM246" s="25">
        <v>0.10043130662826261</v>
      </c>
      <c r="AN246" s="24">
        <v>1.6273458812966248</v>
      </c>
      <c r="AO246" s="23">
        <v>-99</v>
      </c>
    </row>
    <row r="247" spans="1:41" ht="51.75" x14ac:dyDescent="0.25">
      <c r="A247" s="14" t="s">
        <v>21</v>
      </c>
      <c r="B247" s="9" t="s">
        <v>20</v>
      </c>
      <c r="C247" s="13" t="s">
        <v>19</v>
      </c>
      <c r="D247" s="12" t="s">
        <v>18</v>
      </c>
      <c r="E247" s="11" t="s">
        <v>17</v>
      </c>
      <c r="F247" s="11" t="s">
        <v>16</v>
      </c>
      <c r="G247" s="11" t="s">
        <v>15</v>
      </c>
      <c r="H247" s="11" t="s">
        <v>14</v>
      </c>
      <c r="I247" s="11" t="s">
        <v>13</v>
      </c>
      <c r="J247" s="11" t="s">
        <v>12</v>
      </c>
      <c r="K247" s="11" t="s">
        <v>11</v>
      </c>
      <c r="L247" s="11" t="s">
        <v>10</v>
      </c>
      <c r="M247" s="10" t="s">
        <v>9</v>
      </c>
      <c r="N247" s="10" t="s">
        <v>8</v>
      </c>
      <c r="O247" s="10" t="s">
        <v>7</v>
      </c>
      <c r="P247" s="9" t="s">
        <v>6</v>
      </c>
      <c r="Q247" s="21" t="s">
        <v>5</v>
      </c>
      <c r="R247" s="20"/>
      <c r="T247">
        <v>2009033</v>
      </c>
      <c r="U247" t="s">
        <v>457</v>
      </c>
      <c r="V247">
        <v>6.3880000000000006E-2</v>
      </c>
      <c r="W247">
        <v>0.39191999999999999</v>
      </c>
      <c r="X247">
        <v>2.3560000000000001E-2</v>
      </c>
      <c r="Y247">
        <v>1.35243</v>
      </c>
      <c r="Z247">
        <v>14.27162</v>
      </c>
      <c r="AA247">
        <v>8.3640799999999995</v>
      </c>
      <c r="AB247">
        <v>-1.2616400000000001</v>
      </c>
      <c r="AC247" s="23">
        <v>5.0959999999999998E-2</v>
      </c>
      <c r="AD247" s="23">
        <v>0.38089000000000001</v>
      </c>
      <c r="AE247" s="23">
        <v>3.2120000000000003E-2</v>
      </c>
      <c r="AF247" s="23">
        <v>1.3990899999999999</v>
      </c>
      <c r="AG247" s="23">
        <v>34.925460000000001</v>
      </c>
      <c r="AH247" s="23">
        <v>15.21889</v>
      </c>
      <c r="AI247" s="23">
        <v>-1.25125</v>
      </c>
      <c r="AJ247" s="25">
        <v>1.4552275000000001</v>
      </c>
      <c r="AK247" s="25">
        <v>0.3801275229681092</v>
      </c>
      <c r="AL247" s="25">
        <v>0.17779877332920463</v>
      </c>
      <c r="AM247" s="25">
        <v>7.8994618478489445E-2</v>
      </c>
      <c r="AN247" s="24">
        <v>1.6426620641345107</v>
      </c>
      <c r="AO247" s="23">
        <v>-99</v>
      </c>
    </row>
    <row r="248" spans="1:41" x14ac:dyDescent="0.25"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"/>
      <c r="Q248" s="5" t="s">
        <v>4</v>
      </c>
      <c r="R248" s="5" t="s">
        <v>3</v>
      </c>
      <c r="T248">
        <v>2009033</v>
      </c>
      <c r="U248" t="s">
        <v>456</v>
      </c>
      <c r="V248">
        <v>5.7619999999999998E-2</v>
      </c>
      <c r="W248">
        <v>0.39029000000000003</v>
      </c>
      <c r="X248">
        <v>2.2710000000000001E-2</v>
      </c>
      <c r="Y248">
        <v>1.3794200000000001</v>
      </c>
      <c r="Z248">
        <v>18.513850000000001</v>
      </c>
      <c r="AA248">
        <v>8.9708100000000002</v>
      </c>
      <c r="AB248">
        <v>-1.08558</v>
      </c>
      <c r="AC248" s="23">
        <v>5.9959999999999999E-2</v>
      </c>
      <c r="AD248" s="23">
        <v>0.38296000000000002</v>
      </c>
      <c r="AE248" s="23">
        <v>2.8080000000000001E-2</v>
      </c>
      <c r="AF248" s="23">
        <v>1.34365</v>
      </c>
      <c r="AG248" s="23">
        <v>19.564260000000001</v>
      </c>
      <c r="AH248" s="23">
        <v>10.602349999999999</v>
      </c>
      <c r="AI248" s="23">
        <v>-1.42839</v>
      </c>
      <c r="AJ248" s="25">
        <v>0.8151775</v>
      </c>
      <c r="AK248" s="25">
        <v>0.38228393816534528</v>
      </c>
      <c r="AL248" s="25">
        <v>0.20793736914073752</v>
      </c>
      <c r="AM248" s="25">
        <v>0.10044219455360617</v>
      </c>
      <c r="AN248" s="24">
        <v>1.6369475638618347</v>
      </c>
      <c r="AO248" s="23">
        <v>-99</v>
      </c>
    </row>
    <row r="249" spans="1:41" x14ac:dyDescent="0.25">
      <c r="A249" s="4">
        <v>47</v>
      </c>
      <c r="B249">
        <v>30</v>
      </c>
      <c r="C249">
        <v>50</v>
      </c>
      <c r="D249">
        <v>20</v>
      </c>
      <c r="E249" s="3">
        <v>24</v>
      </c>
      <c r="F249" s="3">
        <f>1.8*E249+32</f>
        <v>75.2</v>
      </c>
      <c r="G249" s="3">
        <v>18</v>
      </c>
      <c r="H249" s="3">
        <f>IF(F249&gt;68,G249+(F249-68)*0.2,G397-(68-F249)*0.2)</f>
        <v>19.440000000000001</v>
      </c>
      <c r="I249" s="3">
        <v>22.5</v>
      </c>
      <c r="J249" s="3">
        <f>1.8*I249+32</f>
        <v>72.5</v>
      </c>
      <c r="K249" s="3">
        <v>9</v>
      </c>
      <c r="L249" s="3">
        <f>IF(J249&gt;67,K249+(J249-67)*0.2,K249-(67-J249)*0.2)</f>
        <v>10.1</v>
      </c>
      <c r="M249" s="3">
        <f>(C249-H249)/C249*100</f>
        <v>61.12</v>
      </c>
      <c r="N249" s="3">
        <f>100-(M249+O249)</f>
        <v>18.680000000000007</v>
      </c>
      <c r="O249" s="3">
        <f>L249/C249*100</f>
        <v>20.2</v>
      </c>
      <c r="P249" s="1" t="s">
        <v>2</v>
      </c>
      <c r="Q249" s="15">
        <v>407547.788</v>
      </c>
      <c r="R249" s="15">
        <v>3660029</v>
      </c>
      <c r="T249">
        <v>2009033</v>
      </c>
      <c r="U249" t="s">
        <v>455</v>
      </c>
      <c r="V249">
        <v>6.0199999999999997E-2</v>
      </c>
      <c r="W249">
        <v>0.38652999999999998</v>
      </c>
      <c r="X249">
        <v>2.639E-2</v>
      </c>
      <c r="Y249">
        <v>1.3499699999999999</v>
      </c>
      <c r="Z249">
        <v>18.308240000000001</v>
      </c>
      <c r="AA249">
        <v>9.9819899999999997</v>
      </c>
      <c r="AB249">
        <v>-1.34249</v>
      </c>
      <c r="AC249" s="23">
        <v>6.2869999999999995E-2</v>
      </c>
      <c r="AD249" s="23">
        <v>0.38408999999999999</v>
      </c>
      <c r="AE249" s="23">
        <v>2.7320000000000001E-2</v>
      </c>
      <c r="AF249" s="23">
        <v>1.3305499999999999</v>
      </c>
      <c r="AG249" s="23">
        <v>16.587289999999999</v>
      </c>
      <c r="AH249" s="23">
        <v>9.6931600000000007</v>
      </c>
      <c r="AI249" s="23">
        <v>-1.49211</v>
      </c>
      <c r="AJ249" s="25">
        <v>0.69113708333333335</v>
      </c>
      <c r="AK249" s="25">
        <v>0.38343018377884824</v>
      </c>
      <c r="AL249" s="25">
        <v>0.2157181568049219</v>
      </c>
      <c r="AM249" s="25">
        <v>0.10684247193497465</v>
      </c>
      <c r="AN249" s="24">
        <v>1.633910012986052</v>
      </c>
      <c r="AO249" s="23">
        <v>-99</v>
      </c>
    </row>
    <row r="250" spans="1:41" x14ac:dyDescent="0.25">
      <c r="A250" s="4">
        <v>47</v>
      </c>
      <c r="B250">
        <v>60</v>
      </c>
      <c r="C250">
        <v>50</v>
      </c>
      <c r="D250">
        <v>20</v>
      </c>
      <c r="E250" s="3">
        <v>25.5</v>
      </c>
      <c r="F250" s="3">
        <f>1.8*E250+32</f>
        <v>77.900000000000006</v>
      </c>
      <c r="G250" s="3">
        <v>19</v>
      </c>
      <c r="H250" s="3">
        <f>IF(F250&gt;68,G250+(F250-68)*0.2,G398-(68-F250)*0.2)</f>
        <v>20.98</v>
      </c>
      <c r="I250" s="3">
        <v>23</v>
      </c>
      <c r="J250" s="3">
        <f>1.8*I250+32</f>
        <v>73.400000000000006</v>
      </c>
      <c r="K250" s="3">
        <v>12</v>
      </c>
      <c r="L250" s="3">
        <f>IF(J250&gt;67,K250+(J250-67)*0.2,K250-(67-J250)*0.2)</f>
        <v>13.280000000000001</v>
      </c>
      <c r="M250" s="3">
        <f>(C250-H250)/C250*100</f>
        <v>58.040000000000006</v>
      </c>
      <c r="N250" s="3">
        <f>100-(M250+O250)</f>
        <v>15.399999999999991</v>
      </c>
      <c r="O250" s="3">
        <f>L250/C250*100</f>
        <v>26.56</v>
      </c>
      <c r="P250" s="1" t="s">
        <v>2</v>
      </c>
      <c r="Q250" s="15">
        <v>407547.788</v>
      </c>
      <c r="R250" s="15">
        <v>3660029</v>
      </c>
      <c r="T250">
        <v>2009033</v>
      </c>
      <c r="U250" t="s">
        <v>454</v>
      </c>
      <c r="V250">
        <v>5.0959999999999998E-2</v>
      </c>
      <c r="W250">
        <v>0.38089000000000001</v>
      </c>
      <c r="X250">
        <v>3.2120000000000003E-2</v>
      </c>
      <c r="Y250">
        <v>1.3990899999999999</v>
      </c>
      <c r="Z250">
        <v>34.925460000000001</v>
      </c>
      <c r="AA250">
        <v>15.21889</v>
      </c>
      <c r="AB250">
        <v>-1.25125</v>
      </c>
      <c r="AC250" s="23">
        <v>5.7140000000000003E-2</v>
      </c>
      <c r="AD250" s="23">
        <v>0.37992999999999999</v>
      </c>
      <c r="AE250" s="23">
        <v>2.9700000000000001E-2</v>
      </c>
      <c r="AF250" s="23">
        <v>1.3605100000000001</v>
      </c>
      <c r="AG250" s="23">
        <v>24.229610000000001</v>
      </c>
      <c r="AH250" s="23">
        <v>11.96278</v>
      </c>
      <c r="AI250" s="23">
        <v>-1.3863000000000001</v>
      </c>
      <c r="AJ250" s="25">
        <v>1.0095670833333334</v>
      </c>
      <c r="AK250" s="25">
        <v>0.37921875748068085</v>
      </c>
      <c r="AL250" s="25">
        <v>0.19682708030501636</v>
      </c>
      <c r="AM250" s="25">
        <v>9.2945960814808173E-2</v>
      </c>
      <c r="AN250" s="24">
        <v>1.6450702926761955</v>
      </c>
      <c r="AO250" s="23">
        <v>-99</v>
      </c>
    </row>
    <row r="251" spans="1:41" x14ac:dyDescent="0.25">
      <c r="A251" s="4">
        <v>47</v>
      </c>
      <c r="B251">
        <v>90</v>
      </c>
      <c r="C251">
        <v>50</v>
      </c>
      <c r="D251">
        <v>20</v>
      </c>
      <c r="E251" s="3">
        <v>25.5</v>
      </c>
      <c r="F251" s="3">
        <f>1.8*E251+32</f>
        <v>77.900000000000006</v>
      </c>
      <c r="G251" s="3">
        <v>17</v>
      </c>
      <c r="H251" s="3">
        <f>IF(F251&gt;68,G251+(F251-68)*0.2,G399-(68-F251)*0.2)</f>
        <v>18.98</v>
      </c>
      <c r="I251" s="3">
        <v>23</v>
      </c>
      <c r="J251" s="3">
        <f>1.8*I251+32</f>
        <v>73.400000000000006</v>
      </c>
      <c r="K251" s="3">
        <v>9</v>
      </c>
      <c r="L251" s="3">
        <f>IF(J251&gt;67,K251+(J251-67)*0.2,K251-(67-J251)*0.2)</f>
        <v>10.280000000000001</v>
      </c>
      <c r="M251" s="3">
        <f>(C251-H251)/C251*100</f>
        <v>62.039999999999992</v>
      </c>
      <c r="N251" s="3">
        <f>100-(M251+O251)</f>
        <v>17.400000000000006</v>
      </c>
      <c r="O251" s="3">
        <f>L251/C251*100</f>
        <v>20.560000000000002</v>
      </c>
      <c r="P251" s="1" t="s">
        <v>2</v>
      </c>
      <c r="Q251" s="15">
        <v>407547.788</v>
      </c>
      <c r="R251" s="15">
        <v>3660029</v>
      </c>
      <c r="T251">
        <v>2009033</v>
      </c>
      <c r="U251" t="s">
        <v>453</v>
      </c>
      <c r="V251">
        <v>5.9959999999999999E-2</v>
      </c>
      <c r="W251">
        <v>0.38296000000000002</v>
      </c>
      <c r="X251">
        <v>2.8080000000000001E-2</v>
      </c>
      <c r="Y251">
        <v>1.34365</v>
      </c>
      <c r="Z251">
        <v>19.564260000000001</v>
      </c>
      <c r="AA251">
        <v>10.602349999999999</v>
      </c>
      <c r="AB251">
        <v>-1.42839</v>
      </c>
      <c r="AC251" s="23">
        <v>4.9529999999999998E-2</v>
      </c>
      <c r="AD251" s="23">
        <v>0.37805</v>
      </c>
      <c r="AE251" s="23">
        <v>3.3939999999999998E-2</v>
      </c>
      <c r="AF251" s="23">
        <v>1.5971200000000001</v>
      </c>
      <c r="AG251" s="23">
        <v>72.911150000000006</v>
      </c>
      <c r="AH251" s="23">
        <v>19.958539999999999</v>
      </c>
      <c r="AI251" s="23">
        <v>-0.99287000000000003</v>
      </c>
      <c r="AJ251" s="25">
        <v>3.0379645833333337</v>
      </c>
      <c r="AK251" s="25">
        <v>0.37749879126853458</v>
      </c>
      <c r="AL251" s="25">
        <v>0.12615300818714681</v>
      </c>
      <c r="AM251" s="25">
        <v>5.747818253796301E-2</v>
      </c>
      <c r="AN251" s="24">
        <v>1.6496282031383833</v>
      </c>
      <c r="AO251" s="23">
        <v>-99</v>
      </c>
    </row>
    <row r="252" spans="1:41" x14ac:dyDescent="0.25">
      <c r="A252" s="4">
        <v>47</v>
      </c>
      <c r="B252">
        <v>120</v>
      </c>
      <c r="C252">
        <v>50</v>
      </c>
      <c r="D252">
        <v>20</v>
      </c>
      <c r="E252" s="3">
        <v>26</v>
      </c>
      <c r="F252" s="3">
        <f>1.8*E252+32</f>
        <v>78.800000000000011</v>
      </c>
      <c r="G252" s="3">
        <v>14</v>
      </c>
      <c r="H252" s="3">
        <f>IF(F252&gt;68,G252+(F252-68)*0.2,G400-(68-F252)*0.2)</f>
        <v>16.160000000000004</v>
      </c>
      <c r="I252" s="3">
        <v>23</v>
      </c>
      <c r="J252" s="3">
        <f>1.8*I252+32</f>
        <v>73.400000000000006</v>
      </c>
      <c r="K252" s="3">
        <v>8</v>
      </c>
      <c r="L252" s="3">
        <f>IF(J252&gt;67,K252+(J252-67)*0.2,K252-(67-J252)*0.2)</f>
        <v>9.2800000000000011</v>
      </c>
      <c r="M252" s="3">
        <f>(C252-H252)/C252*100</f>
        <v>67.679999999999993</v>
      </c>
      <c r="N252" s="3">
        <f>100-(M252+O252)</f>
        <v>13.760000000000005</v>
      </c>
      <c r="O252" s="3">
        <f>L252/C252*100</f>
        <v>18.560000000000002</v>
      </c>
      <c r="P252" s="1" t="s">
        <v>0</v>
      </c>
      <c r="Q252" s="15">
        <v>407547.788</v>
      </c>
      <c r="R252" s="15">
        <v>3660029</v>
      </c>
      <c r="T252">
        <v>2009033</v>
      </c>
      <c r="U252" t="s">
        <v>452</v>
      </c>
      <c r="V252">
        <v>6.2869999999999995E-2</v>
      </c>
      <c r="W252">
        <v>0.38408999999999999</v>
      </c>
      <c r="X252">
        <v>2.7320000000000001E-2</v>
      </c>
      <c r="Y252">
        <v>1.3305499999999999</v>
      </c>
      <c r="Z252">
        <v>16.587289999999999</v>
      </c>
      <c r="AA252">
        <v>9.6931600000000007</v>
      </c>
      <c r="AB252">
        <v>-1.49211</v>
      </c>
      <c r="AC252" s="23">
        <v>5.2389999999999999E-2</v>
      </c>
      <c r="AD252" s="23">
        <v>0.37806000000000001</v>
      </c>
      <c r="AE252" s="23">
        <v>3.2140000000000002E-2</v>
      </c>
      <c r="AF252" s="23">
        <v>1.4292899999999999</v>
      </c>
      <c r="AG252" s="23">
        <v>38.93329</v>
      </c>
      <c r="AH252" s="23">
        <v>15.23728</v>
      </c>
      <c r="AI252" s="23">
        <v>-1.2055499999999999</v>
      </c>
      <c r="AJ252" s="25">
        <v>1.6222204166666667</v>
      </c>
      <c r="AK252" s="25">
        <v>0.37734472048098877</v>
      </c>
      <c r="AL252" s="25">
        <v>0.16893547285104843</v>
      </c>
      <c r="AM252" s="25">
        <v>7.5346979305854711E-2</v>
      </c>
      <c r="AN252" s="24">
        <v>1.6500364907253797</v>
      </c>
      <c r="AO252" s="23">
        <v>-99</v>
      </c>
    </row>
    <row r="253" spans="1:41" x14ac:dyDescent="0.25">
      <c r="A253" s="4">
        <v>47</v>
      </c>
      <c r="B253">
        <v>150</v>
      </c>
      <c r="C253">
        <v>50</v>
      </c>
      <c r="D253">
        <v>20</v>
      </c>
      <c r="E253" s="3">
        <v>25.5</v>
      </c>
      <c r="F253" s="3">
        <f>1.8*E253+32</f>
        <v>77.900000000000006</v>
      </c>
      <c r="G253" s="3">
        <v>14</v>
      </c>
      <c r="H253" s="3">
        <f>IF(F253&gt;68,G253+(F253-68)*0.2,G401-(68-F253)*0.2)</f>
        <v>15.98</v>
      </c>
      <c r="I253" s="3">
        <v>23</v>
      </c>
      <c r="J253" s="3">
        <f>1.8*I253+32</f>
        <v>73.400000000000006</v>
      </c>
      <c r="K253" s="3">
        <v>8</v>
      </c>
      <c r="L253" s="3">
        <f>IF(J253&gt;67,K253+(J253-67)*0.2,K253-(67-J253)*0.2)</f>
        <v>9.2800000000000011</v>
      </c>
      <c r="M253" s="3">
        <f>(C253-H253)/C253*100</f>
        <v>68.039999999999992</v>
      </c>
      <c r="N253" s="3">
        <f>100-(M253+O253)</f>
        <v>13.400000000000006</v>
      </c>
      <c r="O253" s="3">
        <f>L253/C253*100</f>
        <v>18.560000000000002</v>
      </c>
      <c r="P253" s="1" t="s">
        <v>0</v>
      </c>
      <c r="Q253" s="15">
        <v>407547.788</v>
      </c>
      <c r="R253" s="15">
        <v>3660029</v>
      </c>
      <c r="T253">
        <v>2009033</v>
      </c>
      <c r="U253" t="s">
        <v>451</v>
      </c>
      <c r="V253">
        <v>5.7140000000000003E-2</v>
      </c>
      <c r="W253">
        <v>0.37992999999999999</v>
      </c>
      <c r="X253">
        <v>2.9700000000000001E-2</v>
      </c>
      <c r="Y253">
        <v>1.3605100000000001</v>
      </c>
      <c r="Z253">
        <v>24.229610000000001</v>
      </c>
      <c r="AA253">
        <v>11.96278</v>
      </c>
      <c r="AB253">
        <v>-1.3863000000000001</v>
      </c>
      <c r="AC253" s="23">
        <v>5.3659999999999999E-2</v>
      </c>
      <c r="AD253" s="23">
        <v>0.38289000000000001</v>
      </c>
      <c r="AE253" s="23">
        <v>2.9649999999999999E-2</v>
      </c>
      <c r="AF253" s="23">
        <v>1.37178</v>
      </c>
      <c r="AG253" s="23">
        <v>27.116800000000001</v>
      </c>
      <c r="AH253" s="23">
        <v>12.896430000000001</v>
      </c>
      <c r="AI253" s="23">
        <v>-1.29695</v>
      </c>
      <c r="AJ253" s="25">
        <v>1.1298666666666668</v>
      </c>
      <c r="AK253" s="25">
        <v>0.38217837636454427</v>
      </c>
      <c r="AL253" s="25">
        <v>0.19258938888045246</v>
      </c>
      <c r="AM253" s="25">
        <v>8.7775789758235745E-2</v>
      </c>
      <c r="AN253" s="24">
        <v>1.6372273026339574</v>
      </c>
      <c r="AO253" s="23">
        <v>-99</v>
      </c>
    </row>
    <row r="254" spans="1:41" x14ac:dyDescent="0.25">
      <c r="A254" s="4">
        <v>47</v>
      </c>
      <c r="B254">
        <v>180</v>
      </c>
      <c r="C254">
        <v>50</v>
      </c>
      <c r="D254">
        <v>20</v>
      </c>
      <c r="E254" s="3">
        <v>25.5</v>
      </c>
      <c r="F254" s="3">
        <f>1.8*E254+32</f>
        <v>77.900000000000006</v>
      </c>
      <c r="G254" s="3">
        <v>17</v>
      </c>
      <c r="H254" s="3">
        <f>IF(F254&gt;68,G254+(F254-68)*0.2,G402-(68-F254)*0.2)</f>
        <v>18.98</v>
      </c>
      <c r="I254" s="3">
        <v>23</v>
      </c>
      <c r="J254" s="3">
        <f>1.8*I254+32</f>
        <v>73.400000000000006</v>
      </c>
      <c r="K254" s="3">
        <v>10</v>
      </c>
      <c r="L254" s="3">
        <f>IF(J254&gt;67,K254+(J254-67)*0.2,K254-(67-J254)*0.2)</f>
        <v>11.280000000000001</v>
      </c>
      <c r="M254" s="3">
        <f>(C254-H254)/C254*100</f>
        <v>62.039999999999992</v>
      </c>
      <c r="N254" s="3">
        <f>100-(M254+O254)</f>
        <v>15.400000000000006</v>
      </c>
      <c r="O254" s="3">
        <f>L254/C254*100</f>
        <v>22.560000000000002</v>
      </c>
      <c r="P254" s="1" t="s">
        <v>2</v>
      </c>
      <c r="Q254" s="15">
        <v>407547.788</v>
      </c>
      <c r="R254" s="15">
        <v>3660029</v>
      </c>
      <c r="T254">
        <v>2009033</v>
      </c>
      <c r="U254" t="s">
        <v>450</v>
      </c>
      <c r="V254">
        <v>4.9529999999999998E-2</v>
      </c>
      <c r="W254">
        <v>0.37805</v>
      </c>
      <c r="X254">
        <v>3.3939999999999998E-2</v>
      </c>
      <c r="Y254">
        <v>1.5971200000000001</v>
      </c>
      <c r="Z254">
        <v>72.911150000000006</v>
      </c>
      <c r="AA254">
        <v>19.958539999999999</v>
      </c>
      <c r="AB254">
        <v>-0.99287000000000003</v>
      </c>
      <c r="AC254" s="23">
        <v>5.9970000000000002E-2</v>
      </c>
      <c r="AD254" s="23">
        <v>0.38075999999999999</v>
      </c>
      <c r="AE254" s="23">
        <v>2.8680000000000001E-2</v>
      </c>
      <c r="AF254" s="23">
        <v>1.3428</v>
      </c>
      <c r="AG254" s="23">
        <v>20.098030000000001</v>
      </c>
      <c r="AH254" s="23">
        <v>10.77417</v>
      </c>
      <c r="AI254" s="23">
        <v>-1.4570799999999999</v>
      </c>
      <c r="AJ254" s="25">
        <v>0.83741791666666676</v>
      </c>
      <c r="AK254" s="25">
        <v>0.38006851575439882</v>
      </c>
      <c r="AL254" s="25">
        <v>0.20620057315095447</v>
      </c>
      <c r="AM254" s="25">
        <v>0.10009050367289798</v>
      </c>
      <c r="AN254" s="24">
        <v>1.6428184332508431</v>
      </c>
      <c r="AO254" s="23">
        <v>-99</v>
      </c>
    </row>
    <row r="255" spans="1:41" x14ac:dyDescent="0.25">
      <c r="A255" s="4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"/>
      <c r="Q255" s="18"/>
      <c r="R255" s="18"/>
      <c r="T255">
        <v>2009033</v>
      </c>
      <c r="U255" t="s">
        <v>449</v>
      </c>
      <c r="V255">
        <v>5.2389999999999999E-2</v>
      </c>
      <c r="W255">
        <v>0.37806000000000001</v>
      </c>
      <c r="X255">
        <v>3.2140000000000002E-2</v>
      </c>
      <c r="Y255">
        <v>1.4292899999999999</v>
      </c>
      <c r="Z255">
        <v>38.93329</v>
      </c>
      <c r="AA255">
        <v>15.23728</v>
      </c>
      <c r="AB255">
        <v>-1.2055499999999999</v>
      </c>
      <c r="AC255" s="23">
        <v>5.289E-2</v>
      </c>
      <c r="AD255" s="23">
        <v>0.38455</v>
      </c>
      <c r="AE255" s="23">
        <v>2.8459999999999999E-2</v>
      </c>
      <c r="AF255" s="23">
        <v>1.3738999999999999</v>
      </c>
      <c r="AG255" s="23">
        <v>26.52018</v>
      </c>
      <c r="AH255" s="23">
        <v>12.50117</v>
      </c>
      <c r="AI255" s="23">
        <v>-1.2447299999999999</v>
      </c>
      <c r="AJ255" s="25">
        <v>1.1050074999999999</v>
      </c>
      <c r="AK255" s="25">
        <v>0.38387439013336794</v>
      </c>
      <c r="AL255" s="25">
        <v>0.19422583866851359</v>
      </c>
      <c r="AM255" s="25">
        <v>8.7339695793002631E-2</v>
      </c>
      <c r="AN255" s="24">
        <v>1.632732866146575</v>
      </c>
      <c r="AO255" s="23">
        <v>-99</v>
      </c>
    </row>
    <row r="256" spans="1:41" ht="51.75" x14ac:dyDescent="0.25">
      <c r="A256" s="14" t="s">
        <v>21</v>
      </c>
      <c r="B256" s="9" t="s">
        <v>20</v>
      </c>
      <c r="C256" s="13" t="s">
        <v>19</v>
      </c>
      <c r="D256" s="12" t="s">
        <v>18</v>
      </c>
      <c r="E256" s="11" t="s">
        <v>17</v>
      </c>
      <c r="F256" s="11" t="s">
        <v>16</v>
      </c>
      <c r="G256" s="11" t="s">
        <v>15</v>
      </c>
      <c r="H256" s="11" t="s">
        <v>14</v>
      </c>
      <c r="I256" s="11" t="s">
        <v>13</v>
      </c>
      <c r="J256" s="11" t="s">
        <v>12</v>
      </c>
      <c r="K256" s="11" t="s">
        <v>11</v>
      </c>
      <c r="L256" s="11" t="s">
        <v>10</v>
      </c>
      <c r="M256" s="10" t="s">
        <v>9</v>
      </c>
      <c r="N256" s="10" t="s">
        <v>8</v>
      </c>
      <c r="O256" s="10" t="s">
        <v>7</v>
      </c>
      <c r="P256" s="9" t="s">
        <v>6</v>
      </c>
      <c r="Q256" s="8" t="s">
        <v>5</v>
      </c>
      <c r="R256" s="7"/>
      <c r="T256">
        <v>2009033</v>
      </c>
      <c r="U256" t="s">
        <v>448</v>
      </c>
      <c r="V256">
        <v>5.3659999999999999E-2</v>
      </c>
      <c r="W256">
        <v>0.38289000000000001</v>
      </c>
      <c r="X256">
        <v>2.9649999999999999E-2</v>
      </c>
      <c r="Y256">
        <v>1.37178</v>
      </c>
      <c r="Z256">
        <v>27.116800000000001</v>
      </c>
      <c r="AA256">
        <v>12.896430000000001</v>
      </c>
      <c r="AB256">
        <v>-1.29695</v>
      </c>
      <c r="AC256" s="23">
        <v>6.157E-2</v>
      </c>
      <c r="AD256" s="23">
        <v>0.39740999999999999</v>
      </c>
      <c r="AE256" s="23">
        <v>1.7270000000000001E-2</v>
      </c>
      <c r="AF256" s="23">
        <v>1.40896</v>
      </c>
      <c r="AG256" s="23">
        <v>13.159660000000001</v>
      </c>
      <c r="AH256" s="23">
        <v>6.1946300000000001</v>
      </c>
      <c r="AI256" s="23">
        <v>-0.81813999999999998</v>
      </c>
      <c r="AJ256" s="25">
        <v>0.54831916666666669</v>
      </c>
      <c r="AK256" s="25">
        <v>0.39709054388328568</v>
      </c>
      <c r="AL256" s="25">
        <v>0.22194755652697123</v>
      </c>
      <c r="AM256" s="25">
        <v>9.6172297288381114E-2</v>
      </c>
      <c r="AN256" s="24">
        <v>1.5977100587092929</v>
      </c>
      <c r="AO256" s="23">
        <v>-99</v>
      </c>
    </row>
    <row r="257" spans="1:41" x14ac:dyDescent="0.25">
      <c r="C257" s="16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"/>
      <c r="Q257" s="5" t="s">
        <v>4</v>
      </c>
      <c r="R257" s="5" t="s">
        <v>3</v>
      </c>
      <c r="T257">
        <v>2009033</v>
      </c>
      <c r="U257" t="s">
        <v>447</v>
      </c>
      <c r="V257">
        <v>5.9970000000000002E-2</v>
      </c>
      <c r="W257">
        <v>0.38075999999999999</v>
      </c>
      <c r="X257">
        <v>2.8680000000000001E-2</v>
      </c>
      <c r="Y257">
        <v>1.3428</v>
      </c>
      <c r="Z257">
        <v>20.098030000000001</v>
      </c>
      <c r="AA257">
        <v>10.77417</v>
      </c>
      <c r="AB257">
        <v>-1.4570799999999999</v>
      </c>
      <c r="AC257" s="23">
        <v>5.6300000000000003E-2</v>
      </c>
      <c r="AD257" s="23">
        <v>0.38536999999999999</v>
      </c>
      <c r="AE257" s="23">
        <v>2.7279999999999999E-2</v>
      </c>
      <c r="AF257" s="23">
        <v>1.3631500000000001</v>
      </c>
      <c r="AG257" s="23">
        <v>22.294650000000001</v>
      </c>
      <c r="AH257" s="23">
        <v>11.15901</v>
      </c>
      <c r="AI257" s="23">
        <v>-1.2824599999999999</v>
      </c>
      <c r="AJ257" s="25">
        <v>0.92894375000000007</v>
      </c>
      <c r="AK257" s="25">
        <v>0.38472637915567715</v>
      </c>
      <c r="AL257" s="25">
        <v>0.20208310947980784</v>
      </c>
      <c r="AM257" s="25">
        <v>9.3345208303800165E-2</v>
      </c>
      <c r="AN257" s="24">
        <v>1.6304750952374554</v>
      </c>
      <c r="AO257" s="23">
        <v>-99</v>
      </c>
    </row>
    <row r="258" spans="1:41" x14ac:dyDescent="0.25">
      <c r="A258" s="4">
        <v>51</v>
      </c>
      <c r="B258">
        <v>30</v>
      </c>
      <c r="C258" s="16">
        <v>50</v>
      </c>
      <c r="D258">
        <v>20</v>
      </c>
      <c r="E258" s="3">
        <v>25.5</v>
      </c>
      <c r="F258" s="3">
        <f>1.8*E258+32</f>
        <v>77.900000000000006</v>
      </c>
      <c r="G258" s="3">
        <v>16</v>
      </c>
      <c r="H258" s="3">
        <f>IF(F258&gt;68,G258+(F258-68)*0.2,G405-(68-F258)*0.2)</f>
        <v>17.98</v>
      </c>
      <c r="I258" s="3">
        <v>23</v>
      </c>
      <c r="J258" s="3">
        <f>1.8*I258+32</f>
        <v>73.400000000000006</v>
      </c>
      <c r="K258" s="3">
        <v>7</v>
      </c>
      <c r="L258" s="3">
        <f>IF(J258&gt;68,K258+(J258-68)*0.2,K258-(68-J258)*0.2)</f>
        <v>8.0800000000000018</v>
      </c>
      <c r="M258" s="3">
        <f>(C258-H258)/C258*100</f>
        <v>64.039999999999992</v>
      </c>
      <c r="N258" s="3">
        <f>100-(M258+O258)</f>
        <v>19.800000000000011</v>
      </c>
      <c r="O258" s="3">
        <f>L258/C258*100</f>
        <v>16.160000000000004</v>
      </c>
      <c r="P258" s="1" t="s">
        <v>0</v>
      </c>
      <c r="Q258" s="15">
        <v>407533.56400000001</v>
      </c>
      <c r="R258" s="15">
        <v>3659870</v>
      </c>
      <c r="T258">
        <v>2009033</v>
      </c>
      <c r="U258" t="s">
        <v>446</v>
      </c>
      <c r="V258">
        <v>5.289E-2</v>
      </c>
      <c r="W258">
        <v>0.38455</v>
      </c>
      <c r="X258">
        <v>2.8459999999999999E-2</v>
      </c>
      <c r="Y258">
        <v>1.3738999999999999</v>
      </c>
      <c r="Z258">
        <v>26.52018</v>
      </c>
      <c r="AA258">
        <v>12.50117</v>
      </c>
      <c r="AB258">
        <v>-1.2447299999999999</v>
      </c>
      <c r="AC258" s="23">
        <v>5.944E-2</v>
      </c>
      <c r="AD258" s="23">
        <v>0.38486999999999999</v>
      </c>
      <c r="AE258" s="23">
        <v>2.733E-2</v>
      </c>
      <c r="AF258" s="23">
        <v>1.34907</v>
      </c>
      <c r="AG258" s="23">
        <v>19.50497</v>
      </c>
      <c r="AH258" s="23">
        <v>10.474460000000001</v>
      </c>
      <c r="AI258" s="23">
        <v>-1.3720300000000001</v>
      </c>
      <c r="AJ258" s="25">
        <v>0.8127070833333333</v>
      </c>
      <c r="AK258" s="25">
        <v>0.38421817046281148</v>
      </c>
      <c r="AL258" s="25">
        <v>0.20806729660059209</v>
      </c>
      <c r="AM258" s="25">
        <v>9.9287222305290843E-2</v>
      </c>
      <c r="AN258" s="24">
        <v>1.6318218482735496</v>
      </c>
      <c r="AO258" s="23">
        <v>-99</v>
      </c>
    </row>
    <row r="259" spans="1:41" x14ac:dyDescent="0.25">
      <c r="A259" s="4">
        <v>51</v>
      </c>
      <c r="B259">
        <v>60</v>
      </c>
      <c r="C259" s="16">
        <v>50</v>
      </c>
      <c r="D259">
        <v>20</v>
      </c>
      <c r="E259" s="3">
        <v>26</v>
      </c>
      <c r="F259" s="3">
        <f>1.8*E259+32</f>
        <v>78.800000000000011</v>
      </c>
      <c r="G259" s="3">
        <v>12</v>
      </c>
      <c r="H259" s="3">
        <f>IF(F259&gt;68,G259+(F259-68)*0.2,G406-(68-F259)*0.2)</f>
        <v>14.160000000000002</v>
      </c>
      <c r="I259" s="3">
        <v>23</v>
      </c>
      <c r="J259" s="3">
        <f>1.8*I259+32</f>
        <v>73.400000000000006</v>
      </c>
      <c r="K259" s="3">
        <v>6</v>
      </c>
      <c r="L259" s="3">
        <f>IF(J259&gt;68,K259+(J259-68)*0.2,K259-(68-J259)*0.2)</f>
        <v>7.080000000000001</v>
      </c>
      <c r="M259" s="3">
        <f>(C259-H259)/C259*100</f>
        <v>71.679999999999993</v>
      </c>
      <c r="N259" s="3">
        <f>100-(M259+O259)</f>
        <v>14.159999999999997</v>
      </c>
      <c r="O259" s="3">
        <f>L259/C259*100</f>
        <v>14.160000000000004</v>
      </c>
      <c r="P259" s="1" t="s">
        <v>0</v>
      </c>
      <c r="Q259" s="15">
        <v>407533.56400000001</v>
      </c>
      <c r="R259" s="15">
        <v>3659870</v>
      </c>
      <c r="T259">
        <v>2009033</v>
      </c>
      <c r="U259" t="s">
        <v>445</v>
      </c>
      <c r="V259">
        <v>6.157E-2</v>
      </c>
      <c r="W259">
        <v>0.39740999999999999</v>
      </c>
      <c r="X259">
        <v>1.7270000000000001E-2</v>
      </c>
      <c r="Y259">
        <v>1.40896</v>
      </c>
      <c r="Z259">
        <v>13.159660000000001</v>
      </c>
      <c r="AA259">
        <v>6.1946300000000001</v>
      </c>
      <c r="AB259">
        <v>-0.81813999999999998</v>
      </c>
      <c r="AC259" s="23">
        <v>5.9909999999999998E-2</v>
      </c>
      <c r="AD259" s="23">
        <v>0.38336999999999999</v>
      </c>
      <c r="AE259" s="23">
        <v>2.794E-2</v>
      </c>
      <c r="AF259" s="23">
        <v>1.34436</v>
      </c>
      <c r="AG259" s="23">
        <v>19.50262</v>
      </c>
      <c r="AH259" s="23">
        <v>10.569380000000001</v>
      </c>
      <c r="AI259" s="23">
        <v>-1.41933</v>
      </c>
      <c r="AJ259" s="25">
        <v>0.81260916666666672</v>
      </c>
      <c r="AK259" s="25">
        <v>0.38269815144247893</v>
      </c>
      <c r="AL259" s="25">
        <v>0.2081059221647717</v>
      </c>
      <c r="AM259" s="25">
        <v>0.10034580489920783</v>
      </c>
      <c r="AN259" s="24">
        <v>1.6358498986774306</v>
      </c>
      <c r="AO259" s="23">
        <v>-99</v>
      </c>
    </row>
    <row r="260" spans="1:41" x14ac:dyDescent="0.25">
      <c r="A260" s="4">
        <v>51</v>
      </c>
      <c r="B260">
        <v>90</v>
      </c>
      <c r="C260" s="16">
        <v>50</v>
      </c>
      <c r="D260">
        <v>20</v>
      </c>
      <c r="E260" s="3">
        <v>25.5</v>
      </c>
      <c r="F260" s="3">
        <f>1.8*E260+32</f>
        <v>77.900000000000006</v>
      </c>
      <c r="G260" s="3">
        <v>12</v>
      </c>
      <c r="H260" s="3">
        <f>IF(F260&gt;68,G260+(F260-68)*0.2,G407-(68-F260)*0.2)</f>
        <v>13.98</v>
      </c>
      <c r="I260" s="3">
        <v>23</v>
      </c>
      <c r="J260" s="3">
        <f>1.8*I260+32</f>
        <v>73.400000000000006</v>
      </c>
      <c r="K260" s="3">
        <v>5</v>
      </c>
      <c r="L260" s="3">
        <f>IF(J260&gt;68,K260+(J260-68)*0.2,K260-(68-J260)*0.2)</f>
        <v>6.080000000000001</v>
      </c>
      <c r="M260" s="3">
        <f>(C260-H260)/C260*100</f>
        <v>72.039999999999992</v>
      </c>
      <c r="N260" s="3">
        <f>100-(M260+O260)</f>
        <v>15.800000000000011</v>
      </c>
      <c r="O260" s="3">
        <f>L260/C260*100</f>
        <v>12.160000000000002</v>
      </c>
      <c r="P260" s="1" t="s">
        <v>0</v>
      </c>
      <c r="Q260" s="15">
        <v>407533.56400000001</v>
      </c>
      <c r="R260" s="15">
        <v>3659870</v>
      </c>
      <c r="T260">
        <v>2009033</v>
      </c>
      <c r="U260" t="s">
        <v>444</v>
      </c>
      <c r="V260">
        <v>5.6300000000000003E-2</v>
      </c>
      <c r="W260">
        <v>0.38536999999999999</v>
      </c>
      <c r="X260">
        <v>2.7279999999999999E-2</v>
      </c>
      <c r="Y260">
        <v>1.3631500000000001</v>
      </c>
      <c r="Z260">
        <v>22.294650000000001</v>
      </c>
      <c r="AA260">
        <v>11.15901</v>
      </c>
      <c r="AB260">
        <v>-1.2824599999999999</v>
      </c>
      <c r="AC260" s="23">
        <v>5.6829999999999999E-2</v>
      </c>
      <c r="AD260" s="23">
        <v>0.38412000000000002</v>
      </c>
      <c r="AE260" s="23">
        <v>2.8080000000000001E-2</v>
      </c>
      <c r="AF260" s="23">
        <v>1.3588899999999999</v>
      </c>
      <c r="AG260" s="23">
        <v>22.424790000000002</v>
      </c>
      <c r="AH260" s="23">
        <v>11.36964</v>
      </c>
      <c r="AI260" s="23">
        <v>-1.3305400000000001</v>
      </c>
      <c r="AJ260" s="25">
        <v>0.93436625000000006</v>
      </c>
      <c r="AK260" s="25">
        <v>0.38344992865259331</v>
      </c>
      <c r="AL260" s="25">
        <v>0.20175259641065738</v>
      </c>
      <c r="AM260" s="25">
        <v>9.4240971180239427E-2</v>
      </c>
      <c r="AN260" s="24">
        <v>1.6338576890706278</v>
      </c>
      <c r="AO260" s="23">
        <v>-99</v>
      </c>
    </row>
    <row r="261" spans="1:41" x14ac:dyDescent="0.25">
      <c r="A261" s="4">
        <v>51</v>
      </c>
      <c r="B261">
        <v>120</v>
      </c>
      <c r="C261" s="16">
        <v>50</v>
      </c>
      <c r="D261">
        <v>20</v>
      </c>
      <c r="E261" s="3">
        <v>25.5</v>
      </c>
      <c r="F261" s="3">
        <f>1.8*E261+32</f>
        <v>77.900000000000006</v>
      </c>
      <c r="G261" s="3">
        <v>26</v>
      </c>
      <c r="H261" s="3">
        <f>IF(F261&gt;68,G261+(F261-68)*0.2,G409-(68-F261)*0.2)</f>
        <v>27.98</v>
      </c>
      <c r="I261" s="3">
        <v>23</v>
      </c>
      <c r="J261" s="3">
        <f>1.8*I261+32</f>
        <v>73.400000000000006</v>
      </c>
      <c r="K261" s="3">
        <v>12</v>
      </c>
      <c r="L261" s="3">
        <f>IF(J261&gt;68,K261+(J261-68)*0.2,K261-(68-J261)*0.2)</f>
        <v>13.080000000000002</v>
      </c>
      <c r="M261" s="3">
        <f>(C261-H261)/C261*100</f>
        <v>44.04</v>
      </c>
      <c r="N261" s="3">
        <f>100-(M261+O261)</f>
        <v>29.799999999999997</v>
      </c>
      <c r="O261" s="3">
        <f>L261/C261*100</f>
        <v>26.160000000000004</v>
      </c>
      <c r="P261" s="1" t="s">
        <v>2</v>
      </c>
      <c r="Q261" s="15">
        <v>407533.56400000001</v>
      </c>
      <c r="R261" s="15">
        <v>3659870</v>
      </c>
      <c r="T261">
        <v>2009033</v>
      </c>
      <c r="U261" t="s">
        <v>443</v>
      </c>
      <c r="V261">
        <v>5.944E-2</v>
      </c>
      <c r="W261">
        <v>0.38486999999999999</v>
      </c>
      <c r="X261">
        <v>2.733E-2</v>
      </c>
      <c r="Y261">
        <v>1.34907</v>
      </c>
      <c r="Z261">
        <v>19.50497</v>
      </c>
      <c r="AA261">
        <v>10.474460000000001</v>
      </c>
      <c r="AB261">
        <v>-1.3720300000000001</v>
      </c>
      <c r="AC261" s="23">
        <v>5.6899999999999999E-2</v>
      </c>
      <c r="AD261" s="23">
        <v>0.38274999999999998</v>
      </c>
      <c r="AE261" s="23">
        <v>2.8809999999999999E-2</v>
      </c>
      <c r="AF261" s="23">
        <v>1.3577699999999999</v>
      </c>
      <c r="AG261" s="23">
        <v>23.049849999999999</v>
      </c>
      <c r="AH261" s="23">
        <v>11.649979999999999</v>
      </c>
      <c r="AI261" s="23">
        <v>-1.3601799999999999</v>
      </c>
      <c r="AJ261" s="25">
        <v>0.9604104166666666</v>
      </c>
      <c r="AK261" s="25">
        <v>0.38205817644203022</v>
      </c>
      <c r="AL261" s="25">
        <v>0.2002836955512361</v>
      </c>
      <c r="AM261" s="25">
        <v>9.4056651587618528E-2</v>
      </c>
      <c r="AN261" s="24">
        <v>1.6375458324286198</v>
      </c>
      <c r="AO261" s="23">
        <v>-99</v>
      </c>
    </row>
    <row r="262" spans="1:41" x14ac:dyDescent="0.25">
      <c r="A262" s="4">
        <v>51</v>
      </c>
      <c r="B262">
        <v>150</v>
      </c>
      <c r="C262" s="16">
        <v>50</v>
      </c>
      <c r="D262">
        <v>20</v>
      </c>
      <c r="E262" s="3">
        <v>26</v>
      </c>
      <c r="F262" s="3">
        <f>1.8*E262+32</f>
        <v>78.800000000000011</v>
      </c>
      <c r="G262" s="3">
        <v>16</v>
      </c>
      <c r="H262" s="3">
        <f>IF(F262&gt;68,G262+(F262-68)*0.2,G410-(68-F262)*0.2)</f>
        <v>18.160000000000004</v>
      </c>
      <c r="I262" s="3">
        <v>23</v>
      </c>
      <c r="J262" s="3">
        <f>1.8*I262+32</f>
        <v>73.400000000000006</v>
      </c>
      <c r="K262" s="3">
        <v>7</v>
      </c>
      <c r="L262" s="3">
        <f>IF(J262&gt;68,K262+(J262-68)*0.2,K262-(68-J262)*0.2)</f>
        <v>8.0800000000000018</v>
      </c>
      <c r="M262" s="3">
        <f>(C262-H262)/C262*100</f>
        <v>63.679999999999993</v>
      </c>
      <c r="N262" s="3">
        <f>100-(M262+O262)</f>
        <v>20.159999999999997</v>
      </c>
      <c r="O262" s="3">
        <f>L262/C262*100</f>
        <v>16.160000000000004</v>
      </c>
      <c r="P262" s="1" t="s">
        <v>0</v>
      </c>
      <c r="Q262" s="15">
        <v>407533.56400000001</v>
      </c>
      <c r="R262" s="15">
        <v>3659870</v>
      </c>
      <c r="T262">
        <v>2009033</v>
      </c>
      <c r="U262" t="s">
        <v>442</v>
      </c>
      <c r="V262">
        <v>5.9909999999999998E-2</v>
      </c>
      <c r="W262">
        <v>0.38336999999999999</v>
      </c>
      <c r="X262">
        <v>2.794E-2</v>
      </c>
      <c r="Y262">
        <v>1.34436</v>
      </c>
      <c r="Z262">
        <v>19.50262</v>
      </c>
      <c r="AA262">
        <v>10.569380000000001</v>
      </c>
      <c r="AB262">
        <v>-1.41933</v>
      </c>
      <c r="AC262" s="23">
        <v>5.3659999999999999E-2</v>
      </c>
      <c r="AD262" s="23">
        <v>0.38289000000000001</v>
      </c>
      <c r="AE262" s="23">
        <v>2.9649999999999999E-2</v>
      </c>
      <c r="AF262" s="23">
        <v>1.37178</v>
      </c>
      <c r="AG262" s="23">
        <v>27.116800000000001</v>
      </c>
      <c r="AH262" s="23">
        <v>12.896430000000001</v>
      </c>
      <c r="AI262" s="23">
        <v>-1.29695</v>
      </c>
      <c r="AJ262" s="25">
        <v>1.1298666666666668</v>
      </c>
      <c r="AK262" s="25">
        <v>0.38217837636454427</v>
      </c>
      <c r="AL262" s="25">
        <v>0.19258938888045246</v>
      </c>
      <c r="AM262" s="25">
        <v>8.7775789758235745E-2</v>
      </c>
      <c r="AN262" s="24">
        <v>1.6372273026339574</v>
      </c>
      <c r="AO262" s="23">
        <v>-99</v>
      </c>
    </row>
    <row r="263" spans="1:41" x14ac:dyDescent="0.25">
      <c r="A263" s="4">
        <v>51</v>
      </c>
      <c r="B263">
        <v>180</v>
      </c>
      <c r="C263" s="16">
        <v>50</v>
      </c>
      <c r="D263">
        <v>20</v>
      </c>
      <c r="E263" s="3">
        <v>26</v>
      </c>
      <c r="F263" s="3">
        <f>1.8*E263+32</f>
        <v>78.800000000000011</v>
      </c>
      <c r="G263" s="3">
        <v>16</v>
      </c>
      <c r="H263" s="3">
        <f>IF(F263&gt;68,G263+(F263-68)*0.2,G411-(68-F263)*0.2)</f>
        <v>18.160000000000004</v>
      </c>
      <c r="I263" s="3">
        <v>23</v>
      </c>
      <c r="J263" s="3">
        <f>1.8*I263+32</f>
        <v>73.400000000000006</v>
      </c>
      <c r="K263" s="3">
        <v>8</v>
      </c>
      <c r="L263" s="3">
        <f>IF(J263&gt;68,K263+(J263-68)*0.2,K263-(68-J263)*0.2)</f>
        <v>9.0800000000000018</v>
      </c>
      <c r="M263" s="3">
        <f>(C263-H263)/C263*100</f>
        <v>63.679999999999993</v>
      </c>
      <c r="N263" s="3">
        <f>100-(M263+O263)</f>
        <v>18.159999999999997</v>
      </c>
      <c r="O263" s="3">
        <f>L263/C263*100</f>
        <v>18.160000000000004</v>
      </c>
      <c r="P263" s="1" t="s">
        <v>0</v>
      </c>
      <c r="Q263" s="15">
        <v>407533.56400000001</v>
      </c>
      <c r="R263" s="15">
        <v>3659870</v>
      </c>
      <c r="T263">
        <v>2009033</v>
      </c>
      <c r="U263" t="s">
        <v>441</v>
      </c>
      <c r="V263">
        <v>5.6829999999999999E-2</v>
      </c>
      <c r="W263">
        <v>0.38412000000000002</v>
      </c>
      <c r="X263">
        <v>2.8080000000000001E-2</v>
      </c>
      <c r="Y263">
        <v>1.3588899999999999</v>
      </c>
      <c r="Z263">
        <v>22.424790000000002</v>
      </c>
      <c r="AA263">
        <v>11.36964</v>
      </c>
      <c r="AB263">
        <v>-1.3305400000000001</v>
      </c>
      <c r="AC263" s="23">
        <v>5.7459999999999997E-2</v>
      </c>
      <c r="AD263" s="23">
        <v>0.38363000000000003</v>
      </c>
      <c r="AE263" s="23">
        <v>2.8250000000000001E-2</v>
      </c>
      <c r="AF263" s="23">
        <v>1.3557399999999999</v>
      </c>
      <c r="AG263" s="23">
        <v>21.981079999999999</v>
      </c>
      <c r="AH263" s="23">
        <v>11.281750000000001</v>
      </c>
      <c r="AI263" s="23">
        <v>-1.3553500000000001</v>
      </c>
      <c r="AJ263" s="25">
        <v>0.91587833333333324</v>
      </c>
      <c r="AK263" s="25">
        <v>0.38295358343932245</v>
      </c>
      <c r="AL263" s="25">
        <v>0.20260889614147476</v>
      </c>
      <c r="AM263" s="25">
        <v>9.5377940777039122E-2</v>
      </c>
      <c r="AN263" s="24">
        <v>1.6351730038857952</v>
      </c>
      <c r="AO263" s="23">
        <v>-99</v>
      </c>
    </row>
    <row r="264" spans="1:41" x14ac:dyDescent="0.25">
      <c r="Q264" s="18"/>
      <c r="R264" s="18"/>
      <c r="T264">
        <v>2009033</v>
      </c>
      <c r="U264" t="s">
        <v>440</v>
      </c>
      <c r="V264">
        <v>5.6899999999999999E-2</v>
      </c>
      <c r="W264">
        <v>0.38274999999999998</v>
      </c>
      <c r="X264">
        <v>2.8809999999999999E-2</v>
      </c>
      <c r="Y264">
        <v>1.3577699999999999</v>
      </c>
      <c r="Z264">
        <v>23.049849999999999</v>
      </c>
      <c r="AA264">
        <v>11.649979999999999</v>
      </c>
      <c r="AB264">
        <v>-1.3601799999999999</v>
      </c>
      <c r="AC264" s="23">
        <v>6.4380000000000007E-2</v>
      </c>
      <c r="AD264" s="23">
        <v>0.39195999999999998</v>
      </c>
      <c r="AE264" s="23">
        <v>2.3689999999999999E-2</v>
      </c>
      <c r="AF264" s="23">
        <v>1.34944</v>
      </c>
      <c r="AG264" s="23">
        <v>13.982419999999999</v>
      </c>
      <c r="AH264" s="23">
        <v>8.3329599999999999</v>
      </c>
      <c r="AI264" s="23">
        <v>-1.28209</v>
      </c>
      <c r="AJ264" s="25">
        <v>0.58260083333333335</v>
      </c>
      <c r="AK264" s="25">
        <v>0.39141879327418544</v>
      </c>
      <c r="AL264" s="25">
        <v>0.22110722349549172</v>
      </c>
      <c r="AM264" s="25">
        <v>0.1064502790739458</v>
      </c>
      <c r="AN264" s="24">
        <v>1.6127401978234084</v>
      </c>
      <c r="AO264" s="23">
        <v>-99</v>
      </c>
    </row>
    <row r="265" spans="1:41" ht="51.75" x14ac:dyDescent="0.25">
      <c r="A265" s="14" t="s">
        <v>21</v>
      </c>
      <c r="B265" s="9" t="s">
        <v>20</v>
      </c>
      <c r="C265" s="13" t="s">
        <v>19</v>
      </c>
      <c r="D265" s="12" t="s">
        <v>18</v>
      </c>
      <c r="E265" s="11" t="s">
        <v>17</v>
      </c>
      <c r="F265" s="11" t="s">
        <v>16</v>
      </c>
      <c r="G265" s="11" t="s">
        <v>15</v>
      </c>
      <c r="H265" s="11" t="s">
        <v>14</v>
      </c>
      <c r="I265" s="11" t="s">
        <v>13</v>
      </c>
      <c r="J265" s="11" t="s">
        <v>12</v>
      </c>
      <c r="K265" s="11" t="s">
        <v>11</v>
      </c>
      <c r="L265" s="11" t="s">
        <v>10</v>
      </c>
      <c r="M265" s="10" t="s">
        <v>9</v>
      </c>
      <c r="N265" s="10" t="s">
        <v>8</v>
      </c>
      <c r="O265" s="10" t="s">
        <v>7</v>
      </c>
      <c r="P265" s="9" t="s">
        <v>6</v>
      </c>
      <c r="Q265" s="21" t="s">
        <v>5</v>
      </c>
      <c r="R265" s="20"/>
      <c r="T265">
        <v>2009033</v>
      </c>
      <c r="U265" t="s">
        <v>439</v>
      </c>
      <c r="V265">
        <v>5.3659999999999999E-2</v>
      </c>
      <c r="W265">
        <v>0.38289000000000001</v>
      </c>
      <c r="X265">
        <v>2.9649999999999999E-2</v>
      </c>
      <c r="Y265">
        <v>1.37178</v>
      </c>
      <c r="Z265">
        <v>27.116800000000001</v>
      </c>
      <c r="AA265">
        <v>12.896430000000001</v>
      </c>
      <c r="AB265">
        <v>-1.29695</v>
      </c>
      <c r="AC265" s="23">
        <v>5.7549999999999997E-2</v>
      </c>
      <c r="AD265" s="23">
        <v>0.38553999999999999</v>
      </c>
      <c r="AE265" s="23">
        <v>2.707E-2</v>
      </c>
      <c r="AF265" s="23">
        <v>1.35867</v>
      </c>
      <c r="AG265" s="23">
        <v>21.013719999999999</v>
      </c>
      <c r="AH265" s="23">
        <v>10.797750000000001</v>
      </c>
      <c r="AI265" s="23">
        <v>-1.3052900000000001</v>
      </c>
      <c r="AJ265" s="25">
        <v>0.87557166666666664</v>
      </c>
      <c r="AK265" s="25">
        <v>0.38490073468656139</v>
      </c>
      <c r="AL265" s="25">
        <v>0.20468498711187763</v>
      </c>
      <c r="AM265" s="25">
        <v>9.5587209300756565E-2</v>
      </c>
      <c r="AN265" s="24">
        <v>1.6300130530806123</v>
      </c>
      <c r="AO265" s="23">
        <v>-99</v>
      </c>
    </row>
    <row r="266" spans="1:41" x14ac:dyDescent="0.25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"/>
      <c r="Q266" s="5" t="s">
        <v>4</v>
      </c>
      <c r="R266" s="5" t="s">
        <v>3</v>
      </c>
      <c r="T266">
        <v>2009033</v>
      </c>
      <c r="U266" t="s">
        <v>438</v>
      </c>
      <c r="V266">
        <v>5.7459999999999997E-2</v>
      </c>
      <c r="W266">
        <v>0.38363000000000003</v>
      </c>
      <c r="X266">
        <v>2.8250000000000001E-2</v>
      </c>
      <c r="Y266">
        <v>1.3557399999999999</v>
      </c>
      <c r="Z266">
        <v>21.981079999999999</v>
      </c>
      <c r="AA266">
        <v>11.281750000000001</v>
      </c>
      <c r="AB266">
        <v>-1.3553500000000001</v>
      </c>
      <c r="AC266" s="23">
        <v>6.0600000000000001E-2</v>
      </c>
      <c r="AD266" s="23">
        <v>0.38503999999999999</v>
      </c>
      <c r="AE266" s="23">
        <v>2.7150000000000001E-2</v>
      </c>
      <c r="AF266" s="23">
        <v>1.3441099999999999</v>
      </c>
      <c r="AG266" s="23">
        <v>18.397639999999999</v>
      </c>
      <c r="AH266" s="23">
        <v>10.156359999999999</v>
      </c>
      <c r="AI266" s="23">
        <v>-1.3987499999999999</v>
      </c>
      <c r="AJ266" s="25">
        <v>0.7665683333333333</v>
      </c>
      <c r="AK266" s="25">
        <v>0.3843912493073034</v>
      </c>
      <c r="AL266" s="25">
        <v>0.21073127546080994</v>
      </c>
      <c r="AM266" s="25">
        <v>0.10162235367246769</v>
      </c>
      <c r="AN266" s="24">
        <v>1.6313631893356459</v>
      </c>
      <c r="AO266" s="23">
        <v>-99</v>
      </c>
    </row>
    <row r="267" spans="1:41" x14ac:dyDescent="0.25">
      <c r="A267" s="4">
        <v>52</v>
      </c>
      <c r="B267">
        <v>30</v>
      </c>
      <c r="C267">
        <v>50</v>
      </c>
      <c r="D267">
        <v>20</v>
      </c>
      <c r="E267" s="3">
        <v>25</v>
      </c>
      <c r="F267" s="3">
        <f>1.8*E267+32</f>
        <v>77</v>
      </c>
      <c r="G267" s="3">
        <v>15</v>
      </c>
      <c r="H267" s="3">
        <f>IF(F267&gt;68,G267+(F267-68)*0.2,G415-(68-F267)*0.2)</f>
        <v>16.8</v>
      </c>
      <c r="I267" s="3">
        <v>22.5</v>
      </c>
      <c r="J267" s="3">
        <f>1.8*I267+32</f>
        <v>72.5</v>
      </c>
      <c r="K267" s="3">
        <v>7</v>
      </c>
      <c r="L267" s="3">
        <f>IF(J267&gt;67,K267+(J267-67)*0.2,K267-(67-J267)*0.2)</f>
        <v>8.1</v>
      </c>
      <c r="M267" s="3">
        <f>(C267-H267)/C267*100</f>
        <v>66.400000000000006</v>
      </c>
      <c r="N267" s="3">
        <f>100-(M267+O267)</f>
        <v>17.399999999999991</v>
      </c>
      <c r="O267" s="3">
        <f>L267/C267*100</f>
        <v>16.2</v>
      </c>
      <c r="P267" s="1" t="s">
        <v>0</v>
      </c>
      <c r="Q267" s="15">
        <v>407533.56400000001</v>
      </c>
      <c r="R267" s="15">
        <v>3659896.5</v>
      </c>
      <c r="T267">
        <v>2009033</v>
      </c>
      <c r="U267" t="s">
        <v>437</v>
      </c>
      <c r="V267">
        <v>6.4380000000000007E-2</v>
      </c>
      <c r="W267">
        <v>0.39195999999999998</v>
      </c>
      <c r="X267">
        <v>2.3689999999999999E-2</v>
      </c>
      <c r="Y267">
        <v>1.34944</v>
      </c>
      <c r="Z267">
        <v>13.982419999999999</v>
      </c>
      <c r="AA267">
        <v>8.3329599999999999</v>
      </c>
      <c r="AB267">
        <v>-1.28209</v>
      </c>
      <c r="AC267" s="23">
        <v>5.4260000000000003E-2</v>
      </c>
      <c r="AD267" s="23">
        <v>0.38272</v>
      </c>
      <c r="AE267" s="23">
        <v>2.9569999999999999E-2</v>
      </c>
      <c r="AF267" s="23">
        <v>1.3694</v>
      </c>
      <c r="AG267" s="23">
        <v>26.43778</v>
      </c>
      <c r="AH267" s="23">
        <v>12.691409999999999</v>
      </c>
      <c r="AI267" s="23">
        <v>-1.31009</v>
      </c>
      <c r="AJ267" s="25">
        <v>1.1015741666666667</v>
      </c>
      <c r="AK267" s="25">
        <v>0.38201006246193725</v>
      </c>
      <c r="AL267" s="25">
        <v>0.19375420437010865</v>
      </c>
      <c r="AM267" s="25">
        <v>8.8827988001785263E-2</v>
      </c>
      <c r="AN267" s="24">
        <v>1.6376733344758663</v>
      </c>
      <c r="AO267" s="23">
        <v>-99</v>
      </c>
    </row>
    <row r="268" spans="1:41" x14ac:dyDescent="0.25">
      <c r="A268" s="4">
        <v>52</v>
      </c>
      <c r="B268">
        <v>60</v>
      </c>
      <c r="C268">
        <v>50</v>
      </c>
      <c r="D268">
        <v>20</v>
      </c>
      <c r="E268" s="3">
        <v>26</v>
      </c>
      <c r="F268" s="3">
        <f>1.8*E268+32</f>
        <v>78.800000000000011</v>
      </c>
      <c r="G268" s="3">
        <v>20</v>
      </c>
      <c r="H268" s="3">
        <f>IF(F268&gt;68,G268+(F268-68)*0.2,G416-(68-F268)*0.2)</f>
        <v>22.160000000000004</v>
      </c>
      <c r="I268" s="3">
        <v>22.5</v>
      </c>
      <c r="J268" s="3">
        <f>1.8*I268+32</f>
        <v>72.5</v>
      </c>
      <c r="K268" s="3">
        <v>10</v>
      </c>
      <c r="L268" s="3">
        <f>IF(J268&gt;67,K268+(J268-67)*0.2,K268-(67-J268)*0.2)</f>
        <v>11.1</v>
      </c>
      <c r="M268" s="3">
        <f>(C268-H268)/C268*100</f>
        <v>55.679999999999993</v>
      </c>
      <c r="N268" s="3">
        <f>100-(M268+O268)</f>
        <v>22.120000000000005</v>
      </c>
      <c r="O268" s="3">
        <f>L268/C268*100</f>
        <v>22.2</v>
      </c>
      <c r="P268" s="1" t="s">
        <v>2</v>
      </c>
      <c r="Q268" s="15">
        <v>407533.56400000001</v>
      </c>
      <c r="R268" s="15">
        <v>3659896.5</v>
      </c>
      <c r="T268">
        <v>2009033</v>
      </c>
      <c r="U268" t="s">
        <v>436</v>
      </c>
      <c r="V268">
        <v>5.7549999999999997E-2</v>
      </c>
      <c r="W268">
        <v>0.38553999999999999</v>
      </c>
      <c r="X268">
        <v>2.707E-2</v>
      </c>
      <c r="Y268">
        <v>1.35867</v>
      </c>
      <c r="Z268">
        <v>21.013719999999999</v>
      </c>
      <c r="AA268">
        <v>10.797750000000001</v>
      </c>
      <c r="AB268">
        <v>-1.3052900000000001</v>
      </c>
      <c r="AC268" s="23">
        <v>6.0069999999999998E-2</v>
      </c>
      <c r="AD268" s="23">
        <v>0.38513999999999998</v>
      </c>
      <c r="AE268" s="23">
        <v>2.7140000000000001E-2</v>
      </c>
      <c r="AF268" s="23">
        <v>1.3468199999999999</v>
      </c>
      <c r="AG268" s="23">
        <v>18.844930000000002</v>
      </c>
      <c r="AH268" s="23">
        <v>10.270009999999999</v>
      </c>
      <c r="AI268" s="23">
        <v>-1.3812500000000001</v>
      </c>
      <c r="AJ268" s="25">
        <v>0.78520541666666677</v>
      </c>
      <c r="AK268" s="25">
        <v>0.3844928399876229</v>
      </c>
      <c r="AL268" s="25">
        <v>0.20961608078624894</v>
      </c>
      <c r="AM268" s="25">
        <v>0.10051326223768323</v>
      </c>
      <c r="AN268" s="24">
        <v>1.6310939740327994</v>
      </c>
      <c r="AO268" s="23">
        <v>-99</v>
      </c>
    </row>
    <row r="269" spans="1:41" x14ac:dyDescent="0.25">
      <c r="A269" s="4">
        <v>52</v>
      </c>
      <c r="B269">
        <v>90</v>
      </c>
      <c r="C269">
        <v>50</v>
      </c>
      <c r="D269">
        <v>20</v>
      </c>
      <c r="E269" s="3">
        <v>26</v>
      </c>
      <c r="F269" s="3">
        <f>1.8*E269+32</f>
        <v>78.800000000000011</v>
      </c>
      <c r="G269" s="3">
        <v>22</v>
      </c>
      <c r="H269" s="3">
        <f>IF(F269&gt;68,G269+(F269-68)*0.2,G417-(68-F269)*0.2)</f>
        <v>24.160000000000004</v>
      </c>
      <c r="I269" s="3">
        <v>22.5</v>
      </c>
      <c r="J269" s="3">
        <f>1.8*I269+32</f>
        <v>72.5</v>
      </c>
      <c r="K269" s="3">
        <v>11</v>
      </c>
      <c r="L269" s="3">
        <f>IF(J269&gt;67,K269+(J269-67)*0.2,K269-(67-J269)*0.2)</f>
        <v>12.1</v>
      </c>
      <c r="M269" s="3">
        <f>(C269-H269)/C269*100</f>
        <v>51.679999999999993</v>
      </c>
      <c r="N269" s="3">
        <f>100-(M269+O269)</f>
        <v>24.120000000000005</v>
      </c>
      <c r="O269" s="3">
        <f>L269/C269*100</f>
        <v>24.2</v>
      </c>
      <c r="P269" s="1" t="s">
        <v>2</v>
      </c>
      <c r="Q269" s="15">
        <v>407533.56400000001</v>
      </c>
      <c r="R269" s="15">
        <v>3659896.5</v>
      </c>
      <c r="T269">
        <v>2009033</v>
      </c>
      <c r="U269" t="s">
        <v>435</v>
      </c>
      <c r="V269">
        <v>6.0600000000000001E-2</v>
      </c>
      <c r="W269">
        <v>0.38503999999999999</v>
      </c>
      <c r="X269">
        <v>2.7150000000000001E-2</v>
      </c>
      <c r="Y269">
        <v>1.3441099999999999</v>
      </c>
      <c r="Z269">
        <v>18.397639999999999</v>
      </c>
      <c r="AA269">
        <v>10.156359999999999</v>
      </c>
      <c r="AB269">
        <v>-1.3987499999999999</v>
      </c>
      <c r="AC269" s="23">
        <v>6.0069999999999998E-2</v>
      </c>
      <c r="AD269" s="23">
        <v>0.38513999999999998</v>
      </c>
      <c r="AE269" s="23">
        <v>2.7140000000000001E-2</v>
      </c>
      <c r="AF269" s="23">
        <v>1.3468199999999999</v>
      </c>
      <c r="AG269" s="23">
        <v>18.844930000000002</v>
      </c>
      <c r="AH269" s="23">
        <v>10.270009999999999</v>
      </c>
      <c r="AI269" s="23">
        <v>-1.3812500000000001</v>
      </c>
      <c r="AJ269" s="25">
        <v>0.78520541666666677</v>
      </c>
      <c r="AK269" s="25">
        <v>0.3844928399876229</v>
      </c>
      <c r="AL269" s="25">
        <v>0.20961608078624894</v>
      </c>
      <c r="AM269" s="25">
        <v>0.10051326223768323</v>
      </c>
      <c r="AN269" s="24">
        <v>1.6310939740327994</v>
      </c>
      <c r="AO269" s="23">
        <v>-99</v>
      </c>
    </row>
    <row r="270" spans="1:41" x14ac:dyDescent="0.25">
      <c r="A270" s="4">
        <v>52</v>
      </c>
      <c r="B270">
        <v>120</v>
      </c>
      <c r="C270">
        <v>50</v>
      </c>
      <c r="D270">
        <v>20</v>
      </c>
      <c r="E270" s="3">
        <v>26</v>
      </c>
      <c r="F270" s="3">
        <f>1.8*E270+32</f>
        <v>78.800000000000011</v>
      </c>
      <c r="G270" s="3">
        <v>18</v>
      </c>
      <c r="H270" s="3">
        <f>IF(F270&gt;68,G270+(F270-68)*0.2,G418-(68-F270)*0.2)</f>
        <v>20.160000000000004</v>
      </c>
      <c r="I270" s="3">
        <v>22.5</v>
      </c>
      <c r="J270" s="3">
        <f>1.8*I270+32</f>
        <v>72.5</v>
      </c>
      <c r="K270" s="3">
        <v>11</v>
      </c>
      <c r="L270" s="3">
        <f>IF(J270&gt;67,K270+(J270-67)*0.2,K270-(67-J270)*0.2)</f>
        <v>12.1</v>
      </c>
      <c r="M270" s="3">
        <f>(C270-H270)/C270*100</f>
        <v>59.679999999999986</v>
      </c>
      <c r="N270" s="3">
        <f>100-(M270+O270)</f>
        <v>16.120000000000019</v>
      </c>
      <c r="O270" s="3">
        <f>L270/C270*100</f>
        <v>24.2</v>
      </c>
      <c r="P270" s="1" t="s">
        <v>2</v>
      </c>
      <c r="Q270" s="15">
        <v>407533.56400000001</v>
      </c>
      <c r="R270" s="15">
        <v>3659896.5</v>
      </c>
      <c r="T270">
        <v>2009033</v>
      </c>
      <c r="U270" t="s">
        <v>434</v>
      </c>
      <c r="V270">
        <v>5.4260000000000003E-2</v>
      </c>
      <c r="W270">
        <v>0.38272</v>
      </c>
      <c r="X270">
        <v>2.9569999999999999E-2</v>
      </c>
      <c r="Y270">
        <v>1.3694</v>
      </c>
      <c r="Z270">
        <v>26.43778</v>
      </c>
      <c r="AA270">
        <v>12.691409999999999</v>
      </c>
      <c r="AB270">
        <v>-1.31009</v>
      </c>
      <c r="AC270" s="23">
        <v>6.2759999999999996E-2</v>
      </c>
      <c r="AD270" s="23">
        <v>0.38163000000000002</v>
      </c>
      <c r="AE270" s="23">
        <v>2.792E-2</v>
      </c>
      <c r="AF270" s="23">
        <v>1.3275600000000001</v>
      </c>
      <c r="AG270" s="23">
        <v>17.016220000000001</v>
      </c>
      <c r="AH270" s="23">
        <v>9.8411299999999997</v>
      </c>
      <c r="AI270" s="23">
        <v>-1.5326200000000001</v>
      </c>
      <c r="AJ270" s="25">
        <v>0.70900916666666669</v>
      </c>
      <c r="AK270" s="25">
        <v>0.38095332878519483</v>
      </c>
      <c r="AL270" s="25">
        <v>0.21446665327531722</v>
      </c>
      <c r="AM270" s="25">
        <v>0.10688794974113155</v>
      </c>
      <c r="AN270" s="24">
        <v>1.6404736787192336</v>
      </c>
      <c r="AO270" s="23">
        <v>-99</v>
      </c>
    </row>
    <row r="271" spans="1:41" x14ac:dyDescent="0.25">
      <c r="A271" s="4">
        <v>52</v>
      </c>
      <c r="B271">
        <v>150</v>
      </c>
      <c r="C271">
        <v>50</v>
      </c>
      <c r="D271">
        <v>20</v>
      </c>
      <c r="E271" s="3">
        <v>22.5</v>
      </c>
      <c r="F271" s="3">
        <f>1.8*E271+32</f>
        <v>72.5</v>
      </c>
      <c r="G271" s="3">
        <v>18</v>
      </c>
      <c r="H271" s="3">
        <f>IF(F271&gt;68,G271+(F271-68)*0.2,G419-(68-F271)*0.2)</f>
        <v>18.899999999999999</v>
      </c>
      <c r="I271" s="3">
        <v>22</v>
      </c>
      <c r="J271" s="3">
        <f>1.8*I271+32</f>
        <v>71.599999999999994</v>
      </c>
      <c r="K271" s="3">
        <v>9</v>
      </c>
      <c r="L271" s="3">
        <f>IF(J271&gt;67,K271+(J271-67)*0.2,K271-(67-J271)*0.2)</f>
        <v>9.9199999999999982</v>
      </c>
      <c r="M271" s="3">
        <f>(C271-H271)/C271*100</f>
        <v>62.2</v>
      </c>
      <c r="N271" s="3">
        <f>100-(M271+O271)</f>
        <v>17.960000000000008</v>
      </c>
      <c r="O271" s="3">
        <f>L271/C271*100</f>
        <v>19.839999999999996</v>
      </c>
      <c r="P271" s="1" t="s">
        <v>0</v>
      </c>
      <c r="Q271" s="15">
        <v>407533.56400000001</v>
      </c>
      <c r="R271" s="15">
        <v>3659896.5</v>
      </c>
      <c r="T271">
        <v>2009033</v>
      </c>
      <c r="U271" t="s">
        <v>433</v>
      </c>
      <c r="V271">
        <v>6.0069999999999998E-2</v>
      </c>
      <c r="W271">
        <v>0.38513999999999998</v>
      </c>
      <c r="X271">
        <v>2.7140000000000001E-2</v>
      </c>
      <c r="Y271">
        <v>1.3468199999999999</v>
      </c>
      <c r="Z271">
        <v>18.844930000000002</v>
      </c>
      <c r="AA271">
        <v>10.270009999999999</v>
      </c>
      <c r="AB271">
        <v>-1.3812500000000001</v>
      </c>
      <c r="AC271" s="23">
        <v>6.2899999999999998E-2</v>
      </c>
      <c r="AD271" s="23">
        <v>0.38452999999999998</v>
      </c>
      <c r="AE271" s="23">
        <v>2.7179999999999999E-2</v>
      </c>
      <c r="AF271" s="23">
        <v>1.3312999999999999</v>
      </c>
      <c r="AG271" s="23">
        <v>16.492039999999999</v>
      </c>
      <c r="AH271" s="23">
        <v>9.6510300000000004</v>
      </c>
      <c r="AI271" s="23">
        <v>-1.48289</v>
      </c>
      <c r="AJ271" s="25">
        <v>0.68716833333333327</v>
      </c>
      <c r="AK271" s="25">
        <v>0.38387446800294084</v>
      </c>
      <c r="AL271" s="25">
        <v>0.21593700103676672</v>
      </c>
      <c r="AM271" s="25">
        <v>0.10680505136058258</v>
      </c>
      <c r="AN271" s="24">
        <v>1.6327326597922065</v>
      </c>
      <c r="AO271" s="23">
        <v>-99</v>
      </c>
    </row>
    <row r="272" spans="1:41" x14ac:dyDescent="0.25">
      <c r="A272" s="4">
        <v>52</v>
      </c>
      <c r="B272">
        <v>180</v>
      </c>
      <c r="C272">
        <v>50</v>
      </c>
      <c r="D272">
        <v>20</v>
      </c>
      <c r="E272" s="3">
        <v>23</v>
      </c>
      <c r="F272" s="3">
        <f>1.8*E272+32</f>
        <v>73.400000000000006</v>
      </c>
      <c r="G272" s="3">
        <v>17</v>
      </c>
      <c r="H272" s="3">
        <f>IF(F272&gt;68,G272+(F272-68)*0.2,G420-(68-F272)*0.2)</f>
        <v>18.080000000000002</v>
      </c>
      <c r="I272" s="3">
        <v>22</v>
      </c>
      <c r="J272" s="3">
        <f>1.8*I272+32</f>
        <v>71.599999999999994</v>
      </c>
      <c r="K272" s="3">
        <v>9</v>
      </c>
      <c r="L272" s="3">
        <f>IF(J272&gt;67,K272+(J272-67)*0.2,K272-(67-J272)*0.2)</f>
        <v>9.9199999999999982</v>
      </c>
      <c r="M272" s="3">
        <f>(C272-H272)/C272*100</f>
        <v>63.839999999999996</v>
      </c>
      <c r="N272" s="3">
        <f>100-(M272+O272)</f>
        <v>16.320000000000007</v>
      </c>
      <c r="O272" s="3">
        <f>L272/C272*100</f>
        <v>19.839999999999996</v>
      </c>
      <c r="P272" s="1" t="s">
        <v>0</v>
      </c>
      <c r="Q272" s="15">
        <v>407533.56400000001</v>
      </c>
      <c r="R272" s="15">
        <v>3659896.5</v>
      </c>
      <c r="T272">
        <v>2009033</v>
      </c>
      <c r="U272" t="s">
        <v>432</v>
      </c>
      <c r="V272">
        <v>6.0069999999999998E-2</v>
      </c>
      <c r="W272">
        <v>0.38513999999999998</v>
      </c>
      <c r="X272">
        <v>2.7140000000000001E-2</v>
      </c>
      <c r="Y272">
        <v>1.3468199999999999</v>
      </c>
      <c r="Z272">
        <v>18.844930000000002</v>
      </c>
      <c r="AA272">
        <v>10.270009999999999</v>
      </c>
      <c r="AB272">
        <v>-1.3812500000000001</v>
      </c>
      <c r="AC272" s="23">
        <v>5.6939999999999998E-2</v>
      </c>
      <c r="AD272" s="23">
        <v>0.38186999999999999</v>
      </c>
      <c r="AE272" s="23">
        <v>2.9180000000000001E-2</v>
      </c>
      <c r="AF272" s="23">
        <v>1.3579600000000001</v>
      </c>
      <c r="AG272" s="23">
        <v>23.455960000000001</v>
      </c>
      <c r="AH272" s="23">
        <v>11.79224</v>
      </c>
      <c r="AI272" s="23">
        <v>-1.37296</v>
      </c>
      <c r="AJ272" s="25">
        <v>0.97733166666666671</v>
      </c>
      <c r="AK272" s="25">
        <v>0.38116832957234387</v>
      </c>
      <c r="AL272" s="25">
        <v>0.19923473882167586</v>
      </c>
      <c r="AM272" s="25">
        <v>9.3780422421300677E-2</v>
      </c>
      <c r="AN272" s="24">
        <v>1.6399039266332889</v>
      </c>
      <c r="AO272" s="23">
        <v>-99</v>
      </c>
    </row>
    <row r="273" spans="1:41" x14ac:dyDescent="0.25">
      <c r="Q273" s="18"/>
      <c r="R273" s="18"/>
      <c r="T273">
        <v>2009033</v>
      </c>
      <c r="U273" t="s">
        <v>431</v>
      </c>
      <c r="V273">
        <v>6.2759999999999996E-2</v>
      </c>
      <c r="W273">
        <v>0.38163000000000002</v>
      </c>
      <c r="X273">
        <v>2.792E-2</v>
      </c>
      <c r="Y273">
        <v>1.3275600000000001</v>
      </c>
      <c r="Z273">
        <v>17.016220000000001</v>
      </c>
      <c r="AA273">
        <v>9.8411299999999997</v>
      </c>
      <c r="AB273">
        <v>-1.5326200000000001</v>
      </c>
      <c r="AC273" s="23">
        <v>5.2970000000000003E-2</v>
      </c>
      <c r="AD273" s="23">
        <v>0.38307999999999998</v>
      </c>
      <c r="AE273" s="23">
        <v>2.9739999999999999E-2</v>
      </c>
      <c r="AF273" s="23">
        <v>1.37435</v>
      </c>
      <c r="AG273" s="23">
        <v>27.87951</v>
      </c>
      <c r="AH273" s="23">
        <v>13.127509999999999</v>
      </c>
      <c r="AI273" s="23">
        <v>-1.28261</v>
      </c>
      <c r="AJ273" s="25">
        <v>1.16164625</v>
      </c>
      <c r="AK273" s="25">
        <v>0.38236636025741944</v>
      </c>
      <c r="AL273" s="25">
        <v>0.19130397294011997</v>
      </c>
      <c r="AM273" s="25">
        <v>8.6606957686172548E-2</v>
      </c>
      <c r="AN273" s="24">
        <v>1.6367291453178385</v>
      </c>
      <c r="AO273" s="23">
        <v>-99</v>
      </c>
    </row>
    <row r="274" spans="1:41" ht="51.75" x14ac:dyDescent="0.25">
      <c r="A274" s="14" t="s">
        <v>21</v>
      </c>
      <c r="B274" s="9" t="s">
        <v>20</v>
      </c>
      <c r="C274" s="13" t="s">
        <v>19</v>
      </c>
      <c r="D274" s="12" t="s">
        <v>18</v>
      </c>
      <c r="E274" s="11" t="s">
        <v>17</v>
      </c>
      <c r="F274" s="11" t="s">
        <v>16</v>
      </c>
      <c r="G274" s="11" t="s">
        <v>15</v>
      </c>
      <c r="H274" s="11" t="s">
        <v>14</v>
      </c>
      <c r="I274" s="11" t="s">
        <v>13</v>
      </c>
      <c r="J274" s="11" t="s">
        <v>12</v>
      </c>
      <c r="K274" s="11" t="s">
        <v>11</v>
      </c>
      <c r="L274" s="11" t="s">
        <v>10</v>
      </c>
      <c r="M274" s="10" t="s">
        <v>9</v>
      </c>
      <c r="N274" s="10" t="s">
        <v>8</v>
      </c>
      <c r="O274" s="10" t="s">
        <v>7</v>
      </c>
      <c r="P274" s="9" t="s">
        <v>6</v>
      </c>
      <c r="Q274" s="21" t="s">
        <v>5</v>
      </c>
      <c r="R274" s="20"/>
      <c r="S274" s="17"/>
      <c r="T274">
        <v>2009033</v>
      </c>
      <c r="U274" t="s">
        <v>430</v>
      </c>
      <c r="V274">
        <v>6.2899999999999998E-2</v>
      </c>
      <c r="W274">
        <v>0.38452999999999998</v>
      </c>
      <c r="X274">
        <v>2.7179999999999999E-2</v>
      </c>
      <c r="Y274">
        <v>1.3312999999999999</v>
      </c>
      <c r="Z274">
        <v>16.492039999999999</v>
      </c>
      <c r="AA274">
        <v>9.6510300000000004</v>
      </c>
      <c r="AB274">
        <v>-1.48289</v>
      </c>
      <c r="AC274" s="23">
        <v>6.8440000000000001E-2</v>
      </c>
      <c r="AD274" s="23">
        <v>0.39211000000000001</v>
      </c>
      <c r="AE274" s="23">
        <v>2.477E-2</v>
      </c>
      <c r="AF274" s="23">
        <v>1.3214300000000001</v>
      </c>
      <c r="AG274" s="23">
        <v>11.7898</v>
      </c>
      <c r="AH274" s="23">
        <v>8.0341500000000003</v>
      </c>
      <c r="AI274" s="23">
        <v>-1.4835799999999999</v>
      </c>
      <c r="AJ274" s="25">
        <v>0.49124166666666663</v>
      </c>
      <c r="AK274" s="25">
        <v>0.39151871073212341</v>
      </c>
      <c r="AL274" s="25">
        <v>0.23033959989878014</v>
      </c>
      <c r="AM274" s="25">
        <v>0.11674358575110058</v>
      </c>
      <c r="AN274" s="24">
        <v>1.6124754165598729</v>
      </c>
      <c r="AO274" s="23">
        <v>-99</v>
      </c>
    </row>
    <row r="275" spans="1:41" x14ac:dyDescent="0.25"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1"/>
      <c r="Q275" s="5" t="s">
        <v>4</v>
      </c>
      <c r="R275" s="5" t="s">
        <v>3</v>
      </c>
      <c r="S275" s="17"/>
      <c r="T275">
        <v>2009033</v>
      </c>
      <c r="U275" t="s">
        <v>429</v>
      </c>
      <c r="V275">
        <v>5.6939999999999998E-2</v>
      </c>
      <c r="W275">
        <v>0.38186999999999999</v>
      </c>
      <c r="X275">
        <v>2.9180000000000001E-2</v>
      </c>
      <c r="Y275">
        <v>1.3579600000000001</v>
      </c>
      <c r="Z275">
        <v>23.455960000000001</v>
      </c>
      <c r="AA275">
        <v>11.79224</v>
      </c>
      <c r="AB275">
        <v>-1.37296</v>
      </c>
      <c r="AC275" s="23">
        <v>7.0180000000000006E-2</v>
      </c>
      <c r="AD275" s="23">
        <v>0.38907000000000003</v>
      </c>
      <c r="AE275" s="23">
        <v>2.6270000000000002E-2</v>
      </c>
      <c r="AF275" s="23">
        <v>1.29617</v>
      </c>
      <c r="AG275" s="23">
        <v>11.68918</v>
      </c>
      <c r="AH275" s="23">
        <v>8.0569400000000009</v>
      </c>
      <c r="AI275" s="23">
        <v>-1.71506</v>
      </c>
      <c r="AJ275" s="25">
        <v>0.4870491666666667</v>
      </c>
      <c r="AK275" s="25">
        <v>0.38842211809600069</v>
      </c>
      <c r="AL275" s="25">
        <v>0.23571205611334284</v>
      </c>
      <c r="AM275" s="25">
        <v>0.12448922166273527</v>
      </c>
      <c r="AN275" s="24">
        <v>1.6206813870455981</v>
      </c>
      <c r="AO275" s="23">
        <v>-99</v>
      </c>
    </row>
    <row r="276" spans="1:41" x14ac:dyDescent="0.25">
      <c r="A276" s="4">
        <v>53</v>
      </c>
      <c r="B276">
        <v>30</v>
      </c>
      <c r="C276">
        <v>50</v>
      </c>
      <c r="D276">
        <v>20</v>
      </c>
      <c r="E276" s="3">
        <v>23</v>
      </c>
      <c r="F276" s="3">
        <f>1.8*E276+32</f>
        <v>73.400000000000006</v>
      </c>
      <c r="G276" s="3">
        <v>16</v>
      </c>
      <c r="H276" s="3">
        <f>IF(F276&gt;68,G276+(F276-68)*0.2,G424-(68-F276)*0.2)</f>
        <v>17.080000000000002</v>
      </c>
      <c r="I276" s="3">
        <v>22.5</v>
      </c>
      <c r="J276" s="3">
        <f>1.8*I276+32</f>
        <v>72.5</v>
      </c>
      <c r="K276" s="3">
        <v>7</v>
      </c>
      <c r="L276" s="3">
        <f>IF(J276&gt;67,K276+(J276-67)*0.2,K276-(67-J276)*0.2)</f>
        <v>8.1</v>
      </c>
      <c r="M276" s="3">
        <f>(C276-H276)/C276*100</f>
        <v>65.84</v>
      </c>
      <c r="N276" s="3">
        <f>100-(M276+O276)</f>
        <v>17.959999999999994</v>
      </c>
      <c r="O276" s="3">
        <f>L276/C276*100</f>
        <v>16.2</v>
      </c>
      <c r="P276" s="1" t="s">
        <v>0</v>
      </c>
      <c r="Q276" s="15">
        <v>407533.56400000001</v>
      </c>
      <c r="R276" s="15">
        <v>3659923</v>
      </c>
      <c r="S276" s="17"/>
      <c r="T276">
        <v>2009033</v>
      </c>
      <c r="U276" t="s">
        <v>428</v>
      </c>
      <c r="V276">
        <v>5.2970000000000003E-2</v>
      </c>
      <c r="W276">
        <v>0.38307999999999998</v>
      </c>
      <c r="X276">
        <v>2.9739999999999999E-2</v>
      </c>
      <c r="Y276">
        <v>1.37435</v>
      </c>
      <c r="Z276">
        <v>27.87951</v>
      </c>
      <c r="AA276">
        <v>13.127509999999999</v>
      </c>
      <c r="AB276">
        <v>-1.28261</v>
      </c>
      <c r="AC276" s="23">
        <v>7.0180000000000006E-2</v>
      </c>
      <c r="AD276" s="23">
        <v>0.38907000000000003</v>
      </c>
      <c r="AE276" s="23">
        <v>2.6270000000000002E-2</v>
      </c>
      <c r="AF276" s="23">
        <v>1.29617</v>
      </c>
      <c r="AG276" s="23">
        <v>11.68918</v>
      </c>
      <c r="AH276" s="23">
        <v>8.0569400000000009</v>
      </c>
      <c r="AI276" s="23">
        <v>-1.71506</v>
      </c>
      <c r="AJ276" s="25">
        <v>0.4870491666666667</v>
      </c>
      <c r="AK276" s="25">
        <v>0.38842211809600069</v>
      </c>
      <c r="AL276" s="25">
        <v>0.23571205611334284</v>
      </c>
      <c r="AM276" s="25">
        <v>0.12448922166273527</v>
      </c>
      <c r="AN276" s="24">
        <v>1.6206813870455981</v>
      </c>
      <c r="AO276" s="23">
        <v>-99</v>
      </c>
    </row>
    <row r="277" spans="1:41" x14ac:dyDescent="0.25">
      <c r="A277" s="4">
        <v>53</v>
      </c>
      <c r="B277">
        <v>60</v>
      </c>
      <c r="C277">
        <v>50</v>
      </c>
      <c r="D277">
        <v>20</v>
      </c>
      <c r="E277" s="3">
        <v>25.5</v>
      </c>
      <c r="F277" s="3">
        <f>1.8*E277+32</f>
        <v>77.900000000000006</v>
      </c>
      <c r="G277" s="3">
        <v>15</v>
      </c>
      <c r="H277" s="3">
        <f>IF(F277&gt;68,G277+(F277-68)*0.2,G425-(68-F277)*0.2)</f>
        <v>16.98</v>
      </c>
      <c r="I277" s="3">
        <v>23</v>
      </c>
      <c r="J277" s="3">
        <f>1.8*I277+32</f>
        <v>73.400000000000006</v>
      </c>
      <c r="K277" s="3">
        <v>8</v>
      </c>
      <c r="L277" s="3">
        <f>IF(J277&gt;67,K277+(J277-67)*0.2,K277-(67-J277)*0.2)</f>
        <v>9.2800000000000011</v>
      </c>
      <c r="M277" s="3">
        <f>(C277-H277)/C277*100</f>
        <v>66.039999999999992</v>
      </c>
      <c r="N277" s="3">
        <f>100-(M277+O277)</f>
        <v>15.400000000000006</v>
      </c>
      <c r="O277" s="3">
        <f>L277/C277*100</f>
        <v>18.560000000000002</v>
      </c>
      <c r="P277" s="1" t="s">
        <v>0</v>
      </c>
      <c r="Q277" s="15">
        <v>407533.56400000001</v>
      </c>
      <c r="R277" s="15">
        <v>3659923</v>
      </c>
      <c r="S277" s="17"/>
      <c r="T277">
        <v>2009033</v>
      </c>
      <c r="U277" t="s">
        <v>427</v>
      </c>
      <c r="V277">
        <v>6.8440000000000001E-2</v>
      </c>
      <c r="W277">
        <v>0.39211000000000001</v>
      </c>
      <c r="X277">
        <v>2.477E-2</v>
      </c>
      <c r="Y277">
        <v>1.3214300000000001</v>
      </c>
      <c r="Z277">
        <v>11.7898</v>
      </c>
      <c r="AA277">
        <v>8.0341500000000003</v>
      </c>
      <c r="AB277">
        <v>-1.4835799999999999</v>
      </c>
      <c r="AC277" s="23">
        <v>5.5169999999999997E-2</v>
      </c>
      <c r="AD277" s="23">
        <v>0.38200000000000001</v>
      </c>
      <c r="AE277" s="23">
        <v>2.9669999999999998E-2</v>
      </c>
      <c r="AF277" s="23">
        <v>1.3663700000000001</v>
      </c>
      <c r="AG277" s="23">
        <v>25.753350000000001</v>
      </c>
      <c r="AH277" s="23">
        <v>12.49399</v>
      </c>
      <c r="AI277" s="23">
        <v>-1.33552</v>
      </c>
      <c r="AJ277" s="25">
        <v>1.07305625</v>
      </c>
      <c r="AK277" s="25">
        <v>0.38128706453851618</v>
      </c>
      <c r="AL277" s="25">
        <v>0.19477045579143484</v>
      </c>
      <c r="AM277" s="25">
        <v>9.0164223866354837E-2</v>
      </c>
      <c r="AN277" s="24">
        <v>1.6395892789729318</v>
      </c>
      <c r="AO277" s="23">
        <v>-99</v>
      </c>
    </row>
    <row r="278" spans="1:41" x14ac:dyDescent="0.25">
      <c r="A278" s="4">
        <v>53</v>
      </c>
      <c r="B278">
        <v>90</v>
      </c>
      <c r="C278">
        <v>50</v>
      </c>
      <c r="D278">
        <v>20</v>
      </c>
      <c r="E278" s="3">
        <v>25.5</v>
      </c>
      <c r="F278" s="3">
        <f>1.8*E278+32</f>
        <v>77.900000000000006</v>
      </c>
      <c r="G278" s="3">
        <v>19</v>
      </c>
      <c r="H278" s="3">
        <f>IF(F278&gt;68,G278+(F278-68)*0.2,G426-(68-F278)*0.2)</f>
        <v>20.98</v>
      </c>
      <c r="I278" s="3">
        <v>23</v>
      </c>
      <c r="J278" s="3">
        <f>1.8*I278+32</f>
        <v>73.400000000000006</v>
      </c>
      <c r="K278" s="3">
        <v>8</v>
      </c>
      <c r="L278" s="3">
        <f>IF(J278&gt;67,K278+(J278-67)*0.2,K278-(67-J278)*0.2)</f>
        <v>9.2800000000000011</v>
      </c>
      <c r="M278" s="3">
        <f>(C278-H278)/C278*100</f>
        <v>58.040000000000006</v>
      </c>
      <c r="N278" s="3">
        <f>100-(M278+O278)</f>
        <v>23.399999999999991</v>
      </c>
      <c r="O278" s="3">
        <f>L278/C278*100</f>
        <v>18.560000000000002</v>
      </c>
      <c r="P278" s="1" t="s">
        <v>0</v>
      </c>
      <c r="Q278" s="15">
        <v>407533.56400000001</v>
      </c>
      <c r="R278" s="15">
        <v>3659923</v>
      </c>
      <c r="S278" s="17"/>
      <c r="T278">
        <v>2009033</v>
      </c>
      <c r="U278" t="s">
        <v>426</v>
      </c>
      <c r="V278">
        <v>7.0180000000000006E-2</v>
      </c>
      <c r="W278">
        <v>0.38907000000000003</v>
      </c>
      <c r="X278">
        <v>2.6270000000000002E-2</v>
      </c>
      <c r="Y278">
        <v>1.29617</v>
      </c>
      <c r="Z278">
        <v>11.68918</v>
      </c>
      <c r="AA278">
        <v>8.0569400000000009</v>
      </c>
      <c r="AB278">
        <v>-1.71506</v>
      </c>
      <c r="AC278" s="23">
        <v>6.13E-2</v>
      </c>
      <c r="AD278" s="23">
        <v>0.38428000000000001</v>
      </c>
      <c r="AE278" s="23">
        <v>2.741E-2</v>
      </c>
      <c r="AF278" s="23">
        <v>1.3390599999999999</v>
      </c>
      <c r="AG278" s="23">
        <v>17.94004</v>
      </c>
      <c r="AH278" s="23">
        <v>10.0755</v>
      </c>
      <c r="AI278" s="23">
        <v>-1.4381699999999999</v>
      </c>
      <c r="AJ278" s="25">
        <v>0.74750166666666662</v>
      </c>
      <c r="AK278" s="25">
        <v>0.38362124603117087</v>
      </c>
      <c r="AL278" s="25">
        <v>0.21196360473705914</v>
      </c>
      <c r="AM278" s="25">
        <v>0.10326023826256919</v>
      </c>
      <c r="AN278" s="24">
        <v>1.6334036980173972</v>
      </c>
      <c r="AO278" s="23">
        <v>-99</v>
      </c>
    </row>
    <row r="279" spans="1:41" x14ac:dyDescent="0.25">
      <c r="A279" s="4">
        <v>53</v>
      </c>
      <c r="B279">
        <v>120</v>
      </c>
      <c r="C279">
        <v>50</v>
      </c>
      <c r="D279">
        <v>20</v>
      </c>
      <c r="E279" s="3">
        <v>25.5</v>
      </c>
      <c r="F279" s="3">
        <f>1.8*E279+32</f>
        <v>77.900000000000006</v>
      </c>
      <c r="G279" s="3">
        <v>22</v>
      </c>
      <c r="H279" s="3">
        <f>IF(F279&gt;68,G279+(F279-68)*0.2,G427-(68-F279)*0.2)</f>
        <v>23.98</v>
      </c>
      <c r="I279" s="3">
        <v>23</v>
      </c>
      <c r="J279" s="3">
        <f>1.8*I279+32</f>
        <v>73.400000000000006</v>
      </c>
      <c r="K279" s="3">
        <v>11</v>
      </c>
      <c r="L279" s="3">
        <f>IF(J279&gt;67,K279+(J279-67)*0.2,K279-(67-J279)*0.2)</f>
        <v>12.280000000000001</v>
      </c>
      <c r="M279" s="3">
        <f>(C279-H279)/C279*100</f>
        <v>52.04</v>
      </c>
      <c r="N279" s="3">
        <f>100-(M279+O279)</f>
        <v>23.400000000000006</v>
      </c>
      <c r="O279" s="3">
        <f>L279/C279*100</f>
        <v>24.560000000000002</v>
      </c>
      <c r="P279" s="1" t="s">
        <v>2</v>
      </c>
      <c r="Q279" s="15">
        <v>407533.56400000001</v>
      </c>
      <c r="R279" s="15">
        <v>3659923</v>
      </c>
      <c r="S279" s="17"/>
      <c r="T279">
        <v>2009033</v>
      </c>
      <c r="U279" t="s">
        <v>425</v>
      </c>
      <c r="V279">
        <v>7.0180000000000006E-2</v>
      </c>
      <c r="W279">
        <v>0.38907000000000003</v>
      </c>
      <c r="X279">
        <v>2.6270000000000002E-2</v>
      </c>
      <c r="Y279">
        <v>1.29617</v>
      </c>
      <c r="Z279">
        <v>11.68918</v>
      </c>
      <c r="AA279">
        <v>8.0569400000000009</v>
      </c>
      <c r="AB279">
        <v>-1.71506</v>
      </c>
      <c r="AC279" s="23">
        <v>5.5730000000000002E-2</v>
      </c>
      <c r="AD279" s="23">
        <v>0.38389000000000001</v>
      </c>
      <c r="AE279" s="23">
        <v>2.843E-2</v>
      </c>
      <c r="AF279" s="23">
        <v>1.3630899999999999</v>
      </c>
      <c r="AG279" s="23">
        <v>23.776859999999999</v>
      </c>
      <c r="AH279" s="23">
        <v>11.788639999999999</v>
      </c>
      <c r="AI279" s="23">
        <v>-1.3138099999999999</v>
      </c>
      <c r="AJ279" s="25">
        <v>0.99070249999999993</v>
      </c>
      <c r="AK279" s="25">
        <v>0.38321111659403084</v>
      </c>
      <c r="AL279" s="25">
        <v>0.19906404466515884</v>
      </c>
      <c r="AM279" s="25">
        <v>9.2136316005696786E-2</v>
      </c>
      <c r="AN279" s="24">
        <v>1.6344905410258181</v>
      </c>
      <c r="AO279" s="23">
        <v>-99</v>
      </c>
    </row>
    <row r="280" spans="1:41" x14ac:dyDescent="0.25">
      <c r="A280" s="4">
        <v>53</v>
      </c>
      <c r="B280">
        <v>150</v>
      </c>
      <c r="C280">
        <v>50</v>
      </c>
      <c r="D280">
        <v>20</v>
      </c>
      <c r="E280" s="3">
        <v>26</v>
      </c>
      <c r="F280" s="3">
        <f>1.8*E280+32</f>
        <v>78.800000000000011</v>
      </c>
      <c r="G280" s="3">
        <v>18</v>
      </c>
      <c r="H280" s="3">
        <f>IF(F280&gt;68,G280+(F280-68)*0.2,G428-(68-F280)*0.2)</f>
        <v>20.160000000000004</v>
      </c>
      <c r="I280" s="3">
        <v>23</v>
      </c>
      <c r="J280" s="3">
        <f>1.8*I280+32</f>
        <v>73.400000000000006</v>
      </c>
      <c r="K280" s="3">
        <v>9</v>
      </c>
      <c r="L280" s="3">
        <f>IF(J280&gt;67,K280+(J280-67)*0.2,K280-(67-J280)*0.2)</f>
        <v>10.280000000000001</v>
      </c>
      <c r="M280" s="3">
        <f>(C280-H280)/C280*100</f>
        <v>59.679999999999986</v>
      </c>
      <c r="N280" s="3">
        <f>100-(M280+O280)</f>
        <v>19.760000000000019</v>
      </c>
      <c r="O280" s="3">
        <f>L280/C280*100</f>
        <v>20.560000000000002</v>
      </c>
      <c r="P280" s="1" t="s">
        <v>2</v>
      </c>
      <c r="Q280" s="15">
        <v>407533.56400000001</v>
      </c>
      <c r="R280" s="15">
        <v>3659923</v>
      </c>
      <c r="S280" s="17"/>
      <c r="T280">
        <v>2009033</v>
      </c>
      <c r="U280" t="s">
        <v>424</v>
      </c>
      <c r="V280">
        <v>5.5169999999999997E-2</v>
      </c>
      <c r="W280">
        <v>0.38200000000000001</v>
      </c>
      <c r="X280">
        <v>2.9669999999999998E-2</v>
      </c>
      <c r="Y280">
        <v>1.3663700000000001</v>
      </c>
      <c r="Z280">
        <v>25.753350000000001</v>
      </c>
      <c r="AA280">
        <v>12.49399</v>
      </c>
      <c r="AB280">
        <v>-1.33552</v>
      </c>
      <c r="AC280" s="23">
        <v>6.2869999999999995E-2</v>
      </c>
      <c r="AD280" s="23">
        <v>0.38408999999999999</v>
      </c>
      <c r="AE280" s="23">
        <v>2.7320000000000001E-2</v>
      </c>
      <c r="AF280" s="23">
        <v>1.3305499999999999</v>
      </c>
      <c r="AG280" s="23">
        <v>16.587289999999999</v>
      </c>
      <c r="AH280" s="23">
        <v>9.6931600000000007</v>
      </c>
      <c r="AI280" s="23">
        <v>-1.49211</v>
      </c>
      <c r="AJ280" s="25">
        <v>0.69113708333333335</v>
      </c>
      <c r="AK280" s="25">
        <v>0.38343018377884824</v>
      </c>
      <c r="AL280" s="25">
        <v>0.2157181568049219</v>
      </c>
      <c r="AM280" s="25">
        <v>0.10684247193497465</v>
      </c>
      <c r="AN280" s="24">
        <v>1.633910012986052</v>
      </c>
      <c r="AO280" s="23">
        <v>-99</v>
      </c>
    </row>
    <row r="281" spans="1:41" x14ac:dyDescent="0.25">
      <c r="A281" s="4">
        <v>53</v>
      </c>
      <c r="B281">
        <v>180</v>
      </c>
      <c r="C281">
        <v>50</v>
      </c>
      <c r="D281">
        <v>20</v>
      </c>
      <c r="E281" s="3">
        <v>26</v>
      </c>
      <c r="F281" s="3">
        <f>1.8*E281+32</f>
        <v>78.800000000000011</v>
      </c>
      <c r="G281" s="3">
        <v>14</v>
      </c>
      <c r="H281" s="3">
        <f>IF(F281&gt;68,G281+(F281-68)*0.2,G429-(68-F281)*0.2)</f>
        <v>16.160000000000004</v>
      </c>
      <c r="I281" s="3">
        <v>23</v>
      </c>
      <c r="J281" s="3">
        <f>1.8*I281+32</f>
        <v>73.400000000000006</v>
      </c>
      <c r="K281" s="3">
        <v>7</v>
      </c>
      <c r="L281" s="3">
        <f>IF(J281&gt;67,K281+(J281-67)*0.2,K281-(67-J281)*0.2)</f>
        <v>8.2800000000000011</v>
      </c>
      <c r="M281" s="3">
        <f>(C281-H281)/C281*100</f>
        <v>67.679999999999993</v>
      </c>
      <c r="N281" s="3">
        <f>100-(M281+O281)</f>
        <v>15.760000000000005</v>
      </c>
      <c r="O281" s="3">
        <f>L281/C281*100</f>
        <v>16.560000000000002</v>
      </c>
      <c r="P281" s="1" t="s">
        <v>0</v>
      </c>
      <c r="Q281" s="15">
        <v>407533.56400000001</v>
      </c>
      <c r="R281" s="15">
        <v>3659923</v>
      </c>
      <c r="S281" s="17"/>
      <c r="T281">
        <v>2009033</v>
      </c>
      <c r="U281" t="s">
        <v>423</v>
      </c>
      <c r="V281">
        <v>6.13E-2</v>
      </c>
      <c r="W281">
        <v>0.38428000000000001</v>
      </c>
      <c r="X281">
        <v>2.741E-2</v>
      </c>
      <c r="Y281">
        <v>1.3390599999999999</v>
      </c>
      <c r="Z281">
        <v>17.94004</v>
      </c>
      <c r="AA281">
        <v>10.0755</v>
      </c>
      <c r="AB281">
        <v>-1.4381699999999999</v>
      </c>
      <c r="AC281" s="23">
        <v>6.6360000000000002E-2</v>
      </c>
      <c r="AD281" s="23">
        <v>0.39107999999999998</v>
      </c>
      <c r="AE281" s="23">
        <v>2.4709999999999999E-2</v>
      </c>
      <c r="AF281" s="23">
        <v>1.3322700000000001</v>
      </c>
      <c r="AG281" s="23">
        <v>13.035970000000001</v>
      </c>
      <c r="AH281" s="23">
        <v>8.34206</v>
      </c>
      <c r="AI281" s="23">
        <v>-1.4116200000000001</v>
      </c>
      <c r="AJ281" s="25">
        <v>0.54316541666666673</v>
      </c>
      <c r="AK281" s="25">
        <v>0.39049745921888934</v>
      </c>
      <c r="AL281" s="25">
        <v>0.2252261557879022</v>
      </c>
      <c r="AM281" s="25">
        <v>0.11184607237076347</v>
      </c>
      <c r="AN281" s="24">
        <v>1.6151817330699432</v>
      </c>
      <c r="AO281" s="23">
        <v>-99</v>
      </c>
    </row>
    <row r="282" spans="1:41" x14ac:dyDescent="0.25">
      <c r="A282" s="4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"/>
      <c r="Q282" s="18"/>
      <c r="R282" s="18"/>
      <c r="S282" s="17"/>
      <c r="T282">
        <v>2009033</v>
      </c>
      <c r="U282" t="s">
        <v>422</v>
      </c>
      <c r="V282">
        <v>5.5730000000000002E-2</v>
      </c>
      <c r="W282">
        <v>0.38389000000000001</v>
      </c>
      <c r="X282">
        <v>2.843E-2</v>
      </c>
      <c r="Y282">
        <v>1.3630899999999999</v>
      </c>
      <c r="Z282">
        <v>23.776859999999999</v>
      </c>
      <c r="AA282">
        <v>11.788639999999999</v>
      </c>
      <c r="AB282">
        <v>-1.3138099999999999</v>
      </c>
      <c r="AC282" s="23">
        <v>7.3810000000000001E-2</v>
      </c>
      <c r="AD282" s="23">
        <v>0.39787</v>
      </c>
      <c r="AE282" s="23">
        <v>2.462E-2</v>
      </c>
      <c r="AF282" s="23">
        <v>1.29644</v>
      </c>
      <c r="AG282" s="23">
        <v>9.3703800000000008</v>
      </c>
      <c r="AH282" s="23">
        <v>7.2713299999999998</v>
      </c>
      <c r="AI282" s="23">
        <v>-1.6594500000000001</v>
      </c>
      <c r="AJ282" s="25">
        <v>0.39043250000000002</v>
      </c>
      <c r="AK282" s="25">
        <v>0.39726461958271603</v>
      </c>
      <c r="AL282" s="25">
        <v>0.24499674866075849</v>
      </c>
      <c r="AM282" s="25">
        <v>0.12998006193435963</v>
      </c>
      <c r="AN282" s="24">
        <v>1.5972487581058024</v>
      </c>
      <c r="AO282" s="23">
        <v>-99</v>
      </c>
    </row>
    <row r="283" spans="1:41" ht="51.75" x14ac:dyDescent="0.25">
      <c r="A283" s="14" t="s">
        <v>21</v>
      </c>
      <c r="B283" s="9" t="s">
        <v>20</v>
      </c>
      <c r="C283" s="13" t="s">
        <v>19</v>
      </c>
      <c r="D283" s="12" t="s">
        <v>18</v>
      </c>
      <c r="E283" s="11" t="s">
        <v>17</v>
      </c>
      <c r="F283" s="11" t="s">
        <v>16</v>
      </c>
      <c r="G283" s="11" t="s">
        <v>15</v>
      </c>
      <c r="H283" s="11" t="s">
        <v>14</v>
      </c>
      <c r="I283" s="11" t="s">
        <v>13</v>
      </c>
      <c r="J283" s="11" t="s">
        <v>12</v>
      </c>
      <c r="K283" s="11" t="s">
        <v>11</v>
      </c>
      <c r="L283" s="11" t="s">
        <v>10</v>
      </c>
      <c r="M283" s="10" t="s">
        <v>9</v>
      </c>
      <c r="N283" s="10" t="s">
        <v>8</v>
      </c>
      <c r="O283" s="10" t="s">
        <v>7</v>
      </c>
      <c r="P283" s="9" t="s">
        <v>6</v>
      </c>
      <c r="Q283" s="21" t="s">
        <v>5</v>
      </c>
      <c r="R283" s="20"/>
      <c r="S283" s="17"/>
      <c r="T283">
        <v>2009033</v>
      </c>
      <c r="U283" t="s">
        <v>421</v>
      </c>
      <c r="V283">
        <v>6.2869999999999995E-2</v>
      </c>
      <c r="W283">
        <v>0.38408999999999999</v>
      </c>
      <c r="X283">
        <v>2.7320000000000001E-2</v>
      </c>
      <c r="Y283">
        <v>1.3305499999999999</v>
      </c>
      <c r="Z283">
        <v>16.587289999999999</v>
      </c>
      <c r="AA283">
        <v>9.6931600000000007</v>
      </c>
      <c r="AB283">
        <v>-1.49211</v>
      </c>
      <c r="AC283" s="23">
        <v>6.6519999999999996E-2</v>
      </c>
      <c r="AD283" s="23">
        <v>0.39206999999999997</v>
      </c>
      <c r="AE283" s="23">
        <v>2.4250000000000001E-2</v>
      </c>
      <c r="AF283" s="23">
        <v>1.3354600000000001</v>
      </c>
      <c r="AG283" s="23">
        <v>12.7759</v>
      </c>
      <c r="AH283" s="23">
        <v>8.1845999999999997</v>
      </c>
      <c r="AI283" s="23">
        <v>-1.37975</v>
      </c>
      <c r="AJ283" s="25">
        <v>0.53232916666666663</v>
      </c>
      <c r="AK283" s="25">
        <v>0.39150299299963098</v>
      </c>
      <c r="AL283" s="25">
        <v>0.22566654952845516</v>
      </c>
      <c r="AM283" s="25">
        <v>0.11155283023255694</v>
      </c>
      <c r="AN283" s="24">
        <v>1.6125170685509778</v>
      </c>
      <c r="AO283" s="23">
        <v>-99</v>
      </c>
    </row>
    <row r="284" spans="1:41" x14ac:dyDescent="0.25">
      <c r="C284" s="16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"/>
      <c r="Q284" s="5" t="s">
        <v>4</v>
      </c>
      <c r="R284" s="5" t="s">
        <v>3</v>
      </c>
      <c r="S284" s="17"/>
      <c r="T284">
        <v>2009033</v>
      </c>
      <c r="U284" t="s">
        <v>420</v>
      </c>
      <c r="V284">
        <v>6.6360000000000002E-2</v>
      </c>
      <c r="W284">
        <v>0.39107999999999998</v>
      </c>
      <c r="X284">
        <v>2.4709999999999999E-2</v>
      </c>
      <c r="Y284">
        <v>1.3322700000000001</v>
      </c>
      <c r="Z284">
        <v>13.035970000000001</v>
      </c>
      <c r="AA284">
        <v>8.34206</v>
      </c>
      <c r="AB284">
        <v>-1.4116200000000001</v>
      </c>
      <c r="AC284" s="23">
        <v>5.9959999999999999E-2</v>
      </c>
      <c r="AD284" s="23">
        <v>0.38296000000000002</v>
      </c>
      <c r="AE284" s="23">
        <v>2.8080000000000001E-2</v>
      </c>
      <c r="AF284" s="23">
        <v>1.34365</v>
      </c>
      <c r="AG284" s="23">
        <v>19.564260000000001</v>
      </c>
      <c r="AH284" s="23">
        <v>10.602349999999999</v>
      </c>
      <c r="AI284" s="23">
        <v>-1.42839</v>
      </c>
      <c r="AJ284" s="25">
        <v>0.8151775</v>
      </c>
      <c r="AK284" s="25">
        <v>0.38228393816534528</v>
      </c>
      <c r="AL284" s="25">
        <v>0.20793736914073752</v>
      </c>
      <c r="AM284" s="25">
        <v>0.10044219455360617</v>
      </c>
      <c r="AN284" s="24">
        <v>1.6369475638618347</v>
      </c>
      <c r="AO284" s="23">
        <v>-99</v>
      </c>
    </row>
    <row r="285" spans="1:41" x14ac:dyDescent="0.25">
      <c r="A285" s="4">
        <v>54</v>
      </c>
      <c r="B285">
        <v>30</v>
      </c>
      <c r="C285" s="16">
        <v>50</v>
      </c>
      <c r="D285">
        <v>20</v>
      </c>
      <c r="E285" s="3">
        <v>25</v>
      </c>
      <c r="F285" s="3">
        <f>1.8*E285+32</f>
        <v>77</v>
      </c>
      <c r="G285" s="3">
        <v>15</v>
      </c>
      <c r="H285" s="3">
        <f>IF(F285&gt;68,G285+(F285-68)*0.2,G432-(68-F285)*0.2)</f>
        <v>16.8</v>
      </c>
      <c r="I285" s="3">
        <v>23</v>
      </c>
      <c r="J285" s="3">
        <f>1.8*I285+32</f>
        <v>73.400000000000006</v>
      </c>
      <c r="K285" s="3">
        <v>9</v>
      </c>
      <c r="L285" s="3">
        <f>IF(J285&gt;68,K285+(J285-68)*0.2,K285-(68-J285)*0.2)</f>
        <v>10.080000000000002</v>
      </c>
      <c r="M285" s="3">
        <f>(C285-H285)/C285*100</f>
        <v>66.400000000000006</v>
      </c>
      <c r="N285" s="3">
        <f>100-(M285+O285)</f>
        <v>13.439999999999998</v>
      </c>
      <c r="O285" s="3">
        <f>L285/C285*100</f>
        <v>20.160000000000004</v>
      </c>
      <c r="P285" s="1" t="s">
        <v>2</v>
      </c>
      <c r="Q285" s="15">
        <v>407533.56400000001</v>
      </c>
      <c r="R285" s="15">
        <v>3659949.5</v>
      </c>
      <c r="S285" s="17"/>
      <c r="T285">
        <v>2009033</v>
      </c>
      <c r="U285" t="s">
        <v>419</v>
      </c>
      <c r="V285">
        <v>7.3810000000000001E-2</v>
      </c>
      <c r="W285">
        <v>0.39787</v>
      </c>
      <c r="X285">
        <v>2.462E-2</v>
      </c>
      <c r="Y285">
        <v>1.29644</v>
      </c>
      <c r="Z285">
        <v>9.3703800000000008</v>
      </c>
      <c r="AA285">
        <v>7.2713299999999998</v>
      </c>
      <c r="AB285">
        <v>-1.6594500000000001</v>
      </c>
      <c r="AC285" s="23">
        <v>5.9409999999999998E-2</v>
      </c>
      <c r="AD285" s="23">
        <v>0.38234000000000001</v>
      </c>
      <c r="AE285" s="23">
        <v>2.8400000000000002E-2</v>
      </c>
      <c r="AF285" s="23">
        <v>1.34581</v>
      </c>
      <c r="AG285" s="23">
        <v>20.314679999999999</v>
      </c>
      <c r="AH285" s="23">
        <v>10.840870000000001</v>
      </c>
      <c r="AI285" s="23">
        <v>-1.4246399999999999</v>
      </c>
      <c r="AJ285" s="25">
        <v>0.846445</v>
      </c>
      <c r="AK285" s="25">
        <v>0.38165582294962563</v>
      </c>
      <c r="AL285" s="25">
        <v>0.20609378739644876</v>
      </c>
      <c r="AM285" s="25">
        <v>9.920238614946103E-2</v>
      </c>
      <c r="AN285" s="24">
        <v>1.638612069183492</v>
      </c>
      <c r="AO285" s="23">
        <v>-99</v>
      </c>
    </row>
    <row r="286" spans="1:41" x14ac:dyDescent="0.25">
      <c r="A286" s="4">
        <v>54</v>
      </c>
      <c r="B286">
        <v>60</v>
      </c>
      <c r="C286" s="16">
        <v>50</v>
      </c>
      <c r="D286">
        <v>20</v>
      </c>
      <c r="E286" s="3">
        <v>26</v>
      </c>
      <c r="F286" s="3">
        <f>1.8*E286+32</f>
        <v>78.800000000000011</v>
      </c>
      <c r="G286" s="3">
        <v>13</v>
      </c>
      <c r="H286" s="3">
        <f>IF(F286&gt;68,G286+(F286-68)*0.2,G433-(68-F286)*0.2)</f>
        <v>15.160000000000002</v>
      </c>
      <c r="I286" s="3">
        <v>23</v>
      </c>
      <c r="J286" s="3">
        <f>1.8*I286+32</f>
        <v>73.400000000000006</v>
      </c>
      <c r="K286" s="3">
        <v>8</v>
      </c>
      <c r="L286" s="3">
        <f>IF(J286&gt;68,K286+(J286-68)*0.2,K286-(68-J286)*0.2)</f>
        <v>9.0800000000000018</v>
      </c>
      <c r="M286" s="3">
        <f>(C286-H286)/C286*100</f>
        <v>69.679999999999993</v>
      </c>
      <c r="N286" s="3">
        <f>100-(M286+O286)</f>
        <v>12.159999999999997</v>
      </c>
      <c r="O286" s="3">
        <f>L286/C286*100</f>
        <v>18.160000000000004</v>
      </c>
      <c r="P286" s="1" t="s">
        <v>0</v>
      </c>
      <c r="Q286" s="15">
        <v>407533.56400000001</v>
      </c>
      <c r="R286" s="15">
        <v>3659949.5</v>
      </c>
      <c r="S286" s="17"/>
      <c r="T286">
        <v>2009033</v>
      </c>
      <c r="U286" t="s">
        <v>418</v>
      </c>
      <c r="V286">
        <v>6.6519999999999996E-2</v>
      </c>
      <c r="W286">
        <v>0.39206999999999997</v>
      </c>
      <c r="X286">
        <v>2.4250000000000001E-2</v>
      </c>
      <c r="Y286">
        <v>1.3354600000000001</v>
      </c>
      <c r="Z286">
        <v>12.7759</v>
      </c>
      <c r="AA286">
        <v>8.1845999999999997</v>
      </c>
      <c r="AB286">
        <v>-1.37975</v>
      </c>
      <c r="AC286" s="23">
        <v>6.2869999999999995E-2</v>
      </c>
      <c r="AD286" s="23">
        <v>0.38408999999999999</v>
      </c>
      <c r="AE286" s="23">
        <v>2.7320000000000001E-2</v>
      </c>
      <c r="AF286" s="23">
        <v>1.3305499999999999</v>
      </c>
      <c r="AG286" s="23">
        <v>16.587289999999999</v>
      </c>
      <c r="AH286" s="23">
        <v>9.6931600000000007</v>
      </c>
      <c r="AI286" s="23">
        <v>-1.49211</v>
      </c>
      <c r="AJ286" s="25">
        <v>0.69113708333333335</v>
      </c>
      <c r="AK286" s="25">
        <v>0.38343018377884824</v>
      </c>
      <c r="AL286" s="25">
        <v>0.2157181568049219</v>
      </c>
      <c r="AM286" s="25">
        <v>0.10684247193497465</v>
      </c>
      <c r="AN286" s="24">
        <v>1.633910012986052</v>
      </c>
      <c r="AO286" s="23">
        <v>-99</v>
      </c>
    </row>
    <row r="287" spans="1:41" x14ac:dyDescent="0.25">
      <c r="A287" s="4">
        <v>54</v>
      </c>
      <c r="B287">
        <v>90</v>
      </c>
      <c r="C287" s="16">
        <v>50</v>
      </c>
      <c r="D287">
        <v>20</v>
      </c>
      <c r="E287" s="3">
        <v>26</v>
      </c>
      <c r="F287" s="3">
        <f>1.8*E287+32</f>
        <v>78.800000000000011</v>
      </c>
      <c r="G287" s="3">
        <v>10</v>
      </c>
      <c r="H287" s="3">
        <f>IF(F287&gt;68,G287+(F287-68)*0.2,G434-(68-F287)*0.2)</f>
        <v>12.160000000000002</v>
      </c>
      <c r="I287" s="3">
        <v>23</v>
      </c>
      <c r="J287" s="3">
        <f>1.8*I287+32</f>
        <v>73.400000000000006</v>
      </c>
      <c r="K287" s="3">
        <v>6</v>
      </c>
      <c r="L287" s="3">
        <f>IF(J287&gt;68,K287+(J287-68)*0.2,K287-(68-J287)*0.2)</f>
        <v>7.080000000000001</v>
      </c>
      <c r="M287" s="3">
        <f>(C287-H287)/C287*100</f>
        <v>75.679999999999993</v>
      </c>
      <c r="N287" s="3">
        <f>100-(M287+O287)</f>
        <v>10.159999999999997</v>
      </c>
      <c r="O287" s="3">
        <f>L287/C287*100</f>
        <v>14.160000000000004</v>
      </c>
      <c r="P287" s="1" t="s">
        <v>0</v>
      </c>
      <c r="Q287" s="15">
        <v>407533.56400000001</v>
      </c>
      <c r="R287" s="15">
        <v>3659949.5</v>
      </c>
      <c r="S287" s="17"/>
      <c r="T287">
        <v>2009033</v>
      </c>
      <c r="U287" t="s">
        <v>417</v>
      </c>
      <c r="V287">
        <v>5.9959999999999999E-2</v>
      </c>
      <c r="W287">
        <v>0.38296000000000002</v>
      </c>
      <c r="X287">
        <v>2.8080000000000001E-2</v>
      </c>
      <c r="Y287">
        <v>1.34365</v>
      </c>
      <c r="Z287">
        <v>19.564260000000001</v>
      </c>
      <c r="AA287">
        <v>10.602349999999999</v>
      </c>
      <c r="AB287">
        <v>-1.42839</v>
      </c>
      <c r="AC287" s="23">
        <v>5.7140000000000003E-2</v>
      </c>
      <c r="AD287" s="23">
        <v>0.37992999999999999</v>
      </c>
      <c r="AE287" s="23">
        <v>2.9700000000000001E-2</v>
      </c>
      <c r="AF287" s="23">
        <v>1.3605100000000001</v>
      </c>
      <c r="AG287" s="23">
        <v>24.229610000000001</v>
      </c>
      <c r="AH287" s="23">
        <v>11.96278</v>
      </c>
      <c r="AI287" s="23">
        <v>-1.3863000000000001</v>
      </c>
      <c r="AJ287" s="25">
        <v>1.0095670833333334</v>
      </c>
      <c r="AK287" s="25">
        <v>0.37921875748068085</v>
      </c>
      <c r="AL287" s="25">
        <v>0.19682708030501636</v>
      </c>
      <c r="AM287" s="25">
        <v>9.2945960814808173E-2</v>
      </c>
      <c r="AN287" s="24">
        <v>1.6450702926761955</v>
      </c>
      <c r="AO287" s="23">
        <v>-99</v>
      </c>
    </row>
    <row r="288" spans="1:41" x14ac:dyDescent="0.25">
      <c r="A288" s="4">
        <v>54</v>
      </c>
      <c r="B288">
        <v>120</v>
      </c>
      <c r="C288" s="16">
        <v>50</v>
      </c>
      <c r="D288">
        <v>20</v>
      </c>
      <c r="E288" s="3">
        <v>26</v>
      </c>
      <c r="F288" s="3">
        <f>1.8*E288+32</f>
        <v>78.800000000000011</v>
      </c>
      <c r="G288" s="3">
        <v>15</v>
      </c>
      <c r="H288" s="3">
        <f>IF(F288&gt;68,G288+(F288-68)*0.2,G436-(68-F288)*0.2)</f>
        <v>17.160000000000004</v>
      </c>
      <c r="I288" s="3">
        <v>23</v>
      </c>
      <c r="J288" s="3">
        <f>1.8*I288+32</f>
        <v>73.400000000000006</v>
      </c>
      <c r="K288" s="3">
        <v>9</v>
      </c>
      <c r="L288" s="3">
        <f>IF(J288&gt;68,K288+(J288-68)*0.2,K288-(68-J288)*0.2)</f>
        <v>10.080000000000002</v>
      </c>
      <c r="M288" s="3">
        <f>(C288-H288)/C288*100</f>
        <v>65.679999999999993</v>
      </c>
      <c r="N288" s="3">
        <f>100-(M288+O288)</f>
        <v>14.159999999999997</v>
      </c>
      <c r="O288" s="3">
        <f>L288/C288*100</f>
        <v>20.160000000000004</v>
      </c>
      <c r="P288" s="1" t="s">
        <v>2</v>
      </c>
      <c r="Q288" s="15">
        <v>407533.56400000001</v>
      </c>
      <c r="R288" s="15">
        <v>3659949.5</v>
      </c>
      <c r="T288">
        <v>2009033</v>
      </c>
      <c r="U288" t="s">
        <v>416</v>
      </c>
      <c r="V288">
        <v>5.9409999999999998E-2</v>
      </c>
      <c r="W288">
        <v>0.38234000000000001</v>
      </c>
      <c r="X288">
        <v>2.8400000000000002E-2</v>
      </c>
      <c r="Y288">
        <v>1.34581</v>
      </c>
      <c r="Z288">
        <v>20.314679999999999</v>
      </c>
      <c r="AA288">
        <v>10.840870000000001</v>
      </c>
      <c r="AB288">
        <v>-1.4246399999999999</v>
      </c>
      <c r="AC288" s="23">
        <v>5.3339999999999999E-2</v>
      </c>
      <c r="AD288" s="23">
        <v>0.38120999999999999</v>
      </c>
      <c r="AE288" s="23">
        <v>3.075E-2</v>
      </c>
      <c r="AF288" s="23">
        <v>1.3788100000000001</v>
      </c>
      <c r="AG288" s="23">
        <v>29.397169999999999</v>
      </c>
      <c r="AH288" s="23">
        <v>13.59186</v>
      </c>
      <c r="AI288" s="23">
        <v>-1.304</v>
      </c>
      <c r="AJ288" s="25">
        <v>1.2248820833333334</v>
      </c>
      <c r="AK288" s="25">
        <v>0.38047315446168684</v>
      </c>
      <c r="AL288" s="25">
        <v>0.18769745402249621</v>
      </c>
      <c r="AM288" s="25">
        <v>8.5443369199854874E-2</v>
      </c>
      <c r="AN288" s="24">
        <v>1.6417461406765299</v>
      </c>
      <c r="AO288" s="23">
        <v>-99</v>
      </c>
    </row>
    <row r="289" spans="1:41" x14ac:dyDescent="0.25">
      <c r="A289" s="4">
        <v>54</v>
      </c>
      <c r="B289">
        <v>150</v>
      </c>
      <c r="C289" s="16">
        <v>50</v>
      </c>
      <c r="D289">
        <v>20</v>
      </c>
      <c r="E289" s="3">
        <v>26</v>
      </c>
      <c r="F289" s="3">
        <f>1.8*E289+32</f>
        <v>78.800000000000011</v>
      </c>
      <c r="G289" s="3">
        <v>17</v>
      </c>
      <c r="H289" s="3">
        <f>IF(F289&gt;68,G289+(F289-68)*0.2,G437-(68-F289)*0.2)</f>
        <v>19.160000000000004</v>
      </c>
      <c r="I289" s="3">
        <v>23</v>
      </c>
      <c r="J289" s="3">
        <f>1.8*I289+32</f>
        <v>73.400000000000006</v>
      </c>
      <c r="K289" s="3">
        <v>10</v>
      </c>
      <c r="L289" s="3">
        <f>IF(J289&gt;68,K289+(J289-68)*0.2,K289-(68-J289)*0.2)</f>
        <v>11.080000000000002</v>
      </c>
      <c r="M289" s="3">
        <f>(C289-H289)/C289*100</f>
        <v>61.679999999999993</v>
      </c>
      <c r="N289" s="3">
        <f>100-(M289+O289)</f>
        <v>16.159999999999997</v>
      </c>
      <c r="O289" s="3">
        <f>L289/C289*100</f>
        <v>22.160000000000004</v>
      </c>
      <c r="P289" s="1" t="s">
        <v>2</v>
      </c>
      <c r="Q289" s="15">
        <v>407533.56400000001</v>
      </c>
      <c r="R289" s="15">
        <v>3659949.5</v>
      </c>
      <c r="T289">
        <v>2009033</v>
      </c>
      <c r="U289" t="s">
        <v>415</v>
      </c>
      <c r="V289">
        <v>6.2869999999999995E-2</v>
      </c>
      <c r="W289">
        <v>0.38408999999999999</v>
      </c>
      <c r="X289">
        <v>2.7320000000000001E-2</v>
      </c>
      <c r="Y289">
        <v>1.3305499999999999</v>
      </c>
      <c r="Z289">
        <v>16.587289999999999</v>
      </c>
      <c r="AA289">
        <v>9.6931600000000007</v>
      </c>
      <c r="AB289">
        <v>-1.49211</v>
      </c>
      <c r="AC289" s="23">
        <v>5.4390000000000001E-2</v>
      </c>
      <c r="AD289" s="23">
        <v>0.37925999999999999</v>
      </c>
      <c r="AE289" s="23">
        <v>3.0949999999999998E-2</v>
      </c>
      <c r="AF289" s="23">
        <v>1.3841000000000001</v>
      </c>
      <c r="AG289" s="23">
        <v>29.84646</v>
      </c>
      <c r="AH289" s="23">
        <v>13.461930000000001</v>
      </c>
      <c r="AI289" s="23">
        <v>-1.3107899999999999</v>
      </c>
      <c r="AJ289" s="25">
        <v>1.2436024999999999</v>
      </c>
      <c r="AK289" s="25">
        <v>0.3785294360145246</v>
      </c>
      <c r="AL289" s="25">
        <v>0.18557820222970331</v>
      </c>
      <c r="AM289" s="25">
        <v>8.5107484919378279E-2</v>
      </c>
      <c r="AN289" s="24">
        <v>1.6468969945615097</v>
      </c>
      <c r="AO289" s="23">
        <v>-99</v>
      </c>
    </row>
    <row r="290" spans="1:41" x14ac:dyDescent="0.25">
      <c r="A290" s="4">
        <v>54</v>
      </c>
      <c r="B290">
        <v>180</v>
      </c>
      <c r="C290" s="16">
        <v>50</v>
      </c>
      <c r="D290">
        <v>20</v>
      </c>
      <c r="E290" s="3">
        <v>26</v>
      </c>
      <c r="F290" s="3">
        <f>1.8*E290+32</f>
        <v>78.800000000000011</v>
      </c>
      <c r="G290" s="3">
        <v>14</v>
      </c>
      <c r="H290" s="3">
        <f>IF(F290&gt;68,G290+(F290-68)*0.2,G438-(68-F290)*0.2)</f>
        <v>16.160000000000004</v>
      </c>
      <c r="I290" s="3">
        <v>23</v>
      </c>
      <c r="J290" s="3">
        <f>1.8*I290+32</f>
        <v>73.400000000000006</v>
      </c>
      <c r="K290" s="3">
        <v>7</v>
      </c>
      <c r="L290" s="3">
        <f>IF(J290&gt;68,K290+(J290-68)*0.2,K290-(68-J290)*0.2)</f>
        <v>8.0800000000000018</v>
      </c>
      <c r="M290" s="3">
        <f>(C290-H290)/C290*100</f>
        <v>67.679999999999993</v>
      </c>
      <c r="N290" s="3">
        <f>100-(M290+O290)</f>
        <v>16.159999999999997</v>
      </c>
      <c r="O290" s="3">
        <f>L290/C290*100</f>
        <v>16.160000000000004</v>
      </c>
      <c r="P290" s="1" t="s">
        <v>0</v>
      </c>
      <c r="Q290" s="15">
        <v>407533.56400000001</v>
      </c>
      <c r="R290" s="15">
        <v>3659949.5</v>
      </c>
      <c r="T290">
        <v>2009033</v>
      </c>
      <c r="U290" t="s">
        <v>414</v>
      </c>
      <c r="V290">
        <v>5.7140000000000003E-2</v>
      </c>
      <c r="W290">
        <v>0.37992999999999999</v>
      </c>
      <c r="X290">
        <v>2.9700000000000001E-2</v>
      </c>
      <c r="Y290">
        <v>1.3605100000000001</v>
      </c>
      <c r="Z290">
        <v>24.229610000000001</v>
      </c>
      <c r="AA290">
        <v>11.96278</v>
      </c>
      <c r="AB290">
        <v>-1.3863000000000001</v>
      </c>
      <c r="AC290" s="23">
        <v>5.7189999999999998E-2</v>
      </c>
      <c r="AD290" s="23">
        <v>0.37957000000000002</v>
      </c>
      <c r="AE290" s="23">
        <v>2.9749999999999999E-2</v>
      </c>
      <c r="AF290" s="23">
        <v>1.3613</v>
      </c>
      <c r="AG290" s="23">
        <v>24.351179999999999</v>
      </c>
      <c r="AH290" s="23">
        <v>11.972250000000001</v>
      </c>
      <c r="AI290" s="23">
        <v>-1.38656</v>
      </c>
      <c r="AJ290" s="25">
        <v>1.0146325</v>
      </c>
      <c r="AK290" s="25">
        <v>0.37885886419086523</v>
      </c>
      <c r="AL290" s="25">
        <v>0.19636655499445119</v>
      </c>
      <c r="AM290" s="25">
        <v>9.2756979239587922E-2</v>
      </c>
      <c r="AN290" s="24">
        <v>1.6460240098942072</v>
      </c>
      <c r="AO290" s="23">
        <v>-99</v>
      </c>
    </row>
    <row r="291" spans="1:41" x14ac:dyDescent="0.25">
      <c r="E291" s="3"/>
      <c r="F291" s="3"/>
      <c r="Q291" s="18"/>
      <c r="R291" s="18"/>
      <c r="T291">
        <v>2009033</v>
      </c>
      <c r="U291" t="s">
        <v>413</v>
      </c>
      <c r="V291">
        <v>5.3339999999999999E-2</v>
      </c>
      <c r="W291">
        <v>0.38120999999999999</v>
      </c>
      <c r="X291">
        <v>3.075E-2</v>
      </c>
      <c r="Y291">
        <v>1.3788100000000001</v>
      </c>
      <c r="Z291">
        <v>29.397169999999999</v>
      </c>
      <c r="AA291">
        <v>13.59186</v>
      </c>
      <c r="AB291">
        <v>-1.304</v>
      </c>
      <c r="AC291" s="23">
        <v>6.2770000000000006E-2</v>
      </c>
      <c r="AD291" s="23">
        <v>0.38207000000000002</v>
      </c>
      <c r="AE291" s="23">
        <v>2.784E-2</v>
      </c>
      <c r="AF291" s="23">
        <v>1.3279399999999999</v>
      </c>
      <c r="AG291" s="23">
        <v>16.951139999999999</v>
      </c>
      <c r="AH291" s="23">
        <v>9.8255800000000004</v>
      </c>
      <c r="AI291" s="23">
        <v>-1.5267299999999999</v>
      </c>
      <c r="AJ291" s="25">
        <v>0.70629749999999991</v>
      </c>
      <c r="AK291" s="25">
        <v>0.38139530364029889</v>
      </c>
      <c r="AL291" s="25">
        <v>0.21468832900294438</v>
      </c>
      <c r="AM291" s="25">
        <v>0.10689769397276622</v>
      </c>
      <c r="AN291" s="24">
        <v>1.6393024453532081</v>
      </c>
      <c r="AO291" s="23">
        <v>-99</v>
      </c>
    </row>
    <row r="292" spans="1:41" ht="51.75" x14ac:dyDescent="0.25">
      <c r="A292" s="14" t="s">
        <v>21</v>
      </c>
      <c r="B292" s="9" t="s">
        <v>20</v>
      </c>
      <c r="C292" s="13" t="s">
        <v>19</v>
      </c>
      <c r="D292" s="12" t="s">
        <v>18</v>
      </c>
      <c r="E292" s="11" t="s">
        <v>17</v>
      </c>
      <c r="F292" s="11" t="s">
        <v>16</v>
      </c>
      <c r="G292" s="11" t="s">
        <v>15</v>
      </c>
      <c r="H292" s="11" t="s">
        <v>14</v>
      </c>
      <c r="I292" s="11" t="s">
        <v>13</v>
      </c>
      <c r="J292" s="11" t="s">
        <v>12</v>
      </c>
      <c r="K292" s="11" t="s">
        <v>11</v>
      </c>
      <c r="L292" s="11" t="s">
        <v>10</v>
      </c>
      <c r="M292" s="10" t="s">
        <v>9</v>
      </c>
      <c r="N292" s="10" t="s">
        <v>8</v>
      </c>
      <c r="O292" s="10" t="s">
        <v>7</v>
      </c>
      <c r="P292" s="9" t="s">
        <v>6</v>
      </c>
      <c r="Q292" s="21" t="s">
        <v>5</v>
      </c>
      <c r="R292" s="20"/>
      <c r="T292">
        <v>2009033</v>
      </c>
      <c r="U292" t="s">
        <v>412</v>
      </c>
      <c r="V292">
        <v>5.4390000000000001E-2</v>
      </c>
      <c r="W292">
        <v>0.37925999999999999</v>
      </c>
      <c r="X292">
        <v>3.0949999999999998E-2</v>
      </c>
      <c r="Y292">
        <v>1.3841000000000001</v>
      </c>
      <c r="Z292">
        <v>29.84646</v>
      </c>
      <c r="AA292">
        <v>13.461930000000001</v>
      </c>
      <c r="AB292">
        <v>-1.3107899999999999</v>
      </c>
      <c r="AC292" s="23">
        <v>6.2899999999999998E-2</v>
      </c>
      <c r="AD292" s="23">
        <v>0.38452999999999998</v>
      </c>
      <c r="AE292" s="23">
        <v>2.7179999999999999E-2</v>
      </c>
      <c r="AF292" s="23">
        <v>1.3312999999999999</v>
      </c>
      <c r="AG292" s="23">
        <v>16.492039999999999</v>
      </c>
      <c r="AH292" s="23">
        <v>9.6510300000000004</v>
      </c>
      <c r="AI292" s="23">
        <v>-1.48289</v>
      </c>
      <c r="AJ292" s="25">
        <v>0.68716833333333327</v>
      </c>
      <c r="AK292" s="25">
        <v>0.38387446800294084</v>
      </c>
      <c r="AL292" s="25">
        <v>0.21593700103676672</v>
      </c>
      <c r="AM292" s="25">
        <v>0.10680505136058258</v>
      </c>
      <c r="AN292" s="24">
        <v>1.6327326597922065</v>
      </c>
      <c r="AO292" s="23">
        <v>-99</v>
      </c>
    </row>
    <row r="293" spans="1:41" x14ac:dyDescent="0.25"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1"/>
      <c r="Q293" s="5" t="s">
        <v>4</v>
      </c>
      <c r="R293" s="5" t="s">
        <v>3</v>
      </c>
      <c r="T293">
        <v>2009033</v>
      </c>
      <c r="U293" t="s">
        <v>411</v>
      </c>
      <c r="V293">
        <v>5.7189999999999998E-2</v>
      </c>
      <c r="W293">
        <v>0.37957000000000002</v>
      </c>
      <c r="X293">
        <v>2.9749999999999999E-2</v>
      </c>
      <c r="Y293">
        <v>1.3613</v>
      </c>
      <c r="Z293">
        <v>24.351179999999999</v>
      </c>
      <c r="AA293">
        <v>11.972250000000001</v>
      </c>
      <c r="AB293">
        <v>-1.38656</v>
      </c>
      <c r="AC293" s="23">
        <v>5.2990000000000002E-2</v>
      </c>
      <c r="AD293" s="23">
        <v>0.38374999999999998</v>
      </c>
      <c r="AE293" s="23">
        <v>2.9180000000000001E-2</v>
      </c>
      <c r="AF293" s="23">
        <v>1.3735200000000001</v>
      </c>
      <c r="AG293" s="23">
        <v>27.182390000000002</v>
      </c>
      <c r="AH293" s="23">
        <v>12.83991</v>
      </c>
      <c r="AI293" s="23">
        <v>-1.26895</v>
      </c>
      <c r="AJ293" s="25">
        <v>1.1325995833333333</v>
      </c>
      <c r="AK293" s="25">
        <v>0.38305239365253535</v>
      </c>
      <c r="AL293" s="25">
        <v>0.19280819445922454</v>
      </c>
      <c r="AM293" s="25">
        <v>8.7105590296495394E-2</v>
      </c>
      <c r="AN293" s="24">
        <v>1.634911156820781</v>
      </c>
      <c r="AO293" s="23">
        <v>-99</v>
      </c>
    </row>
    <row r="294" spans="1:41" x14ac:dyDescent="0.25">
      <c r="A294" s="4">
        <v>55</v>
      </c>
      <c r="B294">
        <v>30</v>
      </c>
      <c r="C294">
        <v>50</v>
      </c>
      <c r="D294">
        <v>20</v>
      </c>
      <c r="E294" s="3">
        <v>26</v>
      </c>
      <c r="F294" s="3">
        <f>1.8*E294+32</f>
        <v>78.800000000000011</v>
      </c>
      <c r="G294" s="3">
        <v>15</v>
      </c>
      <c r="H294" s="3">
        <f>IF(F294&gt;68,G294+(F294-68)*0.2,G442-(68-F294)*0.2)</f>
        <v>17.160000000000004</v>
      </c>
      <c r="I294" s="3">
        <v>23</v>
      </c>
      <c r="J294" s="3">
        <f>1.8*I294+32</f>
        <v>73.400000000000006</v>
      </c>
      <c r="K294" s="3">
        <v>8</v>
      </c>
      <c r="L294" s="3">
        <f>IF(J294&gt;67,K294+(J294-67)*0.2,K294-(67-J294)*0.2)</f>
        <v>9.2800000000000011</v>
      </c>
      <c r="M294" s="3">
        <f>(C294-H294)/C294*100</f>
        <v>65.679999999999993</v>
      </c>
      <c r="N294" s="3">
        <f>100-(M294+O294)</f>
        <v>15.760000000000005</v>
      </c>
      <c r="O294" s="3">
        <f>L294/C294*100</f>
        <v>18.560000000000002</v>
      </c>
      <c r="P294" s="1" t="s">
        <v>0</v>
      </c>
      <c r="Q294" s="15">
        <v>407533.56400000001</v>
      </c>
      <c r="R294" s="15">
        <v>3659976</v>
      </c>
      <c r="T294">
        <v>2009033</v>
      </c>
      <c r="U294" t="s">
        <v>410</v>
      </c>
      <c r="V294">
        <v>6.2770000000000006E-2</v>
      </c>
      <c r="W294">
        <v>0.38207000000000002</v>
      </c>
      <c r="X294">
        <v>2.784E-2</v>
      </c>
      <c r="Y294">
        <v>1.3279399999999999</v>
      </c>
      <c r="Z294">
        <v>16.951139999999999</v>
      </c>
      <c r="AA294">
        <v>9.8255800000000004</v>
      </c>
      <c r="AB294">
        <v>-1.5267299999999999</v>
      </c>
      <c r="AC294" s="23">
        <v>6.2509999999999996E-2</v>
      </c>
      <c r="AD294" s="23">
        <v>0.38575999999999999</v>
      </c>
      <c r="AE294" s="23">
        <v>2.674E-2</v>
      </c>
      <c r="AF294" s="23">
        <v>1.3363700000000001</v>
      </c>
      <c r="AG294" s="23">
        <v>16.603909999999999</v>
      </c>
      <c r="AH294" s="23">
        <v>9.6196800000000007</v>
      </c>
      <c r="AI294" s="23">
        <v>-1.4375800000000001</v>
      </c>
      <c r="AJ294" s="25">
        <v>0.69182958333333333</v>
      </c>
      <c r="AK294" s="25">
        <v>0.38511968667595564</v>
      </c>
      <c r="AL294" s="25">
        <v>0.21540344553872764</v>
      </c>
      <c r="AM294" s="25">
        <v>0.10554741256590809</v>
      </c>
      <c r="AN294" s="24">
        <v>1.6294328303087176</v>
      </c>
      <c r="AO294" s="23">
        <v>-99</v>
      </c>
    </row>
    <row r="295" spans="1:41" x14ac:dyDescent="0.25">
      <c r="A295" s="4">
        <v>55</v>
      </c>
      <c r="B295">
        <v>60</v>
      </c>
      <c r="C295">
        <v>50</v>
      </c>
      <c r="D295">
        <v>20</v>
      </c>
      <c r="E295" s="3">
        <v>26.5</v>
      </c>
      <c r="F295" s="3">
        <f>1.8*E295+32</f>
        <v>79.7</v>
      </c>
      <c r="G295" s="3">
        <v>10</v>
      </c>
      <c r="H295" s="3">
        <f>IF(F295&gt;68,G295+(F295-68)*0.2,G443-(68-F295)*0.2)</f>
        <v>12.34</v>
      </c>
      <c r="I295" s="3">
        <v>23</v>
      </c>
      <c r="J295" s="3">
        <f>1.8*I295+32</f>
        <v>73.400000000000006</v>
      </c>
      <c r="K295" s="3">
        <v>6</v>
      </c>
      <c r="L295" s="3">
        <f>IF(J295&gt;67,K295+(J295-67)*0.2,K295-(67-J295)*0.2)</f>
        <v>7.2800000000000011</v>
      </c>
      <c r="M295" s="3">
        <f>(C295-H295)/C295*100</f>
        <v>75.319999999999993</v>
      </c>
      <c r="N295" s="3">
        <f>100-(M295+O295)</f>
        <v>10.120000000000005</v>
      </c>
      <c r="O295" s="3">
        <f>L295/C295*100</f>
        <v>14.560000000000004</v>
      </c>
      <c r="P295" s="1" t="s">
        <v>0</v>
      </c>
      <c r="Q295" s="15">
        <v>407533.56400000001</v>
      </c>
      <c r="R295" s="15">
        <v>3659976</v>
      </c>
      <c r="T295">
        <v>2009033</v>
      </c>
      <c r="U295" t="s">
        <v>409</v>
      </c>
      <c r="V295">
        <v>6.2899999999999998E-2</v>
      </c>
      <c r="W295">
        <v>0.38452999999999998</v>
      </c>
      <c r="X295">
        <v>2.7179999999999999E-2</v>
      </c>
      <c r="Y295">
        <v>1.3312999999999999</v>
      </c>
      <c r="Z295">
        <v>16.492039999999999</v>
      </c>
      <c r="AA295">
        <v>9.6510300000000004</v>
      </c>
      <c r="AB295">
        <v>-1.48289</v>
      </c>
      <c r="AC295" s="23">
        <v>6.5509999999999999E-2</v>
      </c>
      <c r="AD295" s="23">
        <v>0.38838</v>
      </c>
      <c r="AE295" s="23">
        <v>2.579E-2</v>
      </c>
      <c r="AF295" s="23">
        <v>1.32745</v>
      </c>
      <c r="AG295" s="23">
        <v>13.98387</v>
      </c>
      <c r="AH295" s="23">
        <v>8.7761999999999993</v>
      </c>
      <c r="AI295" s="23">
        <v>-1.47088</v>
      </c>
      <c r="AJ295" s="25">
        <v>0.58266125000000002</v>
      </c>
      <c r="AK295" s="25">
        <v>0.38776292899997206</v>
      </c>
      <c r="AL295" s="25">
        <v>0.22299011144584774</v>
      </c>
      <c r="AM295" s="25">
        <v>0.11139782930163269</v>
      </c>
      <c r="AN295" s="24">
        <v>1.6224282381500741</v>
      </c>
      <c r="AO295" s="23">
        <v>-99</v>
      </c>
    </row>
    <row r="296" spans="1:41" x14ac:dyDescent="0.25">
      <c r="A296" s="4">
        <v>55</v>
      </c>
      <c r="B296">
        <v>90</v>
      </c>
      <c r="C296">
        <v>50</v>
      </c>
      <c r="D296">
        <v>20</v>
      </c>
      <c r="E296" s="3">
        <v>25</v>
      </c>
      <c r="F296" s="3">
        <f>1.8*E296+32</f>
        <v>77</v>
      </c>
      <c r="G296" s="3">
        <v>12</v>
      </c>
      <c r="H296" s="3">
        <f>IF(F296&gt;68,G296+(F296-68)*0.2,G445-(68-F296)*0.2)</f>
        <v>13.8</v>
      </c>
      <c r="I296" s="3">
        <v>23</v>
      </c>
      <c r="J296" s="3">
        <f>1.8*I296+32</f>
        <v>73.400000000000006</v>
      </c>
      <c r="K296" s="3">
        <v>5</v>
      </c>
      <c r="L296" s="3">
        <f>IF(J296&gt;67,K296+(J296-67)*0.2,K296-(67-J296)*0.2)</f>
        <v>6.2800000000000011</v>
      </c>
      <c r="M296" s="3">
        <f>(C296-H296)/C296*100</f>
        <v>72.400000000000006</v>
      </c>
      <c r="N296" s="3">
        <f>100-(M296+O296)</f>
        <v>15.039999999999992</v>
      </c>
      <c r="O296" s="3">
        <f>L296/C296*100</f>
        <v>12.560000000000002</v>
      </c>
      <c r="P296" s="1" t="s">
        <v>0</v>
      </c>
      <c r="Q296" s="15">
        <v>407533.56400000001</v>
      </c>
      <c r="R296" s="15">
        <v>3659976</v>
      </c>
      <c r="T296">
        <v>2009033</v>
      </c>
      <c r="U296" t="s">
        <v>408</v>
      </c>
      <c r="V296">
        <v>5.2990000000000002E-2</v>
      </c>
      <c r="W296">
        <v>0.38374999999999998</v>
      </c>
      <c r="X296">
        <v>2.9180000000000001E-2</v>
      </c>
      <c r="Y296">
        <v>1.3735200000000001</v>
      </c>
      <c r="Z296">
        <v>27.182390000000002</v>
      </c>
      <c r="AA296">
        <v>12.83991</v>
      </c>
      <c r="AB296">
        <v>-1.26895</v>
      </c>
      <c r="AC296" s="23">
        <v>6.2920000000000004E-2</v>
      </c>
      <c r="AD296" s="23">
        <v>0.38904</v>
      </c>
      <c r="AE296" s="23">
        <v>2.5139999999999999E-2</v>
      </c>
      <c r="AF296" s="23">
        <v>1.34517</v>
      </c>
      <c r="AG296" s="23">
        <v>15.5847</v>
      </c>
      <c r="AH296" s="23">
        <v>9.0483499999999992</v>
      </c>
      <c r="AI296" s="23">
        <v>-1.3421799999999999</v>
      </c>
      <c r="AJ296" s="25">
        <v>0.64936249999999995</v>
      </c>
      <c r="AK296" s="25">
        <v>0.38845259893905171</v>
      </c>
      <c r="AL296" s="25">
        <v>0.21731560328546745</v>
      </c>
      <c r="AM296" s="25">
        <v>0.10499496939693084</v>
      </c>
      <c r="AN296" s="24">
        <v>1.6206006128115129</v>
      </c>
      <c r="AO296" s="23">
        <v>-99</v>
      </c>
    </row>
    <row r="297" spans="1:41" x14ac:dyDescent="0.25">
      <c r="A297" s="4">
        <v>55</v>
      </c>
      <c r="B297">
        <v>120</v>
      </c>
      <c r="C297">
        <v>50</v>
      </c>
      <c r="D297">
        <v>20</v>
      </c>
      <c r="E297" s="3">
        <v>25</v>
      </c>
      <c r="F297" s="3">
        <f>1.8*E297+32</f>
        <v>77</v>
      </c>
      <c r="G297" s="3">
        <v>16</v>
      </c>
      <c r="H297" s="3">
        <f>IF(F297&gt;68,G297+(F297-68)*0.2,G446-(68-F297)*0.2)</f>
        <v>17.8</v>
      </c>
      <c r="I297" s="3">
        <v>23</v>
      </c>
      <c r="J297" s="3">
        <f>1.8*I297+32</f>
        <v>73.400000000000006</v>
      </c>
      <c r="K297" s="3">
        <v>9</v>
      </c>
      <c r="L297" s="3">
        <f>IF(J297&gt;67,K297+(J297-67)*0.2,K297-(67-J297)*0.2)</f>
        <v>10.280000000000001</v>
      </c>
      <c r="M297" s="3">
        <f>(C297-H297)/C297*100</f>
        <v>64.400000000000006</v>
      </c>
      <c r="N297" s="3">
        <f>100-(M297+O297)</f>
        <v>15.039999999999992</v>
      </c>
      <c r="O297" s="3">
        <f>L297/C297*100</f>
        <v>20.560000000000002</v>
      </c>
      <c r="P297" s="1" t="s">
        <v>2</v>
      </c>
      <c r="Q297" s="15">
        <v>407533.56400000001</v>
      </c>
      <c r="R297" s="15">
        <v>3659976</v>
      </c>
      <c r="T297">
        <v>2009033</v>
      </c>
      <c r="U297" t="s">
        <v>407</v>
      </c>
      <c r="V297">
        <v>6.2509999999999996E-2</v>
      </c>
      <c r="W297">
        <v>0.38575999999999999</v>
      </c>
      <c r="X297">
        <v>2.674E-2</v>
      </c>
      <c r="Y297">
        <v>1.3363700000000001</v>
      </c>
      <c r="Z297">
        <v>16.603909999999999</v>
      </c>
      <c r="AA297">
        <v>9.6196800000000007</v>
      </c>
      <c r="AB297">
        <v>-1.4375800000000001</v>
      </c>
      <c r="AC297" s="23">
        <v>5.6250000000000001E-2</v>
      </c>
      <c r="AD297" s="23">
        <v>0.38325999999999999</v>
      </c>
      <c r="AE297" s="23">
        <v>2.87E-2</v>
      </c>
      <c r="AF297" s="23">
        <v>1.3606499999999999</v>
      </c>
      <c r="AG297" s="23">
        <v>23.54195</v>
      </c>
      <c r="AH297" s="23">
        <v>11.77164</v>
      </c>
      <c r="AI297" s="23">
        <v>-1.3377399999999999</v>
      </c>
      <c r="AJ297" s="25">
        <v>0.98091458333333337</v>
      </c>
      <c r="AK297" s="25">
        <v>0.38257224385141148</v>
      </c>
      <c r="AL297" s="25">
        <v>0.19939957890582627</v>
      </c>
      <c r="AM297" s="25">
        <v>9.2943455566806943E-2</v>
      </c>
      <c r="AN297" s="24">
        <v>1.6361835537937597</v>
      </c>
      <c r="AO297" s="23">
        <v>-99</v>
      </c>
    </row>
    <row r="298" spans="1:41" x14ac:dyDescent="0.25">
      <c r="A298" s="4">
        <v>55</v>
      </c>
      <c r="B298">
        <v>150</v>
      </c>
      <c r="C298">
        <v>50</v>
      </c>
      <c r="D298">
        <v>20</v>
      </c>
      <c r="E298" s="3">
        <v>26</v>
      </c>
      <c r="F298" s="3">
        <f>1.8*E298+32</f>
        <v>78.800000000000011</v>
      </c>
      <c r="G298" s="3">
        <v>15</v>
      </c>
      <c r="H298" s="3">
        <f>IF(F298&gt;68,G298+(F298-68)*0.2,G447-(68-F298)*0.2)</f>
        <v>17.160000000000004</v>
      </c>
      <c r="I298" s="3">
        <v>23</v>
      </c>
      <c r="J298" s="3">
        <f>1.8*I298+32</f>
        <v>73.400000000000006</v>
      </c>
      <c r="K298" s="3">
        <v>8</v>
      </c>
      <c r="L298" s="3">
        <f>IF(J298&gt;67,K298+(J298-67)*0.2,K298-(67-J298)*0.2)</f>
        <v>9.2800000000000011</v>
      </c>
      <c r="M298" s="3">
        <f>(C298-H298)/C298*100</f>
        <v>65.679999999999993</v>
      </c>
      <c r="N298" s="3">
        <f>100-(M298+O298)</f>
        <v>15.760000000000005</v>
      </c>
      <c r="O298" s="3">
        <f>L298/C298*100</f>
        <v>18.560000000000002</v>
      </c>
      <c r="P298" s="1" t="s">
        <v>0</v>
      </c>
      <c r="Q298" s="15">
        <v>407533.56400000001</v>
      </c>
      <c r="R298" s="15">
        <v>3659976</v>
      </c>
      <c r="T298">
        <v>2009033</v>
      </c>
      <c r="U298" t="s">
        <v>406</v>
      </c>
      <c r="V298">
        <v>6.5509999999999999E-2</v>
      </c>
      <c r="W298">
        <v>0.38838</v>
      </c>
      <c r="X298">
        <v>2.579E-2</v>
      </c>
      <c r="Y298">
        <v>1.32745</v>
      </c>
      <c r="Z298">
        <v>13.98387</v>
      </c>
      <c r="AA298">
        <v>8.7761999999999993</v>
      </c>
      <c r="AB298">
        <v>-1.47088</v>
      </c>
      <c r="AC298" s="23">
        <v>5.6250000000000001E-2</v>
      </c>
      <c r="AD298" s="23">
        <v>0.38358999999999999</v>
      </c>
      <c r="AE298" s="23">
        <v>2.8510000000000001E-2</v>
      </c>
      <c r="AF298" s="23">
        <v>1.3608</v>
      </c>
      <c r="AG298" s="23">
        <v>23.35924</v>
      </c>
      <c r="AH298" s="23">
        <v>11.69262</v>
      </c>
      <c r="AI298" s="23">
        <v>-1.3309</v>
      </c>
      <c r="AJ298" s="25">
        <v>0.97330166666666662</v>
      </c>
      <c r="AK298" s="25">
        <v>0.38290786703223956</v>
      </c>
      <c r="AL298" s="25">
        <v>0.1998239668506597</v>
      </c>
      <c r="AM298" s="25">
        <v>9.30351134341382E-2</v>
      </c>
      <c r="AN298" s="24">
        <v>1.6352941523645652</v>
      </c>
      <c r="AO298" s="23">
        <v>-99</v>
      </c>
    </row>
    <row r="299" spans="1:41" x14ac:dyDescent="0.25">
      <c r="A299" s="4">
        <v>55</v>
      </c>
      <c r="B299">
        <v>180</v>
      </c>
      <c r="C299">
        <v>50</v>
      </c>
      <c r="D299">
        <v>20</v>
      </c>
      <c r="E299" s="3">
        <v>26</v>
      </c>
      <c r="F299" s="3">
        <f>1.8*E299+32</f>
        <v>78.800000000000011</v>
      </c>
      <c r="G299" s="3">
        <v>16</v>
      </c>
      <c r="H299" s="3">
        <f>IF(F299&gt;68,G299+(F299-68)*0.2,G448-(68-F299)*0.2)</f>
        <v>18.160000000000004</v>
      </c>
      <c r="I299" s="3">
        <v>23.5</v>
      </c>
      <c r="J299" s="3">
        <f>1.8*I299+32</f>
        <v>74.300000000000011</v>
      </c>
      <c r="K299" s="3">
        <v>8</v>
      </c>
      <c r="L299" s="3">
        <f>IF(J299&gt;67,K299+(J299-67)*0.2,K299-(67-J299)*0.2)</f>
        <v>9.4600000000000026</v>
      </c>
      <c r="M299" s="3">
        <f>(C299-H299)/C299*100</f>
        <v>63.679999999999993</v>
      </c>
      <c r="N299" s="3">
        <f>100-(M299+O299)</f>
        <v>17.400000000000006</v>
      </c>
      <c r="O299" s="3">
        <f>L299/C299*100</f>
        <v>18.920000000000005</v>
      </c>
      <c r="P299" s="1" t="s">
        <v>0</v>
      </c>
      <c r="Q299" s="15">
        <v>407533.56400000001</v>
      </c>
      <c r="R299" s="15">
        <v>3659976</v>
      </c>
      <c r="T299">
        <v>2009033</v>
      </c>
      <c r="U299" t="s">
        <v>405</v>
      </c>
      <c r="V299">
        <v>6.2920000000000004E-2</v>
      </c>
      <c r="W299">
        <v>0.38904</v>
      </c>
      <c r="X299">
        <v>2.5139999999999999E-2</v>
      </c>
      <c r="Y299">
        <v>1.34517</v>
      </c>
      <c r="Z299">
        <v>15.5847</v>
      </c>
      <c r="AA299">
        <v>9.0483499999999992</v>
      </c>
      <c r="AB299">
        <v>-1.3421799999999999</v>
      </c>
      <c r="AC299" s="23">
        <v>6.6489999999999994E-2</v>
      </c>
      <c r="AD299" s="23">
        <v>0.39477000000000001</v>
      </c>
      <c r="AE299" s="23">
        <v>2.2679999999999999E-2</v>
      </c>
      <c r="AF299" s="23">
        <v>1.3488599999999999</v>
      </c>
      <c r="AG299" s="23">
        <v>12.27638</v>
      </c>
      <c r="AH299" s="23">
        <v>7.7036600000000002</v>
      </c>
      <c r="AI299" s="23">
        <v>-1.2606999999999999</v>
      </c>
      <c r="AJ299" s="25">
        <v>0.51151583333333328</v>
      </c>
      <c r="AK299" s="25">
        <v>0.39425799834995912</v>
      </c>
      <c r="AL299" s="25">
        <v>0.2260041127100767</v>
      </c>
      <c r="AM299" s="25">
        <v>0.10944170409145101</v>
      </c>
      <c r="AN299" s="24">
        <v>1.6052163043726082</v>
      </c>
      <c r="AO299" s="23">
        <v>-99</v>
      </c>
    </row>
    <row r="300" spans="1:41" x14ac:dyDescent="0.25">
      <c r="Q300" s="18"/>
      <c r="R300" s="18"/>
      <c r="T300">
        <v>2009033</v>
      </c>
      <c r="U300" t="s">
        <v>404</v>
      </c>
      <c r="V300">
        <v>5.6250000000000001E-2</v>
      </c>
      <c r="W300">
        <v>0.38325999999999999</v>
      </c>
      <c r="X300">
        <v>2.87E-2</v>
      </c>
      <c r="Y300">
        <v>1.3606499999999999</v>
      </c>
      <c r="Z300">
        <v>23.54195</v>
      </c>
      <c r="AA300">
        <v>11.77164</v>
      </c>
      <c r="AB300">
        <v>-1.3377399999999999</v>
      </c>
      <c r="AC300" s="23">
        <v>6.293E-2</v>
      </c>
      <c r="AD300" s="23">
        <v>0.38946999999999998</v>
      </c>
      <c r="AE300" s="23">
        <v>2.4889999999999999E-2</v>
      </c>
      <c r="AF300" s="23">
        <v>1.3469</v>
      </c>
      <c r="AG300" s="23">
        <v>15.472060000000001</v>
      </c>
      <c r="AH300" s="23">
        <v>8.9632400000000008</v>
      </c>
      <c r="AI300" s="23">
        <v>-1.3255999999999999</v>
      </c>
      <c r="AJ300" s="25">
        <v>0.64466916666666674</v>
      </c>
      <c r="AK300" s="25">
        <v>0.3888911987505061</v>
      </c>
      <c r="AL300" s="25">
        <v>0.21746267067520109</v>
      </c>
      <c r="AM300" s="25">
        <v>0.10477377961017381</v>
      </c>
      <c r="AN300" s="24">
        <v>1.6194383233111587</v>
      </c>
      <c r="AO300" s="23">
        <v>-99</v>
      </c>
    </row>
    <row r="301" spans="1:41" ht="51.75" x14ac:dyDescent="0.25">
      <c r="A301" s="14" t="s">
        <v>21</v>
      </c>
      <c r="B301" s="9" t="s">
        <v>20</v>
      </c>
      <c r="C301" s="13" t="s">
        <v>19</v>
      </c>
      <c r="D301" s="12" t="s">
        <v>18</v>
      </c>
      <c r="E301" s="11" t="s">
        <v>17</v>
      </c>
      <c r="F301" s="11" t="s">
        <v>16</v>
      </c>
      <c r="G301" s="11" t="s">
        <v>15</v>
      </c>
      <c r="H301" s="11" t="s">
        <v>14</v>
      </c>
      <c r="I301" s="11" t="s">
        <v>13</v>
      </c>
      <c r="J301" s="11" t="s">
        <v>12</v>
      </c>
      <c r="K301" s="11" t="s">
        <v>11</v>
      </c>
      <c r="L301" s="11" t="s">
        <v>10</v>
      </c>
      <c r="M301" s="10" t="s">
        <v>9</v>
      </c>
      <c r="N301" s="10" t="s">
        <v>8</v>
      </c>
      <c r="O301" s="10" t="s">
        <v>7</v>
      </c>
      <c r="P301" s="9" t="s">
        <v>6</v>
      </c>
      <c r="Q301" s="19" t="s">
        <v>5</v>
      </c>
      <c r="R301" s="19"/>
      <c r="T301">
        <v>2009033</v>
      </c>
      <c r="U301" t="s">
        <v>403</v>
      </c>
      <c r="V301">
        <v>5.6250000000000001E-2</v>
      </c>
      <c r="W301">
        <v>0.38358999999999999</v>
      </c>
      <c r="X301">
        <v>2.8510000000000001E-2</v>
      </c>
      <c r="Y301">
        <v>1.3608</v>
      </c>
      <c r="Z301">
        <v>23.35924</v>
      </c>
      <c r="AA301">
        <v>11.69262</v>
      </c>
      <c r="AB301">
        <v>-1.3309</v>
      </c>
      <c r="AC301" s="23">
        <v>6.5460000000000004E-2</v>
      </c>
      <c r="AD301" s="23">
        <v>0.38839000000000001</v>
      </c>
      <c r="AE301" s="23">
        <v>2.5780000000000001E-2</v>
      </c>
      <c r="AF301" s="23">
        <v>1.32778</v>
      </c>
      <c r="AG301" s="23">
        <v>14.015610000000001</v>
      </c>
      <c r="AH301" s="23">
        <v>8.7833400000000008</v>
      </c>
      <c r="AI301" s="23">
        <v>-1.4684600000000001</v>
      </c>
      <c r="AJ301" s="25">
        <v>0.58398375000000002</v>
      </c>
      <c r="AK301" s="25">
        <v>0.38777340390486598</v>
      </c>
      <c r="AL301" s="25">
        <v>0.22287641532256958</v>
      </c>
      <c r="AM301" s="25">
        <v>0.11127203236602118</v>
      </c>
      <c r="AN301" s="24">
        <v>1.6224004796521052</v>
      </c>
      <c r="AO301" s="23">
        <v>-99</v>
      </c>
    </row>
    <row r="302" spans="1:41" x14ac:dyDescent="0.25"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1"/>
      <c r="Q302" s="5" t="s">
        <v>4</v>
      </c>
      <c r="R302" s="5" t="s">
        <v>3</v>
      </c>
      <c r="T302">
        <v>2009033</v>
      </c>
      <c r="U302" t="s">
        <v>402</v>
      </c>
      <c r="V302">
        <v>6.6489999999999994E-2</v>
      </c>
      <c r="W302">
        <v>0.39477000000000001</v>
      </c>
      <c r="X302">
        <v>2.2679999999999999E-2</v>
      </c>
      <c r="Y302">
        <v>1.3488599999999999</v>
      </c>
      <c r="Z302">
        <v>12.27638</v>
      </c>
      <c r="AA302">
        <v>7.7036600000000002</v>
      </c>
      <c r="AB302">
        <v>-1.2606999999999999</v>
      </c>
      <c r="AC302" s="23">
        <v>6.2E-2</v>
      </c>
      <c r="AD302" s="23">
        <v>0.38628000000000001</v>
      </c>
      <c r="AE302" s="23">
        <v>2.6519999999999998E-2</v>
      </c>
      <c r="AF302" s="23">
        <v>1.34049</v>
      </c>
      <c r="AG302" s="23">
        <v>16.909079999999999</v>
      </c>
      <c r="AH302" s="23">
        <v>9.65977</v>
      </c>
      <c r="AI302" s="23">
        <v>-1.4053100000000001</v>
      </c>
      <c r="AJ302" s="25">
        <v>0.70454499999999998</v>
      </c>
      <c r="AK302" s="25">
        <v>0.38564833654423186</v>
      </c>
      <c r="AL302" s="25">
        <v>0.21441080166498172</v>
      </c>
      <c r="AM302" s="25">
        <v>0.10424002682649444</v>
      </c>
      <c r="AN302" s="24">
        <v>1.6280319081577856</v>
      </c>
      <c r="AO302" s="23">
        <v>-99</v>
      </c>
    </row>
    <row r="303" spans="1:41" x14ac:dyDescent="0.25">
      <c r="A303" s="4">
        <v>56</v>
      </c>
      <c r="B303">
        <v>30</v>
      </c>
      <c r="C303">
        <v>50</v>
      </c>
      <c r="D303">
        <v>20</v>
      </c>
      <c r="E303" s="3">
        <v>25.5</v>
      </c>
      <c r="F303" s="3">
        <f>1.8*E303+32</f>
        <v>77.900000000000006</v>
      </c>
      <c r="G303" s="3">
        <v>17</v>
      </c>
      <c r="H303" s="3">
        <f>IF(F303&gt;68,G303+(F303-68)*0.2,G452-(68-F303)*0.2)</f>
        <v>18.98</v>
      </c>
      <c r="I303" s="3">
        <v>23.5</v>
      </c>
      <c r="J303" s="3">
        <f>1.8*I303+32</f>
        <v>74.300000000000011</v>
      </c>
      <c r="K303" s="3">
        <v>10</v>
      </c>
      <c r="L303" s="3">
        <f>IF(J303&gt;67,K303+(J303-67)*0.2,K303-(67-J303)*0.2)</f>
        <v>11.460000000000003</v>
      </c>
      <c r="M303" s="3">
        <f>(C303-H303)/C303*100</f>
        <v>62.039999999999992</v>
      </c>
      <c r="N303" s="3">
        <f>100-(M303+O303)</f>
        <v>15.040000000000006</v>
      </c>
      <c r="O303" s="3">
        <f>L303/C303*100</f>
        <v>22.920000000000005</v>
      </c>
      <c r="P303" s="1" t="s">
        <v>2</v>
      </c>
      <c r="Q303" s="15">
        <v>407533.56400000001</v>
      </c>
      <c r="R303" s="15">
        <v>3660002.5</v>
      </c>
      <c r="T303">
        <v>2009033</v>
      </c>
      <c r="U303" t="s">
        <v>401</v>
      </c>
      <c r="V303">
        <v>6.293E-2</v>
      </c>
      <c r="W303">
        <v>0.38946999999999998</v>
      </c>
      <c r="X303">
        <v>2.4889999999999999E-2</v>
      </c>
      <c r="Y303">
        <v>1.3469</v>
      </c>
      <c r="Z303">
        <v>15.472060000000001</v>
      </c>
      <c r="AA303">
        <v>8.9632400000000008</v>
      </c>
      <c r="AB303">
        <v>-1.3255999999999999</v>
      </c>
      <c r="AC303" s="23">
        <v>5.3339999999999999E-2</v>
      </c>
      <c r="AD303" s="23">
        <v>0.38120999999999999</v>
      </c>
      <c r="AE303" s="23">
        <v>3.075E-2</v>
      </c>
      <c r="AF303" s="23">
        <v>1.3788100000000001</v>
      </c>
      <c r="AG303" s="23">
        <v>29.397169999999999</v>
      </c>
      <c r="AH303" s="23">
        <v>13.59186</v>
      </c>
      <c r="AI303" s="23">
        <v>-1.304</v>
      </c>
      <c r="AJ303" s="25">
        <v>1.2248820833333334</v>
      </c>
      <c r="AK303" s="25">
        <v>0.38047315446168684</v>
      </c>
      <c r="AL303" s="25">
        <v>0.18769745402249621</v>
      </c>
      <c r="AM303" s="25">
        <v>8.5443369199854874E-2</v>
      </c>
      <c r="AN303" s="24">
        <v>1.6417461406765299</v>
      </c>
      <c r="AO303" s="23">
        <v>-99</v>
      </c>
    </row>
    <row r="304" spans="1:41" x14ac:dyDescent="0.25">
      <c r="A304" s="4">
        <v>56</v>
      </c>
      <c r="B304">
        <v>60</v>
      </c>
      <c r="C304">
        <v>50</v>
      </c>
      <c r="D304">
        <v>20</v>
      </c>
      <c r="E304" s="3">
        <v>26</v>
      </c>
      <c r="F304" s="3">
        <f>1.8*E304+32</f>
        <v>78.800000000000011</v>
      </c>
      <c r="G304" s="3">
        <v>17</v>
      </c>
      <c r="H304" s="3">
        <f>IF(F304&gt;68,G304+(F304-68)*0.2,G453-(68-F304)*0.2)</f>
        <v>19.160000000000004</v>
      </c>
      <c r="I304" s="3">
        <v>23.5</v>
      </c>
      <c r="J304" s="3">
        <f>1.8*I304+32</f>
        <v>74.300000000000011</v>
      </c>
      <c r="K304" s="3">
        <v>10</v>
      </c>
      <c r="L304" s="3">
        <f>IF(J304&gt;67,K304+(J304-67)*0.2,K304-(67-J304)*0.2)</f>
        <v>11.460000000000003</v>
      </c>
      <c r="M304" s="3">
        <f>(C304-H304)/C304*100</f>
        <v>61.679999999999993</v>
      </c>
      <c r="N304" s="3">
        <f>100-(M304+O304)</f>
        <v>15.400000000000006</v>
      </c>
      <c r="O304" s="3">
        <f>L304/C304*100</f>
        <v>22.920000000000005</v>
      </c>
      <c r="P304" s="1" t="s">
        <v>2</v>
      </c>
      <c r="Q304" s="15">
        <v>407533.56400000001</v>
      </c>
      <c r="R304" s="15">
        <v>3660002.5</v>
      </c>
      <c r="T304">
        <v>2009033</v>
      </c>
      <c r="U304" t="s">
        <v>400</v>
      </c>
      <c r="V304">
        <v>6.5460000000000004E-2</v>
      </c>
      <c r="W304">
        <v>0.38839000000000001</v>
      </c>
      <c r="X304">
        <v>2.5780000000000001E-2</v>
      </c>
      <c r="Y304">
        <v>1.32778</v>
      </c>
      <c r="Z304">
        <v>14.015610000000001</v>
      </c>
      <c r="AA304">
        <v>8.7833400000000008</v>
      </c>
      <c r="AB304">
        <v>-1.4684600000000001</v>
      </c>
      <c r="AC304" s="23">
        <v>5.3789999999999998E-2</v>
      </c>
      <c r="AD304" s="23">
        <v>0.37956000000000001</v>
      </c>
      <c r="AE304" s="23">
        <v>3.116E-2</v>
      </c>
      <c r="AF304" s="23">
        <v>1.3869100000000001</v>
      </c>
      <c r="AG304" s="23">
        <v>30.758109999999999</v>
      </c>
      <c r="AH304" s="23">
        <v>13.76342</v>
      </c>
      <c r="AI304" s="23">
        <v>-1.2996700000000001</v>
      </c>
      <c r="AJ304" s="25">
        <v>1.2815879166666666</v>
      </c>
      <c r="AK304" s="25">
        <v>0.37882383579865497</v>
      </c>
      <c r="AL304" s="25">
        <v>0.18415513267482131</v>
      </c>
      <c r="AM304" s="25">
        <v>8.3986583138693061E-2</v>
      </c>
      <c r="AN304" s="24">
        <v>1.6461168351335642</v>
      </c>
      <c r="AO304" s="23">
        <v>-99</v>
      </c>
    </row>
    <row r="305" spans="1:41" x14ac:dyDescent="0.25">
      <c r="A305" s="4">
        <v>56</v>
      </c>
      <c r="B305">
        <v>90</v>
      </c>
      <c r="C305">
        <v>50</v>
      </c>
      <c r="D305">
        <v>20</v>
      </c>
      <c r="E305" s="3">
        <v>26.5</v>
      </c>
      <c r="F305" s="3">
        <f>1.8*E305+32</f>
        <v>79.7</v>
      </c>
      <c r="G305" s="3">
        <v>13</v>
      </c>
      <c r="H305" s="3">
        <f>IF(F305&gt;68,G305+(F305-68)*0.2,G454-(68-F305)*0.2)</f>
        <v>15.34</v>
      </c>
      <c r="I305" s="3">
        <v>23.5</v>
      </c>
      <c r="J305" s="3">
        <f>1.8*I305+32</f>
        <v>74.300000000000011</v>
      </c>
      <c r="K305" s="3">
        <v>7</v>
      </c>
      <c r="L305" s="3">
        <f>IF(J305&gt;67,K305+(J305-67)*0.2,K305-(67-J305)*0.2)</f>
        <v>8.4600000000000026</v>
      </c>
      <c r="M305" s="3">
        <f>(C305-H305)/C305*100</f>
        <v>69.319999999999993</v>
      </c>
      <c r="N305" s="3">
        <f>100-(M305+O305)</f>
        <v>13.760000000000005</v>
      </c>
      <c r="O305" s="3">
        <f>L305/C305*100</f>
        <v>16.920000000000005</v>
      </c>
      <c r="P305" s="1" t="s">
        <v>0</v>
      </c>
      <c r="Q305" s="15">
        <v>407533.56400000001</v>
      </c>
      <c r="R305" s="15">
        <v>3660002.5</v>
      </c>
      <c r="T305">
        <v>2009033</v>
      </c>
      <c r="U305" t="s">
        <v>399</v>
      </c>
      <c r="V305">
        <v>6.2E-2</v>
      </c>
      <c r="W305">
        <v>0.38628000000000001</v>
      </c>
      <c r="X305">
        <v>2.6519999999999998E-2</v>
      </c>
      <c r="Y305">
        <v>1.34049</v>
      </c>
      <c r="Z305">
        <v>16.909079999999999</v>
      </c>
      <c r="AA305">
        <v>9.65977</v>
      </c>
      <c r="AB305">
        <v>-1.4053100000000001</v>
      </c>
      <c r="AC305" s="23">
        <v>6.275E-2</v>
      </c>
      <c r="AD305" s="23">
        <v>0.38118999999999997</v>
      </c>
      <c r="AE305" s="23">
        <v>2.7990000000000001E-2</v>
      </c>
      <c r="AF305" s="23">
        <v>1.32724</v>
      </c>
      <c r="AG305" s="23">
        <v>17.076440000000002</v>
      </c>
      <c r="AH305" s="23">
        <v>9.8516499999999994</v>
      </c>
      <c r="AI305" s="23">
        <v>-1.5378700000000001</v>
      </c>
      <c r="AJ305" s="25">
        <v>0.71151833333333336</v>
      </c>
      <c r="AK305" s="25">
        <v>0.38051173021695128</v>
      </c>
      <c r="AL305" s="25">
        <v>0.21424221725679515</v>
      </c>
      <c r="AM305" s="25">
        <v>0.10686750588440277</v>
      </c>
      <c r="AN305" s="24">
        <v>1.641643914925079</v>
      </c>
      <c r="AO305" s="23">
        <v>-99</v>
      </c>
    </row>
    <row r="306" spans="1:41" x14ac:dyDescent="0.25">
      <c r="A306" s="4">
        <v>56</v>
      </c>
      <c r="B306">
        <v>120</v>
      </c>
      <c r="C306">
        <v>50</v>
      </c>
      <c r="D306">
        <v>20</v>
      </c>
      <c r="E306" s="3">
        <v>26</v>
      </c>
      <c r="F306" s="3">
        <f>1.8*E306+32</f>
        <v>78.800000000000011</v>
      </c>
      <c r="G306" s="3">
        <v>11</v>
      </c>
      <c r="H306" s="3">
        <f>IF(F306&gt;68,G306+(F306-68)*0.2,G455-(68-F306)*0.2)</f>
        <v>13.160000000000002</v>
      </c>
      <c r="I306" s="3">
        <v>23</v>
      </c>
      <c r="J306" s="3">
        <f>1.8*I306+32</f>
        <v>73.400000000000006</v>
      </c>
      <c r="K306" s="3">
        <v>6</v>
      </c>
      <c r="L306" s="3">
        <f>IF(J306&gt;67,K306+(J306-67)*0.2,K306-(67-J306)*0.2)</f>
        <v>7.2800000000000011</v>
      </c>
      <c r="M306" s="3">
        <f>(C306-H306)/C306*100</f>
        <v>73.679999999999993</v>
      </c>
      <c r="N306" s="3">
        <f>100-(M306+O306)</f>
        <v>11.760000000000005</v>
      </c>
      <c r="O306" s="3">
        <f>L306/C306*100</f>
        <v>14.560000000000004</v>
      </c>
      <c r="P306" s="1" t="s">
        <v>0</v>
      </c>
      <c r="Q306" s="15">
        <v>407533.56400000001</v>
      </c>
      <c r="R306" s="15">
        <v>3660002.5</v>
      </c>
      <c r="T306">
        <v>2009033</v>
      </c>
      <c r="U306" t="s">
        <v>398</v>
      </c>
      <c r="V306">
        <v>5.3339999999999999E-2</v>
      </c>
      <c r="W306">
        <v>0.38120999999999999</v>
      </c>
      <c r="X306">
        <v>3.075E-2</v>
      </c>
      <c r="Y306">
        <v>1.3788100000000001</v>
      </c>
      <c r="Z306">
        <v>29.397169999999999</v>
      </c>
      <c r="AA306">
        <v>13.59186</v>
      </c>
      <c r="AB306">
        <v>-1.304</v>
      </c>
      <c r="AC306" s="23">
        <v>6.2330000000000003E-2</v>
      </c>
      <c r="AD306" s="23">
        <v>0.37895000000000001</v>
      </c>
      <c r="AE306" s="23">
        <v>2.828E-2</v>
      </c>
      <c r="AF306" s="23">
        <v>1.32982</v>
      </c>
      <c r="AG306" s="23">
        <v>17.795159999999999</v>
      </c>
      <c r="AH306" s="23">
        <v>9.9844000000000008</v>
      </c>
      <c r="AI306" s="23">
        <v>-1.53721</v>
      </c>
      <c r="AJ306" s="25">
        <v>0.74146499999999993</v>
      </c>
      <c r="AK306" s="25">
        <v>0.37826858234239963</v>
      </c>
      <c r="AL306" s="25">
        <v>0.21160721857400594</v>
      </c>
      <c r="AM306" s="25">
        <v>0.10537061551922031</v>
      </c>
      <c r="AN306" s="24">
        <v>1.6475882567926408</v>
      </c>
      <c r="AO306" s="23">
        <v>-99</v>
      </c>
    </row>
    <row r="307" spans="1:41" x14ac:dyDescent="0.25">
      <c r="A307" s="4">
        <v>56</v>
      </c>
      <c r="B307">
        <v>150</v>
      </c>
      <c r="C307">
        <v>50</v>
      </c>
      <c r="D307">
        <v>20</v>
      </c>
      <c r="E307" s="3">
        <v>26</v>
      </c>
      <c r="F307" s="3">
        <f>1.8*E307+32</f>
        <v>78.800000000000011</v>
      </c>
      <c r="G307" s="3">
        <v>13</v>
      </c>
      <c r="H307" s="3">
        <f>IF(F307&gt;68,G307+(F307-68)*0.2,G456-(68-F307)*0.2)</f>
        <v>15.160000000000002</v>
      </c>
      <c r="I307" s="3">
        <v>23</v>
      </c>
      <c r="J307" s="3">
        <f>1.8*I307+32</f>
        <v>73.400000000000006</v>
      </c>
      <c r="K307" s="3">
        <v>6</v>
      </c>
      <c r="L307" s="3">
        <f>IF(J307&gt;67,K307+(J307-67)*0.2,K307-(67-J307)*0.2)</f>
        <v>7.2800000000000011</v>
      </c>
      <c r="M307" s="3">
        <f>(C307-H307)/C307*100</f>
        <v>69.679999999999993</v>
      </c>
      <c r="N307" s="3">
        <f>100-(M307+O307)</f>
        <v>15.760000000000005</v>
      </c>
      <c r="O307" s="3">
        <f>L307/C307*100</f>
        <v>14.560000000000004</v>
      </c>
      <c r="P307" s="1" t="s">
        <v>0</v>
      </c>
      <c r="Q307" s="15">
        <v>407533.56400000001</v>
      </c>
      <c r="R307" s="15">
        <v>3660002.5</v>
      </c>
      <c r="T307">
        <v>2009033</v>
      </c>
      <c r="U307" t="s">
        <v>397</v>
      </c>
      <c r="V307">
        <v>5.3789999999999998E-2</v>
      </c>
      <c r="W307">
        <v>0.37956000000000001</v>
      </c>
      <c r="X307">
        <v>3.116E-2</v>
      </c>
      <c r="Y307">
        <v>1.3869100000000001</v>
      </c>
      <c r="Z307">
        <v>30.758109999999999</v>
      </c>
      <c r="AA307">
        <v>13.76342</v>
      </c>
      <c r="AB307">
        <v>-1.2996700000000001</v>
      </c>
      <c r="AC307" s="23">
        <v>5.6959999999999997E-2</v>
      </c>
      <c r="AD307" s="23">
        <v>0.37822</v>
      </c>
      <c r="AE307" s="23">
        <v>3.0009999999999998E-2</v>
      </c>
      <c r="AF307" s="23">
        <v>1.3693200000000001</v>
      </c>
      <c r="AG307" s="23">
        <v>25.673159999999999</v>
      </c>
      <c r="AH307" s="23">
        <v>12.191039999999999</v>
      </c>
      <c r="AI307" s="23">
        <v>-1.367</v>
      </c>
      <c r="AJ307" s="25">
        <v>1.069715</v>
      </c>
      <c r="AK307" s="25">
        <v>0.37751142458605713</v>
      </c>
      <c r="AL307" s="25">
        <v>0.19270965261878636</v>
      </c>
      <c r="AM307" s="25">
        <v>9.060275134287972E-2</v>
      </c>
      <c r="AN307" s="24">
        <v>1.6495947248469485</v>
      </c>
      <c r="AO307" s="23">
        <v>-99</v>
      </c>
    </row>
    <row r="308" spans="1:41" x14ac:dyDescent="0.25">
      <c r="A308" s="4">
        <v>56</v>
      </c>
      <c r="B308">
        <v>180</v>
      </c>
      <c r="C308">
        <v>50</v>
      </c>
      <c r="D308">
        <v>20</v>
      </c>
      <c r="E308" s="3">
        <v>26</v>
      </c>
      <c r="F308" s="3">
        <f>1.8*E308+32</f>
        <v>78.800000000000011</v>
      </c>
      <c r="G308" s="3">
        <v>14</v>
      </c>
      <c r="H308" s="3">
        <f>IF(F308&gt;68,G308+(F308-68)*0.2,G457-(68-F308)*0.2)</f>
        <v>16.160000000000004</v>
      </c>
      <c r="I308" s="3">
        <v>23</v>
      </c>
      <c r="J308" s="3">
        <f>1.8*I308+32</f>
        <v>73.400000000000006</v>
      </c>
      <c r="K308" s="3">
        <v>8</v>
      </c>
      <c r="L308" s="3">
        <f>IF(J308&gt;67,K308+(J308-67)*0.2,K308-(67-J308)*0.2)</f>
        <v>9.2800000000000011</v>
      </c>
      <c r="M308" s="3">
        <f>(C308-H308)/C308*100</f>
        <v>67.679999999999993</v>
      </c>
      <c r="N308" s="3">
        <f>100-(M308+O308)</f>
        <v>13.760000000000005</v>
      </c>
      <c r="O308" s="3">
        <f>L308/C308*100</f>
        <v>18.560000000000002</v>
      </c>
      <c r="P308" s="1" t="s">
        <v>0</v>
      </c>
      <c r="Q308" s="15">
        <v>407533.56400000001</v>
      </c>
      <c r="R308" s="15">
        <v>3660002.5</v>
      </c>
      <c r="T308">
        <v>2009033</v>
      </c>
      <c r="U308" t="s">
        <v>396</v>
      </c>
      <c r="V308">
        <v>6.275E-2</v>
      </c>
      <c r="W308">
        <v>0.38118999999999997</v>
      </c>
      <c r="X308">
        <v>2.7990000000000001E-2</v>
      </c>
      <c r="Y308">
        <v>1.32724</v>
      </c>
      <c r="Z308">
        <v>17.076440000000002</v>
      </c>
      <c r="AA308">
        <v>9.8516499999999994</v>
      </c>
      <c r="AB308">
        <v>-1.5378700000000001</v>
      </c>
      <c r="AC308" s="23">
        <v>5.3690000000000002E-2</v>
      </c>
      <c r="AD308" s="23">
        <v>0.37985999999999998</v>
      </c>
      <c r="AE308" s="23">
        <v>3.1119999999999998E-2</v>
      </c>
      <c r="AF308" s="23">
        <v>1.38514</v>
      </c>
      <c r="AG308" s="23">
        <v>30.512799999999999</v>
      </c>
      <c r="AH308" s="23">
        <v>13.7501</v>
      </c>
      <c r="AI308" s="23">
        <v>-1.30186</v>
      </c>
      <c r="AJ308" s="25">
        <v>1.2713666666666665</v>
      </c>
      <c r="AK308" s="25">
        <v>0.3791221699559984</v>
      </c>
      <c r="AL308" s="25">
        <v>0.18481817847411902</v>
      </c>
      <c r="AM308" s="25">
        <v>8.4269523031946611E-2</v>
      </c>
      <c r="AN308" s="24">
        <v>1.6453262496166043</v>
      </c>
      <c r="AO308" s="23">
        <v>-99</v>
      </c>
    </row>
    <row r="309" spans="1:41" x14ac:dyDescent="0.25">
      <c r="A309" s="4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1"/>
      <c r="T309">
        <v>2009033</v>
      </c>
      <c r="U309" t="s">
        <v>395</v>
      </c>
      <c r="V309">
        <v>6.2330000000000003E-2</v>
      </c>
      <c r="W309">
        <v>0.37895000000000001</v>
      </c>
      <c r="X309">
        <v>2.828E-2</v>
      </c>
      <c r="Y309">
        <v>1.32982</v>
      </c>
      <c r="Z309">
        <v>17.795159999999999</v>
      </c>
      <c r="AA309">
        <v>9.9844000000000008</v>
      </c>
      <c r="AB309">
        <v>-1.53721</v>
      </c>
      <c r="AC309" s="23">
        <v>5.348E-2</v>
      </c>
      <c r="AD309" s="23">
        <v>0.38063000000000002</v>
      </c>
      <c r="AE309" s="23">
        <v>3.0949999999999998E-2</v>
      </c>
      <c r="AF309" s="23">
        <v>1.3812500000000001</v>
      </c>
      <c r="AG309" s="23">
        <v>29.886320000000001</v>
      </c>
      <c r="AH309" s="23">
        <v>13.68065</v>
      </c>
      <c r="AI309" s="23">
        <v>-1.3046599999999999</v>
      </c>
      <c r="AJ309" s="25">
        <v>1.2452633333333334</v>
      </c>
      <c r="AK309" s="25">
        <v>0.37989101055670926</v>
      </c>
      <c r="AL309" s="25">
        <v>0.18646851413422552</v>
      </c>
      <c r="AM309" s="25">
        <v>8.4959143966291187E-2</v>
      </c>
      <c r="AN309" s="24">
        <v>1.6432888220247204</v>
      </c>
      <c r="AO309" s="23">
        <v>-99</v>
      </c>
    </row>
    <row r="310" spans="1:41" ht="51.75" x14ac:dyDescent="0.25">
      <c r="A310" s="14" t="s">
        <v>21</v>
      </c>
      <c r="B310" s="9" t="s">
        <v>20</v>
      </c>
      <c r="C310" s="13" t="s">
        <v>19</v>
      </c>
      <c r="D310" s="12" t="s">
        <v>18</v>
      </c>
      <c r="E310" s="11" t="s">
        <v>17</v>
      </c>
      <c r="F310" s="11" t="s">
        <v>16</v>
      </c>
      <c r="G310" s="11" t="s">
        <v>15</v>
      </c>
      <c r="H310" s="11" t="s">
        <v>14</v>
      </c>
      <c r="I310" s="11" t="s">
        <v>13</v>
      </c>
      <c r="J310" s="11" t="s">
        <v>12</v>
      </c>
      <c r="K310" s="11" t="s">
        <v>11</v>
      </c>
      <c r="L310" s="11" t="s">
        <v>10</v>
      </c>
      <c r="M310" s="10" t="s">
        <v>9</v>
      </c>
      <c r="N310" s="10" t="s">
        <v>8</v>
      </c>
      <c r="O310" s="10" t="s">
        <v>7</v>
      </c>
      <c r="P310" s="9" t="s">
        <v>6</v>
      </c>
      <c r="Q310" s="19" t="s">
        <v>5</v>
      </c>
      <c r="R310" s="19"/>
      <c r="T310">
        <v>2009033</v>
      </c>
      <c r="U310" t="s">
        <v>394</v>
      </c>
      <c r="V310">
        <v>5.6959999999999997E-2</v>
      </c>
      <c r="W310">
        <v>0.37822</v>
      </c>
      <c r="X310">
        <v>3.0009999999999998E-2</v>
      </c>
      <c r="Y310">
        <v>1.3693200000000001</v>
      </c>
      <c r="Z310">
        <v>25.673159999999999</v>
      </c>
      <c r="AA310">
        <v>12.191039999999999</v>
      </c>
      <c r="AB310">
        <v>-1.367</v>
      </c>
      <c r="AC310" s="23">
        <v>5.7619999999999998E-2</v>
      </c>
      <c r="AD310" s="23">
        <v>0.37756000000000001</v>
      </c>
      <c r="AE310" s="23">
        <v>2.9780000000000001E-2</v>
      </c>
      <c r="AF310" s="23">
        <v>1.3677900000000001</v>
      </c>
      <c r="AG310" s="23">
        <v>24.933009999999999</v>
      </c>
      <c r="AH310" s="23">
        <v>11.901210000000001</v>
      </c>
      <c r="AI310" s="23">
        <v>-1.37601</v>
      </c>
      <c r="AJ310" s="25">
        <v>1.0388754166666667</v>
      </c>
      <c r="AK310" s="25">
        <v>0.3768600722888466</v>
      </c>
      <c r="AL310" s="25">
        <v>0.19365673608517181</v>
      </c>
      <c r="AM310" s="25">
        <v>9.1534971978942559E-2</v>
      </c>
      <c r="AN310" s="24">
        <v>1.6513208084345563</v>
      </c>
      <c r="AO310" s="23">
        <v>-99</v>
      </c>
    </row>
    <row r="311" spans="1:41" x14ac:dyDescent="0.25"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1"/>
      <c r="Q311" s="5" t="s">
        <v>4</v>
      </c>
      <c r="R311" s="5" t="s">
        <v>3</v>
      </c>
      <c r="T311">
        <v>2009033</v>
      </c>
      <c r="U311" t="s">
        <v>393</v>
      </c>
      <c r="V311">
        <v>5.3690000000000002E-2</v>
      </c>
      <c r="W311">
        <v>0.37985999999999998</v>
      </c>
      <c r="X311">
        <v>3.1119999999999998E-2</v>
      </c>
      <c r="Y311">
        <v>1.38514</v>
      </c>
      <c r="Z311">
        <v>30.512799999999999</v>
      </c>
      <c r="AA311">
        <v>13.7501</v>
      </c>
      <c r="AB311">
        <v>-1.30186</v>
      </c>
      <c r="AC311" s="23">
        <v>4.9979999999999997E-2</v>
      </c>
      <c r="AD311" s="23">
        <v>0.37870999999999999</v>
      </c>
      <c r="AE311" s="23">
        <v>3.354E-2</v>
      </c>
      <c r="AF311" s="23">
        <v>1.47648</v>
      </c>
      <c r="AG311" s="23">
        <v>49.744250000000001</v>
      </c>
      <c r="AH311" s="23">
        <v>17.595569999999999</v>
      </c>
      <c r="AI311" s="23">
        <v>-1.1196200000000001</v>
      </c>
      <c r="AJ311" s="25">
        <v>2.0726770833333332</v>
      </c>
      <c r="AK311" s="25">
        <v>0.37800729267056399</v>
      </c>
      <c r="AL311" s="25">
        <v>0.15315299050217765</v>
      </c>
      <c r="AM311" s="25">
        <v>6.6944486346256715E-2</v>
      </c>
      <c r="AN311" s="24">
        <v>1.6482806744230054</v>
      </c>
      <c r="AO311" s="23">
        <v>-99</v>
      </c>
    </row>
    <row r="312" spans="1:41" x14ac:dyDescent="0.25">
      <c r="A312" s="4">
        <v>57</v>
      </c>
      <c r="B312">
        <v>30</v>
      </c>
      <c r="C312">
        <v>50</v>
      </c>
      <c r="D312">
        <v>20</v>
      </c>
      <c r="E312" s="3">
        <v>26</v>
      </c>
      <c r="F312" s="3">
        <f>1.8*E312+32</f>
        <v>78.800000000000011</v>
      </c>
      <c r="G312" s="3">
        <v>17</v>
      </c>
      <c r="H312" s="3">
        <f>IF(F312&gt;68,G312+(F312-68)*0.2,G460-(68-F312)*0.2)</f>
        <v>19.160000000000004</v>
      </c>
      <c r="I312" s="3">
        <v>23</v>
      </c>
      <c r="J312" s="3">
        <f>1.8*I312+32</f>
        <v>73.400000000000006</v>
      </c>
      <c r="K312" s="3">
        <v>10</v>
      </c>
      <c r="L312" s="3">
        <f>IF(J312&gt;67,K312+(J312-67)*0.2,K312-(67-J312)*0.2)</f>
        <v>11.280000000000001</v>
      </c>
      <c r="M312" s="3">
        <f>(C312-H312)/C312*100</f>
        <v>61.679999999999993</v>
      </c>
      <c r="N312" s="3">
        <f>100-(M312+O312)</f>
        <v>15.760000000000005</v>
      </c>
      <c r="O312" s="3">
        <f>L312/C312*100</f>
        <v>22.560000000000002</v>
      </c>
      <c r="P312" s="1" t="s">
        <v>2</v>
      </c>
      <c r="Q312" s="15">
        <v>407533.56400000001</v>
      </c>
      <c r="R312" s="15">
        <v>3660029</v>
      </c>
      <c r="T312">
        <v>2009033</v>
      </c>
      <c r="U312" t="s">
        <v>392</v>
      </c>
      <c r="V312">
        <v>5.348E-2</v>
      </c>
      <c r="W312">
        <v>0.38063000000000002</v>
      </c>
      <c r="X312">
        <v>3.0949999999999998E-2</v>
      </c>
      <c r="Y312">
        <v>1.3812500000000001</v>
      </c>
      <c r="Z312">
        <v>29.886320000000001</v>
      </c>
      <c r="AA312">
        <v>13.68065</v>
      </c>
      <c r="AB312">
        <v>-1.3046599999999999</v>
      </c>
      <c r="AC312" s="23">
        <v>5.194E-2</v>
      </c>
      <c r="AD312" s="23">
        <v>0.37814999999999999</v>
      </c>
      <c r="AE312" s="23">
        <v>3.2379999999999999E-2</v>
      </c>
      <c r="AF312" s="23">
        <v>1.4368000000000001</v>
      </c>
      <c r="AG312" s="23">
        <v>40.660429999999998</v>
      </c>
      <c r="AH312" s="23">
        <v>15.620010000000001</v>
      </c>
      <c r="AI312" s="23">
        <v>-1.18994</v>
      </c>
      <c r="AJ312" s="25">
        <v>1.6941845833333333</v>
      </c>
      <c r="AK312" s="25">
        <v>0.3774356573186155</v>
      </c>
      <c r="AL312" s="25">
        <v>0.1662648463994354</v>
      </c>
      <c r="AM312" s="25">
        <v>7.3821316565334805E-2</v>
      </c>
      <c r="AN312" s="24">
        <v>1.6497955081056688</v>
      </c>
      <c r="AO312" s="23">
        <v>-99</v>
      </c>
    </row>
    <row r="313" spans="1:41" x14ac:dyDescent="0.25">
      <c r="A313" s="4">
        <v>57</v>
      </c>
      <c r="B313">
        <v>60</v>
      </c>
      <c r="C313">
        <v>50</v>
      </c>
      <c r="D313">
        <v>20</v>
      </c>
      <c r="E313" s="3">
        <v>26</v>
      </c>
      <c r="F313" s="3">
        <f>1.8*E313+32</f>
        <v>78.800000000000011</v>
      </c>
      <c r="G313" s="3">
        <v>17</v>
      </c>
      <c r="H313" s="3">
        <f>IF(F313&gt;68,G313+(F313-68)*0.2,G461-(68-F313)*0.2)</f>
        <v>19.160000000000004</v>
      </c>
      <c r="I313" s="3">
        <v>23</v>
      </c>
      <c r="J313" s="3">
        <f>1.8*I313+32</f>
        <v>73.400000000000006</v>
      </c>
      <c r="K313" s="3">
        <v>10</v>
      </c>
      <c r="L313" s="3">
        <f>IF(J313&gt;67,K313+(J313-67)*0.2,K313-(67-J313)*0.2)</f>
        <v>11.280000000000001</v>
      </c>
      <c r="M313" s="3">
        <f>(C313-H313)/C313*100</f>
        <v>61.679999999999993</v>
      </c>
      <c r="N313" s="3">
        <f>100-(M313+O313)</f>
        <v>15.760000000000005</v>
      </c>
      <c r="O313" s="3">
        <f>L313/C313*100</f>
        <v>22.560000000000002</v>
      </c>
      <c r="P313" s="1" t="s">
        <v>2</v>
      </c>
      <c r="Q313" s="15">
        <v>407533.56400000001</v>
      </c>
      <c r="R313" s="15">
        <v>3660029</v>
      </c>
      <c r="T313">
        <v>2009033</v>
      </c>
      <c r="U313" t="s">
        <v>391</v>
      </c>
      <c r="V313">
        <v>5.7619999999999998E-2</v>
      </c>
      <c r="W313">
        <v>0.37756000000000001</v>
      </c>
      <c r="X313">
        <v>2.9780000000000001E-2</v>
      </c>
      <c r="Y313">
        <v>1.3677900000000001</v>
      </c>
      <c r="Z313">
        <v>24.933009999999999</v>
      </c>
      <c r="AA313">
        <v>11.901210000000001</v>
      </c>
      <c r="AB313">
        <v>-1.37601</v>
      </c>
      <c r="AC313" s="23">
        <v>5.3580000000000003E-2</v>
      </c>
      <c r="AD313" s="23">
        <v>0.38416</v>
      </c>
      <c r="AE313" s="23">
        <v>2.8680000000000001E-2</v>
      </c>
      <c r="AF313" s="23">
        <v>1.3713</v>
      </c>
      <c r="AG313" s="23">
        <v>26.06428</v>
      </c>
      <c r="AH313" s="23">
        <v>12.435129999999999</v>
      </c>
      <c r="AI313" s="23">
        <v>-1.2679400000000001</v>
      </c>
      <c r="AJ313" s="25">
        <v>1.0860116666666666</v>
      </c>
      <c r="AK313" s="25">
        <v>0.3834766588971863</v>
      </c>
      <c r="AL313" s="25">
        <v>0.19489366786783446</v>
      </c>
      <c r="AM313" s="25">
        <v>8.836291654226551E-2</v>
      </c>
      <c r="AN313" s="24">
        <v>1.6337868539224563</v>
      </c>
      <c r="AO313" s="23">
        <v>-99</v>
      </c>
    </row>
    <row r="314" spans="1:41" x14ac:dyDescent="0.25">
      <c r="A314" s="4">
        <v>57</v>
      </c>
      <c r="B314">
        <v>90</v>
      </c>
      <c r="C314">
        <v>50</v>
      </c>
      <c r="D314">
        <v>20</v>
      </c>
      <c r="E314" s="3">
        <v>25.5</v>
      </c>
      <c r="F314" s="3">
        <f>1.8*E314+32</f>
        <v>77.900000000000006</v>
      </c>
      <c r="G314" s="3">
        <v>12</v>
      </c>
      <c r="H314" s="3">
        <f>IF(F314&gt;68,G314+(F314-68)*0.2,G462-(68-F314)*0.2)</f>
        <v>13.98</v>
      </c>
      <c r="I314" s="3">
        <v>23</v>
      </c>
      <c r="J314" s="3">
        <f>1.8*I314+32</f>
        <v>73.400000000000006</v>
      </c>
      <c r="K314" s="3">
        <v>6</v>
      </c>
      <c r="L314" s="3">
        <f>IF(J314&gt;67,K314+(J314-67)*0.2,K314-(67-J314)*0.2)</f>
        <v>7.2800000000000011</v>
      </c>
      <c r="M314" s="3">
        <f>(C314-H314)/C314*100</f>
        <v>72.039999999999992</v>
      </c>
      <c r="N314" s="3">
        <f>100-(M314+O314)</f>
        <v>13.400000000000006</v>
      </c>
      <c r="O314" s="3">
        <f>L314/C314*100</f>
        <v>14.560000000000004</v>
      </c>
      <c r="P314" s="1" t="s">
        <v>0</v>
      </c>
      <c r="Q314" s="15">
        <v>407533.56400000001</v>
      </c>
      <c r="R314" s="15">
        <v>3660029</v>
      </c>
      <c r="T314">
        <v>2009033</v>
      </c>
      <c r="U314" t="s">
        <v>390</v>
      </c>
      <c r="V314">
        <v>4.9979999999999997E-2</v>
      </c>
      <c r="W314">
        <v>0.37870999999999999</v>
      </c>
      <c r="X314">
        <v>3.354E-2</v>
      </c>
      <c r="Y314">
        <v>1.47648</v>
      </c>
      <c r="Z314">
        <v>49.744250000000001</v>
      </c>
      <c r="AA314">
        <v>17.595569999999999</v>
      </c>
      <c r="AB314">
        <v>-1.1196200000000001</v>
      </c>
      <c r="AC314" s="23">
        <v>4.8059999999999999E-2</v>
      </c>
      <c r="AD314" s="23">
        <v>0.38127</v>
      </c>
      <c r="AE314" s="23">
        <v>3.3860000000000001E-2</v>
      </c>
      <c r="AF314" s="23">
        <v>1.42892</v>
      </c>
      <c r="AG314" s="23">
        <v>42.747900000000001</v>
      </c>
      <c r="AH314" s="23">
        <v>17.619150000000001</v>
      </c>
      <c r="AI314" s="23">
        <v>-1.1821999999999999</v>
      </c>
      <c r="AJ314" s="25">
        <v>1.7811625</v>
      </c>
      <c r="AK314" s="25">
        <v>0.38048132727586992</v>
      </c>
      <c r="AL314" s="25">
        <v>0.16485132924440024</v>
      </c>
      <c r="AM314" s="25">
        <v>7.1081727155648172E-2</v>
      </c>
      <c r="AN314" s="24">
        <v>1.6417244827189446</v>
      </c>
      <c r="AO314" s="23">
        <v>-99</v>
      </c>
    </row>
    <row r="315" spans="1:41" x14ac:dyDescent="0.25">
      <c r="A315" s="4">
        <v>57</v>
      </c>
      <c r="B315">
        <v>120</v>
      </c>
      <c r="C315">
        <v>50</v>
      </c>
      <c r="D315">
        <v>20</v>
      </c>
      <c r="E315" s="3">
        <v>25.5</v>
      </c>
      <c r="F315" s="3">
        <f>1.8*E315+32</f>
        <v>77.900000000000006</v>
      </c>
      <c r="G315" s="3">
        <v>10</v>
      </c>
      <c r="H315" s="3">
        <f>IF(F315&gt;68,G315+(F315-68)*0.2,G463-(68-F315)*0.2)</f>
        <v>11.98</v>
      </c>
      <c r="I315" s="3">
        <v>23.5</v>
      </c>
      <c r="J315" s="3">
        <f>1.8*I315+32</f>
        <v>74.300000000000011</v>
      </c>
      <c r="K315" s="3">
        <v>6</v>
      </c>
      <c r="L315" s="3">
        <f>IF(J315&gt;67,K315+(J315-67)*0.2,K315-(67-J315)*0.2)</f>
        <v>7.4600000000000026</v>
      </c>
      <c r="M315" s="3">
        <f>(C315-H315)/C315*100</f>
        <v>76.039999999999992</v>
      </c>
      <c r="N315" s="3">
        <f>100-(M315+O315)</f>
        <v>9.0400000000000063</v>
      </c>
      <c r="O315" s="3">
        <f>L315/C315*100</f>
        <v>14.920000000000005</v>
      </c>
      <c r="P315" s="1" t="s">
        <v>0</v>
      </c>
      <c r="Q315" s="15">
        <v>407533.56400000001</v>
      </c>
      <c r="R315" s="15">
        <v>3660029</v>
      </c>
      <c r="T315">
        <v>2009033</v>
      </c>
      <c r="U315" t="s">
        <v>389</v>
      </c>
      <c r="V315">
        <v>5.194E-2</v>
      </c>
      <c r="W315">
        <v>0.37814999999999999</v>
      </c>
      <c r="X315">
        <v>3.2379999999999999E-2</v>
      </c>
      <c r="Y315">
        <v>1.4368000000000001</v>
      </c>
      <c r="Z315">
        <v>40.660429999999998</v>
      </c>
      <c r="AA315">
        <v>15.620010000000001</v>
      </c>
      <c r="AB315">
        <v>-1.18994</v>
      </c>
      <c r="AC315" s="23">
        <v>5.6559999999999999E-2</v>
      </c>
      <c r="AD315" s="23">
        <v>0.37985999999999998</v>
      </c>
      <c r="AE315" s="23">
        <v>2.9919999999999999E-2</v>
      </c>
      <c r="AF315" s="23">
        <v>1.3644000000000001</v>
      </c>
      <c r="AG315" s="23">
        <v>25.181840000000001</v>
      </c>
      <c r="AH315" s="23">
        <v>12.2332</v>
      </c>
      <c r="AI315" s="23">
        <v>-1.37188</v>
      </c>
      <c r="AJ315" s="25">
        <v>1.0492433333333333</v>
      </c>
      <c r="AK315" s="25">
        <v>0.37914458015764063</v>
      </c>
      <c r="AL315" s="25">
        <v>0.19487066098501479</v>
      </c>
      <c r="AM315" s="25">
        <v>9.148767901324352E-2</v>
      </c>
      <c r="AN315" s="24">
        <v>1.6452668625822522</v>
      </c>
      <c r="AO315" s="23">
        <v>-99</v>
      </c>
    </row>
    <row r="316" spans="1:41" x14ac:dyDescent="0.25">
      <c r="A316" s="4">
        <v>57</v>
      </c>
      <c r="B316">
        <v>150</v>
      </c>
      <c r="C316">
        <v>50</v>
      </c>
      <c r="D316">
        <v>20</v>
      </c>
      <c r="E316" s="3">
        <v>26</v>
      </c>
      <c r="F316" s="3">
        <f>1.8*E316+32</f>
        <v>78.800000000000011</v>
      </c>
      <c r="G316" s="3">
        <v>10</v>
      </c>
      <c r="H316" s="3">
        <f>IF(F316&gt;68,G316+(F316-68)*0.2,G464-(68-F316)*0.2)</f>
        <v>12.160000000000002</v>
      </c>
      <c r="I316" s="3">
        <v>23.5</v>
      </c>
      <c r="J316" s="3">
        <f>1.8*I316+32</f>
        <v>74.300000000000011</v>
      </c>
      <c r="K316" s="3">
        <v>6</v>
      </c>
      <c r="L316" s="3">
        <f>IF(J316&gt;67,K316+(J316-67)*0.2,K316-(67-J316)*0.2)</f>
        <v>7.4600000000000026</v>
      </c>
      <c r="M316" s="3">
        <f>(C316-H316)/C316*100</f>
        <v>75.679999999999993</v>
      </c>
      <c r="N316" s="3">
        <f>100-(M316+O316)</f>
        <v>9.4000000000000057</v>
      </c>
      <c r="O316" s="3">
        <f>L316/C316*100</f>
        <v>14.920000000000005</v>
      </c>
      <c r="P316" s="1" t="s">
        <v>0</v>
      </c>
      <c r="Q316" s="15">
        <v>407533.56400000001</v>
      </c>
      <c r="R316" s="15">
        <v>3660029</v>
      </c>
      <c r="T316">
        <v>2009033</v>
      </c>
      <c r="U316" t="s">
        <v>388</v>
      </c>
      <c r="V316">
        <v>5.3580000000000003E-2</v>
      </c>
      <c r="W316">
        <v>0.38416</v>
      </c>
      <c r="X316">
        <v>2.8680000000000001E-2</v>
      </c>
      <c r="Y316">
        <v>1.3713</v>
      </c>
      <c r="Z316">
        <v>26.06428</v>
      </c>
      <c r="AA316">
        <v>12.435129999999999</v>
      </c>
      <c r="AB316">
        <v>-1.2679400000000001</v>
      </c>
      <c r="AC316" s="23">
        <v>5.9409999999999998E-2</v>
      </c>
      <c r="AD316" s="23">
        <v>0.38058999999999998</v>
      </c>
      <c r="AE316" s="23">
        <v>2.886E-2</v>
      </c>
      <c r="AF316" s="23">
        <v>1.34606</v>
      </c>
      <c r="AG316" s="23">
        <v>20.828430000000001</v>
      </c>
      <c r="AH316" s="23">
        <v>10.98921</v>
      </c>
      <c r="AI316" s="23">
        <v>-1.44275</v>
      </c>
      <c r="AJ316" s="25">
        <v>0.86785125000000007</v>
      </c>
      <c r="AK316" s="25">
        <v>0.37989497472173694</v>
      </c>
      <c r="AL316" s="25">
        <v>0.20444549153729172</v>
      </c>
      <c r="AM316" s="25">
        <v>9.8707837312121016E-2</v>
      </c>
      <c r="AN316" s="24">
        <v>1.643278316987397</v>
      </c>
      <c r="AO316" s="23">
        <v>-99</v>
      </c>
    </row>
    <row r="317" spans="1:41" x14ac:dyDescent="0.25">
      <c r="A317" s="4">
        <v>57</v>
      </c>
      <c r="B317">
        <v>180</v>
      </c>
      <c r="C317">
        <v>50</v>
      </c>
      <c r="D317">
        <v>20</v>
      </c>
      <c r="E317" s="3">
        <v>26</v>
      </c>
      <c r="F317" s="3">
        <f>1.8*E317+32</f>
        <v>78.800000000000011</v>
      </c>
      <c r="G317" s="3">
        <v>10</v>
      </c>
      <c r="H317" s="3">
        <f>IF(F317&gt;68,G317+(F317-68)*0.2,G465-(68-F317)*0.2)</f>
        <v>12.160000000000002</v>
      </c>
      <c r="I317" s="3">
        <v>23.5</v>
      </c>
      <c r="J317" s="3">
        <f>1.8*I317+32</f>
        <v>74.300000000000011</v>
      </c>
      <c r="K317" s="3">
        <v>6</v>
      </c>
      <c r="L317" s="3">
        <f>IF(J317&gt;67,K317+(J317-67)*0.2,K317-(67-J317)*0.2)</f>
        <v>7.4600000000000026</v>
      </c>
      <c r="M317" s="3">
        <f>(C317-H317)/C317*100</f>
        <v>75.679999999999993</v>
      </c>
      <c r="N317" s="3">
        <f>100-(M317+O317)</f>
        <v>9.4000000000000057</v>
      </c>
      <c r="O317" s="3">
        <f>L317/C317*100</f>
        <v>14.920000000000005</v>
      </c>
      <c r="P317" s="1" t="s">
        <v>0</v>
      </c>
      <c r="Q317" s="15">
        <v>407533.56400000001</v>
      </c>
      <c r="R317" s="15">
        <v>3660029</v>
      </c>
      <c r="T317">
        <v>2009033</v>
      </c>
      <c r="U317" t="s">
        <v>387</v>
      </c>
      <c r="V317">
        <v>4.8059999999999999E-2</v>
      </c>
      <c r="W317">
        <v>0.38127</v>
      </c>
      <c r="X317">
        <v>3.3860000000000001E-2</v>
      </c>
      <c r="Y317">
        <v>1.42892</v>
      </c>
      <c r="Z317">
        <v>42.747900000000001</v>
      </c>
      <c r="AA317">
        <v>17.619150000000001</v>
      </c>
      <c r="AB317">
        <v>-1.1821999999999999</v>
      </c>
      <c r="AC317" s="23">
        <v>4.6730000000000001E-2</v>
      </c>
      <c r="AD317" s="23">
        <v>0.38258999999999999</v>
      </c>
      <c r="AE317" s="23">
        <v>3.3709999999999997E-2</v>
      </c>
      <c r="AF317" s="23">
        <v>1.4176200000000001</v>
      </c>
      <c r="AG317" s="23">
        <v>41.248289999999997</v>
      </c>
      <c r="AH317" s="23">
        <v>17.720099999999999</v>
      </c>
      <c r="AI317" s="23">
        <v>-1.1855899999999999</v>
      </c>
      <c r="AJ317" s="25">
        <v>1.7186787499999998</v>
      </c>
      <c r="AK317" s="25">
        <v>0.38178460498140859</v>
      </c>
      <c r="AL317" s="25">
        <v>0.16792559494988615</v>
      </c>
      <c r="AM317" s="25">
        <v>7.167351486315085E-2</v>
      </c>
      <c r="AN317" s="24">
        <v>1.6382707967992671</v>
      </c>
      <c r="AO317" s="23">
        <v>-99</v>
      </c>
    </row>
    <row r="318" spans="1:41" x14ac:dyDescent="0.25">
      <c r="A318" s="4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1"/>
      <c r="T318">
        <v>2009033</v>
      </c>
      <c r="U318" t="s">
        <v>386</v>
      </c>
      <c r="V318">
        <v>5.6559999999999999E-2</v>
      </c>
      <c r="W318">
        <v>0.37985999999999998</v>
      </c>
      <c r="X318">
        <v>2.9919999999999999E-2</v>
      </c>
      <c r="Y318">
        <v>1.3644000000000001</v>
      </c>
      <c r="Z318">
        <v>25.181840000000001</v>
      </c>
      <c r="AA318">
        <v>12.2332</v>
      </c>
      <c r="AB318">
        <v>-1.37188</v>
      </c>
      <c r="AC318" s="23">
        <v>6.2210000000000001E-2</v>
      </c>
      <c r="AD318" s="23">
        <v>0.38181999999999999</v>
      </c>
      <c r="AE318" s="23">
        <v>2.7980000000000001E-2</v>
      </c>
      <c r="AF318" s="23">
        <v>1.33077</v>
      </c>
      <c r="AG318" s="23">
        <v>17.504940000000001</v>
      </c>
      <c r="AH318" s="23">
        <v>9.9965899999999994</v>
      </c>
      <c r="AI318" s="23">
        <v>-1.5121800000000001</v>
      </c>
      <c r="AJ318" s="25">
        <v>0.72937250000000009</v>
      </c>
      <c r="AK318" s="25">
        <v>0.38114260893237134</v>
      </c>
      <c r="AL318" s="25">
        <v>0.21308165387875871</v>
      </c>
      <c r="AM318" s="25">
        <v>0.10556068393860985</v>
      </c>
      <c r="AN318" s="24">
        <v>1.639972086329216</v>
      </c>
      <c r="AO318" s="23">
        <v>-99</v>
      </c>
    </row>
    <row r="319" spans="1:41" ht="51.75" x14ac:dyDescent="0.25">
      <c r="A319" s="14" t="s">
        <v>21</v>
      </c>
      <c r="B319" s="9" t="s">
        <v>20</v>
      </c>
      <c r="C319" s="13" t="s">
        <v>19</v>
      </c>
      <c r="D319" s="12" t="s">
        <v>18</v>
      </c>
      <c r="E319" s="11" t="s">
        <v>17</v>
      </c>
      <c r="F319" s="11" t="s">
        <v>16</v>
      </c>
      <c r="G319" s="11" t="s">
        <v>15</v>
      </c>
      <c r="H319" s="11" t="s">
        <v>14</v>
      </c>
      <c r="I319" s="11" t="s">
        <v>13</v>
      </c>
      <c r="J319" s="11" t="s">
        <v>12</v>
      </c>
      <c r="K319" s="11" t="s">
        <v>11</v>
      </c>
      <c r="L319" s="11" t="s">
        <v>10</v>
      </c>
      <c r="M319" s="10" t="s">
        <v>9</v>
      </c>
      <c r="N319" s="10" t="s">
        <v>8</v>
      </c>
      <c r="O319" s="10" t="s">
        <v>7</v>
      </c>
      <c r="P319" s="9" t="s">
        <v>6</v>
      </c>
      <c r="Q319" s="19" t="s">
        <v>5</v>
      </c>
      <c r="R319" s="19"/>
      <c r="T319">
        <v>2009033</v>
      </c>
      <c r="U319" t="s">
        <v>385</v>
      </c>
      <c r="V319">
        <v>5.9409999999999998E-2</v>
      </c>
      <c r="W319">
        <v>0.38058999999999998</v>
      </c>
      <c r="X319">
        <v>2.886E-2</v>
      </c>
      <c r="Y319">
        <v>1.34606</v>
      </c>
      <c r="Z319">
        <v>20.828430000000001</v>
      </c>
      <c r="AA319">
        <v>10.98921</v>
      </c>
      <c r="AB319">
        <v>-1.44275</v>
      </c>
      <c r="AC319" s="23">
        <v>5.9360000000000003E-2</v>
      </c>
      <c r="AD319" s="23">
        <v>0.38313000000000003</v>
      </c>
      <c r="AE319" s="23">
        <v>2.8119999999999999E-2</v>
      </c>
      <c r="AF319" s="23">
        <v>1.34667</v>
      </c>
      <c r="AG319" s="23">
        <v>20.134329999999999</v>
      </c>
      <c r="AH319" s="23">
        <v>10.76477</v>
      </c>
      <c r="AI319" s="23">
        <v>-1.41</v>
      </c>
      <c r="AJ319" s="25">
        <v>0.83893041666666657</v>
      </c>
      <c r="AK319" s="25">
        <v>0.38245390331744794</v>
      </c>
      <c r="AL319" s="25">
        <v>0.20662300092813174</v>
      </c>
      <c r="AM319" s="25">
        <v>9.9185231437041749E-2</v>
      </c>
      <c r="AN319" s="24">
        <v>1.6364971562087631</v>
      </c>
      <c r="AO319" s="23">
        <v>-99</v>
      </c>
    </row>
    <row r="320" spans="1:41" x14ac:dyDescent="0.25">
      <c r="C320" s="16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1"/>
      <c r="Q320" s="5" t="s">
        <v>4</v>
      </c>
      <c r="R320" s="5" t="s">
        <v>3</v>
      </c>
      <c r="T320">
        <v>2009033</v>
      </c>
      <c r="U320" t="s">
        <v>384</v>
      </c>
      <c r="V320">
        <v>4.6730000000000001E-2</v>
      </c>
      <c r="W320">
        <v>0.38258999999999999</v>
      </c>
      <c r="X320">
        <v>3.3709999999999997E-2</v>
      </c>
      <c r="Y320">
        <v>1.4176200000000001</v>
      </c>
      <c r="Z320">
        <v>41.248289999999997</v>
      </c>
      <c r="AA320">
        <v>17.720099999999999</v>
      </c>
      <c r="AB320">
        <v>-1.1855899999999999</v>
      </c>
      <c r="AC320" s="23">
        <v>6.173E-2</v>
      </c>
      <c r="AD320" s="23">
        <v>0.38241000000000003</v>
      </c>
      <c r="AE320" s="23">
        <v>2.794E-2</v>
      </c>
      <c r="AF320" s="23">
        <v>1.3340099999999999</v>
      </c>
      <c r="AG320" s="23">
        <v>17.888439999999999</v>
      </c>
      <c r="AH320" s="23">
        <v>10.113490000000001</v>
      </c>
      <c r="AI320" s="23">
        <v>-1.48803</v>
      </c>
      <c r="AJ320" s="25">
        <v>0.74535166666666663</v>
      </c>
      <c r="AK320" s="25">
        <v>0.38173448530958071</v>
      </c>
      <c r="AL320" s="25">
        <v>0.21208390218220236</v>
      </c>
      <c r="AM320" s="25">
        <v>0.10440337864603644</v>
      </c>
      <c r="AN320" s="24">
        <v>1.638403613929611</v>
      </c>
      <c r="AO320" s="23">
        <v>-99</v>
      </c>
    </row>
    <row r="321" spans="1:41" x14ac:dyDescent="0.25">
      <c r="A321" s="4">
        <v>61</v>
      </c>
      <c r="B321">
        <v>30</v>
      </c>
      <c r="C321" s="16">
        <v>50</v>
      </c>
      <c r="D321">
        <v>20</v>
      </c>
      <c r="E321" s="3">
        <v>25</v>
      </c>
      <c r="F321" s="3">
        <f>1.8*E321+32</f>
        <v>77</v>
      </c>
      <c r="G321" s="3">
        <v>15</v>
      </c>
      <c r="H321" s="3">
        <f>IF(F321&gt;68,G321+(F321-68)*0.2,G468-(68-F321)*0.2)</f>
        <v>16.8</v>
      </c>
      <c r="I321" s="3">
        <v>23</v>
      </c>
      <c r="J321" s="3">
        <f>1.8*I321+32</f>
        <v>73.400000000000006</v>
      </c>
      <c r="K321" s="3">
        <v>6</v>
      </c>
      <c r="L321" s="3">
        <f>IF(J321&gt;68,K321+(J321-68)*0.2,K321-(68-J321)*0.2)</f>
        <v>7.080000000000001</v>
      </c>
      <c r="M321" s="3">
        <f>(C321-H321)/C321*100</f>
        <v>66.400000000000006</v>
      </c>
      <c r="N321" s="3">
        <f>100-(M321+O321)</f>
        <v>19.439999999999998</v>
      </c>
      <c r="O321" s="3">
        <f>L321/C321*100</f>
        <v>14.160000000000004</v>
      </c>
      <c r="P321" s="1" t="s">
        <v>0</v>
      </c>
      <c r="Q321" s="15">
        <v>407519.34</v>
      </c>
      <c r="R321" s="15">
        <v>3659870</v>
      </c>
      <c r="T321">
        <v>2009033</v>
      </c>
      <c r="U321" t="s">
        <v>383</v>
      </c>
      <c r="V321">
        <v>6.2210000000000001E-2</v>
      </c>
      <c r="W321">
        <v>0.38181999999999999</v>
      </c>
      <c r="X321">
        <v>2.7980000000000001E-2</v>
      </c>
      <c r="Y321">
        <v>1.33077</v>
      </c>
      <c r="Z321">
        <v>17.504940000000001</v>
      </c>
      <c r="AA321">
        <v>9.9965899999999994</v>
      </c>
      <c r="AB321">
        <v>-1.5121800000000001</v>
      </c>
      <c r="AC321" s="23">
        <v>5.6390000000000003E-2</v>
      </c>
      <c r="AD321" s="23">
        <v>0.38173000000000001</v>
      </c>
      <c r="AE321" s="23">
        <v>2.9399999999999999E-2</v>
      </c>
      <c r="AF321" s="23">
        <v>1.3608199999999999</v>
      </c>
      <c r="AG321" s="23">
        <v>24.259440000000001</v>
      </c>
      <c r="AH321" s="23">
        <v>12.03637</v>
      </c>
      <c r="AI321" s="23">
        <v>-1.3627400000000001</v>
      </c>
      <c r="AJ321" s="25">
        <v>1.01081</v>
      </c>
      <c r="AK321" s="25">
        <v>0.38102324415406508</v>
      </c>
      <c r="AL321" s="25">
        <v>0.19757498152794162</v>
      </c>
      <c r="AM321" s="25">
        <v>9.254281476651062E-2</v>
      </c>
      <c r="AN321" s="24">
        <v>1.6402884029917275</v>
      </c>
      <c r="AO321" s="23">
        <v>-99</v>
      </c>
    </row>
    <row r="322" spans="1:41" x14ac:dyDescent="0.25">
      <c r="A322" s="4">
        <v>61</v>
      </c>
      <c r="B322">
        <v>60</v>
      </c>
      <c r="C322" s="16">
        <v>50</v>
      </c>
      <c r="D322">
        <v>20</v>
      </c>
      <c r="E322" s="3">
        <v>26</v>
      </c>
      <c r="F322" s="3">
        <f>1.8*E322+32</f>
        <v>78.800000000000011</v>
      </c>
      <c r="G322" s="3">
        <v>21</v>
      </c>
      <c r="H322" s="3">
        <f>IF(F322&gt;68,G322+(F322-68)*0.2,G469-(68-F322)*0.2)</f>
        <v>23.160000000000004</v>
      </c>
      <c r="I322" s="3">
        <v>23</v>
      </c>
      <c r="J322" s="3">
        <f>1.8*I322+32</f>
        <v>73.400000000000006</v>
      </c>
      <c r="K322" s="3">
        <v>8</v>
      </c>
      <c r="L322" s="3">
        <f>IF(J322&gt;68,K322+(J322-68)*0.2,K322-(68-J322)*0.2)</f>
        <v>9.0800000000000018</v>
      </c>
      <c r="M322" s="3">
        <f>(C322-H322)/C322*100</f>
        <v>53.679999999999993</v>
      </c>
      <c r="N322" s="3">
        <f>100-(M322+O322)</f>
        <v>28.159999999999997</v>
      </c>
      <c r="O322" s="3">
        <f>L322/C322*100</f>
        <v>18.160000000000004</v>
      </c>
      <c r="P322" s="1" t="s">
        <v>0</v>
      </c>
      <c r="Q322" s="15">
        <v>407519.34</v>
      </c>
      <c r="R322" s="15">
        <v>3659870</v>
      </c>
      <c r="T322">
        <v>2009033</v>
      </c>
      <c r="U322" t="s">
        <v>382</v>
      </c>
      <c r="V322">
        <v>5.9360000000000003E-2</v>
      </c>
      <c r="W322">
        <v>0.38313000000000003</v>
      </c>
      <c r="X322">
        <v>2.8119999999999999E-2</v>
      </c>
      <c r="Y322">
        <v>1.34667</v>
      </c>
      <c r="Z322">
        <v>20.134329999999999</v>
      </c>
      <c r="AA322">
        <v>10.76477</v>
      </c>
      <c r="AB322">
        <v>-1.41</v>
      </c>
      <c r="AC322" s="23">
        <v>5.6570000000000002E-2</v>
      </c>
      <c r="AD322" s="23">
        <v>0.38018000000000002</v>
      </c>
      <c r="AE322" s="23">
        <v>2.9850000000000002E-2</v>
      </c>
      <c r="AF322" s="23">
        <v>1.3632599999999999</v>
      </c>
      <c r="AG322" s="23">
        <v>24.958169999999999</v>
      </c>
      <c r="AH322" s="23">
        <v>12.191190000000001</v>
      </c>
      <c r="AI322" s="23">
        <v>-1.3729100000000001</v>
      </c>
      <c r="AJ322" s="25">
        <v>1.03992375</v>
      </c>
      <c r="AK322" s="25">
        <v>0.37946496166105687</v>
      </c>
      <c r="AL322" s="25">
        <v>0.19548937804420111</v>
      </c>
      <c r="AM322" s="25">
        <v>9.1805351126579865E-2</v>
      </c>
      <c r="AN322" s="24">
        <v>1.6444178515981993</v>
      </c>
      <c r="AO322" s="23">
        <v>-99</v>
      </c>
    </row>
    <row r="323" spans="1:41" x14ac:dyDescent="0.25">
      <c r="A323" s="4">
        <v>61</v>
      </c>
      <c r="B323">
        <v>90</v>
      </c>
      <c r="C323" s="16">
        <v>50</v>
      </c>
      <c r="D323">
        <v>20</v>
      </c>
      <c r="E323" s="3">
        <v>26.5</v>
      </c>
      <c r="F323" s="3">
        <f>1.8*E323+32</f>
        <v>79.7</v>
      </c>
      <c r="G323" s="3">
        <v>20</v>
      </c>
      <c r="H323" s="3">
        <f>IF(F323&gt;68,G323+(F323-68)*0.2,G470-(68-F323)*0.2)</f>
        <v>22.34</v>
      </c>
      <c r="I323" s="3">
        <v>23</v>
      </c>
      <c r="J323" s="3">
        <f>1.8*I323+32</f>
        <v>73.400000000000006</v>
      </c>
      <c r="K323" s="3">
        <v>10</v>
      </c>
      <c r="L323" s="3">
        <f>IF(J323&gt;68,K323+(J323-68)*0.2,K323-(68-J323)*0.2)</f>
        <v>11.080000000000002</v>
      </c>
      <c r="M323" s="3">
        <f>(C323-H323)/C323*100</f>
        <v>55.32</v>
      </c>
      <c r="N323" s="3">
        <f>100-(M323+O323)</f>
        <v>22.519999999999996</v>
      </c>
      <c r="O323" s="3">
        <f>L323/C323*100</f>
        <v>22.160000000000004</v>
      </c>
      <c r="P323" s="1" t="s">
        <v>2</v>
      </c>
      <c r="Q323" s="15">
        <v>407519.34</v>
      </c>
      <c r="R323" s="15">
        <v>3659870</v>
      </c>
      <c r="T323">
        <v>2009033</v>
      </c>
      <c r="U323" t="s">
        <v>381</v>
      </c>
      <c r="V323">
        <v>6.173E-2</v>
      </c>
      <c r="W323">
        <v>0.38241000000000003</v>
      </c>
      <c r="X323">
        <v>2.794E-2</v>
      </c>
      <c r="Y323">
        <v>1.3340099999999999</v>
      </c>
      <c r="Z323">
        <v>17.888439999999999</v>
      </c>
      <c r="AA323">
        <v>10.113490000000001</v>
      </c>
      <c r="AB323">
        <v>-1.48803</v>
      </c>
      <c r="AC323" s="23">
        <v>5.0869999999999999E-2</v>
      </c>
      <c r="AD323" s="23">
        <v>0.38</v>
      </c>
      <c r="AE323" s="23">
        <v>3.2590000000000001E-2</v>
      </c>
      <c r="AF323" s="23">
        <v>1.4132</v>
      </c>
      <c r="AG323" s="23">
        <v>37.666800000000002</v>
      </c>
      <c r="AH323" s="23">
        <v>15.721819999999999</v>
      </c>
      <c r="AI323" s="23">
        <v>-1.2275799999999999</v>
      </c>
      <c r="AJ323" s="25">
        <v>1.56945</v>
      </c>
      <c r="AK323" s="25">
        <v>0.37924177130037295</v>
      </c>
      <c r="AL323" s="25">
        <v>0.17254238523252508</v>
      </c>
      <c r="AM323" s="25">
        <v>7.6348860209076441E-2</v>
      </c>
      <c r="AN323" s="24">
        <v>1.6450093060540116</v>
      </c>
      <c r="AO323" s="23">
        <v>-99</v>
      </c>
    </row>
    <row r="324" spans="1:41" x14ac:dyDescent="0.25">
      <c r="A324" s="4">
        <v>61</v>
      </c>
      <c r="B324">
        <v>120</v>
      </c>
      <c r="C324" s="16">
        <v>50</v>
      </c>
      <c r="D324">
        <v>20</v>
      </c>
      <c r="E324" s="3">
        <v>26</v>
      </c>
      <c r="F324" s="3">
        <f>1.8*E324+32</f>
        <v>78.800000000000011</v>
      </c>
      <c r="G324" s="3">
        <v>17</v>
      </c>
      <c r="H324" s="3">
        <f>IF(F324&gt;68,G324+(F324-68)*0.2,G472-(68-F324)*0.2)</f>
        <v>19.160000000000004</v>
      </c>
      <c r="I324" s="3">
        <v>23</v>
      </c>
      <c r="J324" s="3">
        <f>1.8*I324+32</f>
        <v>73.400000000000006</v>
      </c>
      <c r="K324" s="3">
        <v>10</v>
      </c>
      <c r="L324" s="3">
        <f>IF(J324&gt;68,K324+(J324-68)*0.2,K324-(68-J324)*0.2)</f>
        <v>11.080000000000002</v>
      </c>
      <c r="M324" s="3">
        <f>(C324-H324)/C324*100</f>
        <v>61.679999999999993</v>
      </c>
      <c r="N324" s="3">
        <f>100-(M324+O324)</f>
        <v>16.159999999999997</v>
      </c>
      <c r="O324" s="3">
        <f>L324/C324*100</f>
        <v>22.160000000000004</v>
      </c>
      <c r="P324" s="1" t="s">
        <v>2</v>
      </c>
      <c r="Q324" s="15">
        <v>407519.34</v>
      </c>
      <c r="R324" s="15">
        <v>3659870</v>
      </c>
      <c r="T324">
        <v>2009033</v>
      </c>
      <c r="U324" t="s">
        <v>380</v>
      </c>
      <c r="V324">
        <v>5.6390000000000003E-2</v>
      </c>
      <c r="W324">
        <v>0.38173000000000001</v>
      </c>
      <c r="X324">
        <v>2.9399999999999999E-2</v>
      </c>
      <c r="Y324">
        <v>1.3608199999999999</v>
      </c>
      <c r="Z324">
        <v>24.259440000000001</v>
      </c>
      <c r="AA324">
        <v>12.03637</v>
      </c>
      <c r="AB324">
        <v>-1.3627400000000001</v>
      </c>
      <c r="AC324" s="23">
        <v>6.7680000000000004E-2</v>
      </c>
      <c r="AD324" s="23">
        <v>0.38628000000000001</v>
      </c>
      <c r="AE324" s="23">
        <v>2.665E-2</v>
      </c>
      <c r="AF324" s="23">
        <v>1.30646</v>
      </c>
      <c r="AG324" s="23">
        <v>13.018319999999999</v>
      </c>
      <c r="AH324" s="23">
        <v>8.5442099999999996</v>
      </c>
      <c r="AI324" s="23">
        <v>-1.64476</v>
      </c>
      <c r="AJ324" s="25">
        <v>0.54242999999999997</v>
      </c>
      <c r="AK324" s="25">
        <v>0.38562774651429815</v>
      </c>
      <c r="AL324" s="25">
        <v>0.22873050340303719</v>
      </c>
      <c r="AM324" s="25">
        <v>0.11847968819033719</v>
      </c>
      <c r="AN324" s="24">
        <v>1.62808647173711</v>
      </c>
      <c r="AO324" s="23">
        <v>-99</v>
      </c>
    </row>
    <row r="325" spans="1:41" x14ac:dyDescent="0.25">
      <c r="A325" s="4">
        <v>61</v>
      </c>
      <c r="B325">
        <v>150</v>
      </c>
      <c r="C325" s="16">
        <v>50</v>
      </c>
      <c r="D325">
        <v>20</v>
      </c>
      <c r="E325" s="3">
        <v>26</v>
      </c>
      <c r="F325" s="3">
        <f>1.8*E325+32</f>
        <v>78.800000000000011</v>
      </c>
      <c r="G325" s="3">
        <v>17</v>
      </c>
      <c r="H325" s="3">
        <f>IF(F325&gt;68,G325+(F325-68)*0.2,G473-(68-F325)*0.2)</f>
        <v>19.160000000000004</v>
      </c>
      <c r="I325" s="3">
        <v>23</v>
      </c>
      <c r="J325" s="3">
        <f>1.8*I325+32</f>
        <v>73.400000000000006</v>
      </c>
      <c r="K325" s="3">
        <v>8</v>
      </c>
      <c r="L325" s="3">
        <f>IF(J325&gt;68,K325+(J325-68)*0.2,K325-(68-J325)*0.2)</f>
        <v>9.0800000000000018</v>
      </c>
      <c r="M325" s="3">
        <f>(C325-H325)/C325*100</f>
        <v>61.679999999999993</v>
      </c>
      <c r="N325" s="3">
        <f>100-(M325+O325)</f>
        <v>20.159999999999997</v>
      </c>
      <c r="O325" s="3">
        <f>L325/C325*100</f>
        <v>18.160000000000004</v>
      </c>
      <c r="P325" s="1" t="s">
        <v>0</v>
      </c>
      <c r="Q325" s="15">
        <v>407519.34</v>
      </c>
      <c r="R325" s="15">
        <v>3659870</v>
      </c>
      <c r="T325">
        <v>2009033</v>
      </c>
      <c r="U325" t="s">
        <v>379</v>
      </c>
      <c r="V325">
        <v>5.6570000000000002E-2</v>
      </c>
      <c r="W325">
        <v>0.38018000000000002</v>
      </c>
      <c r="X325">
        <v>2.9850000000000002E-2</v>
      </c>
      <c r="Y325">
        <v>1.3632599999999999</v>
      </c>
      <c r="Z325">
        <v>24.958169999999999</v>
      </c>
      <c r="AA325">
        <v>12.191190000000001</v>
      </c>
      <c r="AB325">
        <v>-1.3729100000000001</v>
      </c>
      <c r="AC325" s="23">
        <v>6.2820000000000001E-2</v>
      </c>
      <c r="AD325" s="23">
        <v>0.37874000000000002</v>
      </c>
      <c r="AE325" s="23">
        <v>2.8170000000000001E-2</v>
      </c>
      <c r="AF325" s="23">
        <v>1.3268500000000001</v>
      </c>
      <c r="AG325" s="23">
        <v>17.33785</v>
      </c>
      <c r="AH325" s="23">
        <v>9.8164099999999994</v>
      </c>
      <c r="AI325" s="23">
        <v>-1.55457</v>
      </c>
      <c r="AJ325" s="25">
        <v>0.72241041666666661</v>
      </c>
      <c r="AK325" s="25">
        <v>0.37806104894104703</v>
      </c>
      <c r="AL325" s="25">
        <v>0.21294492931843939</v>
      </c>
      <c r="AM325" s="25">
        <v>0.10659980058428006</v>
      </c>
      <c r="AN325" s="24">
        <v>1.6481382203062254</v>
      </c>
      <c r="AO325" s="23">
        <v>-99</v>
      </c>
    </row>
    <row r="326" spans="1:41" x14ac:dyDescent="0.25">
      <c r="A326" s="4">
        <v>61</v>
      </c>
      <c r="B326">
        <v>180</v>
      </c>
      <c r="C326" s="16">
        <v>50</v>
      </c>
      <c r="D326">
        <v>20</v>
      </c>
      <c r="E326" s="3">
        <v>26</v>
      </c>
      <c r="F326" s="3">
        <f>1.8*E326+32</f>
        <v>78.800000000000011</v>
      </c>
      <c r="G326" s="3">
        <v>16</v>
      </c>
      <c r="H326" s="3">
        <f>IF(F326&gt;68,G326+(F326-68)*0.2,G474-(68-F326)*0.2)</f>
        <v>18.160000000000004</v>
      </c>
      <c r="I326" s="3">
        <v>23</v>
      </c>
      <c r="J326" s="3">
        <f>1.8*I326+32</f>
        <v>73.400000000000006</v>
      </c>
      <c r="K326" s="3">
        <v>8</v>
      </c>
      <c r="L326" s="3">
        <f>IF(J326&gt;68,K326+(J326-68)*0.2,K326-(68-J326)*0.2)</f>
        <v>9.0800000000000018</v>
      </c>
      <c r="M326" s="3">
        <f>(C326-H326)/C326*100</f>
        <v>63.679999999999993</v>
      </c>
      <c r="N326" s="3">
        <f>100-(M326+O326)</f>
        <v>18.159999999999997</v>
      </c>
      <c r="O326" s="3">
        <f>L326/C326*100</f>
        <v>18.160000000000004</v>
      </c>
      <c r="P326" s="1" t="s">
        <v>0</v>
      </c>
      <c r="Q326" s="15">
        <v>407519.34</v>
      </c>
      <c r="R326" s="15">
        <v>3659870</v>
      </c>
      <c r="T326">
        <v>2009033</v>
      </c>
      <c r="U326" t="s">
        <v>378</v>
      </c>
      <c r="V326">
        <v>5.0869999999999999E-2</v>
      </c>
      <c r="W326">
        <v>0.38</v>
      </c>
      <c r="X326">
        <v>3.2590000000000001E-2</v>
      </c>
      <c r="Y326">
        <v>1.4132</v>
      </c>
      <c r="Z326">
        <v>37.666800000000002</v>
      </c>
      <c r="AA326">
        <v>15.721819999999999</v>
      </c>
      <c r="AB326">
        <v>-1.2275799999999999</v>
      </c>
      <c r="AC326" s="23">
        <v>5.9950000000000003E-2</v>
      </c>
      <c r="AD326" s="23">
        <v>0.38217000000000001</v>
      </c>
      <c r="AE326" s="23">
        <v>2.8340000000000001E-2</v>
      </c>
      <c r="AF326" s="23">
        <v>1.3430599999999999</v>
      </c>
      <c r="AG326" s="23">
        <v>19.779450000000001</v>
      </c>
      <c r="AH326" s="23">
        <v>10.683590000000001</v>
      </c>
      <c r="AI326" s="23">
        <v>-1.44096</v>
      </c>
      <c r="AJ326" s="25">
        <v>0.82414375000000006</v>
      </c>
      <c r="AK326" s="25">
        <v>0.38148665451249753</v>
      </c>
      <c r="AL326" s="25">
        <v>0.20732012141945796</v>
      </c>
      <c r="AM326" s="25">
        <v>0.10035076771187568</v>
      </c>
      <c r="AN326" s="24">
        <v>1.6390603655418816</v>
      </c>
      <c r="AO326" s="23">
        <v>-99</v>
      </c>
    </row>
    <row r="327" spans="1:41" x14ac:dyDescent="0.25">
      <c r="T327">
        <v>2009033</v>
      </c>
      <c r="U327" t="s">
        <v>377</v>
      </c>
      <c r="V327">
        <v>6.7680000000000004E-2</v>
      </c>
      <c r="W327">
        <v>0.38628000000000001</v>
      </c>
      <c r="X327">
        <v>2.665E-2</v>
      </c>
      <c r="Y327">
        <v>1.30646</v>
      </c>
      <c r="Z327">
        <v>13.018319999999999</v>
      </c>
      <c r="AA327">
        <v>8.5442099999999996</v>
      </c>
      <c r="AB327">
        <v>-1.64476</v>
      </c>
      <c r="AC327" s="23">
        <v>5.6890000000000003E-2</v>
      </c>
      <c r="AD327" s="23">
        <v>0.38308999999999999</v>
      </c>
      <c r="AE327" s="23">
        <v>2.8639999999999999E-2</v>
      </c>
      <c r="AF327" s="23">
        <v>1.35785</v>
      </c>
      <c r="AG327" s="23">
        <v>22.883620000000001</v>
      </c>
      <c r="AH327" s="23">
        <v>11.584020000000001</v>
      </c>
      <c r="AI327" s="23">
        <v>-1.35409</v>
      </c>
      <c r="AJ327" s="25">
        <v>0.95348416666666669</v>
      </c>
      <c r="AK327" s="25">
        <v>0.38240302955596123</v>
      </c>
      <c r="AL327" s="25">
        <v>0.20069246070714017</v>
      </c>
      <c r="AM327" s="25">
        <v>9.4147308595215584E-2</v>
      </c>
      <c r="AN327" s="24">
        <v>1.6366319716767026</v>
      </c>
      <c r="AO327" s="23">
        <v>-99</v>
      </c>
    </row>
    <row r="328" spans="1:41" ht="51.75" x14ac:dyDescent="0.25">
      <c r="A328" s="14" t="s">
        <v>21</v>
      </c>
      <c r="B328" s="9" t="s">
        <v>20</v>
      </c>
      <c r="C328" s="13" t="s">
        <v>19</v>
      </c>
      <c r="D328" s="12" t="s">
        <v>18</v>
      </c>
      <c r="E328" s="11" t="s">
        <v>17</v>
      </c>
      <c r="F328" s="11" t="s">
        <v>16</v>
      </c>
      <c r="G328" s="11" t="s">
        <v>15</v>
      </c>
      <c r="H328" s="11" t="s">
        <v>14</v>
      </c>
      <c r="I328" s="11" t="s">
        <v>13</v>
      </c>
      <c r="J328" s="11" t="s">
        <v>12</v>
      </c>
      <c r="K328" s="11" t="s">
        <v>11</v>
      </c>
      <c r="L328" s="11" t="s">
        <v>10</v>
      </c>
      <c r="M328" s="10" t="s">
        <v>9</v>
      </c>
      <c r="N328" s="10" t="s">
        <v>8</v>
      </c>
      <c r="O328" s="10" t="s">
        <v>7</v>
      </c>
      <c r="P328" s="9" t="s">
        <v>6</v>
      </c>
      <c r="Q328" s="19" t="s">
        <v>5</v>
      </c>
      <c r="R328" s="19"/>
      <c r="T328">
        <v>2009033</v>
      </c>
      <c r="U328" t="s">
        <v>376</v>
      </c>
      <c r="V328">
        <v>6.2820000000000001E-2</v>
      </c>
      <c r="W328">
        <v>0.37874000000000002</v>
      </c>
      <c r="X328">
        <v>2.8170000000000001E-2</v>
      </c>
      <c r="Y328">
        <v>1.3268500000000001</v>
      </c>
      <c r="Z328">
        <v>17.33785</v>
      </c>
      <c r="AA328">
        <v>9.8164099999999994</v>
      </c>
      <c r="AB328">
        <v>-1.55457</v>
      </c>
      <c r="AC328" s="23">
        <v>5.6959999999999997E-2</v>
      </c>
      <c r="AD328" s="23">
        <v>0.38152999999999998</v>
      </c>
      <c r="AE328" s="23">
        <v>2.93E-2</v>
      </c>
      <c r="AF328" s="23">
        <v>1.35819</v>
      </c>
      <c r="AG328" s="23">
        <v>23.606870000000001</v>
      </c>
      <c r="AH328" s="23">
        <v>11.83727</v>
      </c>
      <c r="AI328" s="23">
        <v>-1.3768400000000001</v>
      </c>
      <c r="AJ328" s="25">
        <v>0.98361958333333332</v>
      </c>
      <c r="AK328" s="25">
        <v>0.38082544657218881</v>
      </c>
      <c r="AL328" s="25">
        <v>0.19882322014684678</v>
      </c>
      <c r="AM328" s="25">
        <v>9.3654204241479272E-2</v>
      </c>
      <c r="AN328" s="24">
        <v>1.6408125665836997</v>
      </c>
      <c r="AO328" s="23">
        <v>-99</v>
      </c>
    </row>
    <row r="329" spans="1:41" x14ac:dyDescent="0.25"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1"/>
      <c r="Q329" s="5" t="s">
        <v>4</v>
      </c>
      <c r="R329" s="5" t="s">
        <v>3</v>
      </c>
      <c r="T329">
        <v>2009033</v>
      </c>
      <c r="U329" t="s">
        <v>375</v>
      </c>
      <c r="V329">
        <v>5.9950000000000003E-2</v>
      </c>
      <c r="W329">
        <v>0.38217000000000001</v>
      </c>
      <c r="X329">
        <v>2.8340000000000001E-2</v>
      </c>
      <c r="Y329">
        <v>1.3430599999999999</v>
      </c>
      <c r="Z329">
        <v>19.779450000000001</v>
      </c>
      <c r="AA329">
        <v>10.683590000000001</v>
      </c>
      <c r="AB329">
        <v>-1.44096</v>
      </c>
      <c r="AC329" s="23">
        <v>5.2769999999999997E-2</v>
      </c>
      <c r="AD329" s="23">
        <v>0.37744</v>
      </c>
      <c r="AE329" s="23">
        <v>3.1949999999999999E-2</v>
      </c>
      <c r="AF329" s="23">
        <v>1.43771</v>
      </c>
      <c r="AG329" s="23">
        <v>39.823929999999997</v>
      </c>
      <c r="AH329" s="23">
        <v>15.12767</v>
      </c>
      <c r="AI329" s="23">
        <v>-1.1910099999999999</v>
      </c>
      <c r="AJ329" s="25">
        <v>1.6593304166666665</v>
      </c>
      <c r="AK329" s="25">
        <v>0.37674365941657423</v>
      </c>
      <c r="AL329" s="25">
        <v>0.16695488835604103</v>
      </c>
      <c r="AM329" s="25">
        <v>7.4552855229957152E-2</v>
      </c>
      <c r="AN329" s="24">
        <v>1.6516293025460782</v>
      </c>
      <c r="AO329" s="23">
        <v>-99</v>
      </c>
    </row>
    <row r="330" spans="1:41" x14ac:dyDescent="0.25">
      <c r="A330" s="4">
        <v>62</v>
      </c>
      <c r="B330">
        <v>30</v>
      </c>
      <c r="C330">
        <v>50</v>
      </c>
      <c r="D330">
        <v>20</v>
      </c>
      <c r="E330" s="3">
        <v>26</v>
      </c>
      <c r="F330" s="3">
        <f>1.8*E330+32</f>
        <v>78.800000000000011</v>
      </c>
      <c r="G330" s="3">
        <v>15</v>
      </c>
      <c r="H330" s="3">
        <f>IF(F330&gt;68,G330+(F330-68)*0.2,G478-(68-F330)*0.2)</f>
        <v>17.160000000000004</v>
      </c>
      <c r="I330" s="3">
        <v>23</v>
      </c>
      <c r="J330" s="3">
        <f>1.8*I330+32</f>
        <v>73.400000000000006</v>
      </c>
      <c r="K330" s="3">
        <v>7</v>
      </c>
      <c r="L330" s="3">
        <f>IF(J330&gt;67,K330+(J330-67)*0.2,K330-(67-J330)*0.2)</f>
        <v>8.2800000000000011</v>
      </c>
      <c r="M330" s="3">
        <f>(C330-H330)/C330*100</f>
        <v>65.679999999999993</v>
      </c>
      <c r="N330" s="3">
        <f>100-(M330+O330)</f>
        <v>17.760000000000005</v>
      </c>
      <c r="O330" s="3">
        <f>L330/C330*100</f>
        <v>16.560000000000002</v>
      </c>
      <c r="P330" s="1" t="s">
        <v>0</v>
      </c>
      <c r="Q330" s="15">
        <v>407519.34</v>
      </c>
      <c r="R330" s="15">
        <v>3659896.5</v>
      </c>
      <c r="T330">
        <v>2009033</v>
      </c>
      <c r="U330" t="s">
        <v>374</v>
      </c>
      <c r="V330">
        <v>5.6890000000000003E-2</v>
      </c>
      <c r="W330">
        <v>0.38308999999999999</v>
      </c>
      <c r="X330">
        <v>2.8639999999999999E-2</v>
      </c>
      <c r="Y330">
        <v>1.35785</v>
      </c>
      <c r="Z330">
        <v>22.883620000000001</v>
      </c>
      <c r="AA330">
        <v>11.584020000000001</v>
      </c>
      <c r="AB330">
        <v>-1.35409</v>
      </c>
      <c r="AC330" s="23">
        <v>5.4489999999999997E-2</v>
      </c>
      <c r="AD330" s="23">
        <v>0.37894</v>
      </c>
      <c r="AE330" s="23">
        <v>3.0960000000000001E-2</v>
      </c>
      <c r="AF330" s="23">
        <v>1.3859600000000001</v>
      </c>
      <c r="AG330" s="23">
        <v>30.065470000000001</v>
      </c>
      <c r="AH330" s="23">
        <v>13.46012</v>
      </c>
      <c r="AI330" s="23">
        <v>-1.30783</v>
      </c>
      <c r="AJ330" s="25">
        <v>1.2527279166666667</v>
      </c>
      <c r="AK330" s="25">
        <v>0.37821220338708134</v>
      </c>
      <c r="AL330" s="25">
        <v>0.18492678143278446</v>
      </c>
      <c r="AM330" s="25">
        <v>8.4815622214656383E-2</v>
      </c>
      <c r="AN330" s="24">
        <v>1.6477376610242342</v>
      </c>
      <c r="AO330" s="23">
        <v>-99</v>
      </c>
    </row>
    <row r="331" spans="1:41" x14ac:dyDescent="0.25">
      <c r="A331" s="4">
        <v>62</v>
      </c>
      <c r="B331">
        <v>60</v>
      </c>
      <c r="C331">
        <v>50</v>
      </c>
      <c r="D331">
        <v>20</v>
      </c>
      <c r="E331" s="3">
        <v>26</v>
      </c>
      <c r="F331" s="3">
        <f>1.8*E331+32</f>
        <v>78.800000000000011</v>
      </c>
      <c r="G331" s="3">
        <v>20</v>
      </c>
      <c r="H331" s="3">
        <f>IF(F331&gt;68,G331+(F331-68)*0.2,G479-(68-F331)*0.2)</f>
        <v>22.160000000000004</v>
      </c>
      <c r="I331" s="3">
        <v>23</v>
      </c>
      <c r="J331" s="3">
        <f>1.8*I331+32</f>
        <v>73.400000000000006</v>
      </c>
      <c r="K331" s="3">
        <v>8</v>
      </c>
      <c r="L331" s="3">
        <f>IF(J331&gt;67,K331+(J331-67)*0.2,K331-(67-J331)*0.2)</f>
        <v>9.2800000000000011</v>
      </c>
      <c r="M331" s="3">
        <f>(C331-H331)/C331*100</f>
        <v>55.679999999999993</v>
      </c>
      <c r="N331" s="3">
        <f>100-(M331+O331)</f>
        <v>25.760000000000005</v>
      </c>
      <c r="O331" s="3">
        <f>L331/C331*100</f>
        <v>18.560000000000002</v>
      </c>
      <c r="P331" s="1" t="s">
        <v>0</v>
      </c>
      <c r="Q331" s="15">
        <v>407519.34</v>
      </c>
      <c r="R331" s="15">
        <v>3659896.5</v>
      </c>
      <c r="T331">
        <v>2009033</v>
      </c>
      <c r="U331" t="s">
        <v>373</v>
      </c>
      <c r="V331">
        <v>5.6959999999999997E-2</v>
      </c>
      <c r="W331">
        <v>0.38152999999999998</v>
      </c>
      <c r="X331">
        <v>2.93E-2</v>
      </c>
      <c r="Y331">
        <v>1.35819</v>
      </c>
      <c r="Z331">
        <v>23.606870000000001</v>
      </c>
      <c r="AA331">
        <v>11.83727</v>
      </c>
      <c r="AB331">
        <v>-1.3768400000000001</v>
      </c>
      <c r="AC331" s="23">
        <v>4.8820000000000002E-2</v>
      </c>
      <c r="AD331" s="23">
        <v>0.38018999999999997</v>
      </c>
      <c r="AE331" s="23">
        <v>3.3930000000000002E-2</v>
      </c>
      <c r="AF331" s="23">
        <v>1.4471700000000001</v>
      </c>
      <c r="AG331" s="23">
        <v>45.605490000000003</v>
      </c>
      <c r="AH331" s="23">
        <v>17.745909999999999</v>
      </c>
      <c r="AI331" s="23">
        <v>-1.15865</v>
      </c>
      <c r="AJ331" s="25">
        <v>1.9002287500000001</v>
      </c>
      <c r="AK331" s="25">
        <v>0.37942852768215463</v>
      </c>
      <c r="AL331" s="25">
        <v>0.15985841105165202</v>
      </c>
      <c r="AM331" s="25">
        <v>6.9235171423110975E-2</v>
      </c>
      <c r="AN331" s="24">
        <v>1.6445144016422901</v>
      </c>
      <c r="AO331" s="23">
        <v>-99</v>
      </c>
    </row>
    <row r="332" spans="1:41" x14ac:dyDescent="0.25">
      <c r="A332" s="4">
        <v>62</v>
      </c>
      <c r="B332">
        <v>90</v>
      </c>
      <c r="C332">
        <v>50</v>
      </c>
      <c r="D332">
        <v>20</v>
      </c>
      <c r="E332" s="3">
        <v>25.5</v>
      </c>
      <c r="F332" s="3">
        <f>1.8*E332+32</f>
        <v>77.900000000000006</v>
      </c>
      <c r="G332" s="3">
        <v>20</v>
      </c>
      <c r="H332" s="3">
        <f>IF(F332&gt;68,G332+(F332-68)*0.2,G480-(68-F332)*0.2)</f>
        <v>21.98</v>
      </c>
      <c r="I332" s="3">
        <v>23</v>
      </c>
      <c r="J332" s="3">
        <f>1.8*I332+32</f>
        <v>73.400000000000006</v>
      </c>
      <c r="K332" s="3">
        <v>10</v>
      </c>
      <c r="L332" s="3">
        <f>IF(J332&gt;67,K332+(J332-67)*0.2,K332-(67-J332)*0.2)</f>
        <v>11.280000000000001</v>
      </c>
      <c r="M332" s="3">
        <f>(C332-H332)/C332*100</f>
        <v>56.04</v>
      </c>
      <c r="N332" s="3">
        <f>100-(M332+O332)</f>
        <v>21.400000000000006</v>
      </c>
      <c r="O332" s="3">
        <f>L332/C332*100</f>
        <v>22.560000000000002</v>
      </c>
      <c r="P332" s="1" t="s">
        <v>2</v>
      </c>
      <c r="Q332" s="15">
        <v>407519.34</v>
      </c>
      <c r="R332" s="15">
        <v>3659896.5</v>
      </c>
      <c r="T332">
        <v>2009033</v>
      </c>
      <c r="U332" t="s">
        <v>372</v>
      </c>
      <c r="V332">
        <v>5.2769999999999997E-2</v>
      </c>
      <c r="W332">
        <v>0.37744</v>
      </c>
      <c r="X332">
        <v>3.1949999999999999E-2</v>
      </c>
      <c r="Y332">
        <v>1.43771</v>
      </c>
      <c r="Z332">
        <v>39.823929999999997</v>
      </c>
      <c r="AA332">
        <v>15.12767</v>
      </c>
      <c r="AB332">
        <v>-1.1910099999999999</v>
      </c>
      <c r="AC332" s="23">
        <v>5.6320000000000002E-2</v>
      </c>
      <c r="AD332" s="23">
        <v>0.38324999999999998</v>
      </c>
      <c r="AE332" s="23">
        <v>2.869E-2</v>
      </c>
      <c r="AF332" s="23">
        <v>1.3603700000000001</v>
      </c>
      <c r="AG332" s="23">
        <v>23.475549999999998</v>
      </c>
      <c r="AH332" s="23">
        <v>11.75277</v>
      </c>
      <c r="AI332" s="23">
        <v>-1.3393600000000001</v>
      </c>
      <c r="AJ332" s="25">
        <v>0.97814791666666656</v>
      </c>
      <c r="AK332" s="25">
        <v>0.38256244835097009</v>
      </c>
      <c r="AL332" s="25">
        <v>0.19954214856766953</v>
      </c>
      <c r="AM332" s="25">
        <v>9.3071439937232797E-2</v>
      </c>
      <c r="AN332" s="24">
        <v>1.6362095118699291</v>
      </c>
      <c r="AO332" s="23">
        <v>-99</v>
      </c>
    </row>
    <row r="333" spans="1:41" x14ac:dyDescent="0.25">
      <c r="A333" s="4">
        <v>62</v>
      </c>
      <c r="B333">
        <v>120</v>
      </c>
      <c r="C333">
        <v>50</v>
      </c>
      <c r="D333">
        <v>20</v>
      </c>
      <c r="E333" s="3">
        <v>25.5</v>
      </c>
      <c r="F333" s="3">
        <f>1.8*E333+32</f>
        <v>77.900000000000006</v>
      </c>
      <c r="G333" s="3">
        <v>22</v>
      </c>
      <c r="H333" s="3">
        <f>IF(F333&gt;68,G333+(F333-68)*0.2,G481-(68-F333)*0.2)</f>
        <v>23.98</v>
      </c>
      <c r="I333" s="3">
        <v>23</v>
      </c>
      <c r="J333" s="3">
        <f>1.8*I333+32</f>
        <v>73.400000000000006</v>
      </c>
      <c r="K333" s="3">
        <v>11</v>
      </c>
      <c r="L333" s="3">
        <f>IF(J333&gt;67,K333+(J333-67)*0.2,K333-(67-J333)*0.2)</f>
        <v>12.280000000000001</v>
      </c>
      <c r="M333" s="3">
        <f>(C333-H333)/C333*100</f>
        <v>52.04</v>
      </c>
      <c r="N333" s="3">
        <f>100-(M333+O333)</f>
        <v>23.400000000000006</v>
      </c>
      <c r="O333" s="3">
        <f>L333/C333*100</f>
        <v>24.560000000000002</v>
      </c>
      <c r="P333" s="1" t="s">
        <v>2</v>
      </c>
      <c r="Q333" s="15">
        <v>407519.34</v>
      </c>
      <c r="R333" s="15">
        <v>3659896.5</v>
      </c>
      <c r="T333">
        <v>2009033</v>
      </c>
      <c r="U333" t="s">
        <v>371</v>
      </c>
      <c r="V333">
        <v>5.4489999999999997E-2</v>
      </c>
      <c r="W333">
        <v>0.37894</v>
      </c>
      <c r="X333">
        <v>3.0960000000000001E-2</v>
      </c>
      <c r="Y333">
        <v>1.3859600000000001</v>
      </c>
      <c r="Z333">
        <v>30.065470000000001</v>
      </c>
      <c r="AA333">
        <v>13.46012</v>
      </c>
      <c r="AB333">
        <v>-1.30783</v>
      </c>
      <c r="AC333" s="23">
        <v>6.2260000000000003E-2</v>
      </c>
      <c r="AD333" s="23">
        <v>0.38135999999999998</v>
      </c>
      <c r="AE333" s="23">
        <v>2.8060000000000002E-2</v>
      </c>
      <c r="AF333" s="23">
        <v>1.3301400000000001</v>
      </c>
      <c r="AG333" s="23">
        <v>17.519600000000001</v>
      </c>
      <c r="AH333" s="23">
        <v>9.9959500000000006</v>
      </c>
      <c r="AI333" s="23">
        <v>-1.5195799999999999</v>
      </c>
      <c r="AJ333" s="25">
        <v>0.72998333333333332</v>
      </c>
      <c r="AK333" s="25">
        <v>0.38068058042223463</v>
      </c>
      <c r="AL333" s="25">
        <v>0.21296778535280469</v>
      </c>
      <c r="AM333" s="25">
        <v>0.10566557769791586</v>
      </c>
      <c r="AN333" s="24">
        <v>1.6411964618810782</v>
      </c>
      <c r="AO333" s="23">
        <v>-99</v>
      </c>
    </row>
    <row r="334" spans="1:41" x14ac:dyDescent="0.25">
      <c r="A334" s="4">
        <v>62</v>
      </c>
      <c r="B334">
        <v>150</v>
      </c>
      <c r="C334">
        <v>50</v>
      </c>
      <c r="D334">
        <v>20</v>
      </c>
      <c r="E334" s="3">
        <v>26</v>
      </c>
      <c r="F334" s="3">
        <f>1.8*E334+32</f>
        <v>78.800000000000011</v>
      </c>
      <c r="G334" s="3">
        <v>19</v>
      </c>
      <c r="H334" s="3">
        <f>IF(F334&gt;68,G334+(F334-68)*0.2,G482-(68-F334)*0.2)</f>
        <v>21.160000000000004</v>
      </c>
      <c r="I334" s="3">
        <v>23</v>
      </c>
      <c r="J334" s="3">
        <f>1.8*I334+32</f>
        <v>73.400000000000006</v>
      </c>
      <c r="K334" s="3">
        <v>10</v>
      </c>
      <c r="L334" s="3">
        <f>IF(J334&gt;67,K334+(J334-67)*0.2,K334-(67-J334)*0.2)</f>
        <v>11.280000000000001</v>
      </c>
      <c r="M334" s="3">
        <f>(C334-H334)/C334*100</f>
        <v>57.68</v>
      </c>
      <c r="N334" s="3">
        <f>100-(M334+O334)</f>
        <v>19.759999999999991</v>
      </c>
      <c r="O334" s="3">
        <f>L334/C334*100</f>
        <v>22.560000000000002</v>
      </c>
      <c r="P334" s="1" t="s">
        <v>2</v>
      </c>
      <c r="Q334" s="15">
        <v>407519.34</v>
      </c>
      <c r="R334" s="15">
        <v>3659896.5</v>
      </c>
      <c r="T334">
        <v>2009033</v>
      </c>
      <c r="U334" t="s">
        <v>370</v>
      </c>
      <c r="V334">
        <v>4.8820000000000002E-2</v>
      </c>
      <c r="W334">
        <v>0.38018999999999997</v>
      </c>
      <c r="X334">
        <v>3.3930000000000002E-2</v>
      </c>
      <c r="Y334">
        <v>1.4471700000000001</v>
      </c>
      <c r="Z334">
        <v>45.605490000000003</v>
      </c>
      <c r="AA334">
        <v>17.745909999999999</v>
      </c>
      <c r="AB334">
        <v>-1.15865</v>
      </c>
      <c r="AC334" s="23">
        <v>5.9420000000000001E-2</v>
      </c>
      <c r="AD334" s="23">
        <v>0.38273000000000001</v>
      </c>
      <c r="AE334" s="23">
        <v>2.826E-2</v>
      </c>
      <c r="AF334" s="23">
        <v>1.34605</v>
      </c>
      <c r="AG334" s="23">
        <v>20.198730000000001</v>
      </c>
      <c r="AH334" s="23">
        <v>10.797319999999999</v>
      </c>
      <c r="AI334" s="23">
        <v>-1.4185300000000001</v>
      </c>
      <c r="AJ334" s="25">
        <v>0.84161375000000005</v>
      </c>
      <c r="AK334" s="25">
        <v>0.38204976401929791</v>
      </c>
      <c r="AL334" s="25">
        <v>0.20643677650288922</v>
      </c>
      <c r="AM334" s="25">
        <v>9.926943522120793E-2</v>
      </c>
      <c r="AN334" s="24">
        <v>1.6375681253488605</v>
      </c>
      <c r="AO334" s="23">
        <v>-99</v>
      </c>
    </row>
    <row r="335" spans="1:41" x14ac:dyDescent="0.25">
      <c r="A335" s="4">
        <v>62</v>
      </c>
      <c r="B335">
        <v>180</v>
      </c>
      <c r="C335">
        <v>50</v>
      </c>
      <c r="D335">
        <v>20</v>
      </c>
      <c r="E335" s="3">
        <v>26</v>
      </c>
      <c r="F335" s="3">
        <f>1.8*E335+32</f>
        <v>78.800000000000011</v>
      </c>
      <c r="G335" s="3">
        <v>16</v>
      </c>
      <c r="H335" s="3">
        <f>IF(F335&gt;68,G335+(F335-68)*0.2,G483-(68-F335)*0.2)</f>
        <v>18.160000000000004</v>
      </c>
      <c r="I335" s="3">
        <v>23</v>
      </c>
      <c r="J335" s="3">
        <f>1.8*I335+32</f>
        <v>73.400000000000006</v>
      </c>
      <c r="K335" s="3">
        <v>8</v>
      </c>
      <c r="L335" s="3">
        <f>IF(J335&gt;67,K335+(J335-67)*0.2,K335-(67-J335)*0.2)</f>
        <v>9.2800000000000011</v>
      </c>
      <c r="M335" s="3">
        <f>(C335-H335)/C335*100</f>
        <v>63.679999999999993</v>
      </c>
      <c r="N335" s="3">
        <f>100-(M335+O335)</f>
        <v>17.760000000000005</v>
      </c>
      <c r="O335" s="3">
        <f>L335/C335*100</f>
        <v>18.560000000000002</v>
      </c>
      <c r="P335" s="1" t="s">
        <v>0</v>
      </c>
      <c r="Q335" s="15">
        <v>407519.34</v>
      </c>
      <c r="R335" s="15">
        <v>3659896.5</v>
      </c>
      <c r="T335">
        <v>2009033</v>
      </c>
      <c r="U335" t="s">
        <v>369</v>
      </c>
      <c r="V335">
        <v>5.6320000000000002E-2</v>
      </c>
      <c r="W335">
        <v>0.38324999999999998</v>
      </c>
      <c r="X335">
        <v>2.869E-2</v>
      </c>
      <c r="Y335">
        <v>1.3603700000000001</v>
      </c>
      <c r="Z335">
        <v>23.475549999999998</v>
      </c>
      <c r="AA335">
        <v>11.75277</v>
      </c>
      <c r="AB335">
        <v>-1.3393600000000001</v>
      </c>
      <c r="AC335" s="23">
        <v>5.3789999999999998E-2</v>
      </c>
      <c r="AD335" s="23">
        <v>0.37956000000000001</v>
      </c>
      <c r="AE335" s="23">
        <v>3.116E-2</v>
      </c>
      <c r="AF335" s="23">
        <v>1.3869100000000001</v>
      </c>
      <c r="AG335" s="23">
        <v>30.758109999999999</v>
      </c>
      <c r="AH335" s="23">
        <v>13.76342</v>
      </c>
      <c r="AI335" s="23">
        <v>-1.2996700000000001</v>
      </c>
      <c r="AJ335" s="25">
        <v>1.2815879166666666</v>
      </c>
      <c r="AK335" s="25">
        <v>0.37882383579865497</v>
      </c>
      <c r="AL335" s="25">
        <v>0.18415513267482131</v>
      </c>
      <c r="AM335" s="25">
        <v>8.3986583138693061E-2</v>
      </c>
      <c r="AN335" s="24">
        <v>1.6461168351335642</v>
      </c>
      <c r="AO335" s="23">
        <v>-99</v>
      </c>
    </row>
    <row r="336" spans="1:41" x14ac:dyDescent="0.25">
      <c r="T336">
        <v>2009033</v>
      </c>
      <c r="U336" t="s">
        <v>368</v>
      </c>
      <c r="V336">
        <v>6.2260000000000003E-2</v>
      </c>
      <c r="W336">
        <v>0.38135999999999998</v>
      </c>
      <c r="X336">
        <v>2.8060000000000002E-2</v>
      </c>
      <c r="Y336">
        <v>1.3301400000000001</v>
      </c>
      <c r="Z336">
        <v>17.519600000000001</v>
      </c>
      <c r="AA336">
        <v>9.9959500000000006</v>
      </c>
      <c r="AB336">
        <v>-1.5195799999999999</v>
      </c>
      <c r="AC336" s="23">
        <v>6.0010000000000001E-2</v>
      </c>
      <c r="AD336" s="23">
        <v>0.37656000000000001</v>
      </c>
      <c r="AE336" s="23">
        <v>2.8889999999999999E-2</v>
      </c>
      <c r="AF336" s="23">
        <v>1.3524400000000001</v>
      </c>
      <c r="AG336" s="23">
        <v>21.343330000000002</v>
      </c>
      <c r="AH336" s="23">
        <v>10.811959999999999</v>
      </c>
      <c r="AI336" s="23">
        <v>-1.4386399999999999</v>
      </c>
      <c r="AJ336" s="25">
        <v>0.88930541666666674</v>
      </c>
      <c r="AK336" s="25">
        <v>0.37588016516669903</v>
      </c>
      <c r="AL336" s="25">
        <v>0.20085754184009816</v>
      </c>
      <c r="AM336" s="25">
        <v>9.7256384602467078E-2</v>
      </c>
      <c r="AN336" s="24">
        <v>1.6539175623082476</v>
      </c>
      <c r="AO336" s="23">
        <v>-99</v>
      </c>
    </row>
    <row r="337" spans="1:41" ht="51.75" x14ac:dyDescent="0.25">
      <c r="A337" s="14" t="s">
        <v>21</v>
      </c>
      <c r="B337" s="9" t="s">
        <v>20</v>
      </c>
      <c r="C337" s="13" t="s">
        <v>19</v>
      </c>
      <c r="D337" s="12" t="s">
        <v>18</v>
      </c>
      <c r="E337" s="11" t="s">
        <v>17</v>
      </c>
      <c r="F337" s="11" t="s">
        <v>16</v>
      </c>
      <c r="G337" s="11" t="s">
        <v>15</v>
      </c>
      <c r="H337" s="11" t="s">
        <v>14</v>
      </c>
      <c r="I337" s="11" t="s">
        <v>13</v>
      </c>
      <c r="J337" s="11" t="s">
        <v>12</v>
      </c>
      <c r="K337" s="11" t="s">
        <v>11</v>
      </c>
      <c r="L337" s="11" t="s">
        <v>10</v>
      </c>
      <c r="M337" s="10" t="s">
        <v>9</v>
      </c>
      <c r="N337" s="10" t="s">
        <v>8</v>
      </c>
      <c r="O337" s="10" t="s">
        <v>7</v>
      </c>
      <c r="P337" s="9" t="s">
        <v>6</v>
      </c>
      <c r="Q337" s="19" t="s">
        <v>5</v>
      </c>
      <c r="R337" s="19"/>
      <c r="T337">
        <v>2009033</v>
      </c>
      <c r="U337" t="s">
        <v>367</v>
      </c>
      <c r="V337">
        <v>5.9420000000000001E-2</v>
      </c>
      <c r="W337">
        <v>0.38273000000000001</v>
      </c>
      <c r="X337">
        <v>2.826E-2</v>
      </c>
      <c r="Y337">
        <v>1.34605</v>
      </c>
      <c r="Z337">
        <v>20.198730000000001</v>
      </c>
      <c r="AA337">
        <v>10.797319999999999</v>
      </c>
      <c r="AB337">
        <v>-1.4185300000000001</v>
      </c>
      <c r="AC337" s="23">
        <v>5.2139999999999999E-2</v>
      </c>
      <c r="AD337" s="23">
        <v>0.37785000000000002</v>
      </c>
      <c r="AE337" s="23">
        <v>3.2280000000000003E-2</v>
      </c>
      <c r="AF337" s="23">
        <v>1.44123</v>
      </c>
      <c r="AG337" s="23">
        <v>41.157269999999997</v>
      </c>
      <c r="AH337" s="23">
        <v>15.56767</v>
      </c>
      <c r="AI337" s="23">
        <v>-1.18266</v>
      </c>
      <c r="AJ337" s="25">
        <v>1.7148862499999999</v>
      </c>
      <c r="AK337" s="25">
        <v>0.37714565295834951</v>
      </c>
      <c r="AL337" s="25">
        <v>0.16524656171455054</v>
      </c>
      <c r="AM337" s="25">
        <v>7.3426274649718751E-2</v>
      </c>
      <c r="AN337" s="24">
        <v>1.6505640196603739</v>
      </c>
      <c r="AO337" s="23">
        <v>-99</v>
      </c>
    </row>
    <row r="338" spans="1:41" x14ac:dyDescent="0.25"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1"/>
      <c r="Q338" s="5" t="s">
        <v>4</v>
      </c>
      <c r="R338" s="5" t="s">
        <v>3</v>
      </c>
      <c r="T338">
        <v>2009033</v>
      </c>
      <c r="U338" t="s">
        <v>366</v>
      </c>
      <c r="V338">
        <v>5.3789999999999998E-2</v>
      </c>
      <c r="W338">
        <v>0.37956000000000001</v>
      </c>
      <c r="X338">
        <v>3.116E-2</v>
      </c>
      <c r="Y338">
        <v>1.3869100000000001</v>
      </c>
      <c r="Z338">
        <v>30.758109999999999</v>
      </c>
      <c r="AA338">
        <v>13.76342</v>
      </c>
      <c r="AB338">
        <v>-1.2996700000000001</v>
      </c>
      <c r="AC338" s="23">
        <v>5.9459999999999999E-2</v>
      </c>
      <c r="AD338" s="23">
        <v>0.38057000000000002</v>
      </c>
      <c r="AE338" s="23">
        <v>2.8850000000000001E-2</v>
      </c>
      <c r="AF338" s="23">
        <v>1.3457399999999999</v>
      </c>
      <c r="AG338" s="23">
        <v>20.76201</v>
      </c>
      <c r="AH338" s="23">
        <v>10.9688</v>
      </c>
      <c r="AI338" s="23">
        <v>-1.4444699999999999</v>
      </c>
      <c r="AJ338" s="25">
        <v>0.86508375000000004</v>
      </c>
      <c r="AK338" s="25">
        <v>0.37987514150952534</v>
      </c>
      <c r="AL338" s="25">
        <v>0.20458548128520887</v>
      </c>
      <c r="AM338" s="25">
        <v>9.8830380665754516E-2</v>
      </c>
      <c r="AN338" s="24">
        <v>1.6433308749997577</v>
      </c>
      <c r="AO338" s="23">
        <v>-99</v>
      </c>
    </row>
    <row r="339" spans="1:41" x14ac:dyDescent="0.25">
      <c r="A339" s="4">
        <v>63</v>
      </c>
      <c r="B339">
        <v>30</v>
      </c>
      <c r="C339">
        <v>50</v>
      </c>
      <c r="D339">
        <v>20</v>
      </c>
      <c r="E339" s="3">
        <v>25</v>
      </c>
      <c r="F339" s="3">
        <f>1.8*E339+32</f>
        <v>77</v>
      </c>
      <c r="G339" s="3">
        <v>14</v>
      </c>
      <c r="H339" s="3">
        <f>IF(F339&gt;68,G339+(F339-68)*0.2,G487-(68-F339)*0.2)</f>
        <v>15.8</v>
      </c>
      <c r="I339" s="3">
        <v>23</v>
      </c>
      <c r="J339" s="3">
        <f>1.8*I339+32</f>
        <v>73.400000000000006</v>
      </c>
      <c r="K339" s="3">
        <v>7</v>
      </c>
      <c r="L339" s="3">
        <f>IF(J339&gt;67,K339+(J339-67)*0.2,K339-(67-J339)*0.2)</f>
        <v>8.2800000000000011</v>
      </c>
      <c r="M339" s="3">
        <f>(C339-H339)/C339*100</f>
        <v>68.400000000000006</v>
      </c>
      <c r="N339" s="3">
        <f>100-(M339+O339)</f>
        <v>15.039999999999992</v>
      </c>
      <c r="O339" s="3">
        <f>L339/C339*100</f>
        <v>16.560000000000002</v>
      </c>
      <c r="P339" s="1" t="s">
        <v>0</v>
      </c>
      <c r="Q339" s="15">
        <v>407519.34</v>
      </c>
      <c r="R339" s="15">
        <v>3659923</v>
      </c>
      <c r="T339">
        <v>2009033</v>
      </c>
      <c r="U339" t="s">
        <v>365</v>
      </c>
      <c r="V339">
        <v>6.0010000000000001E-2</v>
      </c>
      <c r="W339">
        <v>0.37656000000000001</v>
      </c>
      <c r="X339">
        <v>2.8889999999999999E-2</v>
      </c>
      <c r="Y339">
        <v>1.3524400000000001</v>
      </c>
      <c r="Z339">
        <v>21.343330000000002</v>
      </c>
      <c r="AA339">
        <v>10.811959999999999</v>
      </c>
      <c r="AB339">
        <v>-1.4386399999999999</v>
      </c>
      <c r="AC339" s="23">
        <v>5.5980000000000002E-2</v>
      </c>
      <c r="AD339" s="23">
        <v>0.38011</v>
      </c>
      <c r="AE339" s="23">
        <v>3.0079999999999999E-2</v>
      </c>
      <c r="AF339" s="23">
        <v>1.36714</v>
      </c>
      <c r="AG339" s="23">
        <v>25.939520000000002</v>
      </c>
      <c r="AH339" s="23">
        <v>12.47278</v>
      </c>
      <c r="AI339" s="23">
        <v>-1.3589199999999999</v>
      </c>
      <c r="AJ339" s="25">
        <v>1.0808133333333334</v>
      </c>
      <c r="AK339" s="25">
        <v>0.37939046824267242</v>
      </c>
      <c r="AL339" s="25">
        <v>0.19351764588456546</v>
      </c>
      <c r="AM339" s="25">
        <v>9.0348988785636131E-2</v>
      </c>
      <c r="AN339" s="24">
        <v>1.6446152591569181</v>
      </c>
      <c r="AO339" s="23">
        <v>-99</v>
      </c>
    </row>
    <row r="340" spans="1:41" x14ac:dyDescent="0.25">
      <c r="A340" s="4">
        <v>63</v>
      </c>
      <c r="B340">
        <v>60</v>
      </c>
      <c r="C340">
        <v>50</v>
      </c>
      <c r="D340">
        <v>20</v>
      </c>
      <c r="E340" s="3">
        <v>26</v>
      </c>
      <c r="F340" s="3">
        <f>1.8*E340+32</f>
        <v>78.800000000000011</v>
      </c>
      <c r="G340" s="3">
        <v>12</v>
      </c>
      <c r="H340" s="3">
        <f>IF(F340&gt;68,G340+(F340-68)*0.2,G488-(68-F340)*0.2)</f>
        <v>14.160000000000002</v>
      </c>
      <c r="I340" s="3">
        <v>23</v>
      </c>
      <c r="J340" s="3">
        <f>1.8*I340+32</f>
        <v>73.400000000000006</v>
      </c>
      <c r="K340" s="3">
        <v>7</v>
      </c>
      <c r="L340" s="3">
        <f>IF(J340&gt;67,K340+(J340-67)*0.2,K340-(67-J340)*0.2)</f>
        <v>8.2800000000000011</v>
      </c>
      <c r="M340" s="3">
        <f>(C340-H340)/C340*100</f>
        <v>71.679999999999993</v>
      </c>
      <c r="N340" s="3">
        <f>100-(M340+O340)</f>
        <v>11.760000000000005</v>
      </c>
      <c r="O340" s="3">
        <f>L340/C340*100</f>
        <v>16.560000000000002</v>
      </c>
      <c r="P340" s="1" t="s">
        <v>0</v>
      </c>
      <c r="Q340" s="15">
        <v>407519.34</v>
      </c>
      <c r="R340" s="15">
        <v>3659923</v>
      </c>
      <c r="T340">
        <v>2009033</v>
      </c>
      <c r="U340" t="s">
        <v>364</v>
      </c>
      <c r="V340">
        <v>5.2139999999999999E-2</v>
      </c>
      <c r="W340">
        <v>0.37785000000000002</v>
      </c>
      <c r="X340">
        <v>3.2280000000000003E-2</v>
      </c>
      <c r="Y340">
        <v>1.44123</v>
      </c>
      <c r="Z340">
        <v>41.157269999999997</v>
      </c>
      <c r="AA340">
        <v>15.56767</v>
      </c>
      <c r="AB340">
        <v>-1.18266</v>
      </c>
      <c r="AC340" s="23">
        <v>5.3109999999999997E-2</v>
      </c>
      <c r="AD340" s="23">
        <v>0.37989000000000001</v>
      </c>
      <c r="AE340" s="23">
        <v>3.1390000000000001E-2</v>
      </c>
      <c r="AF340" s="23">
        <v>1.3899699999999999</v>
      </c>
      <c r="AG340" s="23">
        <v>31.774740000000001</v>
      </c>
      <c r="AH340" s="23">
        <v>14.10591</v>
      </c>
      <c r="AI340" s="23">
        <v>-1.28752</v>
      </c>
      <c r="AJ340" s="25">
        <v>1.3239475000000001</v>
      </c>
      <c r="AK340" s="25">
        <v>0.37914764601277473</v>
      </c>
      <c r="AL340" s="25">
        <v>0.18259029024276499</v>
      </c>
      <c r="AM340" s="25">
        <v>8.2750667472799494E-2</v>
      </c>
      <c r="AN340" s="24">
        <v>1.645258738066147</v>
      </c>
      <c r="AO340" s="23">
        <v>-99</v>
      </c>
    </row>
    <row r="341" spans="1:41" x14ac:dyDescent="0.25">
      <c r="A341" s="4">
        <v>63</v>
      </c>
      <c r="B341">
        <v>90</v>
      </c>
      <c r="C341">
        <v>50</v>
      </c>
      <c r="D341">
        <v>20</v>
      </c>
      <c r="E341" s="3">
        <v>26.5</v>
      </c>
      <c r="F341" s="3">
        <f>1.8*E341+32</f>
        <v>79.7</v>
      </c>
      <c r="G341" s="3">
        <v>21</v>
      </c>
      <c r="H341" s="3">
        <f>IF(F341&gt;68,G341+(F341-68)*0.2,G489-(68-F341)*0.2)</f>
        <v>23.34</v>
      </c>
      <c r="I341" s="3">
        <v>23</v>
      </c>
      <c r="J341" s="3">
        <f>1.8*I341+32</f>
        <v>73.400000000000006</v>
      </c>
      <c r="K341" s="3">
        <v>13</v>
      </c>
      <c r="L341" s="3">
        <f>IF(J341&gt;67,K341+(J341-67)*0.2,K341-(67-J341)*0.2)</f>
        <v>14.280000000000001</v>
      </c>
      <c r="M341" s="3">
        <f>(C341-H341)/C341*100</f>
        <v>53.32</v>
      </c>
      <c r="N341" s="3">
        <f>100-(M341+O341)</f>
        <v>18.120000000000005</v>
      </c>
      <c r="O341" s="3">
        <f>L341/C341*100</f>
        <v>28.560000000000002</v>
      </c>
      <c r="P341" s="1" t="s">
        <v>2</v>
      </c>
      <c r="Q341" s="15">
        <v>407519.34</v>
      </c>
      <c r="R341" s="15">
        <v>3659923</v>
      </c>
      <c r="T341">
        <v>2009033</v>
      </c>
      <c r="U341" t="s">
        <v>363</v>
      </c>
      <c r="V341">
        <v>5.9459999999999999E-2</v>
      </c>
      <c r="W341">
        <v>0.38057000000000002</v>
      </c>
      <c r="X341">
        <v>2.8850000000000001E-2</v>
      </c>
      <c r="Y341">
        <v>1.3457399999999999</v>
      </c>
      <c r="Z341">
        <v>20.76201</v>
      </c>
      <c r="AA341">
        <v>10.9688</v>
      </c>
      <c r="AB341">
        <v>-1.4444699999999999</v>
      </c>
      <c r="AC341" s="23">
        <v>4.8910000000000002E-2</v>
      </c>
      <c r="AD341" s="23">
        <v>0.38351000000000002</v>
      </c>
      <c r="AE341" s="23">
        <v>3.1009999999999999E-2</v>
      </c>
      <c r="AF341" s="23">
        <v>1.39036</v>
      </c>
      <c r="AG341" s="23">
        <v>33.444299999999998</v>
      </c>
      <c r="AH341" s="23">
        <v>15.002470000000001</v>
      </c>
      <c r="AI341" s="23">
        <v>-1.2185600000000001</v>
      </c>
      <c r="AJ341" s="25">
        <v>1.3935124999999999</v>
      </c>
      <c r="AK341" s="25">
        <v>0.3827630465707374</v>
      </c>
      <c r="AL341" s="25">
        <v>0.18197552187430255</v>
      </c>
      <c r="AM341" s="25">
        <v>7.933149067703249E-2</v>
      </c>
      <c r="AN341" s="24">
        <v>1.6356779265875456</v>
      </c>
      <c r="AO341" s="23">
        <v>-99</v>
      </c>
    </row>
    <row r="342" spans="1:41" x14ac:dyDescent="0.25">
      <c r="A342" s="4">
        <v>63</v>
      </c>
      <c r="B342">
        <v>120</v>
      </c>
      <c r="C342">
        <v>50</v>
      </c>
      <c r="D342">
        <v>20</v>
      </c>
      <c r="E342" s="3">
        <v>26.5</v>
      </c>
      <c r="F342" s="3">
        <f>1.8*E342+32</f>
        <v>79.7</v>
      </c>
      <c r="G342" s="3">
        <v>24</v>
      </c>
      <c r="H342" s="3">
        <f>IF(F342&gt;68,G342+(F342-68)*0.2,G490-(68-F342)*0.2)</f>
        <v>26.34</v>
      </c>
      <c r="I342" s="3">
        <v>23</v>
      </c>
      <c r="J342" s="3">
        <f>1.8*I342+32</f>
        <v>73.400000000000006</v>
      </c>
      <c r="K342" s="3">
        <v>14</v>
      </c>
      <c r="L342" s="3">
        <f>IF(J342&gt;67,K342+(J342-67)*0.2,K342-(67-J342)*0.2)</f>
        <v>15.280000000000001</v>
      </c>
      <c r="M342" s="3">
        <f>(C342-H342)/C342*100</f>
        <v>47.32</v>
      </c>
      <c r="N342" s="3">
        <f>100-(M342+O342)</f>
        <v>22.120000000000005</v>
      </c>
      <c r="O342" s="3">
        <f>L342/C342*100</f>
        <v>30.560000000000002</v>
      </c>
      <c r="P342" s="1" t="s">
        <v>2</v>
      </c>
      <c r="Q342" s="15">
        <v>407519.34</v>
      </c>
      <c r="R342" s="15">
        <v>3659923</v>
      </c>
      <c r="T342">
        <v>2009033</v>
      </c>
      <c r="U342" t="s">
        <v>362</v>
      </c>
      <c r="V342">
        <v>5.5980000000000002E-2</v>
      </c>
      <c r="W342">
        <v>0.38011</v>
      </c>
      <c r="X342">
        <v>3.0079999999999999E-2</v>
      </c>
      <c r="Y342">
        <v>1.36714</v>
      </c>
      <c r="Z342">
        <v>25.939520000000002</v>
      </c>
      <c r="AA342">
        <v>12.47278</v>
      </c>
      <c r="AB342">
        <v>-1.3589199999999999</v>
      </c>
      <c r="AC342" s="23">
        <v>5.5669999999999997E-2</v>
      </c>
      <c r="AD342" s="23">
        <v>0.38308999999999999</v>
      </c>
      <c r="AE342" s="23">
        <v>2.894E-2</v>
      </c>
      <c r="AF342" s="23">
        <v>1.3630800000000001</v>
      </c>
      <c r="AG342" s="23">
        <v>24.336760000000002</v>
      </c>
      <c r="AH342" s="23">
        <v>12.022930000000001</v>
      </c>
      <c r="AI342" s="23">
        <v>-1.32968</v>
      </c>
      <c r="AJ342" s="25">
        <v>1.0140316666666667</v>
      </c>
      <c r="AK342" s="25">
        <v>0.38239610407695618</v>
      </c>
      <c r="AL342" s="25">
        <v>0.19780424923204604</v>
      </c>
      <c r="AM342" s="25">
        <v>9.1762729830401887E-2</v>
      </c>
      <c r="AN342" s="24">
        <v>1.6366503241960662</v>
      </c>
      <c r="AO342" s="23">
        <v>-99</v>
      </c>
    </row>
    <row r="343" spans="1:41" x14ac:dyDescent="0.25">
      <c r="A343" s="4">
        <v>63</v>
      </c>
      <c r="B343">
        <v>150</v>
      </c>
      <c r="C343">
        <v>50</v>
      </c>
      <c r="D343">
        <v>20</v>
      </c>
      <c r="E343" s="3">
        <v>22.5</v>
      </c>
      <c r="F343" s="3">
        <f>1.8*E343+32</f>
        <v>72.5</v>
      </c>
      <c r="G343" s="3">
        <v>17</v>
      </c>
      <c r="H343" s="3">
        <f>IF(F343&gt;68,G343+(F343-68)*0.2,G491-(68-F343)*0.2)</f>
        <v>17.899999999999999</v>
      </c>
      <c r="I343" s="3">
        <v>22</v>
      </c>
      <c r="J343" s="3">
        <f>1.8*I343+32</f>
        <v>71.599999999999994</v>
      </c>
      <c r="K343" s="3">
        <v>8</v>
      </c>
      <c r="L343" s="3">
        <f>IF(J343&gt;67,K343+(J343-67)*0.2,K343-(67-J343)*0.2)</f>
        <v>8.9199999999999982</v>
      </c>
      <c r="M343" s="3">
        <f>(C343-H343)/C343*100</f>
        <v>64.2</v>
      </c>
      <c r="N343" s="3">
        <f>100-(M343+O343)</f>
        <v>17.960000000000008</v>
      </c>
      <c r="O343" s="3">
        <f>L343/C343*100</f>
        <v>17.839999999999996</v>
      </c>
      <c r="P343" s="1" t="s">
        <v>0</v>
      </c>
      <c r="Q343" s="15">
        <v>407519.34</v>
      </c>
      <c r="R343" s="15">
        <v>3659923</v>
      </c>
      <c r="T343">
        <v>2009033</v>
      </c>
      <c r="U343" t="s">
        <v>361</v>
      </c>
      <c r="V343">
        <v>5.3109999999999997E-2</v>
      </c>
      <c r="W343">
        <v>0.37989000000000001</v>
      </c>
      <c r="X343">
        <v>3.1390000000000001E-2</v>
      </c>
      <c r="Y343">
        <v>1.3899699999999999</v>
      </c>
      <c r="Z343">
        <v>31.774740000000001</v>
      </c>
      <c r="AA343">
        <v>14.10591</v>
      </c>
      <c r="AB343">
        <v>-1.28752</v>
      </c>
      <c r="AC343" s="23">
        <v>5.2260000000000001E-2</v>
      </c>
      <c r="AD343" s="23">
        <v>0.38551999999999997</v>
      </c>
      <c r="AE343" s="23">
        <v>2.7470000000000001E-2</v>
      </c>
      <c r="AF343" s="23">
        <v>1.3772200000000001</v>
      </c>
      <c r="AG343" s="23">
        <v>26.231639999999999</v>
      </c>
      <c r="AH343" s="23">
        <v>12.155519999999999</v>
      </c>
      <c r="AI343" s="23">
        <v>-1.19713</v>
      </c>
      <c r="AJ343" s="25">
        <v>1.0929849999999999</v>
      </c>
      <c r="AK343" s="25">
        <v>0.38487673876529349</v>
      </c>
      <c r="AL343" s="25">
        <v>0.19503363500500623</v>
      </c>
      <c r="AM343" s="25">
        <v>8.6642860033205246E-2</v>
      </c>
      <c r="AN343" s="24">
        <v>1.6300766422719721</v>
      </c>
      <c r="AO343" s="23">
        <v>-99</v>
      </c>
    </row>
    <row r="344" spans="1:41" x14ac:dyDescent="0.25">
      <c r="A344" s="4">
        <v>63</v>
      </c>
      <c r="B344">
        <v>180</v>
      </c>
      <c r="C344">
        <v>50</v>
      </c>
      <c r="D344">
        <v>20</v>
      </c>
      <c r="E344" s="3">
        <v>22.5</v>
      </c>
      <c r="F344" s="3">
        <f>1.8*E344+32</f>
        <v>72.5</v>
      </c>
      <c r="G344" s="3">
        <v>18</v>
      </c>
      <c r="H344" s="3">
        <f>IF(F344&gt;68,G344+(F344-68)*0.2,G492-(68-F344)*0.2)</f>
        <v>18.899999999999999</v>
      </c>
      <c r="I344" s="3">
        <v>22</v>
      </c>
      <c r="J344" s="3">
        <f>1.8*I344+32</f>
        <v>71.599999999999994</v>
      </c>
      <c r="K344" s="3">
        <v>10</v>
      </c>
      <c r="L344" s="3">
        <f>IF(J344&gt;67,K344+(J344-67)*0.2,K344-(67-J344)*0.2)</f>
        <v>10.919999999999998</v>
      </c>
      <c r="M344" s="3">
        <f>(C344-H344)/C344*100</f>
        <v>62.2</v>
      </c>
      <c r="N344" s="3">
        <f>100-(M344+O344)</f>
        <v>15.960000000000008</v>
      </c>
      <c r="O344" s="3">
        <f>L344/C344*100</f>
        <v>21.839999999999996</v>
      </c>
      <c r="P344" s="1" t="s">
        <v>2</v>
      </c>
      <c r="Q344" s="15">
        <v>407519.34</v>
      </c>
      <c r="R344" s="15">
        <v>3659923</v>
      </c>
      <c r="T344">
        <v>2009033</v>
      </c>
      <c r="U344" t="s">
        <v>360</v>
      </c>
      <c r="V344">
        <v>4.8910000000000002E-2</v>
      </c>
      <c r="W344">
        <v>0.38351000000000002</v>
      </c>
      <c r="X344">
        <v>3.1009999999999999E-2</v>
      </c>
      <c r="Y344">
        <v>1.39036</v>
      </c>
      <c r="Z344">
        <v>33.444299999999998</v>
      </c>
      <c r="AA344">
        <v>15.002470000000001</v>
      </c>
      <c r="AB344">
        <v>-1.2185600000000001</v>
      </c>
      <c r="AC344" s="23">
        <v>5.5739999999999998E-2</v>
      </c>
      <c r="AD344" s="23">
        <v>0.38195000000000001</v>
      </c>
      <c r="AE344" s="23">
        <v>2.9510000000000002E-2</v>
      </c>
      <c r="AF344" s="23">
        <v>1.3636699999999999</v>
      </c>
      <c r="AG344" s="23">
        <v>24.99531</v>
      </c>
      <c r="AH344" s="23">
        <v>12.261100000000001</v>
      </c>
      <c r="AI344" s="23">
        <v>-1.34738</v>
      </c>
      <c r="AJ344" s="25">
        <v>1.0414712500000001</v>
      </c>
      <c r="AK344" s="25">
        <v>0.38124076137866691</v>
      </c>
      <c r="AL344" s="25">
        <v>0.19620327258263248</v>
      </c>
      <c r="AM344" s="25">
        <v>9.1317540752588078E-2</v>
      </c>
      <c r="AN344" s="24">
        <v>1.6397119823465327</v>
      </c>
      <c r="AO344" s="23">
        <v>-99</v>
      </c>
    </row>
    <row r="345" spans="1:41" x14ac:dyDescent="0.25">
      <c r="A345" s="4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1"/>
      <c r="T345">
        <v>2009033</v>
      </c>
      <c r="U345" t="s">
        <v>359</v>
      </c>
      <c r="V345">
        <v>5.5669999999999997E-2</v>
      </c>
      <c r="W345">
        <v>0.38308999999999999</v>
      </c>
      <c r="X345">
        <v>2.894E-2</v>
      </c>
      <c r="Y345">
        <v>1.3630800000000001</v>
      </c>
      <c r="Z345">
        <v>24.336760000000002</v>
      </c>
      <c r="AA345">
        <v>12.022930000000001</v>
      </c>
      <c r="AB345">
        <v>-1.32968</v>
      </c>
      <c r="AC345" s="23">
        <v>5.1069999999999997E-2</v>
      </c>
      <c r="AD345" s="23">
        <v>0.38063000000000002</v>
      </c>
      <c r="AE345" s="23">
        <v>3.2199999999999999E-2</v>
      </c>
      <c r="AF345" s="23">
        <v>1.40127</v>
      </c>
      <c r="AG345" s="23">
        <v>35.288049999999998</v>
      </c>
      <c r="AH345" s="23">
        <v>15.261559999999999</v>
      </c>
      <c r="AI345" s="23">
        <v>-1.2491399999999999</v>
      </c>
      <c r="AJ345" s="25">
        <v>1.4703354166666667</v>
      </c>
      <c r="AK345" s="25">
        <v>0.37986845631655669</v>
      </c>
      <c r="AL345" s="25">
        <v>0.17699380428891912</v>
      </c>
      <c r="AM345" s="25">
        <v>7.8671041186628154E-2</v>
      </c>
      <c r="AN345" s="24">
        <v>1.6433485907611249</v>
      </c>
      <c r="AO345" s="23">
        <v>-99</v>
      </c>
    </row>
    <row r="346" spans="1:41" ht="51.75" x14ac:dyDescent="0.25">
      <c r="A346" s="14" t="s">
        <v>21</v>
      </c>
      <c r="B346" s="9" t="s">
        <v>20</v>
      </c>
      <c r="C346" s="13" t="s">
        <v>19</v>
      </c>
      <c r="D346" s="12" t="s">
        <v>18</v>
      </c>
      <c r="E346" s="11" t="s">
        <v>17</v>
      </c>
      <c r="F346" s="11" t="s">
        <v>16</v>
      </c>
      <c r="G346" s="11" t="s">
        <v>15</v>
      </c>
      <c r="H346" s="11" t="s">
        <v>14</v>
      </c>
      <c r="I346" s="11" t="s">
        <v>13</v>
      </c>
      <c r="J346" s="11" t="s">
        <v>12</v>
      </c>
      <c r="K346" s="11" t="s">
        <v>11</v>
      </c>
      <c r="L346" s="11" t="s">
        <v>10</v>
      </c>
      <c r="M346" s="10" t="s">
        <v>9</v>
      </c>
      <c r="N346" s="10" t="s">
        <v>8</v>
      </c>
      <c r="O346" s="10" t="s">
        <v>7</v>
      </c>
      <c r="P346" s="9" t="s">
        <v>6</v>
      </c>
      <c r="Q346" s="19" t="s">
        <v>5</v>
      </c>
      <c r="R346" s="19"/>
      <c r="T346">
        <v>2009033</v>
      </c>
      <c r="U346" t="s">
        <v>358</v>
      </c>
      <c r="V346">
        <v>5.2260000000000001E-2</v>
      </c>
      <c r="W346">
        <v>0.38551999999999997</v>
      </c>
      <c r="X346">
        <v>2.7470000000000001E-2</v>
      </c>
      <c r="Y346">
        <v>1.3772200000000001</v>
      </c>
      <c r="Z346">
        <v>26.231639999999999</v>
      </c>
      <c r="AA346">
        <v>12.155519999999999</v>
      </c>
      <c r="AB346">
        <v>-1.19713</v>
      </c>
      <c r="AC346" s="23">
        <v>5.5050000000000002E-2</v>
      </c>
      <c r="AD346" s="23">
        <v>0.37745000000000001</v>
      </c>
      <c r="AE346" s="23">
        <v>3.083E-2</v>
      </c>
      <c r="AF346" s="23">
        <v>1.39632</v>
      </c>
      <c r="AG346" s="23">
        <v>31.048290000000001</v>
      </c>
      <c r="AH346" s="23">
        <v>13.350809999999999</v>
      </c>
      <c r="AI346" s="23">
        <v>-1.2870600000000001</v>
      </c>
      <c r="AJ346" s="25">
        <v>1.29367875</v>
      </c>
      <c r="AK346" s="25">
        <v>0.37674299530194427</v>
      </c>
      <c r="AL346" s="25">
        <v>0.18177702705895232</v>
      </c>
      <c r="AM346" s="25">
        <v>8.3373905816402777E-2</v>
      </c>
      <c r="AN346" s="24">
        <v>1.6516310624498476</v>
      </c>
      <c r="AO346" s="23">
        <v>-99</v>
      </c>
    </row>
    <row r="347" spans="1:41" x14ac:dyDescent="0.25">
      <c r="C347" s="16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1"/>
      <c r="Q347" s="5" t="s">
        <v>4</v>
      </c>
      <c r="R347" s="5" t="s">
        <v>3</v>
      </c>
      <c r="T347">
        <v>2009033</v>
      </c>
      <c r="U347" t="s">
        <v>357</v>
      </c>
      <c r="V347">
        <v>5.5739999999999998E-2</v>
      </c>
      <c r="W347">
        <v>0.38195000000000001</v>
      </c>
      <c r="X347">
        <v>2.9510000000000002E-2</v>
      </c>
      <c r="Y347">
        <v>1.3636699999999999</v>
      </c>
      <c r="Z347">
        <v>24.99531</v>
      </c>
      <c r="AA347">
        <v>12.261100000000001</v>
      </c>
      <c r="AB347">
        <v>-1.34738</v>
      </c>
      <c r="AC347" s="23">
        <v>5.389E-2</v>
      </c>
      <c r="AD347" s="23">
        <v>0.38127</v>
      </c>
      <c r="AE347" s="23">
        <v>3.049E-2</v>
      </c>
      <c r="AF347" s="23">
        <v>1.3752599999999999</v>
      </c>
      <c r="AG347" s="23">
        <v>28.382339999999999</v>
      </c>
      <c r="AH347" s="23">
        <v>13.284750000000001</v>
      </c>
      <c r="AI347" s="23">
        <v>-1.3148500000000001</v>
      </c>
      <c r="AJ347" s="25">
        <v>1.1825975</v>
      </c>
      <c r="AK347" s="25">
        <v>0.38053876702189332</v>
      </c>
      <c r="AL347" s="25">
        <v>0.18957195674720437</v>
      </c>
      <c r="AM347" s="25">
        <v>8.675557332978312E-2</v>
      </c>
      <c r="AN347" s="24">
        <v>1.6415722673919826</v>
      </c>
      <c r="AO347" s="23">
        <v>-99</v>
      </c>
    </row>
    <row r="348" spans="1:41" x14ac:dyDescent="0.25">
      <c r="A348" s="4">
        <v>64</v>
      </c>
      <c r="B348">
        <v>30</v>
      </c>
      <c r="C348" s="16">
        <v>50</v>
      </c>
      <c r="D348">
        <v>20</v>
      </c>
      <c r="E348" s="3">
        <v>22.5</v>
      </c>
      <c r="F348" s="3">
        <f>1.8*E348+32</f>
        <v>72.5</v>
      </c>
      <c r="G348" s="3">
        <v>15</v>
      </c>
      <c r="H348" s="3">
        <f>IF(F348&gt;68,G348+(F348-68)*0.2,G495-(68-F348)*0.2)</f>
        <v>15.9</v>
      </c>
      <c r="I348" s="3">
        <v>22</v>
      </c>
      <c r="J348" s="3">
        <f>1.8*I348+32</f>
        <v>71.599999999999994</v>
      </c>
      <c r="K348" s="3">
        <v>7</v>
      </c>
      <c r="L348" s="3">
        <f>IF(J348&gt;68,K348+(J348-68)*0.2,K348-(68-J348)*0.2)</f>
        <v>7.7199999999999989</v>
      </c>
      <c r="M348" s="3">
        <f>(C348-H348)/C348*100</f>
        <v>68.2</v>
      </c>
      <c r="N348" s="3">
        <f>100-(M348+O348)</f>
        <v>16.36</v>
      </c>
      <c r="O348" s="3">
        <f>L348/C348*100</f>
        <v>15.439999999999998</v>
      </c>
      <c r="P348" s="1" t="s">
        <v>0</v>
      </c>
      <c r="Q348" s="15">
        <v>407519.34</v>
      </c>
      <c r="R348" s="15">
        <v>3659949.5</v>
      </c>
      <c r="T348">
        <v>2009033</v>
      </c>
      <c r="U348" t="s">
        <v>356</v>
      </c>
      <c r="V348">
        <v>5.1069999999999997E-2</v>
      </c>
      <c r="W348">
        <v>0.38063000000000002</v>
      </c>
      <c r="X348">
        <v>3.2199999999999999E-2</v>
      </c>
      <c r="Y348">
        <v>1.40127</v>
      </c>
      <c r="Z348">
        <v>35.288049999999998</v>
      </c>
      <c r="AA348">
        <v>15.261559999999999</v>
      </c>
      <c r="AB348">
        <v>-1.2491399999999999</v>
      </c>
      <c r="AC348" s="23">
        <v>5.6390000000000003E-2</v>
      </c>
      <c r="AD348" s="23">
        <v>0.38173000000000001</v>
      </c>
      <c r="AE348" s="23">
        <v>2.9399999999999999E-2</v>
      </c>
      <c r="AF348" s="23">
        <v>1.3608199999999999</v>
      </c>
      <c r="AG348" s="23">
        <v>24.259440000000001</v>
      </c>
      <c r="AH348" s="23">
        <v>12.03637</v>
      </c>
      <c r="AI348" s="23">
        <v>-1.3627400000000001</v>
      </c>
      <c r="AJ348" s="25">
        <v>1.01081</v>
      </c>
      <c r="AK348" s="25">
        <v>0.38102324415406508</v>
      </c>
      <c r="AL348" s="25">
        <v>0.19757498152794162</v>
      </c>
      <c r="AM348" s="25">
        <v>9.254281476651062E-2</v>
      </c>
      <c r="AN348" s="24">
        <v>1.6402884029917275</v>
      </c>
      <c r="AO348" s="23">
        <v>-99</v>
      </c>
    </row>
    <row r="349" spans="1:41" x14ac:dyDescent="0.25">
      <c r="A349" s="4">
        <v>64</v>
      </c>
      <c r="B349">
        <v>60</v>
      </c>
      <c r="C349" s="16">
        <v>50</v>
      </c>
      <c r="D349">
        <v>20</v>
      </c>
      <c r="E349" s="3">
        <v>25.5</v>
      </c>
      <c r="F349" s="3">
        <f>1.8*E349+32</f>
        <v>77.900000000000006</v>
      </c>
      <c r="G349" s="3">
        <v>12</v>
      </c>
      <c r="H349" s="3">
        <f>IF(F349&gt;68,G349+(F349-68)*0.2,G496-(68-F349)*0.2)</f>
        <v>13.98</v>
      </c>
      <c r="I349" s="3">
        <v>23</v>
      </c>
      <c r="J349" s="3">
        <f>1.8*I349+32</f>
        <v>73.400000000000006</v>
      </c>
      <c r="K349" s="3">
        <v>7</v>
      </c>
      <c r="L349" s="3">
        <f>IF(J349&gt;68,K349+(J349-68)*0.2,K349-(68-J349)*0.2)</f>
        <v>8.0800000000000018</v>
      </c>
      <c r="M349" s="3">
        <f>(C349-H349)/C349*100</f>
        <v>72.039999999999992</v>
      </c>
      <c r="N349" s="3">
        <f>100-(M349+O349)</f>
        <v>11.800000000000011</v>
      </c>
      <c r="O349" s="3">
        <f>L349/C349*100</f>
        <v>16.160000000000004</v>
      </c>
      <c r="P349" s="1" t="s">
        <v>0</v>
      </c>
      <c r="Q349" s="15">
        <v>407519.34</v>
      </c>
      <c r="R349" s="15">
        <v>3659949.5</v>
      </c>
      <c r="T349">
        <v>2009033</v>
      </c>
      <c r="U349" t="s">
        <v>355</v>
      </c>
      <c r="V349">
        <v>5.5050000000000002E-2</v>
      </c>
      <c r="W349">
        <v>0.37745000000000001</v>
      </c>
      <c r="X349">
        <v>3.083E-2</v>
      </c>
      <c r="Y349">
        <v>1.39632</v>
      </c>
      <c r="Z349">
        <v>31.048290000000001</v>
      </c>
      <c r="AA349">
        <v>13.350809999999999</v>
      </c>
      <c r="AB349">
        <v>-1.2870600000000001</v>
      </c>
      <c r="AC349" s="23">
        <v>4.1059999999999999E-2</v>
      </c>
      <c r="AD349" s="23">
        <v>0.38468000000000002</v>
      </c>
      <c r="AE349" s="23">
        <v>3.8309999999999997E-2</v>
      </c>
      <c r="AF349" s="23">
        <v>1.49393</v>
      </c>
      <c r="AG349" s="23">
        <v>59.638820000000003</v>
      </c>
      <c r="AH349" s="23">
        <v>24.963560000000001</v>
      </c>
      <c r="AI349" s="23">
        <v>-1.0581199999999999</v>
      </c>
      <c r="AJ349" s="25">
        <v>2.4849508333333334</v>
      </c>
      <c r="AK349" s="25">
        <v>0.38381547280060846</v>
      </c>
      <c r="AL349" s="25">
        <v>0.1380544714284849</v>
      </c>
      <c r="AM349" s="25">
        <v>5.5957571336728879E-2</v>
      </c>
      <c r="AN349" s="24">
        <v>1.6328889970783875</v>
      </c>
      <c r="AO349" s="23">
        <v>-99</v>
      </c>
    </row>
    <row r="350" spans="1:41" x14ac:dyDescent="0.25">
      <c r="A350" s="4">
        <v>64</v>
      </c>
      <c r="B350">
        <v>90</v>
      </c>
      <c r="C350" s="16">
        <v>50</v>
      </c>
      <c r="D350">
        <v>20</v>
      </c>
      <c r="E350" s="3">
        <v>25</v>
      </c>
      <c r="F350" s="3">
        <f>1.8*E350+32</f>
        <v>77</v>
      </c>
      <c r="G350" s="3">
        <v>14</v>
      </c>
      <c r="H350" s="3">
        <f>IF(F350&gt;68,G350+(F350-68)*0.2,G497-(68-F350)*0.2)</f>
        <v>15.8</v>
      </c>
      <c r="I350" s="3">
        <v>23</v>
      </c>
      <c r="J350" s="3">
        <f>1.8*I350+32</f>
        <v>73.400000000000006</v>
      </c>
      <c r="K350" s="3">
        <v>7</v>
      </c>
      <c r="L350" s="3">
        <f>IF(J350&gt;68,K350+(J350-68)*0.2,K350-(68-J350)*0.2)</f>
        <v>8.0800000000000018</v>
      </c>
      <c r="M350" s="3">
        <f>(C350-H350)/C350*100</f>
        <v>68.400000000000006</v>
      </c>
      <c r="N350" s="3">
        <f>100-(M350+O350)</f>
        <v>15.439999999999998</v>
      </c>
      <c r="O350" s="3">
        <f>L350/C350*100</f>
        <v>16.160000000000004</v>
      </c>
      <c r="P350" s="1" t="s">
        <v>0</v>
      </c>
      <c r="Q350" s="15">
        <v>407519.34</v>
      </c>
      <c r="R350" s="15">
        <v>3659949.5</v>
      </c>
      <c r="T350">
        <v>2009033</v>
      </c>
      <c r="U350" t="s">
        <v>354</v>
      </c>
      <c r="V350">
        <v>5.389E-2</v>
      </c>
      <c r="W350">
        <v>0.38127</v>
      </c>
      <c r="X350">
        <v>3.049E-2</v>
      </c>
      <c r="Y350">
        <v>1.3752599999999999</v>
      </c>
      <c r="Z350">
        <v>28.382339999999999</v>
      </c>
      <c r="AA350">
        <v>13.284750000000001</v>
      </c>
      <c r="AB350">
        <v>-1.3148500000000001</v>
      </c>
      <c r="AC350" s="23">
        <v>5.6419999999999998E-2</v>
      </c>
      <c r="AD350" s="23">
        <v>0.38139000000000001</v>
      </c>
      <c r="AE350" s="23">
        <v>2.9520000000000001E-2</v>
      </c>
      <c r="AF350" s="23">
        <v>1.36117</v>
      </c>
      <c r="AG350" s="23">
        <v>24.420860000000001</v>
      </c>
      <c r="AH350" s="23">
        <v>12.08179</v>
      </c>
      <c r="AI350" s="23">
        <v>-1.3661300000000001</v>
      </c>
      <c r="AJ350" s="25">
        <v>1.0175358333333333</v>
      </c>
      <c r="AK350" s="25">
        <v>0.38068050976720336</v>
      </c>
      <c r="AL350" s="25">
        <v>0.19713367027829296</v>
      </c>
      <c r="AM350" s="25">
        <v>9.2401863686514402E-2</v>
      </c>
      <c r="AN350" s="24">
        <v>1.641196649116911</v>
      </c>
      <c r="AO350" s="23">
        <v>-99</v>
      </c>
    </row>
    <row r="351" spans="1:41" x14ac:dyDescent="0.25">
      <c r="A351" s="4">
        <v>64</v>
      </c>
      <c r="B351">
        <v>120</v>
      </c>
      <c r="C351" s="16">
        <v>50</v>
      </c>
      <c r="D351">
        <v>20</v>
      </c>
      <c r="E351" s="3">
        <v>25</v>
      </c>
      <c r="F351" s="3">
        <f>1.8*E351+32</f>
        <v>77</v>
      </c>
      <c r="G351" s="3">
        <v>17</v>
      </c>
      <c r="H351" s="3">
        <f>IF(F351&gt;68,G351+(F351-68)*0.2,G499-(68-F351)*0.2)</f>
        <v>18.8</v>
      </c>
      <c r="I351" s="3">
        <v>23</v>
      </c>
      <c r="J351" s="3">
        <f>1.8*I351+32</f>
        <v>73.400000000000006</v>
      </c>
      <c r="K351" s="3">
        <v>10</v>
      </c>
      <c r="L351" s="3">
        <f>IF(J351&gt;68,K351+(J351-68)*0.2,K351-(68-J351)*0.2)</f>
        <v>11.080000000000002</v>
      </c>
      <c r="M351" s="3">
        <f>(C351-H351)/C351*100</f>
        <v>62.4</v>
      </c>
      <c r="N351" s="3">
        <f>100-(M351+O351)</f>
        <v>15.439999999999998</v>
      </c>
      <c r="O351" s="3">
        <f>L351/C351*100</f>
        <v>22.160000000000004</v>
      </c>
      <c r="P351" s="1" t="s">
        <v>2</v>
      </c>
      <c r="Q351" s="15">
        <v>407519.34</v>
      </c>
      <c r="R351" s="15">
        <v>3659949.5</v>
      </c>
      <c r="T351">
        <v>2009033</v>
      </c>
      <c r="U351" t="s">
        <v>353</v>
      </c>
      <c r="V351">
        <v>5.6390000000000003E-2</v>
      </c>
      <c r="W351">
        <v>0.38173000000000001</v>
      </c>
      <c r="X351">
        <v>2.9399999999999999E-2</v>
      </c>
      <c r="Y351">
        <v>1.3608199999999999</v>
      </c>
      <c r="Z351">
        <v>24.259440000000001</v>
      </c>
      <c r="AA351">
        <v>12.03637</v>
      </c>
      <c r="AB351">
        <v>-1.3627400000000001</v>
      </c>
      <c r="AC351" s="23">
        <v>5.6680000000000001E-2</v>
      </c>
      <c r="AD351" s="23">
        <v>0.37947999999999998</v>
      </c>
      <c r="AE351" s="23">
        <v>2.9950000000000001E-2</v>
      </c>
      <c r="AF351" s="23">
        <v>1.36503</v>
      </c>
      <c r="AG351" s="23">
        <v>25.233180000000001</v>
      </c>
      <c r="AH351" s="23">
        <v>12.215730000000001</v>
      </c>
      <c r="AI351" s="23">
        <v>-1.3731</v>
      </c>
      <c r="AJ351" s="25">
        <v>1.0513825000000001</v>
      </c>
      <c r="AK351" s="25">
        <v>0.37876538227570361</v>
      </c>
      <c r="AL351" s="25">
        <v>0.19452878973312537</v>
      </c>
      <c r="AM351" s="25">
        <v>9.1407057857838009E-2</v>
      </c>
      <c r="AN351" s="24">
        <v>1.6462717369693856</v>
      </c>
      <c r="AO351" s="23">
        <v>-99</v>
      </c>
    </row>
    <row r="352" spans="1:41" x14ac:dyDescent="0.25">
      <c r="A352" s="4">
        <v>64</v>
      </c>
      <c r="B352">
        <v>150</v>
      </c>
      <c r="C352" s="16">
        <v>50</v>
      </c>
      <c r="D352">
        <v>20</v>
      </c>
      <c r="E352" s="3">
        <v>26</v>
      </c>
      <c r="F352" s="3">
        <f>1.8*E352+32</f>
        <v>78.800000000000011</v>
      </c>
      <c r="G352" s="3">
        <v>14</v>
      </c>
      <c r="H352" s="3">
        <f>IF(F352&gt;68,G352+(F352-68)*0.2,G500-(68-F352)*0.2)</f>
        <v>16.160000000000004</v>
      </c>
      <c r="I352" s="3">
        <v>23</v>
      </c>
      <c r="J352" s="3">
        <f>1.8*I352+32</f>
        <v>73.400000000000006</v>
      </c>
      <c r="K352" s="3">
        <v>8</v>
      </c>
      <c r="L352" s="3">
        <f>IF(J352&gt;68,K352+(J352-68)*0.2,K352-(68-J352)*0.2)</f>
        <v>9.0800000000000018</v>
      </c>
      <c r="M352" s="3">
        <f>(C352-H352)/C352*100</f>
        <v>67.679999999999993</v>
      </c>
      <c r="N352" s="3">
        <f>100-(M352+O352)</f>
        <v>14.159999999999997</v>
      </c>
      <c r="O352" s="3">
        <f>L352/C352*100</f>
        <v>18.160000000000004</v>
      </c>
      <c r="P352" s="1" t="s">
        <v>0</v>
      </c>
      <c r="Q352" s="15">
        <v>407519.34</v>
      </c>
      <c r="R352" s="15">
        <v>3659949.5</v>
      </c>
      <c r="T352">
        <v>2009033</v>
      </c>
      <c r="U352" t="s">
        <v>352</v>
      </c>
      <c r="V352">
        <v>4.1059999999999999E-2</v>
      </c>
      <c r="W352">
        <v>0.38468000000000002</v>
      </c>
      <c r="X352">
        <v>3.8309999999999997E-2</v>
      </c>
      <c r="Y352">
        <v>1.49393</v>
      </c>
      <c r="Z352">
        <v>59.638820000000003</v>
      </c>
      <c r="AA352">
        <v>24.963560000000001</v>
      </c>
      <c r="AB352">
        <v>-1.0581199999999999</v>
      </c>
      <c r="AC352" s="23">
        <v>5.7149999999999999E-2</v>
      </c>
      <c r="AD352" s="23">
        <v>0.3775</v>
      </c>
      <c r="AE352" s="23">
        <v>2.9950000000000001E-2</v>
      </c>
      <c r="AF352" s="23">
        <v>1.37242</v>
      </c>
      <c r="AG352" s="23">
        <v>25.89659</v>
      </c>
      <c r="AH352" s="23">
        <v>12.1379</v>
      </c>
      <c r="AI352" s="23">
        <v>-1.36002</v>
      </c>
      <c r="AJ352" s="25">
        <v>1.0790245833333334</v>
      </c>
      <c r="AK352" s="25">
        <v>0.37679867965879682</v>
      </c>
      <c r="AL352" s="25">
        <v>0.19165008671590752</v>
      </c>
      <c r="AM352" s="25">
        <v>9.009262032913283E-2</v>
      </c>
      <c r="AN352" s="24">
        <v>1.6514834989041884</v>
      </c>
      <c r="AO352" s="23">
        <v>-99</v>
      </c>
    </row>
    <row r="353" spans="1:41" x14ac:dyDescent="0.25">
      <c r="A353" s="4">
        <v>64</v>
      </c>
      <c r="B353">
        <v>180</v>
      </c>
      <c r="C353" s="16">
        <v>50</v>
      </c>
      <c r="D353">
        <v>20</v>
      </c>
      <c r="E353" s="3">
        <v>26</v>
      </c>
      <c r="F353" s="3">
        <f>1.8*E353+32</f>
        <v>78.800000000000011</v>
      </c>
      <c r="G353" s="3">
        <v>15</v>
      </c>
      <c r="H353" s="3">
        <f>IF(F353&gt;68,G353+(F353-68)*0.2,G501-(68-F353)*0.2)</f>
        <v>17.160000000000004</v>
      </c>
      <c r="I353" s="3">
        <v>22.5</v>
      </c>
      <c r="J353" s="3">
        <f>1.8*I353+32</f>
        <v>72.5</v>
      </c>
      <c r="K353" s="3">
        <v>8</v>
      </c>
      <c r="L353" s="3">
        <f>IF(J353&gt;68,K353+(J353-68)*0.2,K353-(68-J353)*0.2)</f>
        <v>8.9</v>
      </c>
      <c r="M353" s="3">
        <f>(C353-H353)/C353*100</f>
        <v>65.679999999999993</v>
      </c>
      <c r="N353" s="3">
        <f>100-(M353+O353)</f>
        <v>16.52000000000001</v>
      </c>
      <c r="O353" s="3">
        <f>L353/C353*100</f>
        <v>17.8</v>
      </c>
      <c r="P353" s="1" t="s">
        <v>0</v>
      </c>
      <c r="Q353" s="15">
        <v>407519.34</v>
      </c>
      <c r="R353" s="15">
        <v>3659949.5</v>
      </c>
      <c r="T353">
        <v>2009033</v>
      </c>
      <c r="U353" t="s">
        <v>351</v>
      </c>
      <c r="V353">
        <v>5.6419999999999998E-2</v>
      </c>
      <c r="W353">
        <v>0.38139000000000001</v>
      </c>
      <c r="X353">
        <v>2.9520000000000001E-2</v>
      </c>
      <c r="Y353">
        <v>1.36117</v>
      </c>
      <c r="Z353">
        <v>24.420860000000001</v>
      </c>
      <c r="AA353">
        <v>12.08179</v>
      </c>
      <c r="AB353">
        <v>-1.3661300000000001</v>
      </c>
      <c r="AC353" s="23">
        <v>6.2600000000000003E-2</v>
      </c>
      <c r="AD353" s="23">
        <v>0.38662999999999997</v>
      </c>
      <c r="AE353" s="23">
        <v>2.6360000000000001E-2</v>
      </c>
      <c r="AF353" s="23">
        <v>1.3383799999999999</v>
      </c>
      <c r="AG353" s="23">
        <v>16.35679</v>
      </c>
      <c r="AH353" s="23">
        <v>9.4902599999999993</v>
      </c>
      <c r="AI353" s="23">
        <v>-1.4148099999999999</v>
      </c>
      <c r="AJ353" s="25">
        <v>0.68153291666666671</v>
      </c>
      <c r="AK353" s="25">
        <v>0.38600201829096709</v>
      </c>
      <c r="AL353" s="25">
        <v>0.21589262662230646</v>
      </c>
      <c r="AM353" s="25">
        <v>0.10543149663626766</v>
      </c>
      <c r="AN353" s="24">
        <v>1.6270946515289371</v>
      </c>
      <c r="AO353" s="23">
        <v>-99</v>
      </c>
    </row>
    <row r="354" spans="1:41" x14ac:dyDescent="0.25">
      <c r="Q354" s="18"/>
      <c r="R354" s="18"/>
      <c r="T354">
        <v>2009033</v>
      </c>
      <c r="U354" t="s">
        <v>350</v>
      </c>
      <c r="V354">
        <v>5.6680000000000001E-2</v>
      </c>
      <c r="W354">
        <v>0.37947999999999998</v>
      </c>
      <c r="X354">
        <v>2.9950000000000001E-2</v>
      </c>
      <c r="Y354">
        <v>1.36503</v>
      </c>
      <c r="Z354">
        <v>25.233180000000001</v>
      </c>
      <c r="AA354">
        <v>12.215730000000001</v>
      </c>
      <c r="AB354">
        <v>-1.3731</v>
      </c>
      <c r="AC354" s="23">
        <v>6.5240000000000006E-2</v>
      </c>
      <c r="AD354" s="23">
        <v>0.38618999999999998</v>
      </c>
      <c r="AE354" s="23">
        <v>2.6579999999999999E-2</v>
      </c>
      <c r="AF354" s="23">
        <v>1.3221499999999999</v>
      </c>
      <c r="AG354" s="23">
        <v>14.47275</v>
      </c>
      <c r="AH354" s="23">
        <v>9.0155200000000004</v>
      </c>
      <c r="AI354" s="23">
        <v>-1.52824</v>
      </c>
      <c r="AJ354" s="25">
        <v>0.60303125000000002</v>
      </c>
      <c r="AK354" s="25">
        <v>0.38554728673817273</v>
      </c>
      <c r="AL354" s="25">
        <v>0.22213139429906087</v>
      </c>
      <c r="AM354" s="25">
        <v>0.11186304603458856</v>
      </c>
      <c r="AN354" s="24">
        <v>1.6282996901438422</v>
      </c>
      <c r="AO354" s="23">
        <v>-99</v>
      </c>
    </row>
    <row r="355" spans="1:41" ht="51.75" x14ac:dyDescent="0.25">
      <c r="A355" s="14" t="s">
        <v>21</v>
      </c>
      <c r="B355" s="9" t="s">
        <v>20</v>
      </c>
      <c r="C355" s="13" t="s">
        <v>19</v>
      </c>
      <c r="D355" s="12" t="s">
        <v>18</v>
      </c>
      <c r="E355" s="11" t="s">
        <v>17</v>
      </c>
      <c r="F355" s="11" t="s">
        <v>16</v>
      </c>
      <c r="G355" s="11" t="s">
        <v>15</v>
      </c>
      <c r="H355" s="11" t="s">
        <v>14</v>
      </c>
      <c r="I355" s="11" t="s">
        <v>13</v>
      </c>
      <c r="J355" s="11" t="s">
        <v>12</v>
      </c>
      <c r="K355" s="11" t="s">
        <v>11</v>
      </c>
      <c r="L355" s="11" t="s">
        <v>10</v>
      </c>
      <c r="M355" s="10" t="s">
        <v>9</v>
      </c>
      <c r="N355" s="10" t="s">
        <v>8</v>
      </c>
      <c r="O355" s="10" t="s">
        <v>7</v>
      </c>
      <c r="P355" s="9" t="s">
        <v>6</v>
      </c>
      <c r="Q355" s="21" t="s">
        <v>5</v>
      </c>
      <c r="R355" s="20"/>
      <c r="T355">
        <v>2009033</v>
      </c>
      <c r="U355" t="s">
        <v>349</v>
      </c>
      <c r="V355">
        <v>5.7149999999999999E-2</v>
      </c>
      <c r="W355">
        <v>0.3775</v>
      </c>
      <c r="X355">
        <v>2.9950000000000001E-2</v>
      </c>
      <c r="Y355">
        <v>1.37242</v>
      </c>
      <c r="Z355">
        <v>25.89659</v>
      </c>
      <c r="AA355">
        <v>12.1379</v>
      </c>
      <c r="AB355">
        <v>-1.36002</v>
      </c>
      <c r="AC355" s="23">
        <v>5.6390000000000003E-2</v>
      </c>
      <c r="AD355" s="23">
        <v>0.38173000000000001</v>
      </c>
      <c r="AE355" s="23">
        <v>2.9399999999999999E-2</v>
      </c>
      <c r="AF355" s="23">
        <v>1.3608199999999999</v>
      </c>
      <c r="AG355" s="23">
        <v>24.259440000000001</v>
      </c>
      <c r="AH355" s="23">
        <v>12.03637</v>
      </c>
      <c r="AI355" s="23">
        <v>-1.3627400000000001</v>
      </c>
      <c r="AJ355" s="25">
        <v>1.01081</v>
      </c>
      <c r="AK355" s="25">
        <v>0.38102324415406508</v>
      </c>
      <c r="AL355" s="25">
        <v>0.19757498152794162</v>
      </c>
      <c r="AM355" s="25">
        <v>9.254281476651062E-2</v>
      </c>
      <c r="AN355" s="24">
        <v>1.6402884029917275</v>
      </c>
      <c r="AO355" s="23">
        <v>-99</v>
      </c>
    </row>
    <row r="356" spans="1:41" x14ac:dyDescent="0.25"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1"/>
      <c r="Q356" s="5" t="s">
        <v>4</v>
      </c>
      <c r="R356" s="5" t="s">
        <v>3</v>
      </c>
      <c r="T356">
        <v>2009033</v>
      </c>
      <c r="U356" t="s">
        <v>348</v>
      </c>
      <c r="V356">
        <v>6.2600000000000003E-2</v>
      </c>
      <c r="W356">
        <v>0.38662999999999997</v>
      </c>
      <c r="X356">
        <v>2.6360000000000001E-2</v>
      </c>
      <c r="Y356">
        <v>1.3383799999999999</v>
      </c>
      <c r="Z356">
        <v>16.35679</v>
      </c>
      <c r="AA356">
        <v>9.4902599999999993</v>
      </c>
      <c r="AB356">
        <v>-1.4148099999999999</v>
      </c>
      <c r="AC356" s="23">
        <v>5.3789999999999998E-2</v>
      </c>
      <c r="AD356" s="23">
        <v>0.37956000000000001</v>
      </c>
      <c r="AE356" s="23">
        <v>3.116E-2</v>
      </c>
      <c r="AF356" s="23">
        <v>1.3869100000000001</v>
      </c>
      <c r="AG356" s="23">
        <v>30.758109999999999</v>
      </c>
      <c r="AH356" s="23">
        <v>13.76342</v>
      </c>
      <c r="AI356" s="23">
        <v>-1.2996700000000001</v>
      </c>
      <c r="AJ356" s="25">
        <v>1.2815879166666666</v>
      </c>
      <c r="AK356" s="25">
        <v>0.37882383579865497</v>
      </c>
      <c r="AL356" s="25">
        <v>0.18415513267482131</v>
      </c>
      <c r="AM356" s="25">
        <v>8.3986583138693061E-2</v>
      </c>
      <c r="AN356" s="24">
        <v>1.6461168351335642</v>
      </c>
      <c r="AO356" s="23">
        <v>-99</v>
      </c>
    </row>
    <row r="357" spans="1:41" x14ac:dyDescent="0.25">
      <c r="A357" s="4">
        <v>65</v>
      </c>
      <c r="B357">
        <v>30</v>
      </c>
      <c r="C357">
        <v>50</v>
      </c>
      <c r="D357">
        <v>20</v>
      </c>
      <c r="E357" s="3">
        <v>25.5</v>
      </c>
      <c r="F357" s="3">
        <f>1.8*E357+32</f>
        <v>77.900000000000006</v>
      </c>
      <c r="G357" s="3">
        <v>15</v>
      </c>
      <c r="H357" s="3">
        <f>IF(F357&gt;68,G357+(F357-68)*0.2,G505-(68-F357)*0.2)</f>
        <v>16.98</v>
      </c>
      <c r="I357" s="3">
        <v>23</v>
      </c>
      <c r="J357" s="3">
        <f>1.8*I357+32</f>
        <v>73.400000000000006</v>
      </c>
      <c r="K357" s="3">
        <v>8</v>
      </c>
      <c r="L357" s="3">
        <f>IF(J357&gt;67,K357+(J357-67)*0.2,K357-(67-J357)*0.2)</f>
        <v>9.2800000000000011</v>
      </c>
      <c r="M357" s="3">
        <f>(C357-H357)/C357*100</f>
        <v>66.039999999999992</v>
      </c>
      <c r="N357" s="3">
        <f>100-(M357+O357)</f>
        <v>15.400000000000006</v>
      </c>
      <c r="O357" s="3">
        <f>L357/C357*100</f>
        <v>18.560000000000002</v>
      </c>
      <c r="P357" s="1" t="s">
        <v>0</v>
      </c>
      <c r="Q357" s="15">
        <v>407519.34</v>
      </c>
      <c r="R357" s="15">
        <v>3659976</v>
      </c>
      <c r="T357">
        <v>2009033</v>
      </c>
      <c r="U357" t="s">
        <v>347</v>
      </c>
      <c r="V357">
        <v>6.5240000000000006E-2</v>
      </c>
      <c r="W357">
        <v>0.38618999999999998</v>
      </c>
      <c r="X357">
        <v>2.6579999999999999E-2</v>
      </c>
      <c r="Y357">
        <v>1.3221499999999999</v>
      </c>
      <c r="Z357">
        <v>14.47275</v>
      </c>
      <c r="AA357">
        <v>9.0155200000000004</v>
      </c>
      <c r="AB357">
        <v>-1.52824</v>
      </c>
      <c r="AC357" s="23">
        <v>5.1999999999999998E-2</v>
      </c>
      <c r="AD357" s="23">
        <v>0.38185999999999998</v>
      </c>
      <c r="AE357" s="23">
        <v>3.099E-2</v>
      </c>
      <c r="AF357" s="23">
        <v>1.38337</v>
      </c>
      <c r="AG357" s="23">
        <v>30.919730000000001</v>
      </c>
      <c r="AH357" s="23">
        <v>14.115349999999999</v>
      </c>
      <c r="AI357" s="23">
        <v>-1.2785599999999999</v>
      </c>
      <c r="AJ357" s="25">
        <v>1.2883220833333333</v>
      </c>
      <c r="AK357" s="25">
        <v>0.38111603933721144</v>
      </c>
      <c r="AL357" s="25">
        <v>0.18536632007119078</v>
      </c>
      <c r="AM357" s="25">
        <v>8.3313914064033739E-2</v>
      </c>
      <c r="AN357" s="24">
        <v>1.6400424957563895</v>
      </c>
      <c r="AO357" s="23">
        <v>-99</v>
      </c>
    </row>
    <row r="358" spans="1:41" x14ac:dyDescent="0.25">
      <c r="A358" s="4">
        <v>65</v>
      </c>
      <c r="B358">
        <v>60</v>
      </c>
      <c r="C358">
        <v>50</v>
      </c>
      <c r="D358">
        <v>20</v>
      </c>
      <c r="E358" s="3">
        <v>26</v>
      </c>
      <c r="F358" s="3">
        <f>1.8*E358+32</f>
        <v>78.800000000000011</v>
      </c>
      <c r="G358" s="3">
        <v>15</v>
      </c>
      <c r="H358" s="3">
        <f>IF(F358&gt;68,G358+(F358-68)*0.2,G506-(68-F358)*0.2)</f>
        <v>17.160000000000004</v>
      </c>
      <c r="I358" s="3">
        <v>23</v>
      </c>
      <c r="J358" s="3">
        <f>1.8*I358+32</f>
        <v>73.400000000000006</v>
      </c>
      <c r="K358" s="3">
        <v>8</v>
      </c>
      <c r="L358" s="3">
        <f>IF(J358&gt;67,K358+(J358-67)*0.2,K358-(67-J358)*0.2)</f>
        <v>9.2800000000000011</v>
      </c>
      <c r="M358" s="3">
        <f>(C358-H358)/C358*100</f>
        <v>65.679999999999993</v>
      </c>
      <c r="N358" s="3">
        <f>100-(M358+O358)</f>
        <v>15.760000000000005</v>
      </c>
      <c r="O358" s="3">
        <f>L358/C358*100</f>
        <v>18.560000000000002</v>
      </c>
      <c r="P358" s="1" t="s">
        <v>0</v>
      </c>
      <c r="Q358" s="15">
        <v>407519.34</v>
      </c>
      <c r="R358" s="15">
        <v>3659976</v>
      </c>
      <c r="S358" s="1"/>
      <c r="T358">
        <v>2009033</v>
      </c>
      <c r="U358" t="s">
        <v>346</v>
      </c>
      <c r="V358">
        <v>5.6390000000000003E-2</v>
      </c>
      <c r="W358">
        <v>0.38173000000000001</v>
      </c>
      <c r="X358">
        <v>2.9399999999999999E-2</v>
      </c>
      <c r="Y358">
        <v>1.3608199999999999</v>
      </c>
      <c r="Z358">
        <v>24.259440000000001</v>
      </c>
      <c r="AA358">
        <v>12.03637</v>
      </c>
      <c r="AB358">
        <v>-1.3627400000000001</v>
      </c>
      <c r="AC358" s="23">
        <v>5.5780000000000003E-2</v>
      </c>
      <c r="AD358" s="23">
        <v>0.37869999999999998</v>
      </c>
      <c r="AE358" s="23">
        <v>3.0429999999999999E-2</v>
      </c>
      <c r="AF358" s="23">
        <v>1.3761699999999999</v>
      </c>
      <c r="AG358" s="23">
        <v>27.553439999999998</v>
      </c>
      <c r="AH358" s="23">
        <v>12.75827</v>
      </c>
      <c r="AI358" s="23">
        <v>-1.3403700000000001</v>
      </c>
      <c r="AJ358" s="25">
        <v>1.1480599999999999</v>
      </c>
      <c r="AK358" s="25">
        <v>0.37798167846007225</v>
      </c>
      <c r="AL358" s="25">
        <v>0.1894270620469462</v>
      </c>
      <c r="AM358" s="25">
        <v>8.8041534279587108E-2</v>
      </c>
      <c r="AN358" s="24">
        <v>1.6483485520808085</v>
      </c>
      <c r="AO358" s="23">
        <v>-99</v>
      </c>
    </row>
    <row r="359" spans="1:41" x14ac:dyDescent="0.25">
      <c r="A359" s="4">
        <v>65</v>
      </c>
      <c r="B359">
        <v>90</v>
      </c>
      <c r="C359">
        <v>50</v>
      </c>
      <c r="D359">
        <v>20</v>
      </c>
      <c r="E359" s="3">
        <v>26</v>
      </c>
      <c r="F359" s="3">
        <f>1.8*E359+32</f>
        <v>78.800000000000011</v>
      </c>
      <c r="G359" s="3">
        <v>22</v>
      </c>
      <c r="H359" s="3">
        <f>IF(F359&gt;68,G359+(F359-68)*0.2,G508-(68-F359)*0.2)</f>
        <v>24.160000000000004</v>
      </c>
      <c r="I359" s="3">
        <v>23</v>
      </c>
      <c r="J359" s="3">
        <f>1.8*I359+32</f>
        <v>73.400000000000006</v>
      </c>
      <c r="K359" s="3">
        <v>11</v>
      </c>
      <c r="L359" s="3">
        <f>IF(J359&gt;67,K359+(J359-67)*0.2,K359-(67-J359)*0.2)</f>
        <v>12.280000000000001</v>
      </c>
      <c r="M359" s="3">
        <f>(C359-H359)/C359*100</f>
        <v>51.679999999999993</v>
      </c>
      <c r="N359" s="3">
        <f>100-(M359+O359)</f>
        <v>23.760000000000005</v>
      </c>
      <c r="O359" s="3">
        <f>L359/C359*100</f>
        <v>24.560000000000002</v>
      </c>
      <c r="P359" s="1" t="s">
        <v>2</v>
      </c>
      <c r="Q359" s="15">
        <v>407519.34</v>
      </c>
      <c r="R359" s="15">
        <v>3659976</v>
      </c>
      <c r="S359" s="1"/>
      <c r="T359">
        <v>2009033</v>
      </c>
      <c r="U359" t="s">
        <v>345</v>
      </c>
      <c r="V359">
        <v>5.3789999999999998E-2</v>
      </c>
      <c r="W359">
        <v>0.37956000000000001</v>
      </c>
      <c r="X359">
        <v>3.116E-2</v>
      </c>
      <c r="Y359">
        <v>1.3869100000000001</v>
      </c>
      <c r="Z359">
        <v>30.758109999999999</v>
      </c>
      <c r="AA359">
        <v>13.76342</v>
      </c>
      <c r="AB359">
        <v>-1.2996700000000001</v>
      </c>
      <c r="AC359" s="23">
        <v>5.5370000000000003E-2</v>
      </c>
      <c r="AD359" s="23">
        <v>0.38055</v>
      </c>
      <c r="AE359" s="23">
        <v>3.0190000000000002E-2</v>
      </c>
      <c r="AF359" s="23">
        <v>1.3693299999999999</v>
      </c>
      <c r="AG359" s="23">
        <v>26.60585</v>
      </c>
      <c r="AH359" s="23">
        <v>12.70119</v>
      </c>
      <c r="AI359" s="23">
        <v>-1.34585</v>
      </c>
      <c r="AJ359" s="25">
        <v>1.1085770833333333</v>
      </c>
      <c r="AK359" s="25">
        <v>0.37982692309480504</v>
      </c>
      <c r="AL359" s="25">
        <v>0.19248213814530682</v>
      </c>
      <c r="AM359" s="25">
        <v>8.9346072419155931E-2</v>
      </c>
      <c r="AN359" s="24">
        <v>1.6434586537987665</v>
      </c>
      <c r="AO359" s="23">
        <v>-99</v>
      </c>
    </row>
    <row r="360" spans="1:41" x14ac:dyDescent="0.25">
      <c r="A360" s="4">
        <v>65</v>
      </c>
      <c r="B360">
        <v>120</v>
      </c>
      <c r="C360">
        <v>50</v>
      </c>
      <c r="D360">
        <v>20</v>
      </c>
      <c r="E360" s="3">
        <v>26</v>
      </c>
      <c r="F360" s="3">
        <f>1.8*E360+32</f>
        <v>78.800000000000011</v>
      </c>
      <c r="G360" s="3">
        <v>24</v>
      </c>
      <c r="H360" s="3">
        <f>IF(F360&gt;68,G360+(F360-68)*0.2,G509-(68-F360)*0.2)</f>
        <v>26.160000000000004</v>
      </c>
      <c r="I360" s="3">
        <v>22.5</v>
      </c>
      <c r="J360" s="3">
        <f>1.8*I360+32</f>
        <v>72.5</v>
      </c>
      <c r="K360" s="3">
        <v>13</v>
      </c>
      <c r="L360" s="3">
        <f>IF(J360&gt;67,K360+(J360-67)*0.2,K360-(67-J360)*0.2)</f>
        <v>14.1</v>
      </c>
      <c r="M360" s="3">
        <f>(C360-H360)/C360*100</f>
        <v>47.679999999999993</v>
      </c>
      <c r="N360" s="3">
        <f>100-(M360+O360)</f>
        <v>24.120000000000005</v>
      </c>
      <c r="O360" s="3">
        <f>L360/C360*100</f>
        <v>28.199999999999996</v>
      </c>
      <c r="P360" s="1" t="s">
        <v>2</v>
      </c>
      <c r="Q360" s="15">
        <v>407519.34</v>
      </c>
      <c r="R360" s="15">
        <v>3659976</v>
      </c>
      <c r="S360" s="1"/>
      <c r="T360">
        <v>2009033</v>
      </c>
      <c r="U360" t="s">
        <v>344</v>
      </c>
      <c r="V360">
        <v>5.1999999999999998E-2</v>
      </c>
      <c r="W360">
        <v>0.38185999999999998</v>
      </c>
      <c r="X360">
        <v>3.099E-2</v>
      </c>
      <c r="Y360">
        <v>1.38337</v>
      </c>
      <c r="Z360">
        <v>30.919730000000001</v>
      </c>
      <c r="AA360">
        <v>14.115349999999999</v>
      </c>
      <c r="AB360">
        <v>-1.2785599999999999</v>
      </c>
      <c r="AC360" s="23">
        <v>6.2289999999999998E-2</v>
      </c>
      <c r="AD360" s="23">
        <v>0.38379000000000002</v>
      </c>
      <c r="AE360" s="23">
        <v>2.7470000000000001E-2</v>
      </c>
      <c r="AF360" s="23">
        <v>1.3330500000000001</v>
      </c>
      <c r="AG360" s="23">
        <v>17.135570000000001</v>
      </c>
      <c r="AH360" s="23">
        <v>9.86252</v>
      </c>
      <c r="AI360" s="23">
        <v>-1.47973</v>
      </c>
      <c r="AJ360" s="25">
        <v>0.71398208333333335</v>
      </c>
      <c r="AK360" s="25">
        <v>0.38312698882934798</v>
      </c>
      <c r="AL360" s="25">
        <v>0.21416534222454497</v>
      </c>
      <c r="AM360" s="25">
        <v>0.10556493906074629</v>
      </c>
      <c r="AN360" s="24">
        <v>1.6347134796022276</v>
      </c>
      <c r="AO360" s="23">
        <v>-99</v>
      </c>
    </row>
    <row r="361" spans="1:41" x14ac:dyDescent="0.25">
      <c r="A361" s="4">
        <v>65</v>
      </c>
      <c r="B361">
        <v>150</v>
      </c>
      <c r="C361">
        <v>50</v>
      </c>
      <c r="D361">
        <v>20</v>
      </c>
      <c r="E361" s="3">
        <v>25.5</v>
      </c>
      <c r="F361" s="3">
        <f>1.8*E361+32</f>
        <v>77.900000000000006</v>
      </c>
      <c r="G361" s="3">
        <v>14</v>
      </c>
      <c r="H361" s="3">
        <f>IF(F361&gt;68,G361+(F361-68)*0.2,G510-(68-F361)*0.2)</f>
        <v>15.98</v>
      </c>
      <c r="I361" s="3">
        <v>23</v>
      </c>
      <c r="J361" s="3">
        <f>1.8*I361+32</f>
        <v>73.400000000000006</v>
      </c>
      <c r="K361" s="3">
        <v>7</v>
      </c>
      <c r="L361" s="3">
        <f>IF(J361&gt;67,K361+(J361-67)*0.2,K361-(67-J361)*0.2)</f>
        <v>8.2800000000000011</v>
      </c>
      <c r="M361" s="3">
        <f>(C361-H361)/C361*100</f>
        <v>68.039999999999992</v>
      </c>
      <c r="N361" s="3">
        <f>100-(M361+O361)</f>
        <v>15.400000000000006</v>
      </c>
      <c r="O361" s="3">
        <f>L361/C361*100</f>
        <v>16.560000000000002</v>
      </c>
      <c r="P361" s="1" t="s">
        <v>0</v>
      </c>
      <c r="Q361" s="15">
        <v>407519.34</v>
      </c>
      <c r="R361" s="15">
        <v>3659976</v>
      </c>
      <c r="S361" s="1"/>
      <c r="T361">
        <v>2009033</v>
      </c>
      <c r="U361" t="s">
        <v>343</v>
      </c>
      <c r="V361">
        <v>5.5780000000000003E-2</v>
      </c>
      <c r="W361">
        <v>0.37869999999999998</v>
      </c>
      <c r="X361">
        <v>3.0429999999999999E-2</v>
      </c>
      <c r="Y361">
        <v>1.3761699999999999</v>
      </c>
      <c r="Z361">
        <v>27.553439999999998</v>
      </c>
      <c r="AA361">
        <v>12.75827</v>
      </c>
      <c r="AB361">
        <v>-1.3403700000000001</v>
      </c>
      <c r="AC361" s="23">
        <v>6.2289999999999998E-2</v>
      </c>
      <c r="AD361" s="23">
        <v>0.38379000000000002</v>
      </c>
      <c r="AE361" s="23">
        <v>2.7470000000000001E-2</v>
      </c>
      <c r="AF361" s="23">
        <v>1.3330500000000001</v>
      </c>
      <c r="AG361" s="23">
        <v>17.135570000000001</v>
      </c>
      <c r="AH361" s="23">
        <v>9.86252</v>
      </c>
      <c r="AI361" s="23">
        <v>-1.47973</v>
      </c>
      <c r="AJ361" s="25">
        <v>0.71398208333333335</v>
      </c>
      <c r="AK361" s="25">
        <v>0.38312698882934798</v>
      </c>
      <c r="AL361" s="25">
        <v>0.21416534222454497</v>
      </c>
      <c r="AM361" s="25">
        <v>0.10556493906074629</v>
      </c>
      <c r="AN361" s="24">
        <v>1.6347134796022276</v>
      </c>
      <c r="AO361" s="23">
        <v>-99</v>
      </c>
    </row>
    <row r="362" spans="1:41" x14ac:dyDescent="0.25">
      <c r="A362" s="4">
        <v>65</v>
      </c>
      <c r="B362">
        <v>180</v>
      </c>
      <c r="C362">
        <v>50</v>
      </c>
      <c r="D362">
        <v>20</v>
      </c>
      <c r="E362" s="3">
        <v>26</v>
      </c>
      <c r="F362" s="3">
        <f>1.8*E362+32</f>
        <v>78.800000000000011</v>
      </c>
      <c r="G362" s="3">
        <v>14</v>
      </c>
      <c r="H362" s="3">
        <f>IF(F362&gt;68,G362+(F362-68)*0.2,G511-(68-F362)*0.2)</f>
        <v>16.160000000000004</v>
      </c>
      <c r="I362" s="3">
        <v>23</v>
      </c>
      <c r="J362" s="3">
        <f>1.8*I362+32</f>
        <v>73.400000000000006</v>
      </c>
      <c r="K362" s="3">
        <v>7</v>
      </c>
      <c r="L362" s="3">
        <f>IF(J362&gt;67,K362+(J362-67)*0.2,K362-(67-J362)*0.2)</f>
        <v>8.2800000000000011</v>
      </c>
      <c r="M362" s="3">
        <f>(C362-H362)/C362*100</f>
        <v>67.679999999999993</v>
      </c>
      <c r="N362" s="3">
        <f>100-(M362+O362)</f>
        <v>15.760000000000005</v>
      </c>
      <c r="O362" s="3">
        <f>L362/C362*100</f>
        <v>16.560000000000002</v>
      </c>
      <c r="P362" s="1" t="s">
        <v>0</v>
      </c>
      <c r="Q362" s="15">
        <v>407519.34</v>
      </c>
      <c r="R362" s="15">
        <v>3659976</v>
      </c>
      <c r="S362" s="1"/>
      <c r="T362">
        <v>2009033</v>
      </c>
      <c r="U362" t="s">
        <v>342</v>
      </c>
      <c r="V362">
        <v>5.5370000000000003E-2</v>
      </c>
      <c r="W362">
        <v>0.38055</v>
      </c>
      <c r="X362">
        <v>3.0190000000000002E-2</v>
      </c>
      <c r="Y362">
        <v>1.3693299999999999</v>
      </c>
      <c r="Z362">
        <v>26.60585</v>
      </c>
      <c r="AA362">
        <v>12.70119</v>
      </c>
      <c r="AB362">
        <v>-1.34585</v>
      </c>
      <c r="AC362" s="23">
        <v>5.9429999999999997E-2</v>
      </c>
      <c r="AD362" s="23">
        <v>0.38019999999999998</v>
      </c>
      <c r="AE362" s="23">
        <v>2.8930000000000001E-2</v>
      </c>
      <c r="AF362" s="23">
        <v>1.3462799999999999</v>
      </c>
      <c r="AG362" s="23">
        <v>20.909970000000001</v>
      </c>
      <c r="AH362" s="23">
        <v>11.00189</v>
      </c>
      <c r="AI362" s="23">
        <v>-1.4453</v>
      </c>
      <c r="AJ362" s="25">
        <v>0.87124875000000002</v>
      </c>
      <c r="AK362" s="25">
        <v>0.37950381821351109</v>
      </c>
      <c r="AL362" s="25">
        <v>0.20409237600519353</v>
      </c>
      <c r="AM362" s="25">
        <v>9.8592436328144309E-2</v>
      </c>
      <c r="AN362" s="24">
        <v>1.6443148817341955</v>
      </c>
      <c r="AO362" s="23">
        <v>-99</v>
      </c>
    </row>
    <row r="363" spans="1:41" x14ac:dyDescent="0.25">
      <c r="Q363" s="18"/>
      <c r="R363" s="18"/>
      <c r="T363">
        <v>2009033</v>
      </c>
      <c r="U363" t="s">
        <v>341</v>
      </c>
      <c r="V363">
        <v>6.2289999999999998E-2</v>
      </c>
      <c r="W363">
        <v>0.38379000000000002</v>
      </c>
      <c r="X363">
        <v>2.7470000000000001E-2</v>
      </c>
      <c r="Y363">
        <v>1.3330500000000001</v>
      </c>
      <c r="Z363">
        <v>17.135570000000001</v>
      </c>
      <c r="AA363">
        <v>9.86252</v>
      </c>
      <c r="AB363">
        <v>-1.47973</v>
      </c>
      <c r="AC363" s="23">
        <v>5.3690000000000002E-2</v>
      </c>
      <c r="AD363" s="23">
        <v>0.3826</v>
      </c>
      <c r="AE363" s="23">
        <v>2.9829999999999999E-2</v>
      </c>
      <c r="AF363" s="23">
        <v>1.37216</v>
      </c>
      <c r="AG363" s="23">
        <v>27.345880000000001</v>
      </c>
      <c r="AH363" s="23">
        <v>12.98119</v>
      </c>
      <c r="AI363" s="23">
        <v>-1.3016099999999999</v>
      </c>
      <c r="AJ363" s="25">
        <v>1.1394116666666667</v>
      </c>
      <c r="AK363" s="25">
        <v>0.38188358960915386</v>
      </c>
      <c r="AL363" s="25">
        <v>0.19206465112118987</v>
      </c>
      <c r="AM363" s="25">
        <v>8.7617264707561759E-2</v>
      </c>
      <c r="AN363" s="24">
        <v>1.6380084875357421</v>
      </c>
      <c r="AO363" s="23">
        <v>-99</v>
      </c>
    </row>
    <row r="364" spans="1:41" ht="51.75" x14ac:dyDescent="0.25">
      <c r="A364" s="14" t="s">
        <v>21</v>
      </c>
      <c r="B364" s="9" t="s">
        <v>20</v>
      </c>
      <c r="C364" s="13" t="s">
        <v>19</v>
      </c>
      <c r="D364" s="12" t="s">
        <v>18</v>
      </c>
      <c r="E364" s="11" t="s">
        <v>17</v>
      </c>
      <c r="F364" s="11" t="s">
        <v>16</v>
      </c>
      <c r="G364" s="11" t="s">
        <v>15</v>
      </c>
      <c r="H364" s="11" t="s">
        <v>14</v>
      </c>
      <c r="I364" s="11" t="s">
        <v>13</v>
      </c>
      <c r="J364" s="11" t="s">
        <v>12</v>
      </c>
      <c r="K364" s="11" t="s">
        <v>11</v>
      </c>
      <c r="L364" s="11" t="s">
        <v>10</v>
      </c>
      <c r="M364" s="10" t="s">
        <v>9</v>
      </c>
      <c r="N364" s="10" t="s">
        <v>8</v>
      </c>
      <c r="O364" s="10" t="s">
        <v>7</v>
      </c>
      <c r="P364" s="9" t="s">
        <v>6</v>
      </c>
      <c r="Q364" s="21" t="s">
        <v>5</v>
      </c>
      <c r="R364" s="20"/>
      <c r="S364" s="6"/>
      <c r="T364">
        <v>2009033</v>
      </c>
      <c r="U364" t="s">
        <v>340</v>
      </c>
      <c r="V364">
        <v>6.2289999999999998E-2</v>
      </c>
      <c r="W364">
        <v>0.38379000000000002</v>
      </c>
      <c r="X364">
        <v>2.7470000000000001E-2</v>
      </c>
      <c r="Y364">
        <v>1.3330500000000001</v>
      </c>
      <c r="Z364">
        <v>17.135570000000001</v>
      </c>
      <c r="AA364">
        <v>9.86252</v>
      </c>
      <c r="AB364">
        <v>-1.47973</v>
      </c>
      <c r="AC364" s="23">
        <v>5.6419999999999998E-2</v>
      </c>
      <c r="AD364" s="23">
        <v>0.38139000000000001</v>
      </c>
      <c r="AE364" s="23">
        <v>2.9520000000000001E-2</v>
      </c>
      <c r="AF364" s="23">
        <v>1.36117</v>
      </c>
      <c r="AG364" s="23">
        <v>24.420860000000001</v>
      </c>
      <c r="AH364" s="23">
        <v>12.08179</v>
      </c>
      <c r="AI364" s="23">
        <v>-1.3661300000000001</v>
      </c>
      <c r="AJ364" s="25">
        <v>1.0175358333333333</v>
      </c>
      <c r="AK364" s="25">
        <v>0.38068050976720336</v>
      </c>
      <c r="AL364" s="25">
        <v>0.19713367027829296</v>
      </c>
      <c r="AM364" s="25">
        <v>9.2401863686514402E-2</v>
      </c>
      <c r="AN364" s="24">
        <v>1.641196649116911</v>
      </c>
      <c r="AO364" s="23">
        <v>-99</v>
      </c>
    </row>
    <row r="365" spans="1:41" x14ac:dyDescent="0.25"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1"/>
      <c r="Q365" s="5" t="s">
        <v>4</v>
      </c>
      <c r="R365" s="5" t="s">
        <v>3</v>
      </c>
      <c r="S365" s="1"/>
      <c r="T365">
        <v>2009033</v>
      </c>
      <c r="U365" t="s">
        <v>339</v>
      </c>
      <c r="V365">
        <v>5.9429999999999997E-2</v>
      </c>
      <c r="W365">
        <v>0.38019999999999998</v>
      </c>
      <c r="X365">
        <v>2.8930000000000001E-2</v>
      </c>
      <c r="Y365">
        <v>1.3462799999999999</v>
      </c>
      <c r="Z365">
        <v>20.909970000000001</v>
      </c>
      <c r="AA365">
        <v>11.00189</v>
      </c>
      <c r="AB365">
        <v>-1.4453</v>
      </c>
      <c r="AC365" s="23">
        <v>5.4489999999999997E-2</v>
      </c>
      <c r="AD365" s="23">
        <v>0.37894</v>
      </c>
      <c r="AE365" s="23">
        <v>3.0960000000000001E-2</v>
      </c>
      <c r="AF365" s="23">
        <v>1.3859600000000001</v>
      </c>
      <c r="AG365" s="23">
        <v>30.065470000000001</v>
      </c>
      <c r="AH365" s="23">
        <v>13.46012</v>
      </c>
      <c r="AI365" s="23">
        <v>-1.30783</v>
      </c>
      <c r="AJ365" s="25">
        <v>1.2527279166666667</v>
      </c>
      <c r="AK365" s="25">
        <v>0.37821220338708134</v>
      </c>
      <c r="AL365" s="25">
        <v>0.18492678143278446</v>
      </c>
      <c r="AM365" s="25">
        <v>8.4815622214656383E-2</v>
      </c>
      <c r="AN365" s="24">
        <v>1.6477376610242342</v>
      </c>
      <c r="AO365" s="23">
        <v>-99</v>
      </c>
    </row>
    <row r="366" spans="1:41" x14ac:dyDescent="0.25">
      <c r="A366" s="4">
        <v>66</v>
      </c>
      <c r="B366">
        <v>30</v>
      </c>
      <c r="C366">
        <v>50</v>
      </c>
      <c r="D366">
        <v>20</v>
      </c>
      <c r="E366" s="3">
        <v>26</v>
      </c>
      <c r="F366" s="3">
        <f>1.8*E366+32</f>
        <v>78.800000000000011</v>
      </c>
      <c r="G366" s="3">
        <v>16</v>
      </c>
      <c r="H366" s="3">
        <f>IF(F366&gt;68,G366+(F366-68)*0.2,G515-(68-F366)*0.2)</f>
        <v>18.160000000000004</v>
      </c>
      <c r="I366" s="3">
        <v>23</v>
      </c>
      <c r="J366" s="3">
        <f>1.8*I366+32</f>
        <v>73.400000000000006</v>
      </c>
      <c r="K366" s="3">
        <v>9</v>
      </c>
      <c r="L366" s="3">
        <f>IF(J366&gt;67,K366+(J366-67)*0.2,K366-(67-J366)*0.2)</f>
        <v>10.280000000000001</v>
      </c>
      <c r="M366" s="3">
        <f>(C366-H366)/C366*100</f>
        <v>63.679999999999993</v>
      </c>
      <c r="N366" s="3">
        <f>100-(M366+O366)</f>
        <v>15.760000000000005</v>
      </c>
      <c r="O366" s="3">
        <f>L366/C366*100</f>
        <v>20.560000000000002</v>
      </c>
      <c r="P366" s="1" t="s">
        <v>2</v>
      </c>
      <c r="Q366" s="15">
        <v>407519.34</v>
      </c>
      <c r="R366" s="15">
        <v>3660002.5</v>
      </c>
      <c r="S366" s="1"/>
      <c r="T366">
        <v>2009033</v>
      </c>
      <c r="U366" t="s">
        <v>338</v>
      </c>
      <c r="V366">
        <v>5.3690000000000002E-2</v>
      </c>
      <c r="W366">
        <v>0.3826</v>
      </c>
      <c r="X366">
        <v>2.9829999999999999E-2</v>
      </c>
      <c r="Y366">
        <v>1.37216</v>
      </c>
      <c r="Z366">
        <v>27.345880000000001</v>
      </c>
      <c r="AA366">
        <v>12.98119</v>
      </c>
      <c r="AB366">
        <v>-1.3016099999999999</v>
      </c>
      <c r="AC366" s="23">
        <v>5.1790000000000003E-2</v>
      </c>
      <c r="AD366" s="23">
        <v>0.37911</v>
      </c>
      <c r="AE366" s="23">
        <v>3.2320000000000002E-2</v>
      </c>
      <c r="AF366" s="23">
        <v>1.4164699999999999</v>
      </c>
      <c r="AG366" s="23">
        <v>37.434100000000001</v>
      </c>
      <c r="AH366" s="23">
        <v>15.337960000000001</v>
      </c>
      <c r="AI366" s="23">
        <v>-1.22739</v>
      </c>
      <c r="AJ366" s="25">
        <v>1.5597541666666668</v>
      </c>
      <c r="AK366" s="25">
        <v>0.37836887335569969</v>
      </c>
      <c r="AL366" s="25">
        <v>0.17225882226215661</v>
      </c>
      <c r="AM366" s="25">
        <v>7.6707027536223715E-2</v>
      </c>
      <c r="AN366" s="24">
        <v>1.6473224856073958</v>
      </c>
      <c r="AO366" s="23">
        <v>-99</v>
      </c>
    </row>
    <row r="367" spans="1:41" x14ac:dyDescent="0.25">
      <c r="A367" s="4">
        <v>66</v>
      </c>
      <c r="B367">
        <v>60</v>
      </c>
      <c r="C367">
        <v>50</v>
      </c>
      <c r="D367">
        <v>20</v>
      </c>
      <c r="E367" s="3">
        <v>26</v>
      </c>
      <c r="F367" s="3">
        <f>1.8*E367+32</f>
        <v>78.800000000000011</v>
      </c>
      <c r="G367" s="3">
        <v>20</v>
      </c>
      <c r="H367" s="3">
        <f>IF(F367&gt;68,G367+(F367-68)*0.2,G516-(68-F367)*0.2)</f>
        <v>22.160000000000004</v>
      </c>
      <c r="I367" s="3">
        <v>23</v>
      </c>
      <c r="J367" s="3">
        <f>1.8*I367+32</f>
        <v>73.400000000000006</v>
      </c>
      <c r="K367" s="3">
        <v>10</v>
      </c>
      <c r="L367" s="3">
        <f>IF(J367&gt;67,K367+(J367-67)*0.2,K367-(67-J367)*0.2)</f>
        <v>11.280000000000001</v>
      </c>
      <c r="M367" s="3">
        <f>(C367-H367)/C367*100</f>
        <v>55.679999999999993</v>
      </c>
      <c r="N367" s="3">
        <f>100-(M367+O367)</f>
        <v>21.760000000000005</v>
      </c>
      <c r="O367" s="3">
        <f>L367/C367*100</f>
        <v>22.560000000000002</v>
      </c>
      <c r="P367" s="1" t="s">
        <v>2</v>
      </c>
      <c r="Q367" s="15">
        <v>407519.34</v>
      </c>
      <c r="R367" s="15">
        <v>3660002.5</v>
      </c>
      <c r="S367" s="1"/>
      <c r="T367">
        <v>2009033</v>
      </c>
      <c r="U367" t="s">
        <v>337</v>
      </c>
      <c r="V367">
        <v>5.6419999999999998E-2</v>
      </c>
      <c r="W367">
        <v>0.38139000000000001</v>
      </c>
      <c r="X367">
        <v>2.9520000000000001E-2</v>
      </c>
      <c r="Y367">
        <v>1.36117</v>
      </c>
      <c r="Z367">
        <v>24.420860000000001</v>
      </c>
      <c r="AA367">
        <v>12.08179</v>
      </c>
      <c r="AB367">
        <v>-1.3661300000000001</v>
      </c>
      <c r="AC367" s="23">
        <v>6.5960000000000005E-2</v>
      </c>
      <c r="AD367" s="23">
        <v>0.38833000000000001</v>
      </c>
      <c r="AE367" s="23">
        <v>2.5860000000000001E-2</v>
      </c>
      <c r="AF367" s="23">
        <v>1.3244199999999999</v>
      </c>
      <c r="AG367" s="23">
        <v>13.70532</v>
      </c>
      <c r="AH367" s="23">
        <v>8.71218</v>
      </c>
      <c r="AI367" s="23">
        <v>-1.49292</v>
      </c>
      <c r="AJ367" s="25">
        <v>0.57105499999999998</v>
      </c>
      <c r="AK367" s="25">
        <v>0.38770918598387655</v>
      </c>
      <c r="AL367" s="25">
        <v>0.22409404405655375</v>
      </c>
      <c r="AM367" s="25">
        <v>0.11257036450782278</v>
      </c>
      <c r="AN367" s="24">
        <v>1.622570657142727</v>
      </c>
      <c r="AO367" s="23">
        <v>-99</v>
      </c>
    </row>
    <row r="368" spans="1:41" x14ac:dyDescent="0.25">
      <c r="A368" s="4">
        <v>66</v>
      </c>
      <c r="B368">
        <v>90</v>
      </c>
      <c r="C368">
        <v>50</v>
      </c>
      <c r="D368">
        <v>20</v>
      </c>
      <c r="E368" s="3">
        <v>25</v>
      </c>
      <c r="F368" s="3">
        <f>1.8*E368+32</f>
        <v>77</v>
      </c>
      <c r="G368" s="3">
        <v>20</v>
      </c>
      <c r="H368" s="3">
        <f>IF(F368&gt;68,G368+(F368-68)*0.2,G517-(68-F368)*0.2)</f>
        <v>21.8</v>
      </c>
      <c r="I368" s="3">
        <v>23</v>
      </c>
      <c r="J368" s="3">
        <f>1.8*I368+32</f>
        <v>73.400000000000006</v>
      </c>
      <c r="K368" s="3">
        <v>8</v>
      </c>
      <c r="L368" s="3">
        <f>IF(J368&gt;67,K368+(J368-67)*0.2,K368-(67-J368)*0.2)</f>
        <v>9.2800000000000011</v>
      </c>
      <c r="M368" s="3">
        <f>(C368-H368)/C368*100</f>
        <v>56.399999999999991</v>
      </c>
      <c r="N368" s="3">
        <f>100-(M368+O368)</f>
        <v>25.040000000000006</v>
      </c>
      <c r="O368" s="3">
        <f>L368/C368*100</f>
        <v>18.560000000000002</v>
      </c>
      <c r="P368" s="1" t="s">
        <v>0</v>
      </c>
      <c r="Q368" s="15">
        <v>407519.34</v>
      </c>
      <c r="R368" s="15">
        <v>3660002.5</v>
      </c>
      <c r="S368" s="1"/>
      <c r="T368">
        <v>2009033</v>
      </c>
      <c r="U368" t="s">
        <v>336</v>
      </c>
      <c r="V368">
        <v>5.4489999999999997E-2</v>
      </c>
      <c r="W368">
        <v>0.37894</v>
      </c>
      <c r="X368">
        <v>3.0960000000000001E-2</v>
      </c>
      <c r="Y368">
        <v>1.3859600000000001</v>
      </c>
      <c r="Z368">
        <v>30.065470000000001</v>
      </c>
      <c r="AA368">
        <v>13.46012</v>
      </c>
      <c r="AB368">
        <v>-1.30783</v>
      </c>
      <c r="AC368" s="23">
        <v>5.4600000000000003E-2</v>
      </c>
      <c r="AD368" s="23">
        <v>0.37747000000000003</v>
      </c>
      <c r="AE368" s="23">
        <v>3.1040000000000002E-2</v>
      </c>
      <c r="AF368" s="23">
        <v>1.40228</v>
      </c>
      <c r="AG368" s="23">
        <v>32.365969999999997</v>
      </c>
      <c r="AH368" s="23">
        <v>13.649789999999999</v>
      </c>
      <c r="AI368" s="23">
        <v>-1.2710600000000001</v>
      </c>
      <c r="AJ368" s="25">
        <v>1.3485820833333333</v>
      </c>
      <c r="AK368" s="25">
        <v>0.3767623230881833</v>
      </c>
      <c r="AL368" s="25">
        <v>0.17943750308975026</v>
      </c>
      <c r="AM368" s="25">
        <v>8.1871990313217999E-2</v>
      </c>
      <c r="AN368" s="24">
        <v>1.6515798438163141</v>
      </c>
      <c r="AO368" s="23">
        <v>-99</v>
      </c>
    </row>
    <row r="369" spans="1:41" x14ac:dyDescent="0.25">
      <c r="A369" s="4">
        <v>66</v>
      </c>
      <c r="B369">
        <v>120</v>
      </c>
      <c r="C369">
        <v>50</v>
      </c>
      <c r="D369">
        <v>20</v>
      </c>
      <c r="E369" s="3">
        <v>25</v>
      </c>
      <c r="F369" s="3">
        <f>1.8*E369+32</f>
        <v>77</v>
      </c>
      <c r="G369" s="3">
        <v>18</v>
      </c>
      <c r="H369" s="3">
        <f>IF(F369&gt;68,G369+(F369-68)*0.2,G518-(68-F369)*0.2)</f>
        <v>19.8</v>
      </c>
      <c r="I369" s="3">
        <v>23</v>
      </c>
      <c r="J369" s="3">
        <f>1.8*I369+32</f>
        <v>73.400000000000006</v>
      </c>
      <c r="K369" s="3">
        <v>9</v>
      </c>
      <c r="L369" s="3">
        <f>IF(J369&gt;67,K369+(J369-67)*0.2,K369-(67-J369)*0.2)</f>
        <v>10.280000000000001</v>
      </c>
      <c r="M369" s="3">
        <f>(C369-H369)/C369*100</f>
        <v>60.4</v>
      </c>
      <c r="N369" s="3">
        <f>100-(M369+O369)</f>
        <v>19.039999999999992</v>
      </c>
      <c r="O369" s="3">
        <f>L369/C369*100</f>
        <v>20.560000000000002</v>
      </c>
      <c r="P369" s="1" t="s">
        <v>2</v>
      </c>
      <c r="Q369" s="15">
        <v>407519.34</v>
      </c>
      <c r="R369" s="15">
        <v>3660002.5</v>
      </c>
      <c r="S369" s="1"/>
      <c r="T369">
        <v>2009033</v>
      </c>
      <c r="U369" t="s">
        <v>335</v>
      </c>
      <c r="V369">
        <v>5.1790000000000003E-2</v>
      </c>
      <c r="W369">
        <v>0.37911</v>
      </c>
      <c r="X369">
        <v>3.2320000000000002E-2</v>
      </c>
      <c r="Y369">
        <v>1.4164699999999999</v>
      </c>
      <c r="Z369">
        <v>37.434100000000001</v>
      </c>
      <c r="AA369">
        <v>15.337960000000001</v>
      </c>
      <c r="AB369">
        <v>-1.22739</v>
      </c>
      <c r="AC369" s="23">
        <v>5.6989999999999999E-2</v>
      </c>
      <c r="AD369" s="23">
        <v>0.38118000000000002</v>
      </c>
      <c r="AE369" s="23">
        <v>2.9409999999999999E-2</v>
      </c>
      <c r="AF369" s="23">
        <v>1.35853</v>
      </c>
      <c r="AG369" s="23">
        <v>23.75291</v>
      </c>
      <c r="AH369" s="23">
        <v>11.876139999999999</v>
      </c>
      <c r="AI369" s="23">
        <v>-1.3800699999999999</v>
      </c>
      <c r="AJ369" s="25">
        <v>0.98970458333333333</v>
      </c>
      <c r="AK369" s="25">
        <v>0.38047304950103422</v>
      </c>
      <c r="AL369" s="25">
        <v>0.19839564006834526</v>
      </c>
      <c r="AM369" s="25">
        <v>9.3516396011183084E-2</v>
      </c>
      <c r="AN369" s="24">
        <v>1.6417464188222592</v>
      </c>
      <c r="AO369" s="23">
        <v>-99</v>
      </c>
    </row>
    <row r="370" spans="1:41" x14ac:dyDescent="0.25">
      <c r="A370" s="4">
        <v>66</v>
      </c>
      <c r="B370">
        <v>150</v>
      </c>
      <c r="C370">
        <v>50</v>
      </c>
      <c r="D370">
        <v>20</v>
      </c>
      <c r="E370" s="3">
        <v>25.5</v>
      </c>
      <c r="F370" s="3">
        <f>1.8*E370+32</f>
        <v>77.900000000000006</v>
      </c>
      <c r="G370" s="3">
        <v>13</v>
      </c>
      <c r="H370" s="3">
        <f>IF(F370&gt;68,G370+(F370-68)*0.2,G519-(68-F370)*0.2)</f>
        <v>14.98</v>
      </c>
      <c r="I370" s="3">
        <v>23</v>
      </c>
      <c r="J370" s="3">
        <f>1.8*I370+32</f>
        <v>73.400000000000006</v>
      </c>
      <c r="K370" s="3">
        <v>6</v>
      </c>
      <c r="L370" s="3">
        <f>IF(J370&gt;67,K370+(J370-67)*0.2,K370-(67-J370)*0.2)</f>
        <v>7.2800000000000011</v>
      </c>
      <c r="M370" s="3">
        <f>(C370-H370)/C370*100</f>
        <v>70.039999999999992</v>
      </c>
      <c r="N370" s="3">
        <f>100-(M370+O370)</f>
        <v>15.400000000000006</v>
      </c>
      <c r="O370" s="3">
        <f>L370/C370*100</f>
        <v>14.560000000000004</v>
      </c>
      <c r="P370" s="1" t="s">
        <v>0</v>
      </c>
      <c r="Q370" s="15">
        <v>407519.34</v>
      </c>
      <c r="R370" s="15">
        <v>3660002.5</v>
      </c>
      <c r="S370" s="1"/>
      <c r="T370">
        <v>2009033</v>
      </c>
      <c r="U370" t="s">
        <v>334</v>
      </c>
      <c r="V370">
        <v>6.5960000000000005E-2</v>
      </c>
      <c r="W370">
        <v>0.38833000000000001</v>
      </c>
      <c r="X370">
        <v>2.5860000000000001E-2</v>
      </c>
      <c r="Y370">
        <v>1.3244199999999999</v>
      </c>
      <c r="Z370">
        <v>13.70532</v>
      </c>
      <c r="AA370">
        <v>8.71218</v>
      </c>
      <c r="AB370">
        <v>-1.49292</v>
      </c>
      <c r="AC370" s="23">
        <v>5.9490000000000001E-2</v>
      </c>
      <c r="AD370" s="23">
        <v>0.38018000000000002</v>
      </c>
      <c r="AE370" s="23">
        <v>2.8910000000000002E-2</v>
      </c>
      <c r="AF370" s="23">
        <v>1.3459700000000001</v>
      </c>
      <c r="AG370" s="23">
        <v>20.842179999999999</v>
      </c>
      <c r="AH370" s="23">
        <v>10.980880000000001</v>
      </c>
      <c r="AI370" s="23">
        <v>-1.4470000000000001</v>
      </c>
      <c r="AJ370" s="25">
        <v>0.86842416666666666</v>
      </c>
      <c r="AK370" s="25">
        <v>0.37948433839133755</v>
      </c>
      <c r="AL370" s="25">
        <v>0.20425092158076513</v>
      </c>
      <c r="AM370" s="25">
        <v>9.8725828119344133E-2</v>
      </c>
      <c r="AN370" s="24">
        <v>1.6443665032629555</v>
      </c>
      <c r="AO370" s="23">
        <v>-99</v>
      </c>
    </row>
    <row r="371" spans="1:41" x14ac:dyDescent="0.25">
      <c r="A371" s="4">
        <v>66</v>
      </c>
      <c r="B371">
        <v>180</v>
      </c>
      <c r="C371">
        <v>50</v>
      </c>
      <c r="D371">
        <v>20</v>
      </c>
      <c r="E371" s="3">
        <v>26</v>
      </c>
      <c r="F371" s="3">
        <f>1.8*E371+32</f>
        <v>78.800000000000011</v>
      </c>
      <c r="G371" s="3">
        <v>16</v>
      </c>
      <c r="H371" s="3">
        <f>IF(F371&gt;68,G371+(F371-68)*0.2,G520-(68-F371)*0.2)</f>
        <v>18.160000000000004</v>
      </c>
      <c r="I371" s="3">
        <v>23</v>
      </c>
      <c r="J371" s="3">
        <f>1.8*I371+32</f>
        <v>73.400000000000006</v>
      </c>
      <c r="K371" s="3">
        <v>9</v>
      </c>
      <c r="L371" s="3">
        <f>IF(J371&gt;67,K371+(J371-67)*0.2,K371-(67-J371)*0.2)</f>
        <v>10.280000000000001</v>
      </c>
      <c r="M371" s="3">
        <f>(C371-H371)/C371*100</f>
        <v>63.679999999999993</v>
      </c>
      <c r="N371" s="3">
        <f>100-(M371+O371)</f>
        <v>15.760000000000005</v>
      </c>
      <c r="O371" s="3">
        <f>L371/C371*100</f>
        <v>20.560000000000002</v>
      </c>
      <c r="P371" s="1" t="s">
        <v>2</v>
      </c>
      <c r="Q371" s="15">
        <v>407519.34</v>
      </c>
      <c r="R371" s="15">
        <v>3660002.5</v>
      </c>
      <c r="S371" s="1"/>
      <c r="T371">
        <v>2009033</v>
      </c>
      <c r="U371" t="s">
        <v>333</v>
      </c>
      <c r="V371">
        <v>5.4600000000000003E-2</v>
      </c>
      <c r="W371">
        <v>0.37747000000000003</v>
      </c>
      <c r="X371">
        <v>3.1040000000000002E-2</v>
      </c>
      <c r="Y371">
        <v>1.40228</v>
      </c>
      <c r="Z371">
        <v>32.365969999999997</v>
      </c>
      <c r="AA371">
        <v>13.649789999999999</v>
      </c>
      <c r="AB371">
        <v>-1.2710600000000001</v>
      </c>
      <c r="AC371" s="23">
        <v>5.2139999999999999E-2</v>
      </c>
      <c r="AD371" s="23">
        <v>0.37785000000000002</v>
      </c>
      <c r="AE371" s="23">
        <v>3.2280000000000003E-2</v>
      </c>
      <c r="AF371" s="23">
        <v>1.44123</v>
      </c>
      <c r="AG371" s="23">
        <v>41.157269999999997</v>
      </c>
      <c r="AH371" s="23">
        <v>15.56767</v>
      </c>
      <c r="AI371" s="23">
        <v>-1.18266</v>
      </c>
      <c r="AJ371" s="25">
        <v>1.7148862499999999</v>
      </c>
      <c r="AK371" s="25">
        <v>0.37714565295834951</v>
      </c>
      <c r="AL371" s="25">
        <v>0.16524656171455054</v>
      </c>
      <c r="AM371" s="25">
        <v>7.3426274649718751E-2</v>
      </c>
      <c r="AN371" s="24">
        <v>1.6505640196603739</v>
      </c>
      <c r="AO371" s="23">
        <v>-99</v>
      </c>
    </row>
    <row r="372" spans="1:41" x14ac:dyDescent="0.25">
      <c r="A372" s="4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1"/>
      <c r="Q372" s="18"/>
      <c r="R372" s="18"/>
      <c r="S372" s="1"/>
      <c r="T372">
        <v>2009033</v>
      </c>
      <c r="U372" t="s">
        <v>332</v>
      </c>
      <c r="V372">
        <v>5.6989999999999999E-2</v>
      </c>
      <c r="W372">
        <v>0.38118000000000002</v>
      </c>
      <c r="X372">
        <v>2.9409999999999999E-2</v>
      </c>
      <c r="Y372">
        <v>1.35853</v>
      </c>
      <c r="Z372">
        <v>23.75291</v>
      </c>
      <c r="AA372">
        <v>11.876139999999999</v>
      </c>
      <c r="AB372">
        <v>-1.3800699999999999</v>
      </c>
      <c r="AC372" s="23">
        <v>6.2260000000000003E-2</v>
      </c>
      <c r="AD372" s="23">
        <v>0.38135999999999998</v>
      </c>
      <c r="AE372" s="23">
        <v>2.8060000000000002E-2</v>
      </c>
      <c r="AF372" s="23">
        <v>1.3301400000000001</v>
      </c>
      <c r="AG372" s="23">
        <v>17.519600000000001</v>
      </c>
      <c r="AH372" s="23">
        <v>9.9959500000000006</v>
      </c>
      <c r="AI372" s="23">
        <v>-1.5195799999999999</v>
      </c>
      <c r="AJ372" s="25">
        <v>0.72998333333333332</v>
      </c>
      <c r="AK372" s="25">
        <v>0.38068058042223463</v>
      </c>
      <c r="AL372" s="25">
        <v>0.21296778535280469</v>
      </c>
      <c r="AM372" s="25">
        <v>0.10566557769791586</v>
      </c>
      <c r="AN372" s="24">
        <v>1.6411964618810782</v>
      </c>
      <c r="AO372" s="23">
        <v>-99</v>
      </c>
    </row>
    <row r="373" spans="1:41" ht="51.75" x14ac:dyDescent="0.25">
      <c r="A373" s="14" t="s">
        <v>21</v>
      </c>
      <c r="B373" s="9" t="s">
        <v>20</v>
      </c>
      <c r="C373" s="13" t="s">
        <v>19</v>
      </c>
      <c r="D373" s="12" t="s">
        <v>18</v>
      </c>
      <c r="E373" s="11" t="s">
        <v>17</v>
      </c>
      <c r="F373" s="11" t="s">
        <v>16</v>
      </c>
      <c r="G373" s="11" t="s">
        <v>15</v>
      </c>
      <c r="H373" s="11" t="s">
        <v>14</v>
      </c>
      <c r="I373" s="11" t="s">
        <v>13</v>
      </c>
      <c r="J373" s="11" t="s">
        <v>12</v>
      </c>
      <c r="K373" s="11" t="s">
        <v>11</v>
      </c>
      <c r="L373" s="11" t="s">
        <v>10</v>
      </c>
      <c r="M373" s="10" t="s">
        <v>9</v>
      </c>
      <c r="N373" s="10" t="s">
        <v>8</v>
      </c>
      <c r="O373" s="10" t="s">
        <v>7</v>
      </c>
      <c r="P373" s="9" t="s">
        <v>6</v>
      </c>
      <c r="Q373" s="21" t="s">
        <v>5</v>
      </c>
      <c r="R373" s="20"/>
      <c r="S373" s="6"/>
      <c r="T373">
        <v>2009033</v>
      </c>
      <c r="U373" t="s">
        <v>331</v>
      </c>
      <c r="V373">
        <v>5.9490000000000001E-2</v>
      </c>
      <c r="W373">
        <v>0.38018000000000002</v>
      </c>
      <c r="X373">
        <v>2.8910000000000002E-2</v>
      </c>
      <c r="Y373">
        <v>1.3459700000000001</v>
      </c>
      <c r="Z373">
        <v>20.842179999999999</v>
      </c>
      <c r="AA373">
        <v>10.980880000000001</v>
      </c>
      <c r="AB373">
        <v>-1.4470000000000001</v>
      </c>
      <c r="AC373" s="23">
        <v>6.2740000000000004E-2</v>
      </c>
      <c r="AD373" s="23">
        <v>0.38773000000000002</v>
      </c>
      <c r="AE373" s="23">
        <v>2.5829999999999999E-2</v>
      </c>
      <c r="AF373" s="23">
        <v>1.34128</v>
      </c>
      <c r="AG373" s="23">
        <v>16.015429999999999</v>
      </c>
      <c r="AH373" s="23">
        <v>9.3013399999999997</v>
      </c>
      <c r="AI373" s="23">
        <v>-1.3830199999999999</v>
      </c>
      <c r="AJ373" s="25">
        <v>0.66730958333333323</v>
      </c>
      <c r="AK373" s="25">
        <v>0.38711953351735784</v>
      </c>
      <c r="AL373" s="25">
        <v>0.21652793377981233</v>
      </c>
      <c r="AM373" s="25">
        <v>0.10525345976417774</v>
      </c>
      <c r="AN373" s="24">
        <v>1.6241332361790017</v>
      </c>
      <c r="AO373" s="23">
        <v>-99</v>
      </c>
    </row>
    <row r="374" spans="1:41" x14ac:dyDescent="0.25"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1"/>
      <c r="Q374" s="5" t="s">
        <v>4</v>
      </c>
      <c r="R374" s="5" t="s">
        <v>3</v>
      </c>
      <c r="S374" s="1"/>
      <c r="T374">
        <v>2009033</v>
      </c>
      <c r="U374" t="s">
        <v>330</v>
      </c>
      <c r="V374">
        <v>5.2139999999999999E-2</v>
      </c>
      <c r="W374">
        <v>0.37785000000000002</v>
      </c>
      <c r="X374">
        <v>3.2280000000000003E-2</v>
      </c>
      <c r="Y374">
        <v>1.44123</v>
      </c>
      <c r="Z374">
        <v>41.157269999999997</v>
      </c>
      <c r="AA374">
        <v>15.56767</v>
      </c>
      <c r="AB374">
        <v>-1.18266</v>
      </c>
      <c r="AC374" s="23">
        <v>6.2269999999999999E-2</v>
      </c>
      <c r="AD374" s="23">
        <v>0.3805</v>
      </c>
      <c r="AE374" s="23">
        <v>2.818E-2</v>
      </c>
      <c r="AF374" s="23">
        <v>1.32975</v>
      </c>
      <c r="AG374" s="23">
        <v>17.633849999999999</v>
      </c>
      <c r="AH374" s="23">
        <v>10.01055</v>
      </c>
      <c r="AI374" s="23">
        <v>-1.52837</v>
      </c>
      <c r="AJ374" s="25">
        <v>0.73474374999999992</v>
      </c>
      <c r="AK374" s="25">
        <v>0.37981825801387531</v>
      </c>
      <c r="AL374" s="25">
        <v>0.21249675329254755</v>
      </c>
      <c r="AM374" s="25">
        <v>0.10559836472065376</v>
      </c>
      <c r="AN374" s="24">
        <v>1.6434816162632302</v>
      </c>
      <c r="AO374" s="23">
        <v>-99</v>
      </c>
    </row>
    <row r="375" spans="1:41" x14ac:dyDescent="0.25">
      <c r="A375" s="4">
        <v>67</v>
      </c>
      <c r="B375">
        <v>30</v>
      </c>
      <c r="C375">
        <v>50</v>
      </c>
      <c r="D375">
        <v>20</v>
      </c>
      <c r="E375" s="3">
        <v>25.5</v>
      </c>
      <c r="F375" s="3">
        <f>1.8*E375+32</f>
        <v>77.900000000000006</v>
      </c>
      <c r="G375" s="3">
        <v>17</v>
      </c>
      <c r="H375" s="3">
        <f>IF(F375&gt;68,G375+(F375-68)*0.2,G523-(68-F375)*0.2)</f>
        <v>18.98</v>
      </c>
      <c r="I375" s="3">
        <v>23</v>
      </c>
      <c r="J375" s="3">
        <f>1.8*I375+32</f>
        <v>73.400000000000006</v>
      </c>
      <c r="K375" s="3">
        <v>10</v>
      </c>
      <c r="L375" s="3">
        <f>IF(J375&gt;67,K375+(J375-67)*0.2,K375-(67-J375)*0.2)</f>
        <v>11.280000000000001</v>
      </c>
      <c r="M375" s="3">
        <f>(C375-H375)/C375*100</f>
        <v>62.039999999999992</v>
      </c>
      <c r="N375" s="3">
        <f>100-(M375+O375)</f>
        <v>15.400000000000006</v>
      </c>
      <c r="O375" s="3">
        <f>L375/C375*100</f>
        <v>22.560000000000002</v>
      </c>
      <c r="P375" s="1" t="s">
        <v>2</v>
      </c>
      <c r="Q375" s="15">
        <v>407519.34</v>
      </c>
      <c r="R375" s="15">
        <v>3660029</v>
      </c>
      <c r="S375" s="1"/>
      <c r="T375">
        <v>2009033</v>
      </c>
      <c r="U375" t="s">
        <v>329</v>
      </c>
      <c r="V375">
        <v>6.2260000000000003E-2</v>
      </c>
      <c r="W375">
        <v>0.38135999999999998</v>
      </c>
      <c r="X375">
        <v>2.8060000000000002E-2</v>
      </c>
      <c r="Y375">
        <v>1.3301400000000001</v>
      </c>
      <c r="Z375">
        <v>17.519600000000001</v>
      </c>
      <c r="AA375">
        <v>9.9959500000000006</v>
      </c>
      <c r="AB375">
        <v>-1.5195799999999999</v>
      </c>
      <c r="AC375" s="23">
        <v>5.9950000000000003E-2</v>
      </c>
      <c r="AD375" s="23">
        <v>0.38217000000000001</v>
      </c>
      <c r="AE375" s="23">
        <v>2.8340000000000001E-2</v>
      </c>
      <c r="AF375" s="23">
        <v>1.3430599999999999</v>
      </c>
      <c r="AG375" s="23">
        <v>19.779450000000001</v>
      </c>
      <c r="AH375" s="23">
        <v>10.683590000000001</v>
      </c>
      <c r="AI375" s="23">
        <v>-1.44096</v>
      </c>
      <c r="AJ375" s="25">
        <v>0.82414375000000006</v>
      </c>
      <c r="AK375" s="25">
        <v>0.38148665451249753</v>
      </c>
      <c r="AL375" s="25">
        <v>0.20732012141945796</v>
      </c>
      <c r="AM375" s="25">
        <v>0.10035076771187568</v>
      </c>
      <c r="AN375" s="24">
        <v>1.6390603655418816</v>
      </c>
      <c r="AO375" s="23">
        <v>-99</v>
      </c>
    </row>
    <row r="376" spans="1:41" x14ac:dyDescent="0.25">
      <c r="A376" s="4">
        <v>67</v>
      </c>
      <c r="B376">
        <v>60</v>
      </c>
      <c r="C376">
        <v>50</v>
      </c>
      <c r="D376">
        <v>20</v>
      </c>
      <c r="E376" s="3">
        <v>26</v>
      </c>
      <c r="F376" s="3">
        <f>1.8*E376+32</f>
        <v>78.800000000000011</v>
      </c>
      <c r="G376" s="3">
        <v>14</v>
      </c>
      <c r="H376" s="3">
        <f>IF(F376&gt;68,G376+(F376-68)*0.2,G524-(68-F376)*0.2)</f>
        <v>16.160000000000004</v>
      </c>
      <c r="I376" s="3">
        <v>23</v>
      </c>
      <c r="J376" s="3">
        <f>1.8*I376+32</f>
        <v>73.400000000000006</v>
      </c>
      <c r="K376" s="3">
        <v>8</v>
      </c>
      <c r="L376" s="3">
        <f>IF(J376&gt;67,K376+(J376-67)*0.2,K376-(67-J376)*0.2)</f>
        <v>9.2800000000000011</v>
      </c>
      <c r="M376" s="3">
        <f>(C376-H376)/C376*100</f>
        <v>67.679999999999993</v>
      </c>
      <c r="N376" s="3">
        <f>100-(M376+O376)</f>
        <v>13.760000000000005</v>
      </c>
      <c r="O376" s="3">
        <f>L376/C376*100</f>
        <v>18.560000000000002</v>
      </c>
      <c r="P376" s="1" t="s">
        <v>0</v>
      </c>
      <c r="Q376" s="15">
        <v>407519.34</v>
      </c>
      <c r="R376" s="15">
        <v>3660029</v>
      </c>
      <c r="S376" s="1"/>
      <c r="T376">
        <v>2009033</v>
      </c>
      <c r="U376" t="s">
        <v>328</v>
      </c>
      <c r="V376">
        <v>6.2740000000000004E-2</v>
      </c>
      <c r="W376">
        <v>0.38773000000000002</v>
      </c>
      <c r="X376">
        <v>2.5829999999999999E-2</v>
      </c>
      <c r="Y376">
        <v>1.34128</v>
      </c>
      <c r="Z376">
        <v>16.015429999999999</v>
      </c>
      <c r="AA376">
        <v>9.3013399999999997</v>
      </c>
      <c r="AB376">
        <v>-1.3830199999999999</v>
      </c>
      <c r="AC376" s="23">
        <v>5.9950000000000003E-2</v>
      </c>
      <c r="AD376" s="23">
        <v>0.38256000000000001</v>
      </c>
      <c r="AE376" s="23">
        <v>2.8219999999999999E-2</v>
      </c>
      <c r="AF376" s="23">
        <v>1.3433200000000001</v>
      </c>
      <c r="AG376" s="23">
        <v>19.67502</v>
      </c>
      <c r="AH376" s="23">
        <v>10.645630000000001</v>
      </c>
      <c r="AI376" s="23">
        <v>-1.4349799999999999</v>
      </c>
      <c r="AJ376" s="25">
        <v>0.81979250000000004</v>
      </c>
      <c r="AK376" s="25">
        <v>0.38187993976293449</v>
      </c>
      <c r="AL376" s="25">
        <v>0.20761731408598386</v>
      </c>
      <c r="AM376" s="25">
        <v>0.10039492839069888</v>
      </c>
      <c r="AN376" s="24">
        <v>1.6380181596282237</v>
      </c>
      <c r="AO376" s="23">
        <v>-99</v>
      </c>
    </row>
    <row r="377" spans="1:41" x14ac:dyDescent="0.25">
      <c r="A377" s="4">
        <v>67</v>
      </c>
      <c r="B377">
        <v>90</v>
      </c>
      <c r="C377">
        <v>50</v>
      </c>
      <c r="D377">
        <v>20</v>
      </c>
      <c r="E377" s="3">
        <v>26</v>
      </c>
      <c r="F377" s="3">
        <f>1.8*E377+32</f>
        <v>78.800000000000011</v>
      </c>
      <c r="G377" s="3">
        <v>8</v>
      </c>
      <c r="H377" s="3">
        <f>IF(F377&gt;68,G377+(F377-68)*0.2,G525-(68-F377)*0.2)</f>
        <v>10.160000000000002</v>
      </c>
      <c r="I377" s="3">
        <v>23</v>
      </c>
      <c r="J377" s="3">
        <f>1.8*I377+32</f>
        <v>73.400000000000006</v>
      </c>
      <c r="K377" s="3">
        <v>4</v>
      </c>
      <c r="L377" s="3">
        <f>IF(J377&gt;67,K377+(J377-67)*0.2,K377-(67-J377)*0.2)</f>
        <v>5.2800000000000011</v>
      </c>
      <c r="M377" s="3">
        <f>(C377-H377)/C377*100</f>
        <v>79.679999999999993</v>
      </c>
      <c r="N377" s="3">
        <f>100-(M377+O377)</f>
        <v>9.7600000000000051</v>
      </c>
      <c r="O377" s="3">
        <f>L377/C377*100</f>
        <v>10.560000000000002</v>
      </c>
      <c r="P377" s="1" t="s">
        <v>0</v>
      </c>
      <c r="Q377" s="15">
        <v>407519.34</v>
      </c>
      <c r="R377" s="15">
        <v>3660029</v>
      </c>
      <c r="S377" s="1"/>
      <c r="T377">
        <v>2009033</v>
      </c>
      <c r="U377" t="s">
        <v>327</v>
      </c>
      <c r="V377">
        <v>6.2269999999999999E-2</v>
      </c>
      <c r="W377">
        <v>0.3805</v>
      </c>
      <c r="X377">
        <v>2.818E-2</v>
      </c>
      <c r="Y377">
        <v>1.32975</v>
      </c>
      <c r="Z377">
        <v>17.633849999999999</v>
      </c>
      <c r="AA377">
        <v>10.01055</v>
      </c>
      <c r="AB377">
        <v>-1.52837</v>
      </c>
      <c r="AC377" s="23">
        <v>5.3109999999999997E-2</v>
      </c>
      <c r="AD377" s="23">
        <v>0.38251000000000002</v>
      </c>
      <c r="AE377" s="23">
        <v>3.0099999999999998E-2</v>
      </c>
      <c r="AF377" s="23">
        <v>1.37503</v>
      </c>
      <c r="AG377" s="23">
        <v>28.288229999999999</v>
      </c>
      <c r="AH377" s="23">
        <v>13.283300000000001</v>
      </c>
      <c r="AI377" s="23">
        <v>-1.29301</v>
      </c>
      <c r="AJ377" s="25">
        <v>1.1786762499999999</v>
      </c>
      <c r="AK377" s="25">
        <v>0.38178684299879695</v>
      </c>
      <c r="AL377" s="25">
        <v>0.19033637906748413</v>
      </c>
      <c r="AM377" s="25">
        <v>8.6385209351004966E-2</v>
      </c>
      <c r="AN377" s="24">
        <v>1.638264866053188</v>
      </c>
      <c r="AO377" s="23">
        <v>-99</v>
      </c>
    </row>
    <row r="378" spans="1:41" x14ac:dyDescent="0.25">
      <c r="A378" s="4">
        <v>67</v>
      </c>
      <c r="B378">
        <v>120</v>
      </c>
      <c r="C378">
        <v>50</v>
      </c>
      <c r="D378">
        <v>20</v>
      </c>
      <c r="E378" s="3">
        <v>26</v>
      </c>
      <c r="F378" s="3">
        <f>1.8*E378+32</f>
        <v>78.800000000000011</v>
      </c>
      <c r="G378" s="3">
        <v>11</v>
      </c>
      <c r="H378" s="3">
        <f>IF(F378&gt;68,G378+(F378-68)*0.2,G526-(68-F378)*0.2)</f>
        <v>13.160000000000002</v>
      </c>
      <c r="I378" s="3">
        <v>23</v>
      </c>
      <c r="J378" s="3">
        <f>1.8*I378+32</f>
        <v>73.400000000000006</v>
      </c>
      <c r="K378" s="3">
        <v>6</v>
      </c>
      <c r="L378" s="3">
        <f>IF(J378&gt;67,K378+(J378-67)*0.2,K378-(67-J378)*0.2)</f>
        <v>7.2800000000000011</v>
      </c>
      <c r="M378" s="3">
        <f>(C378-H378)/C378*100</f>
        <v>73.679999999999993</v>
      </c>
      <c r="N378" s="3">
        <f>100-(M378+O378)</f>
        <v>11.760000000000005</v>
      </c>
      <c r="O378" s="3">
        <f>L378/C378*100</f>
        <v>14.560000000000004</v>
      </c>
      <c r="P378" s="1" t="s">
        <v>0</v>
      </c>
      <c r="Q378" s="15">
        <v>407519.34</v>
      </c>
      <c r="R378" s="15">
        <v>3660029</v>
      </c>
      <c r="S378" s="1"/>
      <c r="T378">
        <v>2009033</v>
      </c>
      <c r="U378" t="s">
        <v>326</v>
      </c>
      <c r="V378">
        <v>5.9950000000000003E-2</v>
      </c>
      <c r="W378">
        <v>0.38217000000000001</v>
      </c>
      <c r="X378">
        <v>2.8340000000000001E-2</v>
      </c>
      <c r="Y378">
        <v>1.3430599999999999</v>
      </c>
      <c r="Z378">
        <v>19.779450000000001</v>
      </c>
      <c r="AA378">
        <v>10.683590000000001</v>
      </c>
      <c r="AB378">
        <v>-1.44096</v>
      </c>
      <c r="AC378" s="23">
        <v>5.1159999999999997E-2</v>
      </c>
      <c r="AD378" s="23">
        <v>0.37946000000000002</v>
      </c>
      <c r="AE378" s="23">
        <v>3.2599999999999997E-2</v>
      </c>
      <c r="AF378" s="23">
        <v>1.4194599999999999</v>
      </c>
      <c r="AG378" s="23">
        <v>38.533859999999997</v>
      </c>
      <c r="AH378" s="23">
        <v>15.73443</v>
      </c>
      <c r="AI378" s="23">
        <v>-1.2181599999999999</v>
      </c>
      <c r="AJ378" s="25">
        <v>1.6055774999999999</v>
      </c>
      <c r="AK378" s="25">
        <v>0.37871142381329381</v>
      </c>
      <c r="AL378" s="25">
        <v>0.17071737736976922</v>
      </c>
      <c r="AM378" s="25">
        <v>7.5605214218741071E-2</v>
      </c>
      <c r="AN378" s="24">
        <v>1.6464147268947713</v>
      </c>
      <c r="AO378" s="23">
        <v>-99</v>
      </c>
    </row>
    <row r="379" spans="1:41" x14ac:dyDescent="0.25">
      <c r="A379" s="4">
        <v>67</v>
      </c>
      <c r="B379">
        <v>150</v>
      </c>
      <c r="C379">
        <v>50</v>
      </c>
      <c r="D379">
        <v>20</v>
      </c>
      <c r="E379" s="3">
        <v>26</v>
      </c>
      <c r="F379" s="3">
        <f>1.8*E379+32</f>
        <v>78.800000000000011</v>
      </c>
      <c r="G379" s="3">
        <v>15</v>
      </c>
      <c r="H379" s="3">
        <f>IF(F379&gt;68,G379+(F379-68)*0.2,G527-(68-F379)*0.2)</f>
        <v>17.160000000000004</v>
      </c>
      <c r="I379" s="3">
        <v>23</v>
      </c>
      <c r="J379" s="3">
        <f>1.8*I379+32</f>
        <v>73.400000000000006</v>
      </c>
      <c r="K379" s="3">
        <v>7</v>
      </c>
      <c r="L379" s="3">
        <f>IF(J379&gt;67,K379+(J379-67)*0.2,K379-(67-J379)*0.2)</f>
        <v>8.2800000000000011</v>
      </c>
      <c r="M379" s="3">
        <f>(C379-H379)/C379*100</f>
        <v>65.679999999999993</v>
      </c>
      <c r="N379" s="3">
        <f>100-(M379+O379)</f>
        <v>17.760000000000005</v>
      </c>
      <c r="O379" s="3">
        <f>L379/C379*100</f>
        <v>16.560000000000002</v>
      </c>
      <c r="P379" s="1" t="s">
        <v>0</v>
      </c>
      <c r="Q379" s="15">
        <v>407519.34</v>
      </c>
      <c r="R379" s="15">
        <v>3660029</v>
      </c>
      <c r="S379" s="1"/>
      <c r="T379">
        <v>2009033</v>
      </c>
      <c r="U379" t="s">
        <v>325</v>
      </c>
      <c r="V379">
        <v>5.9950000000000003E-2</v>
      </c>
      <c r="W379">
        <v>0.38256000000000001</v>
      </c>
      <c r="X379">
        <v>2.8219999999999999E-2</v>
      </c>
      <c r="Y379">
        <v>1.3433200000000001</v>
      </c>
      <c r="Z379">
        <v>19.67502</v>
      </c>
      <c r="AA379">
        <v>10.645630000000001</v>
      </c>
      <c r="AB379">
        <v>-1.4349799999999999</v>
      </c>
      <c r="AC379" s="23">
        <v>5.5050000000000002E-2</v>
      </c>
      <c r="AD379" s="23">
        <v>0.37745000000000001</v>
      </c>
      <c r="AE379" s="23">
        <v>3.083E-2</v>
      </c>
      <c r="AF379" s="23">
        <v>1.39632</v>
      </c>
      <c r="AG379" s="23">
        <v>31.048290000000001</v>
      </c>
      <c r="AH379" s="23">
        <v>13.350809999999999</v>
      </c>
      <c r="AI379" s="23">
        <v>-1.2870600000000001</v>
      </c>
      <c r="AJ379" s="25">
        <v>1.29367875</v>
      </c>
      <c r="AK379" s="25">
        <v>0.37674299530194427</v>
      </c>
      <c r="AL379" s="25">
        <v>0.18177702705895232</v>
      </c>
      <c r="AM379" s="25">
        <v>8.3373905816402777E-2</v>
      </c>
      <c r="AN379" s="24">
        <v>1.6516310624498476</v>
      </c>
      <c r="AO379" s="23">
        <v>-99</v>
      </c>
    </row>
    <row r="380" spans="1:41" x14ac:dyDescent="0.25">
      <c r="A380" s="4">
        <v>67</v>
      </c>
      <c r="B380">
        <v>180</v>
      </c>
      <c r="C380">
        <v>50</v>
      </c>
      <c r="D380">
        <v>20</v>
      </c>
      <c r="E380" s="3">
        <v>26</v>
      </c>
      <c r="F380" s="3">
        <f>1.8*E380+32</f>
        <v>78.800000000000011</v>
      </c>
      <c r="G380" s="3">
        <v>15</v>
      </c>
      <c r="H380" s="3">
        <f>IF(F380&gt;68,G380+(F380-68)*0.2,G528-(68-F380)*0.2)</f>
        <v>17.160000000000004</v>
      </c>
      <c r="I380" s="3">
        <v>23</v>
      </c>
      <c r="J380" s="3">
        <f>1.8*I380+32</f>
        <v>73.400000000000006</v>
      </c>
      <c r="K380" s="3">
        <v>9</v>
      </c>
      <c r="L380" s="3">
        <f>IF(J380&gt;67,K380+(J380-67)*0.2,K380-(67-J380)*0.2)</f>
        <v>10.280000000000001</v>
      </c>
      <c r="M380" s="3">
        <f>(C380-H380)/C380*100</f>
        <v>65.679999999999993</v>
      </c>
      <c r="N380" s="3">
        <f>100-(M380+O380)</f>
        <v>13.760000000000005</v>
      </c>
      <c r="O380" s="3">
        <f>L380/C380*100</f>
        <v>20.560000000000002</v>
      </c>
      <c r="P380" s="1" t="s">
        <v>2</v>
      </c>
      <c r="Q380" s="15">
        <v>407519.34</v>
      </c>
      <c r="R380" s="15">
        <v>3660029</v>
      </c>
      <c r="S380" s="1"/>
      <c r="T380">
        <v>2009033</v>
      </c>
      <c r="U380" t="s">
        <v>324</v>
      </c>
      <c r="V380">
        <v>5.3109999999999997E-2</v>
      </c>
      <c r="W380">
        <v>0.38251000000000002</v>
      </c>
      <c r="X380">
        <v>3.0099999999999998E-2</v>
      </c>
      <c r="Y380">
        <v>1.37503</v>
      </c>
      <c r="Z380">
        <v>28.288229999999999</v>
      </c>
      <c r="AA380">
        <v>13.283300000000001</v>
      </c>
      <c r="AB380">
        <v>-1.29301</v>
      </c>
      <c r="AC380" s="23">
        <v>5.3789999999999998E-2</v>
      </c>
      <c r="AD380" s="23">
        <v>0.37956000000000001</v>
      </c>
      <c r="AE380" s="23">
        <v>3.116E-2</v>
      </c>
      <c r="AF380" s="23">
        <v>1.3869100000000001</v>
      </c>
      <c r="AG380" s="23">
        <v>30.758109999999999</v>
      </c>
      <c r="AH380" s="23">
        <v>13.76342</v>
      </c>
      <c r="AI380" s="23">
        <v>-1.2996700000000001</v>
      </c>
      <c r="AJ380" s="25">
        <v>1.2815879166666666</v>
      </c>
      <c r="AK380" s="25">
        <v>0.37882383579865497</v>
      </c>
      <c r="AL380" s="25">
        <v>0.18415513267482131</v>
      </c>
      <c r="AM380" s="25">
        <v>8.3986583138693061E-2</v>
      </c>
      <c r="AN380" s="24">
        <v>1.6461168351335642</v>
      </c>
      <c r="AO380" s="23">
        <v>-99</v>
      </c>
    </row>
    <row r="381" spans="1:41" x14ac:dyDescent="0.25">
      <c r="A381" s="4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1"/>
      <c r="Q381" s="18"/>
      <c r="R381" s="18"/>
      <c r="S381" s="1"/>
      <c r="T381">
        <v>2009033</v>
      </c>
      <c r="U381" t="s">
        <v>323</v>
      </c>
      <c r="V381">
        <v>5.1159999999999997E-2</v>
      </c>
      <c r="W381">
        <v>0.37946000000000002</v>
      </c>
      <c r="X381">
        <v>3.2599999999999997E-2</v>
      </c>
      <c r="Y381">
        <v>1.4194599999999999</v>
      </c>
      <c r="Z381">
        <v>38.533859999999997</v>
      </c>
      <c r="AA381">
        <v>15.73443</v>
      </c>
      <c r="AB381">
        <v>-1.2181599999999999</v>
      </c>
      <c r="AC381" s="23">
        <v>5.6559999999999999E-2</v>
      </c>
      <c r="AD381" s="23">
        <v>0.37985999999999998</v>
      </c>
      <c r="AE381" s="23">
        <v>2.9919999999999999E-2</v>
      </c>
      <c r="AF381" s="23">
        <v>1.3644000000000001</v>
      </c>
      <c r="AG381" s="23">
        <v>25.181840000000001</v>
      </c>
      <c r="AH381" s="23">
        <v>12.2332</v>
      </c>
      <c r="AI381" s="23">
        <v>-1.37188</v>
      </c>
      <c r="AJ381" s="25">
        <v>1.0492433333333333</v>
      </c>
      <c r="AK381" s="25">
        <v>0.37914458015764063</v>
      </c>
      <c r="AL381" s="25">
        <v>0.19487066098501479</v>
      </c>
      <c r="AM381" s="25">
        <v>9.148767901324352E-2</v>
      </c>
      <c r="AN381" s="24">
        <v>1.6452668625822522</v>
      </c>
      <c r="AO381" s="23">
        <v>-99</v>
      </c>
    </row>
    <row r="382" spans="1:41" ht="51.75" x14ac:dyDescent="0.25">
      <c r="A382" s="14" t="s">
        <v>21</v>
      </c>
      <c r="B382" s="9" t="s">
        <v>20</v>
      </c>
      <c r="C382" s="13" t="s">
        <v>19</v>
      </c>
      <c r="D382" s="12" t="s">
        <v>18</v>
      </c>
      <c r="E382" s="11" t="s">
        <v>17</v>
      </c>
      <c r="F382" s="11" t="s">
        <v>16</v>
      </c>
      <c r="G382" s="11" t="s">
        <v>15</v>
      </c>
      <c r="H382" s="11" t="s">
        <v>14</v>
      </c>
      <c r="I382" s="11" t="s">
        <v>13</v>
      </c>
      <c r="J382" s="11" t="s">
        <v>12</v>
      </c>
      <c r="K382" s="11" t="s">
        <v>11</v>
      </c>
      <c r="L382" s="11" t="s">
        <v>10</v>
      </c>
      <c r="M382" s="10" t="s">
        <v>9</v>
      </c>
      <c r="N382" s="10" t="s">
        <v>8</v>
      </c>
      <c r="O382" s="10" t="s">
        <v>7</v>
      </c>
      <c r="P382" s="9" t="s">
        <v>6</v>
      </c>
      <c r="Q382" s="21" t="s">
        <v>5</v>
      </c>
      <c r="R382" s="20"/>
      <c r="S382" s="6"/>
      <c r="T382">
        <v>2009033</v>
      </c>
      <c r="U382" t="s">
        <v>322</v>
      </c>
      <c r="V382">
        <v>5.5050000000000002E-2</v>
      </c>
      <c r="W382">
        <v>0.37745000000000001</v>
      </c>
      <c r="X382">
        <v>3.083E-2</v>
      </c>
      <c r="Y382">
        <v>1.39632</v>
      </c>
      <c r="Z382">
        <v>31.048290000000001</v>
      </c>
      <c r="AA382">
        <v>13.350809999999999</v>
      </c>
      <c r="AB382">
        <v>-1.2870600000000001</v>
      </c>
      <c r="AC382" s="23">
        <v>5.577E-2</v>
      </c>
      <c r="AD382" s="23">
        <v>0.38162000000000001</v>
      </c>
      <c r="AE382" s="23">
        <v>2.964E-2</v>
      </c>
      <c r="AF382" s="23">
        <v>1.3640600000000001</v>
      </c>
      <c r="AG382" s="23">
        <v>25.173580000000001</v>
      </c>
      <c r="AH382" s="23">
        <v>12.3141</v>
      </c>
      <c r="AI382" s="23">
        <v>-1.3509199999999999</v>
      </c>
      <c r="AJ382" s="25">
        <v>1.0488991666666667</v>
      </c>
      <c r="AK382" s="25">
        <v>0.38090772015283136</v>
      </c>
      <c r="AL382" s="25">
        <v>0.1957387335034253</v>
      </c>
      <c r="AM382" s="25">
        <v>9.1167259938307599E-2</v>
      </c>
      <c r="AN382" s="24">
        <v>1.6405945415949967</v>
      </c>
      <c r="AO382" s="23">
        <v>-99</v>
      </c>
    </row>
    <row r="383" spans="1:41" x14ac:dyDescent="0.25">
      <c r="C383" s="16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1"/>
      <c r="Q383" s="5" t="s">
        <v>4</v>
      </c>
      <c r="R383" s="5" t="s">
        <v>3</v>
      </c>
      <c r="S383" s="1"/>
      <c r="T383">
        <v>2009033</v>
      </c>
      <c r="U383" t="s">
        <v>321</v>
      </c>
      <c r="V383">
        <v>5.3789999999999998E-2</v>
      </c>
      <c r="W383">
        <v>0.37956000000000001</v>
      </c>
      <c r="X383">
        <v>3.116E-2</v>
      </c>
      <c r="Y383">
        <v>1.3869100000000001</v>
      </c>
      <c r="Z383">
        <v>30.758109999999999</v>
      </c>
      <c r="AA383">
        <v>13.76342</v>
      </c>
      <c r="AB383">
        <v>-1.2996700000000001</v>
      </c>
      <c r="AC383" s="23">
        <v>4.8829999999999998E-2</v>
      </c>
      <c r="AD383" s="23">
        <v>0.37935000000000002</v>
      </c>
      <c r="AE383" s="23">
        <v>3.424E-2</v>
      </c>
      <c r="AF383" s="23">
        <v>1.49085</v>
      </c>
      <c r="AG383" s="23">
        <v>53.591099999999997</v>
      </c>
      <c r="AH383" s="23">
        <v>18.721399999999999</v>
      </c>
      <c r="AI383" s="23">
        <v>-1.0964100000000001</v>
      </c>
      <c r="AJ383" s="25">
        <v>2.2329624999999997</v>
      </c>
      <c r="AK383" s="25">
        <v>0.37864198643719599</v>
      </c>
      <c r="AL383" s="25">
        <v>0.14805751174393517</v>
      </c>
      <c r="AM383" s="25">
        <v>6.4270965386638179E-2</v>
      </c>
      <c r="AN383" s="24">
        <v>1.6465987359414307</v>
      </c>
      <c r="AO383" s="23">
        <v>-99</v>
      </c>
    </row>
    <row r="384" spans="1:41" x14ac:dyDescent="0.25">
      <c r="A384" s="4">
        <v>71</v>
      </c>
      <c r="B384">
        <v>30</v>
      </c>
      <c r="C384" s="16">
        <v>50</v>
      </c>
      <c r="D384">
        <v>20</v>
      </c>
      <c r="E384" s="3">
        <v>26</v>
      </c>
      <c r="F384" s="3">
        <f>1.8*E384+32</f>
        <v>78.800000000000011</v>
      </c>
      <c r="G384" s="3">
        <v>16</v>
      </c>
      <c r="H384" s="3">
        <f>IF(F384&gt;68,G384+(F384-68)*0.2,G531-(68-F384)*0.2)</f>
        <v>18.160000000000004</v>
      </c>
      <c r="I384" s="3">
        <v>23</v>
      </c>
      <c r="J384" s="3">
        <f>1.8*I384+32</f>
        <v>73.400000000000006</v>
      </c>
      <c r="K384" s="3">
        <v>7</v>
      </c>
      <c r="L384" s="3">
        <f>IF(J384&gt;68,K384+(J384-68)*0.2,K384-(68-J384)*0.2)</f>
        <v>8.0800000000000018</v>
      </c>
      <c r="M384" s="3">
        <f>(C384-H384)/C384*100</f>
        <v>63.679999999999993</v>
      </c>
      <c r="N384" s="3">
        <f>100-(M384+O384)</f>
        <v>20.159999999999997</v>
      </c>
      <c r="O384" s="3">
        <f>L384/C384*100</f>
        <v>16.160000000000004</v>
      </c>
      <c r="P384" s="1" t="s">
        <v>0</v>
      </c>
      <c r="Q384" s="15">
        <v>407505.11599999998</v>
      </c>
      <c r="R384" s="15">
        <v>3659870</v>
      </c>
      <c r="S384" s="1"/>
      <c r="T384">
        <v>2009033</v>
      </c>
      <c r="U384" t="s">
        <v>320</v>
      </c>
      <c r="V384">
        <v>5.6559999999999999E-2</v>
      </c>
      <c r="W384">
        <v>0.37985999999999998</v>
      </c>
      <c r="X384">
        <v>2.9919999999999999E-2</v>
      </c>
      <c r="Y384">
        <v>1.3644000000000001</v>
      </c>
      <c r="Z384">
        <v>25.181840000000001</v>
      </c>
      <c r="AA384">
        <v>12.2332</v>
      </c>
      <c r="AB384">
        <v>-1.37188</v>
      </c>
      <c r="AC384" s="23">
        <v>5.0299999999999997E-2</v>
      </c>
      <c r="AD384" s="23">
        <v>0.38011</v>
      </c>
      <c r="AE384" s="23">
        <v>3.2910000000000002E-2</v>
      </c>
      <c r="AF384" s="23">
        <v>1.4194199999999999</v>
      </c>
      <c r="AG384" s="23">
        <v>39.264699999999998</v>
      </c>
      <c r="AH384" s="23">
        <v>16.17465</v>
      </c>
      <c r="AI384" s="23">
        <v>-1.2128699999999999</v>
      </c>
      <c r="AJ384" s="25">
        <v>1.6360291666666666</v>
      </c>
      <c r="AK384" s="25">
        <v>0.37934780887968639</v>
      </c>
      <c r="AL384" s="25">
        <v>0.16995829881221336</v>
      </c>
      <c r="AM384" s="25">
        <v>7.4766434227377221E-2</v>
      </c>
      <c r="AN384" s="24">
        <v>1.6447283064688309</v>
      </c>
      <c r="AO384" s="23">
        <v>-99</v>
      </c>
    </row>
    <row r="385" spans="1:41" x14ac:dyDescent="0.25">
      <c r="A385" s="4">
        <v>71</v>
      </c>
      <c r="B385">
        <v>60</v>
      </c>
      <c r="C385" s="16">
        <v>50</v>
      </c>
      <c r="D385">
        <v>20</v>
      </c>
      <c r="E385" s="3">
        <v>26</v>
      </c>
      <c r="F385" s="3">
        <f>1.8*E385+32</f>
        <v>78.800000000000011</v>
      </c>
      <c r="G385" s="3">
        <v>23</v>
      </c>
      <c r="H385" s="3">
        <f>IF(F385&gt;68,G385+(F385-68)*0.2,G532-(68-F385)*0.2)</f>
        <v>25.160000000000004</v>
      </c>
      <c r="I385" s="3">
        <v>23</v>
      </c>
      <c r="J385" s="3">
        <f>1.8*I385+32</f>
        <v>73.400000000000006</v>
      </c>
      <c r="K385" s="3">
        <v>9</v>
      </c>
      <c r="L385" s="3">
        <f>IF(J385&gt;68,K385+(J385-68)*0.2,K385-(68-J385)*0.2)</f>
        <v>10.080000000000002</v>
      </c>
      <c r="M385" s="3">
        <f>(C385-H385)/C385*100</f>
        <v>49.679999999999993</v>
      </c>
      <c r="N385" s="3">
        <f>100-(M385+O385)</f>
        <v>30.159999999999997</v>
      </c>
      <c r="O385" s="3">
        <f>L385/C385*100</f>
        <v>20.160000000000004</v>
      </c>
      <c r="P385" s="1" t="s">
        <v>2</v>
      </c>
      <c r="Q385" s="15">
        <v>407505.11599999998</v>
      </c>
      <c r="R385" s="15">
        <v>3659870</v>
      </c>
      <c r="S385" s="1"/>
      <c r="T385">
        <v>2009033</v>
      </c>
      <c r="U385" t="s">
        <v>319</v>
      </c>
      <c r="V385">
        <v>5.577E-2</v>
      </c>
      <c r="W385">
        <v>0.38162000000000001</v>
      </c>
      <c r="X385">
        <v>2.964E-2</v>
      </c>
      <c r="Y385">
        <v>1.3640600000000001</v>
      </c>
      <c r="Z385">
        <v>25.173580000000001</v>
      </c>
      <c r="AA385">
        <v>12.3141</v>
      </c>
      <c r="AB385">
        <v>-1.3509199999999999</v>
      </c>
      <c r="AC385" s="23">
        <v>5.6180000000000001E-2</v>
      </c>
      <c r="AD385" s="23">
        <v>0.37404999999999999</v>
      </c>
      <c r="AE385" s="23">
        <v>2.9790000000000001E-2</v>
      </c>
      <c r="AF385" s="23">
        <v>1.45166</v>
      </c>
      <c r="AG385" s="23">
        <v>37.024450000000002</v>
      </c>
      <c r="AH385" s="23">
        <v>13.09924</v>
      </c>
      <c r="AI385" s="23">
        <v>-1.1696599999999999</v>
      </c>
      <c r="AJ385" s="25">
        <v>1.5426854166666668</v>
      </c>
      <c r="AK385" s="25">
        <v>0.37344974577441514</v>
      </c>
      <c r="AL385" s="25">
        <v>0.16771625234397466</v>
      </c>
      <c r="AM385" s="25">
        <v>7.6375670139221294E-2</v>
      </c>
      <c r="AN385" s="24">
        <v>1.6603581736977999</v>
      </c>
      <c r="AO385" s="23">
        <v>-99</v>
      </c>
    </row>
    <row r="386" spans="1:41" x14ac:dyDescent="0.25">
      <c r="A386" s="4">
        <v>71</v>
      </c>
      <c r="B386">
        <v>90</v>
      </c>
      <c r="C386" s="16">
        <v>50</v>
      </c>
      <c r="D386">
        <v>20</v>
      </c>
      <c r="E386" s="3">
        <v>25.5</v>
      </c>
      <c r="F386" s="3">
        <f>1.8*E386+32</f>
        <v>77.900000000000006</v>
      </c>
      <c r="G386" s="3">
        <v>17</v>
      </c>
      <c r="H386" s="3">
        <f>IF(F386&gt;68,G386+(F386-68)*0.2,G533-(68-F386)*0.2)</f>
        <v>18.98</v>
      </c>
      <c r="I386" s="3">
        <v>23</v>
      </c>
      <c r="J386" s="3">
        <f>1.8*I386+32</f>
        <v>73.400000000000006</v>
      </c>
      <c r="K386" s="3">
        <v>8</v>
      </c>
      <c r="L386" s="3">
        <f>IF(J386&gt;68,K386+(J386-68)*0.2,K386-(68-J386)*0.2)</f>
        <v>9.0800000000000018</v>
      </c>
      <c r="M386" s="3">
        <f>(C386-H386)/C386*100</f>
        <v>62.039999999999992</v>
      </c>
      <c r="N386" s="3">
        <f>100-(M386+O386)</f>
        <v>19.800000000000011</v>
      </c>
      <c r="O386" s="3">
        <f>L386/C386*100</f>
        <v>18.160000000000004</v>
      </c>
      <c r="P386" s="1" t="s">
        <v>0</v>
      </c>
      <c r="Q386" s="15">
        <v>407505.11599999998</v>
      </c>
      <c r="R386" s="15">
        <v>3659870</v>
      </c>
      <c r="S386" s="1"/>
      <c r="T386">
        <v>2009033</v>
      </c>
      <c r="U386" t="s">
        <v>318</v>
      </c>
      <c r="V386">
        <v>4.8829999999999998E-2</v>
      </c>
      <c r="W386">
        <v>0.37935000000000002</v>
      </c>
      <c r="X386">
        <v>3.424E-2</v>
      </c>
      <c r="Y386">
        <v>1.49085</v>
      </c>
      <c r="Z386">
        <v>53.591099999999997</v>
      </c>
      <c r="AA386">
        <v>18.721399999999999</v>
      </c>
      <c r="AB386">
        <v>-1.0964100000000001</v>
      </c>
      <c r="AC386" s="23">
        <v>5.5669999999999997E-2</v>
      </c>
      <c r="AD386" s="23">
        <v>0.38340999999999997</v>
      </c>
      <c r="AE386" s="23">
        <v>2.8750000000000001E-2</v>
      </c>
      <c r="AF386" s="23">
        <v>1.3631200000000001</v>
      </c>
      <c r="AG386" s="23">
        <v>24.14528</v>
      </c>
      <c r="AH386" s="23">
        <v>11.94257</v>
      </c>
      <c r="AI386" s="23">
        <v>-1.3232999999999999</v>
      </c>
      <c r="AJ386" s="25">
        <v>1.0060533333333332</v>
      </c>
      <c r="AK386" s="25">
        <v>0.38272164498393907</v>
      </c>
      <c r="AL386" s="25">
        <v>0.19825602420589053</v>
      </c>
      <c r="AM386" s="25">
        <v>9.1875702746030297E-2</v>
      </c>
      <c r="AN386" s="24">
        <v>1.6357876407925616</v>
      </c>
      <c r="AO386" s="23">
        <v>-99</v>
      </c>
    </row>
    <row r="387" spans="1:41" x14ac:dyDescent="0.25">
      <c r="A387" s="4">
        <v>71</v>
      </c>
      <c r="B387">
        <v>120</v>
      </c>
      <c r="C387" s="16">
        <v>50</v>
      </c>
      <c r="D387">
        <v>20</v>
      </c>
      <c r="E387" s="3">
        <v>25.5</v>
      </c>
      <c r="F387" s="3">
        <f>1.8*E387+32</f>
        <v>77.900000000000006</v>
      </c>
      <c r="G387" s="3">
        <v>17</v>
      </c>
      <c r="H387" s="3">
        <f>IF(F387&gt;68,G387+(F387-68)*0.2,G535-(68-F387)*0.2)</f>
        <v>18.98</v>
      </c>
      <c r="I387" s="3">
        <v>23</v>
      </c>
      <c r="J387" s="3">
        <f>1.8*I387+32</f>
        <v>73.400000000000006</v>
      </c>
      <c r="K387" s="3">
        <v>9</v>
      </c>
      <c r="L387" s="3">
        <f>IF(J387&gt;68,K387+(J387-68)*0.2,K387-(68-J387)*0.2)</f>
        <v>10.080000000000002</v>
      </c>
      <c r="M387" s="3">
        <f>(C387-H387)/C387*100</f>
        <v>62.039999999999992</v>
      </c>
      <c r="N387" s="3">
        <f>100-(M387+O387)</f>
        <v>17.800000000000011</v>
      </c>
      <c r="O387" s="3">
        <f>L387/C387*100</f>
        <v>20.160000000000004</v>
      </c>
      <c r="P387" s="1" t="s">
        <v>2</v>
      </c>
      <c r="Q387" s="15">
        <v>407505.11599999998</v>
      </c>
      <c r="R387" s="15">
        <v>3659870</v>
      </c>
      <c r="S387" s="1"/>
      <c r="T387">
        <v>2009033</v>
      </c>
      <c r="U387" t="s">
        <v>317</v>
      </c>
      <c r="V387">
        <v>5.0299999999999997E-2</v>
      </c>
      <c r="W387">
        <v>0.38011</v>
      </c>
      <c r="X387">
        <v>3.2910000000000002E-2</v>
      </c>
      <c r="Y387">
        <v>1.4194199999999999</v>
      </c>
      <c r="Z387">
        <v>39.264699999999998</v>
      </c>
      <c r="AA387">
        <v>16.17465</v>
      </c>
      <c r="AB387">
        <v>-1.2128699999999999</v>
      </c>
      <c r="AC387" s="23">
        <v>5.0869999999999999E-2</v>
      </c>
      <c r="AD387" s="23">
        <v>0.38</v>
      </c>
      <c r="AE387" s="23">
        <v>3.2590000000000001E-2</v>
      </c>
      <c r="AF387" s="23">
        <v>1.4132</v>
      </c>
      <c r="AG387" s="23">
        <v>37.666800000000002</v>
      </c>
      <c r="AH387" s="23">
        <v>15.721819999999999</v>
      </c>
      <c r="AI387" s="23">
        <v>-1.2275799999999999</v>
      </c>
      <c r="AJ387" s="25">
        <v>1.56945</v>
      </c>
      <c r="AK387" s="25">
        <v>0.37924177130037295</v>
      </c>
      <c r="AL387" s="25">
        <v>0.17254238523252508</v>
      </c>
      <c r="AM387" s="25">
        <v>7.6348860209076441E-2</v>
      </c>
      <c r="AN387" s="24">
        <v>1.6450093060540116</v>
      </c>
      <c r="AO387" s="23">
        <v>-99</v>
      </c>
    </row>
    <row r="388" spans="1:41" x14ac:dyDescent="0.25">
      <c r="A388" s="4">
        <v>71</v>
      </c>
      <c r="B388">
        <v>150</v>
      </c>
      <c r="C388" s="16">
        <v>50</v>
      </c>
      <c r="D388">
        <v>20</v>
      </c>
      <c r="E388" s="3">
        <v>26.5</v>
      </c>
      <c r="F388" s="3">
        <f>1.8*E388+32</f>
        <v>79.7</v>
      </c>
      <c r="G388" s="3">
        <v>16</v>
      </c>
      <c r="H388" s="3">
        <f>IF(F388&gt;68,G388+(F388-68)*0.2,G536-(68-F388)*0.2)</f>
        <v>18.34</v>
      </c>
      <c r="I388" s="3">
        <v>23.5</v>
      </c>
      <c r="J388" s="3">
        <f>1.8*I388+32</f>
        <v>74.300000000000011</v>
      </c>
      <c r="K388" s="3">
        <v>9</v>
      </c>
      <c r="L388" s="3">
        <f>IF(J388&gt;68,K388+(J388-68)*0.2,K388-(68-J388)*0.2)</f>
        <v>10.260000000000002</v>
      </c>
      <c r="M388" s="3">
        <f>(C388-H388)/C388*100</f>
        <v>63.32</v>
      </c>
      <c r="N388" s="3">
        <f>100-(M388+O388)</f>
        <v>16.159999999999997</v>
      </c>
      <c r="O388" s="3">
        <f>L388/C388*100</f>
        <v>20.520000000000003</v>
      </c>
      <c r="P388" s="1" t="s">
        <v>2</v>
      </c>
      <c r="Q388" s="15">
        <v>407505.11599999998</v>
      </c>
      <c r="R388" s="15">
        <v>3659870</v>
      </c>
      <c r="S388" s="17"/>
      <c r="T388">
        <v>2009033</v>
      </c>
      <c r="U388" t="s">
        <v>316</v>
      </c>
      <c r="V388">
        <v>5.6180000000000001E-2</v>
      </c>
      <c r="W388">
        <v>0.37404999999999999</v>
      </c>
      <c r="X388">
        <v>2.9790000000000001E-2</v>
      </c>
      <c r="Y388">
        <v>1.45166</v>
      </c>
      <c r="Z388">
        <v>37.024450000000002</v>
      </c>
      <c r="AA388">
        <v>13.09924</v>
      </c>
      <c r="AB388">
        <v>-1.1696599999999999</v>
      </c>
      <c r="AC388" s="23">
        <v>5.176E-2</v>
      </c>
      <c r="AD388" s="23">
        <v>0.37845000000000001</v>
      </c>
      <c r="AE388" s="23">
        <v>3.2460000000000003E-2</v>
      </c>
      <c r="AF388" s="23">
        <v>1.4326099999999999</v>
      </c>
      <c r="AG388" s="23">
        <v>40.174779999999998</v>
      </c>
      <c r="AH388" s="23">
        <v>15.662470000000001</v>
      </c>
      <c r="AI388" s="23">
        <v>-1.1968700000000001</v>
      </c>
      <c r="AJ388" s="25">
        <v>1.6739491666666666</v>
      </c>
      <c r="AK388" s="25">
        <v>0.37772661230829296</v>
      </c>
      <c r="AL388" s="25">
        <v>0.16727658945858803</v>
      </c>
      <c r="AM388" s="25">
        <v>7.4224874607741548E-2</v>
      </c>
      <c r="AN388" s="24">
        <v>1.6490244773830236</v>
      </c>
      <c r="AO388" s="23">
        <v>-99</v>
      </c>
    </row>
    <row r="389" spans="1:41" x14ac:dyDescent="0.25">
      <c r="A389" s="4">
        <v>71</v>
      </c>
      <c r="B389">
        <v>180</v>
      </c>
      <c r="C389" s="16">
        <v>50</v>
      </c>
      <c r="D389">
        <v>20</v>
      </c>
      <c r="E389" s="3">
        <v>26.5</v>
      </c>
      <c r="F389" s="3">
        <f>1.8*E389+32</f>
        <v>79.7</v>
      </c>
      <c r="G389" s="3">
        <v>16</v>
      </c>
      <c r="H389" s="3">
        <f>IF(F389&gt;68,G389+(F389-68)*0.2,G537-(68-F389)*0.2)</f>
        <v>18.34</v>
      </c>
      <c r="I389" s="3">
        <v>23.5</v>
      </c>
      <c r="J389" s="3">
        <f>1.8*I389+32</f>
        <v>74.300000000000011</v>
      </c>
      <c r="K389" s="3">
        <v>8</v>
      </c>
      <c r="L389" s="3">
        <f>IF(J389&gt;68,K389+(J389-68)*0.2,K389-(68-J389)*0.2)</f>
        <v>9.2600000000000016</v>
      </c>
      <c r="M389" s="3">
        <f>(C389-H389)/C389*100</f>
        <v>63.32</v>
      </c>
      <c r="N389" s="3">
        <f>100-(M389+O389)</f>
        <v>18.159999999999997</v>
      </c>
      <c r="O389" s="3">
        <f>L389/C389*100</f>
        <v>18.520000000000003</v>
      </c>
      <c r="P389" s="1" t="s">
        <v>0</v>
      </c>
      <c r="Q389" s="15">
        <v>407505.11599999998</v>
      </c>
      <c r="R389" s="15">
        <v>3659870</v>
      </c>
      <c r="S389" s="17"/>
      <c r="T389">
        <v>2009033</v>
      </c>
      <c r="U389" t="s">
        <v>315</v>
      </c>
      <c r="V389">
        <v>5.5669999999999997E-2</v>
      </c>
      <c r="W389">
        <v>0.38340999999999997</v>
      </c>
      <c r="X389">
        <v>2.8750000000000001E-2</v>
      </c>
      <c r="Y389">
        <v>1.3631200000000001</v>
      </c>
      <c r="Z389">
        <v>24.14528</v>
      </c>
      <c r="AA389">
        <v>11.94257</v>
      </c>
      <c r="AB389">
        <v>-1.3232999999999999</v>
      </c>
      <c r="AC389" s="23">
        <v>4.6429999999999999E-2</v>
      </c>
      <c r="AD389" s="23">
        <v>0.38323000000000002</v>
      </c>
      <c r="AE389" s="23">
        <v>3.3090000000000001E-2</v>
      </c>
      <c r="AF389" s="23">
        <v>1.40896</v>
      </c>
      <c r="AG389" s="23">
        <v>39.424390000000002</v>
      </c>
      <c r="AH389" s="23">
        <v>17.246680000000001</v>
      </c>
      <c r="AI389" s="23">
        <v>-1.1885600000000001</v>
      </c>
      <c r="AJ389" s="25">
        <v>1.6426829166666668</v>
      </c>
      <c r="AK389" s="25">
        <v>0.38243168477248657</v>
      </c>
      <c r="AL389" s="25">
        <v>0.17144486027499853</v>
      </c>
      <c r="AM389" s="25">
        <v>7.3030056202225233E-2</v>
      </c>
      <c r="AN389" s="24">
        <v>1.6365560353529105</v>
      </c>
      <c r="AO389" s="23">
        <v>-99</v>
      </c>
    </row>
    <row r="390" spans="1:41" x14ac:dyDescent="0.25">
      <c r="Q390" s="18"/>
      <c r="R390" s="18"/>
      <c r="S390" s="17"/>
      <c r="T390">
        <v>2009033</v>
      </c>
      <c r="U390" t="s">
        <v>314</v>
      </c>
      <c r="V390">
        <v>5.0869999999999999E-2</v>
      </c>
      <c r="W390">
        <v>0.38</v>
      </c>
      <c r="X390">
        <v>3.2590000000000001E-2</v>
      </c>
      <c r="Y390">
        <v>1.4132</v>
      </c>
      <c r="Z390">
        <v>37.666800000000002</v>
      </c>
      <c r="AA390">
        <v>15.721819999999999</v>
      </c>
      <c r="AB390">
        <v>-1.2275799999999999</v>
      </c>
      <c r="AC390" s="23">
        <v>4.7399999999999998E-2</v>
      </c>
      <c r="AD390" s="23">
        <v>0.38161</v>
      </c>
      <c r="AE390" s="23">
        <v>3.415E-2</v>
      </c>
      <c r="AF390" s="23">
        <v>1.4315800000000001</v>
      </c>
      <c r="AG390" s="23">
        <v>43.708849999999998</v>
      </c>
      <c r="AH390" s="23">
        <v>18.060649999999999</v>
      </c>
      <c r="AI390" s="23">
        <v>-1.1736200000000001</v>
      </c>
      <c r="AJ390" s="25">
        <v>1.8212020833333333</v>
      </c>
      <c r="AK390" s="25">
        <v>0.38081300175726979</v>
      </c>
      <c r="AL390" s="25">
        <v>0.16337678328697006</v>
      </c>
      <c r="AM390" s="25">
        <v>7.0027882164960809E-2</v>
      </c>
      <c r="AN390" s="24">
        <v>1.6408455453432351</v>
      </c>
      <c r="AO390" s="23">
        <v>-99</v>
      </c>
    </row>
    <row r="391" spans="1:41" ht="51.75" x14ac:dyDescent="0.25">
      <c r="A391" s="14" t="s">
        <v>21</v>
      </c>
      <c r="B391" s="9" t="s">
        <v>20</v>
      </c>
      <c r="C391" s="13" t="s">
        <v>19</v>
      </c>
      <c r="D391" s="12" t="s">
        <v>18</v>
      </c>
      <c r="E391" s="11" t="s">
        <v>17</v>
      </c>
      <c r="F391" s="11" t="s">
        <v>16</v>
      </c>
      <c r="G391" s="11" t="s">
        <v>15</v>
      </c>
      <c r="H391" s="11" t="s">
        <v>14</v>
      </c>
      <c r="I391" s="11" t="s">
        <v>13</v>
      </c>
      <c r="J391" s="11" t="s">
        <v>12</v>
      </c>
      <c r="K391" s="11" t="s">
        <v>11</v>
      </c>
      <c r="L391" s="11" t="s">
        <v>10</v>
      </c>
      <c r="M391" s="10" t="s">
        <v>9</v>
      </c>
      <c r="N391" s="10" t="s">
        <v>8</v>
      </c>
      <c r="O391" s="10" t="s">
        <v>7</v>
      </c>
      <c r="P391" s="9" t="s">
        <v>6</v>
      </c>
      <c r="Q391" s="8" t="s">
        <v>5</v>
      </c>
      <c r="R391" s="7"/>
      <c r="S391" s="17"/>
      <c r="T391">
        <v>2009033</v>
      </c>
      <c r="U391" t="s">
        <v>313</v>
      </c>
      <c r="V391">
        <v>5.176E-2</v>
      </c>
      <c r="W391">
        <v>0.37845000000000001</v>
      </c>
      <c r="X391">
        <v>3.2460000000000003E-2</v>
      </c>
      <c r="Y391">
        <v>1.4326099999999999</v>
      </c>
      <c r="Z391">
        <v>40.174779999999998</v>
      </c>
      <c r="AA391">
        <v>15.662470000000001</v>
      </c>
      <c r="AB391">
        <v>-1.1968700000000001</v>
      </c>
      <c r="AC391" s="23"/>
      <c r="AD391" s="23">
        <v>0.37973000000000001</v>
      </c>
      <c r="AE391" s="23">
        <v>3.2599999999999997E-2</v>
      </c>
      <c r="AF391" s="23">
        <v>1.4162300000000001</v>
      </c>
      <c r="AG391" s="23">
        <v>38.095460000000003</v>
      </c>
      <c r="AH391" s="23">
        <v>15.73282</v>
      </c>
      <c r="AI391" s="23">
        <v>-1.22312</v>
      </c>
      <c r="AJ391" s="25">
        <v>1.5873108333333334</v>
      </c>
      <c r="AK391" s="25">
        <v>0.37897628980728543</v>
      </c>
      <c r="AL391" s="25">
        <v>0.17164344357036931</v>
      </c>
      <c r="AM391" s="25">
        <v>7.5980962026212975E-2</v>
      </c>
      <c r="AN391" s="24">
        <v>1.6457128320106935</v>
      </c>
      <c r="AO391" s="23">
        <v>-99</v>
      </c>
    </row>
    <row r="392" spans="1:41" x14ac:dyDescent="0.25"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1"/>
      <c r="Q392" s="5" t="s">
        <v>4</v>
      </c>
      <c r="R392" s="5" t="s">
        <v>3</v>
      </c>
      <c r="S392" s="17"/>
      <c r="T392">
        <v>2009033</v>
      </c>
      <c r="U392" t="s">
        <v>312</v>
      </c>
      <c r="V392">
        <v>4.6429999999999999E-2</v>
      </c>
      <c r="W392">
        <v>0.38323000000000002</v>
      </c>
      <c r="X392">
        <v>3.3090000000000001E-2</v>
      </c>
      <c r="Y392">
        <v>1.40896</v>
      </c>
      <c r="Z392">
        <v>39.424390000000002</v>
      </c>
      <c r="AA392">
        <v>17.246680000000001</v>
      </c>
      <c r="AB392">
        <v>-1.1885600000000001</v>
      </c>
      <c r="AC392" s="23"/>
      <c r="AD392" s="23">
        <v>0.3821</v>
      </c>
      <c r="AE392" s="23">
        <v>3.5819999999999998E-2</v>
      </c>
      <c r="AF392" s="23">
        <v>1.46899</v>
      </c>
      <c r="AG392" s="23">
        <v>52.277099999999997</v>
      </c>
      <c r="AH392" s="23">
        <v>20.702459999999999</v>
      </c>
      <c r="AI392" s="23">
        <v>-1.1095200000000001</v>
      </c>
      <c r="AJ392" s="25">
        <v>2.1782124999999999</v>
      </c>
      <c r="AK392" s="25">
        <v>0.38129576552732031</v>
      </c>
      <c r="AL392" s="25">
        <v>0.1497509742821454</v>
      </c>
      <c r="AM392" s="25">
        <v>6.2966363588168123E-2</v>
      </c>
      <c r="AN392" s="24">
        <v>1.639566221352601</v>
      </c>
      <c r="AO392" s="23">
        <v>-99</v>
      </c>
    </row>
    <row r="393" spans="1:41" x14ac:dyDescent="0.25">
      <c r="A393" s="4">
        <v>72</v>
      </c>
      <c r="B393">
        <v>30</v>
      </c>
      <c r="C393">
        <v>50</v>
      </c>
      <c r="D393">
        <v>20</v>
      </c>
      <c r="E393" s="3">
        <v>24.5</v>
      </c>
      <c r="F393" s="3">
        <f>1.8*E393+32</f>
        <v>76.099999999999994</v>
      </c>
      <c r="G393" s="3">
        <v>16</v>
      </c>
      <c r="H393" s="3">
        <f>IF(F393&gt;68,G393+(F393-68)*0.2,G541-(68-F393)*0.2)</f>
        <v>17.619999999999997</v>
      </c>
      <c r="I393" s="3">
        <v>23</v>
      </c>
      <c r="J393" s="3">
        <f>1.8*I393+32</f>
        <v>73.400000000000006</v>
      </c>
      <c r="K393" s="3">
        <v>8</v>
      </c>
      <c r="L393" s="3">
        <f>IF(J393&gt;67,K393+(J393-67)*0.2,K393-(67-J393)*0.2)</f>
        <v>9.2800000000000011</v>
      </c>
      <c r="M393" s="3">
        <f>(C393-H393)/C393*100</f>
        <v>64.760000000000005</v>
      </c>
      <c r="N393" s="3">
        <f>100-(M393+O393)</f>
        <v>16.679999999999993</v>
      </c>
      <c r="O393" s="3">
        <f>L393/C393*100</f>
        <v>18.560000000000002</v>
      </c>
      <c r="P393" s="1" t="s">
        <v>0</v>
      </c>
      <c r="Q393" s="15">
        <v>407505.11599999998</v>
      </c>
      <c r="R393" s="15">
        <v>3659896.5</v>
      </c>
      <c r="S393" s="17"/>
      <c r="T393">
        <v>2009033</v>
      </c>
      <c r="U393" t="s">
        <v>311</v>
      </c>
      <c r="V393">
        <v>4.7399999999999998E-2</v>
      </c>
      <c r="W393">
        <v>0.38161</v>
      </c>
      <c r="X393">
        <v>3.415E-2</v>
      </c>
      <c r="Y393">
        <v>1.4315800000000001</v>
      </c>
      <c r="Z393">
        <v>43.708849999999998</v>
      </c>
      <c r="AA393">
        <v>18.060649999999999</v>
      </c>
      <c r="AB393">
        <v>-1.1736200000000001</v>
      </c>
      <c r="AC393" s="23"/>
      <c r="AD393" s="23">
        <v>0.38096999999999998</v>
      </c>
      <c r="AE393" s="23">
        <v>3.0599999999999999E-2</v>
      </c>
      <c r="AF393" s="23">
        <v>1.37626</v>
      </c>
      <c r="AG393" s="23">
        <v>28.6082</v>
      </c>
      <c r="AH393" s="23">
        <v>13.3323</v>
      </c>
      <c r="AI393" s="23">
        <v>-1.31599</v>
      </c>
      <c r="AJ393" s="25">
        <v>1.1920083333333333</v>
      </c>
      <c r="AK393" s="25">
        <v>0.38023706797601148</v>
      </c>
      <c r="AL393" s="25">
        <v>0.18898773625406023</v>
      </c>
      <c r="AM393" s="25">
        <v>8.6525784383339452E-2</v>
      </c>
      <c r="AN393" s="24">
        <v>1.6423717698635696</v>
      </c>
      <c r="AO393" s="23">
        <v>-99</v>
      </c>
    </row>
    <row r="394" spans="1:41" x14ac:dyDescent="0.25">
      <c r="A394" s="4">
        <v>72</v>
      </c>
      <c r="B394">
        <v>60</v>
      </c>
      <c r="C394">
        <v>50</v>
      </c>
      <c r="D394">
        <v>20</v>
      </c>
      <c r="E394" s="3">
        <v>26</v>
      </c>
      <c r="F394" s="3">
        <f>1.8*E394+32</f>
        <v>78.800000000000011</v>
      </c>
      <c r="G394" s="3">
        <v>15</v>
      </c>
      <c r="H394" s="3">
        <f>IF(F394&gt;68,G394+(F394-68)*0.2,G542-(68-F394)*0.2)</f>
        <v>17.160000000000004</v>
      </c>
      <c r="I394" s="3">
        <v>23</v>
      </c>
      <c r="J394" s="3">
        <f>1.8*I394+32</f>
        <v>73.400000000000006</v>
      </c>
      <c r="K394" s="3">
        <v>7</v>
      </c>
      <c r="L394" s="3">
        <f>IF(J394&gt;67,K394+(J394-67)*0.2,K394-(67-J394)*0.2)</f>
        <v>8.2800000000000011</v>
      </c>
      <c r="M394" s="3">
        <f>(C394-H394)/C394*100</f>
        <v>65.679999999999993</v>
      </c>
      <c r="N394" s="3">
        <f>100-(M394+O394)</f>
        <v>17.760000000000005</v>
      </c>
      <c r="O394" s="3">
        <f>L394/C394*100</f>
        <v>16.560000000000002</v>
      </c>
      <c r="P394" s="1" t="s">
        <v>0</v>
      </c>
      <c r="Q394" s="15">
        <v>407505.11599999998</v>
      </c>
      <c r="R394" s="15">
        <v>3659896.5</v>
      </c>
      <c r="S394" s="17"/>
      <c r="T394">
        <v>2009033</v>
      </c>
      <c r="U394" t="s">
        <v>310</v>
      </c>
      <c r="V394">
        <v>5.101E-2</v>
      </c>
      <c r="W394">
        <v>0.37973000000000001</v>
      </c>
      <c r="X394">
        <v>3.2599999999999997E-2</v>
      </c>
      <c r="Y394">
        <v>1.4162300000000001</v>
      </c>
      <c r="Z394">
        <v>38.095460000000003</v>
      </c>
      <c r="AA394">
        <v>15.73282</v>
      </c>
      <c r="AB394">
        <v>-1.22312</v>
      </c>
      <c r="AC394" s="23">
        <v>5.1639999999999998E-2</v>
      </c>
      <c r="AD394" s="23">
        <v>0.37939000000000001</v>
      </c>
      <c r="AE394" s="23">
        <v>3.2329999999999998E-2</v>
      </c>
      <c r="AF394" s="23">
        <v>1.4133199999999999</v>
      </c>
      <c r="AG394" s="23">
        <v>37.030670000000001</v>
      </c>
      <c r="AH394" s="23">
        <v>15.34488</v>
      </c>
      <c r="AI394" s="23">
        <v>-1.2324900000000001</v>
      </c>
      <c r="AJ394" s="25">
        <v>1.5429445833333333</v>
      </c>
      <c r="AK394" s="25">
        <v>0.37864355908320335</v>
      </c>
      <c r="AL394" s="25">
        <v>0.17315588238155258</v>
      </c>
      <c r="AM394" s="25">
        <v>7.7077246913698841E-2</v>
      </c>
      <c r="AN394" s="24">
        <v>1.6465945684295111</v>
      </c>
      <c r="AO394" s="23">
        <v>-99</v>
      </c>
    </row>
    <row r="395" spans="1:41" x14ac:dyDescent="0.25">
      <c r="A395" s="4">
        <v>72</v>
      </c>
      <c r="B395">
        <v>90</v>
      </c>
      <c r="C395">
        <v>50</v>
      </c>
      <c r="D395">
        <v>20</v>
      </c>
      <c r="E395" s="3">
        <v>26</v>
      </c>
      <c r="F395" s="3">
        <f>1.8*E395+32</f>
        <v>78.800000000000011</v>
      </c>
      <c r="G395" s="3">
        <v>16</v>
      </c>
      <c r="H395" s="3">
        <f>IF(F395&gt;68,G395+(F395-68)*0.2,G543-(68-F395)*0.2)</f>
        <v>18.160000000000004</v>
      </c>
      <c r="I395" s="3">
        <v>23.5</v>
      </c>
      <c r="J395" s="3">
        <f>1.8*I395+32</f>
        <v>74.300000000000011</v>
      </c>
      <c r="K395" s="3">
        <v>8</v>
      </c>
      <c r="L395" s="3">
        <f>IF(J395&gt;67,K395+(J395-67)*0.2,K395-(67-J395)*0.2)</f>
        <v>9.4600000000000026</v>
      </c>
      <c r="M395" s="3">
        <f>(C395-H395)/C395*100</f>
        <v>63.679999999999993</v>
      </c>
      <c r="N395" s="3">
        <f>100-(M395+O395)</f>
        <v>17.400000000000006</v>
      </c>
      <c r="O395" s="3">
        <f>L395/C395*100</f>
        <v>18.920000000000005</v>
      </c>
      <c r="P395" s="1" t="s">
        <v>0</v>
      </c>
      <c r="Q395" s="15">
        <v>407505.11599999998</v>
      </c>
      <c r="R395" s="15">
        <v>3659896.5</v>
      </c>
      <c r="T395">
        <v>2009033</v>
      </c>
      <c r="U395" t="s">
        <v>309</v>
      </c>
      <c r="V395">
        <v>4.5310000000000003E-2</v>
      </c>
      <c r="W395">
        <v>0.3821</v>
      </c>
      <c r="X395">
        <v>3.5819999999999998E-2</v>
      </c>
      <c r="Y395">
        <v>1.46899</v>
      </c>
      <c r="Z395">
        <v>52.277099999999997</v>
      </c>
      <c r="AA395">
        <v>20.702459999999999</v>
      </c>
      <c r="AB395">
        <v>-1.1095200000000001</v>
      </c>
      <c r="AC395" s="23">
        <v>5.3940000000000002E-2</v>
      </c>
      <c r="AD395" s="23">
        <v>0.38096999999999998</v>
      </c>
      <c r="AE395" s="23">
        <v>3.0599999999999999E-2</v>
      </c>
      <c r="AF395" s="23">
        <v>1.37626</v>
      </c>
      <c r="AG395" s="23">
        <v>28.6082</v>
      </c>
      <c r="AH395" s="23">
        <v>13.3323</v>
      </c>
      <c r="AI395" s="23">
        <v>-1.31599</v>
      </c>
      <c r="AJ395" s="25">
        <v>1.1920083333333333</v>
      </c>
      <c r="AK395" s="25">
        <v>0.38023706797601148</v>
      </c>
      <c r="AL395" s="25">
        <v>0.18898773625406023</v>
      </c>
      <c r="AM395" s="25">
        <v>8.6525784383339452E-2</v>
      </c>
      <c r="AN395" s="24">
        <v>1.6423717698635696</v>
      </c>
      <c r="AO395" s="23">
        <v>-99</v>
      </c>
    </row>
    <row r="396" spans="1:41" x14ac:dyDescent="0.25">
      <c r="A396" s="4">
        <v>72</v>
      </c>
      <c r="B396">
        <v>120</v>
      </c>
      <c r="C396">
        <v>50</v>
      </c>
      <c r="D396">
        <v>20</v>
      </c>
      <c r="E396" s="3">
        <v>26</v>
      </c>
      <c r="F396" s="3">
        <f>1.8*E396+32</f>
        <v>78.800000000000011</v>
      </c>
      <c r="G396" s="3">
        <v>20</v>
      </c>
      <c r="H396" s="3">
        <f>IF(F396&gt;68,G396+(F396-68)*0.2,G544-(68-F396)*0.2)</f>
        <v>22.160000000000004</v>
      </c>
      <c r="I396" s="3">
        <v>23.5</v>
      </c>
      <c r="J396" s="3">
        <f>1.8*I396+32</f>
        <v>74.300000000000011</v>
      </c>
      <c r="K396" s="3">
        <v>10</v>
      </c>
      <c r="L396" s="3">
        <f>IF(J396&gt;67,K396+(J396-67)*0.2,K396-(67-J396)*0.2)</f>
        <v>11.460000000000003</v>
      </c>
      <c r="M396" s="3">
        <f>(C396-H396)/C396*100</f>
        <v>55.679999999999993</v>
      </c>
      <c r="N396" s="3">
        <f>100-(M396+O396)</f>
        <v>21.400000000000006</v>
      </c>
      <c r="O396" s="3">
        <f>L396/C396*100</f>
        <v>22.920000000000005</v>
      </c>
      <c r="P396" s="1" t="s">
        <v>2</v>
      </c>
      <c r="Q396" s="15">
        <v>407505.11599999998</v>
      </c>
      <c r="R396" s="15">
        <v>3659896.5</v>
      </c>
      <c r="T396">
        <v>2009033</v>
      </c>
      <c r="U396" t="s">
        <v>308</v>
      </c>
      <c r="V396">
        <v>5.3940000000000002E-2</v>
      </c>
      <c r="W396">
        <v>0.38096999999999998</v>
      </c>
      <c r="X396">
        <v>3.0599999999999999E-2</v>
      </c>
      <c r="Y396">
        <v>1.37626</v>
      </c>
      <c r="Z396">
        <v>28.6082</v>
      </c>
      <c r="AA396">
        <v>13.3323</v>
      </c>
      <c r="AB396">
        <v>-1.31599</v>
      </c>
      <c r="AC396" s="23">
        <v>5.7619999999999998E-2</v>
      </c>
      <c r="AD396" s="23">
        <v>0.37756000000000001</v>
      </c>
      <c r="AE396" s="23">
        <v>2.9780000000000001E-2</v>
      </c>
      <c r="AF396" s="23">
        <v>1.3677900000000001</v>
      </c>
      <c r="AG396" s="23">
        <v>24.933009999999999</v>
      </c>
      <c r="AH396" s="23">
        <v>11.901210000000001</v>
      </c>
      <c r="AI396" s="23">
        <v>-1.37601</v>
      </c>
      <c r="AJ396" s="25">
        <v>1.0388754166666667</v>
      </c>
      <c r="AK396" s="25">
        <v>0.3768600722888466</v>
      </c>
      <c r="AL396" s="25">
        <v>0.19365673608517181</v>
      </c>
      <c r="AM396" s="25">
        <v>9.1534971978942559E-2</v>
      </c>
      <c r="AN396" s="24">
        <v>1.6513208084345563</v>
      </c>
      <c r="AO396" s="23">
        <v>-99</v>
      </c>
    </row>
    <row r="397" spans="1:41" x14ac:dyDescent="0.25">
      <c r="A397" s="4">
        <v>72</v>
      </c>
      <c r="B397">
        <v>150</v>
      </c>
      <c r="C397">
        <v>50</v>
      </c>
      <c r="D397">
        <v>20</v>
      </c>
      <c r="E397" s="3">
        <v>26</v>
      </c>
      <c r="F397" s="3">
        <f>1.8*E397+32</f>
        <v>78.800000000000011</v>
      </c>
      <c r="G397" s="3">
        <v>17</v>
      </c>
      <c r="H397" s="3">
        <f>IF(F397&gt;68,G397+(F397-68)*0.2,G545-(68-F397)*0.2)</f>
        <v>19.160000000000004</v>
      </c>
      <c r="I397" s="3">
        <v>23.5</v>
      </c>
      <c r="J397" s="3">
        <f>1.8*I397+32</f>
        <v>74.300000000000011</v>
      </c>
      <c r="K397" s="3">
        <v>8</v>
      </c>
      <c r="L397" s="3">
        <f>IF(J397&gt;67,K397+(J397-67)*0.2,K397-(67-J397)*0.2)</f>
        <v>9.4600000000000026</v>
      </c>
      <c r="M397" s="3">
        <f>(C397-H397)/C397*100</f>
        <v>61.679999999999993</v>
      </c>
      <c r="N397" s="3">
        <f>100-(M397+O397)</f>
        <v>19.400000000000006</v>
      </c>
      <c r="O397" s="3">
        <f>L397/C397*100</f>
        <v>18.920000000000005</v>
      </c>
      <c r="P397" s="1" t="s">
        <v>0</v>
      </c>
      <c r="Q397" s="15">
        <v>407505.11599999998</v>
      </c>
      <c r="R397" s="15">
        <v>3659896.5</v>
      </c>
      <c r="T397">
        <v>2009033</v>
      </c>
      <c r="U397" t="s">
        <v>307</v>
      </c>
      <c r="V397">
        <v>5.1639999999999998E-2</v>
      </c>
      <c r="W397">
        <v>0.37939000000000001</v>
      </c>
      <c r="X397">
        <v>3.2329999999999998E-2</v>
      </c>
      <c r="Y397">
        <v>1.4133199999999999</v>
      </c>
      <c r="Z397">
        <v>37.030670000000001</v>
      </c>
      <c r="AA397">
        <v>15.34488</v>
      </c>
      <c r="AB397">
        <v>-1.2324900000000001</v>
      </c>
      <c r="AC397" s="23">
        <v>4.5359999999999998E-2</v>
      </c>
      <c r="AD397" s="23">
        <v>0.38128000000000001</v>
      </c>
      <c r="AE397" s="23">
        <v>3.7269999999999998E-2</v>
      </c>
      <c r="AF397" s="23">
        <v>1.78003</v>
      </c>
      <c r="AG397" s="23">
        <v>113.13439</v>
      </c>
      <c r="AH397" s="23">
        <v>27.5291</v>
      </c>
      <c r="AI397" s="23">
        <v>-0.88995000000000002</v>
      </c>
      <c r="AJ397" s="25">
        <v>4.7139329166666668</v>
      </c>
      <c r="AK397" s="25">
        <v>0.3808592700596139</v>
      </c>
      <c r="AL397" s="25">
        <v>9.2230344190661923E-2</v>
      </c>
      <c r="AM397" s="25">
        <v>4.7776236725486393E-2</v>
      </c>
      <c r="AN397" s="24">
        <v>1.6407229343420233</v>
      </c>
      <c r="AO397" s="23">
        <v>-99</v>
      </c>
    </row>
    <row r="398" spans="1:41" x14ac:dyDescent="0.25">
      <c r="A398" s="4">
        <v>72</v>
      </c>
      <c r="B398">
        <v>180</v>
      </c>
      <c r="C398">
        <v>50</v>
      </c>
      <c r="D398">
        <v>20</v>
      </c>
      <c r="E398" s="3">
        <v>26</v>
      </c>
      <c r="F398" s="3">
        <f>1.8*E398+32</f>
        <v>78.800000000000011</v>
      </c>
      <c r="G398" s="3">
        <v>17</v>
      </c>
      <c r="H398" s="3">
        <f>IF(F398&gt;68,G398+(F398-68)*0.2,G546-(68-F398)*0.2)</f>
        <v>19.160000000000004</v>
      </c>
      <c r="I398" s="3">
        <v>23.5</v>
      </c>
      <c r="J398" s="3">
        <f>1.8*I398+32</f>
        <v>74.300000000000011</v>
      </c>
      <c r="K398" s="3">
        <v>9</v>
      </c>
      <c r="L398" s="3">
        <f>IF(J398&gt;67,K398+(J398-67)*0.2,K398-(67-J398)*0.2)</f>
        <v>10.460000000000003</v>
      </c>
      <c r="M398" s="3">
        <f>(C398-H398)/C398*100</f>
        <v>61.679999999999993</v>
      </c>
      <c r="N398" s="3">
        <f>100-(M398+O398)</f>
        <v>17.400000000000006</v>
      </c>
      <c r="O398" s="3">
        <f>L398/C398*100</f>
        <v>20.920000000000005</v>
      </c>
      <c r="P398" s="1" t="s">
        <v>2</v>
      </c>
      <c r="Q398" s="15">
        <v>407505.11599999998</v>
      </c>
      <c r="R398" s="15">
        <v>3659896.5</v>
      </c>
      <c r="T398">
        <v>2009033</v>
      </c>
      <c r="U398" t="s">
        <v>306</v>
      </c>
      <c r="V398">
        <v>5.3940000000000002E-2</v>
      </c>
      <c r="W398">
        <v>0.38096999999999998</v>
      </c>
      <c r="X398">
        <v>3.0599999999999999E-2</v>
      </c>
      <c r="Y398">
        <v>1.37626</v>
      </c>
      <c r="Z398">
        <v>28.6082</v>
      </c>
      <c r="AA398">
        <v>13.3323</v>
      </c>
      <c r="AB398">
        <v>-1.31599</v>
      </c>
      <c r="AC398" s="23">
        <v>4.861E-2</v>
      </c>
      <c r="AD398" s="23">
        <v>0.37862000000000001</v>
      </c>
      <c r="AE398" s="23">
        <v>3.4729999999999997E-2</v>
      </c>
      <c r="AF398" s="23">
        <v>1.74424</v>
      </c>
      <c r="AG398" s="23">
        <v>104.19754</v>
      </c>
      <c r="AH398" s="23">
        <v>22.962489999999999</v>
      </c>
      <c r="AI398" s="23">
        <v>-0.91030999999999995</v>
      </c>
      <c r="AJ398" s="25">
        <v>4.3415641666666671</v>
      </c>
      <c r="AK398" s="25">
        <v>0.37821969464547905</v>
      </c>
      <c r="AL398" s="25">
        <v>0.10166371587476082</v>
      </c>
      <c r="AM398" s="25">
        <v>5.1747440018854875E-2</v>
      </c>
      <c r="AN398" s="24">
        <v>1.6477178091894806</v>
      </c>
      <c r="AO398" s="23">
        <v>-99</v>
      </c>
    </row>
    <row r="399" spans="1:41" x14ac:dyDescent="0.25">
      <c r="Q399" s="18"/>
      <c r="R399" s="18"/>
      <c r="T399">
        <v>2009033</v>
      </c>
      <c r="U399" t="s">
        <v>305</v>
      </c>
      <c r="V399">
        <v>5.7619999999999998E-2</v>
      </c>
      <c r="W399">
        <v>0.37756000000000001</v>
      </c>
      <c r="X399">
        <v>2.9780000000000001E-2</v>
      </c>
      <c r="Y399">
        <v>1.3677900000000001</v>
      </c>
      <c r="Z399">
        <v>24.933009999999999</v>
      </c>
      <c r="AA399">
        <v>11.901210000000001</v>
      </c>
      <c r="AB399">
        <v>-1.37601</v>
      </c>
      <c r="AC399" s="23">
        <v>5.6899999999999999E-2</v>
      </c>
      <c r="AD399" s="23">
        <v>0.38155</v>
      </c>
      <c r="AE399" s="23">
        <v>2.9309999999999999E-2</v>
      </c>
      <c r="AF399" s="23">
        <v>1.35849</v>
      </c>
      <c r="AG399" s="23">
        <v>23.678920000000002</v>
      </c>
      <c r="AH399" s="23">
        <v>11.859249999999999</v>
      </c>
      <c r="AI399" s="23">
        <v>-1.3752599999999999</v>
      </c>
      <c r="AJ399" s="25">
        <v>0.98662166666666673</v>
      </c>
      <c r="AK399" s="25">
        <v>0.38084525651074963</v>
      </c>
      <c r="AL399" s="25">
        <v>0.19868473978198659</v>
      </c>
      <c r="AM399" s="25">
        <v>9.3531823640725223E-2</v>
      </c>
      <c r="AN399" s="24">
        <v>1.6407600702465135</v>
      </c>
      <c r="AO399" s="23">
        <v>-99</v>
      </c>
    </row>
    <row r="400" spans="1:41" ht="51.75" x14ac:dyDescent="0.25">
      <c r="A400" s="14" t="s">
        <v>21</v>
      </c>
      <c r="B400" s="9" t="s">
        <v>20</v>
      </c>
      <c r="C400" s="13" t="s">
        <v>19</v>
      </c>
      <c r="D400" s="12" t="s">
        <v>18</v>
      </c>
      <c r="E400" s="11" t="s">
        <v>17</v>
      </c>
      <c r="F400" s="11" t="s">
        <v>16</v>
      </c>
      <c r="G400" s="11" t="s">
        <v>15</v>
      </c>
      <c r="H400" s="11" t="s">
        <v>14</v>
      </c>
      <c r="I400" s="11" t="s">
        <v>13</v>
      </c>
      <c r="J400" s="11" t="s">
        <v>12</v>
      </c>
      <c r="K400" s="11" t="s">
        <v>11</v>
      </c>
      <c r="L400" s="11" t="s">
        <v>10</v>
      </c>
      <c r="M400" s="10" t="s">
        <v>9</v>
      </c>
      <c r="N400" s="10" t="s">
        <v>8</v>
      </c>
      <c r="O400" s="10" t="s">
        <v>7</v>
      </c>
      <c r="P400" s="9" t="s">
        <v>6</v>
      </c>
      <c r="Q400" s="21" t="s">
        <v>5</v>
      </c>
      <c r="R400" s="20"/>
      <c r="T400">
        <v>2009033</v>
      </c>
      <c r="U400" t="s">
        <v>304</v>
      </c>
      <c r="V400">
        <v>4.5359999999999998E-2</v>
      </c>
      <c r="W400">
        <v>0.38128000000000001</v>
      </c>
      <c r="X400">
        <v>3.7269999999999998E-2</v>
      </c>
      <c r="Y400">
        <v>1.78003</v>
      </c>
      <c r="Z400">
        <v>113.13439</v>
      </c>
      <c r="AA400">
        <v>27.5291</v>
      </c>
      <c r="AB400">
        <v>-0.88995000000000002</v>
      </c>
      <c r="AC400" s="23">
        <v>5.2999999999999999E-2</v>
      </c>
      <c r="AD400" s="23">
        <v>0.38279999999999997</v>
      </c>
      <c r="AE400" s="23">
        <v>2.9929999999999998E-2</v>
      </c>
      <c r="AF400" s="23">
        <v>1.37477</v>
      </c>
      <c r="AG400" s="23">
        <v>28.123640000000002</v>
      </c>
      <c r="AH400" s="23">
        <v>13.2211</v>
      </c>
      <c r="AI400" s="23">
        <v>-1.2874300000000001</v>
      </c>
      <c r="AJ400" s="25">
        <v>1.1718183333333334</v>
      </c>
      <c r="AK400" s="25">
        <v>0.3820812630325609</v>
      </c>
      <c r="AL400" s="25">
        <v>0.19075552496771531</v>
      </c>
      <c r="AM400" s="25">
        <v>8.6439492615911814E-2</v>
      </c>
      <c r="AN400" s="24">
        <v>1.6374846529637135</v>
      </c>
      <c r="AO400" s="23">
        <v>-99</v>
      </c>
    </row>
    <row r="401" spans="1:41" x14ac:dyDescent="0.25"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1"/>
      <c r="Q401" s="5" t="s">
        <v>4</v>
      </c>
      <c r="R401" s="5" t="s">
        <v>3</v>
      </c>
      <c r="T401">
        <v>2009033</v>
      </c>
      <c r="U401" t="s">
        <v>303</v>
      </c>
      <c r="V401">
        <v>4.861E-2</v>
      </c>
      <c r="W401">
        <v>0.37862000000000001</v>
      </c>
      <c r="X401">
        <v>3.4729999999999997E-2</v>
      </c>
      <c r="Y401">
        <v>1.74424</v>
      </c>
      <c r="Z401">
        <v>104.19754</v>
      </c>
      <c r="AA401">
        <v>22.962489999999999</v>
      </c>
      <c r="AB401">
        <v>-0.91030999999999995</v>
      </c>
      <c r="AC401" s="23">
        <v>4.6330000000000003E-2</v>
      </c>
      <c r="AD401" s="23">
        <v>0.38042999999999999</v>
      </c>
      <c r="AE401" s="23">
        <v>3.6299999999999999E-2</v>
      </c>
      <c r="AF401" s="23">
        <v>1.6560299999999999</v>
      </c>
      <c r="AG401" s="23">
        <v>87.535359999999997</v>
      </c>
      <c r="AH401" s="23">
        <v>24.28697</v>
      </c>
      <c r="AI401" s="23">
        <v>-0.94608999999999999</v>
      </c>
      <c r="AJ401" s="25">
        <v>3.6473066666666667</v>
      </c>
      <c r="AK401" s="25">
        <v>0.37988594020318162</v>
      </c>
      <c r="AL401" s="25">
        <v>0.11105456855929355</v>
      </c>
      <c r="AM401" s="25">
        <v>5.1687654661940086E-2</v>
      </c>
      <c r="AN401" s="24">
        <v>1.6433022584615689</v>
      </c>
      <c r="AO401" s="23">
        <v>-99</v>
      </c>
    </row>
    <row r="402" spans="1:41" x14ac:dyDescent="0.25">
      <c r="A402" s="4">
        <v>73</v>
      </c>
      <c r="B402">
        <v>30</v>
      </c>
      <c r="C402">
        <v>50</v>
      </c>
      <c r="D402">
        <v>20</v>
      </c>
      <c r="E402" s="3">
        <v>26</v>
      </c>
      <c r="F402" s="3">
        <f>1.8*E402+32</f>
        <v>78.800000000000011</v>
      </c>
      <c r="G402" s="3">
        <v>15</v>
      </c>
      <c r="H402" s="3">
        <f>IF(F402&gt;68,G402+(F402-68)*0.2,G550-(68-F402)*0.2)</f>
        <v>17.160000000000004</v>
      </c>
      <c r="I402" s="3">
        <v>23.5</v>
      </c>
      <c r="J402" s="3">
        <f>1.8*I402+32</f>
        <v>74.300000000000011</v>
      </c>
      <c r="K402" s="3">
        <v>7</v>
      </c>
      <c r="L402" s="3">
        <f>IF(J402&gt;67,K402+(J402-67)*0.2,K402-(67-J402)*0.2)</f>
        <v>8.4600000000000026</v>
      </c>
      <c r="M402" s="3">
        <f>(C402-H402)/C402*100</f>
        <v>65.679999999999993</v>
      </c>
      <c r="N402" s="3">
        <f>100-(M402+O402)</f>
        <v>17.400000000000006</v>
      </c>
      <c r="O402" s="3">
        <f>L402/C402*100</f>
        <v>16.920000000000005</v>
      </c>
      <c r="P402" s="1" t="s">
        <v>0</v>
      </c>
      <c r="Q402" s="15">
        <v>407505.11599999998</v>
      </c>
      <c r="R402" s="15">
        <v>3659923</v>
      </c>
      <c r="T402">
        <v>2009033</v>
      </c>
      <c r="U402" t="s">
        <v>302</v>
      </c>
      <c r="V402">
        <v>5.6899999999999999E-2</v>
      </c>
      <c r="W402">
        <v>0.38155</v>
      </c>
      <c r="X402">
        <v>2.9309999999999999E-2</v>
      </c>
      <c r="Y402">
        <v>1.35849</v>
      </c>
      <c r="Z402">
        <v>23.678920000000002</v>
      </c>
      <c r="AA402">
        <v>11.859249999999999</v>
      </c>
      <c r="AB402">
        <v>-1.3752599999999999</v>
      </c>
      <c r="AC402" s="23">
        <v>6.5979999999999997E-2</v>
      </c>
      <c r="AD402" s="23">
        <v>0.38883000000000001</v>
      </c>
      <c r="AE402" s="23">
        <v>2.5659999999999999E-2</v>
      </c>
      <c r="AF402" s="23">
        <v>1.32606</v>
      </c>
      <c r="AG402" s="23">
        <v>13.62148</v>
      </c>
      <c r="AH402" s="23">
        <v>8.6600099999999998</v>
      </c>
      <c r="AI402" s="23">
        <v>-1.47668</v>
      </c>
      <c r="AJ402" s="25">
        <v>0.56756166666666663</v>
      </c>
      <c r="AK402" s="25">
        <v>0.38821592946199218</v>
      </c>
      <c r="AL402" s="25">
        <v>0.22416857891250636</v>
      </c>
      <c r="AM402" s="25">
        <v>0.11232281706435088</v>
      </c>
      <c r="AN402" s="24">
        <v>1.6212277869257206</v>
      </c>
      <c r="AO402" s="23">
        <v>-99</v>
      </c>
    </row>
    <row r="403" spans="1:41" x14ac:dyDescent="0.25">
      <c r="A403" s="4">
        <v>73</v>
      </c>
      <c r="B403">
        <v>60</v>
      </c>
      <c r="C403">
        <v>50</v>
      </c>
      <c r="D403">
        <v>20</v>
      </c>
      <c r="E403" s="3">
        <v>26</v>
      </c>
      <c r="F403" s="3">
        <f>1.8*E403+32</f>
        <v>78.800000000000011</v>
      </c>
      <c r="G403" s="3">
        <v>17</v>
      </c>
      <c r="H403" s="3">
        <f>IF(F403&gt;68,G403+(F403-68)*0.2,G551-(68-F403)*0.2)</f>
        <v>19.160000000000004</v>
      </c>
      <c r="I403" s="3">
        <v>23</v>
      </c>
      <c r="J403" s="3">
        <f>1.8*I403+32</f>
        <v>73.400000000000006</v>
      </c>
      <c r="K403" s="3">
        <v>9</v>
      </c>
      <c r="L403" s="3">
        <f>IF(J403&gt;67,K403+(J403-67)*0.2,K403-(67-J403)*0.2)</f>
        <v>10.280000000000001</v>
      </c>
      <c r="M403" s="3">
        <f>(C403-H403)/C403*100</f>
        <v>61.679999999999993</v>
      </c>
      <c r="N403" s="3">
        <f>100-(M403+O403)</f>
        <v>17.760000000000005</v>
      </c>
      <c r="O403" s="3">
        <f>L403/C403*100</f>
        <v>20.560000000000002</v>
      </c>
      <c r="P403" s="1" t="s">
        <v>2</v>
      </c>
      <c r="Q403" s="15">
        <v>407505.11599999998</v>
      </c>
      <c r="R403" s="15">
        <v>3659923</v>
      </c>
      <c r="T403">
        <v>2009033</v>
      </c>
      <c r="U403" t="s">
        <v>301</v>
      </c>
      <c r="V403">
        <v>5.2999999999999999E-2</v>
      </c>
      <c r="W403">
        <v>0.38279999999999997</v>
      </c>
      <c r="X403">
        <v>2.9929999999999998E-2</v>
      </c>
      <c r="Y403">
        <v>1.37477</v>
      </c>
      <c r="Z403">
        <v>28.123640000000002</v>
      </c>
      <c r="AA403">
        <v>13.2211</v>
      </c>
      <c r="AB403">
        <v>-1.2874300000000001</v>
      </c>
      <c r="AC403" s="23">
        <v>5.6829999999999999E-2</v>
      </c>
      <c r="AD403" s="23">
        <v>0.38345000000000001</v>
      </c>
      <c r="AE403" s="23">
        <v>2.8469999999999999E-2</v>
      </c>
      <c r="AF403" s="23">
        <v>1.3583000000000001</v>
      </c>
      <c r="AG403" s="23">
        <v>22.7776</v>
      </c>
      <c r="AH403" s="23">
        <v>11.530390000000001</v>
      </c>
      <c r="AI403" s="23">
        <v>-1.3457300000000001</v>
      </c>
      <c r="AJ403" s="25">
        <v>0.94906666666666661</v>
      </c>
      <c r="AK403" s="25">
        <v>0.38276811189317261</v>
      </c>
      <c r="AL403" s="25">
        <v>0.20096505685524135</v>
      </c>
      <c r="AM403" s="25">
        <v>9.411306666093025E-2</v>
      </c>
      <c r="AN403" s="24">
        <v>1.6356645034830926</v>
      </c>
      <c r="AO403" s="23">
        <v>-99</v>
      </c>
    </row>
    <row r="404" spans="1:41" x14ac:dyDescent="0.25">
      <c r="A404" s="4">
        <v>73</v>
      </c>
      <c r="B404">
        <v>90</v>
      </c>
      <c r="C404">
        <v>50</v>
      </c>
      <c r="D404">
        <v>20</v>
      </c>
      <c r="E404" s="3">
        <v>26</v>
      </c>
      <c r="F404" s="3">
        <f>1.8*E404+32</f>
        <v>78.800000000000011</v>
      </c>
      <c r="G404" s="3">
        <v>17</v>
      </c>
      <c r="H404" s="3">
        <f>IF(F404&gt;68,G404+(F404-68)*0.2,G552-(68-F404)*0.2)</f>
        <v>19.160000000000004</v>
      </c>
      <c r="I404" s="3">
        <v>23</v>
      </c>
      <c r="J404" s="3">
        <f>1.8*I404+32</f>
        <v>73.400000000000006</v>
      </c>
      <c r="K404" s="3">
        <v>9</v>
      </c>
      <c r="L404" s="3">
        <f>IF(J404&gt;67,K404+(J404-67)*0.2,K404-(67-J404)*0.2)</f>
        <v>10.280000000000001</v>
      </c>
      <c r="M404" s="3">
        <f>(C404-H404)/C404*100</f>
        <v>61.679999999999993</v>
      </c>
      <c r="N404" s="3">
        <f>100-(M404+O404)</f>
        <v>17.760000000000005</v>
      </c>
      <c r="O404" s="3">
        <f>L404/C404*100</f>
        <v>20.560000000000002</v>
      </c>
      <c r="P404" s="1" t="s">
        <v>2</v>
      </c>
      <c r="Q404" s="15">
        <v>407505.11599999998</v>
      </c>
      <c r="R404" s="15">
        <v>3659923</v>
      </c>
      <c r="T404">
        <v>2009033</v>
      </c>
      <c r="U404" t="s">
        <v>300</v>
      </c>
      <c r="V404">
        <v>4.6330000000000003E-2</v>
      </c>
      <c r="W404">
        <v>0.38042999999999999</v>
      </c>
      <c r="X404">
        <v>3.6299999999999999E-2</v>
      </c>
      <c r="Y404">
        <v>1.6560299999999999</v>
      </c>
      <c r="Z404">
        <v>87.535359999999997</v>
      </c>
      <c r="AA404">
        <v>24.28697</v>
      </c>
      <c r="AB404">
        <v>-0.94608999999999999</v>
      </c>
      <c r="AC404" s="23">
        <v>5.7549999999999997E-2</v>
      </c>
      <c r="AD404" s="23">
        <v>0.37758999999999998</v>
      </c>
      <c r="AE404" s="23">
        <v>2.98E-2</v>
      </c>
      <c r="AF404" s="23">
        <v>1.36812</v>
      </c>
      <c r="AG404" s="23">
        <v>25.026869999999999</v>
      </c>
      <c r="AH404" s="23">
        <v>11.93056</v>
      </c>
      <c r="AI404" s="23">
        <v>-1.3746499999999999</v>
      </c>
      <c r="AJ404" s="25">
        <v>1.04278625</v>
      </c>
      <c r="AK404" s="25">
        <v>0.37688956286184627</v>
      </c>
      <c r="AL404" s="25">
        <v>0.19349419605110363</v>
      </c>
      <c r="AM404" s="25">
        <v>9.1398966153221531E-2</v>
      </c>
      <c r="AN404" s="24">
        <v>1.6512426584161073</v>
      </c>
      <c r="AO404" s="23">
        <v>-99</v>
      </c>
    </row>
    <row r="405" spans="1:41" x14ac:dyDescent="0.25">
      <c r="A405" s="4">
        <v>73</v>
      </c>
      <c r="B405">
        <v>120</v>
      </c>
      <c r="C405">
        <v>50</v>
      </c>
      <c r="D405">
        <v>20</v>
      </c>
      <c r="E405" s="3">
        <v>25.5</v>
      </c>
      <c r="F405" s="3">
        <f>1.8*E405+32</f>
        <v>77.900000000000006</v>
      </c>
      <c r="G405" s="3">
        <v>16</v>
      </c>
      <c r="H405" s="3">
        <f>IF(F405&gt;68,G405+(F405-68)*0.2,G553-(68-F405)*0.2)</f>
        <v>17.98</v>
      </c>
      <c r="I405" s="3">
        <v>23</v>
      </c>
      <c r="J405" s="3">
        <f>1.8*I405+32</f>
        <v>73.400000000000006</v>
      </c>
      <c r="K405" s="3">
        <v>10</v>
      </c>
      <c r="L405" s="3">
        <f>IF(J405&gt;67,K405+(J405-67)*0.2,K405-(67-J405)*0.2)</f>
        <v>11.280000000000001</v>
      </c>
      <c r="M405" s="3">
        <f>(C405-H405)/C405*100</f>
        <v>64.039999999999992</v>
      </c>
      <c r="N405" s="3">
        <f>100-(M405+O405)</f>
        <v>13.400000000000006</v>
      </c>
      <c r="O405" s="3">
        <f>L405/C405*100</f>
        <v>22.560000000000002</v>
      </c>
      <c r="P405" s="1" t="s">
        <v>2</v>
      </c>
      <c r="Q405" s="15">
        <v>407505.11599999998</v>
      </c>
      <c r="R405" s="15">
        <v>3659923</v>
      </c>
      <c r="T405">
        <v>2009033</v>
      </c>
      <c r="U405" t="s">
        <v>299</v>
      </c>
      <c r="V405">
        <v>6.5979999999999997E-2</v>
      </c>
      <c r="W405">
        <v>0.38883000000000001</v>
      </c>
      <c r="X405">
        <v>2.5659999999999999E-2</v>
      </c>
      <c r="Y405">
        <v>1.32606</v>
      </c>
      <c r="Z405">
        <v>13.62148</v>
      </c>
      <c r="AA405">
        <v>8.6600099999999998</v>
      </c>
      <c r="AB405">
        <v>-1.47668</v>
      </c>
      <c r="AC405" s="23">
        <v>5.3670000000000002E-2</v>
      </c>
      <c r="AD405" s="23">
        <v>0.38275999999999999</v>
      </c>
      <c r="AE405" s="23">
        <v>2.9729999999999999E-2</v>
      </c>
      <c r="AF405" s="23">
        <v>1.3719300000000001</v>
      </c>
      <c r="AG405" s="23">
        <v>27.218689999999999</v>
      </c>
      <c r="AH405" s="23">
        <v>12.93487</v>
      </c>
      <c r="AI405" s="23">
        <v>-1.2990999999999999</v>
      </c>
      <c r="AJ405" s="25">
        <v>1.1341120833333334</v>
      </c>
      <c r="AK405" s="25">
        <v>0.38204622309943365</v>
      </c>
      <c r="AL405" s="25">
        <v>0.19235938141747486</v>
      </c>
      <c r="AM405" s="25">
        <v>8.7705989185469124E-2</v>
      </c>
      <c r="AN405" s="24">
        <v>1.6375775087865005</v>
      </c>
      <c r="AO405" s="23">
        <v>-99</v>
      </c>
    </row>
    <row r="406" spans="1:41" x14ac:dyDescent="0.25">
      <c r="A406" s="4">
        <v>73</v>
      </c>
      <c r="B406">
        <v>150</v>
      </c>
      <c r="C406">
        <v>50</v>
      </c>
      <c r="D406">
        <v>20</v>
      </c>
      <c r="E406" s="3">
        <v>26</v>
      </c>
      <c r="F406" s="3">
        <f>1.8*E406+32</f>
        <v>78.800000000000011</v>
      </c>
      <c r="G406" s="3">
        <v>17</v>
      </c>
      <c r="H406" s="3">
        <f>IF(F406&gt;68,G406+(F406-68)*0.2,G554-(68-F406)*0.2)</f>
        <v>19.160000000000004</v>
      </c>
      <c r="I406" s="3">
        <v>23</v>
      </c>
      <c r="J406" s="3">
        <f>1.8*I406+32</f>
        <v>73.400000000000006</v>
      </c>
      <c r="K406" s="3">
        <v>10</v>
      </c>
      <c r="L406" s="3">
        <f>IF(J406&gt;67,K406+(J406-67)*0.2,K406-(67-J406)*0.2)</f>
        <v>11.280000000000001</v>
      </c>
      <c r="M406" s="3">
        <f>(C406-H406)/C406*100</f>
        <v>61.679999999999993</v>
      </c>
      <c r="N406" s="3">
        <f>100-(M406+O406)</f>
        <v>15.760000000000005</v>
      </c>
      <c r="O406" s="3">
        <f>L406/C406*100</f>
        <v>22.560000000000002</v>
      </c>
      <c r="P406" s="1" t="s">
        <v>2</v>
      </c>
      <c r="Q406" s="15">
        <v>407505.11599999998</v>
      </c>
      <c r="R406" s="15">
        <v>3659923</v>
      </c>
      <c r="T406">
        <v>2009033</v>
      </c>
      <c r="U406" t="s">
        <v>298</v>
      </c>
      <c r="V406">
        <v>5.6829999999999999E-2</v>
      </c>
      <c r="W406">
        <v>0.38345000000000001</v>
      </c>
      <c r="X406">
        <v>2.8469999999999999E-2</v>
      </c>
      <c r="Y406">
        <v>1.3583000000000001</v>
      </c>
      <c r="Z406">
        <v>22.7776</v>
      </c>
      <c r="AA406">
        <v>11.530390000000001</v>
      </c>
      <c r="AB406">
        <v>-1.3457300000000001</v>
      </c>
      <c r="AC406" s="23">
        <v>5.4429999999999999E-2</v>
      </c>
      <c r="AD406" s="23">
        <v>0.37912000000000001</v>
      </c>
      <c r="AE406" s="23">
        <v>3.0960000000000001E-2</v>
      </c>
      <c r="AF406" s="23">
        <v>1.3849100000000001</v>
      </c>
      <c r="AG406" s="23">
        <v>29.943960000000001</v>
      </c>
      <c r="AH406" s="23">
        <v>13.4621</v>
      </c>
      <c r="AI406" s="23">
        <v>-1.30955</v>
      </c>
      <c r="AJ406" s="25">
        <v>1.247665</v>
      </c>
      <c r="AK406" s="25">
        <v>0.37839045066166904</v>
      </c>
      <c r="AL406" s="25">
        <v>0.18528281626337209</v>
      </c>
      <c r="AM406" s="25">
        <v>8.4974356683321692E-2</v>
      </c>
      <c r="AN406" s="24">
        <v>1.6472653057465769</v>
      </c>
      <c r="AO406" s="23">
        <v>-99</v>
      </c>
    </row>
    <row r="407" spans="1:41" x14ac:dyDescent="0.25">
      <c r="A407" s="4">
        <v>73</v>
      </c>
      <c r="B407">
        <v>180</v>
      </c>
      <c r="C407">
        <v>50</v>
      </c>
      <c r="D407">
        <v>20</v>
      </c>
      <c r="E407" s="3">
        <v>26</v>
      </c>
      <c r="F407" s="3">
        <f>1.8*E407+32</f>
        <v>78.800000000000011</v>
      </c>
      <c r="G407" s="3">
        <v>15</v>
      </c>
      <c r="H407" s="3">
        <f>IF(F407&gt;68,G407+(F407-68)*0.2,G555-(68-F407)*0.2)</f>
        <v>17.160000000000004</v>
      </c>
      <c r="I407" s="3">
        <v>23</v>
      </c>
      <c r="J407" s="3">
        <f>1.8*I407+32</f>
        <v>73.400000000000006</v>
      </c>
      <c r="K407" s="3">
        <v>8</v>
      </c>
      <c r="L407" s="3">
        <f>IF(J407&gt;67,K407+(J407-67)*0.2,K407-(67-J407)*0.2)</f>
        <v>9.2800000000000011</v>
      </c>
      <c r="M407" s="3">
        <f>(C407-H407)/C407*100</f>
        <v>65.679999999999993</v>
      </c>
      <c r="N407" s="3">
        <f>100-(M407+O407)</f>
        <v>15.760000000000005</v>
      </c>
      <c r="O407" s="3">
        <f>L407/C407*100</f>
        <v>18.560000000000002</v>
      </c>
      <c r="P407" s="1" t="s">
        <v>0</v>
      </c>
      <c r="Q407" s="15">
        <v>407505.11599999998</v>
      </c>
      <c r="R407" s="15">
        <v>3659923</v>
      </c>
      <c r="T407">
        <v>2009033</v>
      </c>
      <c r="U407" t="s">
        <v>297</v>
      </c>
      <c r="V407">
        <v>5.7549999999999997E-2</v>
      </c>
      <c r="W407">
        <v>0.37758999999999998</v>
      </c>
      <c r="X407">
        <v>2.98E-2</v>
      </c>
      <c r="Y407">
        <v>1.36812</v>
      </c>
      <c r="Z407">
        <v>25.026869999999999</v>
      </c>
      <c r="AA407">
        <v>11.93056</v>
      </c>
      <c r="AB407">
        <v>-1.3746499999999999</v>
      </c>
      <c r="AC407" s="23">
        <v>4.9689999999999998E-2</v>
      </c>
      <c r="AD407" s="23">
        <v>0.37791000000000002</v>
      </c>
      <c r="AE407" s="23">
        <v>3.3829999999999999E-2</v>
      </c>
      <c r="AF407" s="23">
        <v>1.6023000000000001</v>
      </c>
      <c r="AG407" s="23">
        <v>73.727010000000007</v>
      </c>
      <c r="AH407" s="23">
        <v>19.88533</v>
      </c>
      <c r="AI407" s="23">
        <v>-0.98938000000000004</v>
      </c>
      <c r="AJ407" s="25">
        <v>3.0719587500000003</v>
      </c>
      <c r="AK407" s="25">
        <v>0.37736871934700783</v>
      </c>
      <c r="AL407" s="25">
        <v>0.12543649103526885</v>
      </c>
      <c r="AM407" s="25">
        <v>5.7393695915929882E-2</v>
      </c>
      <c r="AN407" s="24">
        <v>1.649972893730429</v>
      </c>
      <c r="AO407" s="23">
        <v>-99</v>
      </c>
    </row>
    <row r="408" spans="1:41" x14ac:dyDescent="0.25">
      <c r="A408" s="4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1"/>
      <c r="Q408" s="18"/>
      <c r="R408" s="18"/>
      <c r="T408">
        <v>2009033</v>
      </c>
      <c r="U408" t="s">
        <v>296</v>
      </c>
      <c r="V408">
        <v>5.3670000000000002E-2</v>
      </c>
      <c r="W408">
        <v>0.38275999999999999</v>
      </c>
      <c r="X408">
        <v>2.9729999999999999E-2</v>
      </c>
      <c r="Y408">
        <v>1.3719300000000001</v>
      </c>
      <c r="Z408">
        <v>27.218689999999999</v>
      </c>
      <c r="AA408">
        <v>12.93487</v>
      </c>
      <c r="AB408">
        <v>-1.2990999999999999</v>
      </c>
      <c r="AC408" s="23">
        <v>6.6540000000000002E-2</v>
      </c>
      <c r="AD408" s="23">
        <v>0.38929000000000002</v>
      </c>
      <c r="AE408" s="23">
        <v>2.555E-2</v>
      </c>
      <c r="AF408" s="23">
        <v>1.3240099999999999</v>
      </c>
      <c r="AG408" s="23">
        <v>13.21561</v>
      </c>
      <c r="AH408" s="23">
        <v>8.5354700000000001</v>
      </c>
      <c r="AI408" s="23">
        <v>-1.48753</v>
      </c>
      <c r="AJ408" s="25">
        <v>0.5506504166666667</v>
      </c>
      <c r="AK408" s="25">
        <v>0.38867792387979139</v>
      </c>
      <c r="AL408" s="25">
        <v>0.2255866653626683</v>
      </c>
      <c r="AM408" s="25">
        <v>0.11350256919772866</v>
      </c>
      <c r="AN408" s="24">
        <v>1.6200035017185528</v>
      </c>
      <c r="AO408" s="23">
        <v>-99</v>
      </c>
    </row>
    <row r="409" spans="1:41" ht="51.75" x14ac:dyDescent="0.25">
      <c r="A409" s="14" t="s">
        <v>21</v>
      </c>
      <c r="B409" s="9" t="s">
        <v>20</v>
      </c>
      <c r="C409" s="13" t="s">
        <v>19</v>
      </c>
      <c r="D409" s="12" t="s">
        <v>18</v>
      </c>
      <c r="E409" s="11" t="s">
        <v>17</v>
      </c>
      <c r="F409" s="11" t="s">
        <v>16</v>
      </c>
      <c r="G409" s="11" t="s">
        <v>15</v>
      </c>
      <c r="H409" s="11" t="s">
        <v>14</v>
      </c>
      <c r="I409" s="11" t="s">
        <v>13</v>
      </c>
      <c r="J409" s="11" t="s">
        <v>12</v>
      </c>
      <c r="K409" s="11" t="s">
        <v>11</v>
      </c>
      <c r="L409" s="11" t="s">
        <v>10</v>
      </c>
      <c r="M409" s="10" t="s">
        <v>9</v>
      </c>
      <c r="N409" s="10" t="s">
        <v>8</v>
      </c>
      <c r="O409" s="10" t="s">
        <v>7</v>
      </c>
      <c r="P409" s="9" t="s">
        <v>6</v>
      </c>
      <c r="Q409" s="21" t="s">
        <v>5</v>
      </c>
      <c r="R409" s="20"/>
      <c r="T409">
        <v>2009033</v>
      </c>
      <c r="U409" t="s">
        <v>295</v>
      </c>
      <c r="V409">
        <v>5.4429999999999999E-2</v>
      </c>
      <c r="W409">
        <v>0.37912000000000001</v>
      </c>
      <c r="X409">
        <v>3.0960000000000001E-2</v>
      </c>
      <c r="Y409">
        <v>1.3849100000000001</v>
      </c>
      <c r="Z409">
        <v>29.943960000000001</v>
      </c>
      <c r="AA409">
        <v>13.4621</v>
      </c>
      <c r="AB409">
        <v>-1.30955</v>
      </c>
      <c r="AC409" s="23">
        <v>6.0569999999999999E-2</v>
      </c>
      <c r="AD409" s="23">
        <v>0.38463999999999998</v>
      </c>
      <c r="AE409" s="23">
        <v>2.733E-2</v>
      </c>
      <c r="AF409" s="23">
        <v>1.34337</v>
      </c>
      <c r="AG409" s="23">
        <v>18.52994</v>
      </c>
      <c r="AH409" s="23">
        <v>10.22166</v>
      </c>
      <c r="AI409" s="23">
        <v>-1.4084000000000001</v>
      </c>
      <c r="AJ409" s="25">
        <v>0.77208083333333333</v>
      </c>
      <c r="AK409" s="25">
        <v>0.3839855496293833</v>
      </c>
      <c r="AL409" s="25">
        <v>0.21045091160133617</v>
      </c>
      <c r="AM409" s="25">
        <v>0.10163493249636138</v>
      </c>
      <c r="AN409" s="24">
        <v>1.632438293482134</v>
      </c>
      <c r="AO409" s="23">
        <v>-99</v>
      </c>
    </row>
    <row r="410" spans="1:41" x14ac:dyDescent="0.25">
      <c r="C410" s="16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1"/>
      <c r="Q410" s="5" t="s">
        <v>4</v>
      </c>
      <c r="R410" s="5" t="s">
        <v>3</v>
      </c>
      <c r="T410">
        <v>2009033</v>
      </c>
      <c r="U410" t="s">
        <v>294</v>
      </c>
      <c r="V410">
        <v>4.9689999999999998E-2</v>
      </c>
      <c r="W410">
        <v>0.37791000000000002</v>
      </c>
      <c r="X410">
        <v>3.3829999999999999E-2</v>
      </c>
      <c r="Y410">
        <v>1.6023000000000001</v>
      </c>
      <c r="Z410">
        <v>73.727010000000007</v>
      </c>
      <c r="AA410">
        <v>19.88533</v>
      </c>
      <c r="AB410">
        <v>-0.98938000000000004</v>
      </c>
      <c r="AC410" s="23">
        <v>6.0470000000000003E-2</v>
      </c>
      <c r="AD410" s="23">
        <v>0.38240000000000002</v>
      </c>
      <c r="AE410" s="23">
        <v>2.8170000000000001E-2</v>
      </c>
      <c r="AF410" s="23">
        <v>1.3405400000000001</v>
      </c>
      <c r="AG410" s="23">
        <v>19.16253</v>
      </c>
      <c r="AH410" s="23">
        <v>10.495950000000001</v>
      </c>
      <c r="AI410" s="23">
        <v>-1.4517500000000001</v>
      </c>
      <c r="AJ410" s="25">
        <v>0.79843874999999997</v>
      </c>
      <c r="AK410" s="25">
        <v>0.38172038875361558</v>
      </c>
      <c r="AL410" s="25">
        <v>0.20883200236587501</v>
      </c>
      <c r="AM410" s="25">
        <v>0.10153876225453928</v>
      </c>
      <c r="AN410" s="24">
        <v>1.6384409698029188</v>
      </c>
      <c r="AO410" s="23">
        <v>-99</v>
      </c>
    </row>
    <row r="411" spans="1:41" x14ac:dyDescent="0.25">
      <c r="A411" s="4">
        <v>74</v>
      </c>
      <c r="B411">
        <v>30</v>
      </c>
      <c r="C411" s="16">
        <v>50</v>
      </c>
      <c r="D411">
        <v>20</v>
      </c>
      <c r="E411" s="3">
        <v>26</v>
      </c>
      <c r="F411" s="3">
        <f>1.8*E411+32</f>
        <v>78.800000000000011</v>
      </c>
      <c r="G411" s="3">
        <v>15</v>
      </c>
      <c r="H411" s="3">
        <f>IF(F411&gt;68,G411+(F411-68)*0.2,G558-(68-F411)*0.2)</f>
        <v>17.160000000000004</v>
      </c>
      <c r="I411" s="3">
        <v>23</v>
      </c>
      <c r="J411" s="3">
        <f>1.8*I411+32</f>
        <v>73.400000000000006</v>
      </c>
      <c r="K411" s="3">
        <v>7</v>
      </c>
      <c r="L411" s="3">
        <f>IF(J411&gt;68,K411+(J411-68)*0.2,K411-(68-J411)*0.2)</f>
        <v>8.0800000000000018</v>
      </c>
      <c r="M411" s="3">
        <f>(C411-H411)/C411*100</f>
        <v>65.679999999999993</v>
      </c>
      <c r="N411" s="3">
        <f>100-(M411+O411)</f>
        <v>18.159999999999997</v>
      </c>
      <c r="O411" s="3">
        <f>L411/C411*100</f>
        <v>16.160000000000004</v>
      </c>
      <c r="P411" s="1" t="s">
        <v>0</v>
      </c>
      <c r="Q411" s="15">
        <v>407505.11599999998</v>
      </c>
      <c r="R411" s="15">
        <v>3659949.5</v>
      </c>
      <c r="T411">
        <v>2009033</v>
      </c>
      <c r="U411" t="s">
        <v>293</v>
      </c>
      <c r="V411">
        <v>6.6540000000000002E-2</v>
      </c>
      <c r="W411">
        <v>0.38929000000000002</v>
      </c>
      <c r="X411">
        <v>2.555E-2</v>
      </c>
      <c r="Y411">
        <v>1.3240099999999999</v>
      </c>
      <c r="Z411">
        <v>13.21561</v>
      </c>
      <c r="AA411">
        <v>8.5354700000000001</v>
      </c>
      <c r="AB411">
        <v>-1.48753</v>
      </c>
      <c r="AC411" s="23">
        <v>5.4260000000000003E-2</v>
      </c>
      <c r="AD411" s="23">
        <v>0.38272</v>
      </c>
      <c r="AE411" s="23">
        <v>2.9569999999999999E-2</v>
      </c>
      <c r="AF411" s="23">
        <v>1.3694</v>
      </c>
      <c r="AG411" s="23">
        <v>26.43778</v>
      </c>
      <c r="AH411" s="23">
        <v>12.691409999999999</v>
      </c>
      <c r="AI411" s="23">
        <v>-1.31009</v>
      </c>
      <c r="AJ411" s="25">
        <v>1.1015741666666667</v>
      </c>
      <c r="AK411" s="25">
        <v>0.38201006246193725</v>
      </c>
      <c r="AL411" s="25">
        <v>0.19375420437010865</v>
      </c>
      <c r="AM411" s="25">
        <v>8.8827988001785263E-2</v>
      </c>
      <c r="AN411" s="24">
        <v>1.6376733344758663</v>
      </c>
      <c r="AO411" s="23">
        <v>-99</v>
      </c>
    </row>
    <row r="412" spans="1:41" x14ac:dyDescent="0.25">
      <c r="A412" s="4">
        <v>74</v>
      </c>
      <c r="B412">
        <v>60</v>
      </c>
      <c r="C412" s="16">
        <v>50</v>
      </c>
      <c r="D412">
        <v>20</v>
      </c>
      <c r="E412" s="3">
        <v>26</v>
      </c>
      <c r="F412" s="3">
        <f>1.8*E412+32</f>
        <v>78.800000000000011</v>
      </c>
      <c r="G412" s="3">
        <v>20</v>
      </c>
      <c r="H412" s="3">
        <f>IF(F412&gt;68,G412+(F412-68)*0.2,G559-(68-F412)*0.2)</f>
        <v>22.160000000000004</v>
      </c>
      <c r="I412" s="3">
        <v>23</v>
      </c>
      <c r="J412" s="3">
        <f>1.8*I412+32</f>
        <v>73.400000000000006</v>
      </c>
      <c r="K412" s="3">
        <v>12</v>
      </c>
      <c r="L412" s="3">
        <f>IF(J412&gt;68,K412+(J412-68)*0.2,K412-(68-J412)*0.2)</f>
        <v>13.080000000000002</v>
      </c>
      <c r="M412" s="3">
        <f>(C412-H412)/C412*100</f>
        <v>55.679999999999993</v>
      </c>
      <c r="N412" s="3">
        <f>100-(M412+O412)</f>
        <v>18.159999999999997</v>
      </c>
      <c r="O412" s="3">
        <f>L412/C412*100</f>
        <v>26.160000000000004</v>
      </c>
      <c r="P412" s="1" t="s">
        <v>2</v>
      </c>
      <c r="Q412" s="15">
        <v>407505.11599999998</v>
      </c>
      <c r="R412" s="15">
        <v>3659949.5</v>
      </c>
      <c r="T412">
        <v>2009033</v>
      </c>
      <c r="U412" t="s">
        <v>292</v>
      </c>
      <c r="V412">
        <v>6.0569999999999999E-2</v>
      </c>
      <c r="W412">
        <v>0.38463999999999998</v>
      </c>
      <c r="X412">
        <v>2.733E-2</v>
      </c>
      <c r="Y412">
        <v>1.34337</v>
      </c>
      <c r="Z412">
        <v>18.52994</v>
      </c>
      <c r="AA412">
        <v>10.22166</v>
      </c>
      <c r="AB412">
        <v>-1.4084000000000001</v>
      </c>
      <c r="AC412" s="23">
        <v>5.4489999999999997E-2</v>
      </c>
      <c r="AD412" s="23">
        <v>0.38103999999999999</v>
      </c>
      <c r="AE412" s="23">
        <v>3.0349999999999999E-2</v>
      </c>
      <c r="AF412" s="23">
        <v>1.3727100000000001</v>
      </c>
      <c r="AG412" s="23">
        <v>27.617650000000001</v>
      </c>
      <c r="AH412" s="23">
        <v>13.037229999999999</v>
      </c>
      <c r="AI412" s="23">
        <v>-1.3271999999999999</v>
      </c>
      <c r="AJ412" s="25">
        <v>1.1507354166666668</v>
      </c>
      <c r="AK412" s="25">
        <v>0.38031236029186227</v>
      </c>
      <c r="AL412" s="25">
        <v>0.19085334929012054</v>
      </c>
      <c r="AM412" s="25">
        <v>8.7845456728928684E-2</v>
      </c>
      <c r="AN412" s="24">
        <v>1.6421722452265648</v>
      </c>
      <c r="AO412" s="23">
        <v>-99</v>
      </c>
    </row>
    <row r="413" spans="1:41" x14ac:dyDescent="0.25">
      <c r="A413" s="4">
        <v>74</v>
      </c>
      <c r="B413">
        <v>90</v>
      </c>
      <c r="C413" s="16">
        <v>50</v>
      </c>
      <c r="D413">
        <v>20</v>
      </c>
      <c r="E413" s="3">
        <v>26</v>
      </c>
      <c r="F413" s="3">
        <f>1.8*E413+32</f>
        <v>78.800000000000011</v>
      </c>
      <c r="G413" s="3">
        <v>19</v>
      </c>
      <c r="H413" s="3">
        <f>IF(F413&gt;68,G413+(F413-68)*0.2,G560-(68-F413)*0.2)</f>
        <v>21.160000000000004</v>
      </c>
      <c r="I413" s="3">
        <v>23</v>
      </c>
      <c r="J413" s="3">
        <f>1.8*I413+32</f>
        <v>73.400000000000006</v>
      </c>
      <c r="K413" s="3">
        <v>13</v>
      </c>
      <c r="L413" s="3">
        <f>IF(J413&gt;68,K413+(J413-68)*0.2,K413-(68-J413)*0.2)</f>
        <v>14.080000000000002</v>
      </c>
      <c r="M413" s="3">
        <f>(C413-H413)/C413*100</f>
        <v>57.68</v>
      </c>
      <c r="N413" s="3">
        <f>100-(M413+O413)</f>
        <v>14.159999999999997</v>
      </c>
      <c r="O413" s="3">
        <f>L413/C413*100</f>
        <v>28.16</v>
      </c>
      <c r="P413" s="1" t="s">
        <v>2</v>
      </c>
      <c r="Q413" s="15">
        <v>407505.11599999998</v>
      </c>
      <c r="R413" s="15">
        <v>3659949.5</v>
      </c>
      <c r="T413">
        <v>2009033</v>
      </c>
      <c r="U413" t="s">
        <v>291</v>
      </c>
      <c r="V413">
        <v>6.0470000000000003E-2</v>
      </c>
      <c r="W413">
        <v>0.38240000000000002</v>
      </c>
      <c r="X413">
        <v>2.8170000000000001E-2</v>
      </c>
      <c r="Y413">
        <v>1.3405400000000001</v>
      </c>
      <c r="Z413">
        <v>19.16253</v>
      </c>
      <c r="AA413">
        <v>10.495950000000001</v>
      </c>
      <c r="AB413">
        <v>-1.4517500000000001</v>
      </c>
      <c r="AC413" s="23">
        <v>5.3940000000000002E-2</v>
      </c>
      <c r="AD413" s="23">
        <v>0.38096999999999998</v>
      </c>
      <c r="AE413" s="23">
        <v>3.0599999999999999E-2</v>
      </c>
      <c r="AF413" s="23">
        <v>1.37626</v>
      </c>
      <c r="AG413" s="23">
        <v>28.6082</v>
      </c>
      <c r="AH413" s="23">
        <v>13.3323</v>
      </c>
      <c r="AI413" s="23">
        <v>-1.31599</v>
      </c>
      <c r="AJ413" s="25">
        <v>1.1920083333333333</v>
      </c>
      <c r="AK413" s="25">
        <v>0.38023706797601148</v>
      </c>
      <c r="AL413" s="25">
        <v>0.18898773625406023</v>
      </c>
      <c r="AM413" s="25">
        <v>8.6525784383339452E-2</v>
      </c>
      <c r="AN413" s="24">
        <v>1.6423717698635696</v>
      </c>
      <c r="AO413" s="23">
        <v>-99</v>
      </c>
    </row>
    <row r="414" spans="1:41" x14ac:dyDescent="0.25">
      <c r="A414" s="4">
        <v>74</v>
      </c>
      <c r="B414">
        <v>120</v>
      </c>
      <c r="C414" s="16">
        <v>50</v>
      </c>
      <c r="D414">
        <v>20</v>
      </c>
      <c r="E414" s="3">
        <v>26</v>
      </c>
      <c r="F414" s="3">
        <f>1.8*E414+32</f>
        <v>78.800000000000011</v>
      </c>
      <c r="G414" s="3">
        <v>19</v>
      </c>
      <c r="H414" s="3">
        <f>IF(F414&gt;68,G414+(F414-68)*0.2,G562-(68-F414)*0.2)</f>
        <v>21.160000000000004</v>
      </c>
      <c r="I414" s="3">
        <v>23</v>
      </c>
      <c r="J414" s="3">
        <f>1.8*I414+32</f>
        <v>73.400000000000006</v>
      </c>
      <c r="K414" s="3">
        <v>13</v>
      </c>
      <c r="L414" s="3">
        <f>IF(J414&gt;68,K414+(J414-68)*0.2,K414-(68-J414)*0.2)</f>
        <v>14.080000000000002</v>
      </c>
      <c r="M414" s="3">
        <f>(C414-H414)/C414*100</f>
        <v>57.68</v>
      </c>
      <c r="N414" s="3">
        <f>100-(M414+O414)</f>
        <v>14.159999999999997</v>
      </c>
      <c r="O414" s="3">
        <f>L414/C414*100</f>
        <v>28.16</v>
      </c>
      <c r="P414" s="1" t="s">
        <v>2</v>
      </c>
      <c r="Q414" s="15">
        <v>407505.11599999998</v>
      </c>
      <c r="R414" s="15">
        <v>3659949.5</v>
      </c>
      <c r="T414">
        <v>2009033</v>
      </c>
      <c r="U414" t="s">
        <v>290</v>
      </c>
      <c r="V414">
        <v>5.4260000000000003E-2</v>
      </c>
      <c r="W414">
        <v>0.38272</v>
      </c>
      <c r="X414">
        <v>2.9569999999999999E-2</v>
      </c>
      <c r="Y414">
        <v>1.3694</v>
      </c>
      <c r="Z414">
        <v>26.43778</v>
      </c>
      <c r="AA414">
        <v>12.691409999999999</v>
      </c>
      <c r="AB414">
        <v>-1.31009</v>
      </c>
      <c r="AC414" s="23">
        <v>5.7619999999999998E-2</v>
      </c>
      <c r="AD414" s="23">
        <v>0.37756000000000001</v>
      </c>
      <c r="AE414" s="23">
        <v>2.9780000000000001E-2</v>
      </c>
      <c r="AF414" s="23">
        <v>1.3677900000000001</v>
      </c>
      <c r="AG414" s="23">
        <v>24.933009999999999</v>
      </c>
      <c r="AH414" s="23">
        <v>11.901210000000001</v>
      </c>
      <c r="AI414" s="23">
        <v>-1.37601</v>
      </c>
      <c r="AJ414" s="25">
        <v>1.0388754166666667</v>
      </c>
      <c r="AK414" s="25">
        <v>0.3768600722888466</v>
      </c>
      <c r="AL414" s="25">
        <v>0.19365673608517181</v>
      </c>
      <c r="AM414" s="25">
        <v>9.1534971978942559E-2</v>
      </c>
      <c r="AN414" s="24">
        <v>1.6513208084345563</v>
      </c>
      <c r="AO414" s="23">
        <v>-99</v>
      </c>
    </row>
    <row r="415" spans="1:41" x14ac:dyDescent="0.25">
      <c r="A415" s="4">
        <v>74</v>
      </c>
      <c r="B415">
        <v>150</v>
      </c>
      <c r="C415" s="16">
        <v>50</v>
      </c>
      <c r="D415">
        <v>20</v>
      </c>
      <c r="E415" s="3">
        <v>22.5</v>
      </c>
      <c r="F415" s="3">
        <f>1.8*E415+32</f>
        <v>72.5</v>
      </c>
      <c r="G415" s="3">
        <v>16</v>
      </c>
      <c r="H415" s="3">
        <f>IF(F415&gt;68,G415+(F415-68)*0.2,G563-(68-F415)*0.2)</f>
        <v>16.899999999999999</v>
      </c>
      <c r="I415" s="3">
        <v>22</v>
      </c>
      <c r="J415" s="3">
        <f>1.8*I415+32</f>
        <v>71.599999999999994</v>
      </c>
      <c r="K415" s="3">
        <v>8</v>
      </c>
      <c r="L415" s="3">
        <f>IF(J415&gt;68,K415+(J415-68)*0.2,K415-(68-J415)*0.2)</f>
        <v>8.7199999999999989</v>
      </c>
      <c r="M415" s="3">
        <f>(C415-H415)/C415*100</f>
        <v>66.2</v>
      </c>
      <c r="N415" s="3">
        <f>100-(M415+O415)</f>
        <v>16.36</v>
      </c>
      <c r="O415" s="3">
        <f>L415/C415*100</f>
        <v>17.439999999999998</v>
      </c>
      <c r="P415" s="1" t="s">
        <v>0</v>
      </c>
      <c r="Q415" s="15">
        <v>407505.11599999998</v>
      </c>
      <c r="R415" s="15">
        <v>3659949.5</v>
      </c>
      <c r="T415">
        <v>2009033</v>
      </c>
      <c r="U415" t="s">
        <v>289</v>
      </c>
      <c r="V415">
        <v>5.4489999999999997E-2</v>
      </c>
      <c r="W415">
        <v>0.38103999999999999</v>
      </c>
      <c r="X415">
        <v>3.0349999999999999E-2</v>
      </c>
      <c r="Y415">
        <v>1.3727100000000001</v>
      </c>
      <c r="Z415">
        <v>27.617650000000001</v>
      </c>
      <c r="AA415">
        <v>13.037229999999999</v>
      </c>
      <c r="AB415">
        <v>-1.3271999999999999</v>
      </c>
      <c r="AC415" s="23">
        <v>6.5740000000000007E-2</v>
      </c>
      <c r="AD415" s="23">
        <v>0.38658999999999999</v>
      </c>
      <c r="AE415" s="23">
        <v>2.6460000000000001E-2</v>
      </c>
      <c r="AF415" s="23">
        <v>1.3202199999999999</v>
      </c>
      <c r="AG415" s="23">
        <v>14.08291</v>
      </c>
      <c r="AH415" s="23">
        <v>8.8911700000000007</v>
      </c>
      <c r="AI415" s="23">
        <v>-1.5383899999999999</v>
      </c>
      <c r="AJ415" s="25">
        <v>0.58678791666666663</v>
      </c>
      <c r="AK415" s="25">
        <v>0.38594974561725026</v>
      </c>
      <c r="AL415" s="25">
        <v>0.22346110031387656</v>
      </c>
      <c r="AM415" s="25">
        <v>0.11295862401453365</v>
      </c>
      <c r="AN415" s="24">
        <v>1.6272331741142867</v>
      </c>
      <c r="AO415" s="23">
        <v>-99</v>
      </c>
    </row>
    <row r="416" spans="1:41" x14ac:dyDescent="0.25">
      <c r="A416" s="4">
        <v>74</v>
      </c>
      <c r="B416">
        <v>180</v>
      </c>
      <c r="C416" s="16">
        <v>50</v>
      </c>
      <c r="D416">
        <v>20</v>
      </c>
      <c r="E416" s="3">
        <v>22.5</v>
      </c>
      <c r="F416" s="3">
        <f>1.8*E416+32</f>
        <v>72.5</v>
      </c>
      <c r="G416" s="3">
        <v>18</v>
      </c>
      <c r="H416" s="3">
        <f>IF(F416&gt;68,G416+(F416-68)*0.2,G564-(68-F416)*0.2)</f>
        <v>18.899999999999999</v>
      </c>
      <c r="I416" s="3">
        <v>22</v>
      </c>
      <c r="J416" s="3">
        <f>1.8*I416+32</f>
        <v>71.599999999999994</v>
      </c>
      <c r="K416" s="3">
        <v>10</v>
      </c>
      <c r="L416" s="3">
        <f>IF(J416&gt;68,K416+(J416-68)*0.2,K416-(68-J416)*0.2)</f>
        <v>10.719999999999999</v>
      </c>
      <c r="M416" s="3">
        <f>(C416-H416)/C416*100</f>
        <v>62.2</v>
      </c>
      <c r="N416" s="3">
        <f>100-(M416+O416)</f>
        <v>16.36</v>
      </c>
      <c r="O416" s="3">
        <f>L416/C416*100</f>
        <v>21.439999999999998</v>
      </c>
      <c r="P416" s="1" t="s">
        <v>2</v>
      </c>
      <c r="Q416" s="15">
        <v>407505.11599999998</v>
      </c>
      <c r="R416" s="15">
        <v>3659949.5</v>
      </c>
      <c r="T416">
        <v>2009033</v>
      </c>
      <c r="U416" t="s">
        <v>288</v>
      </c>
      <c r="V416">
        <v>5.3940000000000002E-2</v>
      </c>
      <c r="W416">
        <v>0.38096999999999998</v>
      </c>
      <c r="X416">
        <v>3.0599999999999999E-2</v>
      </c>
      <c r="Y416">
        <v>1.37626</v>
      </c>
      <c r="Z416">
        <v>28.6082</v>
      </c>
      <c r="AA416">
        <v>13.3323</v>
      </c>
      <c r="AB416">
        <v>-1.31599</v>
      </c>
      <c r="AC416" s="23">
        <v>6.2899999999999998E-2</v>
      </c>
      <c r="AD416" s="23">
        <v>0.38452999999999998</v>
      </c>
      <c r="AE416" s="23">
        <v>2.7179999999999999E-2</v>
      </c>
      <c r="AF416" s="23">
        <v>1.3312999999999999</v>
      </c>
      <c r="AG416" s="23">
        <v>16.492039999999999</v>
      </c>
      <c r="AH416" s="23">
        <v>9.6510300000000004</v>
      </c>
      <c r="AI416" s="23">
        <v>-1.48289</v>
      </c>
      <c r="AJ416" s="25">
        <v>0.68716833333333327</v>
      </c>
      <c r="AK416" s="25">
        <v>0.38387446800294084</v>
      </c>
      <c r="AL416" s="25">
        <v>0.21593700103676672</v>
      </c>
      <c r="AM416" s="25">
        <v>0.10680505136058258</v>
      </c>
      <c r="AN416" s="24">
        <v>1.6327326597922065</v>
      </c>
      <c r="AO416" s="23">
        <v>-99</v>
      </c>
    </row>
    <row r="417" spans="1:41" x14ac:dyDescent="0.25">
      <c r="Q417" s="18"/>
      <c r="R417" s="18"/>
      <c r="T417">
        <v>2009033</v>
      </c>
      <c r="U417" t="s">
        <v>287</v>
      </c>
      <c r="V417">
        <v>5.7619999999999998E-2</v>
      </c>
      <c r="W417">
        <v>0.37756000000000001</v>
      </c>
      <c r="X417">
        <v>2.9780000000000001E-2</v>
      </c>
      <c r="Y417">
        <v>1.3677900000000001</v>
      </c>
      <c r="Z417">
        <v>24.933009999999999</v>
      </c>
      <c r="AA417">
        <v>11.901210000000001</v>
      </c>
      <c r="AB417">
        <v>-1.37601</v>
      </c>
      <c r="AC417" s="23">
        <v>5.9950000000000003E-2</v>
      </c>
      <c r="AD417" s="23">
        <v>0.38256000000000001</v>
      </c>
      <c r="AE417" s="23">
        <v>2.8219999999999999E-2</v>
      </c>
      <c r="AF417" s="23">
        <v>1.3433200000000001</v>
      </c>
      <c r="AG417" s="23">
        <v>19.67502</v>
      </c>
      <c r="AH417" s="23">
        <v>10.645630000000001</v>
      </c>
      <c r="AI417" s="23">
        <v>-1.4349799999999999</v>
      </c>
      <c r="AJ417" s="25">
        <v>0.81979250000000004</v>
      </c>
      <c r="AK417" s="25">
        <v>0.38187993976293449</v>
      </c>
      <c r="AL417" s="25">
        <v>0.20761731408598386</v>
      </c>
      <c r="AM417" s="25">
        <v>0.10039492839069888</v>
      </c>
      <c r="AN417" s="24">
        <v>1.6380181596282237</v>
      </c>
      <c r="AO417" s="23">
        <v>-99</v>
      </c>
    </row>
    <row r="418" spans="1:41" ht="51.75" x14ac:dyDescent="0.25">
      <c r="A418" s="14" t="s">
        <v>21</v>
      </c>
      <c r="B418" s="9" t="s">
        <v>20</v>
      </c>
      <c r="C418" s="13" t="s">
        <v>19</v>
      </c>
      <c r="D418" s="12" t="s">
        <v>18</v>
      </c>
      <c r="E418" s="11" t="s">
        <v>17</v>
      </c>
      <c r="F418" s="11" t="s">
        <v>16</v>
      </c>
      <c r="G418" s="11" t="s">
        <v>15</v>
      </c>
      <c r="H418" s="11" t="s">
        <v>14</v>
      </c>
      <c r="I418" s="11" t="s">
        <v>13</v>
      </c>
      <c r="J418" s="11" t="s">
        <v>12</v>
      </c>
      <c r="K418" s="11" t="s">
        <v>11</v>
      </c>
      <c r="L418" s="11" t="s">
        <v>10</v>
      </c>
      <c r="M418" s="10" t="s">
        <v>9</v>
      </c>
      <c r="N418" s="10" t="s">
        <v>8</v>
      </c>
      <c r="O418" s="10" t="s">
        <v>7</v>
      </c>
      <c r="P418" s="9" t="s">
        <v>6</v>
      </c>
      <c r="Q418" s="21" t="s">
        <v>5</v>
      </c>
      <c r="R418" s="20"/>
      <c r="T418">
        <v>2009033</v>
      </c>
      <c r="U418" t="s">
        <v>286</v>
      </c>
      <c r="V418">
        <v>6.5740000000000007E-2</v>
      </c>
      <c r="W418">
        <v>0.38658999999999999</v>
      </c>
      <c r="X418">
        <v>2.6460000000000001E-2</v>
      </c>
      <c r="Y418">
        <v>1.3202199999999999</v>
      </c>
      <c r="Z418">
        <v>14.08291</v>
      </c>
      <c r="AA418">
        <v>8.8911700000000007</v>
      </c>
      <c r="AB418">
        <v>-1.5383899999999999</v>
      </c>
      <c r="AC418" s="23">
        <v>5.6890000000000003E-2</v>
      </c>
      <c r="AD418" s="23">
        <v>0.38377</v>
      </c>
      <c r="AE418" s="23">
        <v>2.828E-2</v>
      </c>
      <c r="AF418" s="23">
        <v>1.3582700000000001</v>
      </c>
      <c r="AG418" s="23">
        <v>22.54008</v>
      </c>
      <c r="AH418" s="23">
        <v>11.43548</v>
      </c>
      <c r="AI418" s="23">
        <v>-1.3401000000000001</v>
      </c>
      <c r="AJ418" s="25">
        <v>0.93916999999999995</v>
      </c>
      <c r="AK418" s="25">
        <v>0.38309368693321993</v>
      </c>
      <c r="AL418" s="25">
        <v>0.20148033531753817</v>
      </c>
      <c r="AM418" s="25">
        <v>9.4299138294477211E-2</v>
      </c>
      <c r="AN418" s="24">
        <v>1.634801729626967</v>
      </c>
      <c r="AO418" s="23">
        <v>-99</v>
      </c>
    </row>
    <row r="419" spans="1:41" x14ac:dyDescent="0.25"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1"/>
      <c r="Q419" s="5" t="s">
        <v>4</v>
      </c>
      <c r="R419" s="5" t="s">
        <v>3</v>
      </c>
      <c r="T419">
        <v>2009033</v>
      </c>
      <c r="U419" t="s">
        <v>285</v>
      </c>
      <c r="V419">
        <v>6.2899999999999998E-2</v>
      </c>
      <c r="W419">
        <v>0.38452999999999998</v>
      </c>
      <c r="X419">
        <v>2.7179999999999999E-2</v>
      </c>
      <c r="Y419">
        <v>1.3312999999999999</v>
      </c>
      <c r="Z419">
        <v>16.492039999999999</v>
      </c>
      <c r="AA419">
        <v>9.6510300000000004</v>
      </c>
      <c r="AB419">
        <v>-1.48289</v>
      </c>
      <c r="AC419" s="23">
        <v>5.7140000000000003E-2</v>
      </c>
      <c r="AD419" s="23">
        <v>0.37992999999999999</v>
      </c>
      <c r="AE419" s="23">
        <v>2.9700000000000001E-2</v>
      </c>
      <c r="AF419" s="23">
        <v>1.3605100000000001</v>
      </c>
      <c r="AG419" s="23">
        <v>24.229610000000001</v>
      </c>
      <c r="AH419" s="23">
        <v>11.96278</v>
      </c>
      <c r="AI419" s="23">
        <v>-1.3863000000000001</v>
      </c>
      <c r="AJ419" s="25">
        <v>1.0095670833333334</v>
      </c>
      <c r="AK419" s="25">
        <v>0.37921875748068085</v>
      </c>
      <c r="AL419" s="25">
        <v>0.19682708030501636</v>
      </c>
      <c r="AM419" s="25">
        <v>9.2945960814808173E-2</v>
      </c>
      <c r="AN419" s="24">
        <v>1.6450702926761955</v>
      </c>
      <c r="AO419" s="23">
        <v>-99</v>
      </c>
    </row>
    <row r="420" spans="1:41" x14ac:dyDescent="0.25">
      <c r="A420" s="4">
        <v>75</v>
      </c>
      <c r="B420">
        <v>30</v>
      </c>
      <c r="C420">
        <v>50</v>
      </c>
      <c r="D420">
        <v>20</v>
      </c>
      <c r="E420" s="3">
        <v>23</v>
      </c>
      <c r="F420" s="3">
        <f>1.8*E420+32</f>
        <v>73.400000000000006</v>
      </c>
      <c r="G420" s="3">
        <v>17</v>
      </c>
      <c r="H420" s="3">
        <f>IF(F420&gt;68,G420+(F420-68)*0.2,G568-(68-F420)*0.2)</f>
        <v>18.080000000000002</v>
      </c>
      <c r="I420" s="3">
        <v>22</v>
      </c>
      <c r="J420" s="3">
        <f>1.8*I420+32</f>
        <v>71.599999999999994</v>
      </c>
      <c r="K420" s="3">
        <v>8</v>
      </c>
      <c r="L420" s="3">
        <f>IF(J420&gt;67,K420+(J420-67)*0.2,K420-(67-J420)*0.2)</f>
        <v>8.9199999999999982</v>
      </c>
      <c r="M420" s="3">
        <f>(C420-H420)/C420*100</f>
        <v>63.839999999999996</v>
      </c>
      <c r="N420" s="3">
        <f>100-(M420+O420)</f>
        <v>18.320000000000007</v>
      </c>
      <c r="O420" s="3">
        <f>L420/C420*100</f>
        <v>17.839999999999996</v>
      </c>
      <c r="P420" s="1" t="s">
        <v>0</v>
      </c>
      <c r="Q420" s="15">
        <v>407505.11599999998</v>
      </c>
      <c r="R420" s="15">
        <v>3659976</v>
      </c>
      <c r="T420">
        <v>2009033</v>
      </c>
      <c r="U420" t="s">
        <v>284</v>
      </c>
      <c r="V420">
        <v>5.9950000000000003E-2</v>
      </c>
      <c r="W420">
        <v>0.38256000000000001</v>
      </c>
      <c r="X420">
        <v>2.8219999999999999E-2</v>
      </c>
      <c r="Y420">
        <v>1.3433200000000001</v>
      </c>
      <c r="Z420">
        <v>19.67502</v>
      </c>
      <c r="AA420">
        <v>10.645630000000001</v>
      </c>
      <c r="AB420">
        <v>-1.4349799999999999</v>
      </c>
      <c r="AC420" s="23">
        <v>5.7520000000000002E-2</v>
      </c>
      <c r="AD420" s="23">
        <v>0.37791999999999998</v>
      </c>
      <c r="AE420" s="23">
        <v>2.98E-2</v>
      </c>
      <c r="AF420" s="23">
        <v>1.36635</v>
      </c>
      <c r="AG420" s="23">
        <v>24.838539999999998</v>
      </c>
      <c r="AH420" s="23">
        <v>11.929690000000001</v>
      </c>
      <c r="AI420" s="23">
        <v>-1.3793899999999999</v>
      </c>
      <c r="AJ420" s="25">
        <v>1.0349391666666665</v>
      </c>
      <c r="AK420" s="25">
        <v>0.37721690373507666</v>
      </c>
      <c r="AL420" s="25">
        <v>0.19417035610238048</v>
      </c>
      <c r="AM420" s="25">
        <v>9.1775041398360069E-2</v>
      </c>
      <c r="AN420" s="24">
        <v>1.6503752051020468</v>
      </c>
      <c r="AO420" s="23">
        <v>-99</v>
      </c>
    </row>
    <row r="421" spans="1:41" x14ac:dyDescent="0.25">
      <c r="A421" s="4">
        <v>75</v>
      </c>
      <c r="B421">
        <v>60</v>
      </c>
      <c r="C421">
        <v>50</v>
      </c>
      <c r="D421">
        <v>20</v>
      </c>
      <c r="E421" s="3">
        <v>25.5</v>
      </c>
      <c r="F421" s="3">
        <f>1.8*E421+32</f>
        <v>77.900000000000006</v>
      </c>
      <c r="G421" s="3">
        <v>17</v>
      </c>
      <c r="H421" s="3">
        <f>IF(F421&gt;68,G421+(F421-68)*0.2,G569-(68-F421)*0.2)</f>
        <v>18.98</v>
      </c>
      <c r="I421" s="3">
        <v>23</v>
      </c>
      <c r="J421" s="3">
        <f>1.8*I421+32</f>
        <v>73.400000000000006</v>
      </c>
      <c r="K421" s="3">
        <v>10</v>
      </c>
      <c r="L421" s="3">
        <f>IF(J421&gt;67,K421+(J421-67)*0.2,K421-(67-J421)*0.2)</f>
        <v>11.280000000000001</v>
      </c>
      <c r="M421" s="3">
        <f>(C421-H421)/C421*100</f>
        <v>62.039999999999992</v>
      </c>
      <c r="N421" s="3">
        <f>100-(M421+O421)</f>
        <v>15.400000000000006</v>
      </c>
      <c r="O421" s="3">
        <f>L421/C421*100</f>
        <v>22.560000000000002</v>
      </c>
      <c r="P421" s="1" t="s">
        <v>2</v>
      </c>
      <c r="Q421" s="15">
        <v>407505.11599999998</v>
      </c>
      <c r="R421" s="15">
        <v>3659976</v>
      </c>
      <c r="T421">
        <v>2009033</v>
      </c>
      <c r="U421" t="s">
        <v>283</v>
      </c>
      <c r="V421">
        <v>5.6890000000000003E-2</v>
      </c>
      <c r="W421">
        <v>0.38377</v>
      </c>
      <c r="X421">
        <v>2.828E-2</v>
      </c>
      <c r="Y421">
        <v>1.3582700000000001</v>
      </c>
      <c r="Z421">
        <v>22.54008</v>
      </c>
      <c r="AA421">
        <v>11.43548</v>
      </c>
      <c r="AB421">
        <v>-1.3401000000000001</v>
      </c>
      <c r="AC421" s="23">
        <v>4.7989999999999998E-2</v>
      </c>
      <c r="AD421" s="23">
        <v>0.37933</v>
      </c>
      <c r="AE421" s="23">
        <v>3.4979999999999997E-2</v>
      </c>
      <c r="AF421" s="23">
        <v>1.5743</v>
      </c>
      <c r="AG421" s="23">
        <v>70.19171</v>
      </c>
      <c r="AH421" s="23">
        <v>21.05171</v>
      </c>
      <c r="AI421" s="23">
        <v>-1.0069900000000001</v>
      </c>
      <c r="AJ421" s="25">
        <v>2.9246545833333335</v>
      </c>
      <c r="AK421" s="25">
        <v>0.37871573917678303</v>
      </c>
      <c r="AL421" s="25">
        <v>0.12827458261479219</v>
      </c>
      <c r="AM421" s="25">
        <v>5.7072819147635415E-2</v>
      </c>
      <c r="AN421" s="24">
        <v>1.646403291181525</v>
      </c>
      <c r="AO421" s="23">
        <v>-99</v>
      </c>
    </row>
    <row r="422" spans="1:41" x14ac:dyDescent="0.25">
      <c r="A422" s="4">
        <v>75</v>
      </c>
      <c r="B422">
        <v>90</v>
      </c>
      <c r="C422">
        <v>50</v>
      </c>
      <c r="D422">
        <v>20</v>
      </c>
      <c r="E422" s="3">
        <v>25</v>
      </c>
      <c r="F422" s="3">
        <f>1.8*E422+32</f>
        <v>77</v>
      </c>
      <c r="G422" s="3">
        <v>20</v>
      </c>
      <c r="H422" s="3">
        <f>IF(F422&gt;68,G422+(F422-68)*0.2,G571-(68-F422)*0.2)</f>
        <v>21.8</v>
      </c>
      <c r="I422" s="3">
        <v>23</v>
      </c>
      <c r="J422" s="3">
        <f>1.8*I422+32</f>
        <v>73.400000000000006</v>
      </c>
      <c r="K422" s="3">
        <v>11</v>
      </c>
      <c r="L422" s="3">
        <f>IF(J422&gt;67,K422+(J422-67)*0.2,K422-(67-J422)*0.2)</f>
        <v>12.280000000000001</v>
      </c>
      <c r="M422" s="3">
        <f>(C422-H422)/C422*100</f>
        <v>56.399999999999991</v>
      </c>
      <c r="N422" s="3">
        <f>100-(M422+O422)</f>
        <v>19.040000000000006</v>
      </c>
      <c r="O422" s="3">
        <f>L422/C422*100</f>
        <v>24.560000000000002</v>
      </c>
      <c r="P422" s="1" t="s">
        <v>2</v>
      </c>
      <c r="Q422" s="15">
        <v>407505.11599999998</v>
      </c>
      <c r="R422" s="15">
        <v>3659976</v>
      </c>
      <c r="T422">
        <v>2009033</v>
      </c>
      <c r="U422" t="s">
        <v>282</v>
      </c>
      <c r="V422">
        <v>5.7140000000000003E-2</v>
      </c>
      <c r="W422">
        <v>0.37992999999999999</v>
      </c>
      <c r="X422">
        <v>2.9700000000000001E-2</v>
      </c>
      <c r="Y422">
        <v>1.3605100000000001</v>
      </c>
      <c r="Z422">
        <v>24.229610000000001</v>
      </c>
      <c r="AA422">
        <v>11.96278</v>
      </c>
      <c r="AB422">
        <v>-1.3863000000000001</v>
      </c>
      <c r="AC422" s="23">
        <v>5.3679999999999999E-2</v>
      </c>
      <c r="AD422" s="23">
        <v>0.37574000000000002</v>
      </c>
      <c r="AE422" s="23">
        <v>3.1289999999999998E-2</v>
      </c>
      <c r="AF422" s="23">
        <v>1.4766699999999999</v>
      </c>
      <c r="AG422" s="23">
        <v>44.730359999999997</v>
      </c>
      <c r="AH422" s="23">
        <v>14.97892</v>
      </c>
      <c r="AI422" s="23">
        <v>-1.1278600000000001</v>
      </c>
      <c r="AJ422" s="25">
        <v>1.8637649999999999</v>
      </c>
      <c r="AK422" s="25">
        <v>0.37511861241780692</v>
      </c>
      <c r="AL422" s="25">
        <v>0.15801346414161516</v>
      </c>
      <c r="AM422" s="25">
        <v>7.0839257223589608E-2</v>
      </c>
      <c r="AN422" s="24">
        <v>1.6559356770928115</v>
      </c>
      <c r="AO422" s="23">
        <v>-99</v>
      </c>
    </row>
    <row r="423" spans="1:41" x14ac:dyDescent="0.25">
      <c r="A423" s="4">
        <v>75</v>
      </c>
      <c r="B423">
        <v>120</v>
      </c>
      <c r="C423">
        <v>50</v>
      </c>
      <c r="D423">
        <v>20</v>
      </c>
      <c r="E423" s="3">
        <v>25</v>
      </c>
      <c r="F423" s="3">
        <f>1.8*E423+32</f>
        <v>77</v>
      </c>
      <c r="G423" s="3">
        <v>22</v>
      </c>
      <c r="H423" s="3">
        <f>IF(F423&gt;68,G423+(F423-68)*0.2,G572-(68-F423)*0.2)</f>
        <v>23.8</v>
      </c>
      <c r="I423" s="3">
        <v>23</v>
      </c>
      <c r="J423" s="3">
        <f>1.8*I423+32</f>
        <v>73.400000000000006</v>
      </c>
      <c r="K423" s="3">
        <v>14</v>
      </c>
      <c r="L423" s="3">
        <f>IF(J423&gt;67,K423+(J423-67)*0.2,K423-(67-J423)*0.2)</f>
        <v>15.280000000000001</v>
      </c>
      <c r="M423" s="3">
        <f>(C423-H423)/C423*100</f>
        <v>52.400000000000006</v>
      </c>
      <c r="N423" s="3">
        <f>100-(M423+O423)</f>
        <v>17.039999999999992</v>
      </c>
      <c r="O423" s="3">
        <f>L423/C423*100</f>
        <v>30.560000000000002</v>
      </c>
      <c r="P423" s="1" t="s">
        <v>2</v>
      </c>
      <c r="Q423" s="15">
        <v>407505.11599999998</v>
      </c>
      <c r="R423" s="15">
        <v>3659976</v>
      </c>
      <c r="T423">
        <v>2009033</v>
      </c>
      <c r="U423" t="s">
        <v>281</v>
      </c>
      <c r="V423">
        <v>5.7520000000000002E-2</v>
      </c>
      <c r="W423">
        <v>0.37791999999999998</v>
      </c>
      <c r="X423">
        <v>2.98E-2</v>
      </c>
      <c r="Y423">
        <v>1.36635</v>
      </c>
      <c r="Z423">
        <v>24.838539999999998</v>
      </c>
      <c r="AA423">
        <v>11.929690000000001</v>
      </c>
      <c r="AB423">
        <v>-1.3793899999999999</v>
      </c>
      <c r="AC423" s="23">
        <v>5.5710000000000003E-2</v>
      </c>
      <c r="AD423" s="23">
        <v>0.38545000000000001</v>
      </c>
      <c r="AE423" s="23">
        <v>2.7269999999999999E-2</v>
      </c>
      <c r="AF423" s="23">
        <v>1.3655299999999999</v>
      </c>
      <c r="AG423" s="23">
        <v>22.832090000000001</v>
      </c>
      <c r="AH423" s="23">
        <v>11.28496</v>
      </c>
      <c r="AI423" s="23">
        <v>-1.2671699999999999</v>
      </c>
      <c r="AJ423" s="25">
        <v>0.95133708333333333</v>
      </c>
      <c r="AK423" s="25">
        <v>0.38480780209777604</v>
      </c>
      <c r="AL423" s="25">
        <v>0.20104398884909719</v>
      </c>
      <c r="AM423" s="25">
        <v>9.2308009478603931E-2</v>
      </c>
      <c r="AN423" s="24">
        <v>1.6302593244408934</v>
      </c>
      <c r="AO423" s="23">
        <v>-99</v>
      </c>
    </row>
    <row r="424" spans="1:41" x14ac:dyDescent="0.25">
      <c r="A424" s="4">
        <v>75</v>
      </c>
      <c r="B424">
        <v>150</v>
      </c>
      <c r="C424">
        <v>50</v>
      </c>
      <c r="D424">
        <v>20</v>
      </c>
      <c r="E424" s="3">
        <v>26</v>
      </c>
      <c r="F424" s="3">
        <f>1.8*E424+32</f>
        <v>78.800000000000011</v>
      </c>
      <c r="G424" s="3">
        <v>20</v>
      </c>
      <c r="H424" s="3">
        <f>IF(F424&gt;68,G424+(F424-68)*0.2,G573-(68-F424)*0.2)</f>
        <v>22.160000000000004</v>
      </c>
      <c r="I424" s="3">
        <v>23</v>
      </c>
      <c r="J424" s="3">
        <f>1.8*I424+32</f>
        <v>73.400000000000006</v>
      </c>
      <c r="K424" s="3">
        <v>11</v>
      </c>
      <c r="L424" s="3">
        <f>IF(J424&gt;67,K424+(J424-67)*0.2,K424-(67-J424)*0.2)</f>
        <v>12.280000000000001</v>
      </c>
      <c r="M424" s="3">
        <f>(C424-H424)/C424*100</f>
        <v>55.679999999999993</v>
      </c>
      <c r="N424" s="3">
        <f>100-(M424+O424)</f>
        <v>19.760000000000005</v>
      </c>
      <c r="O424" s="3">
        <f>L424/C424*100</f>
        <v>24.560000000000002</v>
      </c>
      <c r="P424" s="1" t="s">
        <v>2</v>
      </c>
      <c r="Q424" s="15">
        <v>407505.11599999998</v>
      </c>
      <c r="R424" s="15">
        <v>3659976</v>
      </c>
      <c r="T424">
        <v>2009033</v>
      </c>
      <c r="U424" t="s">
        <v>280</v>
      </c>
      <c r="V424">
        <v>4.7989999999999998E-2</v>
      </c>
      <c r="W424">
        <v>0.37933</v>
      </c>
      <c r="X424">
        <v>3.4979999999999997E-2</v>
      </c>
      <c r="Y424">
        <v>1.5743</v>
      </c>
      <c r="Z424">
        <v>70.19171</v>
      </c>
      <c r="AA424">
        <v>21.05171</v>
      </c>
      <c r="AB424">
        <v>-1.0069900000000001</v>
      </c>
      <c r="AC424" s="23">
        <v>5.8900000000000001E-2</v>
      </c>
      <c r="AD424" s="23">
        <v>0.38496999999999998</v>
      </c>
      <c r="AE424" s="23">
        <v>2.7320000000000001E-2</v>
      </c>
      <c r="AF424" s="23">
        <v>1.35171</v>
      </c>
      <c r="AG424" s="23">
        <v>19.98264</v>
      </c>
      <c r="AH424" s="23">
        <v>10.59571</v>
      </c>
      <c r="AI424" s="23">
        <v>-1.35528</v>
      </c>
      <c r="AJ424" s="25">
        <v>0.83260999999999996</v>
      </c>
      <c r="AK424" s="25">
        <v>0.3843197401592911</v>
      </c>
      <c r="AL424" s="25">
        <v>0.20697224825320423</v>
      </c>
      <c r="AM424" s="25">
        <v>9.8201572520293157E-2</v>
      </c>
      <c r="AN424" s="24">
        <v>1.6315526885778786</v>
      </c>
      <c r="AO424" s="23">
        <v>-99</v>
      </c>
    </row>
    <row r="425" spans="1:41" x14ac:dyDescent="0.25">
      <c r="A425" s="4">
        <v>75</v>
      </c>
      <c r="B425">
        <v>180</v>
      </c>
      <c r="C425">
        <v>50</v>
      </c>
      <c r="D425">
        <v>20</v>
      </c>
      <c r="E425" s="3">
        <v>26</v>
      </c>
      <c r="F425" s="3">
        <f>1.8*E425+32</f>
        <v>78.800000000000011</v>
      </c>
      <c r="G425" s="3">
        <v>16</v>
      </c>
      <c r="H425" s="3">
        <f>IF(F425&gt;68,G425+(F425-68)*0.2,G574-(68-F425)*0.2)</f>
        <v>18.160000000000004</v>
      </c>
      <c r="I425" s="3">
        <v>23</v>
      </c>
      <c r="J425" s="3">
        <f>1.8*I425+32</f>
        <v>73.400000000000006</v>
      </c>
      <c r="K425" s="3">
        <v>9</v>
      </c>
      <c r="L425" s="3">
        <f>IF(J425&gt;67,K425+(J425-67)*0.2,K425-(67-J425)*0.2)</f>
        <v>10.280000000000001</v>
      </c>
      <c r="M425" s="3">
        <f>(C425-H425)/C425*100</f>
        <v>63.679999999999993</v>
      </c>
      <c r="N425" s="3">
        <f>100-(M425+O425)</f>
        <v>15.760000000000005</v>
      </c>
      <c r="O425" s="3">
        <f>L425/C425*100</f>
        <v>20.560000000000002</v>
      </c>
      <c r="P425" s="1" t="s">
        <v>2</v>
      </c>
      <c r="Q425" s="15">
        <v>407505.11599999998</v>
      </c>
      <c r="R425" s="15">
        <v>3659976</v>
      </c>
      <c r="T425">
        <v>2009033</v>
      </c>
      <c r="U425" t="s">
        <v>279</v>
      </c>
      <c r="V425">
        <v>5.3679999999999999E-2</v>
      </c>
      <c r="W425">
        <v>0.37574000000000002</v>
      </c>
      <c r="X425">
        <v>3.1289999999999998E-2</v>
      </c>
      <c r="Y425">
        <v>1.4766699999999999</v>
      </c>
      <c r="Z425">
        <v>44.730359999999997</v>
      </c>
      <c r="AA425">
        <v>14.97892</v>
      </c>
      <c r="AB425">
        <v>-1.1278600000000001</v>
      </c>
      <c r="AC425" s="23">
        <v>5.6390000000000003E-2</v>
      </c>
      <c r="AD425" s="23">
        <v>0.38107999999999997</v>
      </c>
      <c r="AE425" s="23">
        <v>2.964E-2</v>
      </c>
      <c r="AF425" s="23">
        <v>1.36192</v>
      </c>
      <c r="AG425" s="23">
        <v>24.654499999999999</v>
      </c>
      <c r="AH425" s="23">
        <v>12.14466</v>
      </c>
      <c r="AI425" s="23">
        <v>-1.3673500000000001</v>
      </c>
      <c r="AJ425" s="25">
        <v>1.0272708333333334</v>
      </c>
      <c r="AK425" s="25">
        <v>0.38036800230081363</v>
      </c>
      <c r="AL425" s="25">
        <v>0.19654471866118414</v>
      </c>
      <c r="AM425" s="25">
        <v>9.2124461304038285E-2</v>
      </c>
      <c r="AN425" s="24">
        <v>1.6420247939028441</v>
      </c>
      <c r="AO425" s="23">
        <v>-99</v>
      </c>
    </row>
    <row r="426" spans="1:41" x14ac:dyDescent="0.25">
      <c r="Q426" s="18"/>
      <c r="R426" s="18"/>
      <c r="T426">
        <v>2009033</v>
      </c>
      <c r="U426" t="s">
        <v>278</v>
      </c>
      <c r="V426">
        <v>5.5710000000000003E-2</v>
      </c>
      <c r="W426">
        <v>0.38545000000000001</v>
      </c>
      <c r="X426">
        <v>2.7269999999999999E-2</v>
      </c>
      <c r="Y426">
        <v>1.3655299999999999</v>
      </c>
      <c r="Z426">
        <v>22.832090000000001</v>
      </c>
      <c r="AA426">
        <v>11.28496</v>
      </c>
      <c r="AB426">
        <v>-1.2671699999999999</v>
      </c>
      <c r="AC426" s="23">
        <v>5.3339999999999999E-2</v>
      </c>
      <c r="AD426" s="23">
        <v>0.38095000000000001</v>
      </c>
      <c r="AE426" s="23">
        <v>3.0880000000000001E-2</v>
      </c>
      <c r="AF426" s="23">
        <v>1.38025</v>
      </c>
      <c r="AG426" s="23">
        <v>29.731680000000001</v>
      </c>
      <c r="AH426" s="23">
        <v>13.66996</v>
      </c>
      <c r="AI426" s="23">
        <v>-1.3033399999999999</v>
      </c>
      <c r="AJ426" s="25">
        <v>1.23882</v>
      </c>
      <c r="AK426" s="25">
        <v>0.3802111188960231</v>
      </c>
      <c r="AL426" s="25">
        <v>0.18693653342278796</v>
      </c>
      <c r="AM426" s="25">
        <v>8.508487567055989E-2</v>
      </c>
      <c r="AN426" s="24">
        <v>1.6424405349255387</v>
      </c>
      <c r="AO426" s="23">
        <v>-99</v>
      </c>
    </row>
    <row r="427" spans="1:41" ht="51.75" x14ac:dyDescent="0.25">
      <c r="A427" s="14" t="s">
        <v>21</v>
      </c>
      <c r="B427" s="9" t="s">
        <v>20</v>
      </c>
      <c r="C427" s="13" t="s">
        <v>19</v>
      </c>
      <c r="D427" s="12" t="s">
        <v>18</v>
      </c>
      <c r="E427" s="11" t="s">
        <v>17</v>
      </c>
      <c r="F427" s="11" t="s">
        <v>16</v>
      </c>
      <c r="G427" s="11" t="s">
        <v>15</v>
      </c>
      <c r="H427" s="11" t="s">
        <v>14</v>
      </c>
      <c r="I427" s="11" t="s">
        <v>13</v>
      </c>
      <c r="J427" s="11" t="s">
        <v>12</v>
      </c>
      <c r="K427" s="11" t="s">
        <v>11</v>
      </c>
      <c r="L427" s="11" t="s">
        <v>10</v>
      </c>
      <c r="M427" s="10" t="s">
        <v>9</v>
      </c>
      <c r="N427" s="10" t="s">
        <v>8</v>
      </c>
      <c r="O427" s="10" t="s">
        <v>7</v>
      </c>
      <c r="P427" s="9" t="s">
        <v>6</v>
      </c>
      <c r="Q427" s="21" t="s">
        <v>5</v>
      </c>
      <c r="R427" s="20"/>
      <c r="T427">
        <v>2009033</v>
      </c>
      <c r="U427" t="s">
        <v>277</v>
      </c>
      <c r="V427">
        <v>5.8900000000000001E-2</v>
      </c>
      <c r="W427">
        <v>0.38496999999999998</v>
      </c>
      <c r="X427">
        <v>2.7320000000000001E-2</v>
      </c>
      <c r="Y427">
        <v>1.35171</v>
      </c>
      <c r="Z427">
        <v>19.98264</v>
      </c>
      <c r="AA427">
        <v>10.59571</v>
      </c>
      <c r="AB427">
        <v>-1.35528</v>
      </c>
      <c r="AC427" s="23">
        <v>5.6300000000000003E-2</v>
      </c>
      <c r="AD427" s="23">
        <v>0.38208999999999999</v>
      </c>
      <c r="AE427" s="23">
        <v>2.928E-2</v>
      </c>
      <c r="AF427" s="23">
        <v>1.36084</v>
      </c>
      <c r="AG427" s="23">
        <v>24.165389999999999</v>
      </c>
      <c r="AH427" s="23">
        <v>12.00629</v>
      </c>
      <c r="AI427" s="23">
        <v>-1.3571500000000001</v>
      </c>
      <c r="AJ427" s="25">
        <v>1.00689125</v>
      </c>
      <c r="AK427" s="25">
        <v>0.38138619531031132</v>
      </c>
      <c r="AL427" s="25">
        <v>0.19787362620474064</v>
      </c>
      <c r="AM427" s="25">
        <v>9.2551860487424531E-2</v>
      </c>
      <c r="AN427" s="24">
        <v>1.639326582427675</v>
      </c>
      <c r="AO427" s="23">
        <v>-99</v>
      </c>
    </row>
    <row r="428" spans="1:41" x14ac:dyDescent="0.25"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1"/>
      <c r="Q428" s="5" t="s">
        <v>4</v>
      </c>
      <c r="R428" s="5" t="s">
        <v>3</v>
      </c>
      <c r="T428">
        <v>2009033</v>
      </c>
      <c r="U428" t="s">
        <v>276</v>
      </c>
      <c r="V428">
        <v>5.6390000000000003E-2</v>
      </c>
      <c r="W428">
        <v>0.38107999999999997</v>
      </c>
      <c r="X428">
        <v>2.964E-2</v>
      </c>
      <c r="Y428">
        <v>1.36192</v>
      </c>
      <c r="Z428">
        <v>24.654499999999999</v>
      </c>
      <c r="AA428">
        <v>12.14466</v>
      </c>
      <c r="AB428">
        <v>-1.3673500000000001</v>
      </c>
      <c r="AC428" s="23">
        <v>5.6250000000000001E-2</v>
      </c>
      <c r="AD428" s="23">
        <v>0.38325999999999999</v>
      </c>
      <c r="AE428" s="23">
        <v>2.87E-2</v>
      </c>
      <c r="AF428" s="23">
        <v>1.3606499999999999</v>
      </c>
      <c r="AG428" s="23">
        <v>23.54195</v>
      </c>
      <c r="AH428" s="23">
        <v>11.77164</v>
      </c>
      <c r="AI428" s="23">
        <v>-1.3377399999999999</v>
      </c>
      <c r="AJ428" s="25">
        <v>0.98091458333333337</v>
      </c>
      <c r="AK428" s="25">
        <v>0.38257224385141148</v>
      </c>
      <c r="AL428" s="25">
        <v>0.19939957890582627</v>
      </c>
      <c r="AM428" s="25">
        <v>9.2943455566806943E-2</v>
      </c>
      <c r="AN428" s="24">
        <v>1.6361835537937597</v>
      </c>
      <c r="AO428" s="23">
        <v>-99</v>
      </c>
    </row>
    <row r="429" spans="1:41" x14ac:dyDescent="0.25">
      <c r="A429" s="4">
        <v>76</v>
      </c>
      <c r="B429">
        <v>30</v>
      </c>
      <c r="C429">
        <v>50</v>
      </c>
      <c r="D429">
        <v>20</v>
      </c>
      <c r="E429" s="3">
        <v>25</v>
      </c>
      <c r="F429" s="3">
        <f>1.8*E429+32</f>
        <v>77</v>
      </c>
      <c r="G429" s="3">
        <v>16</v>
      </c>
      <c r="H429" s="3">
        <f>IF(F429&gt;68,G429+(F429-68)*0.2,G578-(68-F429)*0.2)</f>
        <v>17.8</v>
      </c>
      <c r="I429" s="3">
        <v>22.5</v>
      </c>
      <c r="J429" s="3">
        <f>1.8*I429+32</f>
        <v>72.5</v>
      </c>
      <c r="K429" s="3">
        <v>9</v>
      </c>
      <c r="L429" s="3">
        <f>IF(J429&gt;67,K429+(J429-67)*0.2,K429-(67-J429)*0.2)</f>
        <v>10.1</v>
      </c>
      <c r="M429" s="3">
        <f>(C429-H429)/C429*100</f>
        <v>64.400000000000006</v>
      </c>
      <c r="N429" s="3">
        <f>100-(M429+O429)</f>
        <v>15.399999999999991</v>
      </c>
      <c r="O429" s="3">
        <f>L429/C429*100</f>
        <v>20.2</v>
      </c>
      <c r="P429" s="1" t="s">
        <v>2</v>
      </c>
      <c r="Q429" s="15">
        <v>407505.11599999998</v>
      </c>
      <c r="R429" s="15">
        <v>3660002.5</v>
      </c>
      <c r="T429">
        <v>2009033</v>
      </c>
      <c r="U429" t="s">
        <v>275</v>
      </c>
      <c r="V429">
        <v>5.3339999999999999E-2</v>
      </c>
      <c r="W429">
        <v>0.38095000000000001</v>
      </c>
      <c r="X429">
        <v>3.0880000000000001E-2</v>
      </c>
      <c r="Y429">
        <v>1.38025</v>
      </c>
      <c r="Z429">
        <v>29.731680000000001</v>
      </c>
      <c r="AA429">
        <v>13.66996</v>
      </c>
      <c r="AB429">
        <v>-1.3033399999999999</v>
      </c>
      <c r="AC429" s="23">
        <v>5.2970000000000003E-2</v>
      </c>
      <c r="AD429" s="23">
        <v>0.38401000000000002</v>
      </c>
      <c r="AE429" s="23">
        <v>2.895E-2</v>
      </c>
      <c r="AF429" s="23">
        <v>1.37347</v>
      </c>
      <c r="AG429" s="23">
        <v>26.939070000000001</v>
      </c>
      <c r="AH429" s="23">
        <v>12.72626</v>
      </c>
      <c r="AI429" s="23">
        <v>-1.26197</v>
      </c>
      <c r="AJ429" s="25">
        <v>1.12246125</v>
      </c>
      <c r="AK429" s="25">
        <v>0.38331925956079987</v>
      </c>
      <c r="AL429" s="25">
        <v>0.19331908835437678</v>
      </c>
      <c r="AM429" s="25">
        <v>8.7225920403561336E-2</v>
      </c>
      <c r="AN429" s="24">
        <v>1.6342039621638802</v>
      </c>
      <c r="AO429" s="23">
        <v>-99</v>
      </c>
    </row>
    <row r="430" spans="1:41" x14ac:dyDescent="0.25">
      <c r="A430" s="4">
        <v>76</v>
      </c>
      <c r="B430">
        <v>60</v>
      </c>
      <c r="C430">
        <v>50</v>
      </c>
      <c r="D430">
        <v>20</v>
      </c>
      <c r="E430" s="3">
        <v>25.5</v>
      </c>
      <c r="F430" s="3">
        <f>1.8*E430+32</f>
        <v>77.900000000000006</v>
      </c>
      <c r="G430" s="3">
        <v>17</v>
      </c>
      <c r="H430" s="3">
        <f>IF(F430&gt;68,G430+(F430-68)*0.2,G579-(68-F430)*0.2)</f>
        <v>18.98</v>
      </c>
      <c r="I430" s="3">
        <v>23</v>
      </c>
      <c r="J430" s="3">
        <f>1.8*I430+32</f>
        <v>73.400000000000006</v>
      </c>
      <c r="K430" s="3">
        <v>10</v>
      </c>
      <c r="L430" s="3">
        <f>IF(J430&gt;67,K430+(J430-67)*0.2,K430-(67-J430)*0.2)</f>
        <v>11.280000000000001</v>
      </c>
      <c r="M430" s="3">
        <f>(C430-H430)/C430*100</f>
        <v>62.039999999999992</v>
      </c>
      <c r="N430" s="3">
        <f>100-(M430+O430)</f>
        <v>15.400000000000006</v>
      </c>
      <c r="O430" s="3">
        <f>L430/C430*100</f>
        <v>22.560000000000002</v>
      </c>
      <c r="P430" s="1" t="s">
        <v>2</v>
      </c>
      <c r="Q430" s="15">
        <v>407505.11599999998</v>
      </c>
      <c r="R430" s="15">
        <v>3660002.5</v>
      </c>
      <c r="T430">
        <v>2009033</v>
      </c>
      <c r="U430" t="s">
        <v>274</v>
      </c>
      <c r="V430">
        <v>5.6300000000000003E-2</v>
      </c>
      <c r="W430">
        <v>0.38208999999999999</v>
      </c>
      <c r="X430">
        <v>2.928E-2</v>
      </c>
      <c r="Y430">
        <v>1.36084</v>
      </c>
      <c r="Z430">
        <v>24.165389999999999</v>
      </c>
      <c r="AA430">
        <v>12.00629</v>
      </c>
      <c r="AB430">
        <v>-1.3571500000000001</v>
      </c>
      <c r="AC430" s="23">
        <v>5.6419999999999998E-2</v>
      </c>
      <c r="AD430" s="23">
        <v>0.38139000000000001</v>
      </c>
      <c r="AE430" s="23">
        <v>2.9520000000000001E-2</v>
      </c>
      <c r="AF430" s="23">
        <v>1.36117</v>
      </c>
      <c r="AG430" s="23">
        <v>24.420860000000001</v>
      </c>
      <c r="AH430" s="23">
        <v>12.08179</v>
      </c>
      <c r="AI430" s="23">
        <v>-1.3661300000000001</v>
      </c>
      <c r="AJ430" s="25">
        <v>1.0175358333333333</v>
      </c>
      <c r="AK430" s="25">
        <v>0.38068050976720336</v>
      </c>
      <c r="AL430" s="25">
        <v>0.19713367027829296</v>
      </c>
      <c r="AM430" s="25">
        <v>9.2401863686514402E-2</v>
      </c>
      <c r="AN430" s="24">
        <v>1.641196649116911</v>
      </c>
      <c r="AO430" s="23">
        <v>-99</v>
      </c>
    </row>
    <row r="431" spans="1:41" x14ac:dyDescent="0.25">
      <c r="A431" s="4">
        <v>76</v>
      </c>
      <c r="B431">
        <v>90</v>
      </c>
      <c r="C431">
        <v>50</v>
      </c>
      <c r="D431">
        <v>20</v>
      </c>
      <c r="E431" s="3">
        <v>26</v>
      </c>
      <c r="F431" s="3">
        <f>1.8*E431+32</f>
        <v>78.800000000000011</v>
      </c>
      <c r="G431" s="3">
        <v>14</v>
      </c>
      <c r="H431" s="3">
        <f>IF(F431&gt;68,G431+(F431-68)*0.2,G580-(68-F431)*0.2)</f>
        <v>16.160000000000004</v>
      </c>
      <c r="I431" s="3">
        <v>23</v>
      </c>
      <c r="J431" s="3">
        <f>1.8*I431+32</f>
        <v>73.400000000000006</v>
      </c>
      <c r="K431" s="3">
        <v>8</v>
      </c>
      <c r="L431" s="3">
        <f>IF(J431&gt;67,K431+(J431-67)*0.2,K431-(67-J431)*0.2)</f>
        <v>9.2800000000000011</v>
      </c>
      <c r="M431" s="3">
        <f>(C431-H431)/C431*100</f>
        <v>67.679999999999993</v>
      </c>
      <c r="N431" s="3">
        <f>100-(M431+O431)</f>
        <v>13.760000000000005</v>
      </c>
      <c r="O431" s="3">
        <f>L431/C431*100</f>
        <v>18.560000000000002</v>
      </c>
      <c r="P431" s="1" t="s">
        <v>0</v>
      </c>
      <c r="Q431" s="15">
        <v>407505.11599999998</v>
      </c>
      <c r="R431" s="15">
        <v>3660002.5</v>
      </c>
      <c r="T431">
        <v>2009033</v>
      </c>
      <c r="U431" t="s">
        <v>273</v>
      </c>
      <c r="V431">
        <v>5.6250000000000001E-2</v>
      </c>
      <c r="W431">
        <v>0.38325999999999999</v>
      </c>
      <c r="X431">
        <v>2.87E-2</v>
      </c>
      <c r="Y431">
        <v>1.3606499999999999</v>
      </c>
      <c r="Z431">
        <v>23.54195</v>
      </c>
      <c r="AA431">
        <v>11.77164</v>
      </c>
      <c r="AB431">
        <v>-1.3377399999999999</v>
      </c>
      <c r="AC431" s="23">
        <v>4.7550000000000002E-2</v>
      </c>
      <c r="AD431" s="23">
        <v>0.38139000000000001</v>
      </c>
      <c r="AE431" s="23">
        <v>3.4200000000000001E-2</v>
      </c>
      <c r="AF431" s="23">
        <v>1.43527</v>
      </c>
      <c r="AG431" s="23">
        <v>44.32808</v>
      </c>
      <c r="AH431" s="23">
        <v>18.117920000000002</v>
      </c>
      <c r="AI431" s="23">
        <v>-1.1693499999999999</v>
      </c>
      <c r="AJ431" s="25">
        <v>1.8470033333333333</v>
      </c>
      <c r="AK431" s="25">
        <v>0.38059736022695767</v>
      </c>
      <c r="AL431" s="25">
        <v>0.16229586971007481</v>
      </c>
      <c r="AM431" s="25">
        <v>6.9624384874285919E-2</v>
      </c>
      <c r="AN431" s="24">
        <v>1.6414169953985622</v>
      </c>
      <c r="AO431" s="23">
        <v>-99</v>
      </c>
    </row>
    <row r="432" spans="1:41" x14ac:dyDescent="0.25">
      <c r="A432" s="4">
        <v>76</v>
      </c>
      <c r="B432">
        <v>120</v>
      </c>
      <c r="C432">
        <v>50</v>
      </c>
      <c r="D432">
        <v>20</v>
      </c>
      <c r="E432" s="3">
        <v>25.5</v>
      </c>
      <c r="F432" s="3">
        <f>1.8*E432+32</f>
        <v>77.900000000000006</v>
      </c>
      <c r="G432" s="3">
        <v>14</v>
      </c>
      <c r="H432" s="3">
        <f>IF(F432&gt;68,G432+(F432-68)*0.2,G581-(68-F432)*0.2)</f>
        <v>15.98</v>
      </c>
      <c r="I432" s="3">
        <v>22.5</v>
      </c>
      <c r="J432" s="3">
        <f>1.8*I432+32</f>
        <v>72.5</v>
      </c>
      <c r="K432" s="3">
        <v>7</v>
      </c>
      <c r="L432" s="3">
        <f>IF(J432&gt;67,K432+(J432-67)*0.2,K432-(67-J432)*0.2)</f>
        <v>8.1</v>
      </c>
      <c r="M432" s="3">
        <f>(C432-H432)/C432*100</f>
        <v>68.039999999999992</v>
      </c>
      <c r="N432" s="3">
        <f>100-(M432+O432)</f>
        <v>15.760000000000005</v>
      </c>
      <c r="O432" s="3">
        <f>L432/C432*100</f>
        <v>16.2</v>
      </c>
      <c r="P432" s="1" t="s">
        <v>0</v>
      </c>
      <c r="Q432" s="15">
        <v>407505.11599999998</v>
      </c>
      <c r="R432" s="15">
        <v>3660002.5</v>
      </c>
      <c r="T432">
        <v>2009033</v>
      </c>
      <c r="U432" t="s">
        <v>272</v>
      </c>
      <c r="V432">
        <v>5.2970000000000003E-2</v>
      </c>
      <c r="W432">
        <v>0.38401000000000002</v>
      </c>
      <c r="X432">
        <v>2.895E-2</v>
      </c>
      <c r="Y432">
        <v>1.37347</v>
      </c>
      <c r="Z432">
        <v>26.939070000000001</v>
      </c>
      <c r="AA432">
        <v>12.72626</v>
      </c>
      <c r="AB432">
        <v>-1.26197</v>
      </c>
      <c r="AC432" s="23">
        <v>5.3109999999999997E-2</v>
      </c>
      <c r="AD432" s="23">
        <v>0.38251000000000002</v>
      </c>
      <c r="AE432" s="23">
        <v>3.0099999999999998E-2</v>
      </c>
      <c r="AF432" s="23">
        <v>1.37503</v>
      </c>
      <c r="AG432" s="23">
        <v>28.288229999999999</v>
      </c>
      <c r="AH432" s="23">
        <v>13.283300000000001</v>
      </c>
      <c r="AI432" s="23">
        <v>-1.29301</v>
      </c>
      <c r="AJ432" s="25">
        <v>1.1786762499999999</v>
      </c>
      <c r="AK432" s="25">
        <v>0.38178684299879695</v>
      </c>
      <c r="AL432" s="25">
        <v>0.19033637906748413</v>
      </c>
      <c r="AM432" s="25">
        <v>8.6385209351004966E-2</v>
      </c>
      <c r="AN432" s="24">
        <v>1.638264866053188</v>
      </c>
      <c r="AO432" s="23">
        <v>-99</v>
      </c>
    </row>
    <row r="433" spans="1:41" x14ac:dyDescent="0.25">
      <c r="A433" s="4">
        <v>76</v>
      </c>
      <c r="B433">
        <v>150</v>
      </c>
      <c r="C433">
        <v>50</v>
      </c>
      <c r="D433">
        <v>20</v>
      </c>
      <c r="E433" s="3">
        <v>25.5</v>
      </c>
      <c r="F433" s="3">
        <f>1.8*E433+32</f>
        <v>77.900000000000006</v>
      </c>
      <c r="G433" s="3">
        <v>13</v>
      </c>
      <c r="H433" s="3">
        <f>IF(F433&gt;68,G433+(F433-68)*0.2,G582-(68-F433)*0.2)</f>
        <v>14.98</v>
      </c>
      <c r="I433" s="3">
        <v>23</v>
      </c>
      <c r="J433" s="3">
        <f>1.8*I433+32</f>
        <v>73.400000000000006</v>
      </c>
      <c r="K433" s="3">
        <v>7</v>
      </c>
      <c r="L433" s="3">
        <f>IF(J433&gt;67,K433+(J433-67)*0.2,K433-(67-J433)*0.2)</f>
        <v>8.2800000000000011</v>
      </c>
      <c r="M433" s="3">
        <f>(C433-H433)/C433*100</f>
        <v>70.039999999999992</v>
      </c>
      <c r="N433" s="3">
        <f>100-(M433+O433)</f>
        <v>13.400000000000006</v>
      </c>
      <c r="O433" s="3">
        <f>L433/C433*100</f>
        <v>16.560000000000002</v>
      </c>
      <c r="P433" s="1" t="s">
        <v>0</v>
      </c>
      <c r="Q433" s="15">
        <v>407505.11599999998</v>
      </c>
      <c r="R433" s="15">
        <v>3660002.5</v>
      </c>
      <c r="T433">
        <v>2009033</v>
      </c>
      <c r="U433" t="s">
        <v>271</v>
      </c>
      <c r="V433">
        <v>5.6419999999999998E-2</v>
      </c>
      <c r="W433">
        <v>0.38139000000000001</v>
      </c>
      <c r="X433">
        <v>2.9520000000000001E-2</v>
      </c>
      <c r="Y433">
        <v>1.36117</v>
      </c>
      <c r="Z433">
        <v>24.420860000000001</v>
      </c>
      <c r="AA433">
        <v>12.08179</v>
      </c>
      <c r="AB433">
        <v>-1.3661300000000001</v>
      </c>
      <c r="AC433" s="23">
        <v>4.4830000000000002E-2</v>
      </c>
      <c r="AD433" s="23">
        <v>0.38229000000000002</v>
      </c>
      <c r="AE433" s="23">
        <v>3.619E-2</v>
      </c>
      <c r="AF433" s="23">
        <v>1.4776100000000001</v>
      </c>
      <c r="AG433" s="23">
        <v>54.207529999999998</v>
      </c>
      <c r="AH433" s="23">
        <v>21.34666</v>
      </c>
      <c r="AI433" s="23">
        <v>-1.09619</v>
      </c>
      <c r="AJ433" s="25">
        <v>2.2586470833333334</v>
      </c>
      <c r="AK433" s="25">
        <v>0.38148505143909589</v>
      </c>
      <c r="AL433" s="25">
        <v>0.14678453737882924</v>
      </c>
      <c r="AM433" s="25">
        <v>6.1506276374051691E-2</v>
      </c>
      <c r="AN433" s="24">
        <v>1.6390646136863958</v>
      </c>
      <c r="AO433" s="23">
        <v>-99</v>
      </c>
    </row>
    <row r="434" spans="1:41" x14ac:dyDescent="0.25">
      <c r="A434" s="4">
        <v>76</v>
      </c>
      <c r="B434">
        <v>180</v>
      </c>
      <c r="C434">
        <v>50</v>
      </c>
      <c r="D434">
        <v>20</v>
      </c>
      <c r="E434" s="3">
        <v>25.5</v>
      </c>
      <c r="F434" s="3">
        <f>1.8*E434+32</f>
        <v>77.900000000000006</v>
      </c>
      <c r="G434" s="3">
        <v>14</v>
      </c>
      <c r="H434" s="3">
        <f>IF(F434&gt;68,G434+(F434-68)*0.2,G583-(68-F434)*0.2)</f>
        <v>15.98</v>
      </c>
      <c r="I434" s="3">
        <v>23</v>
      </c>
      <c r="J434" s="3">
        <f>1.8*I434+32</f>
        <v>73.400000000000006</v>
      </c>
      <c r="K434" s="3">
        <v>8</v>
      </c>
      <c r="L434" s="3">
        <f>IF(J434&gt;67,K434+(J434-67)*0.2,K434-(67-J434)*0.2)</f>
        <v>9.2800000000000011</v>
      </c>
      <c r="M434" s="3">
        <f>(C434-H434)/C434*100</f>
        <v>68.039999999999992</v>
      </c>
      <c r="N434" s="3">
        <f>100-(M434+O434)</f>
        <v>13.400000000000006</v>
      </c>
      <c r="O434" s="3">
        <f>L434/C434*100</f>
        <v>18.560000000000002</v>
      </c>
      <c r="P434" s="1" t="s">
        <v>0</v>
      </c>
      <c r="Q434" s="15">
        <v>407505.11599999998</v>
      </c>
      <c r="R434" s="15">
        <v>3660002.5</v>
      </c>
      <c r="T434">
        <v>2009033</v>
      </c>
      <c r="U434" t="s">
        <v>270</v>
      </c>
      <c r="V434">
        <v>4.7550000000000002E-2</v>
      </c>
      <c r="W434">
        <v>0.38139000000000001</v>
      </c>
      <c r="X434">
        <v>3.4200000000000001E-2</v>
      </c>
      <c r="Y434">
        <v>1.43527</v>
      </c>
      <c r="Z434">
        <v>44.32808</v>
      </c>
      <c r="AA434">
        <v>18.117920000000002</v>
      </c>
      <c r="AB434">
        <v>-1.1693499999999999</v>
      </c>
      <c r="AC434" s="23">
        <v>6.7400000000000002E-2</v>
      </c>
      <c r="AD434" s="23">
        <v>0.37690000000000001</v>
      </c>
      <c r="AE434" s="23">
        <v>2.7019999999999999E-2</v>
      </c>
      <c r="AF434" s="23">
        <v>1.29661</v>
      </c>
      <c r="AG434" s="23">
        <v>14.445309999999999</v>
      </c>
      <c r="AH434" s="23">
        <v>8.3037399999999995</v>
      </c>
      <c r="AI434" s="23">
        <v>-1.75308</v>
      </c>
      <c r="AJ434" s="25">
        <v>0.60188791666666663</v>
      </c>
      <c r="AK434" s="25">
        <v>0.37624824504708398</v>
      </c>
      <c r="AL434" s="25">
        <v>0.2266436149893834</v>
      </c>
      <c r="AM434" s="25">
        <v>0.11953468442470384</v>
      </c>
      <c r="AN434" s="24">
        <v>1.6529421506252273</v>
      </c>
      <c r="AO434" s="23">
        <v>-99</v>
      </c>
    </row>
    <row r="435" spans="1:41" x14ac:dyDescent="0.25">
      <c r="A435" s="4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1"/>
      <c r="Q435" s="18"/>
      <c r="R435" s="18"/>
      <c r="T435">
        <v>2009033</v>
      </c>
      <c r="U435" t="s">
        <v>269</v>
      </c>
      <c r="V435">
        <v>5.3109999999999997E-2</v>
      </c>
      <c r="W435">
        <v>0.38251000000000002</v>
      </c>
      <c r="X435">
        <v>3.0099999999999998E-2</v>
      </c>
      <c r="Y435">
        <v>1.37503</v>
      </c>
      <c r="Z435">
        <v>28.288229999999999</v>
      </c>
      <c r="AA435">
        <v>13.283300000000001</v>
      </c>
      <c r="AB435">
        <v>-1.29301</v>
      </c>
      <c r="AC435" s="23">
        <v>5.6370000000000003E-2</v>
      </c>
      <c r="AD435" s="23">
        <v>0.38535999999999998</v>
      </c>
      <c r="AE435" s="23">
        <v>2.7279999999999999E-2</v>
      </c>
      <c r="AF435" s="23">
        <v>1.3628800000000001</v>
      </c>
      <c r="AG435" s="23">
        <v>22.235569999999999</v>
      </c>
      <c r="AH435" s="23">
        <v>11.145060000000001</v>
      </c>
      <c r="AI435" s="23">
        <v>-1.28417</v>
      </c>
      <c r="AJ435" s="25">
        <v>0.92648208333333326</v>
      </c>
      <c r="AK435" s="25">
        <v>0.38471626353012811</v>
      </c>
      <c r="AL435" s="25">
        <v>0.20220445828950256</v>
      </c>
      <c r="AM435" s="25">
        <v>9.3466388875017348E-2</v>
      </c>
      <c r="AN435" s="24">
        <v>1.6305019016451605</v>
      </c>
      <c r="AO435" s="23">
        <v>-99</v>
      </c>
    </row>
    <row r="436" spans="1:41" ht="51.75" x14ac:dyDescent="0.25">
      <c r="A436" s="14" t="s">
        <v>21</v>
      </c>
      <c r="B436" s="9" t="s">
        <v>20</v>
      </c>
      <c r="C436" s="13" t="s">
        <v>19</v>
      </c>
      <c r="D436" s="12" t="s">
        <v>18</v>
      </c>
      <c r="E436" s="11" t="s">
        <v>17</v>
      </c>
      <c r="F436" s="11" t="s">
        <v>16</v>
      </c>
      <c r="G436" s="11" t="s">
        <v>15</v>
      </c>
      <c r="H436" s="11" t="s">
        <v>14</v>
      </c>
      <c r="I436" s="11" t="s">
        <v>13</v>
      </c>
      <c r="J436" s="11" t="s">
        <v>12</v>
      </c>
      <c r="K436" s="11" t="s">
        <v>11</v>
      </c>
      <c r="L436" s="11" t="s">
        <v>10</v>
      </c>
      <c r="M436" s="10" t="s">
        <v>9</v>
      </c>
      <c r="N436" s="10" t="s">
        <v>8</v>
      </c>
      <c r="O436" s="10" t="s">
        <v>7</v>
      </c>
      <c r="P436" s="9" t="s">
        <v>6</v>
      </c>
      <c r="Q436" s="19" t="s">
        <v>5</v>
      </c>
      <c r="R436" s="19"/>
      <c r="T436">
        <v>2009033</v>
      </c>
      <c r="U436" t="s">
        <v>268</v>
      </c>
      <c r="V436">
        <v>4.4830000000000002E-2</v>
      </c>
      <c r="W436">
        <v>0.38229000000000002</v>
      </c>
      <c r="X436">
        <v>3.619E-2</v>
      </c>
      <c r="Y436">
        <v>1.4776100000000001</v>
      </c>
      <c r="Z436">
        <v>54.207529999999998</v>
      </c>
      <c r="AA436">
        <v>21.34666</v>
      </c>
      <c r="AB436">
        <v>-1.09619</v>
      </c>
      <c r="AC436" s="23">
        <v>6.6949999999999996E-2</v>
      </c>
      <c r="AD436" s="23">
        <v>0.39701999999999998</v>
      </c>
      <c r="AE436" s="23">
        <v>2.1440000000000001E-2</v>
      </c>
      <c r="AF436" s="23">
        <v>1.3576900000000001</v>
      </c>
      <c r="AG436" s="23">
        <v>11.601150000000001</v>
      </c>
      <c r="AH436" s="23">
        <v>7.2300899999999997</v>
      </c>
      <c r="AI436" s="23">
        <v>-1.1802699999999999</v>
      </c>
      <c r="AJ436" s="25">
        <v>0.48338125000000004</v>
      </c>
      <c r="AK436" s="25">
        <v>0.39654994548831662</v>
      </c>
      <c r="AL436" s="25">
        <v>0.22749120230290454</v>
      </c>
      <c r="AM436" s="25">
        <v>0.10880227511595356</v>
      </c>
      <c r="AN436" s="24">
        <v>1.5991426444559611</v>
      </c>
      <c r="AO436" s="23">
        <v>-99</v>
      </c>
    </row>
    <row r="437" spans="1:41" x14ac:dyDescent="0.25"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1"/>
      <c r="Q437" s="5" t="s">
        <v>4</v>
      </c>
      <c r="R437" s="5" t="s">
        <v>3</v>
      </c>
      <c r="T437">
        <v>2009033</v>
      </c>
      <c r="U437" t="s">
        <v>267</v>
      </c>
      <c r="V437">
        <v>6.7400000000000002E-2</v>
      </c>
      <c r="W437">
        <v>0.37690000000000001</v>
      </c>
      <c r="X437">
        <v>2.7019999999999999E-2</v>
      </c>
      <c r="Y437">
        <v>1.29661</v>
      </c>
      <c r="Z437">
        <v>14.445309999999999</v>
      </c>
      <c r="AA437">
        <v>8.3037399999999995</v>
      </c>
      <c r="AB437">
        <v>-1.75308</v>
      </c>
      <c r="AC437" s="23">
        <v>6.1920000000000003E-2</v>
      </c>
      <c r="AD437" s="23">
        <v>0.40310000000000001</v>
      </c>
      <c r="AE437" s="23">
        <v>1.163E-2</v>
      </c>
      <c r="AF437" s="23">
        <v>1.4679599999999999</v>
      </c>
      <c r="AG437" s="23">
        <v>9.3968799999999995</v>
      </c>
      <c r="AH437" s="23">
        <v>3.8825599999999998</v>
      </c>
      <c r="AI437" s="23">
        <v>-0.40506999999999999</v>
      </c>
      <c r="AJ437" s="25">
        <v>0.39153666666666664</v>
      </c>
      <c r="AK437" s="25">
        <v>0.40294281450175828</v>
      </c>
      <c r="AL437" s="25">
        <v>0.2357133669925266</v>
      </c>
      <c r="AM437" s="25">
        <v>9.2391956690680829E-2</v>
      </c>
      <c r="AN437" s="24">
        <v>1.5822015415703405</v>
      </c>
      <c r="AO437" s="23">
        <v>-99</v>
      </c>
    </row>
    <row r="438" spans="1:41" x14ac:dyDescent="0.25">
      <c r="A438" s="4">
        <v>77</v>
      </c>
      <c r="B438">
        <v>30</v>
      </c>
      <c r="C438">
        <v>50</v>
      </c>
      <c r="D438">
        <v>20</v>
      </c>
      <c r="E438" s="3">
        <v>26</v>
      </c>
      <c r="F438" s="3">
        <f>1.8*E438+32</f>
        <v>78.800000000000011</v>
      </c>
      <c r="G438" s="3">
        <v>16</v>
      </c>
      <c r="H438" s="3">
        <f>IF(F438&gt;68,G438+(F438-68)*0.2,G586-(68-F438)*0.2)</f>
        <v>18.160000000000004</v>
      </c>
      <c r="I438" s="3">
        <v>23</v>
      </c>
      <c r="J438" s="3">
        <f>1.8*I438+32</f>
        <v>73.400000000000006</v>
      </c>
      <c r="K438" s="3">
        <v>10</v>
      </c>
      <c r="L438" s="3">
        <f>IF(J438&gt;67,K438+(J438-67)*0.2,K438-(67-J438)*0.2)</f>
        <v>11.280000000000001</v>
      </c>
      <c r="M438" s="3">
        <f>(C438-H438)/C438*100</f>
        <v>63.679999999999993</v>
      </c>
      <c r="N438" s="3">
        <f>100-(M438+O438)</f>
        <v>13.760000000000005</v>
      </c>
      <c r="O438" s="3">
        <f>L438/C438*100</f>
        <v>22.560000000000002</v>
      </c>
      <c r="P438" s="1" t="s">
        <v>2</v>
      </c>
      <c r="Q438" s="15">
        <v>407505.11599999998</v>
      </c>
      <c r="R438" s="15">
        <v>3660029</v>
      </c>
      <c r="T438">
        <v>2009033</v>
      </c>
      <c r="U438" t="s">
        <v>266</v>
      </c>
      <c r="V438">
        <v>5.6370000000000003E-2</v>
      </c>
      <c r="W438">
        <v>0.38535999999999998</v>
      </c>
      <c r="X438">
        <v>2.7279999999999999E-2</v>
      </c>
      <c r="Y438">
        <v>1.3628800000000001</v>
      </c>
      <c r="Z438">
        <v>22.235569999999999</v>
      </c>
      <c r="AA438">
        <v>11.145060000000001</v>
      </c>
      <c r="AB438">
        <v>-1.28417</v>
      </c>
      <c r="AC438" s="23">
        <v>6.4579999999999999E-2</v>
      </c>
      <c r="AD438" s="23">
        <v>0.39817000000000002</v>
      </c>
      <c r="AE438" s="23">
        <v>1.9040000000000001E-2</v>
      </c>
      <c r="AF438" s="23">
        <v>1.38611</v>
      </c>
      <c r="AG438" s="23">
        <v>12.17426</v>
      </c>
      <c r="AH438" s="23">
        <v>6.6154200000000003</v>
      </c>
      <c r="AI438" s="23">
        <v>-0.97463999999999995</v>
      </c>
      <c r="AJ438" s="25">
        <v>0.50726083333333338</v>
      </c>
      <c r="AK438" s="25">
        <v>0.39778769292183069</v>
      </c>
      <c r="AL438" s="25">
        <v>0.22472086317864445</v>
      </c>
      <c r="AM438" s="25">
        <v>0.10216136134284608</v>
      </c>
      <c r="AN438" s="24">
        <v>1.5958626137571486</v>
      </c>
      <c r="AO438" s="23">
        <v>-99</v>
      </c>
    </row>
    <row r="439" spans="1:41" x14ac:dyDescent="0.25">
      <c r="A439" s="4">
        <v>77</v>
      </c>
      <c r="B439">
        <v>60</v>
      </c>
      <c r="C439">
        <v>50</v>
      </c>
      <c r="D439">
        <v>20</v>
      </c>
      <c r="E439" s="3">
        <v>26</v>
      </c>
      <c r="F439" s="3">
        <f>1.8*E439+32</f>
        <v>78.800000000000011</v>
      </c>
      <c r="G439" s="3">
        <v>17</v>
      </c>
      <c r="H439" s="3">
        <f>IF(F439&gt;68,G439+(F439-68)*0.2,G587-(68-F439)*0.2)</f>
        <v>19.160000000000004</v>
      </c>
      <c r="I439" s="3">
        <v>23</v>
      </c>
      <c r="J439" s="3">
        <f>1.8*I439+32</f>
        <v>73.400000000000006</v>
      </c>
      <c r="K439" s="3">
        <v>10</v>
      </c>
      <c r="L439" s="3">
        <f>IF(J439&gt;67,K439+(J439-67)*0.2,K439-(67-J439)*0.2)</f>
        <v>11.280000000000001</v>
      </c>
      <c r="M439" s="3">
        <f>(C439-H439)/C439*100</f>
        <v>61.679999999999993</v>
      </c>
      <c r="N439" s="3">
        <f>100-(M439+O439)</f>
        <v>15.760000000000005</v>
      </c>
      <c r="O439" s="3">
        <f>L439/C439*100</f>
        <v>22.560000000000002</v>
      </c>
      <c r="P439" s="1" t="s">
        <v>2</v>
      </c>
      <c r="Q439" s="15">
        <v>407505.11599999998</v>
      </c>
      <c r="R439" s="15">
        <v>3660029</v>
      </c>
      <c r="T439">
        <v>2009033</v>
      </c>
      <c r="U439" t="s">
        <v>265</v>
      </c>
      <c r="V439">
        <v>6.6949999999999996E-2</v>
      </c>
      <c r="W439">
        <v>0.39701999999999998</v>
      </c>
      <c r="X439">
        <v>2.1440000000000001E-2</v>
      </c>
      <c r="Y439">
        <v>1.3576900000000001</v>
      </c>
      <c r="Z439">
        <v>11.601150000000001</v>
      </c>
      <c r="AA439">
        <v>7.2300899999999997</v>
      </c>
      <c r="AB439">
        <v>-1.1802699999999999</v>
      </c>
      <c r="AC439" s="23">
        <v>5.951E-2</v>
      </c>
      <c r="AD439" s="23">
        <v>0.38485999999999998</v>
      </c>
      <c r="AE439" s="23">
        <v>2.733E-2</v>
      </c>
      <c r="AF439" s="23">
        <v>1.34877</v>
      </c>
      <c r="AG439" s="23">
        <v>19.452529999999999</v>
      </c>
      <c r="AH439" s="23">
        <v>10.46105</v>
      </c>
      <c r="AI439" s="23">
        <v>-1.37391</v>
      </c>
      <c r="AJ439" s="25">
        <v>0.81052208333333331</v>
      </c>
      <c r="AK439" s="25">
        <v>0.3842080452594418</v>
      </c>
      <c r="AL439" s="25">
        <v>0.20819921840781208</v>
      </c>
      <c r="AM439" s="25">
        <v>9.9419387046391958E-2</v>
      </c>
      <c r="AN439" s="24">
        <v>1.631848680062479</v>
      </c>
      <c r="AO439" s="23">
        <v>-99</v>
      </c>
    </row>
    <row r="440" spans="1:41" x14ac:dyDescent="0.25">
      <c r="A440" s="4">
        <v>77</v>
      </c>
      <c r="B440">
        <v>90</v>
      </c>
      <c r="C440">
        <v>50</v>
      </c>
      <c r="D440">
        <v>20</v>
      </c>
      <c r="E440" s="3">
        <v>24.5</v>
      </c>
      <c r="F440" s="3">
        <f>1.8*E440+32</f>
        <v>76.099999999999994</v>
      </c>
      <c r="G440" s="3">
        <v>16</v>
      </c>
      <c r="H440" s="3">
        <f>IF(F440&gt;68,G440+(F440-68)*0.2,G588-(68-F440)*0.2)</f>
        <v>17.619999999999997</v>
      </c>
      <c r="I440" s="3">
        <v>22.5</v>
      </c>
      <c r="J440" s="3">
        <f>1.8*I440+32</f>
        <v>72.5</v>
      </c>
      <c r="K440" s="3">
        <v>7</v>
      </c>
      <c r="L440" s="3">
        <f>IF(J440&gt;67,K440+(J440-67)*0.2,K440-(67-J440)*0.2)</f>
        <v>8.1</v>
      </c>
      <c r="M440" s="3">
        <f>(C440-H440)/C440*100</f>
        <v>64.760000000000005</v>
      </c>
      <c r="N440" s="3">
        <f>100-(M440+O440)</f>
        <v>19.039999999999992</v>
      </c>
      <c r="O440" s="3">
        <f>L440/C440*100</f>
        <v>16.2</v>
      </c>
      <c r="P440" s="1" t="s">
        <v>0</v>
      </c>
      <c r="Q440" s="15">
        <v>407505.11599999998</v>
      </c>
      <c r="R440" s="15">
        <v>3660029</v>
      </c>
      <c r="T440">
        <v>2009033</v>
      </c>
      <c r="U440" t="s">
        <v>264</v>
      </c>
      <c r="V440">
        <v>6.1920000000000003E-2</v>
      </c>
      <c r="W440">
        <v>0.40310000000000001</v>
      </c>
      <c r="X440">
        <v>1.163E-2</v>
      </c>
      <c r="Y440">
        <v>1.4679599999999999</v>
      </c>
      <c r="Z440">
        <v>9.3968799999999995</v>
      </c>
      <c r="AA440">
        <v>3.8825599999999998</v>
      </c>
      <c r="AB440">
        <v>-0.40506999999999999</v>
      </c>
      <c r="AC440" s="23">
        <v>5.9420000000000001E-2</v>
      </c>
      <c r="AD440" s="23">
        <v>0.38273000000000001</v>
      </c>
      <c r="AE440" s="23">
        <v>2.826E-2</v>
      </c>
      <c r="AF440" s="23">
        <v>1.34605</v>
      </c>
      <c r="AG440" s="23">
        <v>20.198730000000001</v>
      </c>
      <c r="AH440" s="23">
        <v>10.797319999999999</v>
      </c>
      <c r="AI440" s="23">
        <v>-1.4185300000000001</v>
      </c>
      <c r="AJ440" s="25">
        <v>0.84161375000000005</v>
      </c>
      <c r="AK440" s="25">
        <v>0.38204976401929791</v>
      </c>
      <c r="AL440" s="25">
        <v>0.20643677650288922</v>
      </c>
      <c r="AM440" s="25">
        <v>9.926943522120793E-2</v>
      </c>
      <c r="AN440" s="24">
        <v>1.6375681253488605</v>
      </c>
      <c r="AO440" s="23">
        <v>-99</v>
      </c>
    </row>
    <row r="441" spans="1:41" x14ac:dyDescent="0.25">
      <c r="A441" s="4">
        <v>77</v>
      </c>
      <c r="B441">
        <v>120</v>
      </c>
      <c r="C441">
        <v>50</v>
      </c>
      <c r="D441">
        <v>20</v>
      </c>
      <c r="E441" s="3">
        <v>24.5</v>
      </c>
      <c r="F441" s="3">
        <f>1.8*E441+32</f>
        <v>76.099999999999994</v>
      </c>
      <c r="G441" s="3">
        <v>18</v>
      </c>
      <c r="H441" s="3">
        <f>IF(F441&gt;68,G441+(F441-68)*0.2,G589-(68-F441)*0.2)</f>
        <v>19.619999999999997</v>
      </c>
      <c r="I441" s="3">
        <v>22.5</v>
      </c>
      <c r="J441" s="3">
        <f>1.8*I441+32</f>
        <v>72.5</v>
      </c>
      <c r="K441" s="3">
        <v>10</v>
      </c>
      <c r="L441" s="3">
        <f>IF(J441&gt;67,K441+(J441-67)*0.2,K441-(67-J441)*0.2)</f>
        <v>11.1</v>
      </c>
      <c r="M441" s="3">
        <f>(C441-H441)/C441*100</f>
        <v>60.760000000000005</v>
      </c>
      <c r="N441" s="3">
        <f>100-(M441+O441)</f>
        <v>17.039999999999992</v>
      </c>
      <c r="O441" s="3">
        <f>L441/C441*100</f>
        <v>22.2</v>
      </c>
      <c r="P441" s="1" t="s">
        <v>2</v>
      </c>
      <c r="Q441" s="15">
        <v>407505.11599999998</v>
      </c>
      <c r="R441" s="15">
        <v>3660029</v>
      </c>
      <c r="T441">
        <v>2009033</v>
      </c>
      <c r="U441" t="s">
        <v>263</v>
      </c>
      <c r="V441">
        <v>6.4579999999999999E-2</v>
      </c>
      <c r="W441">
        <v>0.39817000000000002</v>
      </c>
      <c r="X441">
        <v>1.9040000000000001E-2</v>
      </c>
      <c r="Y441">
        <v>1.38611</v>
      </c>
      <c r="Z441">
        <v>12.17426</v>
      </c>
      <c r="AA441">
        <v>6.6154200000000003</v>
      </c>
      <c r="AB441">
        <v>-0.97463999999999995</v>
      </c>
      <c r="AC441" s="23">
        <v>5.151E-2</v>
      </c>
      <c r="AD441" s="23">
        <v>0.38157000000000002</v>
      </c>
      <c r="AE441" s="23">
        <v>3.1419999999999997E-2</v>
      </c>
      <c r="AF441" s="23">
        <v>1.3883000000000001</v>
      </c>
      <c r="AG441" s="23">
        <v>32.31324</v>
      </c>
      <c r="AH441" s="23">
        <v>14.533580000000001</v>
      </c>
      <c r="AI441" s="23">
        <v>-1.26938</v>
      </c>
      <c r="AJ441" s="25">
        <v>1.3463849999999999</v>
      </c>
      <c r="AK441" s="25">
        <v>0.38081720176753708</v>
      </c>
      <c r="AL441" s="25">
        <v>0.18275555865066354</v>
      </c>
      <c r="AM441" s="25">
        <v>8.1746247383481713E-2</v>
      </c>
      <c r="AN441" s="24">
        <v>1.6408344153160266</v>
      </c>
      <c r="AO441" s="23">
        <v>-99</v>
      </c>
    </row>
    <row r="442" spans="1:41" x14ac:dyDescent="0.25">
      <c r="A442" s="4">
        <v>77</v>
      </c>
      <c r="B442">
        <v>150</v>
      </c>
      <c r="C442">
        <v>50</v>
      </c>
      <c r="D442">
        <v>20</v>
      </c>
      <c r="E442" s="3">
        <v>25</v>
      </c>
      <c r="F442" s="3">
        <f>1.8*E442+32</f>
        <v>77</v>
      </c>
      <c r="G442" s="3">
        <v>19</v>
      </c>
      <c r="H442" s="3">
        <f>IF(F442&gt;68,G442+(F442-68)*0.2,G590-(68-F442)*0.2)</f>
        <v>20.8</v>
      </c>
      <c r="I442" s="3">
        <v>22.5</v>
      </c>
      <c r="J442" s="3">
        <f>1.8*I442+32</f>
        <v>72.5</v>
      </c>
      <c r="K442" s="3">
        <v>11</v>
      </c>
      <c r="L442" s="3">
        <f>IF(J442&gt;67,K442+(J442-67)*0.2,K442-(67-J442)*0.2)</f>
        <v>12.1</v>
      </c>
      <c r="M442" s="3">
        <f>(C442-H442)/C442*100</f>
        <v>58.4</v>
      </c>
      <c r="N442" s="3">
        <f>100-(M442+O442)</f>
        <v>17.400000000000006</v>
      </c>
      <c r="O442" s="3">
        <f>L442/C442*100</f>
        <v>24.2</v>
      </c>
      <c r="P442" s="1" t="s">
        <v>2</v>
      </c>
      <c r="Q442" s="15">
        <v>407505.11599999998</v>
      </c>
      <c r="R442" s="15">
        <v>3660029</v>
      </c>
      <c r="T442">
        <v>2009033</v>
      </c>
      <c r="U442" t="s">
        <v>262</v>
      </c>
      <c r="V442">
        <v>5.951E-2</v>
      </c>
      <c r="W442">
        <v>0.38485999999999998</v>
      </c>
      <c r="X442">
        <v>2.733E-2</v>
      </c>
      <c r="Y442">
        <v>1.34877</v>
      </c>
      <c r="Z442">
        <v>19.452529999999999</v>
      </c>
      <c r="AA442">
        <v>10.46105</v>
      </c>
      <c r="AB442">
        <v>-1.37391</v>
      </c>
      <c r="AC442" s="23">
        <v>5.4899999999999997E-2</v>
      </c>
      <c r="AD442" s="23">
        <v>0.38016</v>
      </c>
      <c r="AE442" s="23">
        <v>3.049E-2</v>
      </c>
      <c r="AF442" s="23">
        <v>1.37408</v>
      </c>
      <c r="AG442" s="23">
        <v>27.76239</v>
      </c>
      <c r="AH442" s="23">
        <v>13.00595</v>
      </c>
      <c r="AI442" s="23">
        <v>-1.3338699999999999</v>
      </c>
      <c r="AJ442" s="25">
        <v>1.15676625</v>
      </c>
      <c r="AK442" s="25">
        <v>0.37943218704495418</v>
      </c>
      <c r="AL442" s="25">
        <v>0.19007193639407471</v>
      </c>
      <c r="AM442" s="25">
        <v>8.7789607511192844E-2</v>
      </c>
      <c r="AN442" s="24">
        <v>1.6445047043308714</v>
      </c>
      <c r="AO442" s="23">
        <v>-99</v>
      </c>
    </row>
    <row r="443" spans="1:41" x14ac:dyDescent="0.25">
      <c r="A443" s="4">
        <v>77</v>
      </c>
      <c r="B443">
        <v>180</v>
      </c>
      <c r="C443">
        <v>50</v>
      </c>
      <c r="D443">
        <v>20</v>
      </c>
      <c r="E443" s="3">
        <v>25.5</v>
      </c>
      <c r="F443" s="3">
        <f>1.8*E443+32</f>
        <v>77.900000000000006</v>
      </c>
      <c r="G443" s="3">
        <v>19</v>
      </c>
      <c r="H443" s="3">
        <f>IF(F443&gt;68,G443+(F443-68)*0.2,G591-(68-F443)*0.2)</f>
        <v>20.98</v>
      </c>
      <c r="I443" s="3">
        <v>22.5</v>
      </c>
      <c r="J443" s="3">
        <f>1.8*I443+32</f>
        <v>72.5</v>
      </c>
      <c r="K443" s="3">
        <v>10</v>
      </c>
      <c r="L443" s="3">
        <f>IF(J443&gt;67,K443+(J443-67)*0.2,K443-(67-J443)*0.2)</f>
        <v>11.1</v>
      </c>
      <c r="M443" s="3">
        <f>(C443-H443)/C443*100</f>
        <v>58.040000000000006</v>
      </c>
      <c r="N443" s="3">
        <f>100-(M443+O443)</f>
        <v>19.759999999999991</v>
      </c>
      <c r="O443" s="3">
        <f>L443/C443*100</f>
        <v>22.2</v>
      </c>
      <c r="P443" s="1" t="s">
        <v>2</v>
      </c>
      <c r="Q443" s="15">
        <v>407505.11599999998</v>
      </c>
      <c r="R443" s="15">
        <v>3660029</v>
      </c>
      <c r="T443">
        <v>2009033</v>
      </c>
      <c r="U443" t="s">
        <v>261</v>
      </c>
      <c r="V443">
        <v>5.9420000000000001E-2</v>
      </c>
      <c r="W443">
        <v>0.38273000000000001</v>
      </c>
      <c r="X443">
        <v>2.826E-2</v>
      </c>
      <c r="Y443">
        <v>1.34605</v>
      </c>
      <c r="Z443">
        <v>20.198730000000001</v>
      </c>
      <c r="AA443">
        <v>10.797319999999999</v>
      </c>
      <c r="AB443">
        <v>-1.4185300000000001</v>
      </c>
      <c r="AC443" s="23">
        <v>5.4609999999999999E-2</v>
      </c>
      <c r="AD443" s="23">
        <v>0.38190000000000002</v>
      </c>
      <c r="AE443" s="23">
        <v>2.9909999999999999E-2</v>
      </c>
      <c r="AF443" s="23">
        <v>1.3693500000000001</v>
      </c>
      <c r="AG443" s="23">
        <v>26.64753</v>
      </c>
      <c r="AH443" s="23">
        <v>12.770189999999999</v>
      </c>
      <c r="AI443" s="23">
        <v>-1.3258000000000001</v>
      </c>
      <c r="AJ443" s="25">
        <v>1.11031375</v>
      </c>
      <c r="AK443" s="25">
        <v>0.38118143224759948</v>
      </c>
      <c r="AL443" s="25">
        <v>0.19306168864362622</v>
      </c>
      <c r="AM443" s="25">
        <v>8.8920201441006347E-2</v>
      </c>
      <c r="AN443" s="24">
        <v>1.6398692045438614</v>
      </c>
      <c r="AO443" s="23">
        <v>-99</v>
      </c>
    </row>
    <row r="444" spans="1:41" x14ac:dyDescent="0.25">
      <c r="A444" s="4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1"/>
      <c r="T444">
        <v>2009033</v>
      </c>
      <c r="U444" t="s">
        <v>260</v>
      </c>
      <c r="V444">
        <v>5.151E-2</v>
      </c>
      <c r="W444">
        <v>0.38157000000000002</v>
      </c>
      <c r="X444">
        <v>3.1419999999999997E-2</v>
      </c>
      <c r="Y444">
        <v>1.3883000000000001</v>
      </c>
      <c r="Z444">
        <v>32.31324</v>
      </c>
      <c r="AA444">
        <v>14.533580000000001</v>
      </c>
      <c r="AB444">
        <v>-1.26938</v>
      </c>
      <c r="AC444" s="23">
        <v>5.321E-2</v>
      </c>
      <c r="AD444" s="23">
        <v>0.37958999999999998</v>
      </c>
      <c r="AE444" s="23">
        <v>3.143E-2</v>
      </c>
      <c r="AF444" s="23">
        <v>1.39194</v>
      </c>
      <c r="AG444" s="23">
        <v>32.049169999999997</v>
      </c>
      <c r="AH444" s="23">
        <v>14.11966</v>
      </c>
      <c r="AI444" s="23">
        <v>-1.28491</v>
      </c>
      <c r="AJ444" s="25">
        <v>1.3353820833333332</v>
      </c>
      <c r="AK444" s="25">
        <v>0.3788495930994491</v>
      </c>
      <c r="AL444" s="25">
        <v>0.18187464209745513</v>
      </c>
      <c r="AM444" s="25">
        <v>8.2443037363903543E-2</v>
      </c>
      <c r="AN444" s="24">
        <v>1.6460485782864598</v>
      </c>
      <c r="AO444" s="23">
        <v>-99</v>
      </c>
    </row>
    <row r="445" spans="1:41" ht="51.75" x14ac:dyDescent="0.25">
      <c r="A445" s="14" t="s">
        <v>21</v>
      </c>
      <c r="B445" s="9" t="s">
        <v>20</v>
      </c>
      <c r="C445" s="13" t="s">
        <v>19</v>
      </c>
      <c r="D445" s="12" t="s">
        <v>18</v>
      </c>
      <c r="E445" s="11" t="s">
        <v>17</v>
      </c>
      <c r="F445" s="11" t="s">
        <v>16</v>
      </c>
      <c r="G445" s="11" t="s">
        <v>15</v>
      </c>
      <c r="H445" s="11" t="s">
        <v>14</v>
      </c>
      <c r="I445" s="11" t="s">
        <v>13</v>
      </c>
      <c r="J445" s="11" t="s">
        <v>12</v>
      </c>
      <c r="K445" s="11" t="s">
        <v>11</v>
      </c>
      <c r="L445" s="11" t="s">
        <v>10</v>
      </c>
      <c r="M445" s="10" t="s">
        <v>9</v>
      </c>
      <c r="N445" s="10" t="s">
        <v>8</v>
      </c>
      <c r="O445" s="10" t="s">
        <v>7</v>
      </c>
      <c r="P445" s="9" t="s">
        <v>6</v>
      </c>
      <c r="Q445" s="19" t="s">
        <v>5</v>
      </c>
      <c r="R445" s="19"/>
      <c r="T445">
        <v>2009033</v>
      </c>
      <c r="U445" t="s">
        <v>259</v>
      </c>
      <c r="V445">
        <v>5.4899999999999997E-2</v>
      </c>
      <c r="W445">
        <v>0.38016</v>
      </c>
      <c r="X445">
        <v>3.049E-2</v>
      </c>
      <c r="Y445">
        <v>1.37408</v>
      </c>
      <c r="Z445">
        <v>27.76239</v>
      </c>
      <c r="AA445">
        <v>13.00595</v>
      </c>
      <c r="AB445">
        <v>-1.3338699999999999</v>
      </c>
      <c r="AC445" s="23">
        <v>6.1800000000000001E-2</v>
      </c>
      <c r="AD445" s="23">
        <v>0.38391999999999998</v>
      </c>
      <c r="AE445" s="23">
        <v>2.7480000000000001E-2</v>
      </c>
      <c r="AF445" s="23">
        <v>1.33589</v>
      </c>
      <c r="AG445" s="23">
        <v>17.56296</v>
      </c>
      <c r="AH445" s="23">
        <v>9.9827100000000009</v>
      </c>
      <c r="AI445" s="23">
        <v>-1.46122</v>
      </c>
      <c r="AJ445" s="25">
        <v>0.73179000000000005</v>
      </c>
      <c r="AK445" s="25">
        <v>0.38325790965460627</v>
      </c>
      <c r="AL445" s="25">
        <v>0.21299663246476189</v>
      </c>
      <c r="AM445" s="25">
        <v>0.10441809391046447</v>
      </c>
      <c r="AN445" s="24">
        <v>1.6343665394152933</v>
      </c>
      <c r="AO445" s="23">
        <v>-99</v>
      </c>
    </row>
    <row r="446" spans="1:41" x14ac:dyDescent="0.25">
      <c r="C446" s="16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1"/>
      <c r="Q446" s="5" t="s">
        <v>4</v>
      </c>
      <c r="R446" s="5" t="s">
        <v>3</v>
      </c>
      <c r="T446">
        <v>2009033</v>
      </c>
      <c r="U446" t="s">
        <v>258</v>
      </c>
      <c r="V446">
        <v>5.4609999999999999E-2</v>
      </c>
      <c r="W446">
        <v>0.38190000000000002</v>
      </c>
      <c r="X446">
        <v>2.9909999999999999E-2</v>
      </c>
      <c r="Y446">
        <v>1.3693500000000001</v>
      </c>
      <c r="Z446">
        <v>26.64753</v>
      </c>
      <c r="AA446">
        <v>12.770189999999999</v>
      </c>
      <c r="AB446">
        <v>-1.3258000000000001</v>
      </c>
      <c r="AC446" s="23">
        <v>5.577E-2</v>
      </c>
      <c r="AD446" s="23">
        <v>0.38162000000000001</v>
      </c>
      <c r="AE446" s="23">
        <v>2.964E-2</v>
      </c>
      <c r="AF446" s="23">
        <v>1.3640600000000001</v>
      </c>
      <c r="AG446" s="23">
        <v>25.173580000000001</v>
      </c>
      <c r="AH446" s="23">
        <v>12.3141</v>
      </c>
      <c r="AI446" s="23">
        <v>-1.3509199999999999</v>
      </c>
      <c r="AJ446" s="25">
        <v>1.0488991666666667</v>
      </c>
      <c r="AK446" s="25">
        <v>0.38090772015283136</v>
      </c>
      <c r="AL446" s="25">
        <v>0.1957387335034253</v>
      </c>
      <c r="AM446" s="25">
        <v>9.1167259938307599E-2</v>
      </c>
      <c r="AN446" s="24">
        <v>1.6405945415949967</v>
      </c>
      <c r="AO446" s="23">
        <v>-99</v>
      </c>
    </row>
    <row r="447" spans="1:41" x14ac:dyDescent="0.25">
      <c r="A447" s="4">
        <v>81</v>
      </c>
      <c r="B447">
        <v>30</v>
      </c>
      <c r="C447" s="16">
        <v>50</v>
      </c>
      <c r="D447">
        <v>20</v>
      </c>
      <c r="E447" s="3">
        <v>25</v>
      </c>
      <c r="F447" s="3">
        <f>1.8*E447+32</f>
        <v>77</v>
      </c>
      <c r="G447" s="3">
        <v>16</v>
      </c>
      <c r="H447" s="3">
        <f>IF(F447&gt;68,G447+(F447-68)*0.2,G594-(68-F447)*0.2)</f>
        <v>17.8</v>
      </c>
      <c r="I447" s="3">
        <v>23</v>
      </c>
      <c r="J447" s="3">
        <f>1.8*I447+32</f>
        <v>73.400000000000006</v>
      </c>
      <c r="K447" s="3">
        <v>8</v>
      </c>
      <c r="L447" s="3">
        <f>IF(J447&gt;68,K447+(J447-68)*0.2,K447-(68-J447)*0.2)</f>
        <v>9.0800000000000018</v>
      </c>
      <c r="M447" s="3">
        <f>(C447-H447)/C447*100</f>
        <v>64.400000000000006</v>
      </c>
      <c r="N447" s="3">
        <f>100-(M447+O447)</f>
        <v>17.439999999999998</v>
      </c>
      <c r="O447" s="3">
        <f>L447/C447*100</f>
        <v>18.160000000000004</v>
      </c>
      <c r="P447" s="1" t="s">
        <v>0</v>
      </c>
      <c r="Q447" s="15">
        <v>407490.89199999999</v>
      </c>
      <c r="R447" s="15">
        <v>3659870</v>
      </c>
      <c r="T447">
        <v>2009033</v>
      </c>
      <c r="U447" t="s">
        <v>257</v>
      </c>
      <c r="V447">
        <v>5.321E-2</v>
      </c>
      <c r="W447">
        <v>0.37958999999999998</v>
      </c>
      <c r="X447">
        <v>3.143E-2</v>
      </c>
      <c r="Y447">
        <v>1.39194</v>
      </c>
      <c r="Z447">
        <v>32.049169999999997</v>
      </c>
      <c r="AA447">
        <v>14.11966</v>
      </c>
      <c r="AB447">
        <v>-1.28491</v>
      </c>
      <c r="AC447" s="23">
        <v>5.6390000000000003E-2</v>
      </c>
      <c r="AD447" s="23">
        <v>0.38173000000000001</v>
      </c>
      <c r="AE447" s="23">
        <v>2.9399999999999999E-2</v>
      </c>
      <c r="AF447" s="23">
        <v>1.3608199999999999</v>
      </c>
      <c r="AG447" s="23">
        <v>24.259440000000001</v>
      </c>
      <c r="AH447" s="23">
        <v>12.03637</v>
      </c>
      <c r="AI447" s="23">
        <v>-1.3627400000000001</v>
      </c>
      <c r="AJ447" s="25">
        <v>1.01081</v>
      </c>
      <c r="AK447" s="25">
        <v>0.38102324415406508</v>
      </c>
      <c r="AL447" s="25">
        <v>0.19757498152794162</v>
      </c>
      <c r="AM447" s="25">
        <v>9.254281476651062E-2</v>
      </c>
      <c r="AN447" s="24">
        <v>1.6402884029917275</v>
      </c>
      <c r="AO447" s="23">
        <v>-99</v>
      </c>
    </row>
    <row r="448" spans="1:41" x14ac:dyDescent="0.25">
      <c r="A448" s="4">
        <v>81</v>
      </c>
      <c r="B448">
        <v>60</v>
      </c>
      <c r="C448" s="16">
        <v>50</v>
      </c>
      <c r="D448">
        <v>20</v>
      </c>
      <c r="E448" s="3">
        <v>25.5</v>
      </c>
      <c r="F448" s="3">
        <f>1.8*E448+32</f>
        <v>77.900000000000006</v>
      </c>
      <c r="G448" s="3">
        <v>16</v>
      </c>
      <c r="H448" s="3">
        <f>IF(F448&gt;68,G448+(F448-68)*0.2,G595-(68-F448)*0.2)</f>
        <v>17.98</v>
      </c>
      <c r="I448" s="3">
        <v>23</v>
      </c>
      <c r="J448" s="3">
        <f>1.8*I448+32</f>
        <v>73.400000000000006</v>
      </c>
      <c r="K448" s="3">
        <v>8</v>
      </c>
      <c r="L448" s="3">
        <f>IF(J448&gt;68,K448+(J448-68)*0.2,K448-(68-J448)*0.2)</f>
        <v>9.0800000000000018</v>
      </c>
      <c r="M448" s="3">
        <f>(C448-H448)/C448*100</f>
        <v>64.039999999999992</v>
      </c>
      <c r="N448" s="3">
        <f>100-(M448+O448)</f>
        <v>17.800000000000011</v>
      </c>
      <c r="O448" s="3">
        <f>L448/C448*100</f>
        <v>18.160000000000004</v>
      </c>
      <c r="P448" s="1" t="s">
        <v>0</v>
      </c>
      <c r="Q448" s="15">
        <v>407490.89199999999</v>
      </c>
      <c r="R448" s="15">
        <v>3659870</v>
      </c>
      <c r="T448">
        <v>2009033</v>
      </c>
      <c r="U448" t="s">
        <v>256</v>
      </c>
      <c r="V448">
        <v>6.1800000000000001E-2</v>
      </c>
      <c r="W448">
        <v>0.38391999999999998</v>
      </c>
      <c r="X448">
        <v>2.7480000000000001E-2</v>
      </c>
      <c r="Y448">
        <v>1.33589</v>
      </c>
      <c r="Z448">
        <v>17.56296</v>
      </c>
      <c r="AA448">
        <v>9.9827100000000009</v>
      </c>
      <c r="AB448">
        <v>-1.46122</v>
      </c>
      <c r="AC448" s="23">
        <v>5.6570000000000002E-2</v>
      </c>
      <c r="AD448" s="23">
        <v>0.38018000000000002</v>
      </c>
      <c r="AE448" s="23">
        <v>2.9850000000000002E-2</v>
      </c>
      <c r="AF448" s="23">
        <v>1.3632599999999999</v>
      </c>
      <c r="AG448" s="23">
        <v>24.958169999999999</v>
      </c>
      <c r="AH448" s="23">
        <v>12.191190000000001</v>
      </c>
      <c r="AI448" s="23">
        <v>-1.3729100000000001</v>
      </c>
      <c r="AJ448" s="25">
        <v>1.03992375</v>
      </c>
      <c r="AK448" s="25">
        <v>0.37946496166105687</v>
      </c>
      <c r="AL448" s="25">
        <v>0.19548937804420111</v>
      </c>
      <c r="AM448" s="25">
        <v>9.1805351126579865E-2</v>
      </c>
      <c r="AN448" s="24">
        <v>1.6444178515981993</v>
      </c>
      <c r="AO448" s="23">
        <v>-99</v>
      </c>
    </row>
    <row r="449" spans="1:41" x14ac:dyDescent="0.25">
      <c r="A449" s="4">
        <v>81</v>
      </c>
      <c r="B449">
        <v>90</v>
      </c>
      <c r="C449" s="16">
        <v>50</v>
      </c>
      <c r="D449">
        <v>20</v>
      </c>
      <c r="E449" s="3">
        <v>26</v>
      </c>
      <c r="F449" s="3">
        <f>1.8*E449+32</f>
        <v>78.800000000000011</v>
      </c>
      <c r="G449" s="3">
        <v>21</v>
      </c>
      <c r="H449" s="3">
        <f>IF(F449&gt;68,G449+(F449-68)*0.2,G596-(68-F449)*0.2)</f>
        <v>23.160000000000004</v>
      </c>
      <c r="I449" s="3">
        <v>23</v>
      </c>
      <c r="J449" s="3">
        <f>1.8*I449+32</f>
        <v>73.400000000000006</v>
      </c>
      <c r="K449" s="3">
        <v>11</v>
      </c>
      <c r="L449" s="3">
        <f>IF(J449&gt;68,K449+(J449-68)*0.2,K449-(68-J449)*0.2)</f>
        <v>12.080000000000002</v>
      </c>
      <c r="M449" s="3">
        <f>(C449-H449)/C449*100</f>
        <v>53.679999999999993</v>
      </c>
      <c r="N449" s="3">
        <f>100-(M449+O449)</f>
        <v>22.159999999999997</v>
      </c>
      <c r="O449" s="3">
        <f>L449/C449*100</f>
        <v>24.160000000000004</v>
      </c>
      <c r="P449" s="1" t="s">
        <v>2</v>
      </c>
      <c r="Q449" s="15">
        <v>407490.89199999999</v>
      </c>
      <c r="R449" s="15">
        <v>3659870</v>
      </c>
      <c r="T449">
        <v>2009033</v>
      </c>
      <c r="U449" t="s">
        <v>255</v>
      </c>
      <c r="V449">
        <v>5.577E-2</v>
      </c>
      <c r="W449">
        <v>0.38162000000000001</v>
      </c>
      <c r="X449">
        <v>2.964E-2</v>
      </c>
      <c r="Y449">
        <v>1.3640600000000001</v>
      </c>
      <c r="Z449">
        <v>25.173580000000001</v>
      </c>
      <c r="AA449">
        <v>12.3141</v>
      </c>
      <c r="AB449">
        <v>-1.3509199999999999</v>
      </c>
      <c r="AC449" s="23">
        <v>5.4149999999999997E-2</v>
      </c>
      <c r="AD449" s="23">
        <v>0.37751000000000001</v>
      </c>
      <c r="AE449" s="23">
        <v>3.125E-2</v>
      </c>
      <c r="AF449" s="23">
        <v>1.40852</v>
      </c>
      <c r="AG449" s="23">
        <v>33.758540000000004</v>
      </c>
      <c r="AH449" s="23">
        <v>13.96184</v>
      </c>
      <c r="AI449" s="23">
        <v>-1.2550600000000001</v>
      </c>
      <c r="AJ449" s="25">
        <v>1.4066058333333336</v>
      </c>
      <c r="AK449" s="25">
        <v>0.37680207865601678</v>
      </c>
      <c r="AL449" s="25">
        <v>0.17704551391925671</v>
      </c>
      <c r="AM449" s="25">
        <v>8.0363896531940607E-2</v>
      </c>
      <c r="AN449" s="24">
        <v>1.6514744915615556</v>
      </c>
      <c r="AO449" s="23">
        <v>-99</v>
      </c>
    </row>
    <row r="450" spans="1:41" x14ac:dyDescent="0.25">
      <c r="A450" s="4">
        <v>81</v>
      </c>
      <c r="B450">
        <v>120</v>
      </c>
      <c r="C450" s="16">
        <v>50</v>
      </c>
      <c r="D450">
        <v>20</v>
      </c>
      <c r="E450" s="3">
        <v>26</v>
      </c>
      <c r="F450" s="3">
        <f>1.8*E450+32</f>
        <v>78.800000000000011</v>
      </c>
      <c r="G450" s="3">
        <v>19</v>
      </c>
      <c r="H450" s="3">
        <f>IF(F450&gt;68,G450+(F450-68)*0.2,G598-(68-F450)*0.2)</f>
        <v>21.160000000000004</v>
      </c>
      <c r="I450" s="3">
        <v>23</v>
      </c>
      <c r="J450" s="3">
        <f>1.8*I450+32</f>
        <v>73.400000000000006</v>
      </c>
      <c r="K450" s="3">
        <v>10</v>
      </c>
      <c r="L450" s="3">
        <f>IF(J450&gt;68,K450+(J450-68)*0.2,K450-(68-J450)*0.2)</f>
        <v>11.080000000000002</v>
      </c>
      <c r="M450" s="3">
        <f>(C450-H450)/C450*100</f>
        <v>57.68</v>
      </c>
      <c r="N450" s="3">
        <f>100-(M450+O450)</f>
        <v>20.159999999999997</v>
      </c>
      <c r="O450" s="3">
        <f>L450/C450*100</f>
        <v>22.160000000000004</v>
      </c>
      <c r="P450" s="1" t="s">
        <v>2</v>
      </c>
      <c r="Q450" s="15">
        <v>407490.89199999999</v>
      </c>
      <c r="R450" s="15">
        <v>3659870</v>
      </c>
      <c r="T450">
        <v>2009033</v>
      </c>
      <c r="U450" t="s">
        <v>254</v>
      </c>
      <c r="V450">
        <v>5.6390000000000003E-2</v>
      </c>
      <c r="W450">
        <v>0.38173000000000001</v>
      </c>
      <c r="X450">
        <v>2.9399999999999999E-2</v>
      </c>
      <c r="Y450">
        <v>1.3608199999999999</v>
      </c>
      <c r="Z450">
        <v>24.259440000000001</v>
      </c>
      <c r="AA450">
        <v>12.03637</v>
      </c>
      <c r="AB450">
        <v>-1.3627400000000001</v>
      </c>
      <c r="AC450" s="23">
        <v>6.5119999999999997E-2</v>
      </c>
      <c r="AD450" s="23">
        <v>0.38890000000000002</v>
      </c>
      <c r="AE450" s="23">
        <v>2.5510000000000001E-2</v>
      </c>
      <c r="AF450" s="23">
        <v>1.3317699999999999</v>
      </c>
      <c r="AG450" s="23">
        <v>14.153029999999999</v>
      </c>
      <c r="AH450" s="23">
        <v>8.7734100000000002</v>
      </c>
      <c r="AI450" s="23">
        <v>-1.4354800000000001</v>
      </c>
      <c r="AJ450" s="25">
        <v>0.58970958333333334</v>
      </c>
      <c r="AK450" s="25">
        <v>0.38829365360472151</v>
      </c>
      <c r="AL450" s="25">
        <v>0.22211870924035493</v>
      </c>
      <c r="AM450" s="25">
        <v>0.11013057808814225</v>
      </c>
      <c r="AN450" s="24">
        <v>1.621021817947488</v>
      </c>
      <c r="AO450" s="23">
        <v>-99</v>
      </c>
    </row>
    <row r="451" spans="1:41" x14ac:dyDescent="0.25">
      <c r="A451" s="4">
        <v>81</v>
      </c>
      <c r="B451">
        <v>150</v>
      </c>
      <c r="C451" s="16">
        <v>50</v>
      </c>
      <c r="D451">
        <v>20</v>
      </c>
      <c r="E451" s="3">
        <v>25</v>
      </c>
      <c r="F451" s="3">
        <f>1.8*E451+32</f>
        <v>77</v>
      </c>
      <c r="G451" s="3">
        <v>19</v>
      </c>
      <c r="H451" s="3">
        <f>IF(F451&gt;68,G451+(F451-68)*0.2,G599-(68-F451)*0.2)</f>
        <v>20.8</v>
      </c>
      <c r="I451" s="3">
        <v>23</v>
      </c>
      <c r="J451" s="3">
        <f>1.8*I451+32</f>
        <v>73.400000000000006</v>
      </c>
      <c r="K451" s="3">
        <v>11</v>
      </c>
      <c r="L451" s="3">
        <f>IF(J451&gt;68,K451+(J451-68)*0.2,K451-(68-J451)*0.2)</f>
        <v>12.080000000000002</v>
      </c>
      <c r="M451" s="3">
        <f>(C451-H451)/C451*100</f>
        <v>58.4</v>
      </c>
      <c r="N451" s="3">
        <f>100-(M451+O451)</f>
        <v>17.439999999999998</v>
      </c>
      <c r="O451" s="3">
        <f>L451/C451*100</f>
        <v>24.160000000000004</v>
      </c>
      <c r="P451" s="1" t="s">
        <v>2</v>
      </c>
      <c r="Q451" s="15">
        <v>407490.89199999999</v>
      </c>
      <c r="R451" s="15">
        <v>3659870</v>
      </c>
      <c r="T451">
        <v>2009033</v>
      </c>
      <c r="U451" t="s">
        <v>253</v>
      </c>
      <c r="V451">
        <v>5.6570000000000002E-2</v>
      </c>
      <c r="W451">
        <v>0.38018000000000002</v>
      </c>
      <c r="X451">
        <v>2.9850000000000002E-2</v>
      </c>
      <c r="Y451">
        <v>1.3632599999999999</v>
      </c>
      <c r="Z451">
        <v>24.958169999999999</v>
      </c>
      <c r="AA451">
        <v>12.191190000000001</v>
      </c>
      <c r="AB451">
        <v>-1.3729100000000001</v>
      </c>
      <c r="AC451" s="23">
        <v>5.3690000000000002E-2</v>
      </c>
      <c r="AD451" s="23">
        <v>0.37985999999999998</v>
      </c>
      <c r="AE451" s="23">
        <v>3.1119999999999998E-2</v>
      </c>
      <c r="AF451" s="23">
        <v>1.38514</v>
      </c>
      <c r="AG451" s="23">
        <v>30.512799999999999</v>
      </c>
      <c r="AH451" s="23">
        <v>13.7501</v>
      </c>
      <c r="AI451" s="23">
        <v>-1.30186</v>
      </c>
      <c r="AJ451" s="25">
        <v>1.2713666666666665</v>
      </c>
      <c r="AK451" s="25">
        <v>0.3791221699559984</v>
      </c>
      <c r="AL451" s="25">
        <v>0.18481817847411902</v>
      </c>
      <c r="AM451" s="25">
        <v>8.4269523031946611E-2</v>
      </c>
      <c r="AN451" s="24">
        <v>1.6453262496166043</v>
      </c>
      <c r="AO451" s="23">
        <v>-99</v>
      </c>
    </row>
    <row r="452" spans="1:41" x14ac:dyDescent="0.25">
      <c r="A452" s="4">
        <v>81</v>
      </c>
      <c r="B452">
        <v>180</v>
      </c>
      <c r="C452" s="16">
        <v>50</v>
      </c>
      <c r="D452">
        <v>20</v>
      </c>
      <c r="E452" s="3">
        <v>25</v>
      </c>
      <c r="F452" s="3">
        <f>1.8*E452+32</f>
        <v>77</v>
      </c>
      <c r="G452" s="3">
        <v>18</v>
      </c>
      <c r="H452" s="3">
        <f>IF(F452&gt;68,G452+(F452-68)*0.2,G600-(68-F452)*0.2)</f>
        <v>19.8</v>
      </c>
      <c r="I452" s="3">
        <v>22.5</v>
      </c>
      <c r="J452" s="3">
        <f>1.8*I452+32</f>
        <v>72.5</v>
      </c>
      <c r="K452" s="3">
        <v>10</v>
      </c>
      <c r="L452" s="3">
        <f>IF(J452&gt;68,K452+(J452-68)*0.2,K452-(68-J452)*0.2)</f>
        <v>10.9</v>
      </c>
      <c r="M452" s="3">
        <f>(C452-H452)/C452*100</f>
        <v>60.4</v>
      </c>
      <c r="N452" s="3">
        <f>100-(M452+O452)</f>
        <v>17.799999999999997</v>
      </c>
      <c r="O452" s="3">
        <f>L452/C452*100</f>
        <v>21.8</v>
      </c>
      <c r="P452" s="1" t="s">
        <v>2</v>
      </c>
      <c r="Q452" s="15">
        <v>407490.89199999999</v>
      </c>
      <c r="R452" s="15">
        <v>3659870</v>
      </c>
      <c r="T452">
        <v>2009033</v>
      </c>
      <c r="U452" t="s">
        <v>252</v>
      </c>
      <c r="V452">
        <v>5.4149999999999997E-2</v>
      </c>
      <c r="W452">
        <v>0.37751000000000001</v>
      </c>
      <c r="X452">
        <v>3.125E-2</v>
      </c>
      <c r="Y452">
        <v>1.40852</v>
      </c>
      <c r="Z452">
        <v>33.758540000000004</v>
      </c>
      <c r="AA452">
        <v>13.96184</v>
      </c>
      <c r="AB452">
        <v>-1.2550600000000001</v>
      </c>
      <c r="AC452" s="23">
        <v>5.636E-2</v>
      </c>
      <c r="AD452" s="23">
        <v>0.38207000000000002</v>
      </c>
      <c r="AE452" s="23">
        <v>2.9270000000000001E-2</v>
      </c>
      <c r="AF452" s="23">
        <v>1.3605499999999999</v>
      </c>
      <c r="AG452" s="23">
        <v>24.093920000000001</v>
      </c>
      <c r="AH452" s="23">
        <v>11.98474</v>
      </c>
      <c r="AI452" s="23">
        <v>-1.3587199999999999</v>
      </c>
      <c r="AJ452" s="25">
        <v>1.0039133333333334</v>
      </c>
      <c r="AK452" s="25">
        <v>0.38136639199884848</v>
      </c>
      <c r="AL452" s="25">
        <v>0.19800896671607821</v>
      </c>
      <c r="AM452" s="25">
        <v>9.2671438547668891E-2</v>
      </c>
      <c r="AN452" s="24">
        <v>1.6393790612030514</v>
      </c>
      <c r="AO452" s="23">
        <v>-99</v>
      </c>
    </row>
    <row r="453" spans="1:41" x14ac:dyDescent="0.25">
      <c r="T453">
        <v>2009033</v>
      </c>
      <c r="U453" t="s">
        <v>251</v>
      </c>
      <c r="V453">
        <v>6.5119999999999997E-2</v>
      </c>
      <c r="W453">
        <v>0.38890000000000002</v>
      </c>
      <c r="X453">
        <v>2.5510000000000001E-2</v>
      </c>
      <c r="Y453">
        <v>1.3317699999999999</v>
      </c>
      <c r="Z453">
        <v>14.153029999999999</v>
      </c>
      <c r="AA453">
        <v>8.7734100000000002</v>
      </c>
      <c r="AB453">
        <v>-1.4354800000000001</v>
      </c>
      <c r="AC453" s="23">
        <v>5.9490000000000001E-2</v>
      </c>
      <c r="AD453" s="23">
        <v>0.38018000000000002</v>
      </c>
      <c r="AE453" s="23">
        <v>2.8910000000000002E-2</v>
      </c>
      <c r="AF453" s="23">
        <v>1.3459700000000001</v>
      </c>
      <c r="AG453" s="23">
        <v>20.842179999999999</v>
      </c>
      <c r="AH453" s="23">
        <v>10.980880000000001</v>
      </c>
      <c r="AI453" s="23">
        <v>-1.4470000000000001</v>
      </c>
      <c r="AJ453" s="25">
        <v>0.86842416666666666</v>
      </c>
      <c r="AK453" s="25">
        <v>0.37948433839133755</v>
      </c>
      <c r="AL453" s="25">
        <v>0.20425092158076513</v>
      </c>
      <c r="AM453" s="25">
        <v>9.8725828119344133E-2</v>
      </c>
      <c r="AN453" s="24">
        <v>1.6443665032629555</v>
      </c>
      <c r="AO453" s="23">
        <v>-99</v>
      </c>
    </row>
    <row r="454" spans="1:41" ht="51.75" x14ac:dyDescent="0.25">
      <c r="A454" s="14" t="s">
        <v>21</v>
      </c>
      <c r="B454" s="9" t="s">
        <v>20</v>
      </c>
      <c r="C454" s="13" t="s">
        <v>19</v>
      </c>
      <c r="D454" s="12" t="s">
        <v>18</v>
      </c>
      <c r="E454" s="11" t="s">
        <v>17</v>
      </c>
      <c r="F454" s="11" t="s">
        <v>16</v>
      </c>
      <c r="G454" s="11" t="s">
        <v>15</v>
      </c>
      <c r="H454" s="11" t="s">
        <v>14</v>
      </c>
      <c r="I454" s="11" t="s">
        <v>13</v>
      </c>
      <c r="J454" s="11" t="s">
        <v>12</v>
      </c>
      <c r="K454" s="11" t="s">
        <v>11</v>
      </c>
      <c r="L454" s="11" t="s">
        <v>10</v>
      </c>
      <c r="M454" s="10" t="s">
        <v>9</v>
      </c>
      <c r="N454" s="10" t="s">
        <v>8</v>
      </c>
      <c r="O454" s="10" t="s">
        <v>7</v>
      </c>
      <c r="P454" s="9" t="s">
        <v>6</v>
      </c>
      <c r="Q454" s="19" t="s">
        <v>5</v>
      </c>
      <c r="R454" s="19"/>
      <c r="T454">
        <v>2009033</v>
      </c>
      <c r="U454" t="s">
        <v>250</v>
      </c>
      <c r="V454">
        <v>5.3690000000000002E-2</v>
      </c>
      <c r="W454">
        <v>0.37985999999999998</v>
      </c>
      <c r="X454">
        <v>3.1119999999999998E-2</v>
      </c>
      <c r="Y454">
        <v>1.38514</v>
      </c>
      <c r="Z454">
        <v>30.512799999999999</v>
      </c>
      <c r="AA454">
        <v>13.7501</v>
      </c>
      <c r="AB454">
        <v>-1.30186</v>
      </c>
      <c r="AC454" s="23">
        <v>5.9740000000000001E-2</v>
      </c>
      <c r="AD454" s="23">
        <v>0.37797999999999998</v>
      </c>
      <c r="AE454" s="23">
        <v>2.904E-2</v>
      </c>
      <c r="AF454" s="23">
        <v>1.3489100000000001</v>
      </c>
      <c r="AG454" s="23">
        <v>21.184940000000001</v>
      </c>
      <c r="AH454" s="23">
        <v>10.938599999999999</v>
      </c>
      <c r="AI454" s="23">
        <v>-1.4487099999999999</v>
      </c>
      <c r="AJ454" s="25">
        <v>0.88270583333333341</v>
      </c>
      <c r="AK454" s="25">
        <v>0.37728831925794293</v>
      </c>
      <c r="AL454" s="25">
        <v>0.20222890475475269</v>
      </c>
      <c r="AM454" s="25">
        <v>9.7927363362192071E-2</v>
      </c>
      <c r="AN454" s="24">
        <v>1.6501859539664512</v>
      </c>
      <c r="AO454" s="23">
        <v>-99</v>
      </c>
    </row>
    <row r="455" spans="1:41" x14ac:dyDescent="0.25"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1"/>
      <c r="Q455" s="5" t="s">
        <v>4</v>
      </c>
      <c r="R455" s="5" t="s">
        <v>3</v>
      </c>
      <c r="T455">
        <v>2009033</v>
      </c>
      <c r="U455" t="s">
        <v>249</v>
      </c>
      <c r="V455">
        <v>5.636E-2</v>
      </c>
      <c r="W455">
        <v>0.38207000000000002</v>
      </c>
      <c r="X455">
        <v>2.9270000000000001E-2</v>
      </c>
      <c r="Y455">
        <v>1.3605499999999999</v>
      </c>
      <c r="Z455">
        <v>24.093920000000001</v>
      </c>
      <c r="AA455">
        <v>11.98474</v>
      </c>
      <c r="AB455">
        <v>-1.3587199999999999</v>
      </c>
      <c r="AC455" s="23">
        <v>5.3339999999999999E-2</v>
      </c>
      <c r="AD455" s="23">
        <v>0.38120999999999999</v>
      </c>
      <c r="AE455" s="23">
        <v>3.075E-2</v>
      </c>
      <c r="AF455" s="23">
        <v>1.3788100000000001</v>
      </c>
      <c r="AG455" s="23">
        <v>29.397169999999999</v>
      </c>
      <c r="AH455" s="23">
        <v>13.59186</v>
      </c>
      <c r="AI455" s="23">
        <v>-1.304</v>
      </c>
      <c r="AJ455" s="25">
        <v>1.2248820833333334</v>
      </c>
      <c r="AK455" s="25">
        <v>0.38047315446168684</v>
      </c>
      <c r="AL455" s="25">
        <v>0.18769745402249621</v>
      </c>
      <c r="AM455" s="25">
        <v>8.5443369199854874E-2</v>
      </c>
      <c r="AN455" s="24">
        <v>1.6417461406765299</v>
      </c>
      <c r="AO455" s="23">
        <v>-99</v>
      </c>
    </row>
    <row r="456" spans="1:41" x14ac:dyDescent="0.25">
      <c r="A456" s="4">
        <v>82</v>
      </c>
      <c r="B456">
        <v>30</v>
      </c>
      <c r="C456">
        <v>50</v>
      </c>
      <c r="D456">
        <v>20</v>
      </c>
      <c r="E456" s="3">
        <v>25.5</v>
      </c>
      <c r="F456" s="3">
        <f>1.8*E456+32</f>
        <v>77.900000000000006</v>
      </c>
      <c r="G456" s="3">
        <v>14</v>
      </c>
      <c r="H456" s="3">
        <f>IF(F456&gt;68,G456+(F456-68)*0.2,G604-(68-F456)*0.2)</f>
        <v>15.98</v>
      </c>
      <c r="I456" s="3">
        <v>22.5</v>
      </c>
      <c r="J456" s="3">
        <f>1.8*I456+32</f>
        <v>72.5</v>
      </c>
      <c r="K456" s="3">
        <v>7</v>
      </c>
      <c r="L456" s="3">
        <f>IF(J456&gt;67,K456+(J456-67)*0.2,K456-(67-J456)*0.2)</f>
        <v>8.1</v>
      </c>
      <c r="M456" s="3">
        <f>(C456-H456)/C456*100</f>
        <v>68.039999999999992</v>
      </c>
      <c r="N456" s="3">
        <f>100-(M456+O456)</f>
        <v>15.760000000000005</v>
      </c>
      <c r="O456" s="3">
        <f>L456/C456*100</f>
        <v>16.2</v>
      </c>
      <c r="P456" s="1" t="s">
        <v>0</v>
      </c>
      <c r="Q456" s="15">
        <v>407490.89199999999</v>
      </c>
      <c r="R456" s="15">
        <v>3659896.5</v>
      </c>
      <c r="T456">
        <v>2009033</v>
      </c>
      <c r="U456" t="s">
        <v>248</v>
      </c>
      <c r="V456">
        <v>5.9490000000000001E-2</v>
      </c>
      <c r="W456">
        <v>0.38018000000000002</v>
      </c>
      <c r="X456">
        <v>2.8910000000000002E-2</v>
      </c>
      <c r="Y456">
        <v>1.3459700000000001</v>
      </c>
      <c r="Z456">
        <v>20.842179999999999</v>
      </c>
      <c r="AA456">
        <v>10.980880000000001</v>
      </c>
      <c r="AB456">
        <v>-1.4470000000000001</v>
      </c>
      <c r="AC456" s="23">
        <v>5.9630000000000002E-2</v>
      </c>
      <c r="AD456" s="23">
        <v>0.37878000000000001</v>
      </c>
      <c r="AE456" s="23">
        <v>2.904E-2</v>
      </c>
      <c r="AF456" s="23">
        <v>1.3474999999999999</v>
      </c>
      <c r="AG456" s="23">
        <v>21.079160000000002</v>
      </c>
      <c r="AH456" s="23">
        <v>10.97547</v>
      </c>
      <c r="AI456" s="23">
        <v>-1.4505399999999999</v>
      </c>
      <c r="AJ456" s="25">
        <v>0.8782983333333334</v>
      </c>
      <c r="AK456" s="25">
        <v>0.37808497809400227</v>
      </c>
      <c r="AL456" s="25">
        <v>0.20298404998476827</v>
      </c>
      <c r="AM456" s="25">
        <v>9.8256085536929133E-2</v>
      </c>
      <c r="AN456" s="24">
        <v>1.6480748080508938</v>
      </c>
      <c r="AO456" s="23">
        <v>-99</v>
      </c>
    </row>
    <row r="457" spans="1:41" x14ac:dyDescent="0.25">
      <c r="A457" s="4">
        <v>82</v>
      </c>
      <c r="B457">
        <v>60</v>
      </c>
      <c r="C457">
        <v>50</v>
      </c>
      <c r="D457">
        <v>20</v>
      </c>
      <c r="E457" s="3">
        <v>25.5</v>
      </c>
      <c r="F457" s="3">
        <f>1.8*E457+32</f>
        <v>77.900000000000006</v>
      </c>
      <c r="G457" s="3">
        <v>13</v>
      </c>
      <c r="H457" s="3">
        <f>IF(F457&gt;68,G457+(F457-68)*0.2,G605-(68-F457)*0.2)</f>
        <v>14.98</v>
      </c>
      <c r="I457" s="3">
        <v>22.5</v>
      </c>
      <c r="J457" s="3">
        <f>1.8*I457+32</f>
        <v>72.5</v>
      </c>
      <c r="K457" s="3">
        <v>7</v>
      </c>
      <c r="L457" s="3">
        <f>IF(J457&gt;67,K457+(J457-67)*0.2,K457-(67-J457)*0.2)</f>
        <v>8.1</v>
      </c>
      <c r="M457" s="3">
        <f>(C457-H457)/C457*100</f>
        <v>70.039999999999992</v>
      </c>
      <c r="N457" s="3">
        <f>100-(M457+O457)</f>
        <v>13.760000000000005</v>
      </c>
      <c r="O457" s="3">
        <f>L457/C457*100</f>
        <v>16.2</v>
      </c>
      <c r="P457" s="1" t="s">
        <v>0</v>
      </c>
      <c r="Q457" s="15">
        <v>407490.89199999999</v>
      </c>
      <c r="R457" s="15">
        <v>3659896.5</v>
      </c>
      <c r="T457">
        <v>2009033</v>
      </c>
      <c r="U457" t="s">
        <v>247</v>
      </c>
      <c r="V457">
        <v>5.9740000000000001E-2</v>
      </c>
      <c r="W457">
        <v>0.37797999999999998</v>
      </c>
      <c r="X457">
        <v>2.904E-2</v>
      </c>
      <c r="Y457">
        <v>1.3489100000000001</v>
      </c>
      <c r="Z457">
        <v>21.184940000000001</v>
      </c>
      <c r="AA457">
        <v>10.938599999999999</v>
      </c>
      <c r="AB457">
        <v>-1.4487099999999999</v>
      </c>
      <c r="AC457" s="23">
        <v>4.7710000000000002E-2</v>
      </c>
      <c r="AD457" s="23">
        <v>0.38184000000000001</v>
      </c>
      <c r="AE457" s="23">
        <v>3.3669999999999999E-2</v>
      </c>
      <c r="AF457" s="23">
        <v>1.42065</v>
      </c>
      <c r="AG457" s="23">
        <v>41.328749999999999</v>
      </c>
      <c r="AH457" s="23">
        <v>17.456289999999999</v>
      </c>
      <c r="AI457" s="23">
        <v>-1.19112</v>
      </c>
      <c r="AJ457" s="25">
        <v>1.7220312499999999</v>
      </c>
      <c r="AK457" s="25">
        <v>0.38104418969679943</v>
      </c>
      <c r="AL457" s="25">
        <v>0.16746142157603491</v>
      </c>
      <c r="AM457" s="25">
        <v>7.2073478826221213E-2</v>
      </c>
      <c r="AN457" s="24">
        <v>1.6402328973034814</v>
      </c>
      <c r="AO457" s="23">
        <v>-99</v>
      </c>
    </row>
    <row r="458" spans="1:41" x14ac:dyDescent="0.25">
      <c r="A458" s="4">
        <v>82</v>
      </c>
      <c r="B458">
        <v>90</v>
      </c>
      <c r="C458">
        <v>50</v>
      </c>
      <c r="D458">
        <v>20</v>
      </c>
      <c r="E458" s="3">
        <v>25</v>
      </c>
      <c r="F458" s="3">
        <f>1.8*E458+32</f>
        <v>77</v>
      </c>
      <c r="G458" s="3">
        <v>16</v>
      </c>
      <c r="H458" s="3">
        <f>IF(F458&gt;68,G458+(F458-68)*0.2,G606-(68-F458)*0.2)</f>
        <v>17.8</v>
      </c>
      <c r="I458" s="3">
        <v>23</v>
      </c>
      <c r="J458" s="3">
        <f>1.8*I458+32</f>
        <v>73.400000000000006</v>
      </c>
      <c r="K458" s="3">
        <v>10</v>
      </c>
      <c r="L458" s="3">
        <f>IF(J458&gt;67,K458+(J458-67)*0.2,K458-(67-J458)*0.2)</f>
        <v>11.280000000000001</v>
      </c>
      <c r="M458" s="3">
        <f>(C458-H458)/C458*100</f>
        <v>64.400000000000006</v>
      </c>
      <c r="N458" s="3">
        <f>100-(M458+O458)</f>
        <v>13.039999999999992</v>
      </c>
      <c r="O458" s="3">
        <f>L458/C458*100</f>
        <v>22.560000000000002</v>
      </c>
      <c r="P458" s="1" t="s">
        <v>2</v>
      </c>
      <c r="Q458" s="15">
        <v>407490.89199999999</v>
      </c>
      <c r="R458" s="15">
        <v>3659896.5</v>
      </c>
      <c r="S458" s="1"/>
      <c r="T458">
        <v>2009033</v>
      </c>
      <c r="U458" t="s">
        <v>246</v>
      </c>
      <c r="V458">
        <v>5.3339999999999999E-2</v>
      </c>
      <c r="W458">
        <v>0.38120999999999999</v>
      </c>
      <c r="X458">
        <v>3.075E-2</v>
      </c>
      <c r="Y458">
        <v>1.3788100000000001</v>
      </c>
      <c r="Z458">
        <v>29.397169999999999</v>
      </c>
      <c r="AA458">
        <v>13.59186</v>
      </c>
      <c r="AB458">
        <v>-1.304</v>
      </c>
      <c r="AC458" s="23">
        <v>5.4719999999999998E-2</v>
      </c>
      <c r="AD458" s="23">
        <v>0.37829000000000002</v>
      </c>
      <c r="AE458" s="23">
        <v>3.0939999999999999E-2</v>
      </c>
      <c r="AF458" s="23">
        <v>1.39011</v>
      </c>
      <c r="AG458" s="23">
        <v>30.499590000000001</v>
      </c>
      <c r="AH458" s="23">
        <v>13.432689999999999</v>
      </c>
      <c r="AI458" s="23">
        <v>-1.3001499999999999</v>
      </c>
      <c r="AJ458" s="25">
        <v>1.27081625</v>
      </c>
      <c r="AK458" s="25">
        <v>0.37756963312416042</v>
      </c>
      <c r="AL458" s="25">
        <v>0.18358332115928572</v>
      </c>
      <c r="AM458" s="25">
        <v>8.4209844125872846E-2</v>
      </c>
      <c r="AN458" s="24">
        <v>1.6494404722209748</v>
      </c>
      <c r="AO458" s="23">
        <v>-99</v>
      </c>
    </row>
    <row r="459" spans="1:41" x14ac:dyDescent="0.25">
      <c r="A459" s="4">
        <v>82</v>
      </c>
      <c r="B459">
        <v>120</v>
      </c>
      <c r="C459">
        <v>50</v>
      </c>
      <c r="D459">
        <v>20</v>
      </c>
      <c r="E459" s="3">
        <v>25</v>
      </c>
      <c r="F459" s="3">
        <f>1.8*E459+32</f>
        <v>77</v>
      </c>
      <c r="G459" s="3">
        <v>15</v>
      </c>
      <c r="H459" s="3">
        <f>IF(F459&gt;68,G459+(F459-68)*0.2,G607-(68-F459)*0.2)</f>
        <v>16.8</v>
      </c>
      <c r="I459" s="3">
        <v>22.5</v>
      </c>
      <c r="J459" s="3">
        <f>1.8*I459+32</f>
        <v>72.5</v>
      </c>
      <c r="K459" s="3">
        <v>10</v>
      </c>
      <c r="L459" s="3">
        <f>IF(J459&gt;67,K459+(J459-67)*0.2,K459-(67-J459)*0.2)</f>
        <v>11.1</v>
      </c>
      <c r="M459" s="3">
        <f>(C459-H459)/C459*100</f>
        <v>66.400000000000006</v>
      </c>
      <c r="N459" s="3">
        <f>100-(M459+O459)</f>
        <v>11.399999999999991</v>
      </c>
      <c r="O459" s="3">
        <f>L459/C459*100</f>
        <v>22.2</v>
      </c>
      <c r="P459" s="1" t="s">
        <v>2</v>
      </c>
      <c r="Q459" s="15">
        <v>407490.89199999999</v>
      </c>
      <c r="R459" s="15">
        <v>3659896.5</v>
      </c>
      <c r="S459" s="1"/>
      <c r="T459">
        <v>2009033</v>
      </c>
      <c r="U459" t="s">
        <v>245</v>
      </c>
      <c r="V459">
        <v>5.9630000000000002E-2</v>
      </c>
      <c r="W459">
        <v>0.37878000000000001</v>
      </c>
      <c r="X459">
        <v>2.904E-2</v>
      </c>
      <c r="Y459">
        <v>1.3474999999999999</v>
      </c>
      <c r="Z459">
        <v>21.079160000000002</v>
      </c>
      <c r="AA459">
        <v>10.97547</v>
      </c>
      <c r="AB459">
        <v>-1.4505399999999999</v>
      </c>
      <c r="AC459" s="23">
        <v>5.7750000000000003E-2</v>
      </c>
      <c r="AD459" s="23">
        <v>0.37930999999999998</v>
      </c>
      <c r="AE459" s="23">
        <v>2.9600000000000001E-2</v>
      </c>
      <c r="AF459" s="23">
        <v>1.3584700000000001</v>
      </c>
      <c r="AG459" s="23">
        <v>23.61562</v>
      </c>
      <c r="AH459" s="23">
        <v>11.74211</v>
      </c>
      <c r="AI459" s="23">
        <v>-1.40002</v>
      </c>
      <c r="AJ459" s="25">
        <v>0.98398416666666666</v>
      </c>
      <c r="AK459" s="25">
        <v>0.37860259405872176</v>
      </c>
      <c r="AL459" s="25">
        <v>0.19771809818348676</v>
      </c>
      <c r="AM459" s="25">
        <v>9.3909767029117464E-2</v>
      </c>
      <c r="AN459" s="24">
        <v>1.6467031257443874</v>
      </c>
      <c r="AO459" s="23">
        <v>-99</v>
      </c>
    </row>
    <row r="460" spans="1:41" x14ac:dyDescent="0.25">
      <c r="A460" s="4">
        <v>82</v>
      </c>
      <c r="B460">
        <v>150</v>
      </c>
      <c r="C460">
        <v>50</v>
      </c>
      <c r="D460">
        <v>20</v>
      </c>
      <c r="E460" s="3">
        <v>26</v>
      </c>
      <c r="F460" s="3">
        <f>1.8*E460+32</f>
        <v>78.800000000000011</v>
      </c>
      <c r="G460" s="3">
        <v>13</v>
      </c>
      <c r="H460" s="3">
        <f>IF(F460&gt;68,G460+(F460-68)*0.2,G608-(68-F460)*0.2)</f>
        <v>15.160000000000002</v>
      </c>
      <c r="I460" s="3">
        <v>22.5</v>
      </c>
      <c r="J460" s="3">
        <f>1.8*I460+32</f>
        <v>72.5</v>
      </c>
      <c r="K460" s="3">
        <v>8</v>
      </c>
      <c r="L460" s="3">
        <f>IF(J460&gt;67,K460+(J460-67)*0.2,K460-(67-J460)*0.2)</f>
        <v>9.1</v>
      </c>
      <c r="M460" s="3">
        <f>(C460-H460)/C460*100</f>
        <v>69.679999999999993</v>
      </c>
      <c r="N460" s="3">
        <f>100-(M460+O460)</f>
        <v>12.120000000000005</v>
      </c>
      <c r="O460" s="3">
        <f>L460/C460*100</f>
        <v>18.2</v>
      </c>
      <c r="P460" s="1" t="s">
        <v>0</v>
      </c>
      <c r="Q460" s="15">
        <v>407490.89199999999</v>
      </c>
      <c r="R460" s="15">
        <v>3659896.5</v>
      </c>
      <c r="S460" s="1"/>
      <c r="T460">
        <v>2009033</v>
      </c>
      <c r="U460" t="s">
        <v>244</v>
      </c>
      <c r="V460">
        <v>4.7710000000000002E-2</v>
      </c>
      <c r="W460">
        <v>0.38184000000000001</v>
      </c>
      <c r="X460">
        <v>3.3669999999999999E-2</v>
      </c>
      <c r="Y460">
        <v>1.42065</v>
      </c>
      <c r="Z460">
        <v>41.328749999999999</v>
      </c>
      <c r="AA460">
        <v>17.456289999999999</v>
      </c>
      <c r="AB460">
        <v>-1.19112</v>
      </c>
      <c r="AC460" s="23">
        <v>5.7520000000000002E-2</v>
      </c>
      <c r="AD460" s="23">
        <v>0.38131999999999999</v>
      </c>
      <c r="AE460" s="23">
        <v>2.921E-2</v>
      </c>
      <c r="AF460" s="23">
        <v>1.3555299999999999</v>
      </c>
      <c r="AG460" s="23">
        <v>22.963640000000002</v>
      </c>
      <c r="AH460" s="23">
        <v>11.64118</v>
      </c>
      <c r="AI460" s="23">
        <v>-1.3911899999999999</v>
      </c>
      <c r="AJ460" s="25">
        <v>0.95681833333333344</v>
      </c>
      <c r="AK460" s="25">
        <v>0.38061732508422375</v>
      </c>
      <c r="AL460" s="25">
        <v>0.20005512672462367</v>
      </c>
      <c r="AM460" s="25">
        <v>9.4765240501547707E-2</v>
      </c>
      <c r="AN460" s="24">
        <v>1.641364088526807</v>
      </c>
      <c r="AO460" s="23">
        <v>-99</v>
      </c>
    </row>
    <row r="461" spans="1:41" x14ac:dyDescent="0.25">
      <c r="A461" s="4">
        <v>82</v>
      </c>
      <c r="B461">
        <v>180</v>
      </c>
      <c r="C461">
        <v>50</v>
      </c>
      <c r="D461">
        <v>20</v>
      </c>
      <c r="E461" s="3">
        <v>26</v>
      </c>
      <c r="F461" s="3">
        <f>1.8*E461+32</f>
        <v>78.800000000000011</v>
      </c>
      <c r="G461" s="3">
        <v>13</v>
      </c>
      <c r="H461" s="3">
        <f>IF(F461&gt;68,G461+(F461-68)*0.2,G609-(68-F461)*0.2)</f>
        <v>15.160000000000002</v>
      </c>
      <c r="I461" s="3">
        <v>22.5</v>
      </c>
      <c r="J461" s="3">
        <f>1.8*I461+32</f>
        <v>72.5</v>
      </c>
      <c r="K461" s="3">
        <v>7</v>
      </c>
      <c r="L461" s="3">
        <f>IF(J461&gt;67,K461+(J461-67)*0.2,K461-(67-J461)*0.2)</f>
        <v>8.1</v>
      </c>
      <c r="M461" s="3">
        <f>(C461-H461)/C461*100</f>
        <v>69.679999999999993</v>
      </c>
      <c r="N461" s="3">
        <f>100-(M461+O461)</f>
        <v>14.120000000000005</v>
      </c>
      <c r="O461" s="3">
        <f>L461/C461*100</f>
        <v>16.2</v>
      </c>
      <c r="P461" s="1" t="s">
        <v>0</v>
      </c>
      <c r="Q461" s="15">
        <v>407490.89199999999</v>
      </c>
      <c r="R461" s="15">
        <v>3659896.5</v>
      </c>
      <c r="S461" s="1"/>
      <c r="T461">
        <v>2009033</v>
      </c>
      <c r="U461" t="s">
        <v>243</v>
      </c>
      <c r="V461">
        <v>5.4719999999999998E-2</v>
      </c>
      <c r="W461">
        <v>0.37829000000000002</v>
      </c>
      <c r="X461">
        <v>3.0939999999999999E-2</v>
      </c>
      <c r="Y461">
        <v>1.39011</v>
      </c>
      <c r="Z461">
        <v>30.499590000000001</v>
      </c>
      <c r="AA461">
        <v>13.432689999999999</v>
      </c>
      <c r="AB461">
        <v>-1.3001499999999999</v>
      </c>
      <c r="AC461" s="23">
        <v>6.13E-2</v>
      </c>
      <c r="AD461" s="23">
        <v>0.37719000000000003</v>
      </c>
      <c r="AE461" s="23">
        <v>2.8539999999999999E-2</v>
      </c>
      <c r="AF461" s="23">
        <v>1.3398600000000001</v>
      </c>
      <c r="AG461" s="23">
        <v>19.31991</v>
      </c>
      <c r="AH461" s="23">
        <v>10.30968</v>
      </c>
      <c r="AI461" s="23">
        <v>-1.49295</v>
      </c>
      <c r="AJ461" s="25">
        <v>0.80499624999999997</v>
      </c>
      <c r="AK461" s="25">
        <v>0.37651081225339561</v>
      </c>
      <c r="AL461" s="25">
        <v>0.20648537338178688</v>
      </c>
      <c r="AM461" s="25">
        <v>0.10158525368100584</v>
      </c>
      <c r="AN461" s="24">
        <v>1.6522463475285016</v>
      </c>
      <c r="AO461" s="23">
        <v>-99</v>
      </c>
    </row>
    <row r="462" spans="1:41" x14ac:dyDescent="0.25">
      <c r="T462">
        <v>2009033</v>
      </c>
      <c r="U462" t="s">
        <v>242</v>
      </c>
      <c r="V462">
        <v>5.7750000000000003E-2</v>
      </c>
      <c r="W462">
        <v>0.37930999999999998</v>
      </c>
      <c r="X462">
        <v>2.9600000000000001E-2</v>
      </c>
      <c r="Y462">
        <v>1.3584700000000001</v>
      </c>
      <c r="Z462">
        <v>23.61562</v>
      </c>
      <c r="AA462">
        <v>11.74211</v>
      </c>
      <c r="AB462">
        <v>-1.40002</v>
      </c>
      <c r="AC462" s="23">
        <v>5.781E-2</v>
      </c>
      <c r="AD462" s="23">
        <v>0.37894</v>
      </c>
      <c r="AE462" s="23">
        <v>2.962E-2</v>
      </c>
      <c r="AF462" s="23">
        <v>1.35934</v>
      </c>
      <c r="AG462" s="23">
        <v>23.713950000000001</v>
      </c>
      <c r="AH462" s="23">
        <v>11.73907</v>
      </c>
      <c r="AI462" s="23">
        <v>-1.39944</v>
      </c>
      <c r="AJ462" s="25">
        <v>0.98808125000000002</v>
      </c>
      <c r="AK462" s="25">
        <v>0.37823378801883845</v>
      </c>
      <c r="AL462" s="25">
        <v>0.19728079593162692</v>
      </c>
      <c r="AM462" s="25">
        <v>9.3721701160631193E-2</v>
      </c>
      <c r="AN462" s="24">
        <v>1.647680461750078</v>
      </c>
      <c r="AO462" s="23">
        <v>-99</v>
      </c>
    </row>
    <row r="463" spans="1:41" ht="51.75" x14ac:dyDescent="0.25">
      <c r="A463" s="14" t="s">
        <v>21</v>
      </c>
      <c r="B463" s="9" t="s">
        <v>20</v>
      </c>
      <c r="C463" s="13" t="s">
        <v>19</v>
      </c>
      <c r="D463" s="12" t="s">
        <v>18</v>
      </c>
      <c r="E463" s="11" t="s">
        <v>17</v>
      </c>
      <c r="F463" s="11" t="s">
        <v>16</v>
      </c>
      <c r="G463" s="11" t="s">
        <v>15</v>
      </c>
      <c r="H463" s="11" t="s">
        <v>14</v>
      </c>
      <c r="I463" s="11" t="s">
        <v>13</v>
      </c>
      <c r="J463" s="11" t="s">
        <v>12</v>
      </c>
      <c r="K463" s="11" t="s">
        <v>11</v>
      </c>
      <c r="L463" s="11" t="s">
        <v>10</v>
      </c>
      <c r="M463" s="10" t="s">
        <v>9</v>
      </c>
      <c r="N463" s="10" t="s">
        <v>8</v>
      </c>
      <c r="O463" s="10" t="s">
        <v>7</v>
      </c>
      <c r="P463" s="9" t="s">
        <v>6</v>
      </c>
      <c r="Q463" s="19" t="s">
        <v>5</v>
      </c>
      <c r="R463" s="19"/>
      <c r="S463" s="6"/>
      <c r="T463">
        <v>2009033</v>
      </c>
      <c r="U463" t="s">
        <v>241</v>
      </c>
      <c r="V463">
        <v>5.7520000000000002E-2</v>
      </c>
      <c r="W463">
        <v>0.38131999999999999</v>
      </c>
      <c r="X463">
        <v>2.921E-2</v>
      </c>
      <c r="Y463">
        <v>1.3555299999999999</v>
      </c>
      <c r="Z463">
        <v>22.963640000000002</v>
      </c>
      <c r="AA463">
        <v>11.64118</v>
      </c>
      <c r="AB463">
        <v>-1.3911899999999999</v>
      </c>
      <c r="AC463" s="23">
        <v>4.9180000000000001E-2</v>
      </c>
      <c r="AD463" s="23">
        <v>0.37816</v>
      </c>
      <c r="AE463" s="23">
        <v>3.4250000000000003E-2</v>
      </c>
      <c r="AF463" s="23">
        <v>1.6954100000000001</v>
      </c>
      <c r="AG463" s="23">
        <v>93.28689</v>
      </c>
      <c r="AH463" s="23">
        <v>21.699359999999999</v>
      </c>
      <c r="AI463" s="23">
        <v>-0.93269999999999997</v>
      </c>
      <c r="AJ463" s="25">
        <v>3.88695375</v>
      </c>
      <c r="AK463" s="25">
        <v>0.37771865095634727</v>
      </c>
      <c r="AL463" s="25">
        <v>0.1093246404953994</v>
      </c>
      <c r="AM463" s="25">
        <v>5.3466285007419359E-2</v>
      </c>
      <c r="AN463" s="24">
        <v>1.6490455749656796</v>
      </c>
      <c r="AO463" s="23">
        <v>-99</v>
      </c>
    </row>
    <row r="464" spans="1:41" x14ac:dyDescent="0.25"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1"/>
      <c r="Q464" s="5" t="s">
        <v>4</v>
      </c>
      <c r="R464" s="5" t="s">
        <v>3</v>
      </c>
      <c r="S464" s="17"/>
      <c r="T464">
        <v>2009033</v>
      </c>
      <c r="U464" t="s">
        <v>240</v>
      </c>
      <c r="V464">
        <v>6.13E-2</v>
      </c>
      <c r="W464">
        <v>0.37719000000000003</v>
      </c>
      <c r="X464">
        <v>2.8539999999999999E-2</v>
      </c>
      <c r="Y464">
        <v>1.3398600000000001</v>
      </c>
      <c r="Z464">
        <v>19.31991</v>
      </c>
      <c r="AA464">
        <v>10.30968</v>
      </c>
      <c r="AB464">
        <v>-1.49295</v>
      </c>
      <c r="AC464" s="23">
        <v>5.0889999999999998E-2</v>
      </c>
      <c r="AD464" s="23">
        <v>0.37701000000000001</v>
      </c>
      <c r="AE464" s="23">
        <v>3.2980000000000002E-2</v>
      </c>
      <c r="AF464" s="23">
        <v>1.5857699999999999</v>
      </c>
      <c r="AG464" s="23">
        <v>68.769620000000003</v>
      </c>
      <c r="AH464" s="23">
        <v>18.531510000000001</v>
      </c>
      <c r="AI464" s="23">
        <v>-1.0046600000000001</v>
      </c>
      <c r="AJ464" s="25">
        <v>2.8654008333333336</v>
      </c>
      <c r="AK464" s="25">
        <v>0.37647318552802062</v>
      </c>
      <c r="AL464" s="25">
        <v>0.1303631063210117</v>
      </c>
      <c r="AM464" s="25">
        <v>5.9502003730623074E-2</v>
      </c>
      <c r="AN464" s="24">
        <v>1.6523460583507454</v>
      </c>
      <c r="AO464" s="23">
        <v>-99</v>
      </c>
    </row>
    <row r="465" spans="1:41" x14ac:dyDescent="0.25">
      <c r="A465" s="4">
        <v>83</v>
      </c>
      <c r="B465">
        <v>30</v>
      </c>
      <c r="C465">
        <v>50</v>
      </c>
      <c r="D465">
        <v>20</v>
      </c>
      <c r="E465" s="3">
        <v>24.5</v>
      </c>
      <c r="F465" s="3">
        <f>1.8*E465+32</f>
        <v>76.099999999999994</v>
      </c>
      <c r="G465" s="3">
        <v>14</v>
      </c>
      <c r="H465" s="3">
        <f>IF(F465&gt;68,G465+(F465-68)*0.2,G613-(68-F465)*0.2)</f>
        <v>15.62</v>
      </c>
      <c r="I465" s="3">
        <v>22.5</v>
      </c>
      <c r="J465" s="3">
        <f>1.8*I465+32</f>
        <v>72.5</v>
      </c>
      <c r="K465" s="3">
        <v>7</v>
      </c>
      <c r="L465" s="3">
        <f>IF(J465&gt;67,K465+(J465-67)*0.2,K465-(67-J465)*0.2)</f>
        <v>8.1</v>
      </c>
      <c r="M465" s="3">
        <f>(C465-H465)/C465*100</f>
        <v>68.760000000000005</v>
      </c>
      <c r="N465" s="3">
        <f>100-(M465+O465)</f>
        <v>15.039999999999992</v>
      </c>
      <c r="O465" s="3">
        <f>L465/C465*100</f>
        <v>16.2</v>
      </c>
      <c r="P465" s="1" t="s">
        <v>0</v>
      </c>
      <c r="Q465" s="15">
        <v>407490.89199999999</v>
      </c>
      <c r="R465" s="15">
        <v>3659923</v>
      </c>
      <c r="S465" s="17"/>
      <c r="T465">
        <v>2009033</v>
      </c>
      <c r="U465" t="s">
        <v>239</v>
      </c>
      <c r="V465">
        <v>5.781E-2</v>
      </c>
      <c r="W465">
        <v>0.37894</v>
      </c>
      <c r="X465">
        <v>2.962E-2</v>
      </c>
      <c r="Y465">
        <v>1.35934</v>
      </c>
      <c r="Z465">
        <v>23.713950000000001</v>
      </c>
      <c r="AA465">
        <v>11.73907</v>
      </c>
      <c r="AB465">
        <v>-1.39944</v>
      </c>
      <c r="AC465" s="23">
        <v>6.3479999999999995E-2</v>
      </c>
      <c r="AD465" s="23">
        <v>0.38602999999999998</v>
      </c>
      <c r="AE465" s="23">
        <v>2.6620000000000001E-2</v>
      </c>
      <c r="AF465" s="23">
        <v>1.3319099999999999</v>
      </c>
      <c r="AG465" s="23">
        <v>15.7875</v>
      </c>
      <c r="AH465" s="23">
        <v>9.3842599999999994</v>
      </c>
      <c r="AI465" s="23">
        <v>-1.46343</v>
      </c>
      <c r="AJ465" s="25">
        <v>0.65781250000000002</v>
      </c>
      <c r="AK465" s="25">
        <v>0.38539099880829386</v>
      </c>
      <c r="AL465" s="25">
        <v>0.21775669872875392</v>
      </c>
      <c r="AM465" s="25">
        <v>0.10765358801301694</v>
      </c>
      <c r="AN465" s="24">
        <v>1.6287138531580212</v>
      </c>
      <c r="AO465" s="23">
        <v>-99</v>
      </c>
    </row>
    <row r="466" spans="1:41" x14ac:dyDescent="0.25">
      <c r="A466" s="4">
        <v>83</v>
      </c>
      <c r="B466">
        <v>60</v>
      </c>
      <c r="C466">
        <v>50</v>
      </c>
      <c r="D466">
        <v>20</v>
      </c>
      <c r="E466" s="3">
        <v>25.5</v>
      </c>
      <c r="F466" s="3">
        <f>1.8*E466+32</f>
        <v>77.900000000000006</v>
      </c>
      <c r="G466" s="3">
        <v>13</v>
      </c>
      <c r="H466" s="3">
        <f>IF(F466&gt;68,G466+(F466-68)*0.2,G614-(68-F466)*0.2)</f>
        <v>14.98</v>
      </c>
      <c r="I466" s="3">
        <v>23</v>
      </c>
      <c r="J466" s="3">
        <f>1.8*I466+32</f>
        <v>73.400000000000006</v>
      </c>
      <c r="K466" s="3">
        <v>8</v>
      </c>
      <c r="L466" s="3">
        <f>IF(J466&gt;67,K466+(J466-67)*0.2,K466-(67-J466)*0.2)</f>
        <v>9.2800000000000011</v>
      </c>
      <c r="M466" s="3">
        <f>(C466-H466)/C466*100</f>
        <v>70.039999999999992</v>
      </c>
      <c r="N466" s="3">
        <f>100-(M466+O466)</f>
        <v>11.400000000000006</v>
      </c>
      <c r="O466" s="3">
        <f>L466/C466*100</f>
        <v>18.560000000000002</v>
      </c>
      <c r="P466" s="1" t="s">
        <v>0</v>
      </c>
      <c r="Q466" s="15">
        <v>407490.89199999999</v>
      </c>
      <c r="R466" s="15">
        <v>3659923</v>
      </c>
      <c r="S466" s="17"/>
      <c r="T466">
        <v>2009033</v>
      </c>
      <c r="U466" t="s">
        <v>238</v>
      </c>
      <c r="V466">
        <v>4.9180000000000001E-2</v>
      </c>
      <c r="W466">
        <v>0.37816</v>
      </c>
      <c r="X466">
        <v>3.4250000000000003E-2</v>
      </c>
      <c r="Y466">
        <v>1.6954100000000001</v>
      </c>
      <c r="Z466">
        <v>93.28689</v>
      </c>
      <c r="AA466">
        <v>21.699359999999999</v>
      </c>
      <c r="AB466">
        <v>-0.93269999999999997</v>
      </c>
      <c r="AC466" s="23">
        <v>6.9080000000000003E-2</v>
      </c>
      <c r="AD466" s="23">
        <v>0.39102999999999999</v>
      </c>
      <c r="AE466" s="23">
        <v>2.538E-2</v>
      </c>
      <c r="AF466" s="23">
        <v>1.31206</v>
      </c>
      <c r="AG466" s="23">
        <v>11.668150000000001</v>
      </c>
      <c r="AH466" s="23">
        <v>8.0766200000000001</v>
      </c>
      <c r="AI466" s="23">
        <v>-1.5658000000000001</v>
      </c>
      <c r="AJ466" s="25">
        <v>0.48617291666666668</v>
      </c>
      <c r="AK466" s="25">
        <v>0.39041551693379406</v>
      </c>
      <c r="AL466" s="25">
        <v>0.23217231979861766</v>
      </c>
      <c r="AM466" s="25">
        <v>0.11948217352055013</v>
      </c>
      <c r="AN466" s="24">
        <v>1.6153988801254457</v>
      </c>
      <c r="AO466" s="23">
        <v>-99</v>
      </c>
    </row>
    <row r="467" spans="1:41" x14ac:dyDescent="0.25">
      <c r="A467" s="4">
        <v>83</v>
      </c>
      <c r="B467">
        <v>90</v>
      </c>
      <c r="C467">
        <v>50</v>
      </c>
      <c r="D467">
        <v>20</v>
      </c>
      <c r="E467" s="3">
        <v>26</v>
      </c>
      <c r="F467" s="3">
        <f>1.8*E467+32</f>
        <v>78.800000000000011</v>
      </c>
      <c r="G467" s="3">
        <v>10</v>
      </c>
      <c r="H467" s="3">
        <f>IF(F467&gt;68,G467+(F467-68)*0.2,G615-(68-F467)*0.2)</f>
        <v>12.160000000000002</v>
      </c>
      <c r="I467" s="3">
        <v>23</v>
      </c>
      <c r="J467" s="3">
        <f>1.8*I467+32</f>
        <v>73.400000000000006</v>
      </c>
      <c r="K467" s="3">
        <v>5</v>
      </c>
      <c r="L467" s="3">
        <f>IF(J467&gt;67,K467+(J467-67)*0.2,K467-(67-J467)*0.2)</f>
        <v>6.2800000000000011</v>
      </c>
      <c r="M467" s="3">
        <f>(C467-H467)/C467*100</f>
        <v>75.679999999999993</v>
      </c>
      <c r="N467" s="3">
        <f>100-(M467+O467)</f>
        <v>11.760000000000005</v>
      </c>
      <c r="O467" s="3">
        <f>L467/C467*100</f>
        <v>12.560000000000002</v>
      </c>
      <c r="P467" s="1" t="s">
        <v>0</v>
      </c>
      <c r="Q467" s="15">
        <v>407490.89199999999</v>
      </c>
      <c r="R467" s="15">
        <v>3659923</v>
      </c>
      <c r="S467" s="17"/>
      <c r="T467">
        <v>2009033</v>
      </c>
      <c r="U467" t="s">
        <v>237</v>
      </c>
      <c r="V467">
        <v>5.0889999999999998E-2</v>
      </c>
      <c r="W467">
        <v>0.37701000000000001</v>
      </c>
      <c r="X467">
        <v>3.2980000000000002E-2</v>
      </c>
      <c r="Y467">
        <v>1.5857699999999999</v>
      </c>
      <c r="Z467">
        <v>68.769620000000003</v>
      </c>
      <c r="AA467">
        <v>18.531510000000001</v>
      </c>
      <c r="AB467">
        <v>-1.0046600000000001</v>
      </c>
      <c r="AC467" s="23">
        <v>5.7639999999999997E-2</v>
      </c>
      <c r="AD467" s="23">
        <v>0.38707999999999998</v>
      </c>
      <c r="AE467" s="23">
        <v>2.5899999999999999E-2</v>
      </c>
      <c r="AF467" s="23">
        <v>1.3630599999999999</v>
      </c>
      <c r="AG467" s="23">
        <v>20.20683</v>
      </c>
      <c r="AH467" s="23">
        <v>10.30702</v>
      </c>
      <c r="AI467" s="23">
        <v>-1.2504999999999999</v>
      </c>
      <c r="AJ467" s="25">
        <v>0.84195125000000004</v>
      </c>
      <c r="AK467" s="25">
        <v>0.38647939704801471</v>
      </c>
      <c r="AL467" s="25">
        <v>0.20625677446949767</v>
      </c>
      <c r="AM467" s="25">
        <v>9.5452714098141322E-2</v>
      </c>
      <c r="AN467" s="24">
        <v>1.625829597822761</v>
      </c>
      <c r="AO467" s="23">
        <v>-99</v>
      </c>
    </row>
    <row r="468" spans="1:41" x14ac:dyDescent="0.25">
      <c r="A468" s="4">
        <v>83</v>
      </c>
      <c r="B468">
        <v>120</v>
      </c>
      <c r="C468">
        <v>50</v>
      </c>
      <c r="D468">
        <v>20</v>
      </c>
      <c r="E468" s="3">
        <v>25.5</v>
      </c>
      <c r="F468" s="3">
        <f>1.8*E468+32</f>
        <v>77.900000000000006</v>
      </c>
      <c r="G468" s="3">
        <v>11</v>
      </c>
      <c r="H468" s="3">
        <f>IF(F468&gt;68,G468+(F468-68)*0.2,G616-(68-F468)*0.2)</f>
        <v>12.98</v>
      </c>
      <c r="I468" s="3">
        <v>22.5</v>
      </c>
      <c r="J468" s="3">
        <f>1.8*I468+32</f>
        <v>72.5</v>
      </c>
      <c r="K468" s="3">
        <v>6</v>
      </c>
      <c r="L468" s="3">
        <f>IF(J468&gt;67,K468+(J468-67)*0.2,K468-(67-J468)*0.2)</f>
        <v>7.1</v>
      </c>
      <c r="M468" s="3">
        <f>(C468-H468)/C468*100</f>
        <v>74.039999999999992</v>
      </c>
      <c r="N468" s="3">
        <f>100-(M468+O468)</f>
        <v>11.760000000000005</v>
      </c>
      <c r="O468" s="3">
        <f>L468/C468*100</f>
        <v>14.2</v>
      </c>
      <c r="P468" s="1" t="s">
        <v>0</v>
      </c>
      <c r="Q468" s="15">
        <v>407490.89199999999</v>
      </c>
      <c r="R468" s="15">
        <v>3659923</v>
      </c>
      <c r="S468" s="17"/>
      <c r="T468">
        <v>2009033</v>
      </c>
      <c r="U468" t="s">
        <v>236</v>
      </c>
      <c r="V468">
        <v>6.3479999999999995E-2</v>
      </c>
      <c r="W468">
        <v>0.38602999999999998</v>
      </c>
      <c r="X468">
        <v>2.6620000000000001E-2</v>
      </c>
      <c r="Y468">
        <v>1.3319099999999999</v>
      </c>
      <c r="Z468">
        <v>15.7875</v>
      </c>
      <c r="AA468">
        <v>9.3842599999999994</v>
      </c>
      <c r="AB468">
        <v>-1.46343</v>
      </c>
      <c r="AC468" s="23">
        <v>5.74E-2</v>
      </c>
      <c r="AD468" s="23">
        <v>0.38364999999999999</v>
      </c>
      <c r="AE468" s="23">
        <v>2.8250000000000001E-2</v>
      </c>
      <c r="AF468" s="23">
        <v>1.35602</v>
      </c>
      <c r="AG468" s="23">
        <v>22.042670000000001</v>
      </c>
      <c r="AH468" s="23">
        <v>11.29875</v>
      </c>
      <c r="AI468" s="23">
        <v>-1.35364</v>
      </c>
      <c r="AJ468" s="25">
        <v>0.91844458333333334</v>
      </c>
      <c r="AK468" s="25">
        <v>0.38297369759678579</v>
      </c>
      <c r="AL468" s="25">
        <v>0.20249346419436109</v>
      </c>
      <c r="AM468" s="25">
        <v>9.5263058696254746E-2</v>
      </c>
      <c r="AN468" s="24">
        <v>1.6351197013685177</v>
      </c>
      <c r="AO468" s="23">
        <v>-99</v>
      </c>
    </row>
    <row r="469" spans="1:41" x14ac:dyDescent="0.25">
      <c r="A469" s="4">
        <v>83</v>
      </c>
      <c r="B469">
        <v>150</v>
      </c>
      <c r="C469">
        <v>50</v>
      </c>
      <c r="D469">
        <v>20</v>
      </c>
      <c r="E469" s="3">
        <v>25.5</v>
      </c>
      <c r="F469" s="3">
        <f>1.8*E469+32</f>
        <v>77.900000000000006</v>
      </c>
      <c r="G469" s="3">
        <v>16</v>
      </c>
      <c r="H469" s="3">
        <f>IF(F469&gt;68,G469+(F469-68)*0.2,G617-(68-F469)*0.2)</f>
        <v>17.98</v>
      </c>
      <c r="I469" s="3">
        <v>23</v>
      </c>
      <c r="J469" s="3">
        <f>1.8*I469+32</f>
        <v>73.400000000000006</v>
      </c>
      <c r="K469" s="3">
        <v>7</v>
      </c>
      <c r="L469" s="3">
        <f>IF(J469&gt;67,K469+(J469-67)*0.2,K469-(67-J469)*0.2)</f>
        <v>8.2800000000000011</v>
      </c>
      <c r="M469" s="3">
        <f>(C469-H469)/C469*100</f>
        <v>64.039999999999992</v>
      </c>
      <c r="N469" s="3">
        <f>100-(M469+O469)</f>
        <v>19.400000000000006</v>
      </c>
      <c r="O469" s="3">
        <f>L469/C469*100</f>
        <v>16.560000000000002</v>
      </c>
      <c r="P469" s="1" t="s">
        <v>0</v>
      </c>
      <c r="Q469" s="15">
        <v>407490.89199999999</v>
      </c>
      <c r="R469" s="15">
        <v>3659923</v>
      </c>
      <c r="S469" s="17"/>
      <c r="T469">
        <v>2009033</v>
      </c>
      <c r="U469" t="s">
        <v>235</v>
      </c>
      <c r="V469">
        <v>6.9080000000000003E-2</v>
      </c>
      <c r="W469">
        <v>0.39102999999999999</v>
      </c>
      <c r="X469">
        <v>2.538E-2</v>
      </c>
      <c r="Y469">
        <v>1.31206</v>
      </c>
      <c r="Z469">
        <v>11.668150000000001</v>
      </c>
      <c r="AA469">
        <v>8.0766200000000001</v>
      </c>
      <c r="AB469">
        <v>-1.5658000000000001</v>
      </c>
      <c r="AC469" s="23">
        <v>6.3479999999999995E-2</v>
      </c>
      <c r="AD469" s="23">
        <v>0.38602999999999998</v>
      </c>
      <c r="AE469" s="23">
        <v>2.6620000000000001E-2</v>
      </c>
      <c r="AF469" s="23">
        <v>1.3319099999999999</v>
      </c>
      <c r="AG469" s="23">
        <v>15.7875</v>
      </c>
      <c r="AH469" s="23">
        <v>9.3842599999999994</v>
      </c>
      <c r="AI469" s="23">
        <v>-1.46343</v>
      </c>
      <c r="AJ469" s="25">
        <v>0.65781250000000002</v>
      </c>
      <c r="AK469" s="25">
        <v>0.38539099880829386</v>
      </c>
      <c r="AL469" s="25">
        <v>0.21775669872875392</v>
      </c>
      <c r="AM469" s="25">
        <v>0.10765358801301694</v>
      </c>
      <c r="AN469" s="24">
        <v>1.6287138531580212</v>
      </c>
      <c r="AO469" s="23">
        <v>-99</v>
      </c>
    </row>
    <row r="470" spans="1:41" x14ac:dyDescent="0.25">
      <c r="A470" s="4">
        <v>83</v>
      </c>
      <c r="B470">
        <v>180</v>
      </c>
      <c r="C470">
        <v>50</v>
      </c>
      <c r="D470">
        <v>20</v>
      </c>
      <c r="E470" s="3">
        <v>25.5</v>
      </c>
      <c r="F470" s="3">
        <f>1.8*E470+32</f>
        <v>77.900000000000006</v>
      </c>
      <c r="G470" s="3">
        <v>12</v>
      </c>
      <c r="H470" s="3">
        <f>IF(F470&gt;68,G470+(F470-68)*0.2,G618-(68-F470)*0.2)</f>
        <v>13.98</v>
      </c>
      <c r="I470" s="3">
        <v>23</v>
      </c>
      <c r="J470" s="3">
        <f>1.8*I470+32</f>
        <v>73.400000000000006</v>
      </c>
      <c r="K470" s="3">
        <v>5</v>
      </c>
      <c r="L470" s="3">
        <f>IF(J470&gt;67,K470+(J470-67)*0.2,K470-(67-J470)*0.2)</f>
        <v>6.2800000000000011</v>
      </c>
      <c r="M470" s="3">
        <f>(C470-H470)/C470*100</f>
        <v>72.039999999999992</v>
      </c>
      <c r="N470" s="3">
        <f>100-(M470+O470)</f>
        <v>15.400000000000006</v>
      </c>
      <c r="O470" s="3">
        <f>L470/C470*100</f>
        <v>12.560000000000002</v>
      </c>
      <c r="P470" s="1" t="s">
        <v>0</v>
      </c>
      <c r="Q470" s="15">
        <v>407490.89199999999</v>
      </c>
      <c r="R470" s="15">
        <v>3659923</v>
      </c>
      <c r="S470" s="17"/>
      <c r="T470">
        <v>2009033</v>
      </c>
      <c r="U470" t="s">
        <v>234</v>
      </c>
      <c r="V470">
        <v>5.7639999999999997E-2</v>
      </c>
      <c r="W470">
        <v>0.38707999999999998</v>
      </c>
      <c r="X470">
        <v>2.5899999999999999E-2</v>
      </c>
      <c r="Y470">
        <v>1.3630599999999999</v>
      </c>
      <c r="Z470">
        <v>20.20683</v>
      </c>
      <c r="AA470">
        <v>10.30702</v>
      </c>
      <c r="AB470">
        <v>-1.2504999999999999</v>
      </c>
      <c r="AC470" s="23">
        <v>5.74E-2</v>
      </c>
      <c r="AD470" s="23">
        <v>0.38295000000000001</v>
      </c>
      <c r="AE470" s="23">
        <v>2.86E-2</v>
      </c>
      <c r="AF470" s="23">
        <v>1.3555699999999999</v>
      </c>
      <c r="AG470" s="23">
        <v>22.366029999999999</v>
      </c>
      <c r="AH470" s="23">
        <v>11.435689999999999</v>
      </c>
      <c r="AI470" s="23">
        <v>-1.3673999999999999</v>
      </c>
      <c r="AJ470" s="25">
        <v>0.93191791666666657</v>
      </c>
      <c r="AK470" s="25">
        <v>0.38226339087311423</v>
      </c>
      <c r="AL470" s="25">
        <v>0.20172368448069591</v>
      </c>
      <c r="AM470" s="25">
        <v>9.5119340945507669E-2</v>
      </c>
      <c r="AN470" s="24">
        <v>1.6370020141862471</v>
      </c>
      <c r="AO470" s="23">
        <v>-99</v>
      </c>
    </row>
    <row r="471" spans="1:41" x14ac:dyDescent="0.25">
      <c r="A471" s="4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1"/>
      <c r="T471">
        <v>2009033</v>
      </c>
      <c r="U471" t="s">
        <v>233</v>
      </c>
      <c r="V471">
        <v>5.74E-2</v>
      </c>
      <c r="W471">
        <v>0.38364999999999999</v>
      </c>
      <c r="X471">
        <v>2.8250000000000001E-2</v>
      </c>
      <c r="Y471">
        <v>1.35602</v>
      </c>
      <c r="Z471">
        <v>22.042670000000001</v>
      </c>
      <c r="AA471">
        <v>11.29875</v>
      </c>
      <c r="AB471">
        <v>-1.35364</v>
      </c>
      <c r="AC471" s="23">
        <v>6.0479999999999999E-2</v>
      </c>
      <c r="AD471" s="23">
        <v>0.38279999999999997</v>
      </c>
      <c r="AE471" s="23">
        <v>2.8039999999999999E-2</v>
      </c>
      <c r="AF471" s="23">
        <v>1.3408899999999999</v>
      </c>
      <c r="AG471" s="23">
        <v>19.062519999999999</v>
      </c>
      <c r="AH471" s="23">
        <v>10.45809</v>
      </c>
      <c r="AI471" s="23">
        <v>-1.4452799999999999</v>
      </c>
      <c r="AJ471" s="25">
        <v>0.7942716666666666</v>
      </c>
      <c r="AK471" s="25">
        <v>0.38212407372536994</v>
      </c>
      <c r="AL471" s="25">
        <v>0.20912848161754222</v>
      </c>
      <c r="AM471" s="25">
        <v>0.10157632547705256</v>
      </c>
      <c r="AN471" s="24">
        <v>1.6373712046277695</v>
      </c>
      <c r="AO471" s="23">
        <v>-99</v>
      </c>
    </row>
    <row r="472" spans="1:41" ht="51.75" x14ac:dyDescent="0.25">
      <c r="A472" s="14" t="s">
        <v>21</v>
      </c>
      <c r="B472" s="9" t="s">
        <v>20</v>
      </c>
      <c r="C472" s="13" t="s">
        <v>19</v>
      </c>
      <c r="D472" s="12" t="s">
        <v>18</v>
      </c>
      <c r="E472" s="11" t="s">
        <v>17</v>
      </c>
      <c r="F472" s="11" t="s">
        <v>16</v>
      </c>
      <c r="G472" s="11" t="s">
        <v>15</v>
      </c>
      <c r="H472" s="11" t="s">
        <v>14</v>
      </c>
      <c r="I472" s="11" t="s">
        <v>13</v>
      </c>
      <c r="J472" s="11" t="s">
        <v>12</v>
      </c>
      <c r="K472" s="11" t="s">
        <v>11</v>
      </c>
      <c r="L472" s="11" t="s">
        <v>10</v>
      </c>
      <c r="M472" s="10" t="s">
        <v>9</v>
      </c>
      <c r="N472" s="10" t="s">
        <v>8</v>
      </c>
      <c r="O472" s="10" t="s">
        <v>7</v>
      </c>
      <c r="P472" s="9" t="s">
        <v>6</v>
      </c>
      <c r="Q472" s="19" t="s">
        <v>5</v>
      </c>
      <c r="R472" s="19"/>
      <c r="T472">
        <v>2009033</v>
      </c>
      <c r="U472" t="s">
        <v>232</v>
      </c>
      <c r="V472">
        <v>6.3479999999999995E-2</v>
      </c>
      <c r="W472">
        <v>0.38602999999999998</v>
      </c>
      <c r="X472">
        <v>2.6620000000000001E-2</v>
      </c>
      <c r="Y472">
        <v>1.3319099999999999</v>
      </c>
      <c r="Z472">
        <v>15.7875</v>
      </c>
      <c r="AA472">
        <v>9.3842599999999994</v>
      </c>
      <c r="AB472">
        <v>-1.46343</v>
      </c>
      <c r="AC472" s="23">
        <v>6.3380000000000006E-2</v>
      </c>
      <c r="AD472" s="23">
        <v>0.38441999999999998</v>
      </c>
      <c r="AE472" s="23">
        <v>2.7179999999999999E-2</v>
      </c>
      <c r="AF472" s="23">
        <v>1.3284100000000001</v>
      </c>
      <c r="AG472" s="23">
        <v>16.107610000000001</v>
      </c>
      <c r="AH472" s="23">
        <v>9.5432600000000001</v>
      </c>
      <c r="AI472" s="23">
        <v>-1.5024299999999999</v>
      </c>
      <c r="AJ472" s="25">
        <v>0.67115041666666675</v>
      </c>
      <c r="AK472" s="25">
        <v>0.38376318968128265</v>
      </c>
      <c r="AL472" s="25">
        <v>0.21711262572577694</v>
      </c>
      <c r="AM472" s="25">
        <v>0.10797237237712226</v>
      </c>
      <c r="AN472" s="24">
        <v>1.633027547344601</v>
      </c>
      <c r="AO472" s="23">
        <v>-99</v>
      </c>
    </row>
    <row r="473" spans="1:41" x14ac:dyDescent="0.25">
      <c r="C473" s="16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1"/>
      <c r="Q473" s="5" t="s">
        <v>4</v>
      </c>
      <c r="R473" s="5" t="s">
        <v>3</v>
      </c>
      <c r="T473">
        <v>2009033</v>
      </c>
      <c r="U473" t="s">
        <v>231</v>
      </c>
      <c r="V473">
        <v>5.74E-2</v>
      </c>
      <c r="W473">
        <v>0.38295000000000001</v>
      </c>
      <c r="X473">
        <v>2.86E-2</v>
      </c>
      <c r="Y473">
        <v>1.3555699999999999</v>
      </c>
      <c r="Z473">
        <v>22.366029999999999</v>
      </c>
      <c r="AA473">
        <v>11.435689999999999</v>
      </c>
      <c r="AB473">
        <v>-1.3673999999999999</v>
      </c>
      <c r="AC473" s="23">
        <v>5.3800000000000001E-2</v>
      </c>
      <c r="AD473" s="23">
        <v>0.38173000000000001</v>
      </c>
      <c r="AE473" s="23">
        <v>3.0300000000000001E-2</v>
      </c>
      <c r="AF473" s="23">
        <v>1.3739399999999999</v>
      </c>
      <c r="AG473" s="23">
        <v>28.029730000000001</v>
      </c>
      <c r="AH473" s="23">
        <v>13.19683</v>
      </c>
      <c r="AI473" s="23">
        <v>-1.31182</v>
      </c>
      <c r="AJ473" s="25">
        <v>1.1679054166666667</v>
      </c>
      <c r="AK473" s="25">
        <v>0.38100229958394344</v>
      </c>
      <c r="AL473" s="25">
        <v>0.19043198567097785</v>
      </c>
      <c r="AM473" s="25">
        <v>8.7065690832511353E-2</v>
      </c>
      <c r="AN473" s="24">
        <v>1.6403439061025498</v>
      </c>
      <c r="AO473" s="23">
        <v>-99</v>
      </c>
    </row>
    <row r="474" spans="1:41" x14ac:dyDescent="0.25">
      <c r="A474" s="4">
        <v>84</v>
      </c>
      <c r="B474">
        <v>30</v>
      </c>
      <c r="C474" s="16">
        <v>50</v>
      </c>
      <c r="D474">
        <v>20</v>
      </c>
      <c r="E474" s="3">
        <v>25.5</v>
      </c>
      <c r="F474" s="3">
        <f>1.8*E474+32</f>
        <v>77.900000000000006</v>
      </c>
      <c r="G474" s="3">
        <v>14</v>
      </c>
      <c r="H474" s="3">
        <f>IF(F474&gt;68,G474+(F474-68)*0.2,G621-(68-F474)*0.2)</f>
        <v>15.98</v>
      </c>
      <c r="I474" s="3">
        <v>23</v>
      </c>
      <c r="J474" s="3">
        <f>1.8*I474+32</f>
        <v>73.400000000000006</v>
      </c>
      <c r="K474" s="3">
        <v>8</v>
      </c>
      <c r="L474" s="3">
        <f>IF(J474&gt;68,K474+(J474-68)*0.2,K474-(68-J474)*0.2)</f>
        <v>9.0800000000000018</v>
      </c>
      <c r="M474" s="3">
        <f>(C474-H474)/C474*100</f>
        <v>68.039999999999992</v>
      </c>
      <c r="N474" s="3">
        <f>100-(M474+O474)</f>
        <v>13.800000000000011</v>
      </c>
      <c r="O474" s="3">
        <f>L474/C474*100</f>
        <v>18.160000000000004</v>
      </c>
      <c r="P474" s="1" t="s">
        <v>0</v>
      </c>
      <c r="Q474" s="15">
        <v>407490.89199999999</v>
      </c>
      <c r="R474" s="15">
        <v>3659949.5</v>
      </c>
      <c r="T474">
        <v>2009033</v>
      </c>
      <c r="U474" t="s">
        <v>230</v>
      </c>
      <c r="V474">
        <v>6.0479999999999999E-2</v>
      </c>
      <c r="W474">
        <v>0.38279999999999997</v>
      </c>
      <c r="X474">
        <v>2.8039999999999999E-2</v>
      </c>
      <c r="Y474">
        <v>1.3408899999999999</v>
      </c>
      <c r="Z474">
        <v>19.062519999999999</v>
      </c>
      <c r="AA474">
        <v>10.45809</v>
      </c>
      <c r="AB474">
        <v>-1.4452799999999999</v>
      </c>
      <c r="AC474" s="23">
        <v>6.3100000000000003E-2</v>
      </c>
      <c r="AD474" s="23">
        <v>0.38655</v>
      </c>
      <c r="AE474" s="23">
        <v>2.6409999999999999E-2</v>
      </c>
      <c r="AF474" s="23">
        <v>1.33551</v>
      </c>
      <c r="AG474" s="23">
        <v>15.9908</v>
      </c>
      <c r="AH474" s="23">
        <v>9.4033200000000008</v>
      </c>
      <c r="AI474" s="23">
        <v>-1.4342900000000001</v>
      </c>
      <c r="AJ474" s="25">
        <v>0.66628333333333334</v>
      </c>
      <c r="AK474" s="25">
        <v>0.38591903022114676</v>
      </c>
      <c r="AL474" s="25">
        <v>0.21698302939094788</v>
      </c>
      <c r="AM474" s="25">
        <v>0.10656725874673986</v>
      </c>
      <c r="AN474" s="24">
        <v>1.6273145699139608</v>
      </c>
      <c r="AO474" s="23">
        <v>-99</v>
      </c>
    </row>
    <row r="475" spans="1:41" x14ac:dyDescent="0.25">
      <c r="A475" s="4">
        <v>84</v>
      </c>
      <c r="B475">
        <v>60</v>
      </c>
      <c r="C475" s="16">
        <v>50</v>
      </c>
      <c r="D475">
        <v>20</v>
      </c>
      <c r="E475" s="3">
        <v>25.5</v>
      </c>
      <c r="F475" s="3">
        <f>1.8*E475+32</f>
        <v>77.900000000000006</v>
      </c>
      <c r="G475" s="3">
        <v>15</v>
      </c>
      <c r="H475" s="3">
        <f>IF(F475&gt;68,G475+(F475-68)*0.2,G622-(68-F475)*0.2)</f>
        <v>16.98</v>
      </c>
      <c r="I475" s="3">
        <v>23</v>
      </c>
      <c r="J475" s="3">
        <f>1.8*I475+32</f>
        <v>73.400000000000006</v>
      </c>
      <c r="K475" s="3">
        <v>9</v>
      </c>
      <c r="L475" s="3">
        <f>IF(J475&gt;68,K475+(J475-68)*0.2,K475-(68-J475)*0.2)</f>
        <v>10.080000000000002</v>
      </c>
      <c r="M475" s="3">
        <f>(C475-H475)/C475*100</f>
        <v>66.039999999999992</v>
      </c>
      <c r="N475" s="3">
        <f>100-(M475+O475)</f>
        <v>13.800000000000011</v>
      </c>
      <c r="O475" s="3">
        <f>L475/C475*100</f>
        <v>20.160000000000004</v>
      </c>
      <c r="P475" s="1" t="s">
        <v>2</v>
      </c>
      <c r="Q475" s="15">
        <v>407490.89199999999</v>
      </c>
      <c r="R475" s="15">
        <v>3659949.5</v>
      </c>
      <c r="T475">
        <v>2009033</v>
      </c>
      <c r="U475" t="s">
        <v>229</v>
      </c>
      <c r="V475">
        <v>6.3380000000000006E-2</v>
      </c>
      <c r="W475">
        <v>0.38441999999999998</v>
      </c>
      <c r="X475">
        <v>2.7179999999999999E-2</v>
      </c>
      <c r="Y475">
        <v>1.3284100000000001</v>
      </c>
      <c r="Z475">
        <v>16.107610000000001</v>
      </c>
      <c r="AA475">
        <v>9.5432600000000001</v>
      </c>
      <c r="AB475">
        <v>-1.5024299999999999</v>
      </c>
      <c r="AC475" s="23">
        <v>5.697E-2</v>
      </c>
      <c r="AD475" s="23">
        <v>0.38562000000000002</v>
      </c>
      <c r="AE475" s="23">
        <v>2.7050000000000001E-2</v>
      </c>
      <c r="AF475" s="23">
        <v>1.3611500000000001</v>
      </c>
      <c r="AG475" s="23">
        <v>21.519909999999999</v>
      </c>
      <c r="AH475" s="23">
        <v>10.915570000000001</v>
      </c>
      <c r="AI475" s="23">
        <v>-1.2893600000000001</v>
      </c>
      <c r="AJ475" s="25">
        <v>0.89666291666666664</v>
      </c>
      <c r="AK475" s="25">
        <v>0.38498254679186034</v>
      </c>
      <c r="AL475" s="25">
        <v>0.20363705718415745</v>
      </c>
      <c r="AM475" s="25">
        <v>9.4530262141354321E-2</v>
      </c>
      <c r="AN475" s="24">
        <v>1.62979625100157</v>
      </c>
      <c r="AO475" s="23">
        <v>-99</v>
      </c>
    </row>
    <row r="476" spans="1:41" x14ac:dyDescent="0.25">
      <c r="A476" s="4">
        <v>84</v>
      </c>
      <c r="B476">
        <v>90</v>
      </c>
      <c r="C476" s="16">
        <v>50</v>
      </c>
      <c r="D476">
        <v>20</v>
      </c>
      <c r="E476" s="3">
        <v>25</v>
      </c>
      <c r="F476" s="3">
        <f>1.8*E476+32</f>
        <v>77</v>
      </c>
      <c r="G476" s="3">
        <v>13</v>
      </c>
      <c r="H476" s="3">
        <f>IF(F476&gt;68,G476+(F476-68)*0.2,G623-(68-F476)*0.2)</f>
        <v>14.8</v>
      </c>
      <c r="I476" s="3">
        <v>23</v>
      </c>
      <c r="J476" s="3">
        <f>1.8*I476+32</f>
        <v>73.400000000000006</v>
      </c>
      <c r="K476" s="3">
        <v>5</v>
      </c>
      <c r="L476" s="3">
        <f>IF(J476&gt;68,K476+(J476-68)*0.2,K476-(68-J476)*0.2)</f>
        <v>6.080000000000001</v>
      </c>
      <c r="M476" s="3">
        <f>(C476-H476)/C476*100</f>
        <v>70.400000000000006</v>
      </c>
      <c r="N476" s="3">
        <f>100-(M476+O476)</f>
        <v>17.439999999999998</v>
      </c>
      <c r="O476" s="3">
        <f>L476/C476*100</f>
        <v>12.160000000000002</v>
      </c>
      <c r="P476" s="1" t="s">
        <v>0</v>
      </c>
      <c r="Q476" s="15">
        <v>407490.89199999999</v>
      </c>
      <c r="R476" s="15">
        <v>3659949.5</v>
      </c>
      <c r="T476">
        <v>2009033</v>
      </c>
      <c r="U476" t="s">
        <v>228</v>
      </c>
      <c r="V476">
        <v>5.3800000000000001E-2</v>
      </c>
      <c r="W476">
        <v>0.38173000000000001</v>
      </c>
      <c r="X476">
        <v>3.0300000000000001E-2</v>
      </c>
      <c r="Y476">
        <v>1.3739399999999999</v>
      </c>
      <c r="Z476">
        <v>28.029730000000001</v>
      </c>
      <c r="AA476">
        <v>13.19683</v>
      </c>
      <c r="AB476">
        <v>-1.31182</v>
      </c>
      <c r="AC476" s="23">
        <v>5.4260000000000003E-2</v>
      </c>
      <c r="AD476" s="23">
        <v>0.38272</v>
      </c>
      <c r="AE476" s="23">
        <v>2.9569999999999999E-2</v>
      </c>
      <c r="AF476" s="23">
        <v>1.3694</v>
      </c>
      <c r="AG476" s="23">
        <v>26.43778</v>
      </c>
      <c r="AH476" s="23">
        <v>12.691409999999999</v>
      </c>
      <c r="AI476" s="23">
        <v>-1.31009</v>
      </c>
      <c r="AJ476" s="25">
        <v>1.1015741666666667</v>
      </c>
      <c r="AK476" s="25">
        <v>0.38201006246193725</v>
      </c>
      <c r="AL476" s="25">
        <v>0.19375420437010865</v>
      </c>
      <c r="AM476" s="25">
        <v>8.8827988001785263E-2</v>
      </c>
      <c r="AN476" s="24">
        <v>1.6376733344758663</v>
      </c>
      <c r="AO476" s="23">
        <v>-99</v>
      </c>
    </row>
    <row r="477" spans="1:41" x14ac:dyDescent="0.25">
      <c r="A477" s="4">
        <v>84</v>
      </c>
      <c r="B477">
        <v>120</v>
      </c>
      <c r="C477" s="16">
        <v>50</v>
      </c>
      <c r="D477">
        <v>20</v>
      </c>
      <c r="E477" s="3">
        <v>25.5</v>
      </c>
      <c r="F477" s="3">
        <f>1.8*E477+32</f>
        <v>77.900000000000006</v>
      </c>
      <c r="G477" s="3">
        <v>16</v>
      </c>
      <c r="H477" s="3">
        <f>IF(F477&gt;68,G477+(F477-68)*0.2,G625-(68-F477)*0.2)</f>
        <v>17.98</v>
      </c>
      <c r="I477" s="3">
        <v>23</v>
      </c>
      <c r="J477" s="3">
        <f>1.8*I477+32</f>
        <v>73.400000000000006</v>
      </c>
      <c r="K477" s="3">
        <v>10</v>
      </c>
      <c r="L477" s="3">
        <f>IF(J477&gt;68,K477+(J477-68)*0.2,K477-(68-J477)*0.2)</f>
        <v>11.080000000000002</v>
      </c>
      <c r="M477" s="3">
        <f>(C477-H477)/C477*100</f>
        <v>64.039999999999992</v>
      </c>
      <c r="N477" s="3">
        <f>100-(M477+O477)</f>
        <v>13.800000000000011</v>
      </c>
      <c r="O477" s="3">
        <f>L477/C477*100</f>
        <v>22.160000000000004</v>
      </c>
      <c r="P477" s="1" t="s">
        <v>2</v>
      </c>
      <c r="Q477" s="15">
        <v>407490.89199999999</v>
      </c>
      <c r="R477" s="15">
        <v>3659949.5</v>
      </c>
      <c r="T477">
        <v>2009033</v>
      </c>
      <c r="U477" t="s">
        <v>227</v>
      </c>
      <c r="V477">
        <v>6.3100000000000003E-2</v>
      </c>
      <c r="W477">
        <v>0.38655</v>
      </c>
      <c r="X477">
        <v>2.6409999999999999E-2</v>
      </c>
      <c r="Y477">
        <v>1.33551</v>
      </c>
      <c r="Z477">
        <v>15.9908</v>
      </c>
      <c r="AA477">
        <v>9.4033200000000008</v>
      </c>
      <c r="AB477">
        <v>-1.4342900000000001</v>
      </c>
      <c r="AC477" s="23">
        <v>5.6930000000000001E-2</v>
      </c>
      <c r="AD477" s="23">
        <v>0.38496000000000002</v>
      </c>
      <c r="AE477" s="23">
        <v>2.7529999999999999E-2</v>
      </c>
      <c r="AF477" s="23">
        <v>1.3598300000000001</v>
      </c>
      <c r="AG477" s="23">
        <v>21.897210000000001</v>
      </c>
      <c r="AH477" s="23">
        <v>11.119899999999999</v>
      </c>
      <c r="AI477" s="23">
        <v>-1.3095600000000001</v>
      </c>
      <c r="AJ477" s="25">
        <v>0.91238375000000005</v>
      </c>
      <c r="AK477" s="25">
        <v>0.38430708087992671</v>
      </c>
      <c r="AL477" s="25">
        <v>0.2028629377230865</v>
      </c>
      <c r="AM477" s="25">
        <v>9.4479427801566526E-2</v>
      </c>
      <c r="AN477" s="24">
        <v>1.6315862356681943</v>
      </c>
      <c r="AO477" s="23">
        <v>-99</v>
      </c>
    </row>
    <row r="478" spans="1:41" x14ac:dyDescent="0.25">
      <c r="A478" s="4">
        <v>84</v>
      </c>
      <c r="B478">
        <v>150</v>
      </c>
      <c r="C478" s="16">
        <v>50</v>
      </c>
      <c r="D478">
        <v>20</v>
      </c>
      <c r="E478" s="3">
        <v>26</v>
      </c>
      <c r="F478" s="3">
        <f>1.8*E478+32</f>
        <v>78.800000000000011</v>
      </c>
      <c r="G478" s="3">
        <v>16</v>
      </c>
      <c r="H478" s="3">
        <f>IF(F478&gt;68,G478+(F478-68)*0.2,G626-(68-F478)*0.2)</f>
        <v>18.160000000000004</v>
      </c>
      <c r="I478" s="3">
        <v>23</v>
      </c>
      <c r="J478" s="3">
        <f>1.8*I478+32</f>
        <v>73.400000000000006</v>
      </c>
      <c r="K478" s="3">
        <v>9</v>
      </c>
      <c r="L478" s="3">
        <f>IF(J478&gt;68,K478+(J478-68)*0.2,K478-(68-J478)*0.2)</f>
        <v>10.080000000000002</v>
      </c>
      <c r="M478" s="3">
        <f>(C478-H478)/C478*100</f>
        <v>63.679999999999993</v>
      </c>
      <c r="N478" s="3">
        <f>100-(M478+O478)</f>
        <v>16.159999999999997</v>
      </c>
      <c r="O478" s="3">
        <f>L478/C478*100</f>
        <v>20.160000000000004</v>
      </c>
      <c r="P478" s="1" t="s">
        <v>2</v>
      </c>
      <c r="Q478" s="15">
        <v>407490.89199999999</v>
      </c>
      <c r="R478" s="15">
        <v>3659949.5</v>
      </c>
      <c r="T478">
        <v>2009033</v>
      </c>
      <c r="U478" t="s">
        <v>226</v>
      </c>
      <c r="V478">
        <v>5.697E-2</v>
      </c>
      <c r="W478">
        <v>0.38562000000000002</v>
      </c>
      <c r="X478">
        <v>2.7050000000000001E-2</v>
      </c>
      <c r="Y478">
        <v>1.3611500000000001</v>
      </c>
      <c r="Z478">
        <v>21.519909999999999</v>
      </c>
      <c r="AA478">
        <v>10.915570000000001</v>
      </c>
      <c r="AB478">
        <v>-1.2893600000000001</v>
      </c>
      <c r="AC478" s="23">
        <v>5.6890000000000003E-2</v>
      </c>
      <c r="AD478" s="23">
        <v>0.38342999999999999</v>
      </c>
      <c r="AE478" s="23">
        <v>2.8469999999999999E-2</v>
      </c>
      <c r="AF478" s="23">
        <v>1.35802</v>
      </c>
      <c r="AG478" s="23">
        <v>22.713619999999999</v>
      </c>
      <c r="AH478" s="23">
        <v>11.51247</v>
      </c>
      <c r="AI478" s="23">
        <v>-1.3473900000000001</v>
      </c>
      <c r="AJ478" s="25">
        <v>0.94640083333333325</v>
      </c>
      <c r="AK478" s="25">
        <v>0.38274799490974731</v>
      </c>
      <c r="AL478" s="25">
        <v>0.2010804642592775</v>
      </c>
      <c r="AM478" s="25">
        <v>9.4227199563254413E-2</v>
      </c>
      <c r="AN478" s="24">
        <v>1.6357178134891697</v>
      </c>
      <c r="AO478" s="23">
        <v>-99</v>
      </c>
    </row>
    <row r="479" spans="1:41" x14ac:dyDescent="0.25">
      <c r="A479" s="4">
        <v>84</v>
      </c>
      <c r="B479">
        <v>180</v>
      </c>
      <c r="C479" s="16">
        <v>50</v>
      </c>
      <c r="D479">
        <v>20</v>
      </c>
      <c r="E479" s="3">
        <v>26</v>
      </c>
      <c r="F479" s="3">
        <f>1.8*E479+32</f>
        <v>78.800000000000011</v>
      </c>
      <c r="G479" s="3">
        <v>16</v>
      </c>
      <c r="H479" s="3">
        <f>IF(F479&gt;68,G479+(F479-68)*0.2,G627-(68-F479)*0.2)</f>
        <v>18.160000000000004</v>
      </c>
      <c r="I479" s="3">
        <v>22.5</v>
      </c>
      <c r="J479" s="3">
        <f>1.8*I479+32</f>
        <v>72.5</v>
      </c>
      <c r="K479" s="3">
        <v>10</v>
      </c>
      <c r="L479" s="3">
        <f>IF(J479&gt;68,K479+(J479-68)*0.2,K479-(68-J479)*0.2)</f>
        <v>10.9</v>
      </c>
      <c r="M479" s="3">
        <f>(C479-H479)/C479*100</f>
        <v>63.679999999999993</v>
      </c>
      <c r="N479" s="3">
        <f>100-(M479+O479)</f>
        <v>14.52000000000001</v>
      </c>
      <c r="O479" s="3">
        <f>L479/C479*100</f>
        <v>21.8</v>
      </c>
      <c r="P479" s="1" t="s">
        <v>2</v>
      </c>
      <c r="Q479" s="15">
        <v>407490.89199999999</v>
      </c>
      <c r="R479" s="15">
        <v>3659949.5</v>
      </c>
      <c r="T479">
        <v>2009033</v>
      </c>
      <c r="U479" t="s">
        <v>225</v>
      </c>
      <c r="V479">
        <v>5.4260000000000003E-2</v>
      </c>
      <c r="W479">
        <v>0.38272</v>
      </c>
      <c r="X479">
        <v>2.9569999999999999E-2</v>
      </c>
      <c r="Y479">
        <v>1.3694</v>
      </c>
      <c r="Z479">
        <v>26.43778</v>
      </c>
      <c r="AA479">
        <v>12.691409999999999</v>
      </c>
      <c r="AB479">
        <v>-1.31009</v>
      </c>
      <c r="AC479" s="23">
        <v>4.7750000000000001E-2</v>
      </c>
      <c r="AD479" s="23">
        <v>0.37968000000000002</v>
      </c>
      <c r="AE479" s="23">
        <v>3.5069999999999997E-2</v>
      </c>
      <c r="AF479" s="23">
        <v>1.54043</v>
      </c>
      <c r="AG479" s="23">
        <v>63.931330000000003</v>
      </c>
      <c r="AH479" s="23">
        <v>20.61985</v>
      </c>
      <c r="AI479" s="23">
        <v>-1.0370299999999999</v>
      </c>
      <c r="AJ479" s="25">
        <v>2.6638054166666669</v>
      </c>
      <c r="AK479" s="25">
        <v>0.37901466361953601</v>
      </c>
      <c r="AL479" s="25">
        <v>0.13500378848153166</v>
      </c>
      <c r="AM479" s="25">
        <v>5.8983421863308363E-2</v>
      </c>
      <c r="AN479" s="24">
        <v>1.6456111414082297</v>
      </c>
      <c r="AO479" s="23">
        <v>-99</v>
      </c>
    </row>
    <row r="480" spans="1:41" x14ac:dyDescent="0.25">
      <c r="T480">
        <v>2009033</v>
      </c>
      <c r="U480" t="s">
        <v>224</v>
      </c>
      <c r="V480">
        <v>5.6930000000000001E-2</v>
      </c>
      <c r="W480">
        <v>0.38496000000000002</v>
      </c>
      <c r="X480">
        <v>2.7529999999999999E-2</v>
      </c>
      <c r="Y480">
        <v>1.3598300000000001</v>
      </c>
      <c r="Z480">
        <v>21.897210000000001</v>
      </c>
      <c r="AA480">
        <v>11.119899999999999</v>
      </c>
      <c r="AB480">
        <v>-1.3095600000000001</v>
      </c>
      <c r="AC480" s="23">
        <v>5.6939999999999998E-2</v>
      </c>
      <c r="AD480" s="23">
        <v>0.38186999999999999</v>
      </c>
      <c r="AE480" s="23">
        <v>2.9180000000000001E-2</v>
      </c>
      <c r="AF480" s="23">
        <v>1.3579600000000001</v>
      </c>
      <c r="AG480" s="23">
        <v>23.455960000000001</v>
      </c>
      <c r="AH480" s="23">
        <v>11.79224</v>
      </c>
      <c r="AI480" s="23">
        <v>-1.37296</v>
      </c>
      <c r="AJ480" s="25">
        <v>0.97733166666666671</v>
      </c>
      <c r="AK480" s="25">
        <v>0.38116832957234387</v>
      </c>
      <c r="AL480" s="25">
        <v>0.19923473882167586</v>
      </c>
      <c r="AM480" s="25">
        <v>9.3780422421300677E-2</v>
      </c>
      <c r="AN480" s="24">
        <v>1.6399039266332889</v>
      </c>
      <c r="AO480" s="23">
        <v>-99</v>
      </c>
    </row>
    <row r="481" spans="1:41" ht="51.75" x14ac:dyDescent="0.25">
      <c r="A481" s="14" t="s">
        <v>21</v>
      </c>
      <c r="B481" s="9" t="s">
        <v>20</v>
      </c>
      <c r="C481" s="13" t="s">
        <v>19</v>
      </c>
      <c r="D481" s="12" t="s">
        <v>18</v>
      </c>
      <c r="E481" s="11" t="s">
        <v>17</v>
      </c>
      <c r="F481" s="11" t="s">
        <v>16</v>
      </c>
      <c r="G481" s="11" t="s">
        <v>15</v>
      </c>
      <c r="H481" s="11" t="s">
        <v>14</v>
      </c>
      <c r="I481" s="11" t="s">
        <v>13</v>
      </c>
      <c r="J481" s="11" t="s">
        <v>12</v>
      </c>
      <c r="K481" s="11" t="s">
        <v>11</v>
      </c>
      <c r="L481" s="11" t="s">
        <v>10</v>
      </c>
      <c r="M481" s="10" t="s">
        <v>9</v>
      </c>
      <c r="N481" s="10" t="s">
        <v>8</v>
      </c>
      <c r="O481" s="10" t="s">
        <v>7</v>
      </c>
      <c r="P481" s="9" t="s">
        <v>6</v>
      </c>
      <c r="Q481" s="19" t="s">
        <v>5</v>
      </c>
      <c r="R481" s="19"/>
      <c r="T481">
        <v>2009033</v>
      </c>
      <c r="U481" t="s">
        <v>223</v>
      </c>
      <c r="V481">
        <v>5.6890000000000003E-2</v>
      </c>
      <c r="W481">
        <v>0.38342999999999999</v>
      </c>
      <c r="X481">
        <v>2.8469999999999999E-2</v>
      </c>
      <c r="Y481">
        <v>1.35802</v>
      </c>
      <c r="Z481">
        <v>22.713619999999999</v>
      </c>
      <c r="AA481">
        <v>11.51247</v>
      </c>
      <c r="AB481">
        <v>-1.3473900000000001</v>
      </c>
      <c r="AC481" s="23">
        <v>6.0019999999999997E-2</v>
      </c>
      <c r="AD481" s="23">
        <v>0.38435999999999998</v>
      </c>
      <c r="AE481" s="23">
        <v>2.7519999999999999E-2</v>
      </c>
      <c r="AF481" s="23">
        <v>1.3454299999999999</v>
      </c>
      <c r="AG481" s="23">
        <v>19.122679999999999</v>
      </c>
      <c r="AH481" s="23">
        <v>10.407</v>
      </c>
      <c r="AI481" s="23">
        <v>-1.4001999999999999</v>
      </c>
      <c r="AJ481" s="25">
        <v>0.79677833333333326</v>
      </c>
      <c r="AK481" s="25">
        <v>0.38370083796350019</v>
      </c>
      <c r="AL481" s="25">
        <v>0.20900527173338793</v>
      </c>
      <c r="AM481" s="25">
        <v>0.10051597213577923</v>
      </c>
      <c r="AN481" s="24">
        <v>1.6331927793967245</v>
      </c>
      <c r="AO481" s="23">
        <v>-99</v>
      </c>
    </row>
    <row r="482" spans="1:41" x14ac:dyDescent="0.25"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1"/>
      <c r="Q482" s="5" t="s">
        <v>4</v>
      </c>
      <c r="R482" s="5" t="s">
        <v>3</v>
      </c>
      <c r="T482">
        <v>2009033</v>
      </c>
      <c r="U482" t="s">
        <v>222</v>
      </c>
      <c r="V482">
        <v>4.7750000000000001E-2</v>
      </c>
      <c r="W482">
        <v>0.37968000000000002</v>
      </c>
      <c r="X482">
        <v>3.5069999999999997E-2</v>
      </c>
      <c r="Y482">
        <v>1.54043</v>
      </c>
      <c r="Z482">
        <v>63.931330000000003</v>
      </c>
      <c r="AA482">
        <v>20.61985</v>
      </c>
      <c r="AB482">
        <v>-1.0370299999999999</v>
      </c>
      <c r="AC482" s="23">
        <v>5.0560000000000001E-2</v>
      </c>
      <c r="AD482" s="23">
        <v>0.38203999999999999</v>
      </c>
      <c r="AE482" s="23">
        <v>3.159E-2</v>
      </c>
      <c r="AF482" s="23">
        <v>1.3911</v>
      </c>
      <c r="AG482" s="23">
        <v>33.354500000000002</v>
      </c>
      <c r="AH482" s="23">
        <v>14.920360000000001</v>
      </c>
      <c r="AI482" s="23">
        <v>-1.2532399999999999</v>
      </c>
      <c r="AJ482" s="25">
        <v>1.3897708333333334</v>
      </c>
      <c r="AK482" s="25">
        <v>0.38128169671935497</v>
      </c>
      <c r="AL482" s="25">
        <v>0.18124235021969601</v>
      </c>
      <c r="AM482" s="25">
        <v>8.0344548979252126E-2</v>
      </c>
      <c r="AN482" s="24">
        <v>1.6396035036937093</v>
      </c>
      <c r="AO482" s="23">
        <v>-99</v>
      </c>
    </row>
    <row r="483" spans="1:41" x14ac:dyDescent="0.25">
      <c r="A483" s="4">
        <v>85</v>
      </c>
      <c r="B483">
        <v>30</v>
      </c>
      <c r="C483">
        <v>50</v>
      </c>
      <c r="D483">
        <v>20</v>
      </c>
      <c r="E483" s="3">
        <v>25.5</v>
      </c>
      <c r="F483" s="3">
        <f>1.8*E483+32</f>
        <v>77.900000000000006</v>
      </c>
      <c r="G483" s="3">
        <v>15</v>
      </c>
      <c r="H483" s="3">
        <f>IF(F483&gt;68,G483+(F483-68)*0.2,G631-(68-F483)*0.2)</f>
        <v>16.98</v>
      </c>
      <c r="I483" s="3">
        <v>22.5</v>
      </c>
      <c r="J483" s="3">
        <f>1.8*I483+32</f>
        <v>72.5</v>
      </c>
      <c r="K483" s="3">
        <v>8</v>
      </c>
      <c r="L483" s="3">
        <f>IF(J483&gt;67,K483+(J483-67)*0.2,K483-(67-J483)*0.2)</f>
        <v>9.1</v>
      </c>
      <c r="M483" s="3">
        <f>(C483-H483)/C483*100</f>
        <v>66.039999999999992</v>
      </c>
      <c r="N483" s="3">
        <f>100-(M483+O483)</f>
        <v>15.760000000000005</v>
      </c>
      <c r="O483" s="3">
        <f>L483/C483*100</f>
        <v>18.2</v>
      </c>
      <c r="P483" s="1" t="s">
        <v>0</v>
      </c>
      <c r="Q483" s="15">
        <v>407490.89199999999</v>
      </c>
      <c r="R483" s="15">
        <v>3659976</v>
      </c>
      <c r="T483">
        <v>2009033</v>
      </c>
      <c r="U483" t="s">
        <v>221</v>
      </c>
      <c r="V483">
        <v>5.6939999999999998E-2</v>
      </c>
      <c r="W483">
        <v>0.38186999999999999</v>
      </c>
      <c r="X483">
        <v>2.9180000000000001E-2</v>
      </c>
      <c r="Y483">
        <v>1.3579600000000001</v>
      </c>
      <c r="Z483">
        <v>23.455960000000001</v>
      </c>
      <c r="AA483">
        <v>11.79224</v>
      </c>
      <c r="AB483">
        <v>-1.37296</v>
      </c>
      <c r="AC483" s="23">
        <v>5.6250000000000001E-2</v>
      </c>
      <c r="AD483" s="23">
        <v>0.38390999999999997</v>
      </c>
      <c r="AE483" s="23">
        <v>2.8309999999999998E-2</v>
      </c>
      <c r="AF483" s="23">
        <v>1.36104</v>
      </c>
      <c r="AG483" s="23">
        <v>23.1736</v>
      </c>
      <c r="AH483" s="23">
        <v>11.608169999999999</v>
      </c>
      <c r="AI483" s="23">
        <v>-1.3234699999999999</v>
      </c>
      <c r="AJ483" s="25">
        <v>0.96556666666666668</v>
      </c>
      <c r="AK483" s="25">
        <v>0.38323392360739506</v>
      </c>
      <c r="AL483" s="25">
        <v>0.20023590565291929</v>
      </c>
      <c r="AM483" s="25">
        <v>9.3111121995649582E-2</v>
      </c>
      <c r="AN483" s="24">
        <v>1.6344301024404031</v>
      </c>
      <c r="AO483" s="23">
        <v>-99</v>
      </c>
    </row>
    <row r="484" spans="1:41" x14ac:dyDescent="0.25">
      <c r="A484" s="4">
        <v>85</v>
      </c>
      <c r="B484">
        <v>60</v>
      </c>
      <c r="C484">
        <v>50</v>
      </c>
      <c r="D484">
        <v>20</v>
      </c>
      <c r="E484" s="3">
        <v>26</v>
      </c>
      <c r="F484" s="3">
        <f>1.8*E484+32</f>
        <v>78.800000000000011</v>
      </c>
      <c r="G484" s="3">
        <v>14</v>
      </c>
      <c r="H484" s="3">
        <f>IF(F484&gt;68,G484+(F484-68)*0.2,G632-(68-F484)*0.2)</f>
        <v>16.160000000000004</v>
      </c>
      <c r="I484" s="3">
        <v>22.5</v>
      </c>
      <c r="J484" s="3">
        <f>1.8*I484+32</f>
        <v>72.5</v>
      </c>
      <c r="K484" s="3">
        <v>8</v>
      </c>
      <c r="L484" s="3">
        <f>IF(J484&gt;67,K484+(J484-67)*0.2,K484-(67-J484)*0.2)</f>
        <v>9.1</v>
      </c>
      <c r="M484" s="3">
        <f>(C484-H484)/C484*100</f>
        <v>67.679999999999993</v>
      </c>
      <c r="N484" s="3">
        <f>100-(M484+O484)</f>
        <v>14.120000000000005</v>
      </c>
      <c r="O484" s="3">
        <f>L484/C484*100</f>
        <v>18.2</v>
      </c>
      <c r="P484" s="1" t="s">
        <v>0</v>
      </c>
      <c r="Q484" s="15">
        <v>407490.89199999999</v>
      </c>
      <c r="R484" s="15">
        <v>3659976</v>
      </c>
      <c r="T484">
        <v>2009033</v>
      </c>
      <c r="U484" t="s">
        <v>220</v>
      </c>
      <c r="V484">
        <v>6.0019999999999997E-2</v>
      </c>
      <c r="W484">
        <v>0.38435999999999998</v>
      </c>
      <c r="X484">
        <v>2.7519999999999999E-2</v>
      </c>
      <c r="Y484">
        <v>1.3454299999999999</v>
      </c>
      <c r="Z484">
        <v>19.122679999999999</v>
      </c>
      <c r="AA484">
        <v>10.407</v>
      </c>
      <c r="AB484">
        <v>-1.4001999999999999</v>
      </c>
      <c r="AC484" s="23">
        <v>6.2359999999999999E-2</v>
      </c>
      <c r="AD484" s="23">
        <v>0.38466</v>
      </c>
      <c r="AE484" s="23">
        <v>2.7179999999999999E-2</v>
      </c>
      <c r="AF484" s="23">
        <v>1.3344800000000001</v>
      </c>
      <c r="AG484" s="23">
        <v>16.93516</v>
      </c>
      <c r="AH484" s="23">
        <v>9.7721999999999998</v>
      </c>
      <c r="AI484" s="23">
        <v>-1.46166</v>
      </c>
      <c r="AJ484" s="25">
        <v>0.70563166666666666</v>
      </c>
      <c r="AK484" s="25">
        <v>0.3840058862742235</v>
      </c>
      <c r="AL484" s="25">
        <v>0.21464460779674863</v>
      </c>
      <c r="AM484" s="25">
        <v>0.10552361303798077</v>
      </c>
      <c r="AN484" s="24">
        <v>1.6323844013733078</v>
      </c>
      <c r="AO484" s="23">
        <v>-99</v>
      </c>
    </row>
    <row r="485" spans="1:41" x14ac:dyDescent="0.25">
      <c r="A485" s="4">
        <v>85</v>
      </c>
      <c r="B485">
        <v>90</v>
      </c>
      <c r="C485">
        <v>50</v>
      </c>
      <c r="D485">
        <v>20</v>
      </c>
      <c r="E485" s="3">
        <v>26</v>
      </c>
      <c r="F485" s="3">
        <f>1.8*E485+32</f>
        <v>78.800000000000011</v>
      </c>
      <c r="G485" s="3">
        <v>12</v>
      </c>
      <c r="H485" s="3">
        <f>IF(F485&gt;68,G485+(F485-68)*0.2,G634-(68-F485)*0.2)</f>
        <v>14.160000000000002</v>
      </c>
      <c r="I485" s="3">
        <v>22.5</v>
      </c>
      <c r="J485" s="3">
        <f>1.8*I485+32</f>
        <v>72.5</v>
      </c>
      <c r="K485" s="3">
        <v>6</v>
      </c>
      <c r="L485" s="3">
        <f>IF(J485&gt;67,K485+(J485-67)*0.2,K485-(67-J485)*0.2)</f>
        <v>7.1</v>
      </c>
      <c r="M485" s="3">
        <f>(C485-H485)/C485*100</f>
        <v>71.679999999999993</v>
      </c>
      <c r="N485" s="3">
        <f>100-(M485+O485)</f>
        <v>14.120000000000005</v>
      </c>
      <c r="O485" s="3">
        <f>L485/C485*100</f>
        <v>14.2</v>
      </c>
      <c r="P485" s="1" t="s">
        <v>0</v>
      </c>
      <c r="Q485" s="15">
        <v>407490.89199999999</v>
      </c>
      <c r="R485" s="15">
        <v>3659976</v>
      </c>
      <c r="T485">
        <v>2009033</v>
      </c>
      <c r="U485" t="s">
        <v>219</v>
      </c>
      <c r="V485">
        <v>5.0560000000000001E-2</v>
      </c>
      <c r="W485">
        <v>0.38203999999999999</v>
      </c>
      <c r="X485">
        <v>3.159E-2</v>
      </c>
      <c r="Y485">
        <v>1.3911</v>
      </c>
      <c r="Z485">
        <v>33.354500000000002</v>
      </c>
      <c r="AA485">
        <v>14.920360000000001</v>
      </c>
      <c r="AB485">
        <v>-1.2532399999999999</v>
      </c>
      <c r="AC485" s="23">
        <v>5.96E-2</v>
      </c>
      <c r="AD485" s="23">
        <v>0.38658999999999999</v>
      </c>
      <c r="AE485" s="23">
        <v>2.6339999999999999E-2</v>
      </c>
      <c r="AF485" s="23">
        <v>1.35293</v>
      </c>
      <c r="AG485" s="23">
        <v>18.785160000000001</v>
      </c>
      <c r="AH485" s="23">
        <v>10.086880000000001</v>
      </c>
      <c r="AI485" s="23">
        <v>-1.3230200000000001</v>
      </c>
      <c r="AJ485" s="25">
        <v>0.78271500000000005</v>
      </c>
      <c r="AK485" s="25">
        <v>0.38597033118813251</v>
      </c>
      <c r="AL485" s="25">
        <v>0.2095173144049407</v>
      </c>
      <c r="AM485" s="25">
        <v>9.9231810095597867E-2</v>
      </c>
      <c r="AN485" s="24">
        <v>1.6271786223514488</v>
      </c>
      <c r="AO485" s="23">
        <v>-99</v>
      </c>
    </row>
    <row r="486" spans="1:41" x14ac:dyDescent="0.25">
      <c r="A486" s="4">
        <v>85</v>
      </c>
      <c r="B486">
        <v>120</v>
      </c>
      <c r="C486">
        <v>50</v>
      </c>
      <c r="D486">
        <v>20</v>
      </c>
      <c r="E486" s="3">
        <v>26</v>
      </c>
      <c r="F486" s="3">
        <f>1.8*E486+32</f>
        <v>78.800000000000011</v>
      </c>
      <c r="G486" s="3">
        <v>18</v>
      </c>
      <c r="H486" s="3">
        <f>IF(F486&gt;68,G486+(F486-68)*0.2,G635-(68-F486)*0.2)</f>
        <v>20.160000000000004</v>
      </c>
      <c r="I486" s="3">
        <v>22.5</v>
      </c>
      <c r="J486" s="3">
        <f>1.8*I486+32</f>
        <v>72.5</v>
      </c>
      <c r="K486" s="3">
        <v>12</v>
      </c>
      <c r="L486" s="3">
        <f>IF(J486&gt;67,K486+(J486-67)*0.2,K486-(67-J486)*0.2)</f>
        <v>13.1</v>
      </c>
      <c r="M486" s="3">
        <f>(C486-H486)/C486*100</f>
        <v>59.679999999999986</v>
      </c>
      <c r="N486" s="3">
        <f>100-(M486+O486)</f>
        <v>14.120000000000005</v>
      </c>
      <c r="O486" s="3">
        <f>L486/C486*100</f>
        <v>26.200000000000003</v>
      </c>
      <c r="P486" s="1" t="s">
        <v>2</v>
      </c>
      <c r="Q486" s="15">
        <v>407490.89199999999</v>
      </c>
      <c r="R486" s="15">
        <v>3659976</v>
      </c>
      <c r="T486">
        <v>2009033</v>
      </c>
      <c r="U486" t="s">
        <v>218</v>
      </c>
      <c r="V486">
        <v>5.6250000000000001E-2</v>
      </c>
      <c r="W486">
        <v>0.38390999999999997</v>
      </c>
      <c r="X486">
        <v>2.8309999999999998E-2</v>
      </c>
      <c r="Y486">
        <v>1.36104</v>
      </c>
      <c r="Z486">
        <v>23.1736</v>
      </c>
      <c r="AA486">
        <v>11.608169999999999</v>
      </c>
      <c r="AB486">
        <v>-1.3234699999999999</v>
      </c>
      <c r="AC486" s="23">
        <v>6.794E-2</v>
      </c>
      <c r="AD486" s="23">
        <v>0.39157999999999998</v>
      </c>
      <c r="AE486" s="23">
        <v>2.487E-2</v>
      </c>
      <c r="AF486" s="23">
        <v>1.32304</v>
      </c>
      <c r="AG486" s="23">
        <v>12.11323</v>
      </c>
      <c r="AH486" s="23">
        <v>8.1353200000000001</v>
      </c>
      <c r="AI486" s="23">
        <v>-1.4755199999999999</v>
      </c>
      <c r="AJ486" s="25">
        <v>0.50471791666666665</v>
      </c>
      <c r="AK486" s="25">
        <v>0.39098689739764092</v>
      </c>
      <c r="AL486" s="25">
        <v>0.22907669745715023</v>
      </c>
      <c r="AM486" s="25">
        <v>0.1157189506112751</v>
      </c>
      <c r="AN486" s="24">
        <v>1.6138847218962515</v>
      </c>
      <c r="AO486" s="23">
        <v>-99</v>
      </c>
    </row>
    <row r="487" spans="1:41" x14ac:dyDescent="0.25">
      <c r="A487" s="4">
        <v>85</v>
      </c>
      <c r="B487">
        <v>150</v>
      </c>
      <c r="C487">
        <v>50</v>
      </c>
      <c r="D487">
        <v>20</v>
      </c>
      <c r="E487" s="3">
        <v>25</v>
      </c>
      <c r="F487" s="3">
        <f>1.8*E487+32</f>
        <v>77</v>
      </c>
      <c r="G487" s="3">
        <v>15</v>
      </c>
      <c r="H487" s="3">
        <f>IF(F487&gt;68,G487+(F487-68)*0.2,G636-(68-F487)*0.2)</f>
        <v>16.8</v>
      </c>
      <c r="I487" s="3">
        <v>23</v>
      </c>
      <c r="J487" s="3">
        <f>1.8*I487+32</f>
        <v>73.400000000000006</v>
      </c>
      <c r="K487" s="3">
        <v>10</v>
      </c>
      <c r="L487" s="3">
        <f>IF(J487&gt;67,K487+(J487-67)*0.2,K487-(67-J487)*0.2)</f>
        <v>11.280000000000001</v>
      </c>
      <c r="M487" s="3">
        <f>(C487-H487)/C487*100</f>
        <v>66.400000000000006</v>
      </c>
      <c r="N487" s="3">
        <f>100-(M487+O487)</f>
        <v>11.039999999999992</v>
      </c>
      <c r="O487" s="3">
        <f>L487/C487*100</f>
        <v>22.560000000000002</v>
      </c>
      <c r="P487" s="1" t="s">
        <v>2</v>
      </c>
      <c r="Q487" s="15">
        <v>407490.89199999999</v>
      </c>
      <c r="R487" s="15">
        <v>3659976</v>
      </c>
      <c r="T487">
        <v>2009033</v>
      </c>
      <c r="U487" t="s">
        <v>217</v>
      </c>
      <c r="V487">
        <v>6.2359999999999999E-2</v>
      </c>
      <c r="W487">
        <v>0.38466</v>
      </c>
      <c r="X487">
        <v>2.7179999999999999E-2</v>
      </c>
      <c r="Y487">
        <v>1.3344800000000001</v>
      </c>
      <c r="Z487">
        <v>16.93516</v>
      </c>
      <c r="AA487">
        <v>9.7721999999999998</v>
      </c>
      <c r="AB487">
        <v>-1.46166</v>
      </c>
      <c r="AC487" s="23">
        <v>6.479E-2</v>
      </c>
      <c r="AD487" s="23">
        <v>0.38674999999999998</v>
      </c>
      <c r="AE487" s="23">
        <v>2.6370000000000001E-2</v>
      </c>
      <c r="AF487" s="23">
        <v>1.3265199999999999</v>
      </c>
      <c r="AG487" s="23">
        <v>14.71224</v>
      </c>
      <c r="AH487" s="23">
        <v>9.0582799999999999</v>
      </c>
      <c r="AI487" s="23">
        <v>-1.4926600000000001</v>
      </c>
      <c r="AJ487" s="25">
        <v>0.61300999999999994</v>
      </c>
      <c r="AK487" s="25">
        <v>0.38611554715206481</v>
      </c>
      <c r="AL487" s="25">
        <v>0.22106356864815124</v>
      </c>
      <c r="AM487" s="25">
        <v>0.11046992479997889</v>
      </c>
      <c r="AN487" s="24">
        <v>1.6267938000470283</v>
      </c>
      <c r="AO487" s="23">
        <v>-99</v>
      </c>
    </row>
    <row r="488" spans="1:41" x14ac:dyDescent="0.25">
      <c r="A488" s="4">
        <v>85</v>
      </c>
      <c r="B488">
        <v>180</v>
      </c>
      <c r="C488">
        <v>50</v>
      </c>
      <c r="D488">
        <v>20</v>
      </c>
      <c r="E488" s="3">
        <v>25</v>
      </c>
      <c r="F488" s="3">
        <f>1.8*E488+32</f>
        <v>77</v>
      </c>
      <c r="G488" s="3">
        <v>16</v>
      </c>
      <c r="H488" s="3">
        <f>IF(F488&gt;68,G488+(F488-68)*0.2,G637-(68-F488)*0.2)</f>
        <v>17.8</v>
      </c>
      <c r="I488" s="3">
        <v>23</v>
      </c>
      <c r="J488" s="3">
        <f>1.8*I488+32</f>
        <v>73.400000000000006</v>
      </c>
      <c r="K488" s="3">
        <v>9</v>
      </c>
      <c r="L488" s="3">
        <f>IF(J488&gt;67,K488+(J488-67)*0.2,K488-(67-J488)*0.2)</f>
        <v>10.280000000000001</v>
      </c>
      <c r="M488" s="3">
        <f>(C488-H488)/C488*100</f>
        <v>64.400000000000006</v>
      </c>
      <c r="N488" s="3">
        <f>100-(M488+O488)</f>
        <v>15.039999999999992</v>
      </c>
      <c r="O488" s="3">
        <f>L488/C488*100</f>
        <v>20.560000000000002</v>
      </c>
      <c r="P488" s="1" t="s">
        <v>2</v>
      </c>
      <c r="Q488" s="15">
        <v>407490.89199999999</v>
      </c>
      <c r="R488" s="15">
        <v>3659976</v>
      </c>
      <c r="T488">
        <v>2009033</v>
      </c>
      <c r="U488" t="s">
        <v>216</v>
      </c>
      <c r="V488">
        <v>5.96E-2</v>
      </c>
      <c r="W488">
        <v>0.38658999999999999</v>
      </c>
      <c r="X488">
        <v>2.6339999999999999E-2</v>
      </c>
      <c r="Y488">
        <v>1.35293</v>
      </c>
      <c r="Z488">
        <v>18.785160000000001</v>
      </c>
      <c r="AA488">
        <v>10.086880000000001</v>
      </c>
      <c r="AB488">
        <v>-1.3230200000000001</v>
      </c>
      <c r="AC488" s="23">
        <v>6.4530000000000004E-2</v>
      </c>
      <c r="AD488" s="23">
        <v>0.38413000000000003</v>
      </c>
      <c r="AE488" s="23">
        <v>2.7179999999999999E-2</v>
      </c>
      <c r="AF488" s="23">
        <v>1.3212699999999999</v>
      </c>
      <c r="AG488" s="23">
        <v>15.23771</v>
      </c>
      <c r="AH488" s="23">
        <v>9.2854299999999999</v>
      </c>
      <c r="AI488" s="23">
        <v>-1.5519700000000001</v>
      </c>
      <c r="AJ488" s="25">
        <v>0.63490458333333333</v>
      </c>
      <c r="AK488" s="25">
        <v>0.38347020259804376</v>
      </c>
      <c r="AL488" s="25">
        <v>0.22000178121458375</v>
      </c>
      <c r="AM488" s="25">
        <v>0.1108688294832241</v>
      </c>
      <c r="AN488" s="24">
        <v>1.6338039631151839</v>
      </c>
      <c r="AO488" s="23">
        <v>-99</v>
      </c>
    </row>
    <row r="489" spans="1:41" x14ac:dyDescent="0.25">
      <c r="Q489" s="18"/>
      <c r="R489" s="18"/>
      <c r="T489">
        <v>2009033</v>
      </c>
      <c r="U489" t="s">
        <v>215</v>
      </c>
      <c r="V489">
        <v>6.794E-2</v>
      </c>
      <c r="W489">
        <v>0.39157999999999998</v>
      </c>
      <c r="X489">
        <v>2.487E-2</v>
      </c>
      <c r="Y489">
        <v>1.32304</v>
      </c>
      <c r="Z489">
        <v>12.11323</v>
      </c>
      <c r="AA489">
        <v>8.1353200000000001</v>
      </c>
      <c r="AB489">
        <v>-1.4755199999999999</v>
      </c>
      <c r="AC489" s="23">
        <v>5.1490000000000001E-2</v>
      </c>
      <c r="AD489" s="23">
        <v>0.38086999999999999</v>
      </c>
      <c r="AE489" s="23">
        <v>3.1829999999999997E-2</v>
      </c>
      <c r="AF489" s="23">
        <v>1.3945399999999999</v>
      </c>
      <c r="AG489" s="23">
        <v>33.681690000000003</v>
      </c>
      <c r="AH489" s="23">
        <v>14.84548</v>
      </c>
      <c r="AI489" s="23">
        <v>-1.26322</v>
      </c>
      <c r="AJ489" s="25">
        <v>1.4034037500000001</v>
      </c>
      <c r="AK489" s="25">
        <v>0.38011275638125092</v>
      </c>
      <c r="AL489" s="25">
        <v>0.1799294851093769</v>
      </c>
      <c r="AM489" s="25">
        <v>8.0378862539933579E-2</v>
      </c>
      <c r="AN489" s="24">
        <v>1.6427011955896849</v>
      </c>
      <c r="AO489" s="23">
        <v>-99</v>
      </c>
    </row>
    <row r="490" spans="1:41" ht="51.75" x14ac:dyDescent="0.25">
      <c r="A490" s="14" t="s">
        <v>21</v>
      </c>
      <c r="B490" s="9" t="s">
        <v>20</v>
      </c>
      <c r="C490" s="13" t="s">
        <v>19</v>
      </c>
      <c r="D490" s="12" t="s">
        <v>18</v>
      </c>
      <c r="E490" s="11" t="s">
        <v>17</v>
      </c>
      <c r="F490" s="11" t="s">
        <v>16</v>
      </c>
      <c r="G490" s="11" t="s">
        <v>15</v>
      </c>
      <c r="H490" s="11" t="s">
        <v>14</v>
      </c>
      <c r="I490" s="11" t="s">
        <v>13</v>
      </c>
      <c r="J490" s="11" t="s">
        <v>12</v>
      </c>
      <c r="K490" s="11" t="s">
        <v>11</v>
      </c>
      <c r="L490" s="11" t="s">
        <v>10</v>
      </c>
      <c r="M490" s="10" t="s">
        <v>9</v>
      </c>
      <c r="N490" s="10" t="s">
        <v>8</v>
      </c>
      <c r="O490" s="10" t="s">
        <v>7</v>
      </c>
      <c r="P490" s="9" t="s">
        <v>6</v>
      </c>
      <c r="Q490" s="21" t="s">
        <v>5</v>
      </c>
      <c r="R490" s="20"/>
      <c r="T490">
        <v>2009033</v>
      </c>
      <c r="U490" t="s">
        <v>214</v>
      </c>
      <c r="V490">
        <v>6.479E-2</v>
      </c>
      <c r="W490">
        <v>0.38674999999999998</v>
      </c>
      <c r="X490">
        <v>2.6370000000000001E-2</v>
      </c>
      <c r="Y490">
        <v>1.3265199999999999</v>
      </c>
      <c r="Z490">
        <v>14.71224</v>
      </c>
      <c r="AA490">
        <v>9.0582799999999999</v>
      </c>
      <c r="AB490">
        <v>-1.4926600000000001</v>
      </c>
      <c r="AC490" s="23">
        <v>5.7500000000000002E-2</v>
      </c>
      <c r="AD490" s="23">
        <v>0.38168000000000002</v>
      </c>
      <c r="AE490" s="23">
        <v>2.9090000000000001E-2</v>
      </c>
      <c r="AF490" s="23">
        <v>1.3553200000000001</v>
      </c>
      <c r="AG490" s="23">
        <v>22.827449999999999</v>
      </c>
      <c r="AH490" s="23">
        <v>11.60252</v>
      </c>
      <c r="AI490" s="23">
        <v>-1.3874599999999999</v>
      </c>
      <c r="AJ490" s="25">
        <v>0.95114374999999995</v>
      </c>
      <c r="AK490" s="25">
        <v>0.38098018251947463</v>
      </c>
      <c r="AL490" s="25">
        <v>0.20047033910375564</v>
      </c>
      <c r="AM490" s="25">
        <v>9.4891247803211287E-2</v>
      </c>
      <c r="AN490" s="24">
        <v>1.6404025163233922</v>
      </c>
      <c r="AO490" s="23">
        <v>-99</v>
      </c>
    </row>
    <row r="491" spans="1:41" x14ac:dyDescent="0.25"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1"/>
      <c r="Q491" s="5" t="s">
        <v>4</v>
      </c>
      <c r="R491" s="5" t="s">
        <v>3</v>
      </c>
      <c r="T491">
        <v>2009033</v>
      </c>
      <c r="U491" t="s">
        <v>213</v>
      </c>
      <c r="V491">
        <v>6.4530000000000004E-2</v>
      </c>
      <c r="W491">
        <v>0.38413000000000003</v>
      </c>
      <c r="X491">
        <v>2.7179999999999999E-2</v>
      </c>
      <c r="Y491">
        <v>1.3212699999999999</v>
      </c>
      <c r="Z491">
        <v>15.23771</v>
      </c>
      <c r="AA491">
        <v>9.2854299999999999</v>
      </c>
      <c r="AB491">
        <v>-1.5519700000000001</v>
      </c>
      <c r="AC491" s="23">
        <v>5.3629999999999997E-2</v>
      </c>
      <c r="AD491" s="23">
        <v>0.37728</v>
      </c>
      <c r="AE491" s="23">
        <v>3.15E-2</v>
      </c>
      <c r="AF491" s="23">
        <v>1.4225399999999999</v>
      </c>
      <c r="AG491" s="23">
        <v>36.431260000000002</v>
      </c>
      <c r="AH491" s="23">
        <v>14.42015</v>
      </c>
      <c r="AI491" s="23">
        <v>-1.2232000000000001</v>
      </c>
      <c r="AJ491" s="25">
        <v>1.5179691666666668</v>
      </c>
      <c r="AK491" s="25">
        <v>0.37658077968586273</v>
      </c>
      <c r="AL491" s="25">
        <v>0.17228583672390124</v>
      </c>
      <c r="AM491" s="25">
        <v>7.7619082280316304E-2</v>
      </c>
      <c r="AN491" s="24">
        <v>1.6520609338324639</v>
      </c>
      <c r="AO491" s="23">
        <v>-99</v>
      </c>
    </row>
    <row r="492" spans="1:41" x14ac:dyDescent="0.25">
      <c r="A492" s="4">
        <v>86</v>
      </c>
      <c r="B492">
        <v>30</v>
      </c>
      <c r="C492">
        <v>50</v>
      </c>
      <c r="D492">
        <v>20</v>
      </c>
      <c r="E492" s="3">
        <v>25</v>
      </c>
      <c r="F492" s="3">
        <f>1.8*E492+32</f>
        <v>77</v>
      </c>
      <c r="G492" s="3">
        <v>16</v>
      </c>
      <c r="H492" s="3">
        <f>IF(F492&gt;68,G492+(F492-68)*0.2,G641-(68-F492)*0.2)</f>
        <v>17.8</v>
      </c>
      <c r="I492" s="3">
        <v>23</v>
      </c>
      <c r="J492" s="3">
        <f>1.8*I492+32</f>
        <v>73.400000000000006</v>
      </c>
      <c r="K492" s="3">
        <v>8</v>
      </c>
      <c r="L492" s="3">
        <f>IF(J492&gt;67,K492+(J492-67)*0.2,K492-(67-J492)*0.2)</f>
        <v>9.2800000000000011</v>
      </c>
      <c r="M492" s="3">
        <f>(C492-H492)/C492*100</f>
        <v>64.400000000000006</v>
      </c>
      <c r="N492" s="3">
        <f>100-(M492+O492)</f>
        <v>17.039999999999992</v>
      </c>
      <c r="O492" s="3">
        <f>L492/C492*100</f>
        <v>18.560000000000002</v>
      </c>
      <c r="P492" s="1" t="s">
        <v>0</v>
      </c>
      <c r="Q492" s="15">
        <v>407490.89199999999</v>
      </c>
      <c r="R492" s="15">
        <v>3660002.5</v>
      </c>
      <c r="T492">
        <v>2009033</v>
      </c>
      <c r="U492" t="s">
        <v>212</v>
      </c>
      <c r="V492">
        <v>5.1490000000000001E-2</v>
      </c>
      <c r="W492">
        <v>0.38086999999999999</v>
      </c>
      <c r="X492">
        <v>3.1829999999999997E-2</v>
      </c>
      <c r="Y492">
        <v>1.3945399999999999</v>
      </c>
      <c r="Z492">
        <v>33.681690000000003</v>
      </c>
      <c r="AA492">
        <v>14.84548</v>
      </c>
      <c r="AB492">
        <v>-1.26322</v>
      </c>
      <c r="AC492" s="23">
        <v>5.4420000000000003E-2</v>
      </c>
      <c r="AD492" s="23">
        <v>0.37552000000000002</v>
      </c>
      <c r="AE492" s="23">
        <v>3.091E-2</v>
      </c>
      <c r="AF492" s="23">
        <v>1.45645</v>
      </c>
      <c r="AG492" s="23">
        <v>40.4343</v>
      </c>
      <c r="AH492" s="23">
        <v>14.27969</v>
      </c>
      <c r="AI492" s="23">
        <v>-1.1607700000000001</v>
      </c>
      <c r="AJ492" s="25">
        <v>1.6847624999999999</v>
      </c>
      <c r="AK492" s="25">
        <v>0.37488635733393999</v>
      </c>
      <c r="AL492" s="25">
        <v>0.16406217686713565</v>
      </c>
      <c r="AM492" s="25">
        <v>7.3902287539589689E-2</v>
      </c>
      <c r="AN492" s="24">
        <v>1.6565511530650587</v>
      </c>
      <c r="AO492" s="23">
        <v>-99</v>
      </c>
    </row>
    <row r="493" spans="1:41" x14ac:dyDescent="0.25">
      <c r="A493" s="4">
        <v>86</v>
      </c>
      <c r="B493">
        <v>60</v>
      </c>
      <c r="C493">
        <v>50</v>
      </c>
      <c r="D493">
        <v>20</v>
      </c>
      <c r="E493" s="3">
        <v>25.5</v>
      </c>
      <c r="F493" s="3">
        <f>1.8*E493+32</f>
        <v>77.900000000000006</v>
      </c>
      <c r="G493" s="3">
        <v>15</v>
      </c>
      <c r="H493" s="3">
        <f>IF(F493&gt;68,G493+(F493-68)*0.2,G642-(68-F493)*0.2)</f>
        <v>16.98</v>
      </c>
      <c r="I493" s="3">
        <v>23</v>
      </c>
      <c r="J493" s="3">
        <f>1.8*I493+32</f>
        <v>73.400000000000006</v>
      </c>
      <c r="K493" s="3">
        <v>8</v>
      </c>
      <c r="L493" s="3">
        <f>IF(J493&gt;67,K493+(J493-67)*0.2,K493-(67-J493)*0.2)</f>
        <v>9.2800000000000011</v>
      </c>
      <c r="M493" s="3">
        <f>(C493-H493)/C493*100</f>
        <v>66.039999999999992</v>
      </c>
      <c r="N493" s="3">
        <f>100-(M493+O493)</f>
        <v>15.400000000000006</v>
      </c>
      <c r="O493" s="3">
        <f>L493/C493*100</f>
        <v>18.560000000000002</v>
      </c>
      <c r="P493" s="1" t="s">
        <v>0</v>
      </c>
      <c r="Q493" s="15">
        <v>407490.89199999999</v>
      </c>
      <c r="R493" s="15">
        <v>3660002.5</v>
      </c>
      <c r="T493">
        <v>2009033</v>
      </c>
      <c r="U493" t="s">
        <v>211</v>
      </c>
      <c r="V493">
        <v>5.7500000000000002E-2</v>
      </c>
      <c r="W493">
        <v>0.38168000000000002</v>
      </c>
      <c r="X493">
        <v>2.9090000000000001E-2</v>
      </c>
      <c r="Y493">
        <v>1.3553200000000001</v>
      </c>
      <c r="Z493">
        <v>22.827449999999999</v>
      </c>
      <c r="AA493">
        <v>11.60252</v>
      </c>
      <c r="AB493">
        <v>-1.3874599999999999</v>
      </c>
      <c r="AC493" s="23">
        <v>5.2409999999999998E-2</v>
      </c>
      <c r="AD493" s="23">
        <v>0.37623000000000001</v>
      </c>
      <c r="AE493" s="23">
        <v>3.2009999999999997E-2</v>
      </c>
      <c r="AF493" s="23">
        <v>1.5185</v>
      </c>
      <c r="AG493" s="23">
        <v>53.829320000000003</v>
      </c>
      <c r="AH493" s="23">
        <v>16.384910000000001</v>
      </c>
      <c r="AI493" s="23">
        <v>-1.0716699999999999</v>
      </c>
      <c r="AJ493" s="25">
        <v>2.2428883333333336</v>
      </c>
      <c r="AK493" s="25">
        <v>0.37563795825853002</v>
      </c>
      <c r="AL493" s="25">
        <v>0.14646939881570775</v>
      </c>
      <c r="AM493" s="25">
        <v>6.5592481055234547E-2</v>
      </c>
      <c r="AN493" s="24">
        <v>1.6545594106148953</v>
      </c>
      <c r="AO493" s="23">
        <v>-99</v>
      </c>
    </row>
    <row r="494" spans="1:41" x14ac:dyDescent="0.25">
      <c r="A494" s="4">
        <v>86</v>
      </c>
      <c r="B494">
        <v>90</v>
      </c>
      <c r="C494">
        <v>50</v>
      </c>
      <c r="D494">
        <v>20</v>
      </c>
      <c r="E494" s="3">
        <v>25</v>
      </c>
      <c r="F494" s="3">
        <f>1.8*E494+32</f>
        <v>77</v>
      </c>
      <c r="G494" s="3">
        <v>11</v>
      </c>
      <c r="H494" s="3">
        <f>IF(F494&gt;68,G494+(F494-68)*0.2,G643-(68-F494)*0.2)</f>
        <v>12.8</v>
      </c>
      <c r="I494" s="3">
        <v>23</v>
      </c>
      <c r="J494" s="3">
        <f>1.8*I494+32</f>
        <v>73.400000000000006</v>
      </c>
      <c r="K494" s="3">
        <v>6</v>
      </c>
      <c r="L494" s="3">
        <f>IF(J494&gt;67,K494+(J494-67)*0.2,K494-(67-J494)*0.2)</f>
        <v>7.2800000000000011</v>
      </c>
      <c r="M494" s="3">
        <f>(C494-H494)/C494*100</f>
        <v>74.400000000000006</v>
      </c>
      <c r="N494" s="3">
        <f>100-(M494+O494)</f>
        <v>11.039999999999992</v>
      </c>
      <c r="O494" s="3">
        <f>L494/C494*100</f>
        <v>14.560000000000004</v>
      </c>
      <c r="P494" s="1" t="s">
        <v>0</v>
      </c>
      <c r="Q494" s="15">
        <v>407490.89199999999</v>
      </c>
      <c r="R494" s="15">
        <v>3660002.5</v>
      </c>
      <c r="T494">
        <v>2009033</v>
      </c>
      <c r="U494" t="s">
        <v>210</v>
      </c>
      <c r="V494">
        <v>5.3629999999999997E-2</v>
      </c>
      <c r="W494">
        <v>0.37728</v>
      </c>
      <c r="X494">
        <v>3.15E-2</v>
      </c>
      <c r="Y494">
        <v>1.4225399999999999</v>
      </c>
      <c r="Z494">
        <v>36.431260000000002</v>
      </c>
      <c r="AA494">
        <v>14.42015</v>
      </c>
      <c r="AB494">
        <v>-1.2232000000000001</v>
      </c>
      <c r="AC494" s="23">
        <v>4.9660000000000003E-2</v>
      </c>
      <c r="AD494" s="23">
        <v>0.37953999999999999</v>
      </c>
      <c r="AE494" s="23">
        <v>3.356E-2</v>
      </c>
      <c r="AF494" s="23">
        <v>1.44861</v>
      </c>
      <c r="AG494" s="23">
        <v>45.102499999999999</v>
      </c>
      <c r="AH494" s="23">
        <v>17.255839999999999</v>
      </c>
      <c r="AI494" s="23">
        <v>-1.16042</v>
      </c>
      <c r="AJ494" s="25">
        <v>1.8792708333333332</v>
      </c>
      <c r="AK494" s="25">
        <v>0.37879580038883981</v>
      </c>
      <c r="AL494" s="25">
        <v>0.16034235584425266</v>
      </c>
      <c r="AM494" s="25">
        <v>6.9901109171435355E-2</v>
      </c>
      <c r="AN494" s="24">
        <v>1.6461911289695743</v>
      </c>
      <c r="AO494" s="23">
        <v>-99</v>
      </c>
    </row>
    <row r="495" spans="1:41" x14ac:dyDescent="0.25">
      <c r="A495" s="4">
        <v>86</v>
      </c>
      <c r="B495">
        <v>120</v>
      </c>
      <c r="C495">
        <v>50</v>
      </c>
      <c r="D495">
        <v>20</v>
      </c>
      <c r="E495" s="3">
        <v>25</v>
      </c>
      <c r="F495" s="3">
        <f>1.8*E495+32</f>
        <v>77</v>
      </c>
      <c r="G495" s="3">
        <v>13</v>
      </c>
      <c r="H495" s="3">
        <f>IF(F495&gt;68,G495+(F495-68)*0.2,G644-(68-F495)*0.2)</f>
        <v>14.8</v>
      </c>
      <c r="I495" s="3">
        <v>23</v>
      </c>
      <c r="J495" s="3">
        <f>1.8*I495+32</f>
        <v>73.400000000000006</v>
      </c>
      <c r="K495" s="3">
        <v>7</v>
      </c>
      <c r="L495" s="3">
        <f>IF(J495&gt;67,K495+(J495-67)*0.2,K495-(67-J495)*0.2)</f>
        <v>8.2800000000000011</v>
      </c>
      <c r="M495" s="3">
        <f>(C495-H495)/C495*100</f>
        <v>70.400000000000006</v>
      </c>
      <c r="N495" s="3">
        <f>100-(M495+O495)</f>
        <v>13.039999999999992</v>
      </c>
      <c r="O495" s="3">
        <f>L495/C495*100</f>
        <v>16.560000000000002</v>
      </c>
      <c r="P495" s="1" t="s">
        <v>0</v>
      </c>
      <c r="Q495" s="15">
        <v>407490.89199999999</v>
      </c>
      <c r="R495" s="15">
        <v>3660002.5</v>
      </c>
      <c r="T495">
        <v>2009033</v>
      </c>
      <c r="U495" t="s">
        <v>209</v>
      </c>
      <c r="V495">
        <v>5.4420000000000003E-2</v>
      </c>
      <c r="W495">
        <v>0.37552000000000002</v>
      </c>
      <c r="X495">
        <v>3.091E-2</v>
      </c>
      <c r="Y495">
        <v>1.45645</v>
      </c>
      <c r="Z495">
        <v>40.4343</v>
      </c>
      <c r="AA495">
        <v>14.27969</v>
      </c>
      <c r="AB495">
        <v>-1.1607700000000001</v>
      </c>
      <c r="AC495" s="23">
        <v>5.7520000000000002E-2</v>
      </c>
      <c r="AD495" s="23">
        <v>0.38131999999999999</v>
      </c>
      <c r="AE495" s="23">
        <v>2.921E-2</v>
      </c>
      <c r="AF495" s="23">
        <v>1.3555299999999999</v>
      </c>
      <c r="AG495" s="23">
        <v>22.963640000000002</v>
      </c>
      <c r="AH495" s="23">
        <v>11.64118</v>
      </c>
      <c r="AI495" s="23">
        <v>-1.3911899999999999</v>
      </c>
      <c r="AJ495" s="25">
        <v>0.95681833333333344</v>
      </c>
      <c r="AK495" s="25">
        <v>0.38061732508422375</v>
      </c>
      <c r="AL495" s="25">
        <v>0.20005512672462367</v>
      </c>
      <c r="AM495" s="25">
        <v>9.4765240501547707E-2</v>
      </c>
      <c r="AN495" s="24">
        <v>1.641364088526807</v>
      </c>
      <c r="AO495" s="23">
        <v>-99</v>
      </c>
    </row>
    <row r="496" spans="1:41" x14ac:dyDescent="0.25">
      <c r="A496" s="4">
        <v>86</v>
      </c>
      <c r="B496">
        <v>150</v>
      </c>
      <c r="C496">
        <v>50</v>
      </c>
      <c r="D496">
        <v>20</v>
      </c>
      <c r="E496" s="3">
        <v>26</v>
      </c>
      <c r="F496" s="3">
        <f>1.8*E496+32</f>
        <v>78.800000000000011</v>
      </c>
      <c r="G496" s="3">
        <v>11</v>
      </c>
      <c r="H496" s="3">
        <f>IF(F496&gt;68,G496+(F496-68)*0.2,G645-(68-F496)*0.2)</f>
        <v>13.160000000000002</v>
      </c>
      <c r="I496" s="3">
        <v>23</v>
      </c>
      <c r="J496" s="3">
        <f>1.8*I496+32</f>
        <v>73.400000000000006</v>
      </c>
      <c r="K496" s="3">
        <v>5</v>
      </c>
      <c r="L496" s="3">
        <f>IF(J496&gt;67,K496+(J496-67)*0.2,K496-(67-J496)*0.2)</f>
        <v>6.2800000000000011</v>
      </c>
      <c r="M496" s="3">
        <f>(C496-H496)/C496*100</f>
        <v>73.679999999999993</v>
      </c>
      <c r="N496" s="3">
        <f>100-(M496+O496)</f>
        <v>13.760000000000005</v>
      </c>
      <c r="O496" s="3">
        <f>L496/C496*100</f>
        <v>12.560000000000002</v>
      </c>
      <c r="P496" s="1" t="s">
        <v>0</v>
      </c>
      <c r="Q496" s="15">
        <v>407490.89199999999</v>
      </c>
      <c r="R496" s="15">
        <v>3660002.5</v>
      </c>
      <c r="T496">
        <v>2009033</v>
      </c>
      <c r="U496" t="s">
        <v>208</v>
      </c>
      <c r="V496">
        <v>5.2409999999999998E-2</v>
      </c>
      <c r="W496">
        <v>0.37623000000000001</v>
      </c>
      <c r="X496">
        <v>3.2009999999999997E-2</v>
      </c>
      <c r="Y496">
        <v>1.5185</v>
      </c>
      <c r="Z496">
        <v>53.829320000000003</v>
      </c>
      <c r="AA496">
        <v>16.384910000000001</v>
      </c>
      <c r="AB496">
        <v>-1.0716699999999999</v>
      </c>
      <c r="AC496" s="23">
        <v>5.6890000000000003E-2</v>
      </c>
      <c r="AD496" s="23">
        <v>0.38377</v>
      </c>
      <c r="AE496" s="23">
        <v>2.828E-2</v>
      </c>
      <c r="AF496" s="23">
        <v>1.3582700000000001</v>
      </c>
      <c r="AG496" s="23">
        <v>22.54008</v>
      </c>
      <c r="AH496" s="23">
        <v>11.43548</v>
      </c>
      <c r="AI496" s="23">
        <v>-1.3401000000000001</v>
      </c>
      <c r="AJ496" s="25">
        <v>0.93916999999999995</v>
      </c>
      <c r="AK496" s="25">
        <v>0.38309368693321993</v>
      </c>
      <c r="AL496" s="25">
        <v>0.20148033531753817</v>
      </c>
      <c r="AM496" s="25">
        <v>9.4299138294477211E-2</v>
      </c>
      <c r="AN496" s="24">
        <v>1.634801729626967</v>
      </c>
      <c r="AO496" s="23">
        <v>-99</v>
      </c>
    </row>
    <row r="497" spans="1:41" x14ac:dyDescent="0.25">
      <c r="A497" s="4">
        <v>86</v>
      </c>
      <c r="B497">
        <v>180</v>
      </c>
      <c r="C497">
        <v>50</v>
      </c>
      <c r="D497">
        <v>20</v>
      </c>
      <c r="E497" s="3">
        <v>25</v>
      </c>
      <c r="F497" s="3">
        <f>1.8*E497+32</f>
        <v>77</v>
      </c>
      <c r="G497" s="3">
        <v>16</v>
      </c>
      <c r="H497" s="3">
        <f>IF(F497&gt;68,G497+(F497-68)*0.2,G646-(68-F497)*0.2)</f>
        <v>17.8</v>
      </c>
      <c r="I497" s="3">
        <v>22.5</v>
      </c>
      <c r="J497" s="3">
        <f>1.8*I497+32</f>
        <v>72.5</v>
      </c>
      <c r="K497" s="3">
        <v>8</v>
      </c>
      <c r="L497" s="3">
        <f>IF(J497&gt;67,K497+(J497-67)*0.2,K497-(67-J497)*0.2)</f>
        <v>9.1</v>
      </c>
      <c r="M497" s="3">
        <f>(C497-H497)/C497*100</f>
        <v>64.400000000000006</v>
      </c>
      <c r="N497" s="3">
        <f>100-(M497+O497)</f>
        <v>17.399999999999991</v>
      </c>
      <c r="O497" s="3">
        <f>L497/C497*100</f>
        <v>18.2</v>
      </c>
      <c r="P497" s="1" t="s">
        <v>0</v>
      </c>
      <c r="Q497" s="15">
        <v>407490.89199999999</v>
      </c>
      <c r="R497" s="15">
        <v>3660002.5</v>
      </c>
      <c r="T497">
        <v>2009033</v>
      </c>
      <c r="U497" t="s">
        <v>207</v>
      </c>
      <c r="V497">
        <v>4.9660000000000003E-2</v>
      </c>
      <c r="W497">
        <v>0.37953999999999999</v>
      </c>
      <c r="X497">
        <v>3.356E-2</v>
      </c>
      <c r="Y497">
        <v>1.44861</v>
      </c>
      <c r="Z497">
        <v>45.102499999999999</v>
      </c>
      <c r="AA497">
        <v>17.255839999999999</v>
      </c>
      <c r="AB497">
        <v>-1.16042</v>
      </c>
      <c r="AC497" s="23">
        <v>5.772E-2</v>
      </c>
      <c r="AD497" s="23">
        <v>0.37719000000000003</v>
      </c>
      <c r="AE497" s="23">
        <v>2.9729999999999999E-2</v>
      </c>
      <c r="AF497" s="23">
        <v>1.3693500000000001</v>
      </c>
      <c r="AG497" s="23">
        <v>25.0242</v>
      </c>
      <c r="AH497" s="23">
        <v>11.865769999999999</v>
      </c>
      <c r="AI497" s="23">
        <v>-1.3720000000000001</v>
      </c>
      <c r="AJ497" s="25">
        <v>1.042675</v>
      </c>
      <c r="AK497" s="25">
        <v>0.37649434525677766</v>
      </c>
      <c r="AL497" s="25">
        <v>0.19315278735187616</v>
      </c>
      <c r="AM497" s="25">
        <v>9.1285153592212148E-2</v>
      </c>
      <c r="AN497" s="24">
        <v>1.6522899850695389</v>
      </c>
      <c r="AO497" s="23">
        <v>-99</v>
      </c>
    </row>
    <row r="498" spans="1:41" x14ac:dyDescent="0.25">
      <c r="A498" s="4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1"/>
      <c r="Q498" s="18"/>
      <c r="R498" s="18"/>
      <c r="T498">
        <v>2009033</v>
      </c>
      <c r="U498" t="s">
        <v>206</v>
      </c>
      <c r="V498">
        <v>5.7520000000000002E-2</v>
      </c>
      <c r="W498">
        <v>0.38131999999999999</v>
      </c>
      <c r="X498">
        <v>2.921E-2</v>
      </c>
      <c r="Y498">
        <v>1.3555299999999999</v>
      </c>
      <c r="Z498">
        <v>22.963640000000002</v>
      </c>
      <c r="AA498">
        <v>11.64118</v>
      </c>
      <c r="AB498">
        <v>-1.3911899999999999</v>
      </c>
      <c r="AC498" s="23">
        <v>5.2580000000000002E-2</v>
      </c>
      <c r="AD498" s="23">
        <v>0.37774999999999997</v>
      </c>
      <c r="AE498" s="23">
        <v>3.2050000000000002E-2</v>
      </c>
      <c r="AF498" s="23">
        <v>1.4333899999999999</v>
      </c>
      <c r="AG498" s="23">
        <v>39.374099999999999</v>
      </c>
      <c r="AH498" s="23">
        <v>15.187279999999999</v>
      </c>
      <c r="AI498" s="23">
        <v>-1.1984600000000001</v>
      </c>
      <c r="AJ498" s="25">
        <v>1.6405874999999999</v>
      </c>
      <c r="AK498" s="25">
        <v>0.37704391052623054</v>
      </c>
      <c r="AL498" s="25">
        <v>0.16795999862560598</v>
      </c>
      <c r="AM498" s="25">
        <v>7.4955599196585926E-2</v>
      </c>
      <c r="AN498" s="24">
        <v>1.650833637105489</v>
      </c>
      <c r="AO498" s="23">
        <v>-99</v>
      </c>
    </row>
    <row r="499" spans="1:41" ht="51.75" x14ac:dyDescent="0.25">
      <c r="A499" s="14" t="s">
        <v>21</v>
      </c>
      <c r="B499" s="9" t="s">
        <v>20</v>
      </c>
      <c r="C499" s="13" t="s">
        <v>19</v>
      </c>
      <c r="D499" s="12" t="s">
        <v>18</v>
      </c>
      <c r="E499" s="11" t="s">
        <v>17</v>
      </c>
      <c r="F499" s="11" t="s">
        <v>16</v>
      </c>
      <c r="G499" s="11" t="s">
        <v>15</v>
      </c>
      <c r="H499" s="11" t="s">
        <v>14</v>
      </c>
      <c r="I499" s="11" t="s">
        <v>13</v>
      </c>
      <c r="J499" s="11" t="s">
        <v>12</v>
      </c>
      <c r="K499" s="11" t="s">
        <v>11</v>
      </c>
      <c r="L499" s="11" t="s">
        <v>10</v>
      </c>
      <c r="M499" s="10" t="s">
        <v>9</v>
      </c>
      <c r="N499" s="10" t="s">
        <v>8</v>
      </c>
      <c r="O499" s="10" t="s">
        <v>7</v>
      </c>
      <c r="P499" s="9" t="s">
        <v>6</v>
      </c>
      <c r="Q499" s="21" t="s">
        <v>5</v>
      </c>
      <c r="R499" s="20"/>
      <c r="T499">
        <v>2009033</v>
      </c>
      <c r="U499" t="s">
        <v>205</v>
      </c>
      <c r="V499">
        <v>5.6890000000000003E-2</v>
      </c>
      <c r="W499">
        <v>0.38377</v>
      </c>
      <c r="X499">
        <v>2.828E-2</v>
      </c>
      <c r="Y499">
        <v>1.3582700000000001</v>
      </c>
      <c r="Z499">
        <v>22.54008</v>
      </c>
      <c r="AA499">
        <v>11.43548</v>
      </c>
      <c r="AB499">
        <v>-1.3401000000000001</v>
      </c>
      <c r="AC499" s="23">
        <v>5.0860000000000002E-2</v>
      </c>
      <c r="AD499" s="23">
        <v>0.38114999999999999</v>
      </c>
      <c r="AE499" s="23">
        <v>3.2030000000000003E-2</v>
      </c>
      <c r="AF499" s="23">
        <v>1.39707</v>
      </c>
      <c r="AG499" s="23">
        <v>34.569600000000001</v>
      </c>
      <c r="AH499" s="23">
        <v>15.16778</v>
      </c>
      <c r="AI499" s="23">
        <v>-1.2527600000000001</v>
      </c>
      <c r="AJ499" s="25">
        <v>1.4404000000000001</v>
      </c>
      <c r="AK499" s="25">
        <v>0.3803871609197273</v>
      </c>
      <c r="AL499" s="25">
        <v>0.17858230146482801</v>
      </c>
      <c r="AM499" s="25">
        <v>7.9309277863346572E-2</v>
      </c>
      <c r="AN499" s="24">
        <v>1.6419740235627225</v>
      </c>
      <c r="AO499" s="23">
        <v>-99</v>
      </c>
    </row>
    <row r="500" spans="1:41" x14ac:dyDescent="0.25"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1"/>
      <c r="Q500" s="5" t="s">
        <v>4</v>
      </c>
      <c r="R500" s="5" t="s">
        <v>3</v>
      </c>
      <c r="T500">
        <v>2009033</v>
      </c>
      <c r="U500" t="s">
        <v>204</v>
      </c>
      <c r="V500">
        <v>5.772E-2</v>
      </c>
      <c r="W500">
        <v>0.37719000000000003</v>
      </c>
      <c r="X500">
        <v>2.9729999999999999E-2</v>
      </c>
      <c r="Y500">
        <v>1.3693500000000001</v>
      </c>
      <c r="Z500">
        <v>25.0242</v>
      </c>
      <c r="AA500">
        <v>11.865769999999999</v>
      </c>
      <c r="AB500">
        <v>-1.3720000000000001</v>
      </c>
      <c r="AC500" s="23">
        <v>5.2389999999999999E-2</v>
      </c>
      <c r="AD500" s="23">
        <v>0.37806000000000001</v>
      </c>
      <c r="AE500" s="23">
        <v>3.2140000000000002E-2</v>
      </c>
      <c r="AF500" s="23">
        <v>1.4292899999999999</v>
      </c>
      <c r="AG500" s="23">
        <v>38.93329</v>
      </c>
      <c r="AH500" s="23">
        <v>15.23728</v>
      </c>
      <c r="AI500" s="23">
        <v>-1.2055499999999999</v>
      </c>
      <c r="AJ500" s="25">
        <v>1.6222204166666667</v>
      </c>
      <c r="AK500" s="25">
        <v>0.37734472048098877</v>
      </c>
      <c r="AL500" s="25">
        <v>0.16893547285104843</v>
      </c>
      <c r="AM500" s="25">
        <v>7.5346979305854711E-2</v>
      </c>
      <c r="AN500" s="24">
        <v>1.6500364907253797</v>
      </c>
      <c r="AO500" s="23">
        <v>-99</v>
      </c>
    </row>
    <row r="501" spans="1:41" x14ac:dyDescent="0.25">
      <c r="A501" s="4">
        <v>87</v>
      </c>
      <c r="B501">
        <v>30</v>
      </c>
      <c r="C501">
        <v>50</v>
      </c>
      <c r="D501">
        <v>20</v>
      </c>
      <c r="E501" s="3">
        <v>25</v>
      </c>
      <c r="F501" s="3">
        <f>1.8*E501+32</f>
        <v>77</v>
      </c>
      <c r="G501" s="3">
        <v>16</v>
      </c>
      <c r="H501" s="3">
        <f>IF(F501&gt;68,G501+(F501-68)*0.2,G649-(68-F501)*0.2)</f>
        <v>17.8</v>
      </c>
      <c r="I501" s="3">
        <v>22.5</v>
      </c>
      <c r="J501" s="3">
        <f>1.8*I501+32</f>
        <v>72.5</v>
      </c>
      <c r="K501" s="3">
        <v>10</v>
      </c>
      <c r="L501" s="3">
        <f>IF(J501&gt;67,K501+(J501-67)*0.2,K501-(67-J501)*0.2)</f>
        <v>11.1</v>
      </c>
      <c r="M501" s="3">
        <f>(C501-H501)/C501*100</f>
        <v>64.400000000000006</v>
      </c>
      <c r="N501" s="3">
        <f>100-(M501+O501)</f>
        <v>13.399999999999991</v>
      </c>
      <c r="O501" s="3">
        <f>L501/C501*100</f>
        <v>22.2</v>
      </c>
      <c r="P501" s="1" t="s">
        <v>2</v>
      </c>
      <c r="Q501" s="15">
        <v>407490.89199999999</v>
      </c>
      <c r="R501" s="15">
        <v>3660029</v>
      </c>
      <c r="T501">
        <v>2009033</v>
      </c>
      <c r="U501" t="s">
        <v>203</v>
      </c>
      <c r="V501">
        <v>5.2580000000000002E-2</v>
      </c>
      <c r="W501">
        <v>0.37774999999999997</v>
      </c>
      <c r="X501">
        <v>3.2050000000000002E-2</v>
      </c>
      <c r="Y501">
        <v>1.4333899999999999</v>
      </c>
      <c r="Z501">
        <v>39.374099999999999</v>
      </c>
      <c r="AA501">
        <v>15.187279999999999</v>
      </c>
      <c r="AB501">
        <v>-1.1984600000000001</v>
      </c>
      <c r="AC501" s="23">
        <v>5.7189999999999998E-2</v>
      </c>
      <c r="AD501" s="23">
        <v>0.37957000000000002</v>
      </c>
      <c r="AE501" s="23">
        <v>2.9749999999999999E-2</v>
      </c>
      <c r="AF501" s="23">
        <v>1.3613</v>
      </c>
      <c r="AG501" s="23">
        <v>24.351179999999999</v>
      </c>
      <c r="AH501" s="23">
        <v>11.972250000000001</v>
      </c>
      <c r="AI501" s="23">
        <v>-1.38656</v>
      </c>
      <c r="AJ501" s="25">
        <v>1.0146325</v>
      </c>
      <c r="AK501" s="25">
        <v>0.37885886419086523</v>
      </c>
      <c r="AL501" s="25">
        <v>0.19636655499445119</v>
      </c>
      <c r="AM501" s="25">
        <v>9.2756979239587922E-2</v>
      </c>
      <c r="AN501" s="24">
        <v>1.6460240098942072</v>
      </c>
      <c r="AO501" s="23">
        <v>-99</v>
      </c>
    </row>
    <row r="502" spans="1:41" x14ac:dyDescent="0.25">
      <c r="A502" s="4">
        <v>87</v>
      </c>
      <c r="B502">
        <v>60</v>
      </c>
      <c r="C502">
        <v>50</v>
      </c>
      <c r="D502">
        <v>20</v>
      </c>
      <c r="E502" s="3">
        <v>25.5</v>
      </c>
      <c r="F502" s="3">
        <f>1.8*E502+32</f>
        <v>77.900000000000006</v>
      </c>
      <c r="G502" s="3">
        <v>16</v>
      </c>
      <c r="H502" s="3">
        <f>IF(F502&gt;68,G502+(F502-68)*0.2,G650-(68-F502)*0.2)</f>
        <v>17.98</v>
      </c>
      <c r="I502" s="3">
        <v>22.5</v>
      </c>
      <c r="J502" s="3">
        <f>1.8*I502+32</f>
        <v>72.5</v>
      </c>
      <c r="K502" s="3">
        <v>9</v>
      </c>
      <c r="L502" s="3">
        <f>IF(J502&gt;67,K502+(J502-67)*0.2,K502-(67-J502)*0.2)</f>
        <v>10.1</v>
      </c>
      <c r="M502" s="3">
        <f>(C502-H502)/C502*100</f>
        <v>64.039999999999992</v>
      </c>
      <c r="N502" s="3">
        <f>100-(M502+O502)</f>
        <v>15.760000000000005</v>
      </c>
      <c r="O502" s="3">
        <f>L502/C502*100</f>
        <v>20.2</v>
      </c>
      <c r="P502" s="1" t="s">
        <v>2</v>
      </c>
      <c r="Q502" s="15">
        <v>407490.89199999999</v>
      </c>
      <c r="R502" s="15">
        <v>3660029</v>
      </c>
      <c r="T502">
        <v>2009033</v>
      </c>
      <c r="U502" t="s">
        <v>202</v>
      </c>
      <c r="V502">
        <v>5.0860000000000002E-2</v>
      </c>
      <c r="W502">
        <v>0.38114999999999999</v>
      </c>
      <c r="X502">
        <v>3.2030000000000003E-2</v>
      </c>
      <c r="Y502">
        <v>1.39707</v>
      </c>
      <c r="Z502">
        <v>34.569600000000001</v>
      </c>
      <c r="AA502">
        <v>15.16778</v>
      </c>
      <c r="AB502">
        <v>-1.2527600000000001</v>
      </c>
      <c r="AC502" s="23">
        <v>5.7140000000000003E-2</v>
      </c>
      <c r="AD502" s="23">
        <v>0.37992999999999999</v>
      </c>
      <c r="AE502" s="23">
        <v>2.9700000000000001E-2</v>
      </c>
      <c r="AF502" s="23">
        <v>1.3605100000000001</v>
      </c>
      <c r="AG502" s="23">
        <v>24.229610000000001</v>
      </c>
      <c r="AH502" s="23">
        <v>11.96278</v>
      </c>
      <c r="AI502" s="23">
        <v>-1.3863000000000001</v>
      </c>
      <c r="AJ502" s="25">
        <v>1.0095670833333334</v>
      </c>
      <c r="AK502" s="25">
        <v>0.37921875748068085</v>
      </c>
      <c r="AL502" s="25">
        <v>0.19682708030501636</v>
      </c>
      <c r="AM502" s="25">
        <v>9.2945960814808173E-2</v>
      </c>
      <c r="AN502" s="24">
        <v>1.6450702926761955</v>
      </c>
      <c r="AO502" s="23">
        <v>-99</v>
      </c>
    </row>
    <row r="503" spans="1:41" x14ac:dyDescent="0.25">
      <c r="A503" s="4">
        <v>87</v>
      </c>
      <c r="B503">
        <v>90</v>
      </c>
      <c r="C503">
        <v>50</v>
      </c>
      <c r="D503">
        <v>20</v>
      </c>
      <c r="E503" s="3">
        <v>25.5</v>
      </c>
      <c r="F503" s="3">
        <f>1.8*E503+32</f>
        <v>77.900000000000006</v>
      </c>
      <c r="G503" s="3">
        <v>13</v>
      </c>
      <c r="H503" s="3">
        <f>IF(F503&gt;68,G503+(F503-68)*0.2,G651-(68-F503)*0.2)</f>
        <v>14.98</v>
      </c>
      <c r="I503" s="3">
        <v>22.5</v>
      </c>
      <c r="J503" s="3">
        <f>1.8*I503+32</f>
        <v>72.5</v>
      </c>
      <c r="K503" s="3">
        <v>7</v>
      </c>
      <c r="L503" s="3">
        <f>IF(J503&gt;67,K503+(J503-67)*0.2,K503-(67-J503)*0.2)</f>
        <v>8.1</v>
      </c>
      <c r="M503" s="3">
        <f>(C503-H503)/C503*100</f>
        <v>70.039999999999992</v>
      </c>
      <c r="N503" s="3">
        <f>100-(M503+O503)</f>
        <v>13.760000000000005</v>
      </c>
      <c r="O503" s="3">
        <f>L503/C503*100</f>
        <v>16.2</v>
      </c>
      <c r="P503" s="1" t="s">
        <v>0</v>
      </c>
      <c r="Q503" s="15">
        <v>407490.89199999999</v>
      </c>
      <c r="R503" s="15">
        <v>3660029</v>
      </c>
      <c r="T503">
        <v>2009033</v>
      </c>
      <c r="U503" t="s">
        <v>201</v>
      </c>
      <c r="V503">
        <v>5.2389999999999999E-2</v>
      </c>
      <c r="W503">
        <v>0.37806000000000001</v>
      </c>
      <c r="X503">
        <v>3.2140000000000002E-2</v>
      </c>
      <c r="Y503">
        <v>1.4292899999999999</v>
      </c>
      <c r="Z503">
        <v>38.93329</v>
      </c>
      <c r="AA503">
        <v>15.23728</v>
      </c>
      <c r="AB503">
        <v>-1.2055499999999999</v>
      </c>
      <c r="AC503" s="23">
        <v>4.9529999999999998E-2</v>
      </c>
      <c r="AD503" s="23">
        <v>0.37805</v>
      </c>
      <c r="AE503" s="23">
        <v>3.3939999999999998E-2</v>
      </c>
      <c r="AF503" s="23">
        <v>1.5971200000000001</v>
      </c>
      <c r="AG503" s="23">
        <v>72.911150000000006</v>
      </c>
      <c r="AH503" s="23">
        <v>19.958539999999999</v>
      </c>
      <c r="AI503" s="23">
        <v>-0.99287000000000003</v>
      </c>
      <c r="AJ503" s="25">
        <v>3.0379645833333337</v>
      </c>
      <c r="AK503" s="25">
        <v>0.37749879126853458</v>
      </c>
      <c r="AL503" s="25">
        <v>0.12615300818714681</v>
      </c>
      <c r="AM503" s="25">
        <v>5.747818253796301E-2</v>
      </c>
      <c r="AN503" s="24">
        <v>1.6496282031383833</v>
      </c>
      <c r="AO503" s="23">
        <v>-99</v>
      </c>
    </row>
    <row r="504" spans="1:41" x14ac:dyDescent="0.25">
      <c r="A504" s="4">
        <v>87</v>
      </c>
      <c r="B504">
        <v>120</v>
      </c>
      <c r="C504">
        <v>50</v>
      </c>
      <c r="D504">
        <v>20</v>
      </c>
      <c r="E504" s="3">
        <v>26</v>
      </c>
      <c r="F504" s="3">
        <f>1.8*E504+32</f>
        <v>78.800000000000011</v>
      </c>
      <c r="G504" s="3">
        <v>13</v>
      </c>
      <c r="H504" s="3">
        <f>IF(F504&gt;68,G504+(F504-68)*0.2,G652-(68-F504)*0.2)</f>
        <v>15.160000000000002</v>
      </c>
      <c r="I504" s="3">
        <v>22.5</v>
      </c>
      <c r="J504" s="3">
        <f>1.8*I504+32</f>
        <v>72.5</v>
      </c>
      <c r="K504" s="3">
        <v>9</v>
      </c>
      <c r="L504" s="3">
        <f>IF(J504&gt;67,K504+(J504-67)*0.2,K504-(67-J504)*0.2)</f>
        <v>10.1</v>
      </c>
      <c r="M504" s="3">
        <f>(C504-H504)/C504*100</f>
        <v>69.679999999999993</v>
      </c>
      <c r="N504" s="3">
        <f>100-(M504+O504)</f>
        <v>10.120000000000005</v>
      </c>
      <c r="O504" s="3">
        <f>L504/C504*100</f>
        <v>20.2</v>
      </c>
      <c r="P504" s="1" t="s">
        <v>2</v>
      </c>
      <c r="Q504" s="15">
        <v>407490.89199999999</v>
      </c>
      <c r="R504" s="15">
        <v>3660029</v>
      </c>
      <c r="T504">
        <v>2009033</v>
      </c>
      <c r="U504" t="s">
        <v>200</v>
      </c>
      <c r="V504">
        <v>5.7189999999999998E-2</v>
      </c>
      <c r="W504">
        <v>0.37957000000000002</v>
      </c>
      <c r="X504">
        <v>2.9749999999999999E-2</v>
      </c>
      <c r="Y504">
        <v>1.3613</v>
      </c>
      <c r="Z504">
        <v>24.351179999999999</v>
      </c>
      <c r="AA504">
        <v>11.972250000000001</v>
      </c>
      <c r="AB504">
        <v>-1.38656</v>
      </c>
      <c r="AC504" s="23">
        <v>4.9529999999999998E-2</v>
      </c>
      <c r="AD504" s="23">
        <v>0.37805</v>
      </c>
      <c r="AE504" s="23">
        <v>3.3939999999999998E-2</v>
      </c>
      <c r="AF504" s="23">
        <v>1.5971200000000001</v>
      </c>
      <c r="AG504" s="23">
        <v>72.911150000000006</v>
      </c>
      <c r="AH504" s="23">
        <v>19.958539999999999</v>
      </c>
      <c r="AI504" s="23">
        <v>-0.99287000000000003</v>
      </c>
      <c r="AJ504" s="25">
        <v>3.0379645833333337</v>
      </c>
      <c r="AK504" s="25">
        <v>0.37749879126853458</v>
      </c>
      <c r="AL504" s="25">
        <v>0.12615300818714681</v>
      </c>
      <c r="AM504" s="25">
        <v>5.747818253796301E-2</v>
      </c>
      <c r="AN504" s="24">
        <v>1.6496282031383833</v>
      </c>
      <c r="AO504" s="23">
        <v>-99</v>
      </c>
    </row>
    <row r="505" spans="1:41" x14ac:dyDescent="0.25">
      <c r="A505" s="4">
        <v>87</v>
      </c>
      <c r="B505">
        <v>150</v>
      </c>
      <c r="C505">
        <v>50</v>
      </c>
      <c r="D505">
        <v>20</v>
      </c>
      <c r="E505" s="3">
        <v>25</v>
      </c>
      <c r="F505" s="3">
        <f>1.8*E505+32</f>
        <v>77</v>
      </c>
      <c r="G505" s="3">
        <v>11</v>
      </c>
      <c r="H505" s="3">
        <f>IF(F505&gt;68,G505+(F505-68)*0.2,G653-(68-F505)*0.2)</f>
        <v>12.8</v>
      </c>
      <c r="I505" s="3">
        <v>22.5</v>
      </c>
      <c r="J505" s="3">
        <f>1.8*I505+32</f>
        <v>72.5</v>
      </c>
      <c r="K505" s="3">
        <v>6</v>
      </c>
      <c r="L505" s="3">
        <f>IF(J505&gt;67,K505+(J505-67)*0.2,K505-(67-J505)*0.2)</f>
        <v>7.1</v>
      </c>
      <c r="M505" s="3">
        <f>(C505-H505)/C505*100</f>
        <v>74.400000000000006</v>
      </c>
      <c r="N505" s="3">
        <f>100-(M505+O505)</f>
        <v>11.399999999999991</v>
      </c>
      <c r="O505" s="3">
        <f>L505/C505*100</f>
        <v>14.2</v>
      </c>
      <c r="P505" s="1" t="s">
        <v>0</v>
      </c>
      <c r="Q505" s="15">
        <v>407490.89199999999</v>
      </c>
      <c r="R505" s="15">
        <v>3660029</v>
      </c>
      <c r="T505">
        <v>2009033</v>
      </c>
      <c r="U505" t="s">
        <v>199</v>
      </c>
      <c r="V505">
        <v>5.7140000000000003E-2</v>
      </c>
      <c r="W505">
        <v>0.37992999999999999</v>
      </c>
      <c r="X505">
        <v>2.9700000000000001E-2</v>
      </c>
      <c r="Y505">
        <v>1.3605100000000001</v>
      </c>
      <c r="Z505">
        <v>24.229610000000001</v>
      </c>
      <c r="AA505">
        <v>11.96278</v>
      </c>
      <c r="AB505">
        <v>-1.3863000000000001</v>
      </c>
      <c r="AC505" s="23">
        <v>4.5039999999999997E-2</v>
      </c>
      <c r="AD505" s="23">
        <v>0.38207999999999998</v>
      </c>
      <c r="AE505" s="23">
        <v>3.619E-2</v>
      </c>
      <c r="AF505" s="23">
        <v>1.48359</v>
      </c>
      <c r="AG505" s="23">
        <v>55.211030000000001</v>
      </c>
      <c r="AH505" s="23">
        <v>21.39845</v>
      </c>
      <c r="AI505" s="23">
        <v>-1.0898600000000001</v>
      </c>
      <c r="AJ505" s="25">
        <v>2.3004595833333332</v>
      </c>
      <c r="AK505" s="25">
        <v>0.38128513244395634</v>
      </c>
      <c r="AL505" s="25">
        <v>0.14536822386172887</v>
      </c>
      <c r="AM505" s="25">
        <v>6.108003127973053E-2</v>
      </c>
      <c r="AN505" s="24">
        <v>1.6395943990235156</v>
      </c>
      <c r="AO505" s="23">
        <v>-99</v>
      </c>
    </row>
    <row r="506" spans="1:41" x14ac:dyDescent="0.25">
      <c r="A506" s="4">
        <v>87</v>
      </c>
      <c r="B506">
        <v>180</v>
      </c>
      <c r="C506">
        <v>50</v>
      </c>
      <c r="D506">
        <v>20</v>
      </c>
      <c r="E506" s="3">
        <v>25.5</v>
      </c>
      <c r="F506" s="3">
        <f>1.8*E506+32</f>
        <v>77.900000000000006</v>
      </c>
      <c r="G506" s="3">
        <v>15</v>
      </c>
      <c r="H506" s="3">
        <f>IF(F506&gt;68,G506+(F506-68)*0.2,G654-(68-F506)*0.2)</f>
        <v>16.98</v>
      </c>
      <c r="I506" s="3">
        <v>22.5</v>
      </c>
      <c r="J506" s="3">
        <f>1.8*I506+32</f>
        <v>72.5</v>
      </c>
      <c r="K506" s="3">
        <v>9</v>
      </c>
      <c r="L506" s="3">
        <f>IF(J506&gt;67,K506+(J506-67)*0.2,K506-(67-J506)*0.2)</f>
        <v>10.1</v>
      </c>
      <c r="M506" s="3">
        <f>(C506-H506)/C506*100</f>
        <v>66.039999999999992</v>
      </c>
      <c r="N506" s="3">
        <f>100-(M506+O506)</f>
        <v>13.760000000000005</v>
      </c>
      <c r="O506" s="3">
        <f>L506/C506*100</f>
        <v>20.2</v>
      </c>
      <c r="P506" s="1" t="s">
        <v>2</v>
      </c>
      <c r="Q506" s="15">
        <v>407490.89199999999</v>
      </c>
      <c r="R506" s="15">
        <v>3660029</v>
      </c>
      <c r="T506">
        <v>2009033</v>
      </c>
      <c r="U506" t="s">
        <v>198</v>
      </c>
      <c r="V506">
        <v>4.9529999999999998E-2</v>
      </c>
      <c r="W506">
        <v>0.37805</v>
      </c>
      <c r="X506">
        <v>3.3939999999999998E-2</v>
      </c>
      <c r="Y506">
        <v>1.5971200000000001</v>
      </c>
      <c r="Z506">
        <v>72.911150000000006</v>
      </c>
      <c r="AA506">
        <v>19.958539999999999</v>
      </c>
      <c r="AB506">
        <v>-0.99287000000000003</v>
      </c>
      <c r="AC506" s="23">
        <v>5.3679999999999999E-2</v>
      </c>
      <c r="AD506" s="23">
        <v>0.37574000000000002</v>
      </c>
      <c r="AE506" s="23">
        <v>3.1289999999999998E-2</v>
      </c>
      <c r="AF506" s="23">
        <v>1.4766699999999999</v>
      </c>
      <c r="AG506" s="23">
        <v>44.730359999999997</v>
      </c>
      <c r="AH506" s="23">
        <v>14.97892</v>
      </c>
      <c r="AI506" s="23">
        <v>-1.1278600000000001</v>
      </c>
      <c r="AJ506" s="25">
        <v>1.8637649999999999</v>
      </c>
      <c r="AK506" s="25">
        <v>0.37511861241780692</v>
      </c>
      <c r="AL506" s="25">
        <v>0.15801346414161516</v>
      </c>
      <c r="AM506" s="25">
        <v>7.0839257223589608E-2</v>
      </c>
      <c r="AN506" s="24">
        <v>1.6559356770928115</v>
      </c>
      <c r="AO506" s="23">
        <v>-99</v>
      </c>
    </row>
    <row r="507" spans="1:41" x14ac:dyDescent="0.25">
      <c r="A507" s="4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1"/>
      <c r="Q507" s="18"/>
      <c r="R507" s="18"/>
      <c r="T507">
        <v>2009033</v>
      </c>
      <c r="U507" t="s">
        <v>197</v>
      </c>
      <c r="V507">
        <v>4.9529999999999998E-2</v>
      </c>
      <c r="W507">
        <v>0.37805</v>
      </c>
      <c r="X507">
        <v>3.3939999999999998E-2</v>
      </c>
      <c r="Y507">
        <v>1.5971200000000001</v>
      </c>
      <c r="Z507">
        <v>72.911150000000006</v>
      </c>
      <c r="AA507">
        <v>19.958539999999999</v>
      </c>
      <c r="AB507">
        <v>-0.99287000000000003</v>
      </c>
      <c r="AC507" s="23">
        <v>6.7930000000000004E-2</v>
      </c>
      <c r="AD507" s="23">
        <v>0.38865</v>
      </c>
      <c r="AE507" s="23">
        <v>2.5999999999999999E-2</v>
      </c>
      <c r="AF507" s="23">
        <v>1.31209</v>
      </c>
      <c r="AG507" s="23">
        <v>12.550219999999999</v>
      </c>
      <c r="AH507" s="23">
        <v>8.3922699999999999</v>
      </c>
      <c r="AI507" s="23">
        <v>-1.5832299999999999</v>
      </c>
      <c r="AJ507" s="25">
        <v>0.52292583333333331</v>
      </c>
      <c r="AK507" s="25">
        <v>0.38801829338846178</v>
      </c>
      <c r="AL507" s="25">
        <v>0.22923828493302562</v>
      </c>
      <c r="AM507" s="25">
        <v>0.11775410960481067</v>
      </c>
      <c r="AN507" s="24">
        <v>1.6217515225205763</v>
      </c>
      <c r="AO507" s="23">
        <v>-99</v>
      </c>
    </row>
    <row r="508" spans="1:41" ht="51.75" x14ac:dyDescent="0.25">
      <c r="A508" s="14" t="s">
        <v>21</v>
      </c>
      <c r="B508" s="9" t="s">
        <v>20</v>
      </c>
      <c r="C508" s="13" t="s">
        <v>19</v>
      </c>
      <c r="D508" s="12" t="s">
        <v>18</v>
      </c>
      <c r="E508" s="11" t="s">
        <v>17</v>
      </c>
      <c r="F508" s="11" t="s">
        <v>16</v>
      </c>
      <c r="G508" s="11" t="s">
        <v>15</v>
      </c>
      <c r="H508" s="11" t="s">
        <v>14</v>
      </c>
      <c r="I508" s="11" t="s">
        <v>13</v>
      </c>
      <c r="J508" s="11" t="s">
        <v>12</v>
      </c>
      <c r="K508" s="11" t="s">
        <v>11</v>
      </c>
      <c r="L508" s="11" t="s">
        <v>10</v>
      </c>
      <c r="M508" s="10" t="s">
        <v>9</v>
      </c>
      <c r="N508" s="10" t="s">
        <v>8</v>
      </c>
      <c r="O508" s="10" t="s">
        <v>7</v>
      </c>
      <c r="P508" s="9" t="s">
        <v>6</v>
      </c>
      <c r="Q508" s="21" t="s">
        <v>5</v>
      </c>
      <c r="R508" s="20"/>
      <c r="T508">
        <v>2009033</v>
      </c>
      <c r="U508" t="s">
        <v>196</v>
      </c>
      <c r="V508">
        <v>4.5039999999999997E-2</v>
      </c>
      <c r="W508">
        <v>0.38207999999999998</v>
      </c>
      <c r="X508">
        <v>3.619E-2</v>
      </c>
      <c r="Y508">
        <v>1.48359</v>
      </c>
      <c r="Z508">
        <v>55.211030000000001</v>
      </c>
      <c r="AA508">
        <v>21.39845</v>
      </c>
      <c r="AB508">
        <v>-1.0898600000000001</v>
      </c>
      <c r="AC508" s="23">
        <v>6.4949999999999994E-2</v>
      </c>
      <c r="AD508" s="23">
        <v>0.38353999999999999</v>
      </c>
      <c r="AE508" s="23">
        <v>2.7289999999999998E-2</v>
      </c>
      <c r="AF508" s="23">
        <v>1.3175600000000001</v>
      </c>
      <c r="AG508" s="23">
        <v>14.995050000000001</v>
      </c>
      <c r="AH508" s="23">
        <v>9.2050400000000003</v>
      </c>
      <c r="AI508" s="23">
        <v>-1.5818300000000001</v>
      </c>
      <c r="AJ508" s="25">
        <v>0.62479375000000004</v>
      </c>
      <c r="AK508" s="25">
        <v>0.38287580798065862</v>
      </c>
      <c r="AL508" s="25">
        <v>0.22101405486724818</v>
      </c>
      <c r="AM508" s="25">
        <v>0.11212343029700061</v>
      </c>
      <c r="AN508" s="24">
        <v>1.6353791088512544</v>
      </c>
      <c r="AO508" s="23">
        <v>-99</v>
      </c>
    </row>
    <row r="509" spans="1:41" x14ac:dyDescent="0.25">
      <c r="C509" s="16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1"/>
      <c r="Q509" s="5" t="s">
        <v>4</v>
      </c>
      <c r="R509" s="5" t="s">
        <v>3</v>
      </c>
      <c r="T509">
        <v>2009033</v>
      </c>
      <c r="U509" t="s">
        <v>195</v>
      </c>
      <c r="V509">
        <v>5.3679999999999999E-2</v>
      </c>
      <c r="W509">
        <v>0.37574000000000002</v>
      </c>
      <c r="X509">
        <v>3.1289999999999998E-2</v>
      </c>
      <c r="Y509">
        <v>1.4766699999999999</v>
      </c>
      <c r="Z509">
        <v>44.730359999999997</v>
      </c>
      <c r="AA509">
        <v>14.97892</v>
      </c>
      <c r="AB509">
        <v>-1.1278600000000001</v>
      </c>
      <c r="AC509" s="23">
        <v>6.2460000000000002E-2</v>
      </c>
      <c r="AD509" s="23">
        <v>0.38577</v>
      </c>
      <c r="AE509" s="23">
        <v>2.674E-2</v>
      </c>
      <c r="AF509" s="23">
        <v>1.3366899999999999</v>
      </c>
      <c r="AG509" s="23">
        <v>16.646789999999999</v>
      </c>
      <c r="AH509" s="23">
        <v>9.6304700000000008</v>
      </c>
      <c r="AI509" s="23">
        <v>-1.43546</v>
      </c>
      <c r="AJ509" s="25">
        <v>0.69361624999999993</v>
      </c>
      <c r="AK509" s="25">
        <v>0.38512985113118386</v>
      </c>
      <c r="AL509" s="25">
        <v>0.21527480352751127</v>
      </c>
      <c r="AM509" s="25">
        <v>0.10542291698781062</v>
      </c>
      <c r="AN509" s="24">
        <v>1.6294058945023628</v>
      </c>
      <c r="AO509" s="23">
        <v>-99</v>
      </c>
    </row>
    <row r="510" spans="1:41" x14ac:dyDescent="0.25">
      <c r="A510" s="4">
        <v>91</v>
      </c>
      <c r="B510">
        <v>30</v>
      </c>
      <c r="C510" s="16">
        <v>50</v>
      </c>
      <c r="D510">
        <v>20</v>
      </c>
      <c r="E510" s="3">
        <v>25.5</v>
      </c>
      <c r="F510" s="3">
        <f>1.8*E510+32</f>
        <v>77.900000000000006</v>
      </c>
      <c r="G510" s="3">
        <v>14</v>
      </c>
      <c r="H510" s="3">
        <f>IF(F510&gt;68,G510+(F510-68)*0.2,G657-(68-F510)*0.2)</f>
        <v>15.98</v>
      </c>
      <c r="I510" s="3">
        <v>22.5</v>
      </c>
      <c r="J510" s="3">
        <f>1.8*I510+32</f>
        <v>72.5</v>
      </c>
      <c r="K510" s="3">
        <v>8</v>
      </c>
      <c r="L510" s="3">
        <f>IF(J510&gt;68,K510+(J510-68)*0.2,K510-(68-J510)*0.2)</f>
        <v>8.9</v>
      </c>
      <c r="M510" s="3">
        <f>(C510-H510)/C510*100</f>
        <v>68.039999999999992</v>
      </c>
      <c r="N510" s="3">
        <f>100-(M510+O510)</f>
        <v>14.160000000000011</v>
      </c>
      <c r="O510" s="3">
        <f>L510/C510*100</f>
        <v>17.8</v>
      </c>
      <c r="P510" s="1" t="s">
        <v>0</v>
      </c>
      <c r="Q510" s="15">
        <v>407476.66800000001</v>
      </c>
      <c r="R510" s="15">
        <v>3659870</v>
      </c>
      <c r="T510">
        <v>2009033</v>
      </c>
      <c r="U510" t="s">
        <v>194</v>
      </c>
      <c r="V510">
        <v>6.7930000000000004E-2</v>
      </c>
      <c r="W510">
        <v>0.38865</v>
      </c>
      <c r="X510">
        <v>2.5999999999999999E-2</v>
      </c>
      <c r="Y510">
        <v>1.31209</v>
      </c>
      <c r="Z510">
        <v>12.550219999999999</v>
      </c>
      <c r="AA510">
        <v>8.3922699999999999</v>
      </c>
      <c r="AB510">
        <v>-1.5832299999999999</v>
      </c>
      <c r="AC510" s="23">
        <v>6.4680000000000001E-2</v>
      </c>
      <c r="AD510" s="23">
        <v>0.38579999999999998</v>
      </c>
      <c r="AE510" s="23">
        <v>2.6700000000000002E-2</v>
      </c>
      <c r="AF510" s="23">
        <v>1.32443</v>
      </c>
      <c r="AG510" s="23">
        <v>14.91685</v>
      </c>
      <c r="AH510" s="23">
        <v>9.1549300000000002</v>
      </c>
      <c r="AI510" s="23">
        <v>-1.51583</v>
      </c>
      <c r="AJ510" s="25">
        <v>0.62153541666666667</v>
      </c>
      <c r="AK510" s="25">
        <v>0.3851549942974094</v>
      </c>
      <c r="AL510" s="25">
        <v>0.22065888809903023</v>
      </c>
      <c r="AM510" s="25">
        <v>0.11062804259989892</v>
      </c>
      <c r="AN510" s="24">
        <v>1.629339265111865</v>
      </c>
      <c r="AO510" s="23">
        <v>-99</v>
      </c>
    </row>
    <row r="511" spans="1:41" x14ac:dyDescent="0.25">
      <c r="A511" s="4">
        <v>91</v>
      </c>
      <c r="B511">
        <v>60</v>
      </c>
      <c r="C511" s="16">
        <v>50</v>
      </c>
      <c r="D511">
        <v>20</v>
      </c>
      <c r="E511" s="3">
        <v>25.5</v>
      </c>
      <c r="F511" s="3">
        <f>1.8*E511+32</f>
        <v>77.900000000000006</v>
      </c>
      <c r="G511" s="3">
        <v>13</v>
      </c>
      <c r="H511" s="3">
        <f>IF(F511&gt;68,G511+(F511-68)*0.2,G658-(68-F511)*0.2)</f>
        <v>14.98</v>
      </c>
      <c r="I511" s="3">
        <v>22.5</v>
      </c>
      <c r="J511" s="3">
        <f>1.8*I511+32</f>
        <v>72.5</v>
      </c>
      <c r="K511" s="3">
        <v>7</v>
      </c>
      <c r="L511" s="3">
        <f>IF(J511&gt;68,K511+(J511-68)*0.2,K511-(68-J511)*0.2)</f>
        <v>7.9</v>
      </c>
      <c r="M511" s="3">
        <f>(C511-H511)/C511*100</f>
        <v>70.039999999999992</v>
      </c>
      <c r="N511" s="3">
        <f>100-(M511+O511)</f>
        <v>14.160000000000011</v>
      </c>
      <c r="O511" s="3">
        <f>L511/C511*100</f>
        <v>15.8</v>
      </c>
      <c r="P511" s="1" t="s">
        <v>0</v>
      </c>
      <c r="Q511" s="15">
        <v>407476.66800000001</v>
      </c>
      <c r="R511" s="15">
        <v>3659870</v>
      </c>
      <c r="T511">
        <v>2009033</v>
      </c>
      <c r="U511" t="s">
        <v>193</v>
      </c>
      <c r="V511">
        <v>6.4949999999999994E-2</v>
      </c>
      <c r="W511">
        <v>0.38353999999999999</v>
      </c>
      <c r="X511">
        <v>2.7289999999999998E-2</v>
      </c>
      <c r="Y511">
        <v>1.3175600000000001</v>
      </c>
      <c r="Z511">
        <v>14.995050000000001</v>
      </c>
      <c r="AA511">
        <v>9.2050400000000003</v>
      </c>
      <c r="AB511">
        <v>-1.5818300000000001</v>
      </c>
      <c r="AC511" s="23">
        <v>6.5939999999999999E-2</v>
      </c>
      <c r="AD511" s="23">
        <v>0.39156999999999997</v>
      </c>
      <c r="AE511" s="23">
        <v>2.436E-2</v>
      </c>
      <c r="AF511" s="23">
        <v>1.3372900000000001</v>
      </c>
      <c r="AG511" s="23">
        <v>13.188739999999999</v>
      </c>
      <c r="AH511" s="23">
        <v>8.3062299999999993</v>
      </c>
      <c r="AI511" s="23">
        <v>-1.3712899999999999</v>
      </c>
      <c r="AJ511" s="25">
        <v>0.5495308333333333</v>
      </c>
      <c r="AK511" s="25">
        <v>0.39100096951161178</v>
      </c>
      <c r="AL511" s="25">
        <v>0.22428949225631864</v>
      </c>
      <c r="AM511" s="25">
        <v>0.11043254531848246</v>
      </c>
      <c r="AN511" s="24">
        <v>1.6138474307942288</v>
      </c>
      <c r="AO511" s="23">
        <v>-99</v>
      </c>
    </row>
    <row r="512" spans="1:41" x14ac:dyDescent="0.25">
      <c r="A512" s="4">
        <v>91</v>
      </c>
      <c r="B512">
        <v>90</v>
      </c>
      <c r="C512" s="16">
        <v>50</v>
      </c>
      <c r="D512">
        <v>20</v>
      </c>
      <c r="E512" s="3">
        <v>24.5</v>
      </c>
      <c r="F512" s="3">
        <f>1.8*E512+32</f>
        <v>76.099999999999994</v>
      </c>
      <c r="G512" s="3">
        <v>15</v>
      </c>
      <c r="H512" s="3">
        <f>IF(F512&gt;68,G512+(F512-68)*0.2,G659-(68-F512)*0.2)</f>
        <v>16.619999999999997</v>
      </c>
      <c r="I512" s="3">
        <v>22.5</v>
      </c>
      <c r="J512" s="3">
        <f>1.8*I512+32</f>
        <v>72.5</v>
      </c>
      <c r="K512" s="3">
        <v>6</v>
      </c>
      <c r="L512" s="3">
        <f>IF(J512&gt;68,K512+(J512-68)*0.2,K512-(68-J512)*0.2)</f>
        <v>6.9</v>
      </c>
      <c r="M512" s="3">
        <f>(C512-H512)/C512*100</f>
        <v>66.760000000000005</v>
      </c>
      <c r="N512" s="3">
        <f>100-(M512+O512)</f>
        <v>19.439999999999998</v>
      </c>
      <c r="O512" s="3">
        <f>L512/C512*100</f>
        <v>13.8</v>
      </c>
      <c r="P512" s="1" t="s">
        <v>0</v>
      </c>
      <c r="Q512" s="15">
        <v>407476.66800000001</v>
      </c>
      <c r="R512" s="15">
        <v>3659870</v>
      </c>
      <c r="T512">
        <v>2009033</v>
      </c>
      <c r="U512" t="s">
        <v>192</v>
      </c>
      <c r="V512">
        <v>6.2460000000000002E-2</v>
      </c>
      <c r="W512">
        <v>0.38577</v>
      </c>
      <c r="X512">
        <v>2.674E-2</v>
      </c>
      <c r="Y512">
        <v>1.3366899999999999</v>
      </c>
      <c r="Z512">
        <v>16.646789999999999</v>
      </c>
      <c r="AA512">
        <v>9.6304700000000008</v>
      </c>
      <c r="AB512">
        <v>-1.43546</v>
      </c>
      <c r="AC512" s="23">
        <v>5.9089999999999997E-2</v>
      </c>
      <c r="AD512" s="23">
        <v>0.38701000000000002</v>
      </c>
      <c r="AE512" s="23">
        <v>2.6040000000000001E-2</v>
      </c>
      <c r="AF512" s="23">
        <v>1.3565799999999999</v>
      </c>
      <c r="AG512" s="23">
        <v>19.050879999999999</v>
      </c>
      <c r="AH512" s="23">
        <v>10.079029999999999</v>
      </c>
      <c r="AI512" s="23">
        <v>-1.29359</v>
      </c>
      <c r="AJ512" s="25">
        <v>0.79378666666666664</v>
      </c>
      <c r="AK512" s="25">
        <v>0.38640154104736107</v>
      </c>
      <c r="AL512" s="25">
        <v>0.20882678201943389</v>
      </c>
      <c r="AM512" s="25">
        <v>9.8135701235476686E-2</v>
      </c>
      <c r="AN512" s="24">
        <v>1.6260359162244931</v>
      </c>
      <c r="AO512" s="23">
        <v>-99</v>
      </c>
    </row>
    <row r="513" spans="1:41" x14ac:dyDescent="0.25">
      <c r="A513" s="4">
        <v>91</v>
      </c>
      <c r="B513">
        <v>120</v>
      </c>
      <c r="C513" s="16">
        <v>50</v>
      </c>
      <c r="D513">
        <v>20</v>
      </c>
      <c r="E513" s="3">
        <v>24.5</v>
      </c>
      <c r="F513" s="3">
        <f>1.8*E513+32</f>
        <v>76.099999999999994</v>
      </c>
      <c r="G513" s="3">
        <v>16</v>
      </c>
      <c r="H513" s="3">
        <f>IF(F513&gt;68,G513+(F513-68)*0.2,G661-(68-F513)*0.2)</f>
        <v>17.619999999999997</v>
      </c>
      <c r="I513" s="3">
        <v>22.5</v>
      </c>
      <c r="J513" s="3">
        <f>1.8*I513+32</f>
        <v>72.5</v>
      </c>
      <c r="K513" s="3">
        <v>8</v>
      </c>
      <c r="L513" s="3">
        <f>IF(J513&gt;68,K513+(J513-68)*0.2,K513-(68-J513)*0.2)</f>
        <v>8.9</v>
      </c>
      <c r="M513" s="3">
        <f>(C513-H513)/C513*100</f>
        <v>64.760000000000005</v>
      </c>
      <c r="N513" s="3">
        <f>100-(M513+O513)</f>
        <v>17.439999999999998</v>
      </c>
      <c r="O513" s="3">
        <f>L513/C513*100</f>
        <v>17.8</v>
      </c>
      <c r="P513" s="1" t="s">
        <v>0</v>
      </c>
      <c r="Q513" s="15">
        <v>407476.66800000001</v>
      </c>
      <c r="R513" s="15">
        <v>3659870</v>
      </c>
      <c r="T513">
        <v>2009033</v>
      </c>
      <c r="U513" t="s">
        <v>191</v>
      </c>
      <c r="V513">
        <v>6.4680000000000001E-2</v>
      </c>
      <c r="W513">
        <v>0.38579999999999998</v>
      </c>
      <c r="X513">
        <v>2.6700000000000002E-2</v>
      </c>
      <c r="Y513">
        <v>1.32443</v>
      </c>
      <c r="Z513">
        <v>14.91685</v>
      </c>
      <c r="AA513">
        <v>9.1549300000000002</v>
      </c>
      <c r="AB513">
        <v>-1.51583</v>
      </c>
      <c r="AC513" s="23">
        <v>6.5960000000000005E-2</v>
      </c>
      <c r="AD513" s="23">
        <v>0.38833000000000001</v>
      </c>
      <c r="AE513" s="23">
        <v>2.5860000000000001E-2</v>
      </c>
      <c r="AF513" s="23">
        <v>1.3244199999999999</v>
      </c>
      <c r="AG513" s="23">
        <v>13.70532</v>
      </c>
      <c r="AH513" s="23">
        <v>8.71218</v>
      </c>
      <c r="AI513" s="23">
        <v>-1.49292</v>
      </c>
      <c r="AJ513" s="25">
        <v>0.57105499999999998</v>
      </c>
      <c r="AK513" s="25">
        <v>0.38770918598387655</v>
      </c>
      <c r="AL513" s="25">
        <v>0.22409404405655375</v>
      </c>
      <c r="AM513" s="25">
        <v>0.11257036450782278</v>
      </c>
      <c r="AN513" s="24">
        <v>1.622570657142727</v>
      </c>
      <c r="AO513" s="23">
        <v>-99</v>
      </c>
    </row>
    <row r="514" spans="1:41" x14ac:dyDescent="0.25">
      <c r="A514" s="4">
        <v>91</v>
      </c>
      <c r="B514">
        <v>150</v>
      </c>
      <c r="C514" s="16">
        <v>50</v>
      </c>
      <c r="D514">
        <v>20</v>
      </c>
      <c r="E514" s="3">
        <v>25</v>
      </c>
      <c r="F514" s="3">
        <f>1.8*E514+32</f>
        <v>77</v>
      </c>
      <c r="G514" s="3">
        <v>17</v>
      </c>
      <c r="H514" s="3">
        <f>IF(F514&gt;68,G514+(F514-68)*0.2,G662-(68-F514)*0.2)</f>
        <v>18.8</v>
      </c>
      <c r="I514" s="3">
        <v>22.5</v>
      </c>
      <c r="J514" s="3">
        <f>1.8*I514+32</f>
        <v>72.5</v>
      </c>
      <c r="K514" s="3">
        <v>7</v>
      </c>
      <c r="L514" s="3">
        <f>IF(J514&gt;68,K514+(J514-68)*0.2,K514-(68-J514)*0.2)</f>
        <v>7.9</v>
      </c>
      <c r="M514" s="3">
        <f>(C514-H514)/C514*100</f>
        <v>62.4</v>
      </c>
      <c r="N514" s="3">
        <f>100-(M514+O514)</f>
        <v>21.799999999999997</v>
      </c>
      <c r="O514" s="3">
        <f>L514/C514*100</f>
        <v>15.8</v>
      </c>
      <c r="P514" s="1" t="s">
        <v>0</v>
      </c>
      <c r="Q514" s="15">
        <v>407476.66800000001</v>
      </c>
      <c r="R514" s="15">
        <v>3659870</v>
      </c>
      <c r="T514">
        <v>2009033</v>
      </c>
      <c r="U514" t="s">
        <v>190</v>
      </c>
      <c r="V514">
        <v>6.5939999999999999E-2</v>
      </c>
      <c r="W514">
        <v>0.39156999999999997</v>
      </c>
      <c r="X514">
        <v>2.436E-2</v>
      </c>
      <c r="Y514">
        <v>1.3372900000000001</v>
      </c>
      <c r="Z514">
        <v>13.188739999999999</v>
      </c>
      <c r="AA514">
        <v>8.3062299999999993</v>
      </c>
      <c r="AB514">
        <v>-1.3712899999999999</v>
      </c>
      <c r="AC514" s="23">
        <v>6.2839999999999993E-2</v>
      </c>
      <c r="AD514" s="23">
        <v>0.38364999999999999</v>
      </c>
      <c r="AE514" s="23">
        <v>2.7459999999999998E-2</v>
      </c>
      <c r="AF514" s="23">
        <v>1.32986</v>
      </c>
      <c r="AG514" s="23">
        <v>16.676960000000001</v>
      </c>
      <c r="AH514" s="23">
        <v>9.7306899999999992</v>
      </c>
      <c r="AI514" s="23">
        <v>-1.5007600000000001</v>
      </c>
      <c r="AJ514" s="25">
        <v>0.69487333333333334</v>
      </c>
      <c r="AK514" s="25">
        <v>0.38298595604317376</v>
      </c>
      <c r="AL514" s="25">
        <v>0.21548135158341369</v>
      </c>
      <c r="AM514" s="25">
        <v>0.10686473905323861</v>
      </c>
      <c r="AN514" s="24">
        <v>1.6350872164855894</v>
      </c>
      <c r="AO514" s="23">
        <v>-99</v>
      </c>
    </row>
    <row r="515" spans="1:41" x14ac:dyDescent="0.25">
      <c r="A515" s="4">
        <v>91</v>
      </c>
      <c r="B515">
        <v>180</v>
      </c>
      <c r="C515" s="16">
        <v>50</v>
      </c>
      <c r="D515">
        <v>20</v>
      </c>
      <c r="E515" s="3">
        <v>25.5</v>
      </c>
      <c r="F515" s="3">
        <f>1.8*E515+32</f>
        <v>77.900000000000006</v>
      </c>
      <c r="G515" s="3">
        <v>15</v>
      </c>
      <c r="H515" s="3">
        <f>IF(F515&gt;68,G515+(F515-68)*0.2,G663-(68-F515)*0.2)</f>
        <v>16.98</v>
      </c>
      <c r="I515" s="3">
        <v>22.5</v>
      </c>
      <c r="J515" s="3">
        <f>1.8*I515+32</f>
        <v>72.5</v>
      </c>
      <c r="K515" s="3">
        <v>8</v>
      </c>
      <c r="L515" s="3">
        <f>IF(J515&gt;68,K515+(J515-68)*0.2,K515-(68-J515)*0.2)</f>
        <v>8.9</v>
      </c>
      <c r="M515" s="3">
        <f>(C515-H515)/C515*100</f>
        <v>66.039999999999992</v>
      </c>
      <c r="N515" s="3">
        <f>100-(M515+O515)</f>
        <v>16.160000000000011</v>
      </c>
      <c r="O515" s="3">
        <f>L515/C515*100</f>
        <v>17.8</v>
      </c>
      <c r="P515" s="1" t="s">
        <v>0</v>
      </c>
      <c r="Q515" s="15">
        <v>407476.66800000001</v>
      </c>
      <c r="R515" s="15">
        <v>3659870</v>
      </c>
      <c r="T515">
        <v>2009033</v>
      </c>
      <c r="U515" t="s">
        <v>189</v>
      </c>
      <c r="V515">
        <v>5.9089999999999997E-2</v>
      </c>
      <c r="W515">
        <v>0.38701000000000002</v>
      </c>
      <c r="X515">
        <v>2.6040000000000001E-2</v>
      </c>
      <c r="Y515">
        <v>1.3565799999999999</v>
      </c>
      <c r="Z515">
        <v>19.050879999999999</v>
      </c>
      <c r="AA515">
        <v>10.079029999999999</v>
      </c>
      <c r="AB515">
        <v>-1.29359</v>
      </c>
      <c r="AC515" s="23">
        <v>6.0019999999999997E-2</v>
      </c>
      <c r="AD515" s="23">
        <v>0.38435999999999998</v>
      </c>
      <c r="AE515" s="23">
        <v>2.7519999999999999E-2</v>
      </c>
      <c r="AF515" s="23">
        <v>1.3454299999999999</v>
      </c>
      <c r="AG515" s="23">
        <v>19.122679999999999</v>
      </c>
      <c r="AH515" s="23">
        <v>10.407</v>
      </c>
      <c r="AI515" s="23">
        <v>-1.4001999999999999</v>
      </c>
      <c r="AJ515" s="25">
        <v>0.79677833333333326</v>
      </c>
      <c r="AK515" s="25">
        <v>0.38370083796350019</v>
      </c>
      <c r="AL515" s="25">
        <v>0.20900527173338793</v>
      </c>
      <c r="AM515" s="25">
        <v>0.10051597213577923</v>
      </c>
      <c r="AN515" s="24">
        <v>1.6331927793967245</v>
      </c>
      <c r="AO515" s="23">
        <v>-99</v>
      </c>
    </row>
    <row r="516" spans="1:41" x14ac:dyDescent="0.25">
      <c r="Q516" s="18"/>
      <c r="R516" s="18"/>
      <c r="T516">
        <v>2009033</v>
      </c>
      <c r="U516" t="s">
        <v>188</v>
      </c>
      <c r="V516">
        <v>6.5960000000000005E-2</v>
      </c>
      <c r="W516">
        <v>0.38833000000000001</v>
      </c>
      <c r="X516">
        <v>2.5860000000000001E-2</v>
      </c>
      <c r="Y516">
        <v>1.3244199999999999</v>
      </c>
      <c r="Z516">
        <v>13.70532</v>
      </c>
      <c r="AA516">
        <v>8.71218</v>
      </c>
      <c r="AB516">
        <v>-1.49292</v>
      </c>
      <c r="AC516" s="23">
        <v>6.6360000000000002E-2</v>
      </c>
      <c r="AD516" s="23">
        <v>0.39107999999999998</v>
      </c>
      <c r="AE516" s="23">
        <v>2.4709999999999999E-2</v>
      </c>
      <c r="AF516" s="23">
        <v>1.3322700000000001</v>
      </c>
      <c r="AG516" s="23">
        <v>13.035970000000001</v>
      </c>
      <c r="AH516" s="23">
        <v>8.34206</v>
      </c>
      <c r="AI516" s="23">
        <v>-1.4116200000000001</v>
      </c>
      <c r="AJ516" s="25">
        <v>0.54316541666666673</v>
      </c>
      <c r="AK516" s="25">
        <v>0.39049745921888934</v>
      </c>
      <c r="AL516" s="25">
        <v>0.2252261557879022</v>
      </c>
      <c r="AM516" s="25">
        <v>0.11184607237076347</v>
      </c>
      <c r="AN516" s="24">
        <v>1.6151817330699432</v>
      </c>
      <c r="AO516" s="23">
        <v>-99</v>
      </c>
    </row>
    <row r="517" spans="1:41" ht="51.75" x14ac:dyDescent="0.25">
      <c r="A517" s="14" t="s">
        <v>21</v>
      </c>
      <c r="B517" s="9" t="s">
        <v>20</v>
      </c>
      <c r="C517" s="13" t="s">
        <v>19</v>
      </c>
      <c r="D517" s="12" t="s">
        <v>18</v>
      </c>
      <c r="E517" s="11" t="s">
        <v>17</v>
      </c>
      <c r="F517" s="11" t="s">
        <v>16</v>
      </c>
      <c r="G517" s="11" t="s">
        <v>15</v>
      </c>
      <c r="H517" s="11" t="s">
        <v>14</v>
      </c>
      <c r="I517" s="11" t="s">
        <v>13</v>
      </c>
      <c r="J517" s="11" t="s">
        <v>12</v>
      </c>
      <c r="K517" s="11" t="s">
        <v>11</v>
      </c>
      <c r="L517" s="11" t="s">
        <v>10</v>
      </c>
      <c r="M517" s="10" t="s">
        <v>9</v>
      </c>
      <c r="N517" s="10" t="s">
        <v>8</v>
      </c>
      <c r="O517" s="10" t="s">
        <v>7</v>
      </c>
      <c r="P517" s="9" t="s">
        <v>6</v>
      </c>
      <c r="Q517" s="21" t="s">
        <v>5</v>
      </c>
      <c r="R517" s="20"/>
      <c r="T517">
        <v>2009033</v>
      </c>
      <c r="U517" t="s">
        <v>187</v>
      </c>
      <c r="V517">
        <v>6.2839999999999993E-2</v>
      </c>
      <c r="W517">
        <v>0.38364999999999999</v>
      </c>
      <c r="X517">
        <v>2.7459999999999998E-2</v>
      </c>
      <c r="Y517">
        <v>1.32986</v>
      </c>
      <c r="Z517">
        <v>16.676960000000001</v>
      </c>
      <c r="AA517">
        <v>9.7306899999999992</v>
      </c>
      <c r="AB517">
        <v>-1.5007600000000001</v>
      </c>
      <c r="AC517" s="23">
        <v>5.2970000000000003E-2</v>
      </c>
      <c r="AD517" s="23">
        <v>0.38401000000000002</v>
      </c>
      <c r="AE517" s="23">
        <v>2.895E-2</v>
      </c>
      <c r="AF517" s="23">
        <v>1.37347</v>
      </c>
      <c r="AG517" s="23">
        <v>26.939070000000001</v>
      </c>
      <c r="AH517" s="23">
        <v>12.72626</v>
      </c>
      <c r="AI517" s="23">
        <v>-1.26197</v>
      </c>
      <c r="AJ517" s="25">
        <v>1.12246125</v>
      </c>
      <c r="AK517" s="25">
        <v>0.38331925956079987</v>
      </c>
      <c r="AL517" s="25">
        <v>0.19331908835437678</v>
      </c>
      <c r="AM517" s="25">
        <v>8.7225920403561336E-2</v>
      </c>
      <c r="AN517" s="24">
        <v>1.6342039621638802</v>
      </c>
      <c r="AO517" s="23">
        <v>-99</v>
      </c>
    </row>
    <row r="518" spans="1:41" x14ac:dyDescent="0.25"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1"/>
      <c r="Q518" s="5" t="s">
        <v>4</v>
      </c>
      <c r="R518" s="5" t="s">
        <v>3</v>
      </c>
      <c r="T518">
        <v>2009033</v>
      </c>
      <c r="U518" t="s">
        <v>186</v>
      </c>
      <c r="V518">
        <v>6.0019999999999997E-2</v>
      </c>
      <c r="W518">
        <v>0.38435999999999998</v>
      </c>
      <c r="X518">
        <v>2.7519999999999999E-2</v>
      </c>
      <c r="Y518">
        <v>1.3454299999999999</v>
      </c>
      <c r="Z518">
        <v>19.122679999999999</v>
      </c>
      <c r="AA518">
        <v>10.407</v>
      </c>
      <c r="AB518">
        <v>-1.4001999999999999</v>
      </c>
      <c r="AC518" s="23">
        <v>5.3109999999999997E-2</v>
      </c>
      <c r="AD518" s="23">
        <v>0.38251000000000002</v>
      </c>
      <c r="AE518" s="23">
        <v>3.0099999999999998E-2</v>
      </c>
      <c r="AF518" s="23">
        <v>1.37503</v>
      </c>
      <c r="AG518" s="23">
        <v>28.288229999999999</v>
      </c>
      <c r="AH518" s="23">
        <v>13.283300000000001</v>
      </c>
      <c r="AI518" s="23">
        <v>-1.29301</v>
      </c>
      <c r="AJ518" s="25">
        <v>1.1786762499999999</v>
      </c>
      <c r="AK518" s="25">
        <v>0.38178684299879695</v>
      </c>
      <c r="AL518" s="25">
        <v>0.19033637906748413</v>
      </c>
      <c r="AM518" s="25">
        <v>8.6385209351004966E-2</v>
      </c>
      <c r="AN518" s="24">
        <v>1.638264866053188</v>
      </c>
      <c r="AO518" s="23">
        <v>-99</v>
      </c>
    </row>
    <row r="519" spans="1:41" x14ac:dyDescent="0.25">
      <c r="A519" s="4">
        <v>92</v>
      </c>
      <c r="B519">
        <v>30</v>
      </c>
      <c r="C519">
        <v>50</v>
      </c>
      <c r="D519">
        <v>20</v>
      </c>
      <c r="E519" s="3">
        <v>25</v>
      </c>
      <c r="F519" s="3">
        <f>1.8*E519+32</f>
        <v>77</v>
      </c>
      <c r="G519" s="3">
        <v>13</v>
      </c>
      <c r="H519" s="3">
        <f>IF(F519&gt;68,G519+(F519-68)*0.2,G667-(68-F519)*0.2)</f>
        <v>14.8</v>
      </c>
      <c r="I519" s="3">
        <v>23</v>
      </c>
      <c r="J519" s="3">
        <f>1.8*I519+32</f>
        <v>73.400000000000006</v>
      </c>
      <c r="K519" s="3">
        <v>6</v>
      </c>
      <c r="L519" s="3">
        <f>IF(J519&gt;67,K519+(J519-67)*0.2,K519-(67-J519)*0.2)</f>
        <v>7.2800000000000011</v>
      </c>
      <c r="M519" s="3">
        <f>(C519-H519)/C519*100</f>
        <v>70.400000000000006</v>
      </c>
      <c r="N519" s="3">
        <f>100-(M519+O519)</f>
        <v>15.039999999999992</v>
      </c>
      <c r="O519" s="3">
        <f>L519/C519*100</f>
        <v>14.560000000000004</v>
      </c>
      <c r="P519" s="1" t="s">
        <v>0</v>
      </c>
      <c r="Q519" s="15">
        <v>407476.66800000001</v>
      </c>
      <c r="R519" s="15">
        <v>3659896.5</v>
      </c>
      <c r="T519">
        <v>2009033</v>
      </c>
      <c r="U519" t="s">
        <v>185</v>
      </c>
      <c r="V519">
        <v>6.6360000000000002E-2</v>
      </c>
      <c r="W519">
        <v>0.39107999999999998</v>
      </c>
      <c r="X519">
        <v>2.4709999999999999E-2</v>
      </c>
      <c r="Y519">
        <v>1.3322700000000001</v>
      </c>
      <c r="Z519">
        <v>13.035970000000001</v>
      </c>
      <c r="AA519">
        <v>8.34206</v>
      </c>
      <c r="AB519">
        <v>-1.4116200000000001</v>
      </c>
      <c r="AC519" s="23">
        <v>7.0660000000000001E-2</v>
      </c>
      <c r="AD519" s="23">
        <v>0.39216000000000001</v>
      </c>
      <c r="AE519" s="23">
        <v>2.5420000000000002E-2</v>
      </c>
      <c r="AF519" s="23">
        <v>1.3033399999999999</v>
      </c>
      <c r="AG519" s="23">
        <v>10.950200000000001</v>
      </c>
      <c r="AH519" s="23">
        <v>7.8447199999999997</v>
      </c>
      <c r="AI519" s="23">
        <v>-1.63154</v>
      </c>
      <c r="AJ519" s="25">
        <v>0.45625833333333338</v>
      </c>
      <c r="AK519" s="25">
        <v>0.39153880377958361</v>
      </c>
      <c r="AL519" s="25">
        <v>0.23651764516552695</v>
      </c>
      <c r="AM519" s="25">
        <v>0.12364291193452384</v>
      </c>
      <c r="AN519" s="24">
        <v>1.6124221699841035</v>
      </c>
      <c r="AO519" s="23">
        <v>-99</v>
      </c>
    </row>
    <row r="520" spans="1:41" x14ac:dyDescent="0.25">
      <c r="A520" s="4">
        <v>92</v>
      </c>
      <c r="B520">
        <v>60</v>
      </c>
      <c r="C520">
        <v>50</v>
      </c>
      <c r="D520">
        <v>20</v>
      </c>
      <c r="E520" s="3">
        <v>25.5</v>
      </c>
      <c r="F520" s="3">
        <f>1.8*E520+32</f>
        <v>77.900000000000006</v>
      </c>
      <c r="G520" s="3">
        <v>12</v>
      </c>
      <c r="H520" s="3">
        <f>IF(F520&gt;68,G520+(F520-68)*0.2,G668-(68-F520)*0.2)</f>
        <v>13.98</v>
      </c>
      <c r="I520" s="3">
        <v>23</v>
      </c>
      <c r="J520" s="3">
        <f>1.8*I520+32</f>
        <v>73.400000000000006</v>
      </c>
      <c r="K520" s="3">
        <v>7</v>
      </c>
      <c r="L520" s="3">
        <f>IF(J520&gt;67,K520+(J520-67)*0.2,K520-(67-J520)*0.2)</f>
        <v>8.2800000000000011</v>
      </c>
      <c r="M520" s="3">
        <f>(C520-H520)/C520*100</f>
        <v>72.039999999999992</v>
      </c>
      <c r="N520" s="3">
        <f>100-(M520+O520)</f>
        <v>11.400000000000006</v>
      </c>
      <c r="O520" s="3">
        <f>L520/C520*100</f>
        <v>16.560000000000002</v>
      </c>
      <c r="P520" s="1" t="s">
        <v>0</v>
      </c>
      <c r="Q520" s="15">
        <v>407476.66800000001</v>
      </c>
      <c r="R520" s="15">
        <v>3659896.5</v>
      </c>
      <c r="T520">
        <v>2009033</v>
      </c>
      <c r="U520" t="s">
        <v>184</v>
      </c>
      <c r="V520">
        <v>5.2970000000000003E-2</v>
      </c>
      <c r="W520">
        <v>0.38401000000000002</v>
      </c>
      <c r="X520">
        <v>2.895E-2</v>
      </c>
      <c r="Y520">
        <v>1.37347</v>
      </c>
      <c r="Z520">
        <v>26.939070000000001</v>
      </c>
      <c r="AA520">
        <v>12.72626</v>
      </c>
      <c r="AB520">
        <v>-1.26197</v>
      </c>
      <c r="AC520" s="23">
        <v>6.8040000000000003E-2</v>
      </c>
      <c r="AD520" s="23">
        <v>0.38917000000000002</v>
      </c>
      <c r="AE520" s="23">
        <v>2.5839999999999998E-2</v>
      </c>
      <c r="AF520" s="23">
        <v>1.31304</v>
      </c>
      <c r="AG520" s="23">
        <v>12.416689999999999</v>
      </c>
      <c r="AH520" s="23">
        <v>8.3409899999999997</v>
      </c>
      <c r="AI520" s="23">
        <v>-1.5718099999999999</v>
      </c>
      <c r="AJ520" s="25">
        <v>0.51736208333333333</v>
      </c>
      <c r="AK520" s="25">
        <v>0.38854327840151365</v>
      </c>
      <c r="AL520" s="25">
        <v>0.22951731031972072</v>
      </c>
      <c r="AM520" s="25">
        <v>0.11774177336375521</v>
      </c>
      <c r="AN520" s="24">
        <v>1.6203603122359886</v>
      </c>
      <c r="AO520" s="23">
        <v>-99</v>
      </c>
    </row>
    <row r="521" spans="1:41" x14ac:dyDescent="0.25">
      <c r="A521" s="4">
        <v>92</v>
      </c>
      <c r="B521">
        <v>90</v>
      </c>
      <c r="C521">
        <v>50</v>
      </c>
      <c r="D521">
        <v>20</v>
      </c>
      <c r="E521" s="3">
        <v>26</v>
      </c>
      <c r="F521" s="3">
        <f>1.8*E521+32</f>
        <v>78.800000000000011</v>
      </c>
      <c r="G521" s="3">
        <v>14</v>
      </c>
      <c r="H521" s="3">
        <f>IF(F521&gt;68,G521+(F521-68)*0.2,G669-(68-F521)*0.2)</f>
        <v>16.160000000000004</v>
      </c>
      <c r="I521" s="3">
        <v>23</v>
      </c>
      <c r="J521" s="3">
        <f>1.8*I521+32</f>
        <v>73.400000000000006</v>
      </c>
      <c r="K521" s="3">
        <v>7</v>
      </c>
      <c r="L521" s="3">
        <f>IF(J521&gt;67,K521+(J521-67)*0.2,K521-(67-J521)*0.2)</f>
        <v>8.2800000000000011</v>
      </c>
      <c r="M521" s="3">
        <f>(C521-H521)/C521*100</f>
        <v>67.679999999999993</v>
      </c>
      <c r="N521" s="3">
        <f>100-(M521+O521)</f>
        <v>15.760000000000005</v>
      </c>
      <c r="O521" s="3">
        <f>L521/C521*100</f>
        <v>16.560000000000002</v>
      </c>
      <c r="P521" s="1" t="s">
        <v>0</v>
      </c>
      <c r="Q521" s="15">
        <v>407476.66800000001</v>
      </c>
      <c r="R521" s="15">
        <v>3659896.5</v>
      </c>
      <c r="T521">
        <v>2009033</v>
      </c>
      <c r="U521" t="s">
        <v>183</v>
      </c>
      <c r="V521">
        <v>5.3109999999999997E-2</v>
      </c>
      <c r="W521">
        <v>0.38251000000000002</v>
      </c>
      <c r="X521">
        <v>3.0099999999999998E-2</v>
      </c>
      <c r="Y521">
        <v>1.37503</v>
      </c>
      <c r="Z521">
        <v>28.288229999999999</v>
      </c>
      <c r="AA521">
        <v>13.283300000000001</v>
      </c>
      <c r="AB521">
        <v>-1.29301</v>
      </c>
      <c r="AC521" s="23">
        <v>7.0639999999999994E-2</v>
      </c>
      <c r="AD521" s="23">
        <v>0.40215000000000001</v>
      </c>
      <c r="AE521" s="23">
        <v>2.0389999999999998E-2</v>
      </c>
      <c r="AF521" s="23">
        <v>1.3531</v>
      </c>
      <c r="AG521" s="23">
        <v>9.3070500000000003</v>
      </c>
      <c r="AH521" s="23">
        <v>6.4816000000000003</v>
      </c>
      <c r="AI521" s="23">
        <v>-1.17449</v>
      </c>
      <c r="AJ521" s="25">
        <v>0.38779374999999999</v>
      </c>
      <c r="AK521" s="25">
        <v>0.4017052378826409</v>
      </c>
      <c r="AL521" s="25">
        <v>0.2360577065747762</v>
      </c>
      <c r="AM521" s="25">
        <v>0.11457538976067141</v>
      </c>
      <c r="AN521" s="24">
        <v>1.5854811196110015</v>
      </c>
      <c r="AO521" s="23">
        <v>-99</v>
      </c>
    </row>
    <row r="522" spans="1:41" x14ac:dyDescent="0.25">
      <c r="A522" s="4">
        <v>92</v>
      </c>
      <c r="B522">
        <v>120</v>
      </c>
      <c r="C522">
        <v>50</v>
      </c>
      <c r="D522">
        <v>20</v>
      </c>
      <c r="E522" s="3">
        <v>25.5</v>
      </c>
      <c r="F522" s="3">
        <f>1.8*E522+32</f>
        <v>77.900000000000006</v>
      </c>
      <c r="G522" s="3">
        <v>15</v>
      </c>
      <c r="H522" s="3">
        <f>IF(F522&gt;68,G522+(F522-68)*0.2,G670-(68-F522)*0.2)</f>
        <v>16.98</v>
      </c>
      <c r="I522" s="3">
        <v>22.5</v>
      </c>
      <c r="J522" s="3">
        <f>1.8*I522+32</f>
        <v>72.5</v>
      </c>
      <c r="K522" s="3">
        <v>8</v>
      </c>
      <c r="L522" s="3">
        <f>IF(J522&gt;67,K522+(J522-67)*0.2,K522-(67-J522)*0.2)</f>
        <v>9.1</v>
      </c>
      <c r="M522" s="3">
        <f>(C522-H522)/C522*100</f>
        <v>66.039999999999992</v>
      </c>
      <c r="N522" s="3">
        <f>100-(M522+O522)</f>
        <v>15.760000000000005</v>
      </c>
      <c r="O522" s="3">
        <f>L522/C522*100</f>
        <v>18.2</v>
      </c>
      <c r="P522" s="1" t="s">
        <v>0</v>
      </c>
      <c r="Q522" s="15">
        <v>407476.66800000001</v>
      </c>
      <c r="R522" s="15">
        <v>3659896.5</v>
      </c>
      <c r="T522">
        <v>2009033</v>
      </c>
      <c r="U522" t="s">
        <v>182</v>
      </c>
      <c r="V522">
        <v>7.0660000000000001E-2</v>
      </c>
      <c r="W522">
        <v>0.39216000000000001</v>
      </c>
      <c r="X522">
        <v>2.5420000000000002E-2</v>
      </c>
      <c r="Y522">
        <v>1.3033399999999999</v>
      </c>
      <c r="Z522">
        <v>10.950200000000001</v>
      </c>
      <c r="AA522">
        <v>7.8447199999999997</v>
      </c>
      <c r="AB522">
        <v>-1.63154</v>
      </c>
      <c r="AC522" s="23">
        <v>7.417E-2</v>
      </c>
      <c r="AD522" s="23">
        <v>0.40005000000000002</v>
      </c>
      <c r="AE522" s="23">
        <v>2.3869999999999999E-2</v>
      </c>
      <c r="AF522" s="23">
        <v>1.30263</v>
      </c>
      <c r="AG522" s="23">
        <v>8.8536800000000007</v>
      </c>
      <c r="AH522" s="23">
        <v>7.0669199999999996</v>
      </c>
      <c r="AI522" s="23">
        <v>-1.5873200000000001</v>
      </c>
      <c r="AJ522" s="25">
        <v>0.36890333333333336</v>
      </c>
      <c r="AK522" s="25">
        <v>0.39946918907147133</v>
      </c>
      <c r="AL522" s="25">
        <v>0.24558175178852032</v>
      </c>
      <c r="AM522" s="25">
        <v>0.12913803430408602</v>
      </c>
      <c r="AN522" s="24">
        <v>1.5914066489606009</v>
      </c>
      <c r="AO522" s="23">
        <v>-99</v>
      </c>
    </row>
    <row r="523" spans="1:41" x14ac:dyDescent="0.25">
      <c r="A523" s="4">
        <v>92</v>
      </c>
      <c r="B523">
        <v>150</v>
      </c>
      <c r="C523">
        <v>50</v>
      </c>
      <c r="D523">
        <v>20</v>
      </c>
      <c r="E523" s="3">
        <v>25</v>
      </c>
      <c r="F523" s="3">
        <f>1.8*E523+32</f>
        <v>77</v>
      </c>
      <c r="G523" s="3">
        <v>11</v>
      </c>
      <c r="H523" s="3">
        <f>IF(F523&gt;68,G523+(F523-68)*0.2,G671-(68-F523)*0.2)</f>
        <v>12.8</v>
      </c>
      <c r="I523" s="3">
        <v>22.5</v>
      </c>
      <c r="J523" s="3">
        <f>1.8*I523+32</f>
        <v>72.5</v>
      </c>
      <c r="K523" s="3">
        <v>3</v>
      </c>
      <c r="L523" s="3">
        <f>IF(J523&gt;67,K523+(J523-67)*0.2,K523-(67-J523)*0.2)</f>
        <v>4.0999999999999996</v>
      </c>
      <c r="M523" s="3">
        <f>(C523-H523)/C523*100</f>
        <v>74.400000000000006</v>
      </c>
      <c r="N523" s="3">
        <f>100-(M523+O523)</f>
        <v>17.399999999999991</v>
      </c>
      <c r="O523" s="3">
        <f>L523/C523*100</f>
        <v>8.1999999999999993</v>
      </c>
      <c r="P523" s="1" t="s">
        <v>0</v>
      </c>
      <c r="Q523" s="15">
        <v>407476.66800000001</v>
      </c>
      <c r="R523" s="15">
        <v>3659896.5</v>
      </c>
      <c r="T523">
        <v>2009033</v>
      </c>
      <c r="U523" t="s">
        <v>181</v>
      </c>
      <c r="V523">
        <v>6.8040000000000003E-2</v>
      </c>
      <c r="W523">
        <v>0.38917000000000002</v>
      </c>
      <c r="X523">
        <v>2.5839999999999998E-2</v>
      </c>
      <c r="Y523">
        <v>1.31304</v>
      </c>
      <c r="Z523">
        <v>12.416689999999999</v>
      </c>
      <c r="AA523">
        <v>8.3409899999999997</v>
      </c>
      <c r="AB523">
        <v>-1.5718099999999999</v>
      </c>
      <c r="AC523" s="23">
        <v>6.7180000000000004E-2</v>
      </c>
      <c r="AD523" s="23">
        <v>0.39338000000000001</v>
      </c>
      <c r="AE523" s="23">
        <v>2.376E-2</v>
      </c>
      <c r="AF523" s="23">
        <v>1.3366499999999999</v>
      </c>
      <c r="AG523" s="23">
        <v>12.20223</v>
      </c>
      <c r="AH523" s="23">
        <v>7.9429999999999996</v>
      </c>
      <c r="AI523" s="23">
        <v>-1.3598300000000001</v>
      </c>
      <c r="AJ523" s="25">
        <v>0.50842624999999997</v>
      </c>
      <c r="AK523" s="25">
        <v>0.39282806051700497</v>
      </c>
      <c r="AL523" s="25">
        <v>0.2272803630988392</v>
      </c>
      <c r="AM523" s="25">
        <v>0.1122961142568194</v>
      </c>
      <c r="AN523" s="24">
        <v>1.6090056396299368</v>
      </c>
      <c r="AO523" s="23">
        <v>-99</v>
      </c>
    </row>
    <row r="524" spans="1:41" x14ac:dyDescent="0.25">
      <c r="A524" s="4">
        <v>92</v>
      </c>
      <c r="B524">
        <v>180</v>
      </c>
      <c r="C524">
        <v>50</v>
      </c>
      <c r="D524">
        <v>20</v>
      </c>
      <c r="E524" s="3">
        <v>25</v>
      </c>
      <c r="F524" s="3">
        <f>1.8*E524+32</f>
        <v>77</v>
      </c>
      <c r="G524" s="3">
        <v>15</v>
      </c>
      <c r="H524" s="3">
        <f>IF(F524&gt;68,G524+(F524-68)*0.2,G672-(68-F524)*0.2)</f>
        <v>16.8</v>
      </c>
      <c r="I524" s="3">
        <v>22.5</v>
      </c>
      <c r="J524" s="3">
        <f>1.8*I524+32</f>
        <v>72.5</v>
      </c>
      <c r="K524" s="3">
        <v>8</v>
      </c>
      <c r="L524" s="3">
        <f>IF(J524&gt;67,K524+(J524-67)*0.2,K524-(67-J524)*0.2)</f>
        <v>9.1</v>
      </c>
      <c r="M524" s="3">
        <f>(C524-H524)/C524*100</f>
        <v>66.400000000000006</v>
      </c>
      <c r="N524" s="3">
        <f>100-(M524+O524)</f>
        <v>15.399999999999991</v>
      </c>
      <c r="O524" s="3">
        <f>L524/C524*100</f>
        <v>18.2</v>
      </c>
      <c r="P524" s="1" t="s">
        <v>0</v>
      </c>
      <c r="Q524" s="15">
        <v>407476.66800000001</v>
      </c>
      <c r="R524" s="15">
        <v>3659896.5</v>
      </c>
      <c r="T524">
        <v>2009033</v>
      </c>
      <c r="U524" t="s">
        <v>180</v>
      </c>
      <c r="V524">
        <v>7.0639999999999994E-2</v>
      </c>
      <c r="W524">
        <v>0.40215000000000001</v>
      </c>
      <c r="X524">
        <v>2.0389999999999998E-2</v>
      </c>
      <c r="Y524">
        <v>1.3531</v>
      </c>
      <c r="Z524">
        <v>9.3070500000000003</v>
      </c>
      <c r="AA524">
        <v>6.4816000000000003</v>
      </c>
      <c r="AB524">
        <v>-1.17449</v>
      </c>
      <c r="AC524" s="23">
        <v>6.6610000000000003E-2</v>
      </c>
      <c r="AD524" s="23">
        <v>0.38645000000000002</v>
      </c>
      <c r="AE524" s="23">
        <v>2.6550000000000001E-2</v>
      </c>
      <c r="AF524" s="23">
        <v>1.3142</v>
      </c>
      <c r="AG524" s="23">
        <v>13.56</v>
      </c>
      <c r="AH524" s="23">
        <v>8.7363499999999998</v>
      </c>
      <c r="AI524" s="23">
        <v>-1.5837300000000001</v>
      </c>
      <c r="AJ524" s="25">
        <v>0.56500000000000006</v>
      </c>
      <c r="AK524" s="25">
        <v>0.38580418640478564</v>
      </c>
      <c r="AL524" s="25">
        <v>0.22575059489216673</v>
      </c>
      <c r="AM524" s="25">
        <v>0.11535432929774561</v>
      </c>
      <c r="AN524" s="24">
        <v>1.6276189060273181</v>
      </c>
      <c r="AO524" s="23">
        <v>-99</v>
      </c>
    </row>
    <row r="525" spans="1:41" x14ac:dyDescent="0.25">
      <c r="Q525" s="18"/>
      <c r="R525" s="18"/>
      <c r="T525">
        <v>2009033</v>
      </c>
      <c r="U525" t="s">
        <v>179</v>
      </c>
      <c r="V525">
        <v>7.417E-2</v>
      </c>
      <c r="W525">
        <v>0.40005000000000002</v>
      </c>
      <c r="X525">
        <v>2.3869999999999999E-2</v>
      </c>
      <c r="Y525">
        <v>1.30263</v>
      </c>
      <c r="Z525">
        <v>8.8536800000000007</v>
      </c>
      <c r="AA525">
        <v>7.0669199999999996</v>
      </c>
      <c r="AB525">
        <v>-1.5873200000000001</v>
      </c>
      <c r="AC525" s="23">
        <v>6.3530000000000003E-2</v>
      </c>
      <c r="AD525" s="23">
        <v>0.38647999999999999</v>
      </c>
      <c r="AE525" s="23">
        <v>2.6440000000000002E-2</v>
      </c>
      <c r="AF525" s="23">
        <v>1.33294</v>
      </c>
      <c r="AG525" s="23">
        <v>15.674250000000001</v>
      </c>
      <c r="AH525" s="23">
        <v>9.3265100000000007</v>
      </c>
      <c r="AI525" s="23">
        <v>-1.45194</v>
      </c>
      <c r="AJ525" s="25">
        <v>0.65309375000000003</v>
      </c>
      <c r="AK525" s="25">
        <v>0.38584682101989676</v>
      </c>
      <c r="AL525" s="25">
        <v>0.21798137589978264</v>
      </c>
      <c r="AM525" s="25">
        <v>0.10758573269052604</v>
      </c>
      <c r="AN525" s="24">
        <v>1.6275059242972736</v>
      </c>
      <c r="AO525" s="23">
        <v>-99</v>
      </c>
    </row>
    <row r="526" spans="1:41" ht="51.75" x14ac:dyDescent="0.25">
      <c r="A526" s="14" t="s">
        <v>21</v>
      </c>
      <c r="B526" s="9" t="s">
        <v>20</v>
      </c>
      <c r="C526" s="13" t="s">
        <v>19</v>
      </c>
      <c r="D526" s="12" t="s">
        <v>18</v>
      </c>
      <c r="E526" s="11" t="s">
        <v>17</v>
      </c>
      <c r="F526" s="11" t="s">
        <v>16</v>
      </c>
      <c r="G526" s="11" t="s">
        <v>15</v>
      </c>
      <c r="H526" s="11" t="s">
        <v>14</v>
      </c>
      <c r="I526" s="11" t="s">
        <v>13</v>
      </c>
      <c r="J526" s="11" t="s">
        <v>12</v>
      </c>
      <c r="K526" s="11" t="s">
        <v>11</v>
      </c>
      <c r="L526" s="11" t="s">
        <v>10</v>
      </c>
      <c r="M526" s="10" t="s">
        <v>9</v>
      </c>
      <c r="N526" s="10" t="s">
        <v>8</v>
      </c>
      <c r="O526" s="10" t="s">
        <v>7</v>
      </c>
      <c r="P526" s="9" t="s">
        <v>6</v>
      </c>
      <c r="Q526" s="8" t="s">
        <v>5</v>
      </c>
      <c r="R526" s="7"/>
      <c r="T526">
        <v>2009033</v>
      </c>
      <c r="U526" t="s">
        <v>178</v>
      </c>
      <c r="V526">
        <v>6.7180000000000004E-2</v>
      </c>
      <c r="W526">
        <v>0.39338000000000001</v>
      </c>
      <c r="X526">
        <v>2.376E-2</v>
      </c>
      <c r="Y526">
        <v>1.3366499999999999</v>
      </c>
      <c r="Z526">
        <v>12.20223</v>
      </c>
      <c r="AA526">
        <v>7.9429999999999996</v>
      </c>
      <c r="AB526">
        <v>-1.3598300000000001</v>
      </c>
      <c r="AC526" s="23">
        <v>6.0409999999999998E-2</v>
      </c>
      <c r="AD526" s="23">
        <v>0.38201000000000002</v>
      </c>
      <c r="AE526" s="23">
        <v>2.8289999999999999E-2</v>
      </c>
      <c r="AF526" s="23">
        <v>1.3405899999999999</v>
      </c>
      <c r="AG526" s="23">
        <v>19.313610000000001</v>
      </c>
      <c r="AH526" s="23">
        <v>10.54565</v>
      </c>
      <c r="AI526" s="23">
        <v>-1.45573</v>
      </c>
      <c r="AJ526" s="25">
        <v>0.80473375000000003</v>
      </c>
      <c r="AK526" s="25">
        <v>0.38132727231707203</v>
      </c>
      <c r="AL526" s="25">
        <v>0.20839905873169448</v>
      </c>
      <c r="AM526" s="25">
        <v>0.10136494461492271</v>
      </c>
      <c r="AN526" s="24">
        <v>1.6394827283597593</v>
      </c>
      <c r="AO526" s="23">
        <v>-99</v>
      </c>
    </row>
    <row r="527" spans="1:41" x14ac:dyDescent="0.25"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1"/>
      <c r="Q527" s="5" t="s">
        <v>4</v>
      </c>
      <c r="R527" s="5" t="s">
        <v>3</v>
      </c>
      <c r="S527" s="1"/>
      <c r="T527">
        <v>2009033</v>
      </c>
      <c r="U527" t="s">
        <v>177</v>
      </c>
      <c r="V527">
        <v>6.6610000000000003E-2</v>
      </c>
      <c r="W527">
        <v>0.38645000000000002</v>
      </c>
      <c r="X527">
        <v>2.6550000000000001E-2</v>
      </c>
      <c r="Y527">
        <v>1.3142</v>
      </c>
      <c r="Z527">
        <v>13.56</v>
      </c>
      <c r="AA527">
        <v>8.7363499999999998</v>
      </c>
      <c r="AB527">
        <v>-1.5837300000000001</v>
      </c>
      <c r="AC527" s="23">
        <v>5.7439999999999998E-2</v>
      </c>
      <c r="AD527" s="23">
        <v>0.38169999999999998</v>
      </c>
      <c r="AE527" s="23">
        <v>2.9100000000000001E-2</v>
      </c>
      <c r="AF527" s="23">
        <v>1.35561</v>
      </c>
      <c r="AG527" s="23">
        <v>22.896809999999999</v>
      </c>
      <c r="AH527" s="23">
        <v>11.62346</v>
      </c>
      <c r="AI527" s="23">
        <v>-1.3858299999999999</v>
      </c>
      <c r="AJ527" s="25">
        <v>0.9540337499999999</v>
      </c>
      <c r="AK527" s="25">
        <v>0.3809999788612729</v>
      </c>
      <c r="AL527" s="25">
        <v>0.20033485211512347</v>
      </c>
      <c r="AM527" s="25">
        <v>9.4770046815521924E-2</v>
      </c>
      <c r="AN527" s="24">
        <v>1.6403500560176267</v>
      </c>
      <c r="AO527" s="23">
        <v>-99</v>
      </c>
    </row>
    <row r="528" spans="1:41" x14ac:dyDescent="0.25">
      <c r="A528" s="4">
        <v>93</v>
      </c>
      <c r="B528">
        <v>30</v>
      </c>
      <c r="C528">
        <v>50</v>
      </c>
      <c r="D528">
        <v>20</v>
      </c>
      <c r="E528" s="3">
        <v>25</v>
      </c>
      <c r="F528" s="3">
        <f>1.8*E528+32</f>
        <v>77</v>
      </c>
      <c r="G528" s="3">
        <v>14</v>
      </c>
      <c r="H528" s="3">
        <f>IF(F528&gt;68,G528+(F528-68)*0.2,G676-(68-F528)*0.2)</f>
        <v>15.8</v>
      </c>
      <c r="I528" s="3">
        <v>22.5</v>
      </c>
      <c r="J528" s="3">
        <f>1.8*I528+32</f>
        <v>72.5</v>
      </c>
      <c r="K528" s="3">
        <v>8</v>
      </c>
      <c r="L528" s="3">
        <f>IF(J528&gt;67,K528+(J528-67)*0.2,K528-(67-J528)*0.2)</f>
        <v>9.1</v>
      </c>
      <c r="M528" s="3">
        <f>(C528-H528)/C528*100</f>
        <v>68.400000000000006</v>
      </c>
      <c r="N528" s="3">
        <f>100-(M528+O528)</f>
        <v>13.399999999999991</v>
      </c>
      <c r="O528" s="3">
        <f>L528/C528*100</f>
        <v>18.2</v>
      </c>
      <c r="P528" s="1" t="s">
        <v>0</v>
      </c>
      <c r="Q528" s="15">
        <v>407476.66800000001</v>
      </c>
      <c r="R528" s="15">
        <v>3659923</v>
      </c>
      <c r="S528" s="17"/>
      <c r="T528">
        <v>2009033</v>
      </c>
      <c r="U528" t="s">
        <v>176</v>
      </c>
      <c r="V528">
        <v>6.3530000000000003E-2</v>
      </c>
      <c r="W528">
        <v>0.38647999999999999</v>
      </c>
      <c r="X528">
        <v>2.6440000000000002E-2</v>
      </c>
      <c r="Y528">
        <v>1.33294</v>
      </c>
      <c r="Z528">
        <v>15.674250000000001</v>
      </c>
      <c r="AA528">
        <v>9.3265100000000007</v>
      </c>
      <c r="AB528">
        <v>-1.45194</v>
      </c>
      <c r="AC528" s="23">
        <v>5.9920000000000001E-2</v>
      </c>
      <c r="AD528" s="23">
        <v>0.38078000000000001</v>
      </c>
      <c r="AE528" s="23">
        <v>2.869E-2</v>
      </c>
      <c r="AF528" s="23">
        <v>1.34311</v>
      </c>
      <c r="AG528" s="23">
        <v>20.161449999999999</v>
      </c>
      <c r="AH528" s="23">
        <v>10.793659999999999</v>
      </c>
      <c r="AI528" s="23">
        <v>-1.4553100000000001</v>
      </c>
      <c r="AJ528" s="25">
        <v>0.84006041666666664</v>
      </c>
      <c r="AK528" s="25">
        <v>0.38008833516581952</v>
      </c>
      <c r="AL528" s="25">
        <v>0.20606354255173484</v>
      </c>
      <c r="AM528" s="25">
        <v>9.9969103880104854E-2</v>
      </c>
      <c r="AN528" s="24">
        <v>1.6427659118105782</v>
      </c>
      <c r="AO528" s="23">
        <v>-99</v>
      </c>
    </row>
    <row r="529" spans="1:41" x14ac:dyDescent="0.25">
      <c r="A529" s="4">
        <v>93</v>
      </c>
      <c r="B529">
        <v>60</v>
      </c>
      <c r="C529">
        <v>50</v>
      </c>
      <c r="D529">
        <v>20</v>
      </c>
      <c r="E529" s="3">
        <v>25</v>
      </c>
      <c r="F529" s="3">
        <f>1.8*E529+32</f>
        <v>77</v>
      </c>
      <c r="G529" s="3">
        <v>13</v>
      </c>
      <c r="H529" s="3">
        <f>IF(F529&gt;68,G529+(F529-68)*0.2,G677-(68-F529)*0.2)</f>
        <v>14.8</v>
      </c>
      <c r="I529" s="3">
        <v>22.5</v>
      </c>
      <c r="J529" s="3">
        <f>1.8*I529+32</f>
        <v>72.5</v>
      </c>
      <c r="K529" s="3">
        <v>8</v>
      </c>
      <c r="L529" s="3">
        <f>IF(J529&gt;67,K529+(J529-67)*0.2,K529-(67-J529)*0.2)</f>
        <v>9.1</v>
      </c>
      <c r="M529" s="3">
        <f>(C529-H529)/C529*100</f>
        <v>70.400000000000006</v>
      </c>
      <c r="N529" s="3">
        <f>100-(M529+O529)</f>
        <v>11.399999999999991</v>
      </c>
      <c r="O529" s="3">
        <f>L529/C529*100</f>
        <v>18.2</v>
      </c>
      <c r="P529" s="1" t="s">
        <v>0</v>
      </c>
      <c r="Q529" s="15">
        <v>407476.66800000001</v>
      </c>
      <c r="R529" s="15">
        <v>3659923</v>
      </c>
      <c r="S529" s="17"/>
      <c r="T529">
        <v>2009033</v>
      </c>
      <c r="U529" t="s">
        <v>175</v>
      </c>
      <c r="V529">
        <v>6.0409999999999998E-2</v>
      </c>
      <c r="W529">
        <v>0.38201000000000002</v>
      </c>
      <c r="X529">
        <v>2.8289999999999999E-2</v>
      </c>
      <c r="Y529">
        <v>1.3405899999999999</v>
      </c>
      <c r="Z529">
        <v>19.313610000000001</v>
      </c>
      <c r="AA529">
        <v>10.54565</v>
      </c>
      <c r="AB529">
        <v>-1.45573</v>
      </c>
      <c r="AC529" s="23">
        <v>4.8140000000000002E-2</v>
      </c>
      <c r="AD529" s="23">
        <v>0.38107999999999997</v>
      </c>
      <c r="AE529" s="23">
        <v>3.3939999999999998E-2</v>
      </c>
      <c r="AF529" s="23">
        <v>1.4328399999999999</v>
      </c>
      <c r="AG529" s="23">
        <v>43.448970000000003</v>
      </c>
      <c r="AH529" s="23">
        <v>17.715109999999999</v>
      </c>
      <c r="AI529" s="23">
        <v>-1.1768700000000001</v>
      </c>
      <c r="AJ529" s="25">
        <v>1.8103737500000001</v>
      </c>
      <c r="AK529" s="25">
        <v>0.38029471090444389</v>
      </c>
      <c r="AL529" s="25">
        <v>0.16362244601008316</v>
      </c>
      <c r="AM529" s="25">
        <v>7.0565181456319903E-2</v>
      </c>
      <c r="AN529" s="24">
        <v>1.6422190161032237</v>
      </c>
      <c r="AO529" s="23">
        <v>-99</v>
      </c>
    </row>
    <row r="530" spans="1:41" x14ac:dyDescent="0.25">
      <c r="A530" s="4">
        <v>93</v>
      </c>
      <c r="B530">
        <v>90</v>
      </c>
      <c r="C530">
        <v>50</v>
      </c>
      <c r="D530">
        <v>20</v>
      </c>
      <c r="E530" s="3">
        <v>25.5</v>
      </c>
      <c r="F530" s="3">
        <f>1.8*E530+32</f>
        <v>77.900000000000006</v>
      </c>
      <c r="G530" s="3">
        <v>18</v>
      </c>
      <c r="H530" s="3">
        <f>IF(F530&gt;68,G530+(F530-68)*0.2,G678-(68-F530)*0.2)</f>
        <v>19.98</v>
      </c>
      <c r="I530" s="3">
        <v>22.5</v>
      </c>
      <c r="J530" s="3">
        <f>1.8*I530+32</f>
        <v>72.5</v>
      </c>
      <c r="K530" s="3">
        <v>10</v>
      </c>
      <c r="L530" s="3">
        <f>IF(J530&gt;67,K530+(J530-67)*0.2,K530-(67-J530)*0.2)</f>
        <v>11.1</v>
      </c>
      <c r="M530" s="3">
        <f>(C530-H530)/C530*100</f>
        <v>60.040000000000006</v>
      </c>
      <c r="N530" s="3">
        <f>100-(M530+O530)</f>
        <v>17.759999999999991</v>
      </c>
      <c r="O530" s="3">
        <f>L530/C530*100</f>
        <v>22.2</v>
      </c>
      <c r="P530" s="1" t="s">
        <v>2</v>
      </c>
      <c r="Q530" s="15">
        <v>407476.66800000001</v>
      </c>
      <c r="R530" s="15">
        <v>3659923</v>
      </c>
      <c r="S530" s="17"/>
      <c r="T530">
        <v>2009033</v>
      </c>
      <c r="U530" t="s">
        <v>174</v>
      </c>
      <c r="V530">
        <v>5.7439999999999998E-2</v>
      </c>
      <c r="W530">
        <v>0.38169999999999998</v>
      </c>
      <c r="X530">
        <v>2.9100000000000001E-2</v>
      </c>
      <c r="Y530">
        <v>1.35561</v>
      </c>
      <c r="Z530">
        <v>22.896809999999999</v>
      </c>
      <c r="AA530">
        <v>11.62346</v>
      </c>
      <c r="AB530">
        <v>-1.3858299999999999</v>
      </c>
      <c r="AC530" s="23">
        <v>5.9979999999999999E-2</v>
      </c>
      <c r="AD530" s="23">
        <v>0.38475999999999999</v>
      </c>
      <c r="AE530" s="23">
        <v>2.733E-2</v>
      </c>
      <c r="AF530" s="23">
        <v>1.34639</v>
      </c>
      <c r="AG530" s="23">
        <v>19.03753</v>
      </c>
      <c r="AH530" s="23">
        <v>10.35416</v>
      </c>
      <c r="AI530" s="23">
        <v>-1.3890800000000001</v>
      </c>
      <c r="AJ530" s="25">
        <v>0.79323041666666672</v>
      </c>
      <c r="AK530" s="25">
        <v>0.38410693863052592</v>
      </c>
      <c r="AL530" s="25">
        <v>0.2091908167688214</v>
      </c>
      <c r="AM530" s="25">
        <v>0.10039396973161199</v>
      </c>
      <c r="AN530" s="24">
        <v>1.6321166126291062</v>
      </c>
      <c r="AO530" s="23">
        <v>-99</v>
      </c>
    </row>
    <row r="531" spans="1:41" x14ac:dyDescent="0.25">
      <c r="A531" s="4">
        <v>93</v>
      </c>
      <c r="B531">
        <v>120</v>
      </c>
      <c r="C531">
        <v>50</v>
      </c>
      <c r="D531">
        <v>20</v>
      </c>
      <c r="E531" s="3">
        <v>25.5</v>
      </c>
      <c r="F531" s="3">
        <f>1.8*E531+32</f>
        <v>77.900000000000006</v>
      </c>
      <c r="G531" s="3">
        <v>18</v>
      </c>
      <c r="H531" s="3">
        <f>IF(F531&gt;68,G531+(F531-68)*0.2,G679-(68-F531)*0.2)</f>
        <v>19.98</v>
      </c>
      <c r="I531" s="3">
        <v>22.5</v>
      </c>
      <c r="J531" s="3">
        <f>1.8*I531+32</f>
        <v>72.5</v>
      </c>
      <c r="K531" s="3">
        <v>11</v>
      </c>
      <c r="L531" s="3">
        <f>IF(J531&gt;67,K531+(J531-67)*0.2,K531-(67-J531)*0.2)</f>
        <v>12.1</v>
      </c>
      <c r="M531" s="3">
        <f>(C531-H531)/C531*100</f>
        <v>60.040000000000006</v>
      </c>
      <c r="N531" s="3">
        <f>100-(M531+O531)</f>
        <v>15.759999999999991</v>
      </c>
      <c r="O531" s="3">
        <f>L531/C531*100</f>
        <v>24.2</v>
      </c>
      <c r="P531" s="1" t="s">
        <v>2</v>
      </c>
      <c r="Q531" s="15">
        <v>407476.66800000001</v>
      </c>
      <c r="R531" s="15">
        <v>3659923</v>
      </c>
      <c r="S531" s="17"/>
      <c r="T531">
        <v>2009033</v>
      </c>
      <c r="U531" t="s">
        <v>173</v>
      </c>
      <c r="V531">
        <v>5.9920000000000001E-2</v>
      </c>
      <c r="W531">
        <v>0.38078000000000001</v>
      </c>
      <c r="X531">
        <v>2.869E-2</v>
      </c>
      <c r="Y531">
        <v>1.34311</v>
      </c>
      <c r="Z531">
        <v>20.161449999999999</v>
      </c>
      <c r="AA531">
        <v>10.793659999999999</v>
      </c>
      <c r="AB531">
        <v>-1.4553100000000001</v>
      </c>
      <c r="AC531" s="23">
        <v>6.3380000000000006E-2</v>
      </c>
      <c r="AD531" s="23">
        <v>0.38441999999999998</v>
      </c>
      <c r="AE531" s="23">
        <v>2.7179999999999999E-2</v>
      </c>
      <c r="AF531" s="23">
        <v>1.3284100000000001</v>
      </c>
      <c r="AG531" s="23">
        <v>16.107610000000001</v>
      </c>
      <c r="AH531" s="23">
        <v>9.5432600000000001</v>
      </c>
      <c r="AI531" s="23">
        <v>-1.5024299999999999</v>
      </c>
      <c r="AJ531" s="25">
        <v>0.67115041666666675</v>
      </c>
      <c r="AK531" s="25">
        <v>0.38376318968128265</v>
      </c>
      <c r="AL531" s="25">
        <v>0.21711262572577694</v>
      </c>
      <c r="AM531" s="25">
        <v>0.10797237237712226</v>
      </c>
      <c r="AN531" s="24">
        <v>1.633027547344601</v>
      </c>
      <c r="AO531" s="23">
        <v>-99</v>
      </c>
    </row>
    <row r="532" spans="1:41" x14ac:dyDescent="0.25">
      <c r="A532" s="4">
        <v>93</v>
      </c>
      <c r="B532">
        <v>150</v>
      </c>
      <c r="C532">
        <v>50</v>
      </c>
      <c r="D532">
        <v>20</v>
      </c>
      <c r="E532" s="3">
        <v>25.5</v>
      </c>
      <c r="F532" s="3">
        <f>1.8*E532+32</f>
        <v>77.900000000000006</v>
      </c>
      <c r="G532" s="3">
        <v>15</v>
      </c>
      <c r="H532" s="3">
        <f>IF(F532&gt;68,G532+(F532-68)*0.2,G680-(68-F532)*0.2)</f>
        <v>16.98</v>
      </c>
      <c r="I532" s="3">
        <v>22.5</v>
      </c>
      <c r="J532" s="3">
        <f>1.8*I532+32</f>
        <v>72.5</v>
      </c>
      <c r="K532" s="3">
        <v>8</v>
      </c>
      <c r="L532" s="3">
        <f>IF(J532&gt;67,K532+(J532-67)*0.2,K532-(67-J532)*0.2)</f>
        <v>9.1</v>
      </c>
      <c r="M532" s="3">
        <f>(C532-H532)/C532*100</f>
        <v>66.039999999999992</v>
      </c>
      <c r="N532" s="3">
        <f>100-(M532+O532)</f>
        <v>15.760000000000005</v>
      </c>
      <c r="O532" s="3">
        <f>L532/C532*100</f>
        <v>18.2</v>
      </c>
      <c r="P532" s="1" t="s">
        <v>0</v>
      </c>
      <c r="Q532" s="15">
        <v>407476.66800000001</v>
      </c>
      <c r="R532" s="15">
        <v>3659923</v>
      </c>
      <c r="S532" s="17"/>
      <c r="T532">
        <v>2009033</v>
      </c>
      <c r="U532" t="s">
        <v>172</v>
      </c>
      <c r="V532">
        <v>4.8140000000000002E-2</v>
      </c>
      <c r="W532">
        <v>0.38107999999999997</v>
      </c>
      <c r="X532">
        <v>3.3939999999999998E-2</v>
      </c>
      <c r="Y532">
        <v>1.4328399999999999</v>
      </c>
      <c r="Z532">
        <v>43.448970000000003</v>
      </c>
      <c r="AA532">
        <v>17.715109999999999</v>
      </c>
      <c r="AB532">
        <v>-1.1768700000000001</v>
      </c>
      <c r="AC532" s="23">
        <v>6.3250000000000001E-2</v>
      </c>
      <c r="AD532" s="23">
        <v>0.38191000000000003</v>
      </c>
      <c r="AE532" s="23">
        <v>2.7789999999999999E-2</v>
      </c>
      <c r="AF532" s="23">
        <v>1.3250299999999999</v>
      </c>
      <c r="AG532" s="23">
        <v>16.538779999999999</v>
      </c>
      <c r="AH532" s="23">
        <v>9.6925000000000008</v>
      </c>
      <c r="AI532" s="23">
        <v>-1.5456799999999999</v>
      </c>
      <c r="AJ532" s="25">
        <v>0.68911583333333326</v>
      </c>
      <c r="AK532" s="25">
        <v>0.38123579057632695</v>
      </c>
      <c r="AL532" s="25">
        <v>0.21593501162585774</v>
      </c>
      <c r="AM532" s="25">
        <v>0.10809557041699841</v>
      </c>
      <c r="AN532" s="24">
        <v>1.6397251549727336</v>
      </c>
      <c r="AO532" s="23">
        <v>-99</v>
      </c>
    </row>
    <row r="533" spans="1:41" x14ac:dyDescent="0.25">
      <c r="A533" s="4">
        <v>93</v>
      </c>
      <c r="B533">
        <v>180</v>
      </c>
      <c r="C533">
        <v>50</v>
      </c>
      <c r="D533">
        <v>20</v>
      </c>
      <c r="E533" s="3">
        <v>25.5</v>
      </c>
      <c r="F533" s="3">
        <f>1.8*E533+32</f>
        <v>77.900000000000006</v>
      </c>
      <c r="G533" s="3">
        <v>13</v>
      </c>
      <c r="H533" s="3">
        <f>IF(F533&gt;68,G533+(F533-68)*0.2,G681-(68-F533)*0.2)</f>
        <v>14.98</v>
      </c>
      <c r="I533" s="3">
        <v>22.5</v>
      </c>
      <c r="J533" s="3">
        <f>1.8*I533+32</f>
        <v>72.5</v>
      </c>
      <c r="K533" s="3">
        <v>7</v>
      </c>
      <c r="L533" s="3">
        <f>IF(J533&gt;67,K533+(J533-67)*0.2,K533-(67-J533)*0.2)</f>
        <v>8.1</v>
      </c>
      <c r="M533" s="3">
        <f>(C533-H533)/C533*100</f>
        <v>70.039999999999992</v>
      </c>
      <c r="N533" s="3">
        <f>100-(M533+O533)</f>
        <v>13.760000000000005</v>
      </c>
      <c r="O533" s="3">
        <f>L533/C533*100</f>
        <v>16.2</v>
      </c>
      <c r="P533" s="1" t="s">
        <v>0</v>
      </c>
      <c r="Q533" s="15">
        <v>407476.66800000001</v>
      </c>
      <c r="R533" s="15">
        <v>3659923</v>
      </c>
      <c r="S533" s="17"/>
      <c r="T533">
        <v>2009033</v>
      </c>
      <c r="U533" t="s">
        <v>171</v>
      </c>
      <c r="V533">
        <v>5.9979999999999999E-2</v>
      </c>
      <c r="W533">
        <v>0.38475999999999999</v>
      </c>
      <c r="X533">
        <v>2.733E-2</v>
      </c>
      <c r="Y533">
        <v>1.34639</v>
      </c>
      <c r="Z533">
        <v>19.03753</v>
      </c>
      <c r="AA533">
        <v>10.35416</v>
      </c>
      <c r="AB533">
        <v>-1.3890800000000001</v>
      </c>
      <c r="AC533" s="23">
        <v>5.7459999999999997E-2</v>
      </c>
      <c r="AD533" s="23">
        <v>0.38363000000000003</v>
      </c>
      <c r="AE533" s="23">
        <v>2.8250000000000001E-2</v>
      </c>
      <c r="AF533" s="23">
        <v>1.3557399999999999</v>
      </c>
      <c r="AG533" s="23">
        <v>21.981079999999999</v>
      </c>
      <c r="AH533" s="23">
        <v>11.281750000000001</v>
      </c>
      <c r="AI533" s="23">
        <v>-1.3553500000000001</v>
      </c>
      <c r="AJ533" s="25">
        <v>0.91587833333333324</v>
      </c>
      <c r="AK533" s="25">
        <v>0.38295358343932245</v>
      </c>
      <c r="AL533" s="25">
        <v>0.20260889614147476</v>
      </c>
      <c r="AM533" s="25">
        <v>9.5377940777039122E-2</v>
      </c>
      <c r="AN533" s="24">
        <v>1.6351730038857952</v>
      </c>
      <c r="AO533" s="23">
        <v>-99</v>
      </c>
    </row>
    <row r="534" spans="1:41" x14ac:dyDescent="0.25">
      <c r="A534" s="4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1"/>
      <c r="Q534" s="18"/>
      <c r="R534" s="18"/>
      <c r="S534" s="17"/>
      <c r="T534">
        <v>2009033</v>
      </c>
      <c r="U534" t="s">
        <v>170</v>
      </c>
      <c r="V534">
        <v>6.3380000000000006E-2</v>
      </c>
      <c r="W534">
        <v>0.38441999999999998</v>
      </c>
      <c r="X534">
        <v>2.7179999999999999E-2</v>
      </c>
      <c r="Y534">
        <v>1.3284100000000001</v>
      </c>
      <c r="Z534">
        <v>16.107610000000001</v>
      </c>
      <c r="AA534">
        <v>9.5432600000000001</v>
      </c>
      <c r="AB534">
        <v>-1.5024299999999999</v>
      </c>
      <c r="AC534" s="23">
        <v>5.3199999999999997E-2</v>
      </c>
      <c r="AD534" s="23">
        <v>0.37735999999999997</v>
      </c>
      <c r="AE534" s="23">
        <v>3.1719999999999998E-2</v>
      </c>
      <c r="AF534" s="23">
        <v>1.4299299999999999</v>
      </c>
      <c r="AG534" s="23">
        <v>38.080640000000002</v>
      </c>
      <c r="AH534" s="23">
        <v>14.76618</v>
      </c>
      <c r="AI534" s="23">
        <v>-1.2070700000000001</v>
      </c>
      <c r="AJ534" s="25">
        <v>1.5866933333333335</v>
      </c>
      <c r="AK534" s="25">
        <v>0.37666204384242985</v>
      </c>
      <c r="AL534" s="25">
        <v>0.16966498096768889</v>
      </c>
      <c r="AM534" s="25">
        <v>7.6089428917679364E-2</v>
      </c>
      <c r="AN534" s="24">
        <v>1.6518455838175607</v>
      </c>
      <c r="AO534" s="23">
        <v>-99</v>
      </c>
    </row>
    <row r="535" spans="1:41" ht="51.75" x14ac:dyDescent="0.25">
      <c r="A535" s="14" t="s">
        <v>21</v>
      </c>
      <c r="B535" s="9" t="s">
        <v>20</v>
      </c>
      <c r="C535" s="13" t="s">
        <v>19</v>
      </c>
      <c r="D535" s="12" t="s">
        <v>18</v>
      </c>
      <c r="E535" s="11" t="s">
        <v>17</v>
      </c>
      <c r="F535" s="11" t="s">
        <v>16</v>
      </c>
      <c r="G535" s="11" t="s">
        <v>15</v>
      </c>
      <c r="H535" s="11" t="s">
        <v>14</v>
      </c>
      <c r="I535" s="11" t="s">
        <v>13</v>
      </c>
      <c r="J535" s="11" t="s">
        <v>12</v>
      </c>
      <c r="K535" s="11" t="s">
        <v>11</v>
      </c>
      <c r="L535" s="11" t="s">
        <v>10</v>
      </c>
      <c r="M535" s="10" t="s">
        <v>9</v>
      </c>
      <c r="N535" s="10" t="s">
        <v>8</v>
      </c>
      <c r="O535" s="10" t="s">
        <v>7</v>
      </c>
      <c r="P535" s="9" t="s">
        <v>6</v>
      </c>
      <c r="Q535" s="21" t="s">
        <v>5</v>
      </c>
      <c r="R535" s="20"/>
      <c r="T535">
        <v>2009033</v>
      </c>
      <c r="U535" t="s">
        <v>169</v>
      </c>
      <c r="V535">
        <v>6.3250000000000001E-2</v>
      </c>
      <c r="W535">
        <v>0.38191000000000003</v>
      </c>
      <c r="X535">
        <v>2.7789999999999999E-2</v>
      </c>
      <c r="Y535">
        <v>1.3250299999999999</v>
      </c>
      <c r="Z535">
        <v>16.538779999999999</v>
      </c>
      <c r="AA535">
        <v>9.6925000000000008</v>
      </c>
      <c r="AB535">
        <v>-1.5456799999999999</v>
      </c>
      <c r="AC535" s="23">
        <v>5.0209999999999998E-2</v>
      </c>
      <c r="AD535" s="23">
        <v>0.37752999999999998</v>
      </c>
      <c r="AE535" s="23">
        <v>3.3459999999999997E-2</v>
      </c>
      <c r="AF535" s="23">
        <v>1.59145</v>
      </c>
      <c r="AG535" s="23">
        <v>70.882469999999998</v>
      </c>
      <c r="AH535" s="23">
        <v>19.232839999999999</v>
      </c>
      <c r="AI535" s="23">
        <v>-0.99875000000000003</v>
      </c>
      <c r="AJ535" s="25">
        <v>2.9534362499999998</v>
      </c>
      <c r="AK535" s="25">
        <v>0.37698597241966986</v>
      </c>
      <c r="AL535" s="25">
        <v>0.12824654004374997</v>
      </c>
      <c r="AM535" s="25">
        <v>5.8483406702039678E-2</v>
      </c>
      <c r="AN535" s="24">
        <v>1.6509871730878749</v>
      </c>
      <c r="AO535" s="23">
        <v>-99</v>
      </c>
    </row>
    <row r="536" spans="1:41" x14ac:dyDescent="0.25">
      <c r="C536" s="16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1"/>
      <c r="Q536" s="5" t="s">
        <v>4</v>
      </c>
      <c r="R536" s="5" t="s">
        <v>3</v>
      </c>
      <c r="T536">
        <v>2009033</v>
      </c>
      <c r="U536" t="s">
        <v>168</v>
      </c>
      <c r="V536">
        <v>5.7459999999999997E-2</v>
      </c>
      <c r="W536">
        <v>0.38363000000000003</v>
      </c>
      <c r="X536">
        <v>2.8250000000000001E-2</v>
      </c>
      <c r="Y536">
        <v>1.3557399999999999</v>
      </c>
      <c r="Z536">
        <v>21.981079999999999</v>
      </c>
      <c r="AA536">
        <v>11.281750000000001</v>
      </c>
      <c r="AB536">
        <v>-1.3553500000000001</v>
      </c>
      <c r="AC536" s="23">
        <v>6.2899999999999998E-2</v>
      </c>
      <c r="AD536" s="23">
        <v>0.38452999999999998</v>
      </c>
      <c r="AE536" s="23">
        <v>2.7179999999999999E-2</v>
      </c>
      <c r="AF536" s="23">
        <v>1.3312999999999999</v>
      </c>
      <c r="AG536" s="23">
        <v>16.492039999999999</v>
      </c>
      <c r="AH536" s="23">
        <v>9.6510300000000004</v>
      </c>
      <c r="AI536" s="23">
        <v>-1.48289</v>
      </c>
      <c r="AJ536" s="25">
        <v>0.68716833333333327</v>
      </c>
      <c r="AK536" s="25">
        <v>0.38387446800294084</v>
      </c>
      <c r="AL536" s="25">
        <v>0.21593700103676672</v>
      </c>
      <c r="AM536" s="25">
        <v>0.10680505136058258</v>
      </c>
      <c r="AN536" s="24">
        <v>1.6327326597922065</v>
      </c>
      <c r="AO536" s="23">
        <v>-99</v>
      </c>
    </row>
    <row r="537" spans="1:41" x14ac:dyDescent="0.25">
      <c r="A537" s="4">
        <v>94</v>
      </c>
      <c r="B537">
        <v>30</v>
      </c>
      <c r="C537" s="16">
        <v>50</v>
      </c>
      <c r="D537">
        <v>20</v>
      </c>
      <c r="E537" s="3">
        <v>23</v>
      </c>
      <c r="F537" s="3">
        <f>1.8*E537+32</f>
        <v>73.400000000000006</v>
      </c>
      <c r="G537" s="3">
        <v>15</v>
      </c>
      <c r="H537" s="3">
        <f>IF(F537&gt;68,G537+(F537-68)*0.2,G684-(68-F537)*0.2)</f>
        <v>16.080000000000002</v>
      </c>
      <c r="I537" s="3">
        <v>22</v>
      </c>
      <c r="J537" s="3">
        <f>1.8*I537+32</f>
        <v>71.599999999999994</v>
      </c>
      <c r="K537" s="3">
        <v>7</v>
      </c>
      <c r="L537" s="3">
        <f>IF(J537&gt;68,K537+(J537-68)*0.2,K537-(68-J537)*0.2)</f>
        <v>7.7199999999999989</v>
      </c>
      <c r="M537" s="3">
        <f>(C537-H537)/C537*100</f>
        <v>67.84</v>
      </c>
      <c r="N537" s="3">
        <f>100-(M537+O537)</f>
        <v>16.72</v>
      </c>
      <c r="O537" s="3">
        <f>L537/C537*100</f>
        <v>15.439999999999998</v>
      </c>
      <c r="P537" s="1" t="s">
        <v>0</v>
      </c>
      <c r="Q537" s="15">
        <v>407476.66800000001</v>
      </c>
      <c r="R537" s="15">
        <v>3659949.5</v>
      </c>
      <c r="T537">
        <v>2009033</v>
      </c>
      <c r="U537" t="s">
        <v>167</v>
      </c>
      <c r="V537">
        <v>5.3199999999999997E-2</v>
      </c>
      <c r="W537">
        <v>0.37735999999999997</v>
      </c>
      <c r="X537">
        <v>3.1719999999999998E-2</v>
      </c>
      <c r="Y537">
        <v>1.4299299999999999</v>
      </c>
      <c r="Z537">
        <v>38.080640000000002</v>
      </c>
      <c r="AA537">
        <v>14.76618</v>
      </c>
      <c r="AB537">
        <v>-1.2070700000000001</v>
      </c>
      <c r="AC537" s="23">
        <v>6.0199999999999997E-2</v>
      </c>
      <c r="AD537" s="23">
        <v>0.38652999999999998</v>
      </c>
      <c r="AE537" s="23">
        <v>2.639E-2</v>
      </c>
      <c r="AF537" s="23">
        <v>1.3499699999999999</v>
      </c>
      <c r="AG537" s="23">
        <v>18.308240000000001</v>
      </c>
      <c r="AH537" s="23">
        <v>9.9819899999999997</v>
      </c>
      <c r="AI537" s="23">
        <v>-1.34249</v>
      </c>
      <c r="AJ537" s="25">
        <v>0.76284333333333343</v>
      </c>
      <c r="AK537" s="25">
        <v>0.38590721460504718</v>
      </c>
      <c r="AL537" s="25">
        <v>0.21068455410938602</v>
      </c>
      <c r="AM537" s="25">
        <v>0.10043130662826261</v>
      </c>
      <c r="AN537" s="24">
        <v>1.6273458812966248</v>
      </c>
      <c r="AO537" s="23">
        <v>-99</v>
      </c>
    </row>
    <row r="538" spans="1:41" x14ac:dyDescent="0.25">
      <c r="A538" s="4">
        <v>94</v>
      </c>
      <c r="B538">
        <v>60</v>
      </c>
      <c r="C538" s="16">
        <v>50</v>
      </c>
      <c r="D538">
        <v>20</v>
      </c>
      <c r="E538" s="3">
        <v>23</v>
      </c>
      <c r="F538" s="3">
        <f>1.8*E538+32</f>
        <v>73.400000000000006</v>
      </c>
      <c r="G538" s="3">
        <v>14</v>
      </c>
      <c r="H538" s="3">
        <f>IF(F538&gt;68,G538+(F538-68)*0.2,G685-(68-F538)*0.2)</f>
        <v>15.080000000000002</v>
      </c>
      <c r="I538" s="3">
        <v>22</v>
      </c>
      <c r="J538" s="3">
        <f>1.8*I538+32</f>
        <v>71.599999999999994</v>
      </c>
      <c r="K538" s="3">
        <v>8</v>
      </c>
      <c r="L538" s="3">
        <f>IF(J538&gt;68,K538+(J538-68)*0.2,K538-(68-J538)*0.2)</f>
        <v>8.7199999999999989</v>
      </c>
      <c r="M538" s="3">
        <f>(C538-H538)/C538*100</f>
        <v>69.84</v>
      </c>
      <c r="N538" s="3">
        <f>100-(M538+O538)</f>
        <v>12.719999999999999</v>
      </c>
      <c r="O538" s="3">
        <f>L538/C538*100</f>
        <v>17.439999999999998</v>
      </c>
      <c r="P538" s="1" t="s">
        <v>0</v>
      </c>
      <c r="Q538" s="15">
        <v>407476.66800000001</v>
      </c>
      <c r="R538" s="15">
        <v>3659949.5</v>
      </c>
      <c r="T538">
        <v>2009033</v>
      </c>
      <c r="U538" t="s">
        <v>166</v>
      </c>
      <c r="V538">
        <v>5.0209999999999998E-2</v>
      </c>
      <c r="W538">
        <v>0.37752999999999998</v>
      </c>
      <c r="X538">
        <v>3.3459999999999997E-2</v>
      </c>
      <c r="Y538">
        <v>1.59145</v>
      </c>
      <c r="Z538">
        <v>70.882469999999998</v>
      </c>
      <c r="AA538">
        <v>19.232839999999999</v>
      </c>
      <c r="AB538">
        <v>-0.99875000000000003</v>
      </c>
      <c r="AC538" s="23">
        <v>5.7250000000000002E-2</v>
      </c>
      <c r="AD538" s="23">
        <v>0.37920999999999999</v>
      </c>
      <c r="AE538" s="23">
        <v>2.9790000000000001E-2</v>
      </c>
      <c r="AF538" s="23">
        <v>1.3622099999999999</v>
      </c>
      <c r="AG538" s="23">
        <v>24.46725</v>
      </c>
      <c r="AH538" s="23">
        <v>11.975020000000001</v>
      </c>
      <c r="AI538" s="23">
        <v>-1.38615</v>
      </c>
      <c r="AJ538" s="25">
        <v>1.0194687499999999</v>
      </c>
      <c r="AK538" s="25">
        <v>0.37849944675036168</v>
      </c>
      <c r="AL538" s="25">
        <v>0.19589113961989871</v>
      </c>
      <c r="AM538" s="25">
        <v>9.2556810671193923E-2</v>
      </c>
      <c r="AN538" s="24">
        <v>1.6469764661115414</v>
      </c>
      <c r="AO538" s="23">
        <v>-99</v>
      </c>
    </row>
    <row r="539" spans="1:41" x14ac:dyDescent="0.25">
      <c r="A539" s="4">
        <v>94</v>
      </c>
      <c r="B539">
        <v>90</v>
      </c>
      <c r="C539" s="16">
        <v>50</v>
      </c>
      <c r="D539">
        <v>20</v>
      </c>
      <c r="E539" s="3">
        <v>23</v>
      </c>
      <c r="F539" s="3">
        <f>1.8*E539+32</f>
        <v>73.400000000000006</v>
      </c>
      <c r="G539" s="3">
        <v>15</v>
      </c>
      <c r="H539" s="3">
        <f>IF(F539&gt;68,G539+(F539-68)*0.2,G686-(68-F539)*0.2)</f>
        <v>16.080000000000002</v>
      </c>
      <c r="I539" s="3">
        <v>22</v>
      </c>
      <c r="J539" s="3">
        <f>1.8*I539+32</f>
        <v>71.599999999999994</v>
      </c>
      <c r="K539" s="3">
        <v>8</v>
      </c>
      <c r="L539" s="3">
        <f>IF(J539&gt;68,K539+(J539-68)*0.2,K539-(68-J539)*0.2)</f>
        <v>8.7199999999999989</v>
      </c>
      <c r="M539" s="3">
        <f>(C539-H539)/C539*100</f>
        <v>67.84</v>
      </c>
      <c r="N539" s="3">
        <f>100-(M539+O539)</f>
        <v>14.719999999999999</v>
      </c>
      <c r="O539" s="3">
        <f>L539/C539*100</f>
        <v>17.439999999999998</v>
      </c>
      <c r="P539" s="1" t="s">
        <v>0</v>
      </c>
      <c r="Q539" s="15">
        <v>407476.66800000001</v>
      </c>
      <c r="R539" s="15">
        <v>3659949.5</v>
      </c>
      <c r="T539">
        <v>2009033</v>
      </c>
      <c r="U539" t="s">
        <v>165</v>
      </c>
      <c r="V539">
        <v>6.2899999999999998E-2</v>
      </c>
      <c r="W539">
        <v>0.38452999999999998</v>
      </c>
      <c r="X539">
        <v>2.7179999999999999E-2</v>
      </c>
      <c r="Y539">
        <v>1.3312999999999999</v>
      </c>
      <c r="Z539">
        <v>16.492039999999999</v>
      </c>
      <c r="AA539">
        <v>9.6510300000000004</v>
      </c>
      <c r="AB539">
        <v>-1.48289</v>
      </c>
      <c r="AC539" s="23">
        <v>4.7750000000000001E-2</v>
      </c>
      <c r="AD539" s="23">
        <v>0.37968000000000002</v>
      </c>
      <c r="AE539" s="23">
        <v>3.5069999999999997E-2</v>
      </c>
      <c r="AF539" s="23">
        <v>1.54043</v>
      </c>
      <c r="AG539" s="23">
        <v>63.931330000000003</v>
      </c>
      <c r="AH539" s="23">
        <v>20.61985</v>
      </c>
      <c r="AI539" s="23">
        <v>-1.0370299999999999</v>
      </c>
      <c r="AJ539" s="25">
        <v>2.6638054166666669</v>
      </c>
      <c r="AK539" s="25">
        <v>0.37901466361953601</v>
      </c>
      <c r="AL539" s="25">
        <v>0.13500378848153166</v>
      </c>
      <c r="AM539" s="25">
        <v>5.8983421863308363E-2</v>
      </c>
      <c r="AN539" s="24">
        <v>1.6456111414082297</v>
      </c>
      <c r="AO539" s="23">
        <v>-99</v>
      </c>
    </row>
    <row r="540" spans="1:41" x14ac:dyDescent="0.25">
      <c r="A540" s="4">
        <v>94</v>
      </c>
      <c r="B540">
        <v>120</v>
      </c>
      <c r="C540" s="16">
        <v>50</v>
      </c>
      <c r="D540">
        <v>20</v>
      </c>
      <c r="E540" s="3">
        <v>25</v>
      </c>
      <c r="F540" s="3">
        <f>1.8*E540+32</f>
        <v>77</v>
      </c>
      <c r="G540" s="3">
        <v>17</v>
      </c>
      <c r="H540" s="3">
        <f>IF(F540&gt;68,G540+(F540-68)*0.2,G688-(68-F540)*0.2)</f>
        <v>18.8</v>
      </c>
      <c r="I540" s="3">
        <v>23</v>
      </c>
      <c r="J540" s="3">
        <f>1.8*I540+32</f>
        <v>73.400000000000006</v>
      </c>
      <c r="K540" s="3">
        <v>10</v>
      </c>
      <c r="L540" s="3">
        <f>IF(J540&gt;68,K540+(J540-68)*0.2,K540-(68-J540)*0.2)</f>
        <v>11.080000000000002</v>
      </c>
      <c r="M540" s="3">
        <f>(C540-H540)/C540*100</f>
        <v>62.4</v>
      </c>
      <c r="N540" s="3">
        <f>100-(M540+O540)</f>
        <v>15.439999999999998</v>
      </c>
      <c r="O540" s="3">
        <f>L540/C540*100</f>
        <v>22.160000000000004</v>
      </c>
      <c r="P540" s="1" t="s">
        <v>2</v>
      </c>
      <c r="Q540" s="15">
        <v>407476.66800000001</v>
      </c>
      <c r="R540" s="15">
        <v>3659949.5</v>
      </c>
      <c r="T540">
        <v>2009033</v>
      </c>
      <c r="U540" t="s">
        <v>164</v>
      </c>
      <c r="V540">
        <v>6.0199999999999997E-2</v>
      </c>
      <c r="W540">
        <v>0.38652999999999998</v>
      </c>
      <c r="X540">
        <v>2.639E-2</v>
      </c>
      <c r="Y540">
        <v>1.3499699999999999</v>
      </c>
      <c r="Z540">
        <v>18.308240000000001</v>
      </c>
      <c r="AA540">
        <v>9.9819899999999997</v>
      </c>
      <c r="AB540">
        <v>-1.34249</v>
      </c>
      <c r="AC540" s="23">
        <v>4.6289999999999998E-2</v>
      </c>
      <c r="AD540" s="23">
        <v>0.38108999999999998</v>
      </c>
      <c r="AE540" s="23">
        <v>3.5700000000000003E-2</v>
      </c>
      <c r="AF540" s="23">
        <v>1.4967999999999999</v>
      </c>
      <c r="AG540" s="23">
        <v>56.880330000000001</v>
      </c>
      <c r="AH540" s="23">
        <v>20.83344</v>
      </c>
      <c r="AI540" s="23">
        <v>-1.07941</v>
      </c>
      <c r="AJ540" s="25">
        <v>2.37001375</v>
      </c>
      <c r="AK540" s="25">
        <v>0.38033582662198645</v>
      </c>
      <c r="AL540" s="25">
        <v>0.14337850460087465</v>
      </c>
      <c r="AM540" s="25">
        <v>6.1051343077882125E-2</v>
      </c>
      <c r="AN540" s="24">
        <v>1.6421100594517357</v>
      </c>
      <c r="AO540" s="23">
        <v>-99</v>
      </c>
    </row>
    <row r="541" spans="1:41" x14ac:dyDescent="0.25">
      <c r="A541" s="4">
        <v>94</v>
      </c>
      <c r="B541">
        <v>150</v>
      </c>
      <c r="C541" s="16">
        <v>50</v>
      </c>
      <c r="D541">
        <v>20</v>
      </c>
      <c r="E541" s="3">
        <v>25</v>
      </c>
      <c r="F541" s="3">
        <f>1.8*E541+32</f>
        <v>77</v>
      </c>
      <c r="G541" s="3">
        <v>17</v>
      </c>
      <c r="H541" s="3">
        <f>IF(F541&gt;68,G541+(F541-68)*0.2,G689-(68-F541)*0.2)</f>
        <v>18.8</v>
      </c>
      <c r="I541" s="3">
        <v>23</v>
      </c>
      <c r="J541" s="3">
        <f>1.8*I541+32</f>
        <v>73.400000000000006</v>
      </c>
      <c r="K541" s="3">
        <v>10</v>
      </c>
      <c r="L541" s="3">
        <f>IF(J541&gt;68,K541+(J541-68)*0.2,K541-(68-J541)*0.2)</f>
        <v>11.080000000000002</v>
      </c>
      <c r="M541" s="3">
        <f>(C541-H541)/C541*100</f>
        <v>62.4</v>
      </c>
      <c r="N541" s="3">
        <f>100-(M541+O541)</f>
        <v>15.439999999999998</v>
      </c>
      <c r="O541" s="3">
        <f>L541/C541*100</f>
        <v>22.160000000000004</v>
      </c>
      <c r="P541" s="1" t="s">
        <v>2</v>
      </c>
      <c r="Q541" s="15">
        <v>407476.66800000001</v>
      </c>
      <c r="R541" s="15">
        <v>3659949.5</v>
      </c>
      <c r="T541">
        <v>2009033</v>
      </c>
      <c r="U541" t="s">
        <v>163</v>
      </c>
      <c r="V541">
        <v>5.7250000000000002E-2</v>
      </c>
      <c r="W541">
        <v>0.37920999999999999</v>
      </c>
      <c r="X541">
        <v>2.9790000000000001E-2</v>
      </c>
      <c r="Y541">
        <v>1.3622099999999999</v>
      </c>
      <c r="Z541">
        <v>24.46725</v>
      </c>
      <c r="AA541">
        <v>11.975020000000001</v>
      </c>
      <c r="AB541">
        <v>-1.38615</v>
      </c>
      <c r="AC541" s="23">
        <v>4.6780000000000002E-2</v>
      </c>
      <c r="AD541" s="23">
        <v>0.38061</v>
      </c>
      <c r="AE541" s="23">
        <v>3.5529999999999999E-2</v>
      </c>
      <c r="AF541" s="23">
        <v>1.5111699999999999</v>
      </c>
      <c r="AG541" s="23">
        <v>59.221739999999997</v>
      </c>
      <c r="AH541" s="23">
        <v>20.805779999999999</v>
      </c>
      <c r="AI541" s="23">
        <v>-1.0646500000000001</v>
      </c>
      <c r="AJ541" s="25">
        <v>2.4675724999999997</v>
      </c>
      <c r="AK541" s="25">
        <v>0.3798845445793087</v>
      </c>
      <c r="AL541" s="25">
        <v>0.14043902081708068</v>
      </c>
      <c r="AM541" s="25">
        <v>6.026074551700196E-2</v>
      </c>
      <c r="AN541" s="24">
        <v>1.6433059568648321</v>
      </c>
      <c r="AO541" s="23">
        <v>-99</v>
      </c>
    </row>
    <row r="542" spans="1:41" x14ac:dyDescent="0.25">
      <c r="A542" s="4">
        <v>94</v>
      </c>
      <c r="B542">
        <v>180</v>
      </c>
      <c r="C542" s="16">
        <v>50</v>
      </c>
      <c r="D542">
        <v>20</v>
      </c>
      <c r="E542" s="3">
        <v>25</v>
      </c>
      <c r="F542" s="3">
        <f>1.8*E542+32</f>
        <v>77</v>
      </c>
      <c r="G542" s="3">
        <v>15</v>
      </c>
      <c r="H542" s="3">
        <f>IF(F542&gt;68,G542+(F542-68)*0.2,G690-(68-F542)*0.2)</f>
        <v>16.8</v>
      </c>
      <c r="I542" s="3">
        <v>23</v>
      </c>
      <c r="J542" s="3">
        <f>1.8*I542+32</f>
        <v>73.400000000000006</v>
      </c>
      <c r="K542" s="3">
        <v>9</v>
      </c>
      <c r="L542" s="3">
        <f>IF(J542&gt;68,K542+(J542-68)*0.2,K542-(68-J542)*0.2)</f>
        <v>10.080000000000002</v>
      </c>
      <c r="M542" s="3">
        <f>(C542-H542)/C542*100</f>
        <v>66.400000000000006</v>
      </c>
      <c r="N542" s="3">
        <f>100-(M542+O542)</f>
        <v>13.439999999999998</v>
      </c>
      <c r="O542" s="3">
        <f>L542/C542*100</f>
        <v>20.160000000000004</v>
      </c>
      <c r="P542" s="1" t="s">
        <v>2</v>
      </c>
      <c r="Q542" s="15">
        <v>407476.66800000001</v>
      </c>
      <c r="R542" s="15">
        <v>3659949.5</v>
      </c>
      <c r="T542">
        <v>2009033</v>
      </c>
      <c r="U542" t="s">
        <v>162</v>
      </c>
      <c r="V542">
        <v>4.7750000000000001E-2</v>
      </c>
      <c r="W542">
        <v>0.37968000000000002</v>
      </c>
      <c r="X542">
        <v>3.5069999999999997E-2</v>
      </c>
      <c r="Y542">
        <v>1.54043</v>
      </c>
      <c r="Z542">
        <v>63.931330000000003</v>
      </c>
      <c r="AA542">
        <v>20.61985</v>
      </c>
      <c r="AB542">
        <v>-1.0370299999999999</v>
      </c>
      <c r="AC542" s="23">
        <v>6.0199999999999997E-2</v>
      </c>
      <c r="AD542" s="23">
        <v>0.38652999999999998</v>
      </c>
      <c r="AE542" s="23">
        <v>2.639E-2</v>
      </c>
      <c r="AF542" s="23">
        <v>1.3499699999999999</v>
      </c>
      <c r="AG542" s="23">
        <v>18.308240000000001</v>
      </c>
      <c r="AH542" s="23">
        <v>9.9819899999999997</v>
      </c>
      <c r="AI542" s="23">
        <v>-1.34249</v>
      </c>
      <c r="AJ542" s="25">
        <v>0.76284333333333343</v>
      </c>
      <c r="AK542" s="25">
        <v>0.38590721460504718</v>
      </c>
      <c r="AL542" s="25">
        <v>0.21068455410938602</v>
      </c>
      <c r="AM542" s="25">
        <v>0.10043130662826261</v>
      </c>
      <c r="AN542" s="24">
        <v>1.6273458812966248</v>
      </c>
      <c r="AO542" s="23">
        <v>-99</v>
      </c>
    </row>
    <row r="543" spans="1:41" x14ac:dyDescent="0.25">
      <c r="Q543" s="18"/>
      <c r="R543" s="18"/>
      <c r="T543">
        <v>2009033</v>
      </c>
      <c r="U543" t="s">
        <v>161</v>
      </c>
      <c r="V543">
        <v>4.6289999999999998E-2</v>
      </c>
      <c r="W543">
        <v>0.38108999999999998</v>
      </c>
      <c r="X543">
        <v>3.5700000000000003E-2</v>
      </c>
      <c r="Y543">
        <v>1.4967999999999999</v>
      </c>
      <c r="Z543">
        <v>56.880330000000001</v>
      </c>
      <c r="AA543">
        <v>20.83344</v>
      </c>
      <c r="AB543">
        <v>-1.07941</v>
      </c>
      <c r="AC543" s="23">
        <v>6.2899999999999998E-2</v>
      </c>
      <c r="AD543" s="23">
        <v>0.38452999999999998</v>
      </c>
      <c r="AE543" s="23">
        <v>2.7179999999999999E-2</v>
      </c>
      <c r="AF543" s="23">
        <v>1.3312999999999999</v>
      </c>
      <c r="AG543" s="23">
        <v>16.492039999999999</v>
      </c>
      <c r="AH543" s="23">
        <v>9.6510300000000004</v>
      </c>
      <c r="AI543" s="23">
        <v>-1.48289</v>
      </c>
      <c r="AJ543" s="25">
        <v>0.68716833333333327</v>
      </c>
      <c r="AK543" s="25">
        <v>0.38387446800294084</v>
      </c>
      <c r="AL543" s="25">
        <v>0.21593700103676672</v>
      </c>
      <c r="AM543" s="25">
        <v>0.10680505136058258</v>
      </c>
      <c r="AN543" s="24">
        <v>1.6327326597922065</v>
      </c>
      <c r="AO543" s="23">
        <v>-99</v>
      </c>
    </row>
    <row r="544" spans="1:41" ht="51.75" x14ac:dyDescent="0.25">
      <c r="A544" s="14" t="s">
        <v>21</v>
      </c>
      <c r="B544" s="9" t="s">
        <v>20</v>
      </c>
      <c r="C544" s="13" t="s">
        <v>19</v>
      </c>
      <c r="D544" s="12" t="s">
        <v>18</v>
      </c>
      <c r="E544" s="11" t="s">
        <v>17</v>
      </c>
      <c r="F544" s="11" t="s">
        <v>16</v>
      </c>
      <c r="G544" s="11" t="s">
        <v>15</v>
      </c>
      <c r="H544" s="11" t="s">
        <v>14</v>
      </c>
      <c r="I544" s="11" t="s">
        <v>13</v>
      </c>
      <c r="J544" s="11" t="s">
        <v>12</v>
      </c>
      <c r="K544" s="11" t="s">
        <v>11</v>
      </c>
      <c r="L544" s="11" t="s">
        <v>10</v>
      </c>
      <c r="M544" s="10" t="s">
        <v>9</v>
      </c>
      <c r="N544" s="10" t="s">
        <v>8</v>
      </c>
      <c r="O544" s="10" t="s">
        <v>7</v>
      </c>
      <c r="P544" s="9" t="s">
        <v>6</v>
      </c>
      <c r="Q544" s="21" t="s">
        <v>5</v>
      </c>
      <c r="R544" s="20"/>
      <c r="T544">
        <v>2009033</v>
      </c>
      <c r="U544" t="s">
        <v>160</v>
      </c>
      <c r="V544">
        <v>4.6780000000000002E-2</v>
      </c>
      <c r="W544">
        <v>0.38061</v>
      </c>
      <c r="X544">
        <v>3.5529999999999999E-2</v>
      </c>
      <c r="Y544">
        <v>1.5111699999999999</v>
      </c>
      <c r="Z544">
        <v>59.221739999999997</v>
      </c>
      <c r="AA544">
        <v>20.805779999999999</v>
      </c>
      <c r="AB544">
        <v>-1.0646500000000001</v>
      </c>
      <c r="AC544" s="23">
        <v>5.9990000000000002E-2</v>
      </c>
      <c r="AD544" s="23">
        <v>0.38035999999999998</v>
      </c>
      <c r="AE544" s="23">
        <v>2.8750000000000001E-2</v>
      </c>
      <c r="AF544" s="23">
        <v>1.34291</v>
      </c>
      <c r="AG544" s="23">
        <v>20.172910000000002</v>
      </c>
      <c r="AH544" s="23">
        <v>10.786809999999999</v>
      </c>
      <c r="AI544" s="23">
        <v>-1.4601299999999999</v>
      </c>
      <c r="AJ544" s="25">
        <v>0.84053791666666677</v>
      </c>
      <c r="AK544" s="25">
        <v>0.37966727254066129</v>
      </c>
      <c r="AL544" s="25">
        <v>0.2058764908929987</v>
      </c>
      <c r="AM544" s="25">
        <v>9.9997809352254982E-2</v>
      </c>
      <c r="AN544" s="24">
        <v>1.6438817277672473</v>
      </c>
      <c r="AO544" s="23">
        <v>-99</v>
      </c>
    </row>
    <row r="545" spans="1:41" x14ac:dyDescent="0.25"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1"/>
      <c r="Q545" s="5" t="s">
        <v>4</v>
      </c>
      <c r="R545" s="5" t="s">
        <v>3</v>
      </c>
      <c r="T545">
        <v>2009033</v>
      </c>
      <c r="U545" t="s">
        <v>159</v>
      </c>
      <c r="V545">
        <v>6.0199999999999997E-2</v>
      </c>
      <c r="W545">
        <v>0.38652999999999998</v>
      </c>
      <c r="X545">
        <v>2.639E-2</v>
      </c>
      <c r="Y545">
        <v>1.3499699999999999</v>
      </c>
      <c r="Z545">
        <v>18.308240000000001</v>
      </c>
      <c r="AA545">
        <v>9.9819899999999997</v>
      </c>
      <c r="AB545">
        <v>-1.34249</v>
      </c>
      <c r="AC545" s="23">
        <v>5.6989999999999999E-2</v>
      </c>
      <c r="AD545" s="23">
        <v>0.38118000000000002</v>
      </c>
      <c r="AE545" s="23">
        <v>2.9409999999999999E-2</v>
      </c>
      <c r="AF545" s="23">
        <v>1.35853</v>
      </c>
      <c r="AG545" s="23">
        <v>23.75291</v>
      </c>
      <c r="AH545" s="23">
        <v>11.876139999999999</v>
      </c>
      <c r="AI545" s="23">
        <v>-1.3800699999999999</v>
      </c>
      <c r="AJ545" s="25">
        <v>0.98970458333333333</v>
      </c>
      <c r="AK545" s="25">
        <v>0.38047304950103422</v>
      </c>
      <c r="AL545" s="25">
        <v>0.19839564006834526</v>
      </c>
      <c r="AM545" s="25">
        <v>9.3516396011183084E-2</v>
      </c>
      <c r="AN545" s="24">
        <v>1.6417464188222592</v>
      </c>
      <c r="AO545" s="23">
        <v>-99</v>
      </c>
    </row>
    <row r="546" spans="1:41" x14ac:dyDescent="0.25">
      <c r="A546" s="4">
        <v>95</v>
      </c>
      <c r="B546">
        <v>30</v>
      </c>
      <c r="C546">
        <v>50</v>
      </c>
      <c r="D546">
        <v>20</v>
      </c>
      <c r="E546" s="3">
        <v>25.5</v>
      </c>
      <c r="F546" s="3">
        <f>1.8*E546+32</f>
        <v>77.900000000000006</v>
      </c>
      <c r="G546" s="3">
        <v>15</v>
      </c>
      <c r="H546" s="3">
        <f>IF(F546&gt;68,G546+(F546-68)*0.2,G694-(68-F546)*0.2)</f>
        <v>16.98</v>
      </c>
      <c r="I546" s="3">
        <v>23</v>
      </c>
      <c r="J546" s="3">
        <f>1.8*I546+32</f>
        <v>73.400000000000006</v>
      </c>
      <c r="K546" s="3">
        <v>7</v>
      </c>
      <c r="L546" s="3">
        <f>IF(J546&gt;67,K546+(J546-67)*0.2,K546-(67-J546)*0.2)</f>
        <v>8.2800000000000011</v>
      </c>
      <c r="M546" s="3">
        <f>(C546-H546)/C546*100</f>
        <v>66.039999999999992</v>
      </c>
      <c r="N546" s="3">
        <f>100-(M546+O546)</f>
        <v>17.400000000000006</v>
      </c>
      <c r="O546" s="3">
        <f>L546/C546*100</f>
        <v>16.560000000000002</v>
      </c>
      <c r="P546" s="1" t="s">
        <v>0</v>
      </c>
      <c r="Q546" s="15">
        <v>407476.66800000001</v>
      </c>
      <c r="R546" s="15">
        <v>3659976</v>
      </c>
      <c r="T546">
        <v>2009033</v>
      </c>
      <c r="U546" t="s">
        <v>158</v>
      </c>
      <c r="V546">
        <v>6.2899999999999998E-2</v>
      </c>
      <c r="W546">
        <v>0.38452999999999998</v>
      </c>
      <c r="X546">
        <v>2.7179999999999999E-2</v>
      </c>
      <c r="Y546">
        <v>1.3312999999999999</v>
      </c>
      <c r="Z546">
        <v>16.492039999999999</v>
      </c>
      <c r="AA546">
        <v>9.6510300000000004</v>
      </c>
      <c r="AB546">
        <v>-1.48289</v>
      </c>
      <c r="AC546" s="23">
        <v>6.7989999999999995E-2</v>
      </c>
      <c r="AD546" s="23">
        <v>0.38518999999999998</v>
      </c>
      <c r="AE546" s="23">
        <v>2.69E-2</v>
      </c>
      <c r="AF546" s="23">
        <v>1.3014600000000001</v>
      </c>
      <c r="AG546" s="23">
        <v>13.05729</v>
      </c>
      <c r="AH546" s="23">
        <v>8.5082699999999996</v>
      </c>
      <c r="AI546" s="23">
        <v>-1.69211</v>
      </c>
      <c r="AJ546" s="25">
        <v>0.54405375</v>
      </c>
      <c r="AK546" s="25">
        <v>0.38452914219970025</v>
      </c>
      <c r="AL546" s="25">
        <v>0.22966624037067279</v>
      </c>
      <c r="AM546" s="25">
        <v>0.11995784939153047</v>
      </c>
      <c r="AN546" s="24">
        <v>1.6309977731707943</v>
      </c>
      <c r="AO546" s="23">
        <v>-99</v>
      </c>
    </row>
    <row r="547" spans="1:41" x14ac:dyDescent="0.25">
      <c r="A547" s="4">
        <v>95</v>
      </c>
      <c r="B547">
        <v>60</v>
      </c>
      <c r="C547">
        <v>50</v>
      </c>
      <c r="D547">
        <v>20</v>
      </c>
      <c r="E547" s="3">
        <v>25</v>
      </c>
      <c r="F547" s="3">
        <f>1.8*E547+32</f>
        <v>77</v>
      </c>
      <c r="G547" s="3">
        <v>15</v>
      </c>
      <c r="H547" s="3">
        <f>IF(F547&gt;68,G547+(F547-68)*0.2,G695-(68-F547)*0.2)</f>
        <v>16.8</v>
      </c>
      <c r="I547" s="3">
        <v>22.5</v>
      </c>
      <c r="J547" s="3">
        <f>1.8*I547+32</f>
        <v>72.5</v>
      </c>
      <c r="K547" s="3">
        <v>8</v>
      </c>
      <c r="L547" s="3">
        <f>IF(J547&gt;67,K547+(J547-67)*0.2,K547-(67-J547)*0.2)</f>
        <v>9.1</v>
      </c>
      <c r="M547" s="3">
        <f>(C547-H547)/C547*100</f>
        <v>66.400000000000006</v>
      </c>
      <c r="N547" s="3">
        <f>100-(M547+O547)</f>
        <v>15.399999999999991</v>
      </c>
      <c r="O547" s="3">
        <f>L547/C547*100</f>
        <v>18.2</v>
      </c>
      <c r="P547" s="1" t="s">
        <v>0</v>
      </c>
      <c r="Q547" s="15">
        <v>407476.66800000001</v>
      </c>
      <c r="R547" s="15">
        <v>3659976</v>
      </c>
      <c r="T547">
        <v>2009033</v>
      </c>
      <c r="U547" t="s">
        <v>157</v>
      </c>
      <c r="V547">
        <v>5.9990000000000002E-2</v>
      </c>
      <c r="W547">
        <v>0.38035999999999998</v>
      </c>
      <c r="X547">
        <v>2.8750000000000001E-2</v>
      </c>
      <c r="Y547">
        <v>1.34291</v>
      </c>
      <c r="Z547">
        <v>20.172910000000002</v>
      </c>
      <c r="AA547">
        <v>10.786809999999999</v>
      </c>
      <c r="AB547">
        <v>-1.4601299999999999</v>
      </c>
      <c r="AC547" s="23">
        <v>5.9950000000000003E-2</v>
      </c>
      <c r="AD547" s="23">
        <v>0.38217000000000001</v>
      </c>
      <c r="AE547" s="23">
        <v>2.8340000000000001E-2</v>
      </c>
      <c r="AF547" s="23">
        <v>1.3430599999999999</v>
      </c>
      <c r="AG547" s="23">
        <v>19.779450000000001</v>
      </c>
      <c r="AH547" s="23">
        <v>10.683590000000001</v>
      </c>
      <c r="AI547" s="23">
        <v>-1.44096</v>
      </c>
      <c r="AJ547" s="25">
        <v>0.82414375000000006</v>
      </c>
      <c r="AK547" s="25">
        <v>0.38148665451249753</v>
      </c>
      <c r="AL547" s="25">
        <v>0.20732012141945796</v>
      </c>
      <c r="AM547" s="25">
        <v>0.10035076771187568</v>
      </c>
      <c r="AN547" s="24">
        <v>1.6390603655418816</v>
      </c>
      <c r="AO547" s="23">
        <v>-99</v>
      </c>
    </row>
    <row r="548" spans="1:41" x14ac:dyDescent="0.25">
      <c r="A548" s="4">
        <v>95</v>
      </c>
      <c r="B548">
        <v>90</v>
      </c>
      <c r="C548">
        <v>50</v>
      </c>
      <c r="D548">
        <v>20</v>
      </c>
      <c r="E548" s="3">
        <v>25</v>
      </c>
      <c r="F548" s="3">
        <f>1.8*E548+32</f>
        <v>77</v>
      </c>
      <c r="G548" s="3">
        <v>13</v>
      </c>
      <c r="H548" s="3">
        <f>IF(F548&gt;68,G548+(F548-68)*0.2,G697-(68-F548)*0.2)</f>
        <v>14.8</v>
      </c>
      <c r="I548" s="3">
        <v>23</v>
      </c>
      <c r="J548" s="3">
        <f>1.8*I548+32</f>
        <v>73.400000000000006</v>
      </c>
      <c r="K548" s="3">
        <v>7</v>
      </c>
      <c r="L548" s="3">
        <f>IF(J548&gt;67,K548+(J548-67)*0.2,K548-(67-J548)*0.2)</f>
        <v>8.2800000000000011</v>
      </c>
      <c r="M548" s="3">
        <f>(C548-H548)/C548*100</f>
        <v>70.400000000000006</v>
      </c>
      <c r="N548" s="3">
        <f>100-(M548+O548)</f>
        <v>13.039999999999992</v>
      </c>
      <c r="O548" s="3">
        <f>L548/C548*100</f>
        <v>16.560000000000002</v>
      </c>
      <c r="P548" s="1" t="s">
        <v>0</v>
      </c>
      <c r="Q548" s="15">
        <v>407476.66800000001</v>
      </c>
      <c r="R548" s="15">
        <v>3659976</v>
      </c>
      <c r="T548">
        <v>2009033</v>
      </c>
      <c r="U548" t="s">
        <v>156</v>
      </c>
      <c r="V548">
        <v>5.6989999999999999E-2</v>
      </c>
      <c r="W548">
        <v>0.38118000000000002</v>
      </c>
      <c r="X548">
        <v>2.9409999999999999E-2</v>
      </c>
      <c r="Y548">
        <v>1.35853</v>
      </c>
      <c r="Z548">
        <v>23.75291</v>
      </c>
      <c r="AA548">
        <v>11.876139999999999</v>
      </c>
      <c r="AB548">
        <v>-1.3800699999999999</v>
      </c>
      <c r="AC548" s="23">
        <v>6.0069999999999998E-2</v>
      </c>
      <c r="AD548" s="23">
        <v>0.38513999999999998</v>
      </c>
      <c r="AE548" s="23">
        <v>2.7140000000000001E-2</v>
      </c>
      <c r="AF548" s="23">
        <v>1.3468199999999999</v>
      </c>
      <c r="AG548" s="23">
        <v>18.844930000000002</v>
      </c>
      <c r="AH548" s="23">
        <v>10.270009999999999</v>
      </c>
      <c r="AI548" s="23">
        <v>-1.3812500000000001</v>
      </c>
      <c r="AJ548" s="25">
        <v>0.78520541666666677</v>
      </c>
      <c r="AK548" s="25">
        <v>0.3844928399876229</v>
      </c>
      <c r="AL548" s="25">
        <v>0.20961608078624894</v>
      </c>
      <c r="AM548" s="25">
        <v>0.10051326223768323</v>
      </c>
      <c r="AN548" s="24">
        <v>1.6310939740327994</v>
      </c>
      <c r="AO548" s="23">
        <v>-99</v>
      </c>
    </row>
    <row r="549" spans="1:41" x14ac:dyDescent="0.25">
      <c r="A549" s="4">
        <v>95</v>
      </c>
      <c r="B549">
        <v>120</v>
      </c>
      <c r="C549">
        <v>50</v>
      </c>
      <c r="D549">
        <v>20</v>
      </c>
      <c r="E549" s="3">
        <v>25</v>
      </c>
      <c r="F549" s="3">
        <f>1.8*E549+32</f>
        <v>77</v>
      </c>
      <c r="G549" s="3">
        <v>12</v>
      </c>
      <c r="H549" s="3">
        <f>IF(F549&gt;68,G549+(F549-68)*0.2,G698-(68-F549)*0.2)</f>
        <v>13.8</v>
      </c>
      <c r="I549" s="3">
        <v>23</v>
      </c>
      <c r="J549" s="3">
        <f>1.8*I549+32</f>
        <v>73.400000000000006</v>
      </c>
      <c r="K549" s="3">
        <v>6</v>
      </c>
      <c r="L549" s="3">
        <f>IF(J549&gt;67,K549+(J549-67)*0.2,K549-(67-J549)*0.2)</f>
        <v>7.2800000000000011</v>
      </c>
      <c r="M549" s="3">
        <f>(C549-H549)/C549*100</f>
        <v>72.400000000000006</v>
      </c>
      <c r="N549" s="3">
        <f>100-(M549+O549)</f>
        <v>13.039999999999992</v>
      </c>
      <c r="O549" s="3">
        <f>L549/C549*100</f>
        <v>14.560000000000004</v>
      </c>
      <c r="P549" s="1" t="s">
        <v>0</v>
      </c>
      <c r="Q549" s="15">
        <v>407476.66800000001</v>
      </c>
      <c r="R549" s="15">
        <v>3659976</v>
      </c>
      <c r="T549">
        <v>2009033</v>
      </c>
      <c r="U549" t="s">
        <v>155</v>
      </c>
      <c r="V549">
        <v>6.7989999999999995E-2</v>
      </c>
      <c r="W549">
        <v>0.38518999999999998</v>
      </c>
      <c r="X549">
        <v>2.69E-2</v>
      </c>
      <c r="Y549">
        <v>1.3014600000000001</v>
      </c>
      <c r="Z549">
        <v>13.05729</v>
      </c>
      <c r="AA549">
        <v>8.5082699999999996</v>
      </c>
      <c r="AB549">
        <v>-1.69211</v>
      </c>
      <c r="AC549" s="23">
        <v>7.0550000000000002E-2</v>
      </c>
      <c r="AD549" s="23">
        <v>0.39413999999999999</v>
      </c>
      <c r="AE549" s="23">
        <v>2.46E-2</v>
      </c>
      <c r="AF549" s="23">
        <v>1.31246</v>
      </c>
      <c r="AG549" s="23">
        <v>10.6187</v>
      </c>
      <c r="AH549" s="23">
        <v>7.6853699999999998</v>
      </c>
      <c r="AI549" s="23">
        <v>-1.5401</v>
      </c>
      <c r="AJ549" s="25">
        <v>0.44244583333333337</v>
      </c>
      <c r="AK549" s="25">
        <v>0.39354734901437316</v>
      </c>
      <c r="AL549" s="25">
        <v>0.23584400246387904</v>
      </c>
      <c r="AM549" s="25">
        <v>0.12158379304044863</v>
      </c>
      <c r="AN549" s="24">
        <v>1.6070995251119111</v>
      </c>
      <c r="AO549" s="23">
        <v>-99</v>
      </c>
    </row>
    <row r="550" spans="1:41" x14ac:dyDescent="0.25">
      <c r="A550" s="4">
        <v>95</v>
      </c>
      <c r="B550">
        <v>150</v>
      </c>
      <c r="C550">
        <v>50</v>
      </c>
      <c r="D550">
        <v>20</v>
      </c>
      <c r="E550" s="3">
        <v>25</v>
      </c>
      <c r="F550" s="3">
        <f>1.8*E550+32</f>
        <v>77</v>
      </c>
      <c r="G550" s="3">
        <v>19</v>
      </c>
      <c r="H550" s="3">
        <f>IF(F550&gt;68,G550+(F550-68)*0.2,G699-(68-F550)*0.2)</f>
        <v>20.8</v>
      </c>
      <c r="I550" s="3">
        <v>23</v>
      </c>
      <c r="J550" s="3">
        <f>1.8*I550+32</f>
        <v>73.400000000000006</v>
      </c>
      <c r="K550" s="3">
        <v>11</v>
      </c>
      <c r="L550" s="3">
        <f>IF(J550&gt;67,K550+(J550-67)*0.2,K550-(67-J550)*0.2)</f>
        <v>12.280000000000001</v>
      </c>
      <c r="M550" s="3">
        <f>(C550-H550)/C550*100</f>
        <v>58.4</v>
      </c>
      <c r="N550" s="3">
        <f>100-(M550+O550)</f>
        <v>17.039999999999992</v>
      </c>
      <c r="O550" s="3">
        <f>L550/C550*100</f>
        <v>24.560000000000002</v>
      </c>
      <c r="P550" s="1" t="s">
        <v>2</v>
      </c>
      <c r="Q550" s="15">
        <v>407476.66800000001</v>
      </c>
      <c r="R550" s="15">
        <v>3659976</v>
      </c>
      <c r="T550">
        <v>2009033</v>
      </c>
      <c r="U550" t="s">
        <v>154</v>
      </c>
      <c r="V550">
        <v>5.9950000000000003E-2</v>
      </c>
      <c r="W550">
        <v>0.38217000000000001</v>
      </c>
      <c r="X550">
        <v>2.8340000000000001E-2</v>
      </c>
      <c r="Y550">
        <v>1.3430599999999999</v>
      </c>
      <c r="Z550">
        <v>19.779450000000001</v>
      </c>
      <c r="AA550">
        <v>10.683590000000001</v>
      </c>
      <c r="AB550">
        <v>-1.44096</v>
      </c>
      <c r="AC550" s="23">
        <v>5.9429999999999997E-2</v>
      </c>
      <c r="AD550" s="23">
        <v>0.38019999999999998</v>
      </c>
      <c r="AE550" s="23">
        <v>2.8930000000000001E-2</v>
      </c>
      <c r="AF550" s="23">
        <v>1.3462799999999999</v>
      </c>
      <c r="AG550" s="23">
        <v>20.909970000000001</v>
      </c>
      <c r="AH550" s="23">
        <v>11.00189</v>
      </c>
      <c r="AI550" s="23">
        <v>-1.4453</v>
      </c>
      <c r="AJ550" s="25">
        <v>0.87124875000000002</v>
      </c>
      <c r="AK550" s="25">
        <v>0.37950381821351109</v>
      </c>
      <c r="AL550" s="25">
        <v>0.20409237600519353</v>
      </c>
      <c r="AM550" s="25">
        <v>9.8592436328144309E-2</v>
      </c>
      <c r="AN550" s="24">
        <v>1.6443148817341955</v>
      </c>
      <c r="AO550" s="23">
        <v>-99</v>
      </c>
    </row>
    <row r="551" spans="1:41" x14ac:dyDescent="0.25">
      <c r="A551" s="4">
        <v>95</v>
      </c>
      <c r="B551">
        <v>180</v>
      </c>
      <c r="C551">
        <v>50</v>
      </c>
      <c r="D551">
        <v>20</v>
      </c>
      <c r="E551" s="3">
        <v>25</v>
      </c>
      <c r="F551" s="3">
        <f>1.8*E551+32</f>
        <v>77</v>
      </c>
      <c r="G551" s="3">
        <v>12</v>
      </c>
      <c r="H551" s="3">
        <f>IF(F551&gt;68,G551+(F551-68)*0.2,G700-(68-F551)*0.2)</f>
        <v>13.8</v>
      </c>
      <c r="I551" s="3">
        <v>22.5</v>
      </c>
      <c r="J551" s="3">
        <f>1.8*I551+32</f>
        <v>72.5</v>
      </c>
      <c r="K551" s="3">
        <v>7</v>
      </c>
      <c r="L551" s="3">
        <f>IF(J551&gt;67,K551+(J551-67)*0.2,K551-(67-J551)*0.2)</f>
        <v>8.1</v>
      </c>
      <c r="M551" s="3">
        <f>(C551-H551)/C551*100</f>
        <v>72.400000000000006</v>
      </c>
      <c r="N551" s="3">
        <f>100-(M551+O551)</f>
        <v>11.399999999999991</v>
      </c>
      <c r="O551" s="3">
        <f>L551/C551*100</f>
        <v>16.2</v>
      </c>
      <c r="P551" s="1" t="s">
        <v>0</v>
      </c>
      <c r="Q551" s="15">
        <v>407476.66800000001</v>
      </c>
      <c r="R551" s="15">
        <v>3659976</v>
      </c>
      <c r="T551">
        <v>2009033</v>
      </c>
      <c r="U551" t="s">
        <v>153</v>
      </c>
      <c r="V551">
        <v>6.0069999999999998E-2</v>
      </c>
      <c r="W551">
        <v>0.38513999999999998</v>
      </c>
      <c r="X551">
        <v>2.7140000000000001E-2</v>
      </c>
      <c r="Y551">
        <v>1.3468199999999999</v>
      </c>
      <c r="Z551">
        <v>18.844930000000002</v>
      </c>
      <c r="AA551">
        <v>10.270009999999999</v>
      </c>
      <c r="AB551">
        <v>-1.3812500000000001</v>
      </c>
      <c r="AC551" s="23">
        <v>5.1429999999999997E-2</v>
      </c>
      <c r="AD551" s="23">
        <v>0.37970999999999999</v>
      </c>
      <c r="AE551" s="23">
        <v>3.236E-2</v>
      </c>
      <c r="AF551" s="23">
        <v>1.4106799999999999</v>
      </c>
      <c r="AG551" s="23">
        <v>36.750039999999998</v>
      </c>
      <c r="AH551" s="23">
        <v>15.38429</v>
      </c>
      <c r="AI551" s="23">
        <v>-1.23603</v>
      </c>
      <c r="AJ551" s="25">
        <v>1.5312516666666667</v>
      </c>
      <c r="AK551" s="25">
        <v>0.37895801583977989</v>
      </c>
      <c r="AL551" s="25">
        <v>0.17386130138803857</v>
      </c>
      <c r="AM551" s="25">
        <v>7.7317876646276568E-2</v>
      </c>
      <c r="AN551" s="24">
        <v>1.6457612580245833</v>
      </c>
      <c r="AO551" s="23">
        <v>-99</v>
      </c>
    </row>
    <row r="552" spans="1:41" x14ac:dyDescent="0.25">
      <c r="Q552" s="18"/>
      <c r="R552" s="18"/>
      <c r="T552">
        <v>2009033</v>
      </c>
      <c r="U552" t="s">
        <v>152</v>
      </c>
      <c r="V552">
        <v>7.0550000000000002E-2</v>
      </c>
      <c r="W552">
        <v>0.39413999999999999</v>
      </c>
      <c r="X552">
        <v>2.46E-2</v>
      </c>
      <c r="Y552">
        <v>1.31246</v>
      </c>
      <c r="Z552">
        <v>10.6187</v>
      </c>
      <c r="AA552">
        <v>7.6853699999999998</v>
      </c>
      <c r="AB552">
        <v>-1.5401</v>
      </c>
      <c r="AC552" s="23">
        <v>5.7459999999999997E-2</v>
      </c>
      <c r="AD552" s="23">
        <v>0.37796000000000002</v>
      </c>
      <c r="AE552" s="23">
        <v>2.9829999999999999E-2</v>
      </c>
      <c r="AF552" s="23">
        <v>1.3666799999999999</v>
      </c>
      <c r="AG552" s="23">
        <v>24.930389999999999</v>
      </c>
      <c r="AH552" s="23">
        <v>11.95844</v>
      </c>
      <c r="AI552" s="23">
        <v>-1.3779999999999999</v>
      </c>
      <c r="AJ552" s="25">
        <v>1.0387662499999999</v>
      </c>
      <c r="AK552" s="25">
        <v>0.37725607014911505</v>
      </c>
      <c r="AL552" s="25">
        <v>0.1940013638225413</v>
      </c>
      <c r="AM552" s="25">
        <v>9.1644187534959981E-2</v>
      </c>
      <c r="AN552" s="24">
        <v>1.6502714141048451</v>
      </c>
      <c r="AO552" s="23">
        <v>-99</v>
      </c>
    </row>
    <row r="553" spans="1:41" ht="51.75" x14ac:dyDescent="0.25">
      <c r="A553" s="14" t="s">
        <v>21</v>
      </c>
      <c r="B553" s="9" t="s">
        <v>20</v>
      </c>
      <c r="C553" s="13" t="s">
        <v>19</v>
      </c>
      <c r="D553" s="12" t="s">
        <v>18</v>
      </c>
      <c r="E553" s="11" t="s">
        <v>17</v>
      </c>
      <c r="F553" s="11" t="s">
        <v>16</v>
      </c>
      <c r="G553" s="11" t="s">
        <v>15</v>
      </c>
      <c r="H553" s="11" t="s">
        <v>14</v>
      </c>
      <c r="I553" s="11" t="s">
        <v>13</v>
      </c>
      <c r="J553" s="11" t="s">
        <v>12</v>
      </c>
      <c r="K553" s="11" t="s">
        <v>11</v>
      </c>
      <c r="L553" s="11" t="s">
        <v>10</v>
      </c>
      <c r="M553" s="10" t="s">
        <v>9</v>
      </c>
      <c r="N553" s="10" t="s">
        <v>8</v>
      </c>
      <c r="O553" s="10" t="s">
        <v>7</v>
      </c>
      <c r="P553" s="9" t="s">
        <v>6</v>
      </c>
      <c r="Q553" s="21" t="s">
        <v>5</v>
      </c>
      <c r="R553" s="20"/>
      <c r="T553">
        <v>2009033</v>
      </c>
      <c r="U553" t="s">
        <v>151</v>
      </c>
      <c r="V553">
        <v>5.9429999999999997E-2</v>
      </c>
      <c r="W553">
        <v>0.38019999999999998</v>
      </c>
      <c r="X553">
        <v>2.8930000000000001E-2</v>
      </c>
      <c r="Y553">
        <v>1.3462799999999999</v>
      </c>
      <c r="Z553">
        <v>20.909970000000001</v>
      </c>
      <c r="AA553">
        <v>11.00189</v>
      </c>
      <c r="AB553">
        <v>-1.4453</v>
      </c>
      <c r="AC553" s="23">
        <v>5.2249999999999998E-2</v>
      </c>
      <c r="AD553" s="23">
        <v>0.38502999999999998</v>
      </c>
      <c r="AE553" s="23">
        <v>2.8049999999999999E-2</v>
      </c>
      <c r="AF553" s="23">
        <v>1.3764099999999999</v>
      </c>
      <c r="AG553" s="23">
        <v>26.746780000000001</v>
      </c>
      <c r="AH553" s="23">
        <v>12.45059</v>
      </c>
      <c r="AI553" s="23">
        <v>-1.2172099999999999</v>
      </c>
      <c r="AJ553" s="25">
        <v>1.1144491666666667</v>
      </c>
      <c r="AK553" s="25">
        <v>0.38436812532341852</v>
      </c>
      <c r="AL553" s="25">
        <v>0.19400450087373072</v>
      </c>
      <c r="AM553" s="25">
        <v>8.6480974450199255E-2</v>
      </c>
      <c r="AN553" s="24">
        <v>1.6314244678929408</v>
      </c>
      <c r="AO553" s="23">
        <v>-99</v>
      </c>
    </row>
    <row r="554" spans="1:41" x14ac:dyDescent="0.25"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1"/>
      <c r="Q554" s="5" t="s">
        <v>4</v>
      </c>
      <c r="R554" s="5" t="s">
        <v>3</v>
      </c>
      <c r="T554">
        <v>2009033</v>
      </c>
      <c r="U554" t="s">
        <v>150</v>
      </c>
      <c r="V554">
        <v>5.1429999999999997E-2</v>
      </c>
      <c r="W554">
        <v>0.37970999999999999</v>
      </c>
      <c r="X554">
        <v>3.236E-2</v>
      </c>
      <c r="Y554">
        <v>1.4106799999999999</v>
      </c>
      <c r="Z554">
        <v>36.750039999999998</v>
      </c>
      <c r="AA554">
        <v>15.38429</v>
      </c>
      <c r="AB554">
        <v>-1.23603</v>
      </c>
      <c r="AC554" s="23">
        <v>5.382E-2</v>
      </c>
      <c r="AD554" s="23">
        <v>0.37928000000000001</v>
      </c>
      <c r="AE554" s="23">
        <v>3.1210000000000002E-2</v>
      </c>
      <c r="AF554" s="23">
        <v>1.38913</v>
      </c>
      <c r="AG554" s="23">
        <v>31.10783</v>
      </c>
      <c r="AH554" s="23">
        <v>13.80349</v>
      </c>
      <c r="AI554" s="23">
        <v>-1.2956700000000001</v>
      </c>
      <c r="AJ554" s="25">
        <v>1.2961595833333333</v>
      </c>
      <c r="AK554" s="25">
        <v>0.37854551204499792</v>
      </c>
      <c r="AL554" s="25">
        <v>0.18330993895912778</v>
      </c>
      <c r="AM554" s="25">
        <v>8.3560409818381212E-2</v>
      </c>
      <c r="AN554" s="24">
        <v>1.6468543930807555</v>
      </c>
      <c r="AO554" s="23">
        <v>-99</v>
      </c>
    </row>
    <row r="555" spans="1:41" x14ac:dyDescent="0.25">
      <c r="A555" s="4">
        <v>96</v>
      </c>
      <c r="B555">
        <v>30</v>
      </c>
      <c r="C555">
        <v>50</v>
      </c>
      <c r="D555">
        <v>20</v>
      </c>
      <c r="E555" s="3">
        <v>25</v>
      </c>
      <c r="F555" s="3">
        <f>1.8*E555+32</f>
        <v>77</v>
      </c>
      <c r="G555" s="3">
        <v>15</v>
      </c>
      <c r="H555" s="3">
        <f>IF(F555&gt;68,G555+(F555-68)*0.2,G704-(68-F555)*0.2)</f>
        <v>16.8</v>
      </c>
      <c r="I555" s="3">
        <v>23</v>
      </c>
      <c r="J555" s="3">
        <f>1.8*I555+32</f>
        <v>73.400000000000006</v>
      </c>
      <c r="K555" s="3">
        <v>8</v>
      </c>
      <c r="L555" s="3">
        <f>IF(J555&gt;67,K555+(J555-67)*0.2,K555-(67-J555)*0.2)</f>
        <v>9.2800000000000011</v>
      </c>
      <c r="M555" s="3">
        <f>(C555-H555)/C555*100</f>
        <v>66.400000000000006</v>
      </c>
      <c r="N555" s="3">
        <f>100-(M555+O555)</f>
        <v>15.039999999999992</v>
      </c>
      <c r="O555" s="3">
        <f>L555/C555*100</f>
        <v>18.560000000000002</v>
      </c>
      <c r="P555" s="1" t="s">
        <v>0</v>
      </c>
      <c r="Q555" s="15">
        <v>407476.66800000001</v>
      </c>
      <c r="R555" s="15">
        <v>3660002.5</v>
      </c>
      <c r="T555">
        <v>2009033</v>
      </c>
      <c r="U555" t="s">
        <v>149</v>
      </c>
      <c r="V555">
        <v>5.7459999999999997E-2</v>
      </c>
      <c r="W555">
        <v>0.37796000000000002</v>
      </c>
      <c r="X555">
        <v>2.9829999999999999E-2</v>
      </c>
      <c r="Y555">
        <v>1.3666799999999999</v>
      </c>
      <c r="Z555">
        <v>24.930389999999999</v>
      </c>
      <c r="AA555">
        <v>11.95844</v>
      </c>
      <c r="AB555">
        <v>-1.3779999999999999</v>
      </c>
      <c r="AC555" s="23">
        <v>7.4039999999999995E-2</v>
      </c>
      <c r="AD555" s="23">
        <v>0.40118999999999999</v>
      </c>
      <c r="AE555" s="23">
        <v>2.324E-2</v>
      </c>
      <c r="AF555" s="23">
        <v>1.3097700000000001</v>
      </c>
      <c r="AG555" s="23">
        <v>8.6205499999999997</v>
      </c>
      <c r="AH555" s="23">
        <v>6.93</v>
      </c>
      <c r="AI555" s="23">
        <v>-1.51559</v>
      </c>
      <c r="AJ555" s="25">
        <v>0.35918958333333334</v>
      </c>
      <c r="AK555" s="25">
        <v>0.40063179121788961</v>
      </c>
      <c r="AL555" s="25">
        <v>0.24490371023154811</v>
      </c>
      <c r="AM555" s="25">
        <v>0.12739340296586604</v>
      </c>
      <c r="AN555" s="24">
        <v>1.5883257532725925</v>
      </c>
      <c r="AO555" s="23">
        <v>-99</v>
      </c>
    </row>
    <row r="556" spans="1:41" x14ac:dyDescent="0.25">
      <c r="A556" s="4">
        <v>96</v>
      </c>
      <c r="B556">
        <v>60</v>
      </c>
      <c r="C556">
        <v>50</v>
      </c>
      <c r="D556">
        <v>20</v>
      </c>
      <c r="E556" s="3">
        <v>25</v>
      </c>
      <c r="F556" s="3">
        <f>1.8*E556+32</f>
        <v>77</v>
      </c>
      <c r="G556" s="3">
        <v>15</v>
      </c>
      <c r="H556" s="3">
        <f>IF(F556&gt;68,G556+(F556-68)*0.2,G705-(68-F556)*0.2)</f>
        <v>16.8</v>
      </c>
      <c r="I556" s="3">
        <v>22.5</v>
      </c>
      <c r="J556" s="3">
        <f>1.8*I556+32</f>
        <v>72.5</v>
      </c>
      <c r="K556" s="3">
        <v>9</v>
      </c>
      <c r="L556" s="3">
        <f>IF(J556&gt;67,K556+(J556-67)*0.2,K556-(67-J556)*0.2)</f>
        <v>10.1</v>
      </c>
      <c r="M556" s="3">
        <f>(C556-H556)/C556*100</f>
        <v>66.400000000000006</v>
      </c>
      <c r="N556" s="3">
        <f>100-(M556+O556)</f>
        <v>13.399999999999991</v>
      </c>
      <c r="O556" s="3">
        <f>L556/C556*100</f>
        <v>20.2</v>
      </c>
      <c r="P556" s="1" t="s">
        <v>2</v>
      </c>
      <c r="Q556" s="15">
        <v>407476.66800000001</v>
      </c>
      <c r="R556" s="15">
        <v>3660002.5</v>
      </c>
      <c r="T556">
        <v>2009033</v>
      </c>
      <c r="U556" t="s">
        <v>148</v>
      </c>
      <c r="V556">
        <v>5.2249999999999998E-2</v>
      </c>
      <c r="W556">
        <v>0.38502999999999998</v>
      </c>
      <c r="X556">
        <v>2.8049999999999999E-2</v>
      </c>
      <c r="Y556">
        <v>1.3764099999999999</v>
      </c>
      <c r="Z556">
        <v>26.746780000000001</v>
      </c>
      <c r="AA556">
        <v>12.45059</v>
      </c>
      <c r="AB556">
        <v>-1.2172099999999999</v>
      </c>
      <c r="AC556" s="23">
        <v>5.9990000000000002E-2</v>
      </c>
      <c r="AD556" s="23">
        <v>0.38035999999999998</v>
      </c>
      <c r="AE556" s="23">
        <v>2.8750000000000001E-2</v>
      </c>
      <c r="AF556" s="23">
        <v>1.34291</v>
      </c>
      <c r="AG556" s="23">
        <v>20.172910000000002</v>
      </c>
      <c r="AH556" s="23">
        <v>10.786809999999999</v>
      </c>
      <c r="AI556" s="23">
        <v>-1.4601299999999999</v>
      </c>
      <c r="AJ556" s="25">
        <v>0.84053791666666677</v>
      </c>
      <c r="AK556" s="25">
        <v>0.37966727254066129</v>
      </c>
      <c r="AL556" s="25">
        <v>0.2058764908929987</v>
      </c>
      <c r="AM556" s="25">
        <v>9.9997809352254982E-2</v>
      </c>
      <c r="AN556" s="24">
        <v>1.6438817277672473</v>
      </c>
      <c r="AO556" s="23">
        <v>-99</v>
      </c>
    </row>
    <row r="557" spans="1:41" x14ac:dyDescent="0.25">
      <c r="A557" s="4">
        <v>96</v>
      </c>
      <c r="B557">
        <v>90</v>
      </c>
      <c r="C557">
        <v>50</v>
      </c>
      <c r="D557">
        <v>20</v>
      </c>
      <c r="E557" s="3">
        <v>25</v>
      </c>
      <c r="F557" s="3">
        <f>1.8*E557+32</f>
        <v>77</v>
      </c>
      <c r="G557" s="3">
        <v>11</v>
      </c>
      <c r="H557" s="3">
        <f>IF(F557&gt;68,G557+(F557-68)*0.2,G706-(68-F557)*0.2)</f>
        <v>12.8</v>
      </c>
      <c r="I557" s="3">
        <v>22.5</v>
      </c>
      <c r="J557" s="3">
        <f>1.8*I557+32</f>
        <v>72.5</v>
      </c>
      <c r="K557" s="3">
        <v>6</v>
      </c>
      <c r="L557" s="3">
        <f>IF(J557&gt;67,K557+(J557-67)*0.2,K557-(67-J557)*0.2)</f>
        <v>7.1</v>
      </c>
      <c r="M557" s="3">
        <f>(C557-H557)/C557*100</f>
        <v>74.400000000000006</v>
      </c>
      <c r="N557" s="3">
        <f>100-(M557+O557)</f>
        <v>11.399999999999991</v>
      </c>
      <c r="O557" s="3">
        <f>L557/C557*100</f>
        <v>14.2</v>
      </c>
      <c r="P557" s="1" t="s">
        <v>0</v>
      </c>
      <c r="Q557" s="15">
        <v>407476.66800000001</v>
      </c>
      <c r="R557" s="15">
        <v>3660002.5</v>
      </c>
      <c r="T557">
        <v>2009033</v>
      </c>
      <c r="U557" t="s">
        <v>147</v>
      </c>
      <c r="V557">
        <v>5.382E-2</v>
      </c>
      <c r="W557">
        <v>0.37928000000000001</v>
      </c>
      <c r="X557">
        <v>3.1210000000000002E-2</v>
      </c>
      <c r="Y557">
        <v>1.38913</v>
      </c>
      <c r="Z557">
        <v>31.10783</v>
      </c>
      <c r="AA557">
        <v>13.80349</v>
      </c>
      <c r="AB557">
        <v>-1.2956700000000001</v>
      </c>
      <c r="AC557" s="23">
        <v>6.2839999999999993E-2</v>
      </c>
      <c r="AD557" s="23">
        <v>0.38364999999999999</v>
      </c>
      <c r="AE557" s="23">
        <v>2.7459999999999998E-2</v>
      </c>
      <c r="AF557" s="23">
        <v>1.32986</v>
      </c>
      <c r="AG557" s="23">
        <v>16.676960000000001</v>
      </c>
      <c r="AH557" s="23">
        <v>9.7306899999999992</v>
      </c>
      <c r="AI557" s="23">
        <v>-1.5007600000000001</v>
      </c>
      <c r="AJ557" s="25">
        <v>0.69487333333333334</v>
      </c>
      <c r="AK557" s="25">
        <v>0.38298595604317376</v>
      </c>
      <c r="AL557" s="25">
        <v>0.21548135158341369</v>
      </c>
      <c r="AM557" s="25">
        <v>0.10686473905323861</v>
      </c>
      <c r="AN557" s="24">
        <v>1.6350872164855894</v>
      </c>
      <c r="AO557" s="23">
        <v>-99</v>
      </c>
    </row>
    <row r="558" spans="1:41" x14ac:dyDescent="0.25">
      <c r="A558" s="4">
        <v>96</v>
      </c>
      <c r="B558">
        <v>120</v>
      </c>
      <c r="C558">
        <v>50</v>
      </c>
      <c r="D558">
        <v>20</v>
      </c>
      <c r="E558" s="3">
        <v>25</v>
      </c>
      <c r="F558" s="3">
        <f>1.8*E558+32</f>
        <v>77</v>
      </c>
      <c r="G558" s="3">
        <v>16</v>
      </c>
      <c r="H558" s="3">
        <f>IF(F558&gt;68,G558+(F558-68)*0.2,G707-(68-F558)*0.2)</f>
        <v>17.8</v>
      </c>
      <c r="I558" s="3">
        <v>22.5</v>
      </c>
      <c r="J558" s="3">
        <f>1.8*I558+32</f>
        <v>72.5</v>
      </c>
      <c r="K558" s="3">
        <v>10</v>
      </c>
      <c r="L558" s="3">
        <f>IF(J558&gt;67,K558+(J558-67)*0.2,K558-(67-J558)*0.2)</f>
        <v>11.1</v>
      </c>
      <c r="M558" s="3">
        <f>(C558-H558)/C558*100</f>
        <v>64.400000000000006</v>
      </c>
      <c r="N558" s="3">
        <f>100-(M558+O558)</f>
        <v>13.399999999999991</v>
      </c>
      <c r="O558" s="3">
        <f>L558/C558*100</f>
        <v>22.2</v>
      </c>
      <c r="P558" s="1" t="s">
        <v>2</v>
      </c>
      <c r="Q558" s="15">
        <v>407476.66800000001</v>
      </c>
      <c r="R558" s="15">
        <v>3660002.5</v>
      </c>
      <c r="T558">
        <v>2009033</v>
      </c>
      <c r="U558" t="s">
        <v>146</v>
      </c>
      <c r="V558">
        <v>7.4039999999999995E-2</v>
      </c>
      <c r="W558">
        <v>0.40118999999999999</v>
      </c>
      <c r="X558">
        <v>2.324E-2</v>
      </c>
      <c r="Y558">
        <v>1.3097700000000001</v>
      </c>
      <c r="Z558">
        <v>8.6205499999999997</v>
      </c>
      <c r="AA558">
        <v>6.93</v>
      </c>
      <c r="AB558">
        <v>-1.51559</v>
      </c>
      <c r="AC558" s="23">
        <v>5.9950000000000003E-2</v>
      </c>
      <c r="AD558" s="23">
        <v>0.38217000000000001</v>
      </c>
      <c r="AE558" s="23">
        <v>2.8340000000000001E-2</v>
      </c>
      <c r="AF558" s="23">
        <v>1.3430599999999999</v>
      </c>
      <c r="AG558" s="23">
        <v>19.779450000000001</v>
      </c>
      <c r="AH558" s="23">
        <v>10.683590000000001</v>
      </c>
      <c r="AI558" s="23">
        <v>-1.44096</v>
      </c>
      <c r="AJ558" s="25">
        <v>0.82414375000000006</v>
      </c>
      <c r="AK558" s="25">
        <v>0.38148665451249753</v>
      </c>
      <c r="AL558" s="25">
        <v>0.20732012141945796</v>
      </c>
      <c r="AM558" s="25">
        <v>0.10035076771187568</v>
      </c>
      <c r="AN558" s="24">
        <v>1.6390603655418816</v>
      </c>
      <c r="AO558" s="23">
        <v>-99</v>
      </c>
    </row>
    <row r="559" spans="1:41" x14ac:dyDescent="0.25">
      <c r="A559" s="4">
        <v>96</v>
      </c>
      <c r="B559">
        <v>150</v>
      </c>
      <c r="C559">
        <v>50</v>
      </c>
      <c r="D559">
        <v>20</v>
      </c>
      <c r="E559" s="3">
        <v>24</v>
      </c>
      <c r="F559" s="3">
        <f>1.8*E559+32</f>
        <v>75.2</v>
      </c>
      <c r="G559" s="3">
        <v>19</v>
      </c>
      <c r="H559" s="3">
        <f>IF(F559&gt;68,G559+(F559-68)*0.2,G708-(68-F559)*0.2)</f>
        <v>20.440000000000001</v>
      </c>
      <c r="I559" s="3">
        <v>22.5</v>
      </c>
      <c r="J559" s="3">
        <f>1.8*I559+32</f>
        <v>72.5</v>
      </c>
      <c r="K559" s="3">
        <v>10</v>
      </c>
      <c r="L559" s="3">
        <f>IF(J559&gt;67,K559+(J559-67)*0.2,K559-(67-J559)*0.2)</f>
        <v>11.1</v>
      </c>
      <c r="M559" s="3">
        <f>(C559-H559)/C559*100</f>
        <v>59.12</v>
      </c>
      <c r="N559" s="3">
        <f>100-(M559+O559)</f>
        <v>18.680000000000007</v>
      </c>
      <c r="O559" s="3">
        <f>L559/C559*100</f>
        <v>22.2</v>
      </c>
      <c r="P559" s="1" t="s">
        <v>2</v>
      </c>
      <c r="Q559" s="15">
        <v>407476.66800000001</v>
      </c>
      <c r="R559" s="15">
        <v>3660002.5</v>
      </c>
      <c r="T559">
        <v>2009033</v>
      </c>
      <c r="U559" t="s">
        <v>145</v>
      </c>
      <c r="V559">
        <v>5.9990000000000002E-2</v>
      </c>
      <c r="W559">
        <v>0.38035999999999998</v>
      </c>
      <c r="X559">
        <v>2.8750000000000001E-2</v>
      </c>
      <c r="Y559">
        <v>1.34291</v>
      </c>
      <c r="Z559">
        <v>20.172910000000002</v>
      </c>
      <c r="AA559">
        <v>10.786809999999999</v>
      </c>
      <c r="AB559">
        <v>-1.4601299999999999</v>
      </c>
      <c r="AC559" s="23">
        <v>6.0040000000000003E-2</v>
      </c>
      <c r="AD559" s="23">
        <v>0.38474999999999998</v>
      </c>
      <c r="AE559" s="23">
        <v>2.733E-2</v>
      </c>
      <c r="AF559" s="23">
        <v>1.34609</v>
      </c>
      <c r="AG559" s="23">
        <v>18.98621</v>
      </c>
      <c r="AH559" s="23">
        <v>10.34085</v>
      </c>
      <c r="AI559" s="23">
        <v>-1.3909899999999999</v>
      </c>
      <c r="AJ559" s="25">
        <v>0.79109208333333336</v>
      </c>
      <c r="AK559" s="25">
        <v>0.3840967974765751</v>
      </c>
      <c r="AL559" s="25">
        <v>0.20931751755550965</v>
      </c>
      <c r="AM559" s="25">
        <v>0.10051824530152444</v>
      </c>
      <c r="AN559" s="24">
        <v>1.6321434866870759</v>
      </c>
      <c r="AO559" s="23">
        <v>-99</v>
      </c>
    </row>
    <row r="560" spans="1:41" x14ac:dyDescent="0.25">
      <c r="A560" s="4">
        <v>96</v>
      </c>
      <c r="B560">
        <v>180</v>
      </c>
      <c r="C560">
        <v>50</v>
      </c>
      <c r="D560">
        <v>20</v>
      </c>
      <c r="E560" s="3">
        <v>24</v>
      </c>
      <c r="F560" s="3">
        <f>1.8*E560+32</f>
        <v>75.2</v>
      </c>
      <c r="G560" s="3">
        <v>16</v>
      </c>
      <c r="H560" s="3">
        <f>IF(F560&gt;68,G560+(F560-68)*0.2,G709-(68-F560)*0.2)</f>
        <v>17.440000000000001</v>
      </c>
      <c r="I560" s="3">
        <v>22.5</v>
      </c>
      <c r="J560" s="3">
        <f>1.8*I560+32</f>
        <v>72.5</v>
      </c>
      <c r="K560" s="3">
        <v>10</v>
      </c>
      <c r="L560" s="3">
        <f>IF(J560&gt;67,K560+(J560-67)*0.2,K560-(67-J560)*0.2)</f>
        <v>11.1</v>
      </c>
      <c r="M560" s="3">
        <f>(C560-H560)/C560*100</f>
        <v>65.12</v>
      </c>
      <c r="N560" s="3">
        <f>100-(M560+O560)</f>
        <v>12.679999999999993</v>
      </c>
      <c r="O560" s="3">
        <f>L560/C560*100</f>
        <v>22.2</v>
      </c>
      <c r="P560" s="1" t="s">
        <v>2</v>
      </c>
      <c r="Q560" s="15">
        <v>407476.66800000001</v>
      </c>
      <c r="R560" s="15">
        <v>3660002.5</v>
      </c>
      <c r="T560">
        <v>2009033</v>
      </c>
      <c r="U560" t="s">
        <v>144</v>
      </c>
      <c r="V560">
        <v>6.2839999999999993E-2</v>
      </c>
      <c r="W560">
        <v>0.38364999999999999</v>
      </c>
      <c r="X560">
        <v>2.7459999999999998E-2</v>
      </c>
      <c r="Y560">
        <v>1.32986</v>
      </c>
      <c r="Z560">
        <v>16.676960000000001</v>
      </c>
      <c r="AA560">
        <v>9.7306899999999992</v>
      </c>
      <c r="AB560">
        <v>-1.5007600000000001</v>
      </c>
      <c r="AC560" s="23">
        <v>5.4289999999999998E-2</v>
      </c>
      <c r="AD560" s="23">
        <v>0.37957000000000002</v>
      </c>
      <c r="AE560" s="23">
        <v>3.092E-2</v>
      </c>
      <c r="AF560" s="23">
        <v>1.38239</v>
      </c>
      <c r="AG560" s="23">
        <v>29.626139999999999</v>
      </c>
      <c r="AH560" s="23">
        <v>13.455920000000001</v>
      </c>
      <c r="AI560" s="23">
        <v>-1.31314</v>
      </c>
      <c r="AJ560" s="25">
        <v>1.2344225</v>
      </c>
      <c r="AK560" s="25">
        <v>0.37883752113220009</v>
      </c>
      <c r="AL560" s="25">
        <v>0.18621485163433699</v>
      </c>
      <c r="AM560" s="25">
        <v>8.5382410329304326E-2</v>
      </c>
      <c r="AN560" s="24">
        <v>1.6460805689996696</v>
      </c>
      <c r="AO560" s="23">
        <v>-99</v>
      </c>
    </row>
    <row r="561" spans="1:41" x14ac:dyDescent="0.25">
      <c r="A561" s="4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1"/>
      <c r="Q561" s="18"/>
      <c r="R561" s="18"/>
      <c r="T561">
        <v>2009033</v>
      </c>
      <c r="U561" t="s">
        <v>143</v>
      </c>
      <c r="V561">
        <v>5.9950000000000003E-2</v>
      </c>
      <c r="W561">
        <v>0.38217000000000001</v>
      </c>
      <c r="X561">
        <v>2.8340000000000001E-2</v>
      </c>
      <c r="Y561">
        <v>1.3430599999999999</v>
      </c>
      <c r="Z561">
        <v>19.779450000000001</v>
      </c>
      <c r="AA561">
        <v>10.683590000000001</v>
      </c>
      <c r="AB561">
        <v>-1.44096</v>
      </c>
      <c r="AC561" s="23">
        <v>6.275E-2</v>
      </c>
      <c r="AD561" s="23">
        <v>0.38118999999999997</v>
      </c>
      <c r="AE561" s="23">
        <v>2.7990000000000001E-2</v>
      </c>
      <c r="AF561" s="23">
        <v>1.32724</v>
      </c>
      <c r="AG561" s="23">
        <v>17.076440000000002</v>
      </c>
      <c r="AH561" s="23">
        <v>9.8516499999999994</v>
      </c>
      <c r="AI561" s="23">
        <v>-1.5378700000000001</v>
      </c>
      <c r="AJ561" s="25">
        <v>0.71151833333333336</v>
      </c>
      <c r="AK561" s="25">
        <v>0.38051173021695128</v>
      </c>
      <c r="AL561" s="25">
        <v>0.21424221725679515</v>
      </c>
      <c r="AM561" s="25">
        <v>0.10686750588440277</v>
      </c>
      <c r="AN561" s="24">
        <v>1.641643914925079</v>
      </c>
      <c r="AO561" s="23">
        <v>-99</v>
      </c>
    </row>
    <row r="562" spans="1:41" ht="51.75" x14ac:dyDescent="0.25">
      <c r="A562" s="14" t="s">
        <v>21</v>
      </c>
      <c r="B562" s="9" t="s">
        <v>20</v>
      </c>
      <c r="C562" s="13" t="s">
        <v>19</v>
      </c>
      <c r="D562" s="12" t="s">
        <v>18</v>
      </c>
      <c r="E562" s="11" t="s">
        <v>17</v>
      </c>
      <c r="F562" s="11" t="s">
        <v>16</v>
      </c>
      <c r="G562" s="11" t="s">
        <v>15</v>
      </c>
      <c r="H562" s="11" t="s">
        <v>14</v>
      </c>
      <c r="I562" s="11" t="s">
        <v>13</v>
      </c>
      <c r="J562" s="11" t="s">
        <v>12</v>
      </c>
      <c r="K562" s="11" t="s">
        <v>11</v>
      </c>
      <c r="L562" s="11" t="s">
        <v>10</v>
      </c>
      <c r="M562" s="10" t="s">
        <v>9</v>
      </c>
      <c r="N562" s="10" t="s">
        <v>8</v>
      </c>
      <c r="O562" s="10" t="s">
        <v>7</v>
      </c>
      <c r="P562" s="9" t="s">
        <v>6</v>
      </c>
      <c r="Q562" s="21" t="s">
        <v>5</v>
      </c>
      <c r="R562" s="20"/>
      <c r="T562">
        <v>2009033</v>
      </c>
      <c r="U562" t="s">
        <v>142</v>
      </c>
      <c r="V562">
        <v>6.0040000000000003E-2</v>
      </c>
      <c r="W562">
        <v>0.38474999999999998</v>
      </c>
      <c r="X562">
        <v>2.733E-2</v>
      </c>
      <c r="Y562">
        <v>1.34609</v>
      </c>
      <c r="Z562">
        <v>18.98621</v>
      </c>
      <c r="AA562">
        <v>10.34085</v>
      </c>
      <c r="AB562">
        <v>-1.3909899999999999</v>
      </c>
      <c r="AC562" s="23">
        <v>6.5509999999999999E-2</v>
      </c>
      <c r="AD562" s="23">
        <v>0.38838</v>
      </c>
      <c r="AE562" s="23">
        <v>2.579E-2</v>
      </c>
      <c r="AF562" s="23">
        <v>1.32745</v>
      </c>
      <c r="AG562" s="23">
        <v>13.98387</v>
      </c>
      <c r="AH562" s="23">
        <v>8.7761999999999993</v>
      </c>
      <c r="AI562" s="23">
        <v>-1.47088</v>
      </c>
      <c r="AJ562" s="25">
        <v>0.58266125000000002</v>
      </c>
      <c r="AK562" s="25">
        <v>0.38776292899997206</v>
      </c>
      <c r="AL562" s="25">
        <v>0.22299011144584774</v>
      </c>
      <c r="AM562" s="25">
        <v>0.11139782930163269</v>
      </c>
      <c r="AN562" s="24">
        <v>1.6224282381500741</v>
      </c>
      <c r="AO562" s="23">
        <v>-99</v>
      </c>
    </row>
    <row r="563" spans="1:41" x14ac:dyDescent="0.25"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1"/>
      <c r="Q563" s="5" t="s">
        <v>4</v>
      </c>
      <c r="R563" s="5" t="s">
        <v>3</v>
      </c>
      <c r="T563">
        <v>2009033</v>
      </c>
      <c r="U563" t="s">
        <v>141</v>
      </c>
      <c r="V563">
        <v>5.4289999999999998E-2</v>
      </c>
      <c r="W563">
        <v>0.37957000000000002</v>
      </c>
      <c r="X563">
        <v>3.092E-2</v>
      </c>
      <c r="Y563">
        <v>1.38239</v>
      </c>
      <c r="Z563">
        <v>29.626139999999999</v>
      </c>
      <c r="AA563">
        <v>13.455920000000001</v>
      </c>
      <c r="AB563">
        <v>-1.31314</v>
      </c>
      <c r="AC563" s="23">
        <v>5.389E-2</v>
      </c>
      <c r="AD563" s="23">
        <v>0.38127</v>
      </c>
      <c r="AE563" s="23">
        <v>3.049E-2</v>
      </c>
      <c r="AF563" s="23">
        <v>1.3752599999999999</v>
      </c>
      <c r="AG563" s="23">
        <v>28.382339999999999</v>
      </c>
      <c r="AH563" s="23">
        <v>13.284750000000001</v>
      </c>
      <c r="AI563" s="23">
        <v>-1.3148500000000001</v>
      </c>
      <c r="AJ563" s="25">
        <v>1.1825975</v>
      </c>
      <c r="AK563" s="25">
        <v>0.38053876702189332</v>
      </c>
      <c r="AL563" s="25">
        <v>0.18957195674720437</v>
      </c>
      <c r="AM563" s="25">
        <v>8.675557332978312E-2</v>
      </c>
      <c r="AN563" s="24">
        <v>1.6415722673919826</v>
      </c>
      <c r="AO563" s="23">
        <v>-99</v>
      </c>
    </row>
    <row r="564" spans="1:41" x14ac:dyDescent="0.25">
      <c r="A564" s="4">
        <v>97</v>
      </c>
      <c r="B564">
        <v>30</v>
      </c>
      <c r="C564">
        <v>50</v>
      </c>
      <c r="D564">
        <v>20</v>
      </c>
      <c r="E564" s="3">
        <v>25</v>
      </c>
      <c r="F564" s="3">
        <f>1.8*E564+32</f>
        <v>77</v>
      </c>
      <c r="G564" s="3">
        <v>16</v>
      </c>
      <c r="H564" s="3">
        <f>IF(F564&gt;68,G564+(F564-68)*0.2,G712-(68-F564)*0.2)</f>
        <v>17.8</v>
      </c>
      <c r="I564" s="3">
        <v>23</v>
      </c>
      <c r="J564" s="3">
        <f>1.8*I564+32</f>
        <v>73.400000000000006</v>
      </c>
      <c r="K564" s="3">
        <v>9</v>
      </c>
      <c r="L564" s="3">
        <f>IF(J564&gt;67,K564+(J564-67)*0.2,K564-(67-J564)*0.2)</f>
        <v>10.280000000000001</v>
      </c>
      <c r="M564" s="3">
        <f>(C564-H564)/C564*100</f>
        <v>64.400000000000006</v>
      </c>
      <c r="N564" s="3">
        <f>100-(M564+O564)</f>
        <v>15.039999999999992</v>
      </c>
      <c r="O564" s="3">
        <f>L564/C564*100</f>
        <v>20.560000000000002</v>
      </c>
      <c r="P564" s="1" t="s">
        <v>2</v>
      </c>
      <c r="Q564" s="15">
        <v>407476.66800000001</v>
      </c>
      <c r="R564" s="15">
        <v>3660029</v>
      </c>
      <c r="T564">
        <v>2009033</v>
      </c>
      <c r="U564" t="s">
        <v>140</v>
      </c>
      <c r="V564">
        <v>6.275E-2</v>
      </c>
      <c r="W564">
        <v>0.38118999999999997</v>
      </c>
      <c r="X564">
        <v>2.7990000000000001E-2</v>
      </c>
      <c r="Y564">
        <v>1.32724</v>
      </c>
      <c r="Z564">
        <v>17.076440000000002</v>
      </c>
      <c r="AA564">
        <v>9.8516499999999994</v>
      </c>
      <c r="AB564">
        <v>-1.5378700000000001</v>
      </c>
      <c r="AC564" s="23">
        <v>5.0860000000000002E-2</v>
      </c>
      <c r="AD564" s="23">
        <v>0.38114999999999999</v>
      </c>
      <c r="AE564" s="23">
        <v>3.2030000000000003E-2</v>
      </c>
      <c r="AF564" s="23">
        <v>1.39707</v>
      </c>
      <c r="AG564" s="23">
        <v>34.569600000000001</v>
      </c>
      <c r="AH564" s="23">
        <v>15.16778</v>
      </c>
      <c r="AI564" s="23">
        <v>-1.2527600000000001</v>
      </c>
      <c r="AJ564" s="25">
        <v>1.4404000000000001</v>
      </c>
      <c r="AK564" s="25">
        <v>0.3803871609197273</v>
      </c>
      <c r="AL564" s="25">
        <v>0.17858230146482801</v>
      </c>
      <c r="AM564" s="25">
        <v>7.9309277863346572E-2</v>
      </c>
      <c r="AN564" s="24">
        <v>1.6419740235627225</v>
      </c>
      <c r="AO564" s="23">
        <v>-99</v>
      </c>
    </row>
    <row r="565" spans="1:41" x14ac:dyDescent="0.25">
      <c r="A565" s="4">
        <v>97</v>
      </c>
      <c r="B565">
        <v>60</v>
      </c>
      <c r="C565">
        <v>50</v>
      </c>
      <c r="D565">
        <v>20</v>
      </c>
      <c r="E565" s="3">
        <v>25.5</v>
      </c>
      <c r="F565" s="3">
        <f>1.8*E565+32</f>
        <v>77.900000000000006</v>
      </c>
      <c r="G565" s="3">
        <v>16</v>
      </c>
      <c r="H565" s="3">
        <f>IF(F565&gt;68,G565+(F565-68)*0.2,G713-(68-F565)*0.2)</f>
        <v>17.98</v>
      </c>
      <c r="I565" s="3">
        <v>23</v>
      </c>
      <c r="J565" s="3">
        <f>1.8*I565+32</f>
        <v>73.400000000000006</v>
      </c>
      <c r="K565" s="3">
        <v>9</v>
      </c>
      <c r="L565" s="3">
        <f>IF(J565&gt;67,K565+(J565-67)*0.2,K565-(67-J565)*0.2)</f>
        <v>10.280000000000001</v>
      </c>
      <c r="M565" s="3">
        <f>(C565-H565)/C565*100</f>
        <v>64.039999999999992</v>
      </c>
      <c r="N565" s="3">
        <f>100-(M565+O565)</f>
        <v>15.400000000000006</v>
      </c>
      <c r="O565" s="3">
        <f>L565/C565*100</f>
        <v>20.560000000000002</v>
      </c>
      <c r="P565" s="1" t="s">
        <v>2</v>
      </c>
      <c r="Q565" s="15">
        <v>407476.66800000001</v>
      </c>
      <c r="R565" s="15">
        <v>3660029</v>
      </c>
      <c r="T565">
        <v>2009033</v>
      </c>
      <c r="U565" t="s">
        <v>139</v>
      </c>
      <c r="V565">
        <v>6.5509999999999999E-2</v>
      </c>
      <c r="W565">
        <v>0.38838</v>
      </c>
      <c r="X565">
        <v>2.579E-2</v>
      </c>
      <c r="Y565">
        <v>1.32745</v>
      </c>
      <c r="Z565">
        <v>13.98387</v>
      </c>
      <c r="AA565">
        <v>8.7761999999999993</v>
      </c>
      <c r="AB565">
        <v>-1.47088</v>
      </c>
      <c r="AC565" s="23">
        <v>4.7550000000000002E-2</v>
      </c>
      <c r="AD565" s="23">
        <v>0.38139000000000001</v>
      </c>
      <c r="AE565" s="23">
        <v>3.4200000000000001E-2</v>
      </c>
      <c r="AF565" s="23">
        <v>1.43527</v>
      </c>
      <c r="AG565" s="23">
        <v>44.32808</v>
      </c>
      <c r="AH565" s="23">
        <v>18.117920000000002</v>
      </c>
      <c r="AI565" s="23">
        <v>-1.1693499999999999</v>
      </c>
      <c r="AJ565" s="25">
        <v>1.8470033333333333</v>
      </c>
      <c r="AK565" s="25">
        <v>0.38059736022695767</v>
      </c>
      <c r="AL565" s="25">
        <v>0.16229586971007481</v>
      </c>
      <c r="AM565" s="25">
        <v>6.9624384874285919E-2</v>
      </c>
      <c r="AN565" s="24">
        <v>1.6414169953985622</v>
      </c>
      <c r="AO565" s="23">
        <v>-99</v>
      </c>
    </row>
    <row r="566" spans="1:41" x14ac:dyDescent="0.25">
      <c r="A566" s="4">
        <v>97</v>
      </c>
      <c r="B566">
        <v>90</v>
      </c>
      <c r="C566">
        <v>50</v>
      </c>
      <c r="D566">
        <v>20</v>
      </c>
      <c r="E566" s="3">
        <v>25</v>
      </c>
      <c r="F566" s="3">
        <f>1.8*E566+32</f>
        <v>77</v>
      </c>
      <c r="G566" s="3">
        <v>15</v>
      </c>
      <c r="H566" s="3">
        <f>IF(F566&gt;68,G566+(F566-68)*0.2,G714-(68-F566)*0.2)</f>
        <v>16.8</v>
      </c>
      <c r="I566" s="3">
        <v>22.5</v>
      </c>
      <c r="J566" s="3">
        <f>1.8*I566+32</f>
        <v>72.5</v>
      </c>
      <c r="K566" s="3">
        <v>7</v>
      </c>
      <c r="L566" s="3">
        <f>IF(J566&gt;67,K566+(J566-67)*0.2,K566-(67-J566)*0.2)</f>
        <v>8.1</v>
      </c>
      <c r="M566" s="3">
        <f>(C566-H566)/C566*100</f>
        <v>66.400000000000006</v>
      </c>
      <c r="N566" s="3">
        <f>100-(M566+O566)</f>
        <v>17.399999999999991</v>
      </c>
      <c r="O566" s="3">
        <f>L566/C566*100</f>
        <v>16.2</v>
      </c>
      <c r="P566" s="1" t="s">
        <v>0</v>
      </c>
      <c r="Q566" s="15">
        <v>407476.66800000001</v>
      </c>
      <c r="R566" s="15">
        <v>3660029</v>
      </c>
      <c r="T566">
        <v>2009033</v>
      </c>
      <c r="U566" t="s">
        <v>138</v>
      </c>
      <c r="V566">
        <v>5.389E-2</v>
      </c>
      <c r="W566">
        <v>0.38127</v>
      </c>
      <c r="X566">
        <v>3.049E-2</v>
      </c>
      <c r="Y566">
        <v>1.3752599999999999</v>
      </c>
      <c r="Z566">
        <v>28.382339999999999</v>
      </c>
      <c r="AA566">
        <v>13.284750000000001</v>
      </c>
      <c r="AB566">
        <v>-1.3148500000000001</v>
      </c>
      <c r="AC566" s="23">
        <v>5.0319999999999997E-2</v>
      </c>
      <c r="AD566" s="23">
        <v>0.38118000000000002</v>
      </c>
      <c r="AE566" s="23">
        <v>3.2329999999999998E-2</v>
      </c>
      <c r="AF566" s="23">
        <v>1.4016299999999999</v>
      </c>
      <c r="AG566" s="23">
        <v>35.830750000000002</v>
      </c>
      <c r="AH566" s="23">
        <v>15.55692</v>
      </c>
      <c r="AI566" s="23">
        <v>-1.2411000000000001</v>
      </c>
      <c r="AJ566" s="25">
        <v>1.4929479166666668</v>
      </c>
      <c r="AK566" s="25">
        <v>0.38041159945527991</v>
      </c>
      <c r="AL566" s="25">
        <v>0.17643569068100767</v>
      </c>
      <c r="AM566" s="25">
        <v>7.7923641943792601E-2</v>
      </c>
      <c r="AN566" s="24">
        <v>1.6419092614435082</v>
      </c>
      <c r="AO566" s="23">
        <v>-99</v>
      </c>
    </row>
    <row r="567" spans="1:41" x14ac:dyDescent="0.25">
      <c r="A567" s="4">
        <v>97</v>
      </c>
      <c r="B567">
        <v>120</v>
      </c>
      <c r="C567">
        <v>50</v>
      </c>
      <c r="D567">
        <v>20</v>
      </c>
      <c r="E567" s="3">
        <v>25</v>
      </c>
      <c r="F567" s="3">
        <f>1.8*E567+32</f>
        <v>77</v>
      </c>
      <c r="G567" s="3">
        <v>12</v>
      </c>
      <c r="H567" s="3">
        <f>IF(F567&gt;68,G567+(F567-68)*0.2,G715-(68-F567)*0.2)</f>
        <v>13.8</v>
      </c>
      <c r="I567" s="3">
        <v>22.5</v>
      </c>
      <c r="J567" s="3">
        <f>1.8*I567+32</f>
        <v>72.5</v>
      </c>
      <c r="K567" s="3">
        <v>6</v>
      </c>
      <c r="L567" s="3">
        <f>IF(J567&gt;67,K567+(J567-67)*0.2,K567-(67-J567)*0.2)</f>
        <v>7.1</v>
      </c>
      <c r="M567" s="3">
        <f>(C567-H567)/C567*100</f>
        <v>72.400000000000006</v>
      </c>
      <c r="N567" s="3">
        <f>100-(M567+O567)</f>
        <v>13.399999999999991</v>
      </c>
      <c r="O567" s="3">
        <f>L567/C567*100</f>
        <v>14.2</v>
      </c>
      <c r="P567" s="1" t="s">
        <v>0</v>
      </c>
      <c r="Q567" s="15">
        <v>407476.66800000001</v>
      </c>
      <c r="R567" s="15">
        <v>3660029</v>
      </c>
      <c r="T567">
        <v>2009033</v>
      </c>
      <c r="U567" t="s">
        <v>137</v>
      </c>
      <c r="V567">
        <v>5.0860000000000002E-2</v>
      </c>
      <c r="W567">
        <v>0.38114999999999999</v>
      </c>
      <c r="X567">
        <v>3.2030000000000003E-2</v>
      </c>
      <c r="Y567">
        <v>1.39707</v>
      </c>
      <c r="Z567">
        <v>34.569600000000001</v>
      </c>
      <c r="AA567">
        <v>15.16778</v>
      </c>
      <c r="AB567">
        <v>-1.2527600000000001</v>
      </c>
      <c r="AC567" s="23">
        <v>6.8510000000000001E-2</v>
      </c>
      <c r="AD567" s="23">
        <v>0.39502999999999999</v>
      </c>
      <c r="AE567" s="23">
        <v>2.3369999999999998E-2</v>
      </c>
      <c r="AF567" s="23">
        <v>1.33413</v>
      </c>
      <c r="AG567" s="23">
        <v>11.294790000000001</v>
      </c>
      <c r="AH567" s="23">
        <v>7.6434899999999999</v>
      </c>
      <c r="AI567" s="23">
        <v>-1.3645099999999999</v>
      </c>
      <c r="AJ567" s="25">
        <v>0.47061625000000001</v>
      </c>
      <c r="AK567" s="25">
        <v>0.39448749696312607</v>
      </c>
      <c r="AL567" s="25">
        <v>0.23044576205010847</v>
      </c>
      <c r="AM567" s="25">
        <v>0.11459808770329795</v>
      </c>
      <c r="AN567" s="24">
        <v>1.604608133047716</v>
      </c>
      <c r="AO567" s="23">
        <v>-99</v>
      </c>
    </row>
    <row r="568" spans="1:41" x14ac:dyDescent="0.25">
      <c r="A568" s="4">
        <v>97</v>
      </c>
      <c r="B568">
        <v>150</v>
      </c>
      <c r="C568">
        <v>50</v>
      </c>
      <c r="D568">
        <v>20</v>
      </c>
      <c r="E568" s="3">
        <v>25.5</v>
      </c>
      <c r="F568" s="3">
        <f>1.8*E568+32</f>
        <v>77.900000000000006</v>
      </c>
      <c r="G568" s="3">
        <v>12</v>
      </c>
      <c r="H568" s="3">
        <f>IF(F568&gt;68,G568+(F568-68)*0.2,G716-(68-F568)*0.2)</f>
        <v>13.98</v>
      </c>
      <c r="I568" s="3">
        <v>23</v>
      </c>
      <c r="J568" s="3">
        <f>1.8*I568+32</f>
        <v>73.400000000000006</v>
      </c>
      <c r="K568" s="3">
        <v>7</v>
      </c>
      <c r="L568" s="3">
        <f>IF(J568&gt;67,K568+(J568-67)*0.2,K568-(67-J568)*0.2)</f>
        <v>8.2800000000000011</v>
      </c>
      <c r="M568" s="3">
        <f>(C568-H568)/C568*100</f>
        <v>72.039999999999992</v>
      </c>
      <c r="N568" s="3">
        <f>100-(M568+O568)</f>
        <v>11.400000000000006</v>
      </c>
      <c r="O568" s="3">
        <f>L568/C568*100</f>
        <v>16.560000000000002</v>
      </c>
      <c r="P568" s="1" t="s">
        <v>0</v>
      </c>
      <c r="Q568" s="15">
        <v>407476.66800000001</v>
      </c>
      <c r="R568" s="15">
        <v>3660029</v>
      </c>
      <c r="T568">
        <v>2009033</v>
      </c>
      <c r="U568" t="s">
        <v>136</v>
      </c>
      <c r="V568">
        <v>4.7550000000000002E-2</v>
      </c>
      <c r="W568">
        <v>0.38139000000000001</v>
      </c>
      <c r="X568">
        <v>3.4200000000000001E-2</v>
      </c>
      <c r="Y568">
        <v>1.43527</v>
      </c>
      <c r="Z568">
        <v>44.32808</v>
      </c>
      <c r="AA568">
        <v>18.117920000000002</v>
      </c>
      <c r="AB568">
        <v>-1.1693499999999999</v>
      </c>
      <c r="AC568" s="23">
        <v>6.7580000000000001E-2</v>
      </c>
      <c r="AD568" s="23">
        <v>0.38921</v>
      </c>
      <c r="AE568" s="23">
        <v>2.5749999999999999E-2</v>
      </c>
      <c r="AF568" s="23">
        <v>1.3164800000000001</v>
      </c>
      <c r="AG568" s="23">
        <v>12.64316</v>
      </c>
      <c r="AH568" s="23">
        <v>8.4011499999999995</v>
      </c>
      <c r="AI568" s="23">
        <v>-1.5447500000000001</v>
      </c>
      <c r="AJ568" s="25">
        <v>0.52679833333333337</v>
      </c>
      <c r="AK568" s="25">
        <v>0.38858778878779365</v>
      </c>
      <c r="AL568" s="25">
        <v>0.22828074310589505</v>
      </c>
      <c r="AM568" s="25">
        <v>0.11640287874897559</v>
      </c>
      <c r="AN568" s="24">
        <v>1.6202423597123468</v>
      </c>
      <c r="AO568" s="23">
        <v>-99</v>
      </c>
    </row>
    <row r="569" spans="1:41" x14ac:dyDescent="0.25">
      <c r="A569" s="4">
        <v>97</v>
      </c>
      <c r="B569">
        <v>180</v>
      </c>
      <c r="C569">
        <v>50</v>
      </c>
      <c r="D569">
        <v>20</v>
      </c>
      <c r="E569" s="3">
        <v>25.5</v>
      </c>
      <c r="F569" s="3">
        <f>1.8*E569+32</f>
        <v>77.900000000000006</v>
      </c>
      <c r="G569" s="3">
        <v>13</v>
      </c>
      <c r="H569" s="3">
        <f>IF(F569&gt;68,G569+(F569-68)*0.2,G717-(68-F569)*0.2)</f>
        <v>14.98</v>
      </c>
      <c r="I569" s="3">
        <v>22.5</v>
      </c>
      <c r="J569" s="3">
        <f>1.8*I569+32</f>
        <v>72.5</v>
      </c>
      <c r="K569" s="3">
        <v>7</v>
      </c>
      <c r="L569" s="3">
        <f>IF(J569&gt;67,K569+(J569-67)*0.2,K569-(67-J569)*0.2)</f>
        <v>8.1</v>
      </c>
      <c r="M569" s="3">
        <f>(C569-H569)/C569*100</f>
        <v>70.039999999999992</v>
      </c>
      <c r="N569" s="3">
        <f>100-(M569+O569)</f>
        <v>13.760000000000005</v>
      </c>
      <c r="O569" s="3">
        <f>L569/C569*100</f>
        <v>16.2</v>
      </c>
      <c r="P569" s="1" t="s">
        <v>0</v>
      </c>
      <c r="Q569" s="15">
        <v>407476.66800000001</v>
      </c>
      <c r="R569" s="15">
        <v>3660029</v>
      </c>
      <c r="T569">
        <v>2009033</v>
      </c>
      <c r="U569" t="s">
        <v>135</v>
      </c>
      <c r="V569">
        <v>5.0319999999999997E-2</v>
      </c>
      <c r="W569">
        <v>0.38118000000000002</v>
      </c>
      <c r="X569">
        <v>3.2329999999999998E-2</v>
      </c>
      <c r="Y569">
        <v>1.4016299999999999</v>
      </c>
      <c r="Z569">
        <v>35.830750000000002</v>
      </c>
      <c r="AA569">
        <v>15.55692</v>
      </c>
      <c r="AB569">
        <v>-1.2411000000000001</v>
      </c>
      <c r="AC569" s="23">
        <v>5.7029999999999997E-2</v>
      </c>
      <c r="AD569" s="23">
        <v>0.37774000000000002</v>
      </c>
      <c r="AE569" s="23">
        <v>0.03</v>
      </c>
      <c r="AF569" s="23">
        <v>1.3718399999999999</v>
      </c>
      <c r="AG569" s="23">
        <v>25.932980000000001</v>
      </c>
      <c r="AH569" s="23">
        <v>12.185829999999999</v>
      </c>
      <c r="AI569" s="23">
        <v>-1.3608800000000001</v>
      </c>
      <c r="AJ569" s="25">
        <v>1.0805408333333333</v>
      </c>
      <c r="AK569" s="25">
        <v>0.37703566495596441</v>
      </c>
      <c r="AL569" s="25">
        <v>0.19178052268206339</v>
      </c>
      <c r="AM569" s="25">
        <v>9.01061523031019E-2</v>
      </c>
      <c r="AN569" s="24">
        <v>1.6508554878666943</v>
      </c>
      <c r="AO569" s="23">
        <v>-99</v>
      </c>
    </row>
    <row r="570" spans="1:41" x14ac:dyDescent="0.25">
      <c r="A570" s="4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1"/>
      <c r="Q570" s="18"/>
      <c r="R570" s="18"/>
      <c r="T570">
        <v>2009033</v>
      </c>
      <c r="U570" t="s">
        <v>134</v>
      </c>
      <c r="V570">
        <v>6.8510000000000001E-2</v>
      </c>
      <c r="W570">
        <v>0.39502999999999999</v>
      </c>
      <c r="X570">
        <v>2.3369999999999998E-2</v>
      </c>
      <c r="Y570">
        <v>1.33413</v>
      </c>
      <c r="Z570">
        <v>11.294790000000001</v>
      </c>
      <c r="AA570">
        <v>7.6434899999999999</v>
      </c>
      <c r="AB570">
        <v>-1.3645099999999999</v>
      </c>
      <c r="AC570" s="23">
        <v>5.7709999999999997E-2</v>
      </c>
      <c r="AD570" s="23">
        <v>0.37569999999999998</v>
      </c>
      <c r="AE570" s="23">
        <v>2.9600000000000001E-2</v>
      </c>
      <c r="AF570" s="23">
        <v>1.38297</v>
      </c>
      <c r="AG570" s="23">
        <v>26.524979999999999</v>
      </c>
      <c r="AH570" s="23">
        <v>11.91314</v>
      </c>
      <c r="AI570" s="23">
        <v>-1.33077</v>
      </c>
      <c r="AJ570" s="25">
        <v>1.1052074999999999</v>
      </c>
      <c r="AK570" s="25">
        <v>0.37502627437817587</v>
      </c>
      <c r="AL570" s="25">
        <v>0.18858815252232697</v>
      </c>
      <c r="AM570" s="25">
        <v>8.8507748934927147E-2</v>
      </c>
      <c r="AN570" s="24">
        <v>1.6561803728978339</v>
      </c>
      <c r="AO570" s="23">
        <v>-99</v>
      </c>
    </row>
    <row r="571" spans="1:41" ht="51.75" x14ac:dyDescent="0.25">
      <c r="A571" s="14" t="s">
        <v>21</v>
      </c>
      <c r="B571" s="9" t="s">
        <v>20</v>
      </c>
      <c r="C571" s="13" t="s">
        <v>19</v>
      </c>
      <c r="D571" s="12" t="s">
        <v>18</v>
      </c>
      <c r="E571" s="11" t="s">
        <v>17</v>
      </c>
      <c r="F571" s="11" t="s">
        <v>16</v>
      </c>
      <c r="G571" s="11" t="s">
        <v>15</v>
      </c>
      <c r="H571" s="11" t="s">
        <v>14</v>
      </c>
      <c r="I571" s="11" t="s">
        <v>13</v>
      </c>
      <c r="J571" s="11" t="s">
        <v>12</v>
      </c>
      <c r="K571" s="11" t="s">
        <v>11</v>
      </c>
      <c r="L571" s="11" t="s">
        <v>10</v>
      </c>
      <c r="M571" s="10" t="s">
        <v>9</v>
      </c>
      <c r="N571" s="10" t="s">
        <v>8</v>
      </c>
      <c r="O571" s="10" t="s">
        <v>7</v>
      </c>
      <c r="P571" s="9" t="s">
        <v>6</v>
      </c>
      <c r="Q571" s="19" t="s">
        <v>5</v>
      </c>
      <c r="R571" s="19"/>
      <c r="T571">
        <v>2009033</v>
      </c>
      <c r="U571" t="s">
        <v>133</v>
      </c>
      <c r="V571">
        <v>6.7580000000000001E-2</v>
      </c>
      <c r="W571">
        <v>0.38921</v>
      </c>
      <c r="X571">
        <v>2.5749999999999999E-2</v>
      </c>
      <c r="Y571">
        <v>1.3164800000000001</v>
      </c>
      <c r="Z571">
        <v>12.64316</v>
      </c>
      <c r="AA571">
        <v>8.4011499999999995</v>
      </c>
      <c r="AB571">
        <v>-1.5447500000000001</v>
      </c>
      <c r="AC571" s="23">
        <v>5.9360000000000003E-2</v>
      </c>
      <c r="AD571" s="23">
        <v>0.38257999999999998</v>
      </c>
      <c r="AE571" s="23">
        <v>2.8330000000000001E-2</v>
      </c>
      <c r="AF571" s="23">
        <v>1.3462400000000001</v>
      </c>
      <c r="AG571" s="23">
        <v>20.31044</v>
      </c>
      <c r="AH571" s="23">
        <v>10.8346</v>
      </c>
      <c r="AI571" s="23">
        <v>-1.4195199999999999</v>
      </c>
      <c r="AJ571" s="25">
        <v>0.84626833333333329</v>
      </c>
      <c r="AK571" s="25">
        <v>0.3818978783838119</v>
      </c>
      <c r="AL571" s="25">
        <v>0.20615333902423066</v>
      </c>
      <c r="AM571" s="25">
        <v>9.9118519553617196E-2</v>
      </c>
      <c r="AN571" s="24">
        <v>1.6379706222828985</v>
      </c>
      <c r="AO571" s="23">
        <v>-99</v>
      </c>
    </row>
    <row r="572" spans="1:41" x14ac:dyDescent="0.25">
      <c r="C572" s="16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1"/>
      <c r="Q572" s="5" t="s">
        <v>4</v>
      </c>
      <c r="R572" s="5" t="s">
        <v>3</v>
      </c>
      <c r="T572">
        <v>2009033</v>
      </c>
      <c r="U572" t="s">
        <v>132</v>
      </c>
      <c r="V572">
        <v>5.7029999999999997E-2</v>
      </c>
      <c r="W572">
        <v>0.37774000000000002</v>
      </c>
      <c r="X572">
        <v>0.03</v>
      </c>
      <c r="Y572">
        <v>1.3718399999999999</v>
      </c>
      <c r="Z572">
        <v>25.932980000000001</v>
      </c>
      <c r="AA572">
        <v>12.185829999999999</v>
      </c>
      <c r="AB572">
        <v>-1.3608800000000001</v>
      </c>
      <c r="AC572" s="23">
        <v>7.1559999999999999E-2</v>
      </c>
      <c r="AD572" s="23">
        <v>0.39795000000000003</v>
      </c>
      <c r="AE572" s="23">
        <v>2.3300000000000001E-2</v>
      </c>
      <c r="AF572" s="23">
        <v>1.32067</v>
      </c>
      <c r="AG572" s="23">
        <v>9.6811100000000003</v>
      </c>
      <c r="AH572" s="23">
        <v>7.2328299999999999</v>
      </c>
      <c r="AI572" s="23">
        <v>-1.44594</v>
      </c>
      <c r="AJ572" s="25">
        <v>0.40337958333333335</v>
      </c>
      <c r="AK572" s="25">
        <v>0.39739926967861228</v>
      </c>
      <c r="AL572" s="25">
        <v>0.23812526787280802</v>
      </c>
      <c r="AM572" s="25">
        <v>0.12145804335447064</v>
      </c>
      <c r="AN572" s="24">
        <v>1.5968919353516775</v>
      </c>
      <c r="AO572" s="23">
        <v>-99</v>
      </c>
    </row>
    <row r="573" spans="1:41" x14ac:dyDescent="0.25">
      <c r="A573" s="4">
        <v>101</v>
      </c>
      <c r="B573">
        <v>30</v>
      </c>
      <c r="C573" s="16">
        <v>50</v>
      </c>
      <c r="D573">
        <v>20</v>
      </c>
      <c r="E573" s="3">
        <v>25.5</v>
      </c>
      <c r="F573" s="3">
        <f>1.8*E573+32</f>
        <v>77.900000000000006</v>
      </c>
      <c r="G573" s="3">
        <v>14</v>
      </c>
      <c r="H573" s="3">
        <f>IF(F573&gt;68,G573+(F573-68)*0.2,G720-(68-F573)*0.2)</f>
        <v>15.98</v>
      </c>
      <c r="I573" s="3">
        <v>23</v>
      </c>
      <c r="J573" s="3">
        <f>1.8*I573+32</f>
        <v>73.400000000000006</v>
      </c>
      <c r="K573" s="3">
        <v>8</v>
      </c>
      <c r="L573" s="3">
        <f>IF(J573&gt;68,K573+(J573-68)*0.2,K573-(68-J573)*0.2)</f>
        <v>9.0800000000000018</v>
      </c>
      <c r="M573" s="3">
        <f>(C573-H573)/C573*100</f>
        <v>68.039999999999992</v>
      </c>
      <c r="N573" s="3">
        <f>100-(M573+O573)</f>
        <v>13.800000000000011</v>
      </c>
      <c r="O573" s="3">
        <f>L573/C573*100</f>
        <v>18.160000000000004</v>
      </c>
      <c r="P573" s="1" t="s">
        <v>0</v>
      </c>
      <c r="Q573" s="15">
        <v>407462.44400000002</v>
      </c>
      <c r="R573" s="15">
        <v>3659870</v>
      </c>
      <c r="T573">
        <v>2009033</v>
      </c>
      <c r="U573" t="s">
        <v>131</v>
      </c>
      <c r="V573">
        <v>5.7709999999999997E-2</v>
      </c>
      <c r="W573">
        <v>0.37569999999999998</v>
      </c>
      <c r="X573">
        <v>2.9600000000000001E-2</v>
      </c>
      <c r="Y573">
        <v>1.38297</v>
      </c>
      <c r="Z573">
        <v>26.524979999999999</v>
      </c>
      <c r="AA573">
        <v>11.91314</v>
      </c>
      <c r="AB573">
        <v>-1.33077</v>
      </c>
      <c r="AC573" s="23">
        <v>6.6830000000000001E-2</v>
      </c>
      <c r="AD573" s="23">
        <v>0.38823999999999997</v>
      </c>
      <c r="AE573" s="23">
        <v>2.5989999999999999E-2</v>
      </c>
      <c r="AF573" s="23">
        <v>1.3183400000000001</v>
      </c>
      <c r="AG573" s="23">
        <v>13.191750000000001</v>
      </c>
      <c r="AH573" s="23">
        <v>8.5855399999999999</v>
      </c>
      <c r="AI573" s="23">
        <v>-1.5384599999999999</v>
      </c>
      <c r="AJ573" s="25">
        <v>0.54965625000000007</v>
      </c>
      <c r="AK573" s="25">
        <v>0.38761206528317299</v>
      </c>
      <c r="AL573" s="25">
        <v>0.22633335059138454</v>
      </c>
      <c r="AM573" s="25">
        <v>0.11493971694446826</v>
      </c>
      <c r="AN573" s="24">
        <v>1.6228280269995916</v>
      </c>
      <c r="AO573" s="23">
        <v>-99</v>
      </c>
    </row>
    <row r="574" spans="1:41" x14ac:dyDescent="0.25">
      <c r="A574" s="4">
        <v>101</v>
      </c>
      <c r="B574">
        <v>60</v>
      </c>
      <c r="C574" s="16">
        <v>50</v>
      </c>
      <c r="D574">
        <v>20</v>
      </c>
      <c r="E574" s="3">
        <v>25</v>
      </c>
      <c r="F574" s="3">
        <f>1.8*E574+32</f>
        <v>77</v>
      </c>
      <c r="G574" s="3">
        <v>15</v>
      </c>
      <c r="H574" s="3">
        <f>IF(F574&gt;68,G574+(F574-68)*0.2,G721-(68-F574)*0.2)</f>
        <v>16.8</v>
      </c>
      <c r="I574" s="3">
        <v>22.5</v>
      </c>
      <c r="J574" s="3">
        <f>1.8*I574+32</f>
        <v>72.5</v>
      </c>
      <c r="K574" s="3">
        <v>8</v>
      </c>
      <c r="L574" s="3">
        <f>IF(J574&gt;68,K574+(J574-68)*0.2,K574-(68-J574)*0.2)</f>
        <v>8.9</v>
      </c>
      <c r="M574" s="3">
        <f>(C574-H574)/C574*100</f>
        <v>66.400000000000006</v>
      </c>
      <c r="N574" s="3">
        <f>100-(M574+O574)</f>
        <v>15.799999999999997</v>
      </c>
      <c r="O574" s="3">
        <f>L574/C574*100</f>
        <v>17.8</v>
      </c>
      <c r="P574" s="1" t="s">
        <v>0</v>
      </c>
      <c r="Q574" s="15">
        <v>407462.44400000002</v>
      </c>
      <c r="R574" s="15">
        <v>3659870</v>
      </c>
      <c r="T574">
        <v>2009033</v>
      </c>
      <c r="U574" t="s">
        <v>130</v>
      </c>
      <c r="V574">
        <v>5.9360000000000003E-2</v>
      </c>
      <c r="W574">
        <v>0.38257999999999998</v>
      </c>
      <c r="X574">
        <v>2.8330000000000001E-2</v>
      </c>
      <c r="Y574">
        <v>1.3462400000000001</v>
      </c>
      <c r="Z574">
        <v>20.31044</v>
      </c>
      <c r="AA574">
        <v>10.8346</v>
      </c>
      <c r="AB574">
        <v>-1.4195199999999999</v>
      </c>
      <c r="AC574" s="23">
        <v>6.3789999999999999E-2</v>
      </c>
      <c r="AD574" s="23">
        <v>0.38338</v>
      </c>
      <c r="AE574" s="23">
        <v>2.742E-2</v>
      </c>
      <c r="AF574" s="23">
        <v>1.32406</v>
      </c>
      <c r="AG574" s="23">
        <v>15.90329</v>
      </c>
      <c r="AH574" s="23">
        <v>9.4982500000000005</v>
      </c>
      <c r="AI574" s="23">
        <v>-1.5398700000000001</v>
      </c>
      <c r="AJ574" s="25">
        <v>0.66263708333333338</v>
      </c>
      <c r="AK574" s="25">
        <v>0.38271485485863366</v>
      </c>
      <c r="AL574" s="25">
        <v>0.21788609257913832</v>
      </c>
      <c r="AM574" s="25">
        <v>0.1092272639081138</v>
      </c>
      <c r="AN574" s="24">
        <v>1.6358056346246208</v>
      </c>
      <c r="AO574" s="23">
        <v>-99</v>
      </c>
    </row>
    <row r="575" spans="1:41" x14ac:dyDescent="0.25">
      <c r="A575" s="4">
        <v>101</v>
      </c>
      <c r="B575">
        <v>90</v>
      </c>
      <c r="C575" s="16">
        <v>50</v>
      </c>
      <c r="D575">
        <v>20</v>
      </c>
      <c r="E575" s="3">
        <v>25.5</v>
      </c>
      <c r="F575" s="3">
        <f>1.8*E575+32</f>
        <v>77.900000000000006</v>
      </c>
      <c r="G575" s="3">
        <v>10</v>
      </c>
      <c r="H575" s="3">
        <f>IF(F575&gt;68,G575+(F575-68)*0.2,G722-(68-F575)*0.2)</f>
        <v>11.98</v>
      </c>
      <c r="I575" s="3">
        <v>22.5</v>
      </c>
      <c r="J575" s="3">
        <f>1.8*I575+32</f>
        <v>72.5</v>
      </c>
      <c r="K575" s="3">
        <v>5</v>
      </c>
      <c r="L575" s="3">
        <f>IF(J575&gt;68,K575+(J575-68)*0.2,K575-(68-J575)*0.2)</f>
        <v>5.9</v>
      </c>
      <c r="M575" s="3">
        <f>(C575-H575)/C575*100</f>
        <v>76.039999999999992</v>
      </c>
      <c r="N575" s="3">
        <f>100-(M575+O575)</f>
        <v>12.160000000000011</v>
      </c>
      <c r="O575" s="3">
        <f>L575/C575*100</f>
        <v>11.8</v>
      </c>
      <c r="P575" s="1" t="s">
        <v>0</v>
      </c>
      <c r="Q575" s="15">
        <v>407462.44400000002</v>
      </c>
      <c r="R575" s="15">
        <v>3659870</v>
      </c>
      <c r="T575">
        <v>2009033</v>
      </c>
      <c r="U575" t="s">
        <v>129</v>
      </c>
      <c r="V575">
        <v>7.1559999999999999E-2</v>
      </c>
      <c r="W575">
        <v>0.39795000000000003</v>
      </c>
      <c r="X575">
        <v>2.3300000000000001E-2</v>
      </c>
      <c r="Y575">
        <v>1.32067</v>
      </c>
      <c r="Z575">
        <v>9.6811100000000003</v>
      </c>
      <c r="AA575">
        <v>7.2328299999999999</v>
      </c>
      <c r="AB575">
        <v>-1.44594</v>
      </c>
      <c r="AC575" s="23">
        <v>5.289E-2</v>
      </c>
      <c r="AD575" s="23">
        <v>0.37869999999999998</v>
      </c>
      <c r="AE575" s="23">
        <v>3.1789999999999999E-2</v>
      </c>
      <c r="AF575" s="23">
        <v>1.4073500000000001</v>
      </c>
      <c r="AG575" s="23">
        <v>34.879130000000004</v>
      </c>
      <c r="AH575" s="23">
        <v>14.59599</v>
      </c>
      <c r="AI575" s="23">
        <v>-1.2516499999999999</v>
      </c>
      <c r="AJ575" s="25">
        <v>1.4532970833333334</v>
      </c>
      <c r="AK575" s="25">
        <v>0.37796793179377358</v>
      </c>
      <c r="AL575" s="25">
        <v>0.17622246713646564</v>
      </c>
      <c r="AM575" s="25">
        <v>7.9308260277741488E-2</v>
      </c>
      <c r="AN575" s="24">
        <v>1.6483849807464999</v>
      </c>
      <c r="AO575" s="23">
        <v>-99</v>
      </c>
    </row>
    <row r="576" spans="1:41" x14ac:dyDescent="0.25">
      <c r="A576" s="4">
        <v>101</v>
      </c>
      <c r="B576">
        <v>120</v>
      </c>
      <c r="C576" s="16">
        <v>50</v>
      </c>
      <c r="D576">
        <v>20</v>
      </c>
      <c r="E576" s="3">
        <v>25.5</v>
      </c>
      <c r="F576" s="3">
        <f>1.8*E576+32</f>
        <v>77.900000000000006</v>
      </c>
      <c r="G576" s="3">
        <v>12</v>
      </c>
      <c r="H576" s="3">
        <f>IF(F576&gt;68,G576+(F576-68)*0.2,G724-(68-F576)*0.2)</f>
        <v>13.98</v>
      </c>
      <c r="I576" s="3">
        <v>22.5</v>
      </c>
      <c r="J576" s="3">
        <f>1.8*I576+32</f>
        <v>72.5</v>
      </c>
      <c r="K576" s="3">
        <v>6</v>
      </c>
      <c r="L576" s="3">
        <f>IF(J576&gt;68,K576+(J576-68)*0.2,K576-(68-J576)*0.2)</f>
        <v>6.9</v>
      </c>
      <c r="M576" s="3">
        <f>(C576-H576)/C576*100</f>
        <v>72.039999999999992</v>
      </c>
      <c r="N576" s="3">
        <f>100-(M576+O576)</f>
        <v>14.160000000000011</v>
      </c>
      <c r="O576" s="3">
        <f>L576/C576*100</f>
        <v>13.8</v>
      </c>
      <c r="P576" s="1" t="s">
        <v>0</v>
      </c>
      <c r="Q576" s="15">
        <v>407462.44400000002</v>
      </c>
      <c r="R576" s="15">
        <v>3659870</v>
      </c>
      <c r="T576">
        <v>2009033</v>
      </c>
      <c r="U576" t="s">
        <v>128</v>
      </c>
      <c r="V576">
        <v>6.6830000000000001E-2</v>
      </c>
      <c r="W576">
        <v>0.38823999999999997</v>
      </c>
      <c r="X576">
        <v>2.5989999999999999E-2</v>
      </c>
      <c r="Y576">
        <v>1.3183400000000001</v>
      </c>
      <c r="Z576">
        <v>13.191750000000001</v>
      </c>
      <c r="AA576">
        <v>8.5855399999999999</v>
      </c>
      <c r="AB576">
        <v>-1.5384599999999999</v>
      </c>
      <c r="AC576" s="23">
        <v>5.3629999999999997E-2</v>
      </c>
      <c r="AD576" s="23">
        <v>0.37728</v>
      </c>
      <c r="AE576" s="23">
        <v>3.15E-2</v>
      </c>
      <c r="AF576" s="23">
        <v>1.4225399999999999</v>
      </c>
      <c r="AG576" s="23">
        <v>36.431260000000002</v>
      </c>
      <c r="AH576" s="23">
        <v>14.42015</v>
      </c>
      <c r="AI576" s="23">
        <v>-1.2232000000000001</v>
      </c>
      <c r="AJ576" s="25">
        <v>1.5179691666666668</v>
      </c>
      <c r="AK576" s="25">
        <v>0.37658077968586273</v>
      </c>
      <c r="AL576" s="25">
        <v>0.17228583672390124</v>
      </c>
      <c r="AM576" s="25">
        <v>7.7619082280316304E-2</v>
      </c>
      <c r="AN576" s="24">
        <v>1.6520609338324639</v>
      </c>
      <c r="AO576" s="23">
        <v>-99</v>
      </c>
    </row>
    <row r="577" spans="1:41" x14ac:dyDescent="0.25">
      <c r="A577" s="4">
        <v>101</v>
      </c>
      <c r="B577">
        <v>150</v>
      </c>
      <c r="C577" s="16">
        <v>50</v>
      </c>
      <c r="D577">
        <v>20</v>
      </c>
      <c r="E577" s="3">
        <v>25</v>
      </c>
      <c r="F577" s="3">
        <f>1.8*E577+32</f>
        <v>77</v>
      </c>
      <c r="G577" s="3">
        <v>10</v>
      </c>
      <c r="H577" s="3">
        <f>IF(F577&gt;68,G577+(F577-68)*0.2,G725-(68-F577)*0.2)</f>
        <v>11.8</v>
      </c>
      <c r="I577" s="3">
        <v>22.5</v>
      </c>
      <c r="J577" s="3">
        <f>1.8*I577+32</f>
        <v>72.5</v>
      </c>
      <c r="K577" s="3">
        <v>7</v>
      </c>
      <c r="L577" s="3">
        <f>IF(J577&gt;68,K577+(J577-68)*0.2,K577-(68-J577)*0.2)</f>
        <v>7.9</v>
      </c>
      <c r="M577" s="3">
        <f>(C577-H577)/C577*100</f>
        <v>76.400000000000006</v>
      </c>
      <c r="N577" s="3">
        <f>100-(M577+O577)</f>
        <v>7.7999999999999972</v>
      </c>
      <c r="O577" s="3">
        <f>L577/C577*100</f>
        <v>15.8</v>
      </c>
      <c r="P577" s="1" t="s">
        <v>0</v>
      </c>
      <c r="Q577" s="15">
        <v>407462.44400000002</v>
      </c>
      <c r="R577" s="15">
        <v>3659870</v>
      </c>
      <c r="T577">
        <v>2009033</v>
      </c>
      <c r="U577" t="s">
        <v>127</v>
      </c>
      <c r="V577">
        <v>6.3789999999999999E-2</v>
      </c>
      <c r="W577">
        <v>0.38338</v>
      </c>
      <c r="X577">
        <v>2.742E-2</v>
      </c>
      <c r="Y577">
        <v>1.32406</v>
      </c>
      <c r="Z577">
        <v>15.90329</v>
      </c>
      <c r="AA577">
        <v>9.4982500000000005</v>
      </c>
      <c r="AB577">
        <v>-1.5398700000000001</v>
      </c>
      <c r="AC577" s="23">
        <v>5.5199999999999999E-2</v>
      </c>
      <c r="AD577" s="23">
        <v>0.38014999999999999</v>
      </c>
      <c r="AE577" s="23">
        <v>3.0370000000000001E-2</v>
      </c>
      <c r="AF577" s="23">
        <v>1.3720699999999999</v>
      </c>
      <c r="AG577" s="23">
        <v>27.234079999999999</v>
      </c>
      <c r="AH577" s="23">
        <v>12.852499999999999</v>
      </c>
      <c r="AI577" s="23">
        <v>-1.3407899999999999</v>
      </c>
      <c r="AJ577" s="25">
        <v>1.1347533333333333</v>
      </c>
      <c r="AK577" s="25">
        <v>0.37942456778249467</v>
      </c>
      <c r="AL577" s="25">
        <v>0.19106397827888894</v>
      </c>
      <c r="AM577" s="25">
        <v>8.8514134159126817E-2</v>
      </c>
      <c r="AN577" s="24">
        <v>1.6445248953763891</v>
      </c>
      <c r="AO577" s="23">
        <v>-99</v>
      </c>
    </row>
    <row r="578" spans="1:41" x14ac:dyDescent="0.25">
      <c r="A578" s="4">
        <v>101</v>
      </c>
      <c r="B578">
        <v>180</v>
      </c>
      <c r="C578" s="16">
        <v>50</v>
      </c>
      <c r="D578">
        <v>20</v>
      </c>
      <c r="E578" s="3">
        <v>25</v>
      </c>
      <c r="F578" s="3">
        <f>1.8*E578+32</f>
        <v>77</v>
      </c>
      <c r="G578" s="3">
        <v>16</v>
      </c>
      <c r="H578" s="3">
        <f>IF(F578&gt;68,G578+(F578-68)*0.2,G726-(68-F578)*0.2)</f>
        <v>17.8</v>
      </c>
      <c r="I578" s="3">
        <v>22.5</v>
      </c>
      <c r="J578" s="3">
        <f>1.8*I578+32</f>
        <v>72.5</v>
      </c>
      <c r="K578" s="3">
        <v>8</v>
      </c>
      <c r="L578" s="3">
        <f>IF(J578&gt;68,K578+(J578-68)*0.2,K578-(68-J578)*0.2)</f>
        <v>8.9</v>
      </c>
      <c r="M578" s="3">
        <f>(C578-H578)/C578*100</f>
        <v>64.400000000000006</v>
      </c>
      <c r="N578" s="3">
        <f>100-(M578+O578)</f>
        <v>17.799999999999997</v>
      </c>
      <c r="O578" s="3">
        <f>L578/C578*100</f>
        <v>17.8</v>
      </c>
      <c r="P578" s="1" t="s">
        <v>0</v>
      </c>
      <c r="Q578" s="15">
        <v>407462.44400000002</v>
      </c>
      <c r="R578" s="15">
        <v>3659870</v>
      </c>
      <c r="T578">
        <v>2009033</v>
      </c>
      <c r="U578" t="s">
        <v>126</v>
      </c>
      <c r="V578">
        <v>5.289E-2</v>
      </c>
      <c r="W578">
        <v>0.37869999999999998</v>
      </c>
      <c r="X578">
        <v>3.1789999999999999E-2</v>
      </c>
      <c r="Y578">
        <v>1.4073500000000001</v>
      </c>
      <c r="Z578">
        <v>34.879130000000004</v>
      </c>
      <c r="AA578">
        <v>14.59599</v>
      </c>
      <c r="AB578">
        <v>-1.2516499999999999</v>
      </c>
      <c r="AC578" s="23">
        <v>6.4060000000000006E-2</v>
      </c>
      <c r="AD578" s="23">
        <v>0.38639000000000001</v>
      </c>
      <c r="AE578" s="23">
        <v>2.648E-2</v>
      </c>
      <c r="AF578" s="23">
        <v>1.3297000000000001</v>
      </c>
      <c r="AG578" s="23">
        <v>15.29114</v>
      </c>
      <c r="AH578" s="23">
        <v>9.2311899999999998</v>
      </c>
      <c r="AI578" s="23">
        <v>-1.47444</v>
      </c>
      <c r="AJ578" s="25">
        <v>0.63713083333333331</v>
      </c>
      <c r="AK578" s="25">
        <v>0.3857539952569406</v>
      </c>
      <c r="AL578" s="25">
        <v>0.21923286547096874</v>
      </c>
      <c r="AM578" s="25">
        <v>0.10886945859177119</v>
      </c>
      <c r="AN578" s="24">
        <v>1.6277519125691071</v>
      </c>
      <c r="AO578" s="23">
        <v>-99</v>
      </c>
    </row>
    <row r="579" spans="1:41" x14ac:dyDescent="0.25">
      <c r="T579">
        <v>2009033</v>
      </c>
      <c r="U579" t="s">
        <v>125</v>
      </c>
      <c r="V579">
        <v>5.3629999999999997E-2</v>
      </c>
      <c r="W579">
        <v>0.37728</v>
      </c>
      <c r="X579">
        <v>3.15E-2</v>
      </c>
      <c r="Y579">
        <v>1.4225399999999999</v>
      </c>
      <c r="Z579">
        <v>36.431260000000002</v>
      </c>
      <c r="AA579">
        <v>14.42015</v>
      </c>
      <c r="AB579">
        <v>-1.2232000000000001</v>
      </c>
      <c r="AC579" s="23">
        <v>6.4060000000000006E-2</v>
      </c>
      <c r="AD579" s="23">
        <v>0.38639000000000001</v>
      </c>
      <c r="AE579" s="23">
        <v>2.648E-2</v>
      </c>
      <c r="AF579" s="23">
        <v>1.3297000000000001</v>
      </c>
      <c r="AG579" s="23">
        <v>15.29114</v>
      </c>
      <c r="AH579" s="23">
        <v>9.2311899999999998</v>
      </c>
      <c r="AI579" s="23">
        <v>-1.47444</v>
      </c>
      <c r="AJ579" s="25">
        <v>0.63713083333333331</v>
      </c>
      <c r="AK579" s="25">
        <v>0.3857539952569406</v>
      </c>
      <c r="AL579" s="25">
        <v>0.21923286547096874</v>
      </c>
      <c r="AM579" s="25">
        <v>0.10886945859177119</v>
      </c>
      <c r="AN579" s="24">
        <v>1.6277519125691071</v>
      </c>
      <c r="AO579" s="23">
        <v>-99</v>
      </c>
    </row>
    <row r="580" spans="1:41" ht="51.75" x14ac:dyDescent="0.25">
      <c r="A580" s="14" t="s">
        <v>21</v>
      </c>
      <c r="B580" s="9" t="s">
        <v>20</v>
      </c>
      <c r="C580" s="13" t="s">
        <v>19</v>
      </c>
      <c r="D580" s="12" t="s">
        <v>18</v>
      </c>
      <c r="E580" s="11" t="s">
        <v>17</v>
      </c>
      <c r="F580" s="11" t="s">
        <v>16</v>
      </c>
      <c r="G580" s="11" t="s">
        <v>15</v>
      </c>
      <c r="H580" s="11" t="s">
        <v>14</v>
      </c>
      <c r="I580" s="11" t="s">
        <v>13</v>
      </c>
      <c r="J580" s="11" t="s">
        <v>12</v>
      </c>
      <c r="K580" s="11" t="s">
        <v>11</v>
      </c>
      <c r="L580" s="11" t="s">
        <v>10</v>
      </c>
      <c r="M580" s="10" t="s">
        <v>9</v>
      </c>
      <c r="N580" s="10" t="s">
        <v>8</v>
      </c>
      <c r="O580" s="10" t="s">
        <v>7</v>
      </c>
      <c r="P580" s="9" t="s">
        <v>6</v>
      </c>
      <c r="Q580" s="19" t="s">
        <v>5</v>
      </c>
      <c r="R580" s="19"/>
      <c r="T580">
        <v>2009033</v>
      </c>
      <c r="U580" t="s">
        <v>124</v>
      </c>
      <c r="V580">
        <v>5.5199999999999999E-2</v>
      </c>
      <c r="W580">
        <v>0.38014999999999999</v>
      </c>
      <c r="X580">
        <v>3.0370000000000001E-2</v>
      </c>
      <c r="Y580">
        <v>1.3720699999999999</v>
      </c>
      <c r="Z580">
        <v>27.234079999999999</v>
      </c>
      <c r="AA580">
        <v>12.852499999999999</v>
      </c>
      <c r="AB580">
        <v>-1.3407899999999999</v>
      </c>
      <c r="AC580" s="23">
        <v>6.4060000000000006E-2</v>
      </c>
      <c r="AD580" s="23">
        <v>0.38639000000000001</v>
      </c>
      <c r="AE580" s="23">
        <v>2.648E-2</v>
      </c>
      <c r="AF580" s="23">
        <v>1.3297000000000001</v>
      </c>
      <c r="AG580" s="23">
        <v>15.29114</v>
      </c>
      <c r="AH580" s="23">
        <v>9.2311899999999998</v>
      </c>
      <c r="AI580" s="23">
        <v>-1.47444</v>
      </c>
      <c r="AJ580" s="25">
        <v>0.63713083333333331</v>
      </c>
      <c r="AK580" s="25">
        <v>0.3857539952569406</v>
      </c>
      <c r="AL580" s="25">
        <v>0.21923286547096874</v>
      </c>
      <c r="AM580" s="25">
        <v>0.10886945859177119</v>
      </c>
      <c r="AN580" s="24">
        <v>1.6277519125691071</v>
      </c>
      <c r="AO580" s="23">
        <v>-99</v>
      </c>
    </row>
    <row r="581" spans="1:41" x14ac:dyDescent="0.25"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1"/>
      <c r="Q581" s="5" t="s">
        <v>4</v>
      </c>
      <c r="R581" s="5" t="s">
        <v>3</v>
      </c>
      <c r="T581">
        <v>2009033</v>
      </c>
      <c r="U581" t="s">
        <v>123</v>
      </c>
      <c r="V581">
        <v>6.4060000000000006E-2</v>
      </c>
      <c r="W581">
        <v>0.38639000000000001</v>
      </c>
      <c r="X581">
        <v>2.648E-2</v>
      </c>
      <c r="Y581">
        <v>1.3297000000000001</v>
      </c>
      <c r="Z581">
        <v>15.29114</v>
      </c>
      <c r="AA581">
        <v>9.2311899999999998</v>
      </c>
      <c r="AB581">
        <v>-1.47444</v>
      </c>
      <c r="AC581" s="23">
        <v>5.289E-2</v>
      </c>
      <c r="AD581" s="23">
        <v>0.37869999999999998</v>
      </c>
      <c r="AE581" s="23">
        <v>3.1789999999999999E-2</v>
      </c>
      <c r="AF581" s="23">
        <v>1.4073500000000001</v>
      </c>
      <c r="AG581" s="23">
        <v>34.879130000000004</v>
      </c>
      <c r="AH581" s="23">
        <v>14.59599</v>
      </c>
      <c r="AI581" s="23">
        <v>-1.2516499999999999</v>
      </c>
      <c r="AJ581" s="25">
        <v>1.4532970833333334</v>
      </c>
      <c r="AK581" s="25">
        <v>0.37796793179377358</v>
      </c>
      <c r="AL581" s="25">
        <v>0.17622246713646564</v>
      </c>
      <c r="AM581" s="25">
        <v>7.9308260277741488E-2</v>
      </c>
      <c r="AN581" s="24">
        <v>1.6483849807464999</v>
      </c>
      <c r="AO581" s="23">
        <v>-99</v>
      </c>
    </row>
    <row r="582" spans="1:41" x14ac:dyDescent="0.25">
      <c r="A582" s="4">
        <v>102</v>
      </c>
      <c r="B582">
        <v>30</v>
      </c>
      <c r="C582">
        <v>50</v>
      </c>
      <c r="D582">
        <v>20</v>
      </c>
      <c r="E582" s="3">
        <v>26</v>
      </c>
      <c r="F582" s="3">
        <f>1.8*E582+32</f>
        <v>78.800000000000011</v>
      </c>
      <c r="G582" s="3">
        <v>12</v>
      </c>
      <c r="H582" s="3">
        <f>IF(F582&gt;68,G582+(F582-68)*0.2,G730-(68-F582)*0.2)</f>
        <v>14.160000000000002</v>
      </c>
      <c r="I582" s="3">
        <v>22.5</v>
      </c>
      <c r="J582" s="3">
        <f>1.8*I582+32</f>
        <v>72.5</v>
      </c>
      <c r="K582" s="3">
        <v>6</v>
      </c>
      <c r="L582" s="3">
        <f>IF(J582&gt;67,K582+(J582-67)*0.2,K582-(67-J582)*0.2)</f>
        <v>7.1</v>
      </c>
      <c r="M582" s="3">
        <f>(C582-H582)/C582*100</f>
        <v>71.679999999999993</v>
      </c>
      <c r="N582" s="3">
        <f>100-(M582+O582)</f>
        <v>14.120000000000005</v>
      </c>
      <c r="O582" s="3">
        <f>L582/C582*100</f>
        <v>14.2</v>
      </c>
      <c r="P582" s="1" t="s">
        <v>0</v>
      </c>
      <c r="Q582" s="15">
        <v>407462.44400000002</v>
      </c>
      <c r="R582" s="15">
        <v>3659896.5</v>
      </c>
      <c r="T582">
        <v>2009033</v>
      </c>
      <c r="U582" t="s">
        <v>122</v>
      </c>
      <c r="V582">
        <v>6.4060000000000006E-2</v>
      </c>
      <c r="W582">
        <v>0.38639000000000001</v>
      </c>
      <c r="X582">
        <v>2.648E-2</v>
      </c>
      <c r="Y582">
        <v>1.3297000000000001</v>
      </c>
      <c r="Z582">
        <v>15.29114</v>
      </c>
      <c r="AA582">
        <v>9.2311899999999998</v>
      </c>
      <c r="AB582">
        <v>-1.47444</v>
      </c>
      <c r="AC582" s="23">
        <v>5.0310000000000001E-2</v>
      </c>
      <c r="AD582" s="23">
        <v>0.37914999999999999</v>
      </c>
      <c r="AE582" s="23">
        <v>3.3230000000000003E-2</v>
      </c>
      <c r="AF582" s="23">
        <v>1.4453400000000001</v>
      </c>
      <c r="AG582" s="23">
        <v>43.881329999999998</v>
      </c>
      <c r="AH582" s="23">
        <v>16.780080000000002</v>
      </c>
      <c r="AI582" s="23">
        <v>-1.1686000000000001</v>
      </c>
      <c r="AJ582" s="25">
        <v>1.82838875</v>
      </c>
      <c r="AK582" s="25">
        <v>0.37841421815730231</v>
      </c>
      <c r="AL582" s="25">
        <v>0.16199070138971275</v>
      </c>
      <c r="AM582" s="25">
        <v>7.0992781843378525E-2</v>
      </c>
      <c r="AN582" s="24">
        <v>1.6472023218831491</v>
      </c>
      <c r="AO582" s="23">
        <v>-99</v>
      </c>
    </row>
    <row r="583" spans="1:41" x14ac:dyDescent="0.25">
      <c r="A583" s="4">
        <v>102</v>
      </c>
      <c r="B583">
        <v>60</v>
      </c>
      <c r="C583">
        <v>50</v>
      </c>
      <c r="D583">
        <v>20</v>
      </c>
      <c r="E583" s="3">
        <v>26</v>
      </c>
      <c r="F583" s="3">
        <f>1.8*E583+32</f>
        <v>78.800000000000011</v>
      </c>
      <c r="G583" s="3">
        <v>11</v>
      </c>
      <c r="H583" s="3">
        <f>IF(F583&gt;68,G583+(F583-68)*0.2,G731-(68-F583)*0.2)</f>
        <v>13.160000000000002</v>
      </c>
      <c r="I583" s="3">
        <v>22.5</v>
      </c>
      <c r="J583" s="3">
        <f>1.8*I583+32</f>
        <v>72.5</v>
      </c>
      <c r="K583" s="3">
        <v>6</v>
      </c>
      <c r="L583" s="3">
        <f>IF(J583&gt;67,K583+(J583-67)*0.2,K583-(67-J583)*0.2)</f>
        <v>7.1</v>
      </c>
      <c r="M583" s="3">
        <f>(C583-H583)/C583*100</f>
        <v>73.679999999999993</v>
      </c>
      <c r="N583" s="3">
        <f>100-(M583+O583)</f>
        <v>12.120000000000005</v>
      </c>
      <c r="O583" s="3">
        <f>L583/C583*100</f>
        <v>14.2</v>
      </c>
      <c r="P583" s="1" t="s">
        <v>0</v>
      </c>
      <c r="Q583" s="15">
        <v>407462.44400000002</v>
      </c>
      <c r="R583" s="15">
        <v>3659896.5</v>
      </c>
      <c r="T583">
        <v>2009033</v>
      </c>
      <c r="U583" t="s">
        <v>121</v>
      </c>
      <c r="V583">
        <v>6.4060000000000006E-2</v>
      </c>
      <c r="W583">
        <v>0.38639000000000001</v>
      </c>
      <c r="X583">
        <v>2.648E-2</v>
      </c>
      <c r="Y583">
        <v>1.3297000000000001</v>
      </c>
      <c r="Z583">
        <v>15.29114</v>
      </c>
      <c r="AA583">
        <v>9.2311899999999998</v>
      </c>
      <c r="AB583">
        <v>-1.47444</v>
      </c>
      <c r="AC583" s="23">
        <v>5.3629999999999997E-2</v>
      </c>
      <c r="AD583" s="23">
        <v>0.37728</v>
      </c>
      <c r="AE583" s="23">
        <v>3.15E-2</v>
      </c>
      <c r="AF583" s="23">
        <v>1.4225399999999999</v>
      </c>
      <c r="AG583" s="23">
        <v>36.431260000000002</v>
      </c>
      <c r="AH583" s="23">
        <v>14.42015</v>
      </c>
      <c r="AI583" s="23">
        <v>-1.2232000000000001</v>
      </c>
      <c r="AJ583" s="25">
        <v>1.5179691666666668</v>
      </c>
      <c r="AK583" s="25">
        <v>0.37658077968586273</v>
      </c>
      <c r="AL583" s="25">
        <v>0.17228583672390124</v>
      </c>
      <c r="AM583" s="25">
        <v>7.7619082280316304E-2</v>
      </c>
      <c r="AN583" s="24">
        <v>1.6520609338324639</v>
      </c>
      <c r="AO583" s="23">
        <v>-99</v>
      </c>
    </row>
    <row r="584" spans="1:41" x14ac:dyDescent="0.25">
      <c r="A584" s="4">
        <v>102</v>
      </c>
      <c r="B584">
        <v>90</v>
      </c>
      <c r="C584">
        <v>50</v>
      </c>
      <c r="D584">
        <v>20</v>
      </c>
      <c r="E584" s="3">
        <v>24</v>
      </c>
      <c r="F584" s="3">
        <f>1.8*E584+32</f>
        <v>75.2</v>
      </c>
      <c r="G584" s="3">
        <v>14</v>
      </c>
      <c r="H584" s="3">
        <f>IF(F584&gt;68,G584+(F584-68)*0.2,G732-(68-F584)*0.2)</f>
        <v>15.440000000000001</v>
      </c>
      <c r="I584" s="3">
        <v>22.5</v>
      </c>
      <c r="J584" s="3">
        <f>1.8*I584+32</f>
        <v>72.5</v>
      </c>
      <c r="K584" s="3">
        <v>5</v>
      </c>
      <c r="L584" s="3">
        <f>IF(J584&gt;67,K584+(J584-67)*0.2,K584-(67-J584)*0.2)</f>
        <v>6.1</v>
      </c>
      <c r="M584" s="3">
        <f>(C584-H584)/C584*100</f>
        <v>69.12</v>
      </c>
      <c r="N584" s="3">
        <f>100-(M584+O584)</f>
        <v>18.679999999999993</v>
      </c>
      <c r="O584" s="3">
        <f>L584/C584*100</f>
        <v>12.2</v>
      </c>
      <c r="P584" s="1" t="s">
        <v>0</v>
      </c>
      <c r="Q584" s="15">
        <v>407462.44400000002</v>
      </c>
      <c r="R584" s="15">
        <v>3659896.5</v>
      </c>
      <c r="S584" s="1"/>
      <c r="T584">
        <v>2009033</v>
      </c>
      <c r="U584" t="s">
        <v>120</v>
      </c>
      <c r="V584">
        <v>5.289E-2</v>
      </c>
      <c r="W584">
        <v>0.37869999999999998</v>
      </c>
      <c r="X584">
        <v>3.1789999999999999E-2</v>
      </c>
      <c r="Y584">
        <v>1.4073500000000001</v>
      </c>
      <c r="Z584">
        <v>34.879130000000004</v>
      </c>
      <c r="AA584">
        <v>14.59599</v>
      </c>
      <c r="AB584">
        <v>-1.2516499999999999</v>
      </c>
      <c r="AC584" s="23">
        <v>6.0999999999999999E-2</v>
      </c>
      <c r="AD584" s="23">
        <v>0.38263999999999998</v>
      </c>
      <c r="AE584" s="23">
        <v>2.8000000000000001E-2</v>
      </c>
      <c r="AF584" s="23">
        <v>1.33809</v>
      </c>
      <c r="AG584" s="23">
        <v>18.572489999999998</v>
      </c>
      <c r="AH584" s="23">
        <v>10.315709999999999</v>
      </c>
      <c r="AI584" s="23">
        <v>-1.46252</v>
      </c>
      <c r="AJ584" s="25">
        <v>0.7738537499999999</v>
      </c>
      <c r="AK584" s="25">
        <v>0.38196421391264956</v>
      </c>
      <c r="AL584" s="25">
        <v>0.21033435811903781</v>
      </c>
      <c r="AM584" s="25">
        <v>0.10272936797565993</v>
      </c>
      <c r="AN584" s="24">
        <v>1.6377948331314787</v>
      </c>
      <c r="AO584" s="23">
        <v>-99</v>
      </c>
    </row>
    <row r="585" spans="1:41" x14ac:dyDescent="0.25">
      <c r="A585" s="4">
        <v>102</v>
      </c>
      <c r="B585">
        <v>120</v>
      </c>
      <c r="C585">
        <v>50</v>
      </c>
      <c r="D585">
        <v>20</v>
      </c>
      <c r="E585" s="3">
        <v>25.5</v>
      </c>
      <c r="F585" s="3">
        <f>1.8*E585+32</f>
        <v>77.900000000000006</v>
      </c>
      <c r="G585" s="3">
        <v>12</v>
      </c>
      <c r="H585" s="3">
        <f>IF(F585&gt;68,G585+(F585-68)*0.2,G733-(68-F585)*0.2)</f>
        <v>13.98</v>
      </c>
      <c r="I585" s="3">
        <v>22.5</v>
      </c>
      <c r="J585" s="3">
        <f>1.8*I585+32</f>
        <v>72.5</v>
      </c>
      <c r="K585" s="3">
        <v>5</v>
      </c>
      <c r="L585" s="3">
        <f>IF(J585&gt;67,K585+(J585-67)*0.2,K585-(67-J585)*0.2)</f>
        <v>6.1</v>
      </c>
      <c r="M585" s="3">
        <f>(C585-H585)/C585*100</f>
        <v>72.039999999999992</v>
      </c>
      <c r="N585" s="3">
        <f>100-(M585+O585)</f>
        <v>15.760000000000005</v>
      </c>
      <c r="O585" s="3">
        <f>L585/C585*100</f>
        <v>12.2</v>
      </c>
      <c r="P585" s="1" t="s">
        <v>0</v>
      </c>
      <c r="Q585" s="15">
        <v>407462.44400000002</v>
      </c>
      <c r="R585" s="15">
        <v>3659896.5</v>
      </c>
      <c r="S585" s="1"/>
      <c r="T585">
        <v>2009033</v>
      </c>
      <c r="U585" t="s">
        <v>119</v>
      </c>
      <c r="V585">
        <v>5.0310000000000001E-2</v>
      </c>
      <c r="W585">
        <v>0.37914999999999999</v>
      </c>
      <c r="X585">
        <v>3.3230000000000003E-2</v>
      </c>
      <c r="Y585">
        <v>1.4453400000000001</v>
      </c>
      <c r="Z585">
        <v>43.881329999999998</v>
      </c>
      <c r="AA585">
        <v>16.780080000000002</v>
      </c>
      <c r="AB585">
        <v>-1.1686000000000001</v>
      </c>
      <c r="AC585" s="23">
        <v>6.0019999999999997E-2</v>
      </c>
      <c r="AD585" s="23">
        <v>0.38435999999999998</v>
      </c>
      <c r="AE585" s="23">
        <v>2.7519999999999999E-2</v>
      </c>
      <c r="AF585" s="23">
        <v>1.3454299999999999</v>
      </c>
      <c r="AG585" s="23">
        <v>19.122679999999999</v>
      </c>
      <c r="AH585" s="23">
        <v>10.407</v>
      </c>
      <c r="AI585" s="23">
        <v>-1.4001999999999999</v>
      </c>
      <c r="AJ585" s="25">
        <v>0.79677833333333326</v>
      </c>
      <c r="AK585" s="25">
        <v>0.38370083796350019</v>
      </c>
      <c r="AL585" s="25">
        <v>0.20900527173338793</v>
      </c>
      <c r="AM585" s="25">
        <v>0.10051597213577923</v>
      </c>
      <c r="AN585" s="24">
        <v>1.6331927793967245</v>
      </c>
      <c r="AO585" s="23">
        <v>-99</v>
      </c>
    </row>
    <row r="586" spans="1:41" x14ac:dyDescent="0.25">
      <c r="A586" s="4">
        <v>102</v>
      </c>
      <c r="B586">
        <v>150</v>
      </c>
      <c r="C586">
        <v>50</v>
      </c>
      <c r="D586">
        <v>20</v>
      </c>
      <c r="E586" s="3">
        <v>25.5</v>
      </c>
      <c r="F586" s="3">
        <f>1.8*E586+32</f>
        <v>77.900000000000006</v>
      </c>
      <c r="G586" s="3">
        <v>12</v>
      </c>
      <c r="H586" s="3">
        <f>IF(F586&gt;68,G586+(F586-68)*0.2,G734-(68-F586)*0.2)</f>
        <v>13.98</v>
      </c>
      <c r="I586" s="3">
        <v>22.5</v>
      </c>
      <c r="J586" s="3">
        <f>1.8*I586+32</f>
        <v>72.5</v>
      </c>
      <c r="K586" s="3">
        <v>6</v>
      </c>
      <c r="L586" s="3">
        <f>IF(J586&gt;67,K586+(J586-67)*0.2,K586-(67-J586)*0.2)</f>
        <v>7.1</v>
      </c>
      <c r="M586" s="3">
        <f>(C586-H586)/C586*100</f>
        <v>72.039999999999992</v>
      </c>
      <c r="N586" s="3">
        <f>100-(M586+O586)</f>
        <v>13.760000000000005</v>
      </c>
      <c r="O586" s="3">
        <f>L586/C586*100</f>
        <v>14.2</v>
      </c>
      <c r="P586" s="1" t="s">
        <v>0</v>
      </c>
      <c r="Q586" s="15">
        <v>407462.44400000002</v>
      </c>
      <c r="R586" s="15">
        <v>3659896.5</v>
      </c>
      <c r="S586" s="1"/>
      <c r="T586">
        <v>2009033</v>
      </c>
      <c r="U586" t="s">
        <v>118</v>
      </c>
      <c r="V586">
        <v>5.3629999999999997E-2</v>
      </c>
      <c r="W586">
        <v>0.37728</v>
      </c>
      <c r="X586">
        <v>3.15E-2</v>
      </c>
      <c r="Y586">
        <v>1.4225399999999999</v>
      </c>
      <c r="Z586">
        <v>36.431260000000002</v>
      </c>
      <c r="AA586">
        <v>14.42015</v>
      </c>
      <c r="AB586">
        <v>-1.2232000000000001</v>
      </c>
      <c r="AC586" s="23">
        <v>6.3049999999999995E-2</v>
      </c>
      <c r="AD586" s="23">
        <v>0.38611000000000001</v>
      </c>
      <c r="AE586" s="23">
        <v>2.6589999999999999E-2</v>
      </c>
      <c r="AF586" s="23">
        <v>1.3344800000000001</v>
      </c>
      <c r="AG586" s="23">
        <v>16.10981</v>
      </c>
      <c r="AH586" s="23">
        <v>9.4652700000000003</v>
      </c>
      <c r="AI586" s="23">
        <v>-1.4458500000000001</v>
      </c>
      <c r="AJ586" s="25">
        <v>0.67124208333333335</v>
      </c>
      <c r="AK586" s="25">
        <v>0.38547317455353153</v>
      </c>
      <c r="AL586" s="25">
        <v>0.21676083903907603</v>
      </c>
      <c r="AM586" s="25">
        <v>0.10663404944583879</v>
      </c>
      <c r="AN586" s="24">
        <v>1.6284960874331413</v>
      </c>
      <c r="AO586" s="23">
        <v>-99</v>
      </c>
    </row>
    <row r="587" spans="1:41" x14ac:dyDescent="0.25">
      <c r="A587" s="4">
        <v>102</v>
      </c>
      <c r="B587">
        <v>180</v>
      </c>
      <c r="C587">
        <v>50</v>
      </c>
      <c r="D587">
        <v>20</v>
      </c>
      <c r="E587" s="3">
        <v>25.5</v>
      </c>
      <c r="F587" s="3">
        <f>1.8*E587+32</f>
        <v>77.900000000000006</v>
      </c>
      <c r="G587" s="3">
        <v>11</v>
      </c>
      <c r="H587" s="3">
        <f>IF(F587&gt;68,G587+(F587-68)*0.2,G735-(68-F587)*0.2)</f>
        <v>12.98</v>
      </c>
      <c r="I587" s="3">
        <v>23</v>
      </c>
      <c r="J587" s="3">
        <f>1.8*I587+32</f>
        <v>73.400000000000006</v>
      </c>
      <c r="K587" s="3">
        <v>4</v>
      </c>
      <c r="L587" s="3">
        <f>IF(J587&gt;67,K587+(J587-67)*0.2,K587-(67-J587)*0.2)</f>
        <v>5.2800000000000011</v>
      </c>
      <c r="M587" s="3">
        <f>(C587-H587)/C587*100</f>
        <v>74.039999999999992</v>
      </c>
      <c r="N587" s="3">
        <f>100-(M587+O587)</f>
        <v>15.400000000000006</v>
      </c>
      <c r="O587" s="3">
        <f>L587/C587*100</f>
        <v>10.560000000000002</v>
      </c>
      <c r="P587" s="1" t="s">
        <v>0</v>
      </c>
      <c r="Q587" s="15">
        <v>407462.44400000002</v>
      </c>
      <c r="R587" s="15">
        <v>3659896.5</v>
      </c>
      <c r="S587" s="1"/>
      <c r="T587">
        <v>2009033</v>
      </c>
      <c r="U587" t="s">
        <v>117</v>
      </c>
      <c r="V587">
        <v>6.0999999999999999E-2</v>
      </c>
      <c r="W587">
        <v>0.38263999999999998</v>
      </c>
      <c r="X587">
        <v>2.8000000000000001E-2</v>
      </c>
      <c r="Y587">
        <v>1.33809</v>
      </c>
      <c r="Z587">
        <v>18.572489999999998</v>
      </c>
      <c r="AA587">
        <v>10.315709999999999</v>
      </c>
      <c r="AB587">
        <v>-1.46252</v>
      </c>
      <c r="AC587" s="23">
        <v>5.7459999999999997E-2</v>
      </c>
      <c r="AD587" s="23">
        <v>0.38363000000000003</v>
      </c>
      <c r="AE587" s="23">
        <v>2.8250000000000001E-2</v>
      </c>
      <c r="AF587" s="23">
        <v>1.3557399999999999</v>
      </c>
      <c r="AG587" s="23">
        <v>21.981079999999999</v>
      </c>
      <c r="AH587" s="23">
        <v>11.281750000000001</v>
      </c>
      <c r="AI587" s="23">
        <v>-1.3553500000000001</v>
      </c>
      <c r="AJ587" s="25">
        <v>0.91587833333333324</v>
      </c>
      <c r="AK587" s="25">
        <v>0.38295358343932245</v>
      </c>
      <c r="AL587" s="25">
        <v>0.20260889614147476</v>
      </c>
      <c r="AM587" s="25">
        <v>9.5377940777039122E-2</v>
      </c>
      <c r="AN587" s="24">
        <v>1.6351730038857952</v>
      </c>
      <c r="AO587" s="23">
        <v>-99</v>
      </c>
    </row>
    <row r="588" spans="1:41" x14ac:dyDescent="0.25">
      <c r="T588">
        <v>2009033</v>
      </c>
      <c r="U588" t="s">
        <v>116</v>
      </c>
      <c r="V588">
        <v>6.0019999999999997E-2</v>
      </c>
      <c r="W588">
        <v>0.38435999999999998</v>
      </c>
      <c r="X588">
        <v>2.7519999999999999E-2</v>
      </c>
      <c r="Y588">
        <v>1.3454299999999999</v>
      </c>
      <c r="Z588">
        <v>19.122679999999999</v>
      </c>
      <c r="AA588">
        <v>10.407</v>
      </c>
      <c r="AB588">
        <v>-1.4001999999999999</v>
      </c>
      <c r="AC588" s="23">
        <v>5.0959999999999998E-2</v>
      </c>
      <c r="AD588" s="23">
        <v>0.38089000000000001</v>
      </c>
      <c r="AE588" s="23">
        <v>3.2120000000000003E-2</v>
      </c>
      <c r="AF588" s="23">
        <v>1.3990899999999999</v>
      </c>
      <c r="AG588" s="23">
        <v>34.925460000000001</v>
      </c>
      <c r="AH588" s="23">
        <v>15.21889</v>
      </c>
      <c r="AI588" s="23">
        <v>-1.25125</v>
      </c>
      <c r="AJ588" s="25">
        <v>1.4552275000000001</v>
      </c>
      <c r="AK588" s="25">
        <v>0.3801275229681092</v>
      </c>
      <c r="AL588" s="25">
        <v>0.17779877332920463</v>
      </c>
      <c r="AM588" s="25">
        <v>7.8994618478489445E-2</v>
      </c>
      <c r="AN588" s="24">
        <v>1.6426620641345107</v>
      </c>
      <c r="AO588" s="23">
        <v>-99</v>
      </c>
    </row>
    <row r="589" spans="1:41" ht="51.75" x14ac:dyDescent="0.25">
      <c r="A589" s="14" t="s">
        <v>21</v>
      </c>
      <c r="B589" s="9" t="s">
        <v>20</v>
      </c>
      <c r="C589" s="13" t="s">
        <v>19</v>
      </c>
      <c r="D589" s="12" t="s">
        <v>18</v>
      </c>
      <c r="E589" s="11" t="s">
        <v>17</v>
      </c>
      <c r="F589" s="11" t="s">
        <v>16</v>
      </c>
      <c r="G589" s="11" t="s">
        <v>15</v>
      </c>
      <c r="H589" s="11" t="s">
        <v>14</v>
      </c>
      <c r="I589" s="11" t="s">
        <v>13</v>
      </c>
      <c r="J589" s="11" t="s">
        <v>12</v>
      </c>
      <c r="K589" s="11" t="s">
        <v>11</v>
      </c>
      <c r="L589" s="11" t="s">
        <v>10</v>
      </c>
      <c r="M589" s="10" t="s">
        <v>9</v>
      </c>
      <c r="N589" s="10" t="s">
        <v>8</v>
      </c>
      <c r="O589" s="10" t="s">
        <v>7</v>
      </c>
      <c r="P589" s="9" t="s">
        <v>6</v>
      </c>
      <c r="Q589" s="19" t="s">
        <v>5</v>
      </c>
      <c r="R589" s="19"/>
      <c r="S589" s="17"/>
      <c r="T589">
        <v>2009033</v>
      </c>
      <c r="U589" t="s">
        <v>115</v>
      </c>
      <c r="V589">
        <v>6.3049999999999995E-2</v>
      </c>
      <c r="W589">
        <v>0.38611000000000001</v>
      </c>
      <c r="X589">
        <v>2.6589999999999999E-2</v>
      </c>
      <c r="Y589">
        <v>1.3344800000000001</v>
      </c>
      <c r="Z589">
        <v>16.10981</v>
      </c>
      <c r="AA589">
        <v>9.4652700000000003</v>
      </c>
      <c r="AB589">
        <v>-1.4458500000000001</v>
      </c>
      <c r="AC589" s="23">
        <v>4.8349999999999997E-2</v>
      </c>
      <c r="AD589" s="23">
        <v>0.37912000000000001</v>
      </c>
      <c r="AE589" s="23">
        <v>3.4709999999999998E-2</v>
      </c>
      <c r="AF589" s="23">
        <v>1.5591900000000001</v>
      </c>
      <c r="AG589" s="23">
        <v>66.918970000000002</v>
      </c>
      <c r="AH589" s="23">
        <v>20.43516</v>
      </c>
      <c r="AI589" s="23">
        <v>-1.02111</v>
      </c>
      <c r="AJ589" s="25">
        <v>2.7882904166666669</v>
      </c>
      <c r="AK589" s="25">
        <v>0.3784935045849947</v>
      </c>
      <c r="AL589" s="25">
        <v>0.13186640351391335</v>
      </c>
      <c r="AM589" s="25">
        <v>5.8360407872425135E-2</v>
      </c>
      <c r="AN589" s="24">
        <v>1.646992212849764</v>
      </c>
      <c r="AO589" s="23">
        <v>-99</v>
      </c>
    </row>
    <row r="590" spans="1:41" x14ac:dyDescent="0.25"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1"/>
      <c r="Q590" s="5" t="s">
        <v>4</v>
      </c>
      <c r="R590" s="5" t="s">
        <v>3</v>
      </c>
      <c r="S590" s="17"/>
      <c r="T590">
        <v>2009033</v>
      </c>
      <c r="U590" t="s">
        <v>114</v>
      </c>
      <c r="V590">
        <v>5.7459999999999997E-2</v>
      </c>
      <c r="W590">
        <v>0.38363000000000003</v>
      </c>
      <c r="X590">
        <v>2.8250000000000001E-2</v>
      </c>
      <c r="Y590">
        <v>1.3557399999999999</v>
      </c>
      <c r="Z590">
        <v>21.981079999999999</v>
      </c>
      <c r="AA590">
        <v>11.281750000000001</v>
      </c>
      <c r="AB590">
        <v>-1.3553500000000001</v>
      </c>
      <c r="AC590" s="23">
        <v>5.4289999999999998E-2</v>
      </c>
      <c r="AD590" s="23">
        <v>0.37957000000000002</v>
      </c>
      <c r="AE590" s="23">
        <v>3.092E-2</v>
      </c>
      <c r="AF590" s="23">
        <v>1.38239</v>
      </c>
      <c r="AG590" s="23">
        <v>29.626139999999999</v>
      </c>
      <c r="AH590" s="23">
        <v>13.455920000000001</v>
      </c>
      <c r="AI590" s="23">
        <v>-1.31314</v>
      </c>
      <c r="AJ590" s="25">
        <v>1.2344225</v>
      </c>
      <c r="AK590" s="25">
        <v>0.37883752113220009</v>
      </c>
      <c r="AL590" s="25">
        <v>0.18621485163433699</v>
      </c>
      <c r="AM590" s="25">
        <v>8.5382410329304326E-2</v>
      </c>
      <c r="AN590" s="24">
        <v>1.6460805689996696</v>
      </c>
      <c r="AO590" s="23">
        <v>-99</v>
      </c>
    </row>
    <row r="591" spans="1:41" x14ac:dyDescent="0.25">
      <c r="A591" s="4">
        <v>103</v>
      </c>
      <c r="B591">
        <v>30</v>
      </c>
      <c r="C591">
        <v>50</v>
      </c>
      <c r="D591">
        <v>20</v>
      </c>
      <c r="E591" s="3">
        <v>25.5</v>
      </c>
      <c r="F591" s="3">
        <f>1.8*E591+32</f>
        <v>77.900000000000006</v>
      </c>
      <c r="G591" s="3">
        <v>14</v>
      </c>
      <c r="H591" s="3">
        <f>IF(F591&gt;68,G591+(F591-68)*0.2,G739-(68-F591)*0.2)</f>
        <v>15.98</v>
      </c>
      <c r="I591" s="3">
        <v>23</v>
      </c>
      <c r="J591" s="3">
        <f>1.8*I591+32</f>
        <v>73.400000000000006</v>
      </c>
      <c r="K591" s="3">
        <v>7</v>
      </c>
      <c r="L591" s="3">
        <f>IF(J591&gt;67,K591+(J591-67)*0.2,K591-(67-J591)*0.2)</f>
        <v>8.2800000000000011</v>
      </c>
      <c r="M591" s="3">
        <f>(C591-H591)/C591*100</f>
        <v>68.039999999999992</v>
      </c>
      <c r="N591" s="3">
        <f>100-(M591+O591)</f>
        <v>15.400000000000006</v>
      </c>
      <c r="O591" s="3">
        <f>L591/C591*100</f>
        <v>16.560000000000002</v>
      </c>
      <c r="P591" s="1" t="s">
        <v>0</v>
      </c>
      <c r="Q591" s="15">
        <v>407462.44400000002</v>
      </c>
      <c r="R591" s="15">
        <v>3659923</v>
      </c>
      <c r="S591" s="17"/>
      <c r="T591">
        <v>2009033</v>
      </c>
      <c r="U591" t="s">
        <v>113</v>
      </c>
      <c r="V591">
        <v>5.0959999999999998E-2</v>
      </c>
      <c r="W591">
        <v>0.38089000000000001</v>
      </c>
      <c r="X591">
        <v>3.2120000000000003E-2</v>
      </c>
      <c r="Y591">
        <v>1.3990899999999999</v>
      </c>
      <c r="Z591">
        <v>34.925460000000001</v>
      </c>
      <c r="AA591">
        <v>15.21889</v>
      </c>
      <c r="AB591">
        <v>-1.25125</v>
      </c>
      <c r="AC591" s="23">
        <v>6.6019999999999995E-2</v>
      </c>
      <c r="AD591" s="23">
        <v>0.39206000000000002</v>
      </c>
      <c r="AE591" s="23">
        <v>2.4109999999999999E-2</v>
      </c>
      <c r="AF591" s="23">
        <v>1.3389200000000001</v>
      </c>
      <c r="AG591" s="23">
        <v>13.053330000000001</v>
      </c>
      <c r="AH591" s="23">
        <v>8.2216000000000005</v>
      </c>
      <c r="AI591" s="23">
        <v>-1.3551899999999999</v>
      </c>
      <c r="AJ591" s="25">
        <v>0.54388875000000003</v>
      </c>
      <c r="AK591" s="25">
        <v>0.39149939858471305</v>
      </c>
      <c r="AL591" s="25">
        <v>0.22454961975976964</v>
      </c>
      <c r="AM591" s="25">
        <v>0.11029662202098084</v>
      </c>
      <c r="AN591" s="24">
        <v>1.6125265937505104</v>
      </c>
      <c r="AO591" s="23">
        <v>-99</v>
      </c>
    </row>
    <row r="592" spans="1:41" x14ac:dyDescent="0.25">
      <c r="A592" s="4">
        <v>103</v>
      </c>
      <c r="B592">
        <v>60</v>
      </c>
      <c r="C592">
        <v>50</v>
      </c>
      <c r="D592">
        <v>20</v>
      </c>
      <c r="E592" s="3">
        <v>25.5</v>
      </c>
      <c r="F592" s="3">
        <f>1.8*E592+32</f>
        <v>77.900000000000006</v>
      </c>
      <c r="G592" s="3">
        <v>12</v>
      </c>
      <c r="H592" s="3">
        <f>IF(F592&gt;68,G592+(F592-68)*0.2,G740-(68-F592)*0.2)</f>
        <v>13.98</v>
      </c>
      <c r="I592" s="3">
        <v>23</v>
      </c>
      <c r="J592" s="3">
        <f>1.8*I592+32</f>
        <v>73.400000000000006</v>
      </c>
      <c r="K592" s="3">
        <v>6</v>
      </c>
      <c r="L592" s="3">
        <f>IF(J592&gt;67,K592+(J592-67)*0.2,K592-(67-J592)*0.2)</f>
        <v>7.2800000000000011</v>
      </c>
      <c r="M592" s="3">
        <f>(C592-H592)/C592*100</f>
        <v>72.039999999999992</v>
      </c>
      <c r="N592" s="3">
        <f>100-(M592+O592)</f>
        <v>13.400000000000006</v>
      </c>
      <c r="O592" s="3">
        <f>L592/C592*100</f>
        <v>14.560000000000004</v>
      </c>
      <c r="P592" s="1" t="s">
        <v>0</v>
      </c>
      <c r="Q592" s="15">
        <v>407462.44400000002</v>
      </c>
      <c r="R592" s="15">
        <v>3659923</v>
      </c>
      <c r="S592" s="17"/>
      <c r="T592">
        <v>2009033</v>
      </c>
      <c r="U592" t="s">
        <v>112</v>
      </c>
      <c r="V592">
        <v>4.8349999999999997E-2</v>
      </c>
      <c r="W592">
        <v>0.37912000000000001</v>
      </c>
      <c r="X592">
        <v>3.4709999999999998E-2</v>
      </c>
      <c r="Y592">
        <v>1.5591900000000001</v>
      </c>
      <c r="Z592">
        <v>66.918970000000002</v>
      </c>
      <c r="AA592">
        <v>20.43516</v>
      </c>
      <c r="AB592">
        <v>-1.02111</v>
      </c>
      <c r="AC592" s="23">
        <v>5.9470000000000002E-2</v>
      </c>
      <c r="AD592" s="23">
        <v>0.38524999999999998</v>
      </c>
      <c r="AE592" s="23">
        <v>2.7130000000000001E-2</v>
      </c>
      <c r="AF592" s="23">
        <v>1.34979</v>
      </c>
      <c r="AG592" s="23">
        <v>19.353729999999999</v>
      </c>
      <c r="AH592" s="23">
        <v>10.39728</v>
      </c>
      <c r="AI592" s="23">
        <v>-1.3621700000000001</v>
      </c>
      <c r="AJ592" s="25">
        <v>0.80640541666666665</v>
      </c>
      <c r="AK592" s="25">
        <v>0.38460455629370038</v>
      </c>
      <c r="AL592" s="25">
        <v>0.20838437875931787</v>
      </c>
      <c r="AM592" s="25">
        <v>9.928981639700786E-2</v>
      </c>
      <c r="AN592" s="24">
        <v>1.630797925821694</v>
      </c>
      <c r="AO592" s="23">
        <v>-99</v>
      </c>
    </row>
    <row r="593" spans="1:41" x14ac:dyDescent="0.25">
      <c r="A593" s="4">
        <v>103</v>
      </c>
      <c r="B593">
        <v>90</v>
      </c>
      <c r="C593">
        <v>50</v>
      </c>
      <c r="D593">
        <v>20</v>
      </c>
      <c r="E593" s="3">
        <v>25.5</v>
      </c>
      <c r="F593" s="3">
        <f>1.8*E593+32</f>
        <v>77.900000000000006</v>
      </c>
      <c r="G593" s="3">
        <v>14</v>
      </c>
      <c r="H593" s="3">
        <f>IF(F593&gt;68,G593+(F593-68)*0.2,G741-(68-F593)*0.2)</f>
        <v>15.98</v>
      </c>
      <c r="I593" s="3">
        <v>23</v>
      </c>
      <c r="J593" s="3">
        <f>1.8*I593+32</f>
        <v>73.400000000000006</v>
      </c>
      <c r="K593" s="3">
        <v>7</v>
      </c>
      <c r="L593" s="3">
        <f>IF(J593&gt;67,K593+(J593-67)*0.2,K593-(67-J593)*0.2)</f>
        <v>8.2800000000000011</v>
      </c>
      <c r="M593" s="3">
        <f>(C593-H593)/C593*100</f>
        <v>68.039999999999992</v>
      </c>
      <c r="N593" s="3">
        <f>100-(M593+O593)</f>
        <v>15.400000000000006</v>
      </c>
      <c r="O593" s="3">
        <f>L593/C593*100</f>
        <v>16.560000000000002</v>
      </c>
      <c r="P593" s="1" t="s">
        <v>0</v>
      </c>
      <c r="Q593" s="15">
        <v>407462.44400000002</v>
      </c>
      <c r="R593" s="15">
        <v>3659923</v>
      </c>
      <c r="S593" s="17"/>
      <c r="T593">
        <v>2009033</v>
      </c>
      <c r="U593" t="s">
        <v>111</v>
      </c>
      <c r="V593">
        <v>5.4289999999999998E-2</v>
      </c>
      <c r="W593">
        <v>0.37957000000000002</v>
      </c>
      <c r="X593">
        <v>3.092E-2</v>
      </c>
      <c r="Y593">
        <v>1.38239</v>
      </c>
      <c r="Z593">
        <v>29.626139999999999</v>
      </c>
      <c r="AA593">
        <v>13.455920000000001</v>
      </c>
      <c r="AB593">
        <v>-1.31314</v>
      </c>
      <c r="AC593" s="23">
        <v>5.382E-2</v>
      </c>
      <c r="AD593" s="23">
        <v>0.37928000000000001</v>
      </c>
      <c r="AE593" s="23">
        <v>3.1210000000000002E-2</v>
      </c>
      <c r="AF593" s="23">
        <v>1.38913</v>
      </c>
      <c r="AG593" s="23">
        <v>31.10783</v>
      </c>
      <c r="AH593" s="23">
        <v>13.80349</v>
      </c>
      <c r="AI593" s="23">
        <v>-1.2956700000000001</v>
      </c>
      <c r="AJ593" s="25">
        <v>1.2961595833333333</v>
      </c>
      <c r="AK593" s="25">
        <v>0.37854551204499792</v>
      </c>
      <c r="AL593" s="25">
        <v>0.18330993895912778</v>
      </c>
      <c r="AM593" s="25">
        <v>8.3560409818381212E-2</v>
      </c>
      <c r="AN593" s="24">
        <v>1.6468543930807555</v>
      </c>
      <c r="AO593" s="23">
        <v>-99</v>
      </c>
    </row>
    <row r="594" spans="1:41" x14ac:dyDescent="0.25">
      <c r="A594" s="4">
        <v>103</v>
      </c>
      <c r="B594">
        <v>120</v>
      </c>
      <c r="C594">
        <v>50</v>
      </c>
      <c r="D594">
        <v>20</v>
      </c>
      <c r="E594" s="3">
        <v>25.5</v>
      </c>
      <c r="F594" s="3">
        <f>1.8*E594+32</f>
        <v>77.900000000000006</v>
      </c>
      <c r="G594" s="3">
        <v>13</v>
      </c>
      <c r="H594" s="3">
        <f>IF(F594&gt;68,G594+(F594-68)*0.2,G742-(68-F594)*0.2)</f>
        <v>14.98</v>
      </c>
      <c r="I594" s="3">
        <v>23</v>
      </c>
      <c r="J594" s="3">
        <f>1.8*I594+32</f>
        <v>73.400000000000006</v>
      </c>
      <c r="K594" s="3">
        <v>8</v>
      </c>
      <c r="L594" s="3">
        <f>IF(J594&gt;67,K594+(J594-67)*0.2,K594-(67-J594)*0.2)</f>
        <v>9.2800000000000011</v>
      </c>
      <c r="M594" s="3">
        <f>(C594-H594)/C594*100</f>
        <v>70.039999999999992</v>
      </c>
      <c r="N594" s="3">
        <f>100-(M594+O594)</f>
        <v>11.400000000000006</v>
      </c>
      <c r="O594" s="3">
        <f>L594/C594*100</f>
        <v>18.560000000000002</v>
      </c>
      <c r="P594" s="1" t="s">
        <v>0</v>
      </c>
      <c r="Q594" s="15">
        <v>407462.44400000002</v>
      </c>
      <c r="R594" s="15">
        <v>3659923</v>
      </c>
      <c r="S594" s="17"/>
      <c r="T594">
        <v>2009033</v>
      </c>
      <c r="U594" t="s">
        <v>110</v>
      </c>
      <c r="V594">
        <v>6.6019999999999995E-2</v>
      </c>
      <c r="W594">
        <v>0.39206000000000002</v>
      </c>
      <c r="X594">
        <v>2.4109999999999999E-2</v>
      </c>
      <c r="Y594">
        <v>1.3389200000000001</v>
      </c>
      <c r="Z594">
        <v>13.053330000000001</v>
      </c>
      <c r="AA594">
        <v>8.2216000000000005</v>
      </c>
      <c r="AB594">
        <v>-1.3551899999999999</v>
      </c>
      <c r="AC594" s="23">
        <v>5.382E-2</v>
      </c>
      <c r="AD594" s="23">
        <v>0.37928000000000001</v>
      </c>
      <c r="AE594" s="23">
        <v>3.1210000000000002E-2</v>
      </c>
      <c r="AF594" s="23">
        <v>1.38913</v>
      </c>
      <c r="AG594" s="23">
        <v>31.10783</v>
      </c>
      <c r="AH594" s="23">
        <v>13.80349</v>
      </c>
      <c r="AI594" s="23">
        <v>-1.2956700000000001</v>
      </c>
      <c r="AJ594" s="25">
        <v>1.2961595833333333</v>
      </c>
      <c r="AK594" s="25">
        <v>0.37854551204499792</v>
      </c>
      <c r="AL594" s="25">
        <v>0.18330993895912778</v>
      </c>
      <c r="AM594" s="25">
        <v>8.3560409818381212E-2</v>
      </c>
      <c r="AN594" s="24">
        <v>1.6468543930807555</v>
      </c>
      <c r="AO594" s="23">
        <v>-99</v>
      </c>
    </row>
    <row r="595" spans="1:41" x14ac:dyDescent="0.25">
      <c r="A595" s="4">
        <v>103</v>
      </c>
      <c r="B595">
        <v>150</v>
      </c>
      <c r="C595">
        <v>50</v>
      </c>
      <c r="D595">
        <v>20</v>
      </c>
      <c r="E595" s="3">
        <v>25</v>
      </c>
      <c r="F595" s="3">
        <f>1.8*E595+32</f>
        <v>77</v>
      </c>
      <c r="G595" s="3">
        <v>7</v>
      </c>
      <c r="H595" s="3">
        <f>IF(F595&gt;68,G595+(F595-68)*0.2,G743-(68-F595)*0.2)</f>
        <v>8.8000000000000007</v>
      </c>
      <c r="I595" s="3">
        <v>23.5</v>
      </c>
      <c r="J595" s="3">
        <f>1.8*I595+32</f>
        <v>74.300000000000011</v>
      </c>
      <c r="K595" s="3">
        <v>2</v>
      </c>
      <c r="L595" s="3">
        <f>IF(J595&gt;67,K595+(J595-67)*0.2,K595-(67-J595)*0.2)</f>
        <v>3.4600000000000026</v>
      </c>
      <c r="M595" s="3">
        <f>(C595-H595)/C595*100</f>
        <v>82.4</v>
      </c>
      <c r="N595" s="3">
        <f>100-(M595+O595)</f>
        <v>10.679999999999993</v>
      </c>
      <c r="O595" s="3">
        <f>L595/C595*100</f>
        <v>6.9200000000000053</v>
      </c>
      <c r="P595" s="1" t="s">
        <v>1</v>
      </c>
      <c r="Q595" s="15">
        <v>407462.44400000002</v>
      </c>
      <c r="R595" s="15">
        <v>3659923</v>
      </c>
      <c r="S595" s="17"/>
      <c r="T595">
        <v>2009033</v>
      </c>
      <c r="U595" t="s">
        <v>109</v>
      </c>
      <c r="V595">
        <v>5.9470000000000002E-2</v>
      </c>
      <c r="W595">
        <v>0.38524999999999998</v>
      </c>
      <c r="X595">
        <v>2.7130000000000001E-2</v>
      </c>
      <c r="Y595">
        <v>1.34979</v>
      </c>
      <c r="Z595">
        <v>19.353729999999999</v>
      </c>
      <c r="AA595">
        <v>10.39728</v>
      </c>
      <c r="AB595">
        <v>-1.3621700000000001</v>
      </c>
      <c r="AC595" s="23">
        <v>5.0360000000000002E-2</v>
      </c>
      <c r="AD595" s="23">
        <v>0.38096000000000002</v>
      </c>
      <c r="AE595" s="23">
        <v>3.2439999999999997E-2</v>
      </c>
      <c r="AF595" s="23">
        <v>1.40415</v>
      </c>
      <c r="AG595" s="23">
        <v>36.320929999999997</v>
      </c>
      <c r="AH595" s="23">
        <v>15.64785</v>
      </c>
      <c r="AI595" s="23">
        <v>-1.23803</v>
      </c>
      <c r="AJ595" s="25">
        <v>1.5133720833333333</v>
      </c>
      <c r="AK595" s="25">
        <v>0.38019174641876247</v>
      </c>
      <c r="AL595" s="25">
        <v>0.1754600302590632</v>
      </c>
      <c r="AM595" s="25">
        <v>7.7478219533853185E-2</v>
      </c>
      <c r="AN595" s="24">
        <v>1.6424918719902792</v>
      </c>
      <c r="AO595" s="23">
        <v>-99</v>
      </c>
    </row>
    <row r="596" spans="1:41" x14ac:dyDescent="0.25">
      <c r="A596" s="4">
        <v>103</v>
      </c>
      <c r="B596">
        <v>180</v>
      </c>
      <c r="C596">
        <v>50</v>
      </c>
      <c r="D596">
        <v>20</v>
      </c>
      <c r="E596" s="3">
        <v>25</v>
      </c>
      <c r="F596" s="3">
        <f>1.8*E596+32</f>
        <v>77</v>
      </c>
      <c r="G596" s="3">
        <v>7</v>
      </c>
      <c r="H596" s="3">
        <f>IF(F596&gt;68,G596+(F596-68)*0.2,G744-(68-F596)*0.2)</f>
        <v>8.8000000000000007</v>
      </c>
      <c r="I596" s="3">
        <v>23</v>
      </c>
      <c r="J596" s="3">
        <f>1.8*I596+32</f>
        <v>73.400000000000006</v>
      </c>
      <c r="K596" s="3">
        <v>3</v>
      </c>
      <c r="L596" s="3">
        <f>IF(J596&gt;67,K596+(J596-67)*0.2,K596-(67-J596)*0.2)</f>
        <v>4.2800000000000011</v>
      </c>
      <c r="M596" s="3">
        <f>(C596-H596)/C596*100</f>
        <v>82.4</v>
      </c>
      <c r="N596" s="3">
        <f>100-(M596+O596)</f>
        <v>9.039999999999992</v>
      </c>
      <c r="O596" s="3">
        <f>L596/C596*100</f>
        <v>8.5600000000000023</v>
      </c>
      <c r="P596" s="1" t="s">
        <v>1</v>
      </c>
      <c r="Q596" s="15">
        <v>407462.44400000002</v>
      </c>
      <c r="R596" s="15">
        <v>3659923</v>
      </c>
      <c r="S596" s="17"/>
      <c r="T596">
        <v>2009033</v>
      </c>
      <c r="U596" t="s">
        <v>108</v>
      </c>
      <c r="V596">
        <v>5.382E-2</v>
      </c>
      <c r="W596">
        <v>0.37928000000000001</v>
      </c>
      <c r="X596">
        <v>3.1210000000000002E-2</v>
      </c>
      <c r="Y596">
        <v>1.38913</v>
      </c>
      <c r="Z596">
        <v>31.10783</v>
      </c>
      <c r="AA596">
        <v>13.80349</v>
      </c>
      <c r="AB596">
        <v>-1.2956700000000001</v>
      </c>
      <c r="AC596" s="23">
        <v>5.6250000000000001E-2</v>
      </c>
      <c r="AD596" s="23">
        <v>0.38325999999999999</v>
      </c>
      <c r="AE596" s="23">
        <v>2.87E-2</v>
      </c>
      <c r="AF596" s="23">
        <v>1.3606499999999999</v>
      </c>
      <c r="AG596" s="23">
        <v>23.54195</v>
      </c>
      <c r="AH596" s="23">
        <v>11.77164</v>
      </c>
      <c r="AI596" s="23">
        <v>-1.3377399999999999</v>
      </c>
      <c r="AJ596" s="25">
        <v>0.98091458333333337</v>
      </c>
      <c r="AK596" s="25">
        <v>0.38257224385141148</v>
      </c>
      <c r="AL596" s="25">
        <v>0.19939957890582627</v>
      </c>
      <c r="AM596" s="25">
        <v>9.2943455566806943E-2</v>
      </c>
      <c r="AN596" s="24">
        <v>1.6361835537937597</v>
      </c>
      <c r="AO596" s="23">
        <v>-99</v>
      </c>
    </row>
    <row r="597" spans="1:41" x14ac:dyDescent="0.25">
      <c r="A597" s="4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1"/>
      <c r="T597">
        <v>2009033</v>
      </c>
      <c r="U597" t="s">
        <v>107</v>
      </c>
      <c r="V597">
        <v>5.382E-2</v>
      </c>
      <c r="W597">
        <v>0.37928000000000001</v>
      </c>
      <c r="X597">
        <v>3.1210000000000002E-2</v>
      </c>
      <c r="Y597">
        <v>1.38913</v>
      </c>
      <c r="Z597">
        <v>31.10783</v>
      </c>
      <c r="AA597">
        <v>13.80349</v>
      </c>
      <c r="AB597">
        <v>-1.2956700000000001</v>
      </c>
      <c r="AC597" s="23">
        <v>7.8320000000000001E-2</v>
      </c>
      <c r="AD597" s="23">
        <v>0.40649999999999997</v>
      </c>
      <c r="AE597" s="23">
        <v>2.444E-2</v>
      </c>
      <c r="AF597" s="23">
        <v>1.2784500000000001</v>
      </c>
      <c r="AG597" s="23">
        <v>8.3383699999999994</v>
      </c>
      <c r="AH597" s="23">
        <v>6.7725999999999997</v>
      </c>
      <c r="AI597" s="23">
        <v>-1.80335</v>
      </c>
      <c r="AJ597" s="25">
        <v>0.34743208333333331</v>
      </c>
      <c r="AK597" s="25">
        <v>0.40588176598785797</v>
      </c>
      <c r="AL597" s="25">
        <v>0.25874655313717021</v>
      </c>
      <c r="AM597" s="25">
        <v>0.14171614998492366</v>
      </c>
      <c r="AN597" s="24">
        <v>1.5744133201321764</v>
      </c>
      <c r="AO597" s="23">
        <v>-99</v>
      </c>
    </row>
    <row r="598" spans="1:41" ht="51.75" x14ac:dyDescent="0.25">
      <c r="A598" s="14" t="s">
        <v>21</v>
      </c>
      <c r="B598" s="9" t="s">
        <v>20</v>
      </c>
      <c r="C598" s="13" t="s">
        <v>19</v>
      </c>
      <c r="D598" s="12" t="s">
        <v>18</v>
      </c>
      <c r="E598" s="11" t="s">
        <v>17</v>
      </c>
      <c r="F598" s="11" t="s">
        <v>16</v>
      </c>
      <c r="G598" s="11" t="s">
        <v>15</v>
      </c>
      <c r="H598" s="11" t="s">
        <v>14</v>
      </c>
      <c r="I598" s="11" t="s">
        <v>13</v>
      </c>
      <c r="J598" s="11" t="s">
        <v>12</v>
      </c>
      <c r="K598" s="11" t="s">
        <v>11</v>
      </c>
      <c r="L598" s="11" t="s">
        <v>10</v>
      </c>
      <c r="M598" s="10" t="s">
        <v>9</v>
      </c>
      <c r="N598" s="10" t="s">
        <v>8</v>
      </c>
      <c r="O598" s="10" t="s">
        <v>7</v>
      </c>
      <c r="P598" s="9" t="s">
        <v>6</v>
      </c>
      <c r="Q598" s="19" t="s">
        <v>5</v>
      </c>
      <c r="R598" s="19"/>
      <c r="T598">
        <v>2009033</v>
      </c>
      <c r="U598" t="s">
        <v>106</v>
      </c>
      <c r="V598">
        <v>5.0360000000000002E-2</v>
      </c>
      <c r="W598">
        <v>0.38096000000000002</v>
      </c>
      <c r="X598">
        <v>3.2439999999999997E-2</v>
      </c>
      <c r="Y598">
        <v>1.40415</v>
      </c>
      <c r="Z598">
        <v>36.320929999999997</v>
      </c>
      <c r="AA598">
        <v>15.64785</v>
      </c>
      <c r="AB598">
        <v>-1.23803</v>
      </c>
      <c r="AC598" s="23">
        <v>6.7710000000000006E-2</v>
      </c>
      <c r="AD598" s="23">
        <v>0.38002999999999998</v>
      </c>
      <c r="AE598" s="23">
        <v>2.7289999999999998E-2</v>
      </c>
      <c r="AF598" s="23">
        <v>1.2947599999999999</v>
      </c>
      <c r="AG598" s="23">
        <v>13.939299999999999</v>
      </c>
      <c r="AH598" s="23">
        <v>8.4457100000000001</v>
      </c>
      <c r="AI598" s="23">
        <v>-1.76732</v>
      </c>
      <c r="AJ598" s="25">
        <v>0.58080416666666668</v>
      </c>
      <c r="AK598" s="25">
        <v>0.37936262090153849</v>
      </c>
      <c r="AL598" s="25">
        <v>0.22861440007695327</v>
      </c>
      <c r="AM598" s="25">
        <v>0.12075173479614285</v>
      </c>
      <c r="AN598" s="24">
        <v>1.644689054610923</v>
      </c>
      <c r="AO598" s="23">
        <v>-99</v>
      </c>
    </row>
    <row r="599" spans="1:41" x14ac:dyDescent="0.25">
      <c r="C599" s="16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1"/>
      <c r="Q599" s="5" t="s">
        <v>4</v>
      </c>
      <c r="R599" s="5" t="s">
        <v>3</v>
      </c>
      <c r="T599">
        <v>2009033</v>
      </c>
      <c r="U599" t="s">
        <v>105</v>
      </c>
      <c r="V599">
        <v>5.6250000000000001E-2</v>
      </c>
      <c r="W599">
        <v>0.38325999999999999</v>
      </c>
      <c r="X599">
        <v>2.87E-2</v>
      </c>
      <c r="Y599">
        <v>1.3606499999999999</v>
      </c>
      <c r="Z599">
        <v>23.54195</v>
      </c>
      <c r="AA599">
        <v>11.77164</v>
      </c>
      <c r="AB599">
        <v>-1.3377399999999999</v>
      </c>
      <c r="AC599" s="23">
        <v>6.5479999999999997E-2</v>
      </c>
      <c r="AD599" s="23">
        <v>0.38389000000000001</v>
      </c>
      <c r="AE599" s="23">
        <v>2.7179999999999999E-2</v>
      </c>
      <c r="AF599" s="23">
        <v>1.3150200000000001</v>
      </c>
      <c r="AG599" s="23">
        <v>14.58507</v>
      </c>
      <c r="AH599" s="23">
        <v>9.06968</v>
      </c>
      <c r="AI599" s="23">
        <v>-1.5969599999999999</v>
      </c>
      <c r="AJ599" s="25">
        <v>0.60771125000000004</v>
      </c>
      <c r="AK599" s="25">
        <v>0.38322769457427486</v>
      </c>
      <c r="AL599" s="25">
        <v>0.22252322802572094</v>
      </c>
      <c r="AM599" s="25">
        <v>0.11341345751656322</v>
      </c>
      <c r="AN599" s="24">
        <v>1.6344466093781715</v>
      </c>
      <c r="AO599" s="23">
        <v>-99</v>
      </c>
    </row>
    <row r="600" spans="1:41" x14ac:dyDescent="0.25">
      <c r="A600" s="4">
        <v>104</v>
      </c>
      <c r="B600">
        <v>30</v>
      </c>
      <c r="C600" s="16">
        <v>50</v>
      </c>
      <c r="D600">
        <v>20</v>
      </c>
      <c r="E600" s="3">
        <v>25.5</v>
      </c>
      <c r="F600" s="3">
        <f>1.8*E600+32</f>
        <v>77.900000000000006</v>
      </c>
      <c r="G600" s="3">
        <v>15</v>
      </c>
      <c r="H600" s="3">
        <f>IF(F600&gt;68,G600+(F600-68)*0.2,G747-(68-F600)*0.2)</f>
        <v>16.98</v>
      </c>
      <c r="I600" s="3">
        <v>23.5</v>
      </c>
      <c r="J600" s="3">
        <f>1.8*I600+32</f>
        <v>74.300000000000011</v>
      </c>
      <c r="K600" s="3">
        <v>8</v>
      </c>
      <c r="L600" s="3">
        <f>IF(J600&gt;68,K600+(J600-68)*0.2,K600-(68-J600)*0.2)</f>
        <v>9.2600000000000016</v>
      </c>
      <c r="M600" s="3">
        <f>(C600-H600)/C600*100</f>
        <v>66.039999999999992</v>
      </c>
      <c r="N600" s="3">
        <f>100-(M600+O600)</f>
        <v>15.439999999999998</v>
      </c>
      <c r="O600" s="3">
        <f>L600/C600*100</f>
        <v>18.520000000000003</v>
      </c>
      <c r="P600" s="1" t="s">
        <v>0</v>
      </c>
      <c r="Q600" s="15">
        <v>407462.44400000002</v>
      </c>
      <c r="R600" s="15">
        <v>3659949.5</v>
      </c>
      <c r="T600">
        <v>2009033</v>
      </c>
      <c r="U600" t="s">
        <v>104</v>
      </c>
      <c r="V600">
        <v>7.8320000000000001E-2</v>
      </c>
      <c r="W600">
        <v>0.40649999999999997</v>
      </c>
      <c r="X600">
        <v>2.444E-2</v>
      </c>
      <c r="Y600">
        <v>1.2784500000000001</v>
      </c>
      <c r="Z600">
        <v>8.3383699999999994</v>
      </c>
      <c r="AA600">
        <v>6.7725999999999997</v>
      </c>
      <c r="AB600">
        <v>-1.80335</v>
      </c>
      <c r="AC600" s="23">
        <v>5.8130000000000001E-2</v>
      </c>
      <c r="AD600" s="23">
        <v>0.37585000000000002</v>
      </c>
      <c r="AE600" s="23">
        <v>2.947E-2</v>
      </c>
      <c r="AF600" s="23">
        <v>1.37602</v>
      </c>
      <c r="AG600" s="23">
        <v>25.334070000000001</v>
      </c>
      <c r="AH600" s="23">
        <v>11.68323</v>
      </c>
      <c r="AI600" s="23">
        <v>-1.3527499999999999</v>
      </c>
      <c r="AJ600" s="25">
        <v>1.0555862499999999</v>
      </c>
      <c r="AK600" s="25">
        <v>0.3751734352560635</v>
      </c>
      <c r="AL600" s="25">
        <v>0.19120068285550645</v>
      </c>
      <c r="AM600" s="25">
        <v>9.0286385714369755E-2</v>
      </c>
      <c r="AN600" s="24">
        <v>1.6557903965714316</v>
      </c>
      <c r="AO600" s="23">
        <v>-99</v>
      </c>
    </row>
    <row r="601" spans="1:41" x14ac:dyDescent="0.25">
      <c r="A601" s="4">
        <v>104</v>
      </c>
      <c r="B601">
        <v>60</v>
      </c>
      <c r="C601" s="16">
        <v>50</v>
      </c>
      <c r="D601">
        <v>20</v>
      </c>
      <c r="E601" s="3">
        <v>25.5</v>
      </c>
      <c r="F601" s="3">
        <f>1.8*E601+32</f>
        <v>77.900000000000006</v>
      </c>
      <c r="G601" s="3">
        <v>15</v>
      </c>
      <c r="H601" s="3">
        <f>IF(F601&gt;68,G601+(F601-68)*0.2,G748-(68-F601)*0.2)</f>
        <v>16.98</v>
      </c>
      <c r="I601" s="3">
        <v>23</v>
      </c>
      <c r="J601" s="3">
        <f>1.8*I601+32</f>
        <v>73.400000000000006</v>
      </c>
      <c r="K601" s="3">
        <v>7</v>
      </c>
      <c r="L601" s="3">
        <f>IF(J601&gt;68,K601+(J601-68)*0.2,K601-(68-J601)*0.2)</f>
        <v>8.0800000000000018</v>
      </c>
      <c r="M601" s="3">
        <f>(C601-H601)/C601*100</f>
        <v>66.039999999999992</v>
      </c>
      <c r="N601" s="3">
        <f>100-(M601+O601)</f>
        <v>17.800000000000011</v>
      </c>
      <c r="O601" s="3">
        <f>L601/C601*100</f>
        <v>16.160000000000004</v>
      </c>
      <c r="P601" s="1" t="s">
        <v>0</v>
      </c>
      <c r="Q601" s="15">
        <v>407462.44400000002</v>
      </c>
      <c r="R601" s="15">
        <v>3659949.5</v>
      </c>
      <c r="T601">
        <v>2009033</v>
      </c>
      <c r="U601" t="s">
        <v>103</v>
      </c>
      <c r="V601">
        <v>6.7710000000000006E-2</v>
      </c>
      <c r="W601">
        <v>0.38002999999999998</v>
      </c>
      <c r="X601">
        <v>2.7289999999999998E-2</v>
      </c>
      <c r="Y601">
        <v>1.2947599999999999</v>
      </c>
      <c r="Z601">
        <v>13.939299999999999</v>
      </c>
      <c r="AA601">
        <v>8.4457100000000001</v>
      </c>
      <c r="AB601">
        <v>-1.76732</v>
      </c>
      <c r="AC601" s="23">
        <v>4.9630000000000001E-2</v>
      </c>
      <c r="AD601" s="23">
        <v>0.37913999999999998</v>
      </c>
      <c r="AE601" s="23">
        <v>3.3700000000000001E-2</v>
      </c>
      <c r="AF601" s="23">
        <v>1.4674100000000001</v>
      </c>
      <c r="AG601" s="23">
        <v>48.506570000000004</v>
      </c>
      <c r="AH601" s="23">
        <v>17.672730000000001</v>
      </c>
      <c r="AI601" s="23">
        <v>-1.1314500000000001</v>
      </c>
      <c r="AJ601" s="25">
        <v>2.0211070833333333</v>
      </c>
      <c r="AK601" s="25">
        <v>0.37841810782012214</v>
      </c>
      <c r="AL601" s="25">
        <v>0.1550998224574098</v>
      </c>
      <c r="AM601" s="25">
        <v>6.7581774451288254E-2</v>
      </c>
      <c r="AN601" s="24">
        <v>1.6471920142766765</v>
      </c>
      <c r="AO601" s="23">
        <v>-99</v>
      </c>
    </row>
    <row r="602" spans="1:41" x14ac:dyDescent="0.25">
      <c r="A602" s="4">
        <v>104</v>
      </c>
      <c r="B602">
        <v>90</v>
      </c>
      <c r="C602" s="16">
        <v>50</v>
      </c>
      <c r="D602">
        <v>20</v>
      </c>
      <c r="E602" s="3">
        <v>25</v>
      </c>
      <c r="F602" s="3">
        <f>1.8*E602+32</f>
        <v>77</v>
      </c>
      <c r="G602" s="3">
        <v>8</v>
      </c>
      <c r="H602" s="3">
        <f>IF(F602&gt;68,G602+(F602-68)*0.2,G749-(68-F602)*0.2)</f>
        <v>9.8000000000000007</v>
      </c>
      <c r="I602" s="3">
        <v>23.5</v>
      </c>
      <c r="J602" s="3">
        <f>1.8*I602+32</f>
        <v>74.300000000000011</v>
      </c>
      <c r="K602" s="3">
        <v>3</v>
      </c>
      <c r="L602" s="3">
        <f>IF(J602&gt;68,K602+(J602-68)*0.2,K602-(68-J602)*0.2)</f>
        <v>4.2600000000000025</v>
      </c>
      <c r="M602" s="3">
        <f>(C602-H602)/C602*100</f>
        <v>80.400000000000006</v>
      </c>
      <c r="N602" s="3">
        <f>100-(M602+O602)</f>
        <v>11.079999999999984</v>
      </c>
      <c r="O602" s="3">
        <f>L602/C602*100</f>
        <v>8.5200000000000049</v>
      </c>
      <c r="P602" s="1" t="s">
        <v>1</v>
      </c>
      <c r="Q602" s="15">
        <v>407462.44400000002</v>
      </c>
      <c r="R602" s="15">
        <v>3659949.5</v>
      </c>
      <c r="T602">
        <v>2009033</v>
      </c>
      <c r="U602" t="s">
        <v>102</v>
      </c>
      <c r="V602">
        <v>6.5479999999999997E-2</v>
      </c>
      <c r="W602">
        <v>0.38389000000000001</v>
      </c>
      <c r="X602">
        <v>2.7179999999999999E-2</v>
      </c>
      <c r="Y602">
        <v>1.3150200000000001</v>
      </c>
      <c r="Z602">
        <v>14.58507</v>
      </c>
      <c r="AA602">
        <v>9.06968</v>
      </c>
      <c r="AB602">
        <v>-1.5969599999999999</v>
      </c>
      <c r="AC602" s="23">
        <v>6.0040000000000003E-2</v>
      </c>
      <c r="AD602" s="23">
        <v>0.38474999999999998</v>
      </c>
      <c r="AE602" s="23">
        <v>2.733E-2</v>
      </c>
      <c r="AF602" s="23">
        <v>1.34609</v>
      </c>
      <c r="AG602" s="23">
        <v>18.98621</v>
      </c>
      <c r="AH602" s="23">
        <v>10.34085</v>
      </c>
      <c r="AI602" s="23">
        <v>-1.3909899999999999</v>
      </c>
      <c r="AJ602" s="25">
        <v>0.79109208333333336</v>
      </c>
      <c r="AK602" s="25">
        <v>0.3840967974765751</v>
      </c>
      <c r="AL602" s="25">
        <v>0.20931751755550965</v>
      </c>
      <c r="AM602" s="25">
        <v>0.10051824530152444</v>
      </c>
      <c r="AN602" s="24">
        <v>1.6321434866870759</v>
      </c>
      <c r="AO602" s="23">
        <v>-99</v>
      </c>
    </row>
    <row r="603" spans="1:41" x14ac:dyDescent="0.25">
      <c r="A603" s="4">
        <v>104</v>
      </c>
      <c r="B603">
        <v>120</v>
      </c>
      <c r="C603" s="16">
        <v>50</v>
      </c>
      <c r="D603">
        <v>20</v>
      </c>
      <c r="E603" s="3">
        <v>25.5</v>
      </c>
      <c r="F603" s="3">
        <f>1.8*E603+32</f>
        <v>77.900000000000006</v>
      </c>
      <c r="G603" s="3">
        <v>19</v>
      </c>
      <c r="H603" s="3">
        <f>IF(F603&gt;68,G603+(F603-68)*0.2,G751-(68-F603)*0.2)</f>
        <v>20.98</v>
      </c>
      <c r="I603" s="3">
        <v>23.5</v>
      </c>
      <c r="J603" s="3">
        <f>1.8*I603+32</f>
        <v>74.300000000000011</v>
      </c>
      <c r="K603" s="3">
        <v>11</v>
      </c>
      <c r="L603" s="3">
        <f>IF(J603&gt;68,K603+(J603-68)*0.2,K603-(68-J603)*0.2)</f>
        <v>12.260000000000002</v>
      </c>
      <c r="M603" s="3">
        <f>(C603-H603)/C603*100</f>
        <v>58.040000000000006</v>
      </c>
      <c r="N603" s="3">
        <f>100-(M603+O603)</f>
        <v>17.439999999999998</v>
      </c>
      <c r="O603" s="3">
        <f>L603/C603*100</f>
        <v>24.520000000000003</v>
      </c>
      <c r="P603" s="1" t="s">
        <v>2</v>
      </c>
      <c r="Q603" s="15">
        <v>407462.44400000002</v>
      </c>
      <c r="R603" s="15">
        <v>3659949.5</v>
      </c>
      <c r="T603">
        <v>2009033</v>
      </c>
      <c r="U603" t="s">
        <v>101</v>
      </c>
      <c r="V603">
        <v>5.8130000000000001E-2</v>
      </c>
      <c r="W603">
        <v>0.37585000000000002</v>
      </c>
      <c r="X603">
        <v>2.947E-2</v>
      </c>
      <c r="Y603">
        <v>1.37602</v>
      </c>
      <c r="Z603">
        <v>25.334070000000001</v>
      </c>
      <c r="AA603">
        <v>11.68323</v>
      </c>
      <c r="AB603">
        <v>-1.3527499999999999</v>
      </c>
      <c r="AC603" s="23">
        <v>7.7450000000000005E-2</v>
      </c>
      <c r="AD603" s="23">
        <v>0.40993000000000002</v>
      </c>
      <c r="AE603" s="23">
        <v>2.1669999999999998E-2</v>
      </c>
      <c r="AF603" s="23">
        <v>1.31054</v>
      </c>
      <c r="AG603" s="23">
        <v>6.9319100000000002</v>
      </c>
      <c r="AH603" s="23">
        <v>6.2001499999999998</v>
      </c>
      <c r="AI603" s="23">
        <v>-1.4530000000000001</v>
      </c>
      <c r="AJ603" s="25">
        <v>0.28882958333333336</v>
      </c>
      <c r="AK603" s="25">
        <v>0.40941269873247466</v>
      </c>
      <c r="AL603" s="25">
        <v>0.25437289140512381</v>
      </c>
      <c r="AM603" s="25">
        <v>0.13261352362487142</v>
      </c>
      <c r="AN603" s="24">
        <v>1.5650563483589421</v>
      </c>
      <c r="AO603" s="23">
        <v>-99</v>
      </c>
    </row>
    <row r="604" spans="1:41" x14ac:dyDescent="0.25">
      <c r="A604" s="4">
        <v>104</v>
      </c>
      <c r="B604">
        <v>150</v>
      </c>
      <c r="C604" s="16">
        <v>50</v>
      </c>
      <c r="D604">
        <v>20</v>
      </c>
      <c r="E604" s="3">
        <v>25.5</v>
      </c>
      <c r="F604" s="3">
        <f>1.8*E604+32</f>
        <v>77.900000000000006</v>
      </c>
      <c r="G604" s="3">
        <v>16</v>
      </c>
      <c r="H604" s="3">
        <f>IF(F604&gt;68,G604+(F604-68)*0.2,G752-(68-F604)*0.2)</f>
        <v>17.98</v>
      </c>
      <c r="I604" s="3">
        <v>23.5</v>
      </c>
      <c r="J604" s="3">
        <f>1.8*I604+32</f>
        <v>74.300000000000011</v>
      </c>
      <c r="K604" s="3">
        <v>8</v>
      </c>
      <c r="L604" s="3">
        <f>IF(J604&gt;68,K604+(J604-68)*0.2,K604-(68-J604)*0.2)</f>
        <v>9.2600000000000016</v>
      </c>
      <c r="M604" s="3">
        <f>(C604-H604)/C604*100</f>
        <v>64.039999999999992</v>
      </c>
      <c r="N604" s="3">
        <f>100-(M604+O604)</f>
        <v>17.439999999999998</v>
      </c>
      <c r="O604" s="3">
        <f>L604/C604*100</f>
        <v>18.520000000000003</v>
      </c>
      <c r="P604" s="1" t="s">
        <v>0</v>
      </c>
      <c r="Q604" s="15">
        <v>407462.44400000002</v>
      </c>
      <c r="R604" s="15">
        <v>3659949.5</v>
      </c>
      <c r="T604">
        <v>2009033</v>
      </c>
      <c r="U604" t="s">
        <v>100</v>
      </c>
      <c r="V604">
        <v>4.9630000000000001E-2</v>
      </c>
      <c r="W604">
        <v>0.37913999999999998</v>
      </c>
      <c r="X604">
        <v>3.3700000000000001E-2</v>
      </c>
      <c r="Y604">
        <v>1.4674100000000001</v>
      </c>
      <c r="Z604">
        <v>48.506570000000004</v>
      </c>
      <c r="AA604">
        <v>17.672730000000001</v>
      </c>
      <c r="AB604">
        <v>-1.1314500000000001</v>
      </c>
      <c r="AC604" s="23">
        <v>7.4010000000000006E-2</v>
      </c>
      <c r="AD604" s="23">
        <v>0.39909</v>
      </c>
      <c r="AE604" s="23">
        <v>2.4209999999999999E-2</v>
      </c>
      <c r="AF604" s="23">
        <v>1.2998700000000001</v>
      </c>
      <c r="AG604" s="23">
        <v>9.0752100000000002</v>
      </c>
      <c r="AH604" s="23">
        <v>7.16012</v>
      </c>
      <c r="AI604" s="23">
        <v>-1.61917</v>
      </c>
      <c r="AJ604" s="25">
        <v>0.37813374999999999</v>
      </c>
      <c r="AK604" s="25">
        <v>0.3984980103805989</v>
      </c>
      <c r="AL604" s="25">
        <v>0.24530372941968381</v>
      </c>
      <c r="AM604" s="25">
        <v>0.12950452735733026</v>
      </c>
      <c r="AN604" s="24">
        <v>1.5939802724914129</v>
      </c>
      <c r="AO604" s="23">
        <v>-99</v>
      </c>
    </row>
    <row r="605" spans="1:41" x14ac:dyDescent="0.25">
      <c r="A605" s="4">
        <v>104</v>
      </c>
      <c r="B605">
        <v>180</v>
      </c>
      <c r="C605" s="16">
        <v>50</v>
      </c>
      <c r="D605">
        <v>20</v>
      </c>
      <c r="E605" s="3">
        <v>25.5</v>
      </c>
      <c r="F605" s="3">
        <f>1.8*E605+32</f>
        <v>77.900000000000006</v>
      </c>
      <c r="G605" s="3">
        <v>13</v>
      </c>
      <c r="H605" s="3">
        <f>IF(F605&gt;68,G605+(F605-68)*0.2,G753-(68-F605)*0.2)</f>
        <v>14.98</v>
      </c>
      <c r="I605" s="3">
        <v>23.5</v>
      </c>
      <c r="J605" s="3">
        <f>1.8*I605+32</f>
        <v>74.300000000000011</v>
      </c>
      <c r="K605" s="3">
        <v>8</v>
      </c>
      <c r="L605" s="3">
        <f>IF(J605&gt;68,K605+(J605-68)*0.2,K605-(68-J605)*0.2)</f>
        <v>9.2600000000000016</v>
      </c>
      <c r="M605" s="3">
        <f>(C605-H605)/C605*100</f>
        <v>70.039999999999992</v>
      </c>
      <c r="N605" s="3">
        <f>100-(M605+O605)</f>
        <v>11.439999999999998</v>
      </c>
      <c r="O605" s="3">
        <f>L605/C605*100</f>
        <v>18.520000000000003</v>
      </c>
      <c r="P605" s="1" t="s">
        <v>0</v>
      </c>
      <c r="Q605" s="15">
        <v>407462.44400000002</v>
      </c>
      <c r="R605" s="15">
        <v>3659949.5</v>
      </c>
      <c r="T605">
        <v>2009033</v>
      </c>
      <c r="U605" t="s">
        <v>99</v>
      </c>
      <c r="V605">
        <v>6.0040000000000003E-2</v>
      </c>
      <c r="W605">
        <v>0.38474999999999998</v>
      </c>
      <c r="X605">
        <v>2.733E-2</v>
      </c>
      <c r="Y605">
        <v>1.34609</v>
      </c>
      <c r="Z605">
        <v>18.98621</v>
      </c>
      <c r="AA605">
        <v>10.34085</v>
      </c>
      <c r="AB605">
        <v>-1.3909899999999999</v>
      </c>
      <c r="AC605" s="23">
        <v>6.3049999999999995E-2</v>
      </c>
      <c r="AD605" s="23">
        <v>0.38611000000000001</v>
      </c>
      <c r="AE605" s="23">
        <v>2.6589999999999999E-2</v>
      </c>
      <c r="AF605" s="23">
        <v>1.3344800000000001</v>
      </c>
      <c r="AG605" s="23">
        <v>16.10981</v>
      </c>
      <c r="AH605" s="23">
        <v>9.4652700000000003</v>
      </c>
      <c r="AI605" s="23">
        <v>-1.4458500000000001</v>
      </c>
      <c r="AJ605" s="25">
        <v>0.67124208333333335</v>
      </c>
      <c r="AK605" s="25">
        <v>0.38547317455353153</v>
      </c>
      <c r="AL605" s="25">
        <v>0.21676083903907603</v>
      </c>
      <c r="AM605" s="25">
        <v>0.10663404944583879</v>
      </c>
      <c r="AN605" s="24">
        <v>1.6284960874331413</v>
      </c>
      <c r="AO605" s="23">
        <v>-99</v>
      </c>
    </row>
    <row r="606" spans="1:41" x14ac:dyDescent="0.25">
      <c r="T606">
        <v>2009033</v>
      </c>
      <c r="U606" t="s">
        <v>98</v>
      </c>
      <c r="V606">
        <v>7.7450000000000005E-2</v>
      </c>
      <c r="W606">
        <v>0.40993000000000002</v>
      </c>
      <c r="X606">
        <v>2.1669999999999998E-2</v>
      </c>
      <c r="Y606">
        <v>1.31054</v>
      </c>
      <c r="Z606">
        <v>6.9319100000000002</v>
      </c>
      <c r="AA606">
        <v>6.2001499999999998</v>
      </c>
      <c r="AB606">
        <v>-1.4530000000000001</v>
      </c>
      <c r="AC606" s="23">
        <v>5.9950000000000003E-2</v>
      </c>
      <c r="AD606" s="23">
        <v>0.38256000000000001</v>
      </c>
      <c r="AE606" s="23">
        <v>2.8219999999999999E-2</v>
      </c>
      <c r="AF606" s="23">
        <v>1.3433200000000001</v>
      </c>
      <c r="AG606" s="23">
        <v>19.67502</v>
      </c>
      <c r="AH606" s="23">
        <v>10.645630000000001</v>
      </c>
      <c r="AI606" s="23">
        <v>-1.4349799999999999</v>
      </c>
      <c r="AJ606" s="25">
        <v>0.81979250000000004</v>
      </c>
      <c r="AK606" s="25">
        <v>0.38187993976293449</v>
      </c>
      <c r="AL606" s="25">
        <v>0.20761731408598386</v>
      </c>
      <c r="AM606" s="25">
        <v>0.10039492839069888</v>
      </c>
      <c r="AN606" s="24">
        <v>1.6380181596282237</v>
      </c>
      <c r="AO606" s="23">
        <v>-99</v>
      </c>
    </row>
    <row r="607" spans="1:41" ht="51.75" x14ac:dyDescent="0.25">
      <c r="A607" s="14" t="s">
        <v>21</v>
      </c>
      <c r="B607" s="9" t="s">
        <v>20</v>
      </c>
      <c r="C607" s="13" t="s">
        <v>19</v>
      </c>
      <c r="D607" s="12" t="s">
        <v>18</v>
      </c>
      <c r="E607" s="11" t="s">
        <v>17</v>
      </c>
      <c r="F607" s="11" t="s">
        <v>16</v>
      </c>
      <c r="G607" s="11" t="s">
        <v>15</v>
      </c>
      <c r="H607" s="11" t="s">
        <v>14</v>
      </c>
      <c r="I607" s="11" t="s">
        <v>13</v>
      </c>
      <c r="J607" s="11" t="s">
        <v>12</v>
      </c>
      <c r="K607" s="11" t="s">
        <v>11</v>
      </c>
      <c r="L607" s="11" t="s">
        <v>10</v>
      </c>
      <c r="M607" s="10" t="s">
        <v>9</v>
      </c>
      <c r="N607" s="10" t="s">
        <v>8</v>
      </c>
      <c r="O607" s="10" t="s">
        <v>7</v>
      </c>
      <c r="P607" s="9" t="s">
        <v>6</v>
      </c>
      <c r="Q607" s="19" t="s">
        <v>5</v>
      </c>
      <c r="R607" s="19"/>
      <c r="T607">
        <v>2009033</v>
      </c>
      <c r="U607" t="s">
        <v>97</v>
      </c>
      <c r="V607">
        <v>7.4010000000000006E-2</v>
      </c>
      <c r="W607">
        <v>0.39909</v>
      </c>
      <c r="X607">
        <v>2.4209999999999999E-2</v>
      </c>
      <c r="Y607">
        <v>1.2998700000000001</v>
      </c>
      <c r="Z607">
        <v>9.0752100000000002</v>
      </c>
      <c r="AA607">
        <v>7.16012</v>
      </c>
      <c r="AB607">
        <v>-1.61917</v>
      </c>
      <c r="AC607" s="23">
        <v>6.0069999999999998E-2</v>
      </c>
      <c r="AD607" s="23">
        <v>0.38513999999999998</v>
      </c>
      <c r="AE607" s="23">
        <v>2.7140000000000001E-2</v>
      </c>
      <c r="AF607" s="23">
        <v>1.3468199999999999</v>
      </c>
      <c r="AG607" s="23">
        <v>18.844930000000002</v>
      </c>
      <c r="AH607" s="23">
        <v>10.270009999999999</v>
      </c>
      <c r="AI607" s="23">
        <v>-1.3812500000000001</v>
      </c>
      <c r="AJ607" s="25">
        <v>0.78520541666666677</v>
      </c>
      <c r="AK607" s="25">
        <v>0.3844928399876229</v>
      </c>
      <c r="AL607" s="25">
        <v>0.20961608078624894</v>
      </c>
      <c r="AM607" s="25">
        <v>0.10051326223768323</v>
      </c>
      <c r="AN607" s="24">
        <v>1.6310939740327994</v>
      </c>
      <c r="AO607" s="23">
        <v>-99</v>
      </c>
    </row>
    <row r="608" spans="1:41" x14ac:dyDescent="0.25"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1"/>
      <c r="Q608" s="5" t="s">
        <v>4</v>
      </c>
      <c r="R608" s="5" t="s">
        <v>3</v>
      </c>
      <c r="T608">
        <v>2009033</v>
      </c>
      <c r="U608" t="s">
        <v>96</v>
      </c>
      <c r="V608">
        <v>6.3049999999999995E-2</v>
      </c>
      <c r="W608">
        <v>0.38611000000000001</v>
      </c>
      <c r="X608">
        <v>2.6589999999999999E-2</v>
      </c>
      <c r="Y608">
        <v>1.3344800000000001</v>
      </c>
      <c r="Z608">
        <v>16.10981</v>
      </c>
      <c r="AA608">
        <v>9.4652700000000003</v>
      </c>
      <c r="AB608">
        <v>-1.4458500000000001</v>
      </c>
      <c r="AC608" s="23">
        <v>5.6950000000000001E-2</v>
      </c>
      <c r="AD608" s="23">
        <v>0.38529000000000002</v>
      </c>
      <c r="AE608" s="23">
        <v>2.7289999999999998E-2</v>
      </c>
      <c r="AF608" s="23">
        <v>1.3604499999999999</v>
      </c>
      <c r="AG608" s="23">
        <v>21.709859999999999</v>
      </c>
      <c r="AH608" s="23">
        <v>11.020020000000001</v>
      </c>
      <c r="AI608" s="23">
        <v>-1.2997300000000001</v>
      </c>
      <c r="AJ608" s="25">
        <v>0.90457749999999992</v>
      </c>
      <c r="AK608" s="25">
        <v>0.38464478114660522</v>
      </c>
      <c r="AL608" s="25">
        <v>0.20325984826828938</v>
      </c>
      <c r="AM608" s="25">
        <v>9.4513155586313041E-2</v>
      </c>
      <c r="AN608" s="24">
        <v>1.6306913299614962</v>
      </c>
      <c r="AO608" s="23">
        <v>-99</v>
      </c>
    </row>
    <row r="609" spans="1:41" x14ac:dyDescent="0.25">
      <c r="A609" s="4">
        <v>105</v>
      </c>
      <c r="B609">
        <v>30</v>
      </c>
      <c r="C609">
        <v>50</v>
      </c>
      <c r="D609">
        <v>20</v>
      </c>
      <c r="E609" s="3">
        <v>23</v>
      </c>
      <c r="F609" s="3">
        <f>1.8*E609+32</f>
        <v>73.400000000000006</v>
      </c>
      <c r="G609" s="3">
        <v>16</v>
      </c>
      <c r="H609" s="3">
        <f>IF(F609&gt;68,G609+(F609-68)*0.2,G757-(68-F609)*0.2)</f>
        <v>17.080000000000002</v>
      </c>
      <c r="I609" s="3">
        <v>23</v>
      </c>
      <c r="J609" s="3">
        <f>1.8*I609+32</f>
        <v>73.400000000000006</v>
      </c>
      <c r="K609" s="3">
        <v>7</v>
      </c>
      <c r="L609" s="3">
        <f>IF(J609&gt;67,K609+(J609-67)*0.2,K609-(67-J609)*0.2)</f>
        <v>8.2800000000000011</v>
      </c>
      <c r="M609" s="3">
        <f>(C609-H609)/C609*100</f>
        <v>65.84</v>
      </c>
      <c r="N609" s="3">
        <f>100-(M609+O609)</f>
        <v>17.599999999999994</v>
      </c>
      <c r="O609" s="3">
        <f>L609/C609*100</f>
        <v>16.560000000000002</v>
      </c>
      <c r="P609" s="1" t="s">
        <v>0</v>
      </c>
      <c r="Q609" s="15">
        <v>407462.44400000002</v>
      </c>
      <c r="R609" s="15">
        <v>3659976</v>
      </c>
      <c r="T609">
        <v>2009033</v>
      </c>
      <c r="U609" t="s">
        <v>95</v>
      </c>
      <c r="V609">
        <v>5.9950000000000003E-2</v>
      </c>
      <c r="W609">
        <v>0.38256000000000001</v>
      </c>
      <c r="X609">
        <v>2.8219999999999999E-2</v>
      </c>
      <c r="Y609">
        <v>1.3433200000000001</v>
      </c>
      <c r="Z609">
        <v>19.67502</v>
      </c>
      <c r="AA609">
        <v>10.645630000000001</v>
      </c>
      <c r="AB609">
        <v>-1.4349799999999999</v>
      </c>
      <c r="AC609" s="23">
        <v>6.9809999999999997E-2</v>
      </c>
      <c r="AD609" s="23">
        <v>0.40003</v>
      </c>
      <c r="AE609" s="23">
        <v>2.1149999999999999E-2</v>
      </c>
      <c r="AF609" s="23">
        <v>1.3490800000000001</v>
      </c>
      <c r="AG609" s="23">
        <v>9.9370899999999995</v>
      </c>
      <c r="AH609" s="23">
        <v>6.8113200000000003</v>
      </c>
      <c r="AI609" s="23">
        <v>-1.2179899999999999</v>
      </c>
      <c r="AJ609" s="25">
        <v>0.41404541666666667</v>
      </c>
      <c r="AK609" s="25">
        <v>0.39956129517378031</v>
      </c>
      <c r="AL609" s="25">
        <v>0.23389689610791897</v>
      </c>
      <c r="AM609" s="25">
        <v>0.11402469859062715</v>
      </c>
      <c r="AN609" s="24">
        <v>1.5911625677894821</v>
      </c>
      <c r="AO609" s="23">
        <v>-99</v>
      </c>
    </row>
    <row r="610" spans="1:41" x14ac:dyDescent="0.25">
      <c r="A610" s="4">
        <v>105</v>
      </c>
      <c r="B610">
        <v>60</v>
      </c>
      <c r="C610">
        <v>50</v>
      </c>
      <c r="D610">
        <v>20</v>
      </c>
      <c r="E610" s="3">
        <v>22.5</v>
      </c>
      <c r="F610" s="3">
        <f>1.8*E610+32</f>
        <v>72.5</v>
      </c>
      <c r="G610" s="3">
        <v>14</v>
      </c>
      <c r="H610" s="3">
        <f>IF(F610&gt;68,G610+(F610-68)*0.2,G758-(68-F610)*0.2)</f>
        <v>14.9</v>
      </c>
      <c r="I610" s="3">
        <v>23</v>
      </c>
      <c r="J610" s="3">
        <f>1.8*I610+32</f>
        <v>73.400000000000006</v>
      </c>
      <c r="K610" s="3">
        <v>7</v>
      </c>
      <c r="L610" s="3">
        <f>IF(J610&gt;67,K610+(J610-67)*0.2,K610-(67-J610)*0.2)</f>
        <v>8.2800000000000011</v>
      </c>
      <c r="M610" s="3">
        <f>(C610-H610)/C610*100</f>
        <v>70.2</v>
      </c>
      <c r="N610" s="3">
        <f>100-(M610+O610)</f>
        <v>13.239999999999995</v>
      </c>
      <c r="O610" s="3">
        <f>L610/C610*100</f>
        <v>16.560000000000002</v>
      </c>
      <c r="P610" s="1" t="s">
        <v>0</v>
      </c>
      <c r="Q610" s="15">
        <v>407462.44400000002</v>
      </c>
      <c r="R610" s="15">
        <v>3659976</v>
      </c>
      <c r="T610">
        <v>2009033</v>
      </c>
      <c r="U610" t="s">
        <v>94</v>
      </c>
      <c r="V610">
        <v>6.0069999999999998E-2</v>
      </c>
      <c r="W610">
        <v>0.38513999999999998</v>
      </c>
      <c r="X610">
        <v>2.7140000000000001E-2</v>
      </c>
      <c r="Y610">
        <v>1.3468199999999999</v>
      </c>
      <c r="Z610">
        <v>18.844930000000002</v>
      </c>
      <c r="AA610">
        <v>10.270009999999999</v>
      </c>
      <c r="AB610">
        <v>-1.3812500000000001</v>
      </c>
      <c r="AC610" s="23">
        <v>6.5140000000000003E-2</v>
      </c>
      <c r="AD610" s="23">
        <v>0.38572000000000001</v>
      </c>
      <c r="AE610" s="23">
        <v>2.6720000000000001E-2</v>
      </c>
      <c r="AF610" s="23">
        <v>1.3214600000000001</v>
      </c>
      <c r="AG610" s="23">
        <v>14.60317</v>
      </c>
      <c r="AH610" s="23">
        <v>9.0668299999999995</v>
      </c>
      <c r="AI610" s="23">
        <v>-1.5371300000000001</v>
      </c>
      <c r="AJ610" s="25">
        <v>0.60846541666666665</v>
      </c>
      <c r="AK610" s="25">
        <v>0.38507301613570177</v>
      </c>
      <c r="AL610" s="25">
        <v>0.22183599643050994</v>
      </c>
      <c r="AM610" s="25">
        <v>0.11182323044161215</v>
      </c>
      <c r="AN610" s="24">
        <v>1.6295565072403901</v>
      </c>
      <c r="AO610" s="23">
        <v>-99</v>
      </c>
    </row>
    <row r="611" spans="1:41" x14ac:dyDescent="0.25">
      <c r="A611" s="4">
        <v>105</v>
      </c>
      <c r="B611">
        <v>90</v>
      </c>
      <c r="C611">
        <v>50</v>
      </c>
      <c r="D611">
        <v>20</v>
      </c>
      <c r="E611" s="3">
        <v>23</v>
      </c>
      <c r="F611" s="3">
        <f>1.8*E611+32</f>
        <v>73.400000000000006</v>
      </c>
      <c r="G611" s="3">
        <v>9</v>
      </c>
      <c r="H611" s="3">
        <f>IF(F611&gt;68,G611+(F611-68)*0.2,G760-(68-F611)*0.2)</f>
        <v>10.080000000000002</v>
      </c>
      <c r="I611" s="3">
        <v>23</v>
      </c>
      <c r="J611" s="3">
        <f>1.8*I611+32</f>
        <v>73.400000000000006</v>
      </c>
      <c r="K611" s="3">
        <v>4</v>
      </c>
      <c r="L611" s="3">
        <f>IF(J611&gt;67,K611+(J611-67)*0.2,K611-(67-J611)*0.2)</f>
        <v>5.2800000000000011</v>
      </c>
      <c r="M611" s="3">
        <f>(C611-H611)/C611*100</f>
        <v>79.84</v>
      </c>
      <c r="N611" s="3">
        <f>100-(M611+O611)</f>
        <v>9.5999999999999943</v>
      </c>
      <c r="O611" s="3">
        <f>L611/C611*100</f>
        <v>10.560000000000002</v>
      </c>
      <c r="P611" s="1" t="s">
        <v>0</v>
      </c>
      <c r="Q611" s="15">
        <v>407462.44400000002</v>
      </c>
      <c r="R611" s="15">
        <v>3659976</v>
      </c>
      <c r="T611">
        <v>2009033</v>
      </c>
      <c r="U611" t="s">
        <v>93</v>
      </c>
      <c r="V611">
        <v>5.6950000000000001E-2</v>
      </c>
      <c r="W611">
        <v>0.38529000000000002</v>
      </c>
      <c r="X611">
        <v>2.7289999999999998E-2</v>
      </c>
      <c r="Y611">
        <v>1.3604499999999999</v>
      </c>
      <c r="Z611">
        <v>21.709859999999999</v>
      </c>
      <c r="AA611">
        <v>11.020020000000001</v>
      </c>
      <c r="AB611">
        <v>-1.2997300000000001</v>
      </c>
      <c r="AC611" s="23">
        <v>6.5240000000000006E-2</v>
      </c>
      <c r="AD611" s="23">
        <v>0.38667000000000001</v>
      </c>
      <c r="AE611" s="23">
        <v>2.6419999999999999E-2</v>
      </c>
      <c r="AF611" s="23">
        <v>1.32355</v>
      </c>
      <c r="AG611" s="23">
        <v>14.40535</v>
      </c>
      <c r="AH611" s="23">
        <v>8.9786900000000003</v>
      </c>
      <c r="AI611" s="23">
        <v>-1.51406</v>
      </c>
      <c r="AJ611" s="25">
        <v>0.60022291666666672</v>
      </c>
      <c r="AK611" s="25">
        <v>0.3860325573774927</v>
      </c>
      <c r="AL611" s="25">
        <v>0.22217650595966681</v>
      </c>
      <c r="AM611" s="25">
        <v>0.11163349139192852</v>
      </c>
      <c r="AN611" s="24">
        <v>1.6270137229496442</v>
      </c>
      <c r="AO611" s="23">
        <v>-99</v>
      </c>
    </row>
    <row r="612" spans="1:41" x14ac:dyDescent="0.25">
      <c r="A612" s="4">
        <v>105</v>
      </c>
      <c r="B612">
        <v>120</v>
      </c>
      <c r="C612">
        <v>50</v>
      </c>
      <c r="D612">
        <v>20</v>
      </c>
      <c r="E612" s="3">
        <v>26</v>
      </c>
      <c r="F612" s="3">
        <f>1.8*E612+32</f>
        <v>78.800000000000011</v>
      </c>
      <c r="G612" s="3">
        <v>19</v>
      </c>
      <c r="H612" s="3">
        <f>IF(F612&gt;68,G612+(F612-68)*0.2,G761-(68-F612)*0.2)</f>
        <v>21.160000000000004</v>
      </c>
      <c r="I612" s="3">
        <v>23.5</v>
      </c>
      <c r="J612" s="3">
        <f>1.8*I612+32</f>
        <v>74.300000000000011</v>
      </c>
      <c r="K612" s="3">
        <v>11</v>
      </c>
      <c r="L612" s="3">
        <f>IF(J612&gt;67,K612+(J612-67)*0.2,K612-(67-J612)*0.2)</f>
        <v>12.460000000000003</v>
      </c>
      <c r="M612" s="3">
        <f>(C612-H612)/C612*100</f>
        <v>57.68</v>
      </c>
      <c r="N612" s="3">
        <f>100-(M612+O612)</f>
        <v>17.399999999999991</v>
      </c>
      <c r="O612" s="3">
        <f>L612/C612*100</f>
        <v>24.920000000000005</v>
      </c>
      <c r="P612" s="1" t="s">
        <v>2</v>
      </c>
      <c r="Q612" s="15">
        <v>407462.44400000002</v>
      </c>
      <c r="R612" s="15">
        <v>3659976</v>
      </c>
      <c r="T612">
        <v>2009033</v>
      </c>
      <c r="U612" t="s">
        <v>92</v>
      </c>
      <c r="V612">
        <v>6.9809999999999997E-2</v>
      </c>
      <c r="W612">
        <v>0.40003</v>
      </c>
      <c r="X612">
        <v>2.1149999999999999E-2</v>
      </c>
      <c r="Y612">
        <v>1.3490800000000001</v>
      </c>
      <c r="Z612">
        <v>9.9370899999999995</v>
      </c>
      <c r="AA612">
        <v>6.8113200000000003</v>
      </c>
      <c r="AB612">
        <v>-1.2179899999999999</v>
      </c>
      <c r="AC612" s="23">
        <v>5.3620000000000001E-2</v>
      </c>
      <c r="AD612" s="23">
        <v>0.37989000000000001</v>
      </c>
      <c r="AE612" s="23">
        <v>3.1140000000000001E-2</v>
      </c>
      <c r="AF612" s="23">
        <v>1.38544</v>
      </c>
      <c r="AG612" s="23">
        <v>30.611550000000001</v>
      </c>
      <c r="AH612" s="23">
        <v>13.783160000000001</v>
      </c>
      <c r="AI612" s="23">
        <v>-1.30061</v>
      </c>
      <c r="AJ612" s="25">
        <v>1.2754812500000001</v>
      </c>
      <c r="AK612" s="25">
        <v>0.37915164008540986</v>
      </c>
      <c r="AL612" s="25">
        <v>0.18466534729066669</v>
      </c>
      <c r="AM612" s="25">
        <v>8.4144995205750001E-2</v>
      </c>
      <c r="AN612" s="24">
        <v>1.6452481537736641</v>
      </c>
      <c r="AO612" s="23">
        <v>-99</v>
      </c>
    </row>
    <row r="613" spans="1:41" x14ac:dyDescent="0.25">
      <c r="A613" s="4">
        <v>105</v>
      </c>
      <c r="B613">
        <v>150</v>
      </c>
      <c r="C613">
        <v>50</v>
      </c>
      <c r="D613">
        <v>20</v>
      </c>
      <c r="E613" s="3">
        <v>25.5</v>
      </c>
      <c r="F613" s="3">
        <f>1.8*E613+32</f>
        <v>77.900000000000006</v>
      </c>
      <c r="G613" s="3">
        <v>17</v>
      </c>
      <c r="H613" s="3">
        <f>IF(F613&gt;68,G613+(F613-68)*0.2,G762-(68-F613)*0.2)</f>
        <v>18.98</v>
      </c>
      <c r="I613" s="3">
        <v>23.5</v>
      </c>
      <c r="J613" s="3">
        <f>1.8*I613+32</f>
        <v>74.300000000000011</v>
      </c>
      <c r="K613" s="3">
        <v>9</v>
      </c>
      <c r="L613" s="3">
        <f>IF(J613&gt;67,K613+(J613-67)*0.2,K613-(67-J613)*0.2)</f>
        <v>10.460000000000003</v>
      </c>
      <c r="M613" s="3">
        <f>(C613-H613)/C613*100</f>
        <v>62.039999999999992</v>
      </c>
      <c r="N613" s="3">
        <f>100-(M613+O613)</f>
        <v>17.040000000000006</v>
      </c>
      <c r="O613" s="3">
        <f>L613/C613*100</f>
        <v>20.920000000000005</v>
      </c>
      <c r="P613" s="1" t="s">
        <v>2</v>
      </c>
      <c r="Q613" s="15">
        <v>407462.44400000002</v>
      </c>
      <c r="R613" s="15">
        <v>3659976</v>
      </c>
      <c r="T613">
        <v>2009033</v>
      </c>
      <c r="U613" t="s">
        <v>91</v>
      </c>
      <c r="V613">
        <v>6.5140000000000003E-2</v>
      </c>
      <c r="W613">
        <v>0.38572000000000001</v>
      </c>
      <c r="X613">
        <v>2.6720000000000001E-2</v>
      </c>
      <c r="Y613">
        <v>1.3214600000000001</v>
      </c>
      <c r="Z613">
        <v>14.60317</v>
      </c>
      <c r="AA613">
        <v>9.0668299999999995</v>
      </c>
      <c r="AB613">
        <v>-1.5371300000000001</v>
      </c>
      <c r="AC613" s="23">
        <v>5.3339999999999999E-2</v>
      </c>
      <c r="AD613" s="23">
        <v>0.38095000000000001</v>
      </c>
      <c r="AE613" s="23">
        <v>3.0880000000000001E-2</v>
      </c>
      <c r="AF613" s="23">
        <v>1.38025</v>
      </c>
      <c r="AG613" s="23">
        <v>29.731680000000001</v>
      </c>
      <c r="AH613" s="23">
        <v>13.66996</v>
      </c>
      <c r="AI613" s="23">
        <v>-1.3033399999999999</v>
      </c>
      <c r="AJ613" s="25">
        <v>1.23882</v>
      </c>
      <c r="AK613" s="25">
        <v>0.3802111188960231</v>
      </c>
      <c r="AL613" s="25">
        <v>0.18693653342278796</v>
      </c>
      <c r="AM613" s="25">
        <v>8.508487567055989E-2</v>
      </c>
      <c r="AN613" s="24">
        <v>1.6424405349255387</v>
      </c>
      <c r="AO613" s="23">
        <v>-99</v>
      </c>
    </row>
    <row r="614" spans="1:41" x14ac:dyDescent="0.25">
      <c r="A614" s="4">
        <v>105</v>
      </c>
      <c r="B614">
        <v>180</v>
      </c>
      <c r="C614">
        <v>50</v>
      </c>
      <c r="D614">
        <v>20</v>
      </c>
      <c r="E614" s="3">
        <v>25.5</v>
      </c>
      <c r="F614" s="3">
        <f>1.8*E614+32</f>
        <v>77.900000000000006</v>
      </c>
      <c r="G614" s="3">
        <v>16</v>
      </c>
      <c r="H614" s="3">
        <f>IF(F614&gt;68,G614+(F614-68)*0.2,G763-(68-F614)*0.2)</f>
        <v>17.98</v>
      </c>
      <c r="I614" s="3">
        <v>23.5</v>
      </c>
      <c r="J614" s="3">
        <f>1.8*I614+32</f>
        <v>74.300000000000011</v>
      </c>
      <c r="K614" s="3">
        <v>9</v>
      </c>
      <c r="L614" s="3">
        <f>IF(J614&gt;67,K614+(J614-67)*0.2,K614-(67-J614)*0.2)</f>
        <v>10.460000000000003</v>
      </c>
      <c r="M614" s="3">
        <f>(C614-H614)/C614*100</f>
        <v>64.039999999999992</v>
      </c>
      <c r="N614" s="3">
        <f>100-(M614+O614)</f>
        <v>15.040000000000006</v>
      </c>
      <c r="O614" s="3">
        <f>L614/C614*100</f>
        <v>20.920000000000005</v>
      </c>
      <c r="P614" s="1" t="s">
        <v>2</v>
      </c>
      <c r="Q614" s="15">
        <v>407462.44400000002</v>
      </c>
      <c r="R614" s="15">
        <v>3659976</v>
      </c>
      <c r="T614">
        <v>2009033</v>
      </c>
      <c r="U614" t="s">
        <v>90</v>
      </c>
      <c r="V614">
        <v>6.5240000000000006E-2</v>
      </c>
      <c r="W614">
        <v>0.38667000000000001</v>
      </c>
      <c r="X614">
        <v>2.6419999999999999E-2</v>
      </c>
      <c r="Y614">
        <v>1.32355</v>
      </c>
      <c r="Z614">
        <v>14.40535</v>
      </c>
      <c r="AA614">
        <v>8.9786900000000003</v>
      </c>
      <c r="AB614">
        <v>-1.51406</v>
      </c>
      <c r="AC614" s="23">
        <v>5.6500000000000002E-2</v>
      </c>
      <c r="AD614" s="23">
        <v>0.38019999999999998</v>
      </c>
      <c r="AE614" s="23">
        <v>2.9860000000000001E-2</v>
      </c>
      <c r="AF614" s="23">
        <v>1.3635699999999999</v>
      </c>
      <c r="AG614" s="23">
        <v>25.039709999999999</v>
      </c>
      <c r="AH614" s="23">
        <v>12.21683</v>
      </c>
      <c r="AI614" s="23">
        <v>-1.37144</v>
      </c>
      <c r="AJ614" s="25">
        <v>1.04332125</v>
      </c>
      <c r="AK614" s="25">
        <v>0.37948476536643927</v>
      </c>
      <c r="AL614" s="25">
        <v>0.19534302981928928</v>
      </c>
      <c r="AM614" s="25">
        <v>9.1674238925867652E-2</v>
      </c>
      <c r="AN614" s="24">
        <v>1.6443653717789359</v>
      </c>
      <c r="AO614" s="23">
        <v>-99</v>
      </c>
    </row>
    <row r="615" spans="1:41" x14ac:dyDescent="0.25">
      <c r="T615">
        <v>2009033</v>
      </c>
      <c r="U615" t="s">
        <v>89</v>
      </c>
      <c r="V615">
        <v>5.3620000000000001E-2</v>
      </c>
      <c r="W615">
        <v>0.37989000000000001</v>
      </c>
      <c r="X615">
        <v>3.1140000000000001E-2</v>
      </c>
      <c r="Y615">
        <v>1.38544</v>
      </c>
      <c r="Z615">
        <v>30.611550000000001</v>
      </c>
      <c r="AA615">
        <v>13.783160000000001</v>
      </c>
      <c r="AB615">
        <v>-1.30061</v>
      </c>
      <c r="AC615" s="23">
        <v>7.1029999999999996E-2</v>
      </c>
      <c r="AD615" s="23">
        <v>0.39218999999999998</v>
      </c>
      <c r="AE615" s="23">
        <v>2.5530000000000001E-2</v>
      </c>
      <c r="AF615" s="23">
        <v>1.30016</v>
      </c>
      <c r="AG615" s="23">
        <v>10.86849</v>
      </c>
      <c r="AH615" s="23">
        <v>7.8122800000000003</v>
      </c>
      <c r="AI615" s="23">
        <v>-1.6597500000000001</v>
      </c>
      <c r="AJ615" s="25">
        <v>0.45285375</v>
      </c>
      <c r="AK615" s="25">
        <v>0.39156377876184295</v>
      </c>
      <c r="AL615" s="25">
        <v>0.23764147553744092</v>
      </c>
      <c r="AM615" s="25">
        <v>0.1248968544862441</v>
      </c>
      <c r="AN615" s="24">
        <v>1.6123559862811163</v>
      </c>
      <c r="AO615" s="23">
        <v>-99</v>
      </c>
    </row>
    <row r="616" spans="1:41" ht="51.75" x14ac:dyDescent="0.25">
      <c r="A616" s="14" t="s">
        <v>21</v>
      </c>
      <c r="B616" s="9" t="s">
        <v>20</v>
      </c>
      <c r="C616" s="13" t="s">
        <v>19</v>
      </c>
      <c r="D616" s="12" t="s">
        <v>18</v>
      </c>
      <c r="E616" s="11" t="s">
        <v>17</v>
      </c>
      <c r="F616" s="11" t="s">
        <v>16</v>
      </c>
      <c r="G616" s="11" t="s">
        <v>15</v>
      </c>
      <c r="H616" s="11" t="s">
        <v>14</v>
      </c>
      <c r="I616" s="11" t="s">
        <v>13</v>
      </c>
      <c r="J616" s="11" t="s">
        <v>12</v>
      </c>
      <c r="K616" s="11" t="s">
        <v>11</v>
      </c>
      <c r="L616" s="11" t="s">
        <v>10</v>
      </c>
      <c r="M616" s="10" t="s">
        <v>9</v>
      </c>
      <c r="N616" s="10" t="s">
        <v>8</v>
      </c>
      <c r="O616" s="10" t="s">
        <v>7</v>
      </c>
      <c r="P616" s="9" t="s">
        <v>6</v>
      </c>
      <c r="Q616" s="19" t="s">
        <v>5</v>
      </c>
      <c r="R616" s="19"/>
      <c r="T616">
        <v>2009033</v>
      </c>
      <c r="U616" t="s">
        <v>88</v>
      </c>
      <c r="V616">
        <v>5.3339999999999999E-2</v>
      </c>
      <c r="W616">
        <v>0.38095000000000001</v>
      </c>
      <c r="X616">
        <v>3.0880000000000001E-2</v>
      </c>
      <c r="Y616">
        <v>1.38025</v>
      </c>
      <c r="Z616">
        <v>29.731680000000001</v>
      </c>
      <c r="AA616">
        <v>13.66996</v>
      </c>
      <c r="AB616">
        <v>-1.3033399999999999</v>
      </c>
      <c r="AC616" s="23">
        <v>6.5740000000000007E-2</v>
      </c>
      <c r="AD616" s="23">
        <v>0.38658999999999999</v>
      </c>
      <c r="AE616" s="23">
        <v>2.6460000000000001E-2</v>
      </c>
      <c r="AF616" s="23">
        <v>1.3202199999999999</v>
      </c>
      <c r="AG616" s="23">
        <v>14.08291</v>
      </c>
      <c r="AH616" s="23">
        <v>8.8911700000000007</v>
      </c>
      <c r="AI616" s="23">
        <v>-1.5383899999999999</v>
      </c>
      <c r="AJ616" s="25">
        <v>0.58678791666666663</v>
      </c>
      <c r="AK616" s="25">
        <v>0.38594974561725026</v>
      </c>
      <c r="AL616" s="25">
        <v>0.22346110031387656</v>
      </c>
      <c r="AM616" s="25">
        <v>0.11295862401453365</v>
      </c>
      <c r="AN616" s="24">
        <v>1.6272331741142867</v>
      </c>
      <c r="AO616" s="23">
        <v>-99</v>
      </c>
    </row>
    <row r="617" spans="1:41" x14ac:dyDescent="0.25"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1"/>
      <c r="Q617" s="5" t="s">
        <v>4</v>
      </c>
      <c r="R617" s="5" t="s">
        <v>3</v>
      </c>
      <c r="T617">
        <v>2009033</v>
      </c>
      <c r="U617" t="s">
        <v>87</v>
      </c>
      <c r="V617">
        <v>5.6500000000000002E-2</v>
      </c>
      <c r="W617">
        <v>0.38019999999999998</v>
      </c>
      <c r="X617">
        <v>2.9860000000000001E-2</v>
      </c>
      <c r="Y617">
        <v>1.3635699999999999</v>
      </c>
      <c r="Z617">
        <v>25.039709999999999</v>
      </c>
      <c r="AA617">
        <v>12.21683</v>
      </c>
      <c r="AB617">
        <v>-1.37144</v>
      </c>
      <c r="AC617" s="23">
        <v>6.275E-2</v>
      </c>
      <c r="AD617" s="23">
        <v>0.38099</v>
      </c>
      <c r="AE617" s="23">
        <v>2.802E-2</v>
      </c>
      <c r="AF617" s="23">
        <v>1.3271200000000001</v>
      </c>
      <c r="AG617" s="23">
        <v>17.101710000000001</v>
      </c>
      <c r="AH617" s="23">
        <v>9.8546999999999993</v>
      </c>
      <c r="AI617" s="23">
        <v>-1.53999</v>
      </c>
      <c r="AJ617" s="25">
        <v>0.71257124999999999</v>
      </c>
      <c r="AK617" s="25">
        <v>0.38031109472030267</v>
      </c>
      <c r="AL617" s="25">
        <v>0.21413720684259852</v>
      </c>
      <c r="AM617" s="25">
        <v>0.10685630960030454</v>
      </c>
      <c r="AN617" s="24">
        <v>1.6421755989911979</v>
      </c>
      <c r="AO617" s="23">
        <v>-99</v>
      </c>
    </row>
    <row r="618" spans="1:41" x14ac:dyDescent="0.25">
      <c r="A618" s="4">
        <v>106</v>
      </c>
      <c r="B618">
        <v>30</v>
      </c>
      <c r="C618">
        <v>50</v>
      </c>
      <c r="D618">
        <v>20</v>
      </c>
      <c r="E618" s="3">
        <v>26</v>
      </c>
      <c r="F618" s="3">
        <f>1.8*E618+32</f>
        <v>78.800000000000011</v>
      </c>
      <c r="G618" s="3">
        <v>15</v>
      </c>
      <c r="H618" s="3">
        <f>IF(F618&gt;68,G618+(F618-68)*0.2,G767-(68-F618)*0.2)</f>
        <v>17.160000000000004</v>
      </c>
      <c r="I618" s="3">
        <v>23.5</v>
      </c>
      <c r="J618" s="3">
        <f>1.8*I618+32</f>
        <v>74.300000000000011</v>
      </c>
      <c r="K618" s="3">
        <v>7</v>
      </c>
      <c r="L618" s="3">
        <f>IF(J618&gt;67,K618+(J618-67)*0.2,K618-(67-J618)*0.2)</f>
        <v>8.4600000000000026</v>
      </c>
      <c r="M618" s="3">
        <f>(C618-H618)/C618*100</f>
        <v>65.679999999999993</v>
      </c>
      <c r="N618" s="3">
        <f>100-(M618+O618)</f>
        <v>17.400000000000006</v>
      </c>
      <c r="O618" s="3">
        <f>L618/C618*100</f>
        <v>16.920000000000005</v>
      </c>
      <c r="P618" s="1" t="s">
        <v>0</v>
      </c>
      <c r="Q618" s="15">
        <v>407462.44400000002</v>
      </c>
      <c r="R618" s="15">
        <v>3660002.5</v>
      </c>
      <c r="T618">
        <v>2009033</v>
      </c>
      <c r="U618" t="s">
        <v>86</v>
      </c>
      <c r="V618">
        <v>7.1029999999999996E-2</v>
      </c>
      <c r="W618">
        <v>0.39218999999999998</v>
      </c>
      <c r="X618">
        <v>2.5530000000000001E-2</v>
      </c>
      <c r="Y618">
        <v>1.30016</v>
      </c>
      <c r="Z618">
        <v>10.86849</v>
      </c>
      <c r="AA618">
        <v>7.8122800000000003</v>
      </c>
      <c r="AB618">
        <v>-1.6597500000000001</v>
      </c>
      <c r="AC618" s="23">
        <v>6.275E-2</v>
      </c>
      <c r="AD618" s="23">
        <v>0.38144</v>
      </c>
      <c r="AE618" s="23">
        <v>2.7959999999999999E-2</v>
      </c>
      <c r="AF618" s="23">
        <v>1.32741</v>
      </c>
      <c r="AG618" s="23">
        <v>17.043569999999999</v>
      </c>
      <c r="AH618" s="23">
        <v>9.8464299999999998</v>
      </c>
      <c r="AI618" s="23">
        <v>-1.5350299999999999</v>
      </c>
      <c r="AJ618" s="25">
        <v>0.71014875</v>
      </c>
      <c r="AK618" s="25">
        <v>0.38076230301787994</v>
      </c>
      <c r="AL618" s="25">
        <v>0.21435419276175552</v>
      </c>
      <c r="AM618" s="25">
        <v>0.10687231638824361</v>
      </c>
      <c r="AN618" s="24">
        <v>1.6409798970026181</v>
      </c>
      <c r="AO618" s="23">
        <v>-99</v>
      </c>
    </row>
    <row r="619" spans="1:41" x14ac:dyDescent="0.25">
      <c r="A619" s="4">
        <v>106</v>
      </c>
      <c r="B619">
        <v>60</v>
      </c>
      <c r="C619">
        <v>50</v>
      </c>
      <c r="D619">
        <v>20</v>
      </c>
      <c r="E619" s="3">
        <v>26</v>
      </c>
      <c r="F619" s="3">
        <f>1.8*E619+32</f>
        <v>78.800000000000011</v>
      </c>
      <c r="G619" s="3">
        <v>14</v>
      </c>
      <c r="H619" s="3">
        <f>IF(F619&gt;68,G619+(F619-68)*0.2,G768-(68-F619)*0.2)</f>
        <v>16.160000000000004</v>
      </c>
      <c r="I619" s="3">
        <v>23.5</v>
      </c>
      <c r="J619" s="3">
        <f>1.8*I619+32</f>
        <v>74.300000000000011</v>
      </c>
      <c r="K619" s="3">
        <v>7</v>
      </c>
      <c r="L619" s="3">
        <f>IF(J619&gt;67,K619+(J619-67)*0.2,K619-(67-J619)*0.2)</f>
        <v>8.4600000000000026</v>
      </c>
      <c r="M619" s="3">
        <f>(C619-H619)/C619*100</f>
        <v>67.679999999999993</v>
      </c>
      <c r="N619" s="3">
        <f>100-(M619+O619)</f>
        <v>15.400000000000006</v>
      </c>
      <c r="O619" s="3">
        <f>L619/C619*100</f>
        <v>16.920000000000005</v>
      </c>
      <c r="P619" s="1" t="s">
        <v>0</v>
      </c>
      <c r="Q619" s="15">
        <v>407462.44400000002</v>
      </c>
      <c r="R619" s="15">
        <v>3660002.5</v>
      </c>
      <c r="T619">
        <v>2009033</v>
      </c>
      <c r="U619" t="s">
        <v>85</v>
      </c>
      <c r="V619">
        <v>6.5740000000000007E-2</v>
      </c>
      <c r="W619">
        <v>0.38658999999999999</v>
      </c>
      <c r="X619">
        <v>2.6460000000000001E-2</v>
      </c>
      <c r="Y619">
        <v>1.3202199999999999</v>
      </c>
      <c r="Z619">
        <v>14.08291</v>
      </c>
      <c r="AA619">
        <v>8.8911700000000007</v>
      </c>
      <c r="AB619">
        <v>-1.5383899999999999</v>
      </c>
      <c r="AC619" s="23">
        <v>6.3259999999999997E-2</v>
      </c>
      <c r="AD619" s="23">
        <v>0.37922</v>
      </c>
      <c r="AE619" s="23">
        <v>2.8060000000000002E-2</v>
      </c>
      <c r="AF619" s="23">
        <v>1.32376</v>
      </c>
      <c r="AG619" s="23">
        <v>16.850660000000001</v>
      </c>
      <c r="AH619" s="23">
        <v>9.6840799999999998</v>
      </c>
      <c r="AI619" s="23">
        <v>-1.57012</v>
      </c>
      <c r="AJ619" s="25">
        <v>0.70211083333333335</v>
      </c>
      <c r="AK619" s="25">
        <v>0.37854187287875474</v>
      </c>
      <c r="AL619" s="25">
        <v>0.21462912135936568</v>
      </c>
      <c r="AM619" s="25">
        <v>0.10792756344477208</v>
      </c>
      <c r="AN619" s="24">
        <v>1.6468640368712999</v>
      </c>
      <c r="AO619" s="23">
        <v>-99</v>
      </c>
    </row>
    <row r="620" spans="1:41" x14ac:dyDescent="0.25">
      <c r="A620" s="4">
        <v>106</v>
      </c>
      <c r="B620">
        <v>90</v>
      </c>
      <c r="C620">
        <v>50</v>
      </c>
      <c r="D620">
        <v>20</v>
      </c>
      <c r="E620" s="3">
        <v>25.5</v>
      </c>
      <c r="F620" s="3">
        <f>1.8*E620+32</f>
        <v>77.900000000000006</v>
      </c>
      <c r="G620" s="3">
        <v>14</v>
      </c>
      <c r="H620" s="3">
        <f>IF(F620&gt;68,G620+(F620-68)*0.2,G769-(68-F620)*0.2)</f>
        <v>15.98</v>
      </c>
      <c r="I620" s="3">
        <v>23</v>
      </c>
      <c r="J620" s="3">
        <f>1.8*I620+32</f>
        <v>73.400000000000006</v>
      </c>
      <c r="K620" s="3">
        <v>7</v>
      </c>
      <c r="L620" s="3">
        <f>IF(J620&gt;67,K620+(J620-67)*0.2,K620-(67-J620)*0.2)</f>
        <v>8.2800000000000011</v>
      </c>
      <c r="M620" s="3">
        <f>(C620-H620)/C620*100</f>
        <v>68.039999999999992</v>
      </c>
      <c r="N620" s="3">
        <f>100-(M620+O620)</f>
        <v>15.400000000000006</v>
      </c>
      <c r="O620" s="3">
        <f>L620/C620*100</f>
        <v>16.560000000000002</v>
      </c>
      <c r="P620" s="1" t="s">
        <v>0</v>
      </c>
      <c r="Q620" s="15">
        <v>407462.44400000002</v>
      </c>
      <c r="R620" s="15">
        <v>3660002.5</v>
      </c>
      <c r="T620">
        <v>2009033</v>
      </c>
      <c r="U620" t="s">
        <v>84</v>
      </c>
      <c r="V620">
        <v>6.275E-2</v>
      </c>
      <c r="W620">
        <v>0.38099</v>
      </c>
      <c r="X620">
        <v>2.802E-2</v>
      </c>
      <c r="Y620">
        <v>1.3271200000000001</v>
      </c>
      <c r="Z620">
        <v>17.101710000000001</v>
      </c>
      <c r="AA620">
        <v>9.8546999999999993</v>
      </c>
      <c r="AB620">
        <v>-1.53999</v>
      </c>
      <c r="AC620" s="23">
        <v>6.7890000000000006E-2</v>
      </c>
      <c r="AD620" s="23">
        <v>0.38971</v>
      </c>
      <c r="AE620" s="23">
        <v>2.562E-2</v>
      </c>
      <c r="AF620" s="23">
        <v>1.3161099999999999</v>
      </c>
      <c r="AG620" s="23">
        <v>12.41385</v>
      </c>
      <c r="AH620" s="23">
        <v>8.3205799999999996</v>
      </c>
      <c r="AI620" s="23">
        <v>-1.5436399999999999</v>
      </c>
      <c r="AJ620" s="25">
        <v>0.51724375</v>
      </c>
      <c r="AK620" s="25">
        <v>0.38909124996534267</v>
      </c>
      <c r="AL620" s="25">
        <v>0.2290570601208754</v>
      </c>
      <c r="AM620" s="25">
        <v>0.11692786116360937</v>
      </c>
      <c r="AN620" s="24">
        <v>1.6189081875918416</v>
      </c>
      <c r="AO620" s="23">
        <v>-99</v>
      </c>
    </row>
    <row r="621" spans="1:41" x14ac:dyDescent="0.25">
      <c r="A621" s="4">
        <v>106</v>
      </c>
      <c r="B621">
        <v>120</v>
      </c>
      <c r="C621">
        <v>50</v>
      </c>
      <c r="D621">
        <v>20</v>
      </c>
      <c r="E621" s="3">
        <v>25.5</v>
      </c>
      <c r="F621" s="3">
        <f>1.8*E621+32</f>
        <v>77.900000000000006</v>
      </c>
      <c r="G621" s="3">
        <v>13</v>
      </c>
      <c r="H621" s="3">
        <f>IF(F621&gt;68,G621+(F621-68)*0.2,G770-(68-F621)*0.2)</f>
        <v>14.98</v>
      </c>
      <c r="I621" s="3">
        <v>23</v>
      </c>
      <c r="J621" s="3">
        <f>1.8*I621+32</f>
        <v>73.400000000000006</v>
      </c>
      <c r="K621" s="3">
        <v>8</v>
      </c>
      <c r="L621" s="3">
        <f>IF(J621&gt;67,K621+(J621-67)*0.2,K621-(67-J621)*0.2)</f>
        <v>9.2800000000000011</v>
      </c>
      <c r="M621" s="3">
        <f>(C621-H621)/C621*100</f>
        <v>70.039999999999992</v>
      </c>
      <c r="N621" s="3">
        <f>100-(M621+O621)</f>
        <v>11.400000000000006</v>
      </c>
      <c r="O621" s="3">
        <f>L621/C621*100</f>
        <v>18.560000000000002</v>
      </c>
      <c r="P621" s="1" t="s">
        <v>0</v>
      </c>
      <c r="Q621" s="15">
        <v>407462.44400000002</v>
      </c>
      <c r="R621" s="15">
        <v>3660002.5</v>
      </c>
      <c r="T621">
        <v>2009033</v>
      </c>
      <c r="U621" t="s">
        <v>83</v>
      </c>
      <c r="V621">
        <v>6.275E-2</v>
      </c>
      <c r="W621">
        <v>0.38144</v>
      </c>
      <c r="X621">
        <v>2.7959999999999999E-2</v>
      </c>
      <c r="Y621">
        <v>1.32741</v>
      </c>
      <c r="Z621">
        <v>17.043569999999999</v>
      </c>
      <c r="AA621">
        <v>9.8464299999999998</v>
      </c>
      <c r="AB621">
        <v>-1.5350299999999999</v>
      </c>
      <c r="AC621" s="23">
        <v>7.1179999999999993E-2</v>
      </c>
      <c r="AD621" s="23">
        <v>0.38796000000000003</v>
      </c>
      <c r="AE621" s="23">
        <v>2.6720000000000001E-2</v>
      </c>
      <c r="AF621" s="23">
        <v>1.28434</v>
      </c>
      <c r="AG621" s="23">
        <v>11.86504</v>
      </c>
      <c r="AH621" s="23">
        <v>7.9328000000000003</v>
      </c>
      <c r="AI621" s="23">
        <v>-1.83371</v>
      </c>
      <c r="AJ621" s="25">
        <v>0.49437666666666669</v>
      </c>
      <c r="AK621" s="25">
        <v>0.38729485058929958</v>
      </c>
      <c r="AL621" s="25">
        <v>0.23913909266764943</v>
      </c>
      <c r="AM621" s="25">
        <v>0.12880323778610031</v>
      </c>
      <c r="AN621" s="24">
        <v>1.623668645938356</v>
      </c>
      <c r="AO621" s="23">
        <v>-99</v>
      </c>
    </row>
    <row r="622" spans="1:41" x14ac:dyDescent="0.25">
      <c r="A622" s="4">
        <v>106</v>
      </c>
      <c r="B622">
        <v>150</v>
      </c>
      <c r="C622">
        <v>50</v>
      </c>
      <c r="D622">
        <v>20</v>
      </c>
      <c r="E622" s="3">
        <v>26</v>
      </c>
      <c r="F622" s="3">
        <f>1.8*E622+32</f>
        <v>78.800000000000011</v>
      </c>
      <c r="G622" s="3">
        <v>18</v>
      </c>
      <c r="H622" s="3">
        <f>IF(F622&gt;68,G622+(F622-68)*0.2,G771-(68-F622)*0.2)</f>
        <v>20.160000000000004</v>
      </c>
      <c r="I622" s="3">
        <v>23</v>
      </c>
      <c r="J622" s="3">
        <f>1.8*I622+32</f>
        <v>73.400000000000006</v>
      </c>
      <c r="K622" s="3">
        <v>11</v>
      </c>
      <c r="L622" s="3">
        <f>IF(J622&gt;67,K622+(J622-67)*0.2,K622-(67-J622)*0.2)</f>
        <v>12.280000000000001</v>
      </c>
      <c r="M622" s="3">
        <f>(C622-H622)/C622*100</f>
        <v>59.679999999999986</v>
      </c>
      <c r="N622" s="3">
        <f>100-(M622+O622)</f>
        <v>15.760000000000019</v>
      </c>
      <c r="O622" s="3">
        <f>L622/C622*100</f>
        <v>24.560000000000002</v>
      </c>
      <c r="P622" s="1" t="s">
        <v>2</v>
      </c>
      <c r="Q622" s="15">
        <v>407462.44400000002</v>
      </c>
      <c r="R622" s="15">
        <v>3660002.5</v>
      </c>
      <c r="T622">
        <v>2009033</v>
      </c>
      <c r="U622" t="s">
        <v>82</v>
      </c>
      <c r="V622">
        <v>6.3259999999999997E-2</v>
      </c>
      <c r="W622">
        <v>0.37922</v>
      </c>
      <c r="X622">
        <v>2.8060000000000002E-2</v>
      </c>
      <c r="Y622">
        <v>1.32376</v>
      </c>
      <c r="Z622">
        <v>16.850660000000001</v>
      </c>
      <c r="AA622">
        <v>9.6840799999999998</v>
      </c>
      <c r="AB622">
        <v>-1.57012</v>
      </c>
      <c r="AC622" s="23">
        <v>7.2059999999999999E-2</v>
      </c>
      <c r="AD622" s="23">
        <v>0.39430999999999999</v>
      </c>
      <c r="AE622" s="23">
        <v>2.5149999999999999E-2</v>
      </c>
      <c r="AF622" s="23">
        <v>1.2990900000000001</v>
      </c>
      <c r="AG622" s="23">
        <v>10.260389999999999</v>
      </c>
      <c r="AH622" s="23">
        <v>7.59748</v>
      </c>
      <c r="AI622" s="23">
        <v>-1.6561699999999999</v>
      </c>
      <c r="AJ622" s="25">
        <v>0.42751624999999999</v>
      </c>
      <c r="AK622" s="25">
        <v>0.39369299947458591</v>
      </c>
      <c r="AL622" s="25">
        <v>0.24033020803633648</v>
      </c>
      <c r="AM622" s="25">
        <v>0.1266991519409672</v>
      </c>
      <c r="AN622" s="24">
        <v>1.6067135513923472</v>
      </c>
      <c r="AO622" s="23">
        <v>-99</v>
      </c>
    </row>
    <row r="623" spans="1:41" x14ac:dyDescent="0.25">
      <c r="A623" s="4">
        <v>106</v>
      </c>
      <c r="B623">
        <v>180</v>
      </c>
      <c r="C623">
        <v>50</v>
      </c>
      <c r="D623">
        <v>20</v>
      </c>
      <c r="E623" s="3">
        <v>26</v>
      </c>
      <c r="F623" s="3">
        <f>1.8*E623+32</f>
        <v>78.800000000000011</v>
      </c>
      <c r="G623" s="3">
        <v>17</v>
      </c>
      <c r="H623" s="3">
        <f>IF(F623&gt;68,G623+(F623-68)*0.2,G772-(68-F623)*0.2)</f>
        <v>19.160000000000004</v>
      </c>
      <c r="I623" s="3">
        <v>23</v>
      </c>
      <c r="J623" s="3">
        <f>1.8*I623+32</f>
        <v>73.400000000000006</v>
      </c>
      <c r="K623" s="3">
        <v>10</v>
      </c>
      <c r="L623" s="3">
        <f>IF(J623&gt;67,K623+(J623-67)*0.2,K623-(67-J623)*0.2)</f>
        <v>11.280000000000001</v>
      </c>
      <c r="M623" s="3">
        <f>(C623-H623)/C623*100</f>
        <v>61.679999999999993</v>
      </c>
      <c r="N623" s="3">
        <f>100-(M623+O623)</f>
        <v>15.760000000000005</v>
      </c>
      <c r="O623" s="3">
        <f>L623/C623*100</f>
        <v>22.560000000000002</v>
      </c>
      <c r="P623" s="1" t="s">
        <v>2</v>
      </c>
      <c r="Q623" s="15">
        <v>407462.44400000002</v>
      </c>
      <c r="R623" s="15">
        <v>3660002.5</v>
      </c>
      <c r="T623">
        <v>2009033</v>
      </c>
      <c r="U623" t="s">
        <v>81</v>
      </c>
      <c r="V623">
        <v>6.7890000000000006E-2</v>
      </c>
      <c r="W623">
        <v>0.38971</v>
      </c>
      <c r="X623">
        <v>2.562E-2</v>
      </c>
      <c r="Y623">
        <v>1.3161099999999999</v>
      </c>
      <c r="Z623">
        <v>12.41385</v>
      </c>
      <c r="AA623">
        <v>8.3205799999999996</v>
      </c>
      <c r="AB623">
        <v>-1.5436399999999999</v>
      </c>
      <c r="AC623" s="23">
        <v>6.1499999999999999E-2</v>
      </c>
      <c r="AD623" s="23">
        <v>0.38247999999999999</v>
      </c>
      <c r="AE623" s="23">
        <v>2.7959999999999999E-2</v>
      </c>
      <c r="AF623" s="23">
        <v>1.33527</v>
      </c>
      <c r="AG623" s="23">
        <v>18.095649999999999</v>
      </c>
      <c r="AH623" s="23">
        <v>10.175269999999999</v>
      </c>
      <c r="AI623" s="23">
        <v>-1.4801</v>
      </c>
      <c r="AJ623" s="25">
        <v>0.75398541666666663</v>
      </c>
      <c r="AK623" s="25">
        <v>0.38180433704199673</v>
      </c>
      <c r="AL623" s="25">
        <v>0.21153780386629054</v>
      </c>
      <c r="AM623" s="25">
        <v>0.10387942053423344</v>
      </c>
      <c r="AN623" s="24">
        <v>1.6382185068387085</v>
      </c>
      <c r="AO623" s="23">
        <v>-99</v>
      </c>
    </row>
    <row r="624" spans="1:41" x14ac:dyDescent="0.25">
      <c r="A624" s="4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1"/>
      <c r="Q624" s="18"/>
      <c r="R624" s="18"/>
      <c r="T624">
        <v>2009033</v>
      </c>
      <c r="U624" t="s">
        <v>80</v>
      </c>
      <c r="V624">
        <v>7.1179999999999993E-2</v>
      </c>
      <c r="W624">
        <v>0.38796000000000003</v>
      </c>
      <c r="X624">
        <v>2.6720000000000001E-2</v>
      </c>
      <c r="Y624">
        <v>1.28434</v>
      </c>
      <c r="Z624">
        <v>11.86504</v>
      </c>
      <c r="AA624">
        <v>7.9328000000000003</v>
      </c>
      <c r="AB624">
        <v>-1.83371</v>
      </c>
      <c r="AC624" s="23">
        <v>5.6480000000000002E-2</v>
      </c>
      <c r="AD624" s="23">
        <v>0.37908999999999998</v>
      </c>
      <c r="AE624" s="23">
        <v>3.0099999999999998E-2</v>
      </c>
      <c r="AF624" s="23">
        <v>1.3683099999999999</v>
      </c>
      <c r="AG624" s="23">
        <v>25.880690000000001</v>
      </c>
      <c r="AH624" s="23">
        <v>12.35693</v>
      </c>
      <c r="AI624" s="23">
        <v>-1.3644499999999999</v>
      </c>
      <c r="AJ624" s="25">
        <v>1.0783620833333334</v>
      </c>
      <c r="AK624" s="25">
        <v>0.37837445072948661</v>
      </c>
      <c r="AL624" s="25">
        <v>0.1929725383991317</v>
      </c>
      <c r="AM624" s="25">
        <v>9.0435769549759154E-2</v>
      </c>
      <c r="AN624" s="24">
        <v>1.6473077055668603</v>
      </c>
      <c r="AO624" s="23">
        <v>-99</v>
      </c>
    </row>
    <row r="625" spans="1:41" ht="51.75" x14ac:dyDescent="0.25">
      <c r="A625" s="14" t="s">
        <v>21</v>
      </c>
      <c r="B625" s="9" t="s">
        <v>20</v>
      </c>
      <c r="C625" s="13" t="s">
        <v>19</v>
      </c>
      <c r="D625" s="12" t="s">
        <v>18</v>
      </c>
      <c r="E625" s="11" t="s">
        <v>17</v>
      </c>
      <c r="F625" s="11" t="s">
        <v>16</v>
      </c>
      <c r="G625" s="11" t="s">
        <v>15</v>
      </c>
      <c r="H625" s="11" t="s">
        <v>14</v>
      </c>
      <c r="I625" s="11" t="s">
        <v>13</v>
      </c>
      <c r="J625" s="11" t="s">
        <v>12</v>
      </c>
      <c r="K625" s="11" t="s">
        <v>11</v>
      </c>
      <c r="L625" s="11" t="s">
        <v>10</v>
      </c>
      <c r="M625" s="10" t="s">
        <v>9</v>
      </c>
      <c r="N625" s="10" t="s">
        <v>8</v>
      </c>
      <c r="O625" s="10" t="s">
        <v>7</v>
      </c>
      <c r="P625" s="9" t="s">
        <v>6</v>
      </c>
      <c r="Q625" s="21" t="s">
        <v>5</v>
      </c>
      <c r="R625" s="20"/>
      <c r="T625">
        <v>2009033</v>
      </c>
      <c r="U625" t="s">
        <v>79</v>
      </c>
      <c r="V625">
        <v>7.2059999999999999E-2</v>
      </c>
      <c r="W625">
        <v>0.39430999999999999</v>
      </c>
      <c r="X625">
        <v>2.5149999999999999E-2</v>
      </c>
      <c r="Y625">
        <v>1.2990900000000001</v>
      </c>
      <c r="Z625">
        <v>10.260389999999999</v>
      </c>
      <c r="AA625">
        <v>7.59748</v>
      </c>
      <c r="AB625">
        <v>-1.6561699999999999</v>
      </c>
      <c r="AC625" s="23">
        <v>5.4019999999999999E-2</v>
      </c>
      <c r="AD625" s="23">
        <v>0.37663000000000002</v>
      </c>
      <c r="AE625" s="23">
        <v>3.1269999999999999E-2</v>
      </c>
      <c r="AF625" s="23">
        <v>1.4305600000000001</v>
      </c>
      <c r="AG625" s="23">
        <v>37.144889999999997</v>
      </c>
      <c r="AH625" s="23">
        <v>14.283810000000001</v>
      </c>
      <c r="AI625" s="23">
        <v>-1.2079500000000001</v>
      </c>
      <c r="AJ625" s="25">
        <v>1.5477037499999999</v>
      </c>
      <c r="AK625" s="25">
        <v>0.37595014757818246</v>
      </c>
      <c r="AL625" s="25">
        <v>0.17044679724223033</v>
      </c>
      <c r="AM625" s="25">
        <v>7.6851686398575522E-2</v>
      </c>
      <c r="AN625" s="24">
        <v>1.6537321089178165</v>
      </c>
      <c r="AO625" s="23">
        <v>-99</v>
      </c>
    </row>
    <row r="626" spans="1:41" x14ac:dyDescent="0.25"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1"/>
      <c r="Q626" s="5" t="s">
        <v>4</v>
      </c>
      <c r="R626" s="5" t="s">
        <v>3</v>
      </c>
      <c r="T626">
        <v>2009033</v>
      </c>
      <c r="U626" t="s">
        <v>78</v>
      </c>
      <c r="V626">
        <v>6.1499999999999999E-2</v>
      </c>
      <c r="W626">
        <v>0.38247999999999999</v>
      </c>
      <c r="X626">
        <v>2.7959999999999999E-2</v>
      </c>
      <c r="Y626">
        <v>1.33527</v>
      </c>
      <c r="Z626">
        <v>18.095649999999999</v>
      </c>
      <c r="AA626">
        <v>10.175269999999999</v>
      </c>
      <c r="AB626">
        <v>-1.4801</v>
      </c>
      <c r="AC626" s="23">
        <v>6.3710000000000003E-2</v>
      </c>
      <c r="AD626" s="23">
        <v>0.38129999999999997</v>
      </c>
      <c r="AE626" s="23">
        <v>2.7810000000000001E-2</v>
      </c>
      <c r="AF626" s="23">
        <v>1.3217099999999999</v>
      </c>
      <c r="AG626" s="23">
        <v>16.20983</v>
      </c>
      <c r="AH626" s="23">
        <v>9.5685099999999998</v>
      </c>
      <c r="AI626" s="23">
        <v>-1.5706800000000001</v>
      </c>
      <c r="AJ626" s="25">
        <v>0.67540958333333334</v>
      </c>
      <c r="AK626" s="25">
        <v>0.38062466774764958</v>
      </c>
      <c r="AL626" s="25">
        <v>0.21697798800511808</v>
      </c>
      <c r="AM626" s="25">
        <v>0.10929859709957762</v>
      </c>
      <c r="AN626" s="24">
        <v>1.6413446304687285</v>
      </c>
      <c r="AO626" s="23">
        <v>-99</v>
      </c>
    </row>
    <row r="627" spans="1:41" x14ac:dyDescent="0.25">
      <c r="A627" s="4">
        <v>107</v>
      </c>
      <c r="B627">
        <v>30</v>
      </c>
      <c r="C627">
        <v>50</v>
      </c>
      <c r="D627">
        <v>20</v>
      </c>
      <c r="E627" s="3">
        <v>25.5</v>
      </c>
      <c r="F627" s="3">
        <f>1.8*E627+32</f>
        <v>77.900000000000006</v>
      </c>
      <c r="G627" s="3">
        <v>16</v>
      </c>
      <c r="H627" s="3">
        <f>IF(F627&gt;68,G627+(F627-68)*0.2,G775-(68-F627)*0.2)</f>
        <v>17.98</v>
      </c>
      <c r="I627" s="3">
        <v>23</v>
      </c>
      <c r="J627" s="3">
        <f>1.8*I627+32</f>
        <v>73.400000000000006</v>
      </c>
      <c r="K627" s="3">
        <v>9</v>
      </c>
      <c r="L627" s="3">
        <f>IF(J627&gt;67,K627+(J627-67)*0.2,K627-(67-J627)*0.2)</f>
        <v>10.280000000000001</v>
      </c>
      <c r="M627" s="3">
        <f>(C627-H627)/C627*100</f>
        <v>64.039999999999992</v>
      </c>
      <c r="N627" s="3">
        <f>100-(M627+O627)</f>
        <v>15.400000000000006</v>
      </c>
      <c r="O627" s="3">
        <f>L627/C627*100</f>
        <v>20.560000000000002</v>
      </c>
      <c r="P627" s="1" t="s">
        <v>2</v>
      </c>
      <c r="Q627" s="15">
        <v>407462.44400000002</v>
      </c>
      <c r="R627" s="15">
        <v>3660029</v>
      </c>
      <c r="T627">
        <v>2009033</v>
      </c>
      <c r="U627" t="s">
        <v>77</v>
      </c>
      <c r="V627">
        <v>5.6480000000000002E-2</v>
      </c>
      <c r="W627">
        <v>0.37908999999999998</v>
      </c>
      <c r="X627">
        <v>3.0099999999999998E-2</v>
      </c>
      <c r="Y627">
        <v>1.3683099999999999</v>
      </c>
      <c r="Z627">
        <v>25.880690000000001</v>
      </c>
      <c r="AA627">
        <v>12.35693</v>
      </c>
      <c r="AB627">
        <v>-1.3644499999999999</v>
      </c>
      <c r="AC627" s="23">
        <v>6.6610000000000003E-2</v>
      </c>
      <c r="AD627" s="23">
        <v>0.38645000000000002</v>
      </c>
      <c r="AE627" s="23">
        <v>2.6550000000000001E-2</v>
      </c>
      <c r="AF627" s="23">
        <v>1.3142</v>
      </c>
      <c r="AG627" s="23">
        <v>13.56</v>
      </c>
      <c r="AH627" s="23">
        <v>8.7363499999999998</v>
      </c>
      <c r="AI627" s="23">
        <v>-1.5837300000000001</v>
      </c>
      <c r="AJ627" s="25">
        <v>0.56500000000000006</v>
      </c>
      <c r="AK627" s="25">
        <v>0.38580418640478564</v>
      </c>
      <c r="AL627" s="25">
        <v>0.22575059489216673</v>
      </c>
      <c r="AM627" s="25">
        <v>0.11535432929774561</v>
      </c>
      <c r="AN627" s="24">
        <v>1.6276189060273181</v>
      </c>
      <c r="AO627" s="23">
        <v>-99</v>
      </c>
    </row>
    <row r="628" spans="1:41" x14ac:dyDescent="0.25">
      <c r="A628" s="4">
        <v>107</v>
      </c>
      <c r="B628">
        <v>60</v>
      </c>
      <c r="C628">
        <v>50</v>
      </c>
      <c r="D628">
        <v>20</v>
      </c>
      <c r="E628" s="3">
        <v>26</v>
      </c>
      <c r="F628" s="3">
        <f>1.8*E628+32</f>
        <v>78.800000000000011</v>
      </c>
      <c r="G628" s="3">
        <v>16</v>
      </c>
      <c r="H628" s="3">
        <f>IF(F628&gt;68,G628+(F628-68)*0.2,G776-(68-F628)*0.2)</f>
        <v>18.160000000000004</v>
      </c>
      <c r="I628" s="3">
        <v>23</v>
      </c>
      <c r="J628" s="3">
        <f>1.8*I628+32</f>
        <v>73.400000000000006</v>
      </c>
      <c r="K628" s="3">
        <v>8</v>
      </c>
      <c r="L628" s="3">
        <f>IF(J628&gt;67,K628+(J628-67)*0.2,K628-(67-J628)*0.2)</f>
        <v>9.2800000000000011</v>
      </c>
      <c r="M628" s="3">
        <f>(C628-H628)/C628*100</f>
        <v>63.679999999999993</v>
      </c>
      <c r="N628" s="3">
        <f>100-(M628+O628)</f>
        <v>17.760000000000005</v>
      </c>
      <c r="O628" s="3">
        <f>L628/C628*100</f>
        <v>18.560000000000002</v>
      </c>
      <c r="P628" s="1" t="s">
        <v>0</v>
      </c>
      <c r="Q628" s="15">
        <v>407462.44400000002</v>
      </c>
      <c r="R628" s="15">
        <v>3660029</v>
      </c>
      <c r="T628">
        <v>2009033</v>
      </c>
      <c r="U628" t="s">
        <v>76</v>
      </c>
      <c r="V628">
        <v>5.4019999999999999E-2</v>
      </c>
      <c r="W628">
        <v>0.37663000000000002</v>
      </c>
      <c r="X628">
        <v>3.1269999999999999E-2</v>
      </c>
      <c r="Y628">
        <v>1.4305600000000001</v>
      </c>
      <c r="Z628">
        <v>37.144889999999997</v>
      </c>
      <c r="AA628">
        <v>14.283810000000001</v>
      </c>
      <c r="AB628">
        <v>-1.2079500000000001</v>
      </c>
      <c r="AC628" s="23">
        <v>7.1919999999999998E-2</v>
      </c>
      <c r="AD628" s="23">
        <v>0.39340000000000003</v>
      </c>
      <c r="AE628" s="23">
        <v>2.5430000000000001E-2</v>
      </c>
      <c r="AF628" s="23">
        <v>1.2967299999999999</v>
      </c>
      <c r="AG628" s="23">
        <v>10.482570000000001</v>
      </c>
      <c r="AH628" s="23">
        <v>7.6682499999999996</v>
      </c>
      <c r="AI628" s="23">
        <v>-1.68384</v>
      </c>
      <c r="AJ628" s="25">
        <v>0.43677375000000002</v>
      </c>
      <c r="AK628" s="25">
        <v>0.3927740255508923</v>
      </c>
      <c r="AL628" s="25">
        <v>0.2401145787213132</v>
      </c>
      <c r="AM628" s="25">
        <v>0.12701590613481456</v>
      </c>
      <c r="AN628" s="24">
        <v>1.6091488322901355</v>
      </c>
      <c r="AO628" s="23">
        <v>-99</v>
      </c>
    </row>
    <row r="629" spans="1:41" x14ac:dyDescent="0.25">
      <c r="A629" s="4">
        <v>107</v>
      </c>
      <c r="B629">
        <v>90</v>
      </c>
      <c r="C629">
        <v>50</v>
      </c>
      <c r="D629">
        <v>20</v>
      </c>
      <c r="E629" s="3">
        <v>26</v>
      </c>
      <c r="F629" s="3">
        <f>1.8*E629+32</f>
        <v>78.800000000000011</v>
      </c>
      <c r="G629" s="3">
        <v>14</v>
      </c>
      <c r="H629" s="3">
        <f>IF(F629&gt;68,G629+(F629-68)*0.2,G777-(68-F629)*0.2)</f>
        <v>16.160000000000004</v>
      </c>
      <c r="I629" s="3">
        <v>23</v>
      </c>
      <c r="J629" s="3">
        <f>1.8*I629+32</f>
        <v>73.400000000000006</v>
      </c>
      <c r="K629" s="3">
        <v>8</v>
      </c>
      <c r="L629" s="3">
        <f>IF(J629&gt;67,K629+(J629-67)*0.2,K629-(67-J629)*0.2)</f>
        <v>9.2800000000000011</v>
      </c>
      <c r="M629" s="3">
        <f>(C629-H629)/C629*100</f>
        <v>67.679999999999993</v>
      </c>
      <c r="N629" s="3">
        <f>100-(M629+O629)</f>
        <v>13.760000000000005</v>
      </c>
      <c r="O629" s="3">
        <f>L629/C629*100</f>
        <v>18.560000000000002</v>
      </c>
      <c r="P629" s="1" t="s">
        <v>0</v>
      </c>
      <c r="Q629" s="15">
        <v>407462.44400000002</v>
      </c>
      <c r="R629" s="15">
        <v>3660029</v>
      </c>
      <c r="T629">
        <v>2009033</v>
      </c>
      <c r="U629" t="s">
        <v>75</v>
      </c>
      <c r="V629">
        <v>6.3710000000000003E-2</v>
      </c>
      <c r="W629">
        <v>0.38129999999999997</v>
      </c>
      <c r="X629">
        <v>2.7810000000000001E-2</v>
      </c>
      <c r="Y629">
        <v>1.3217099999999999</v>
      </c>
      <c r="Z629">
        <v>16.20983</v>
      </c>
      <c r="AA629">
        <v>9.5685099999999998</v>
      </c>
      <c r="AB629">
        <v>-1.5706800000000001</v>
      </c>
      <c r="AC629" s="23">
        <v>6.8849999999999995E-2</v>
      </c>
      <c r="AD629" s="23">
        <v>0.38912000000000002</v>
      </c>
      <c r="AE629" s="23">
        <v>2.5999999999999999E-2</v>
      </c>
      <c r="AF629" s="23">
        <v>1.30684</v>
      </c>
      <c r="AG629" s="23">
        <v>12.07183</v>
      </c>
      <c r="AH629" s="23">
        <v>8.2344500000000007</v>
      </c>
      <c r="AI629" s="23">
        <v>-1.6223000000000001</v>
      </c>
      <c r="AJ629" s="25">
        <v>0.50299291666666668</v>
      </c>
      <c r="AK629" s="25">
        <v>0.38848530802859049</v>
      </c>
      <c r="AL629" s="25">
        <v>0.23177202895901225</v>
      </c>
      <c r="AM629" s="25">
        <v>0.12018718955524776</v>
      </c>
      <c r="AN629" s="24">
        <v>1.6205139337242351</v>
      </c>
      <c r="AO629" s="23">
        <v>-99</v>
      </c>
    </row>
    <row r="630" spans="1:41" x14ac:dyDescent="0.25">
      <c r="A630" s="4">
        <v>107</v>
      </c>
      <c r="B630">
        <v>120</v>
      </c>
      <c r="C630">
        <v>50</v>
      </c>
      <c r="D630">
        <v>20</v>
      </c>
      <c r="E630" s="3">
        <v>26</v>
      </c>
      <c r="F630" s="3">
        <f>1.8*E630+32</f>
        <v>78.800000000000011</v>
      </c>
      <c r="G630" s="3">
        <v>13</v>
      </c>
      <c r="H630" s="3">
        <f>IF(F630&gt;68,G630+(F630-68)*0.2,G778-(68-F630)*0.2)</f>
        <v>15.160000000000002</v>
      </c>
      <c r="I630" s="3">
        <v>23</v>
      </c>
      <c r="J630" s="3">
        <f>1.8*I630+32</f>
        <v>73.400000000000006</v>
      </c>
      <c r="K630" s="3">
        <v>8</v>
      </c>
      <c r="L630" s="3">
        <f>IF(J630&gt;67,K630+(J630-67)*0.2,K630-(67-J630)*0.2)</f>
        <v>9.2800000000000011</v>
      </c>
      <c r="M630" s="3">
        <f>(C630-H630)/C630*100</f>
        <v>69.679999999999993</v>
      </c>
      <c r="N630" s="3">
        <f>100-(M630+O630)</f>
        <v>11.760000000000005</v>
      </c>
      <c r="O630" s="3">
        <f>L630/C630*100</f>
        <v>18.560000000000002</v>
      </c>
      <c r="P630" s="1" t="s">
        <v>0</v>
      </c>
      <c r="Q630" s="15">
        <v>407462.44400000002</v>
      </c>
      <c r="R630" s="15">
        <v>3660029</v>
      </c>
      <c r="T630">
        <v>2009033</v>
      </c>
      <c r="U630" t="s">
        <v>74</v>
      </c>
      <c r="V630">
        <v>6.6610000000000003E-2</v>
      </c>
      <c r="W630">
        <v>0.38645000000000002</v>
      </c>
      <c r="X630">
        <v>2.6550000000000001E-2</v>
      </c>
      <c r="Y630">
        <v>1.3142</v>
      </c>
      <c r="Z630">
        <v>13.56</v>
      </c>
      <c r="AA630">
        <v>8.7363499999999998</v>
      </c>
      <c r="AB630">
        <v>-1.5837300000000001</v>
      </c>
      <c r="AC630" s="23">
        <v>6.8779999999999994E-2</v>
      </c>
      <c r="AD630" s="23">
        <v>0.38857999999999998</v>
      </c>
      <c r="AE630" s="23">
        <v>2.615E-2</v>
      </c>
      <c r="AF630" s="23">
        <v>1.3055699999999999</v>
      </c>
      <c r="AG630" s="23">
        <v>12.18854</v>
      </c>
      <c r="AH630" s="23">
        <v>8.2722999999999995</v>
      </c>
      <c r="AI630" s="23">
        <v>-1.6364700000000001</v>
      </c>
      <c r="AJ630" s="25">
        <v>0.50785583333333328</v>
      </c>
      <c r="AK630" s="25">
        <v>0.38794056745327049</v>
      </c>
      <c r="AL630" s="25">
        <v>0.23164021396051937</v>
      </c>
      <c r="AM630" s="25">
        <v>0.12034103803012411</v>
      </c>
      <c r="AN630" s="24">
        <v>1.621957496248833</v>
      </c>
      <c r="AO630" s="23">
        <v>-99</v>
      </c>
    </row>
    <row r="631" spans="1:41" x14ac:dyDescent="0.25">
      <c r="A631" s="4">
        <v>107</v>
      </c>
      <c r="B631">
        <v>150</v>
      </c>
      <c r="C631">
        <v>50</v>
      </c>
      <c r="D631">
        <v>20</v>
      </c>
      <c r="E631" s="3">
        <v>24.5</v>
      </c>
      <c r="F631" s="3">
        <f>1.8*E631+32</f>
        <v>76.099999999999994</v>
      </c>
      <c r="G631" s="3">
        <v>9</v>
      </c>
      <c r="H631" s="3">
        <f>IF(F631&gt;68,G631+(F631-68)*0.2,G779-(68-F631)*0.2)</f>
        <v>10.62</v>
      </c>
      <c r="I631" s="3">
        <v>22.5</v>
      </c>
      <c r="J631" s="3">
        <f>1.8*I631+32</f>
        <v>72.5</v>
      </c>
      <c r="K631" s="3">
        <v>4</v>
      </c>
      <c r="L631" s="3">
        <f>IF(J631&gt;67,K631+(J631-67)*0.2,K631-(67-J631)*0.2)</f>
        <v>5.0999999999999996</v>
      </c>
      <c r="M631" s="3">
        <f>(C631-H631)/C631*100</f>
        <v>78.760000000000005</v>
      </c>
      <c r="N631" s="3">
        <f>100-(M631+O631)</f>
        <v>11.039999999999992</v>
      </c>
      <c r="O631" s="3">
        <f>L631/C631*100</f>
        <v>10.199999999999999</v>
      </c>
      <c r="P631" s="1" t="s">
        <v>0</v>
      </c>
      <c r="Q631" s="15">
        <v>407462.44400000002</v>
      </c>
      <c r="R631" s="15">
        <v>3660029</v>
      </c>
      <c r="T631">
        <v>2009033</v>
      </c>
      <c r="U631" t="s">
        <v>73</v>
      </c>
      <c r="V631">
        <v>7.1919999999999998E-2</v>
      </c>
      <c r="W631">
        <v>0.39340000000000003</v>
      </c>
      <c r="X631">
        <v>2.5430000000000001E-2</v>
      </c>
      <c r="Y631">
        <v>1.2967299999999999</v>
      </c>
      <c r="Z631">
        <v>10.482570000000001</v>
      </c>
      <c r="AA631">
        <v>7.6682499999999996</v>
      </c>
      <c r="AB631">
        <v>-1.68384</v>
      </c>
      <c r="AC631" s="23">
        <v>7.1389999999999995E-2</v>
      </c>
      <c r="AD631" s="23">
        <v>0.39221</v>
      </c>
      <c r="AE631" s="23">
        <v>2.5649999999999999E-2</v>
      </c>
      <c r="AF631" s="23">
        <v>1.2969900000000001</v>
      </c>
      <c r="AG631" s="23">
        <v>10.809100000000001</v>
      </c>
      <c r="AH631" s="23">
        <v>7.7801900000000002</v>
      </c>
      <c r="AI631" s="23">
        <v>-1.68865</v>
      </c>
      <c r="AJ631" s="25">
        <v>0.45037916666666672</v>
      </c>
      <c r="AK631" s="25">
        <v>0.3915785030344881</v>
      </c>
      <c r="AL631" s="25">
        <v>0.23874222855276195</v>
      </c>
      <c r="AM631" s="25">
        <v>0.12614769054243496</v>
      </c>
      <c r="AN631" s="24">
        <v>1.6123169669586066</v>
      </c>
      <c r="AO631" s="23">
        <v>-99</v>
      </c>
    </row>
    <row r="632" spans="1:41" x14ac:dyDescent="0.25">
      <c r="A632" s="4">
        <v>107</v>
      </c>
      <c r="B632">
        <v>180</v>
      </c>
      <c r="C632">
        <v>50</v>
      </c>
      <c r="D632">
        <v>20</v>
      </c>
      <c r="E632" s="3">
        <v>24.5</v>
      </c>
      <c r="F632" s="3">
        <f>1.8*E632+32</f>
        <v>76.099999999999994</v>
      </c>
      <c r="G632" s="3">
        <v>10</v>
      </c>
      <c r="H632" s="3">
        <f>IF(F632&gt;68,G632+(F632-68)*0.2,G780-(68-F632)*0.2)</f>
        <v>11.62</v>
      </c>
      <c r="I632" s="3">
        <v>22.5</v>
      </c>
      <c r="J632" s="3">
        <f>1.8*I632+32</f>
        <v>72.5</v>
      </c>
      <c r="K632" s="3">
        <v>6</v>
      </c>
      <c r="L632" s="3">
        <f>IF(J632&gt;67,K632+(J632-67)*0.2,K632-(67-J632)*0.2)</f>
        <v>7.1</v>
      </c>
      <c r="M632" s="3">
        <f>(C632-H632)/C632*100</f>
        <v>76.760000000000005</v>
      </c>
      <c r="N632" s="3">
        <f>100-(M632+O632)</f>
        <v>9.039999999999992</v>
      </c>
      <c r="O632" s="3">
        <f>L632/C632*100</f>
        <v>14.2</v>
      </c>
      <c r="P632" s="1" t="s">
        <v>0</v>
      </c>
      <c r="Q632" s="15">
        <v>407462.44400000002</v>
      </c>
      <c r="R632" s="15">
        <v>3660029</v>
      </c>
      <c r="T632">
        <v>2009033</v>
      </c>
      <c r="U632" t="s">
        <v>72</v>
      </c>
      <c r="V632">
        <v>6.8849999999999995E-2</v>
      </c>
      <c r="W632">
        <v>0.38912000000000002</v>
      </c>
      <c r="X632">
        <v>2.5999999999999999E-2</v>
      </c>
      <c r="Y632">
        <v>1.30684</v>
      </c>
      <c r="Z632">
        <v>12.07183</v>
      </c>
      <c r="AA632">
        <v>8.2344500000000007</v>
      </c>
      <c r="AB632">
        <v>-1.6223000000000001</v>
      </c>
      <c r="AC632" s="23">
        <v>6.6299999999999998E-2</v>
      </c>
      <c r="AD632" s="23">
        <v>0.38751000000000002</v>
      </c>
      <c r="AE632" s="23">
        <v>2.6190000000000001E-2</v>
      </c>
      <c r="AF632" s="23">
        <v>1.31948</v>
      </c>
      <c r="AG632" s="23">
        <v>13.607670000000001</v>
      </c>
      <c r="AH632" s="23">
        <v>8.7265499999999996</v>
      </c>
      <c r="AI632" s="23">
        <v>-1.53599</v>
      </c>
      <c r="AJ632" s="25">
        <v>0.56698625000000002</v>
      </c>
      <c r="AK632" s="25">
        <v>0.38687701588897672</v>
      </c>
      <c r="AL632" s="25">
        <v>0.22494395517616519</v>
      </c>
      <c r="AM632" s="25">
        <v>0.11393715318860584</v>
      </c>
      <c r="AN632" s="24">
        <v>1.6247759078942117</v>
      </c>
      <c r="AO632" s="23">
        <v>-99</v>
      </c>
    </row>
    <row r="633" spans="1:41" x14ac:dyDescent="0.25">
      <c r="A633" s="4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1"/>
      <c r="Q633" s="18"/>
      <c r="R633" s="18"/>
      <c r="T633">
        <v>2009033</v>
      </c>
      <c r="U633" t="s">
        <v>71</v>
      </c>
      <c r="V633">
        <v>6.8779999999999994E-2</v>
      </c>
      <c r="W633">
        <v>0.38857999999999998</v>
      </c>
      <c r="X633">
        <v>2.615E-2</v>
      </c>
      <c r="Y633">
        <v>1.3055699999999999</v>
      </c>
      <c r="Z633">
        <v>12.18854</v>
      </c>
      <c r="AA633">
        <v>8.2722999999999995</v>
      </c>
      <c r="AB633">
        <v>-1.6364700000000001</v>
      </c>
      <c r="AC633" s="23">
        <v>6.318E-2</v>
      </c>
      <c r="AD633" s="23">
        <v>0.39101000000000002</v>
      </c>
      <c r="AE633" s="23">
        <v>2.3970000000000002E-2</v>
      </c>
      <c r="AF633" s="23">
        <v>1.3523499999999999</v>
      </c>
      <c r="AG633" s="23">
        <v>14.921569999999999</v>
      </c>
      <c r="AH633" s="23">
        <v>8.6114700000000006</v>
      </c>
      <c r="AI633" s="23">
        <v>-1.2715099999999999</v>
      </c>
      <c r="AJ633" s="25">
        <v>0.6217320833333333</v>
      </c>
      <c r="AK633" s="25">
        <v>0.39046232782677287</v>
      </c>
      <c r="AL633" s="25">
        <v>0.21847888622544887</v>
      </c>
      <c r="AM633" s="25">
        <v>0.10439804050334173</v>
      </c>
      <c r="AN633" s="24">
        <v>1.6152748312590517</v>
      </c>
      <c r="AO633" s="23">
        <v>-99</v>
      </c>
    </row>
    <row r="634" spans="1:41" ht="51.75" x14ac:dyDescent="0.25">
      <c r="A634" s="14" t="s">
        <v>21</v>
      </c>
      <c r="B634" s="9" t="s">
        <v>20</v>
      </c>
      <c r="C634" s="13" t="s">
        <v>19</v>
      </c>
      <c r="D634" s="12" t="s">
        <v>18</v>
      </c>
      <c r="E634" s="11" t="s">
        <v>17</v>
      </c>
      <c r="F634" s="11" t="s">
        <v>16</v>
      </c>
      <c r="G634" s="11" t="s">
        <v>15</v>
      </c>
      <c r="H634" s="11" t="s">
        <v>14</v>
      </c>
      <c r="I634" s="11" t="s">
        <v>13</v>
      </c>
      <c r="J634" s="11" t="s">
        <v>12</v>
      </c>
      <c r="K634" s="11" t="s">
        <v>11</v>
      </c>
      <c r="L634" s="11" t="s">
        <v>10</v>
      </c>
      <c r="M634" s="10" t="s">
        <v>9</v>
      </c>
      <c r="N634" s="10" t="s">
        <v>8</v>
      </c>
      <c r="O634" s="10" t="s">
        <v>7</v>
      </c>
      <c r="P634" s="9" t="s">
        <v>6</v>
      </c>
      <c r="Q634" s="21" t="s">
        <v>5</v>
      </c>
      <c r="R634" s="20"/>
      <c r="T634">
        <v>2009033</v>
      </c>
      <c r="U634" t="s">
        <v>70</v>
      </c>
      <c r="V634">
        <v>7.1389999999999995E-2</v>
      </c>
      <c r="W634">
        <v>0.39221</v>
      </c>
      <c r="X634">
        <v>2.5649999999999999E-2</v>
      </c>
      <c r="Y634">
        <v>1.2969900000000001</v>
      </c>
      <c r="Z634">
        <v>10.809100000000001</v>
      </c>
      <c r="AA634">
        <v>7.7801900000000002</v>
      </c>
      <c r="AB634">
        <v>-1.68865</v>
      </c>
      <c r="AC634" s="23">
        <v>6.25E-2</v>
      </c>
      <c r="AD634" s="23">
        <v>0.38619999999999999</v>
      </c>
      <c r="AE634" s="23">
        <v>2.6550000000000001E-2</v>
      </c>
      <c r="AF634" s="23">
        <v>1.3376600000000001</v>
      </c>
      <c r="AG634" s="23">
        <v>16.524799999999999</v>
      </c>
      <c r="AH634" s="23">
        <v>9.5672999999999995</v>
      </c>
      <c r="AI634" s="23">
        <v>-1.4242999999999999</v>
      </c>
      <c r="AJ634" s="25">
        <v>0.68853333333333333</v>
      </c>
      <c r="AK634" s="25">
        <v>0.38556598808547432</v>
      </c>
      <c r="AL634" s="25">
        <v>0.21552400647784722</v>
      </c>
      <c r="AM634" s="25">
        <v>0.1053684365997751</v>
      </c>
      <c r="AN634" s="24">
        <v>1.6282501315734932</v>
      </c>
      <c r="AO634" s="23">
        <v>-99</v>
      </c>
    </row>
    <row r="635" spans="1:41" x14ac:dyDescent="0.25">
      <c r="C635" s="16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1"/>
      <c r="Q635" s="5" t="s">
        <v>4</v>
      </c>
      <c r="R635" s="5" t="s">
        <v>3</v>
      </c>
      <c r="T635">
        <v>2009033</v>
      </c>
      <c r="U635" t="s">
        <v>69</v>
      </c>
      <c r="V635">
        <v>6.6299999999999998E-2</v>
      </c>
      <c r="W635">
        <v>0.38751000000000002</v>
      </c>
      <c r="X635">
        <v>2.6190000000000001E-2</v>
      </c>
      <c r="Y635">
        <v>1.31948</v>
      </c>
      <c r="Z635">
        <v>13.607670000000001</v>
      </c>
      <c r="AA635">
        <v>8.7265499999999996</v>
      </c>
      <c r="AB635">
        <v>-1.53599</v>
      </c>
      <c r="AC635" s="23">
        <v>5.6250000000000001E-2</v>
      </c>
      <c r="AD635" s="23">
        <v>0.38390999999999997</v>
      </c>
      <c r="AE635" s="23">
        <v>2.8309999999999998E-2</v>
      </c>
      <c r="AF635" s="23">
        <v>1.36104</v>
      </c>
      <c r="AG635" s="23">
        <v>23.1736</v>
      </c>
      <c r="AH635" s="23">
        <v>11.608169999999999</v>
      </c>
      <c r="AI635" s="23">
        <v>-1.3234699999999999</v>
      </c>
      <c r="AJ635" s="25">
        <v>0.96556666666666668</v>
      </c>
      <c r="AK635" s="25">
        <v>0.38323392360739506</v>
      </c>
      <c r="AL635" s="25">
        <v>0.20023590565291929</v>
      </c>
      <c r="AM635" s="25">
        <v>9.3111121995649582E-2</v>
      </c>
      <c r="AN635" s="24">
        <v>1.6344301024404031</v>
      </c>
      <c r="AO635" s="23">
        <v>-99</v>
      </c>
    </row>
    <row r="636" spans="1:41" x14ac:dyDescent="0.25">
      <c r="A636" s="4">
        <v>111</v>
      </c>
      <c r="B636">
        <v>30</v>
      </c>
      <c r="C636" s="16">
        <v>50</v>
      </c>
      <c r="D636">
        <v>20</v>
      </c>
      <c r="E636" s="3">
        <v>25.5</v>
      </c>
      <c r="F636" s="3">
        <f>1.8*E636+32</f>
        <v>77.900000000000006</v>
      </c>
      <c r="G636" s="3">
        <v>17</v>
      </c>
      <c r="H636" s="3">
        <f>IF(F636&gt;68,G636+(F636-68)*0.2,G783-(68-F636)*0.2)</f>
        <v>18.98</v>
      </c>
      <c r="I636" s="3">
        <v>22.5</v>
      </c>
      <c r="J636" s="3">
        <f>1.8*I636+32</f>
        <v>72.5</v>
      </c>
      <c r="K636" s="3">
        <v>8</v>
      </c>
      <c r="L636" s="3">
        <f>IF(J636&gt;68,K636+(J636-68)*0.2,K636-(68-J636)*0.2)</f>
        <v>8.9</v>
      </c>
      <c r="M636" s="3">
        <f>(C636-H636)/C636*100</f>
        <v>62.039999999999992</v>
      </c>
      <c r="N636" s="3">
        <f>100-(M636+O636)</f>
        <v>20.160000000000011</v>
      </c>
      <c r="O636" s="3">
        <f>L636/C636*100</f>
        <v>17.8</v>
      </c>
      <c r="P636" s="1" t="s">
        <v>0</v>
      </c>
      <c r="Q636" s="15">
        <v>407448.22</v>
      </c>
      <c r="R636" s="15">
        <v>3659870</v>
      </c>
      <c r="T636">
        <v>2009033</v>
      </c>
      <c r="U636" t="s">
        <v>68</v>
      </c>
      <c r="V636">
        <v>6.318E-2</v>
      </c>
      <c r="W636">
        <v>0.39101000000000002</v>
      </c>
      <c r="X636">
        <v>2.3970000000000002E-2</v>
      </c>
      <c r="Y636">
        <v>1.3523499999999999</v>
      </c>
      <c r="Z636">
        <v>14.921569999999999</v>
      </c>
      <c r="AA636">
        <v>8.6114700000000006</v>
      </c>
      <c r="AB636">
        <v>-1.2715099999999999</v>
      </c>
      <c r="AC636" s="23">
        <v>5.5969999999999999E-2</v>
      </c>
      <c r="AD636" s="23">
        <v>0.37624000000000002</v>
      </c>
      <c r="AE636" s="23">
        <v>3.0360000000000002E-2</v>
      </c>
      <c r="AF636" s="23">
        <v>1.4006400000000001</v>
      </c>
      <c r="AG636" s="23">
        <v>30.58351</v>
      </c>
      <c r="AH636" s="23">
        <v>12.90854</v>
      </c>
      <c r="AI636" s="23">
        <v>-1.2792300000000001</v>
      </c>
      <c r="AJ636" s="25">
        <v>1.2743129166666667</v>
      </c>
      <c r="AK636" s="25">
        <v>0.37555748609605061</v>
      </c>
      <c r="AL636" s="25">
        <v>0.18134310263045816</v>
      </c>
      <c r="AM636" s="25">
        <v>8.3539836881349708E-2</v>
      </c>
      <c r="AN636" s="24">
        <v>1.6547726618454657</v>
      </c>
      <c r="AO636" s="23">
        <v>-99</v>
      </c>
    </row>
    <row r="637" spans="1:41" x14ac:dyDescent="0.25">
      <c r="A637" s="4">
        <v>111</v>
      </c>
      <c r="B637">
        <v>60</v>
      </c>
      <c r="C637" s="16">
        <v>50</v>
      </c>
      <c r="D637">
        <v>20</v>
      </c>
      <c r="E637" s="3">
        <v>25.5</v>
      </c>
      <c r="F637" s="3">
        <f>1.8*E637+32</f>
        <v>77.900000000000006</v>
      </c>
      <c r="G637" s="3">
        <v>17</v>
      </c>
      <c r="H637" s="3">
        <f>IF(F637&gt;68,G637+(F637-68)*0.2,G784-(68-F637)*0.2)</f>
        <v>18.98</v>
      </c>
      <c r="I637" s="3">
        <v>22.5</v>
      </c>
      <c r="J637" s="3">
        <f>1.8*I637+32</f>
        <v>72.5</v>
      </c>
      <c r="K637" s="3">
        <v>9</v>
      </c>
      <c r="L637" s="3">
        <f>IF(J637&gt;68,K637+(J637-68)*0.2,K637-(68-J637)*0.2)</f>
        <v>9.9</v>
      </c>
      <c r="M637" s="3">
        <f>(C637-H637)/C637*100</f>
        <v>62.039999999999992</v>
      </c>
      <c r="N637" s="3">
        <f>100-(M637+O637)</f>
        <v>18.160000000000011</v>
      </c>
      <c r="O637" s="3">
        <f>L637/C637*100</f>
        <v>19.8</v>
      </c>
      <c r="P637" s="1" t="s">
        <v>0</v>
      </c>
      <c r="Q637" s="15">
        <v>407448.22</v>
      </c>
      <c r="R637" s="15">
        <v>3659870</v>
      </c>
      <c r="T637">
        <v>2009033</v>
      </c>
      <c r="U637" t="s">
        <v>67</v>
      </c>
      <c r="V637">
        <v>6.25E-2</v>
      </c>
      <c r="W637">
        <v>0.38619999999999999</v>
      </c>
      <c r="X637">
        <v>2.6550000000000001E-2</v>
      </c>
      <c r="Y637">
        <v>1.3376600000000001</v>
      </c>
      <c r="Z637">
        <v>16.524799999999999</v>
      </c>
      <c r="AA637">
        <v>9.5672999999999995</v>
      </c>
      <c r="AB637">
        <v>-1.4242999999999999</v>
      </c>
      <c r="AC637" s="23">
        <v>5.3339999999999999E-2</v>
      </c>
      <c r="AD637" s="23">
        <v>0.37613000000000002</v>
      </c>
      <c r="AE637" s="23">
        <v>3.1530000000000002E-2</v>
      </c>
      <c r="AF637" s="23">
        <v>1.47095</v>
      </c>
      <c r="AG637" s="23">
        <v>44.326479999999997</v>
      </c>
      <c r="AH637" s="23">
        <v>15.14983</v>
      </c>
      <c r="AI637" s="23">
        <v>-1.13602</v>
      </c>
      <c r="AJ637" s="25">
        <v>1.8469366666666664</v>
      </c>
      <c r="AK637" s="25">
        <v>0.37549287401668485</v>
      </c>
      <c r="AL637" s="25">
        <v>0.15894692275322445</v>
      </c>
      <c r="AM637" s="25">
        <v>7.1090053764758646E-2</v>
      </c>
      <c r="AN637" s="24">
        <v>1.6549438838557851</v>
      </c>
      <c r="AO637" s="23">
        <v>-99</v>
      </c>
    </row>
    <row r="638" spans="1:41" x14ac:dyDescent="0.25">
      <c r="A638" s="4">
        <v>111</v>
      </c>
      <c r="B638">
        <v>90</v>
      </c>
      <c r="C638" s="16">
        <v>50</v>
      </c>
      <c r="D638">
        <v>20</v>
      </c>
      <c r="E638" s="3">
        <v>24.5</v>
      </c>
      <c r="F638" s="3">
        <f>1.8*E638+32</f>
        <v>76.099999999999994</v>
      </c>
      <c r="G638" s="3">
        <v>15</v>
      </c>
      <c r="H638" s="3">
        <f>IF(F638&gt;68,G638+(F638-68)*0.2,G785-(68-F638)*0.2)</f>
        <v>16.619999999999997</v>
      </c>
      <c r="I638" s="3">
        <v>23</v>
      </c>
      <c r="J638" s="3">
        <f>1.8*I638+32</f>
        <v>73.400000000000006</v>
      </c>
      <c r="K638" s="3">
        <v>8</v>
      </c>
      <c r="L638" s="3">
        <f>IF(J638&gt;68,K638+(J638-68)*0.2,K638-(68-J638)*0.2)</f>
        <v>9.0800000000000018</v>
      </c>
      <c r="M638" s="3">
        <f>(C638-H638)/C638*100</f>
        <v>66.760000000000005</v>
      </c>
      <c r="N638" s="3">
        <f>100-(M638+O638)</f>
        <v>15.079999999999984</v>
      </c>
      <c r="O638" s="3">
        <f>L638/C638*100</f>
        <v>18.160000000000004</v>
      </c>
      <c r="P638" s="1" t="s">
        <v>0</v>
      </c>
      <c r="Q638" s="15">
        <v>407448.22</v>
      </c>
      <c r="R638" s="15">
        <v>3659870</v>
      </c>
      <c r="S638" s="1"/>
      <c r="T638">
        <v>2009033</v>
      </c>
      <c r="U638" t="s">
        <v>66</v>
      </c>
      <c r="V638">
        <v>5.6250000000000001E-2</v>
      </c>
      <c r="W638">
        <v>0.38390999999999997</v>
      </c>
      <c r="X638">
        <v>2.8309999999999998E-2</v>
      </c>
      <c r="Y638">
        <v>1.36104</v>
      </c>
      <c r="Z638">
        <v>23.1736</v>
      </c>
      <c r="AA638">
        <v>11.608169999999999</v>
      </c>
      <c r="AB638">
        <v>-1.3234699999999999</v>
      </c>
      <c r="AC638" s="23">
        <v>5.289E-2</v>
      </c>
      <c r="AD638" s="23">
        <v>0.38429000000000002</v>
      </c>
      <c r="AE638" s="23">
        <v>2.8709999999999999E-2</v>
      </c>
      <c r="AF638" s="23">
        <v>1.3737600000000001</v>
      </c>
      <c r="AG638" s="23">
        <v>26.76576</v>
      </c>
      <c r="AH638" s="23">
        <v>12.626390000000001</v>
      </c>
      <c r="AI638" s="23">
        <v>-1.25291</v>
      </c>
      <c r="AJ638" s="25">
        <v>1.11524</v>
      </c>
      <c r="AK638" s="25">
        <v>0.38360664638957354</v>
      </c>
      <c r="AL638" s="25">
        <v>0.19371834354239623</v>
      </c>
      <c r="AM638" s="25">
        <v>8.7229480461631148E-2</v>
      </c>
      <c r="AN638" s="24">
        <v>1.63344238706763</v>
      </c>
      <c r="AO638" s="23">
        <v>-99</v>
      </c>
    </row>
    <row r="639" spans="1:41" x14ac:dyDescent="0.25">
      <c r="A639" s="4">
        <v>111</v>
      </c>
      <c r="B639">
        <v>120</v>
      </c>
      <c r="C639" s="16">
        <v>50</v>
      </c>
      <c r="D639">
        <v>20</v>
      </c>
      <c r="E639" s="3">
        <v>25</v>
      </c>
      <c r="F639" s="3">
        <f>1.8*E639+32</f>
        <v>77</v>
      </c>
      <c r="G639" s="3">
        <v>14</v>
      </c>
      <c r="H639" s="3">
        <f>IF(F639&gt;68,G639+(F639-68)*0.2,G787-(68-F639)*0.2)</f>
        <v>15.8</v>
      </c>
      <c r="I639" s="3">
        <v>23</v>
      </c>
      <c r="J639" s="3">
        <f>1.8*I639+32</f>
        <v>73.400000000000006</v>
      </c>
      <c r="K639" s="3">
        <v>7</v>
      </c>
      <c r="L639" s="3">
        <f>IF(J639&gt;68,K639+(J639-68)*0.2,K639-(68-J639)*0.2)</f>
        <v>8.0800000000000018</v>
      </c>
      <c r="M639" s="3">
        <f>(C639-H639)/C639*100</f>
        <v>68.400000000000006</v>
      </c>
      <c r="N639" s="3">
        <f>100-(M639+O639)</f>
        <v>15.439999999999998</v>
      </c>
      <c r="O639" s="3">
        <f>L639/C639*100</f>
        <v>16.160000000000004</v>
      </c>
      <c r="P639" s="1" t="s">
        <v>0</v>
      </c>
      <c r="Q639" s="15">
        <v>407448.22</v>
      </c>
      <c r="R639" s="15">
        <v>3659870</v>
      </c>
      <c r="S639" s="1"/>
      <c r="T639">
        <v>2009033</v>
      </c>
      <c r="U639" t="s">
        <v>65</v>
      </c>
      <c r="V639">
        <v>5.5969999999999999E-2</v>
      </c>
      <c r="W639">
        <v>0.37624000000000002</v>
      </c>
      <c r="X639">
        <v>3.0360000000000002E-2</v>
      </c>
      <c r="Y639">
        <v>1.4006400000000001</v>
      </c>
      <c r="Z639">
        <v>30.58351</v>
      </c>
      <c r="AA639">
        <v>12.90854</v>
      </c>
      <c r="AB639">
        <v>-1.2792300000000001</v>
      </c>
      <c r="AC639" s="23">
        <v>7.757E-2</v>
      </c>
      <c r="AD639" s="23">
        <v>0.41060999999999998</v>
      </c>
      <c r="AE639" s="23">
        <v>2.1420000000000002E-2</v>
      </c>
      <c r="AF639" s="23">
        <v>1.3126500000000001</v>
      </c>
      <c r="AG639" s="23">
        <v>6.8131399999999998</v>
      </c>
      <c r="AH639" s="23">
        <v>6.1247199999999999</v>
      </c>
      <c r="AI639" s="23">
        <v>-1.43005</v>
      </c>
      <c r="AJ639" s="25">
        <v>0.2838808333333333</v>
      </c>
      <c r="AK639" s="25">
        <v>0.41010110387388488</v>
      </c>
      <c r="AL639" s="25">
        <v>0.25464639505753162</v>
      </c>
      <c r="AM639" s="25">
        <v>0.13235451320972594</v>
      </c>
      <c r="AN639" s="24">
        <v>1.563232074734205</v>
      </c>
      <c r="AO639" s="23">
        <v>-99</v>
      </c>
    </row>
    <row r="640" spans="1:41" x14ac:dyDescent="0.25">
      <c r="A640" s="4">
        <v>111</v>
      </c>
      <c r="B640">
        <v>150</v>
      </c>
      <c r="C640" s="16">
        <v>50</v>
      </c>
      <c r="D640">
        <v>20</v>
      </c>
      <c r="E640" s="3">
        <v>26</v>
      </c>
      <c r="F640" s="3">
        <f>1.8*E640+32</f>
        <v>78.800000000000011</v>
      </c>
      <c r="G640" s="3">
        <v>15</v>
      </c>
      <c r="H640" s="3">
        <f>IF(F640&gt;68,G640+(F640-68)*0.2,G788-(68-F640)*0.2)</f>
        <v>17.160000000000004</v>
      </c>
      <c r="I640" s="3">
        <v>23</v>
      </c>
      <c r="J640" s="3">
        <f>1.8*I640+32</f>
        <v>73.400000000000006</v>
      </c>
      <c r="K640" s="3">
        <v>8</v>
      </c>
      <c r="L640" s="3">
        <f>IF(J640&gt;68,K640+(J640-68)*0.2,K640-(68-J640)*0.2)</f>
        <v>9.0800000000000018</v>
      </c>
      <c r="M640" s="3">
        <f>(C640-H640)/C640*100</f>
        <v>65.679999999999993</v>
      </c>
      <c r="N640" s="3">
        <f>100-(M640+O640)</f>
        <v>16.159999999999997</v>
      </c>
      <c r="O640" s="3">
        <f>L640/C640*100</f>
        <v>18.160000000000004</v>
      </c>
      <c r="P640" s="1" t="s">
        <v>0</v>
      </c>
      <c r="Q640" s="15">
        <v>407448.22</v>
      </c>
      <c r="R640" s="15">
        <v>3659870</v>
      </c>
      <c r="S640" s="1"/>
      <c r="T640">
        <v>2009033</v>
      </c>
      <c r="U640" t="s">
        <v>64</v>
      </c>
      <c r="V640">
        <v>5.3339999999999999E-2</v>
      </c>
      <c r="W640">
        <v>0.37613000000000002</v>
      </c>
      <c r="X640">
        <v>3.1530000000000002E-2</v>
      </c>
      <c r="Y640">
        <v>1.47095</v>
      </c>
      <c r="Z640">
        <v>44.326479999999997</v>
      </c>
      <c r="AA640">
        <v>15.14983</v>
      </c>
      <c r="AB640">
        <v>-1.13602</v>
      </c>
      <c r="AC640" s="23">
        <v>6.8089999999999998E-2</v>
      </c>
      <c r="AD640" s="23">
        <v>0.38623000000000002</v>
      </c>
      <c r="AE640" s="23">
        <v>2.6689999999999998E-2</v>
      </c>
      <c r="AF640" s="23">
        <v>1.3034300000000001</v>
      </c>
      <c r="AG640" s="23">
        <v>12.84891</v>
      </c>
      <c r="AH640" s="23">
        <v>8.4708799999999993</v>
      </c>
      <c r="AI640" s="23">
        <v>-1.6696500000000001</v>
      </c>
      <c r="AJ640" s="25">
        <v>0.53537124999999997</v>
      </c>
      <c r="AK640" s="25">
        <v>0.38557525197511772</v>
      </c>
      <c r="AL640" s="25">
        <v>0.22990821770780712</v>
      </c>
      <c r="AM640" s="25">
        <v>0.11972200362392441</v>
      </c>
      <c r="AN640" s="24">
        <v>1.6282255822659382</v>
      </c>
      <c r="AO640" s="23">
        <v>-99</v>
      </c>
    </row>
    <row r="641" spans="1:41" x14ac:dyDescent="0.25">
      <c r="A641" s="4">
        <v>111</v>
      </c>
      <c r="B641">
        <v>180</v>
      </c>
      <c r="C641" s="16">
        <v>50</v>
      </c>
      <c r="D641">
        <v>20</v>
      </c>
      <c r="E641" s="3">
        <v>25</v>
      </c>
      <c r="F641" s="3">
        <f>1.8*E641+32</f>
        <v>77</v>
      </c>
      <c r="G641" s="3">
        <v>16</v>
      </c>
      <c r="H641" s="3">
        <f>IF(F641&gt;68,G641+(F641-68)*0.2,G789-(68-F641)*0.2)</f>
        <v>17.8</v>
      </c>
      <c r="I641" s="3">
        <v>23</v>
      </c>
      <c r="J641" s="3">
        <f>1.8*I641+32</f>
        <v>73.400000000000006</v>
      </c>
      <c r="K641" s="3">
        <v>8</v>
      </c>
      <c r="L641" s="3">
        <f>IF(J641&gt;68,K641+(J641-68)*0.2,K641-(68-J641)*0.2)</f>
        <v>9.0800000000000018</v>
      </c>
      <c r="M641" s="3">
        <f>(C641-H641)/C641*100</f>
        <v>64.400000000000006</v>
      </c>
      <c r="N641" s="3">
        <f>100-(M641+O641)</f>
        <v>17.439999999999998</v>
      </c>
      <c r="O641" s="3">
        <f>L641/C641*100</f>
        <v>18.160000000000004</v>
      </c>
      <c r="P641" s="1" t="s">
        <v>0</v>
      </c>
      <c r="Q641" s="15">
        <v>407448.22</v>
      </c>
      <c r="R641" s="15">
        <v>3659870</v>
      </c>
      <c r="S641" s="1"/>
      <c r="T641">
        <v>2009033</v>
      </c>
      <c r="U641" t="s">
        <v>63</v>
      </c>
      <c r="V641">
        <v>5.289E-2</v>
      </c>
      <c r="W641">
        <v>0.38429000000000002</v>
      </c>
      <c r="X641">
        <v>2.8709999999999999E-2</v>
      </c>
      <c r="Y641">
        <v>1.3737600000000001</v>
      </c>
      <c r="Z641">
        <v>26.76576</v>
      </c>
      <c r="AA641">
        <v>12.626390000000001</v>
      </c>
      <c r="AB641">
        <v>-1.25291</v>
      </c>
      <c r="AC641" s="23">
        <v>5.4010000000000002E-2</v>
      </c>
      <c r="AD641" s="23">
        <v>0.38067000000000001</v>
      </c>
      <c r="AE641" s="23">
        <v>3.0700000000000002E-2</v>
      </c>
      <c r="AF641" s="23">
        <v>1.37738</v>
      </c>
      <c r="AG641" s="23">
        <v>28.83333</v>
      </c>
      <c r="AH641" s="23">
        <v>13.37265</v>
      </c>
      <c r="AI641" s="23">
        <v>-1.3164899999999999</v>
      </c>
      <c r="AJ641" s="25">
        <v>1.20138875</v>
      </c>
      <c r="AK641" s="25">
        <v>0.3799358870167921</v>
      </c>
      <c r="AL641" s="25">
        <v>0.18839617894133115</v>
      </c>
      <c r="AM641" s="25">
        <v>8.6296489021551848E-2</v>
      </c>
      <c r="AN641" s="24">
        <v>1.6431698994055008</v>
      </c>
      <c r="AO641" s="23">
        <v>-99</v>
      </c>
    </row>
    <row r="642" spans="1:41" x14ac:dyDescent="0.25">
      <c r="Q642" s="18"/>
      <c r="R642" s="18"/>
      <c r="T642">
        <v>2009033</v>
      </c>
      <c r="U642" t="s">
        <v>62</v>
      </c>
      <c r="V642">
        <v>7.757E-2</v>
      </c>
      <c r="W642">
        <v>0.41060999999999998</v>
      </c>
      <c r="X642">
        <v>2.1420000000000002E-2</v>
      </c>
      <c r="Y642">
        <v>1.3126500000000001</v>
      </c>
      <c r="Z642">
        <v>6.8131399999999998</v>
      </c>
      <c r="AA642">
        <v>6.1247199999999999</v>
      </c>
      <c r="AB642">
        <v>-1.43005</v>
      </c>
      <c r="AC642" s="23">
        <v>5.6989999999999999E-2</v>
      </c>
      <c r="AD642" s="23">
        <v>0.38118000000000002</v>
      </c>
      <c r="AE642" s="23">
        <v>2.9409999999999999E-2</v>
      </c>
      <c r="AF642" s="23">
        <v>1.35853</v>
      </c>
      <c r="AG642" s="23">
        <v>23.75291</v>
      </c>
      <c r="AH642" s="23">
        <v>11.876139999999999</v>
      </c>
      <c r="AI642" s="23">
        <v>-1.3800699999999999</v>
      </c>
      <c r="AJ642" s="25">
        <v>0.98970458333333333</v>
      </c>
      <c r="AK642" s="25">
        <v>0.38047304950103422</v>
      </c>
      <c r="AL642" s="25">
        <v>0.19839564006834526</v>
      </c>
      <c r="AM642" s="25">
        <v>9.3516396011183084E-2</v>
      </c>
      <c r="AN642" s="24">
        <v>1.6417464188222592</v>
      </c>
      <c r="AO642" s="23">
        <v>-99</v>
      </c>
    </row>
    <row r="643" spans="1:41" ht="51.75" x14ac:dyDescent="0.25">
      <c r="A643" s="14" t="s">
        <v>21</v>
      </c>
      <c r="B643" s="9" t="s">
        <v>20</v>
      </c>
      <c r="C643" s="13" t="s">
        <v>19</v>
      </c>
      <c r="D643" s="12" t="s">
        <v>18</v>
      </c>
      <c r="E643" s="11" t="s">
        <v>17</v>
      </c>
      <c r="F643" s="11" t="s">
        <v>16</v>
      </c>
      <c r="G643" s="11" t="s">
        <v>15</v>
      </c>
      <c r="H643" s="11" t="s">
        <v>14</v>
      </c>
      <c r="I643" s="11" t="s">
        <v>13</v>
      </c>
      <c r="J643" s="11" t="s">
        <v>12</v>
      </c>
      <c r="K643" s="11" t="s">
        <v>11</v>
      </c>
      <c r="L643" s="11" t="s">
        <v>10</v>
      </c>
      <c r="M643" s="10" t="s">
        <v>9</v>
      </c>
      <c r="N643" s="10" t="s">
        <v>8</v>
      </c>
      <c r="O643" s="10" t="s">
        <v>7</v>
      </c>
      <c r="P643" s="9" t="s">
        <v>6</v>
      </c>
      <c r="Q643" s="21" t="s">
        <v>5</v>
      </c>
      <c r="R643" s="20"/>
      <c r="S643" s="6"/>
      <c r="T643">
        <v>2009033</v>
      </c>
      <c r="U643" t="s">
        <v>61</v>
      </c>
      <c r="V643">
        <v>6.8089999999999998E-2</v>
      </c>
      <c r="W643">
        <v>0.38623000000000002</v>
      </c>
      <c r="X643">
        <v>2.6689999999999998E-2</v>
      </c>
      <c r="Y643">
        <v>1.3034300000000001</v>
      </c>
      <c r="Z643">
        <v>12.84891</v>
      </c>
      <c r="AA643">
        <v>8.4708799999999993</v>
      </c>
      <c r="AB643">
        <v>-1.6696500000000001</v>
      </c>
      <c r="AC643" s="23">
        <v>4.8059999999999999E-2</v>
      </c>
      <c r="AD643" s="23">
        <v>0.38127</v>
      </c>
      <c r="AE643" s="23">
        <v>3.3860000000000001E-2</v>
      </c>
      <c r="AF643" s="23">
        <v>1.42892</v>
      </c>
      <c r="AG643" s="23">
        <v>42.747900000000001</v>
      </c>
      <c r="AH643" s="23">
        <v>17.619150000000001</v>
      </c>
      <c r="AI643" s="23">
        <v>-1.1821999999999999</v>
      </c>
      <c r="AJ643" s="25">
        <v>1.7811625</v>
      </c>
      <c r="AK643" s="25">
        <v>0.38048132727586992</v>
      </c>
      <c r="AL643" s="25">
        <v>0.16485132924440024</v>
      </c>
      <c r="AM643" s="25">
        <v>7.1081727155648172E-2</v>
      </c>
      <c r="AN643" s="24">
        <v>1.6417244827189446</v>
      </c>
      <c r="AO643" s="23">
        <v>-99</v>
      </c>
    </row>
    <row r="644" spans="1:41" x14ac:dyDescent="0.25"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1"/>
      <c r="Q644" s="5" t="s">
        <v>4</v>
      </c>
      <c r="R644" s="5" t="s">
        <v>3</v>
      </c>
      <c r="S644" s="1"/>
      <c r="T644">
        <v>2009033</v>
      </c>
      <c r="U644" t="s">
        <v>60</v>
      </c>
      <c r="V644">
        <v>5.4010000000000002E-2</v>
      </c>
      <c r="W644">
        <v>0.38067000000000001</v>
      </c>
      <c r="X644">
        <v>3.0700000000000002E-2</v>
      </c>
      <c r="Y644">
        <v>1.37738</v>
      </c>
      <c r="Z644">
        <v>28.83333</v>
      </c>
      <c r="AA644">
        <v>13.37265</v>
      </c>
      <c r="AB644">
        <v>-1.3164899999999999</v>
      </c>
      <c r="AC644" s="23">
        <v>6.5689999999999998E-2</v>
      </c>
      <c r="AD644" s="23">
        <v>0.3861</v>
      </c>
      <c r="AE644" s="23">
        <v>2.6610000000000002E-2</v>
      </c>
      <c r="AF644" s="23">
        <v>1.3191600000000001</v>
      </c>
      <c r="AG644" s="23">
        <v>14.181229999999999</v>
      </c>
      <c r="AH644" s="23">
        <v>8.9326699999999999</v>
      </c>
      <c r="AI644" s="23">
        <v>-1.5501199999999999</v>
      </c>
      <c r="AJ644" s="25">
        <v>0.59088458333333327</v>
      </c>
      <c r="AK644" s="25">
        <v>0.38545501150934636</v>
      </c>
      <c r="AL644" s="25">
        <v>0.22328971641760614</v>
      </c>
      <c r="AM644" s="25">
        <v>0.11305838086979703</v>
      </c>
      <c r="AN644" s="24">
        <v>1.6285442195002322</v>
      </c>
      <c r="AO644" s="23">
        <v>-99</v>
      </c>
    </row>
    <row r="645" spans="1:41" x14ac:dyDescent="0.25">
      <c r="A645" s="4">
        <v>112</v>
      </c>
      <c r="B645">
        <v>30</v>
      </c>
      <c r="C645">
        <v>50</v>
      </c>
      <c r="D645">
        <v>20</v>
      </c>
      <c r="E645" s="3">
        <v>25</v>
      </c>
      <c r="F645" s="3">
        <f>1.8*E645+32</f>
        <v>77</v>
      </c>
      <c r="G645" s="3">
        <v>16</v>
      </c>
      <c r="H645" s="3">
        <f>IF(F645&gt;68,G645+(F645-68)*0.2,G793-(68-F645)*0.2)</f>
        <v>17.8</v>
      </c>
      <c r="I645" s="3">
        <v>22.5</v>
      </c>
      <c r="J645" s="3">
        <f>1.8*I645+32</f>
        <v>72.5</v>
      </c>
      <c r="K645" s="3">
        <v>7</v>
      </c>
      <c r="L645" s="3">
        <f>IF(J645&gt;67,K645+(J645-67)*0.2,K645-(67-J645)*0.2)</f>
        <v>8.1</v>
      </c>
      <c r="M645" s="3">
        <f>(C645-H645)/C645*100</f>
        <v>64.400000000000006</v>
      </c>
      <c r="N645" s="3">
        <f>100-(M645+O645)</f>
        <v>19.399999999999991</v>
      </c>
      <c r="O645" s="3">
        <f>L645/C645*100</f>
        <v>16.2</v>
      </c>
      <c r="P645" s="1" t="s">
        <v>0</v>
      </c>
      <c r="Q645" s="15">
        <v>407448.22</v>
      </c>
      <c r="R645" s="15">
        <v>3659896.5</v>
      </c>
      <c r="S645" s="1"/>
      <c r="T645">
        <v>2009033</v>
      </c>
      <c r="U645" t="s">
        <v>59</v>
      </c>
      <c r="V645">
        <v>5.6989999999999999E-2</v>
      </c>
      <c r="W645">
        <v>0.38118000000000002</v>
      </c>
      <c r="X645">
        <v>2.9409999999999999E-2</v>
      </c>
      <c r="Y645">
        <v>1.35853</v>
      </c>
      <c r="Z645">
        <v>23.75291</v>
      </c>
      <c r="AA645">
        <v>11.876139999999999</v>
      </c>
      <c r="AB645">
        <v>-1.3800699999999999</v>
      </c>
      <c r="AC645" s="23">
        <v>8.0750000000000002E-2</v>
      </c>
      <c r="AD645" s="23">
        <v>0.41510999999999998</v>
      </c>
      <c r="AE645" s="23">
        <v>2.2929999999999999E-2</v>
      </c>
      <c r="AF645" s="23">
        <v>1.28318</v>
      </c>
      <c r="AG645" s="23">
        <v>7.0064799999999998</v>
      </c>
      <c r="AH645" s="23">
        <v>6.2447900000000001</v>
      </c>
      <c r="AI645" s="23">
        <v>-1.6990000000000001</v>
      </c>
      <c r="AJ645" s="25">
        <v>0.29193666666666668</v>
      </c>
      <c r="AK645" s="25">
        <v>0.41453188665892188</v>
      </c>
      <c r="AL645" s="25">
        <v>0.26584673441211365</v>
      </c>
      <c r="AM645" s="25">
        <v>0.14470526194412453</v>
      </c>
      <c r="AN645" s="24">
        <v>1.551490500353857</v>
      </c>
      <c r="AO645" s="23">
        <v>-99</v>
      </c>
    </row>
    <row r="646" spans="1:41" x14ac:dyDescent="0.25">
      <c r="A646" s="4">
        <v>112</v>
      </c>
      <c r="B646">
        <v>60</v>
      </c>
      <c r="C646">
        <v>50</v>
      </c>
      <c r="D646">
        <v>20</v>
      </c>
      <c r="E646" s="3">
        <v>25</v>
      </c>
      <c r="F646" s="3">
        <f>1.8*E646+32</f>
        <v>77</v>
      </c>
      <c r="G646" s="3">
        <v>15</v>
      </c>
      <c r="H646" s="3">
        <f>IF(F646&gt;68,G646+(F646-68)*0.2,G794-(68-F646)*0.2)</f>
        <v>16.8</v>
      </c>
      <c r="I646" s="3">
        <v>22.5</v>
      </c>
      <c r="J646" s="3">
        <f>1.8*I646+32</f>
        <v>72.5</v>
      </c>
      <c r="K646" s="3">
        <v>8</v>
      </c>
      <c r="L646" s="3">
        <f>IF(J646&gt;67,K646+(J646-67)*0.2,K646-(67-J646)*0.2)</f>
        <v>9.1</v>
      </c>
      <c r="M646" s="3">
        <f>(C646-H646)/C646*100</f>
        <v>66.400000000000006</v>
      </c>
      <c r="N646" s="3">
        <f>100-(M646+O646)</f>
        <v>15.399999999999991</v>
      </c>
      <c r="O646" s="3">
        <f>L646/C646*100</f>
        <v>18.2</v>
      </c>
      <c r="P646" s="1" t="s">
        <v>0</v>
      </c>
      <c r="Q646" s="15">
        <v>407448.22</v>
      </c>
      <c r="R646" s="15">
        <v>3659896.5</v>
      </c>
      <c r="S646" s="1"/>
      <c r="T646">
        <v>2009033</v>
      </c>
      <c r="U646" t="s">
        <v>58</v>
      </c>
      <c r="V646">
        <v>4.8059999999999999E-2</v>
      </c>
      <c r="W646">
        <v>0.38127</v>
      </c>
      <c r="X646">
        <v>3.3860000000000001E-2</v>
      </c>
      <c r="Y646">
        <v>1.42892</v>
      </c>
      <c r="Z646">
        <v>42.747900000000001</v>
      </c>
      <c r="AA646">
        <v>17.619150000000001</v>
      </c>
      <c r="AB646">
        <v>-1.1821999999999999</v>
      </c>
      <c r="AC646" s="23">
        <v>7.7009999999999995E-2</v>
      </c>
      <c r="AD646" s="23">
        <v>0.39967999999999998</v>
      </c>
      <c r="AE646" s="23">
        <v>2.614E-2</v>
      </c>
      <c r="AF646" s="23">
        <v>1.2655099999999999</v>
      </c>
      <c r="AG646" s="23">
        <v>10.24788</v>
      </c>
      <c r="AH646" s="23">
        <v>7.1863000000000001</v>
      </c>
      <c r="AI646" s="23">
        <v>-1.9997100000000001</v>
      </c>
      <c r="AJ646" s="25">
        <v>0.42699500000000001</v>
      </c>
      <c r="AK646" s="25">
        <v>0.39901156376561742</v>
      </c>
      <c r="AL646" s="25">
        <v>0.25629144250247815</v>
      </c>
      <c r="AM646" s="25">
        <v>0.14310037306750084</v>
      </c>
      <c r="AN646" s="24">
        <v>1.5926193560211137</v>
      </c>
      <c r="AO646" s="23">
        <v>-99</v>
      </c>
    </row>
    <row r="647" spans="1:41" x14ac:dyDescent="0.25">
      <c r="A647" s="4">
        <v>112</v>
      </c>
      <c r="B647">
        <v>90</v>
      </c>
      <c r="C647">
        <v>50</v>
      </c>
      <c r="D647">
        <v>20</v>
      </c>
      <c r="E647" s="3">
        <v>25</v>
      </c>
      <c r="F647" s="3">
        <f>1.8*E647+32</f>
        <v>77</v>
      </c>
      <c r="G647" s="3">
        <v>12</v>
      </c>
      <c r="H647" s="3">
        <f>IF(F647&gt;68,G647+(F647-68)*0.2,G795-(68-F647)*0.2)</f>
        <v>13.8</v>
      </c>
      <c r="I647" s="3">
        <v>22.5</v>
      </c>
      <c r="J647" s="3">
        <f>1.8*I647+32</f>
        <v>72.5</v>
      </c>
      <c r="K647" s="3">
        <v>5</v>
      </c>
      <c r="L647" s="3">
        <f>IF(J647&gt;67,K647+(J647-67)*0.2,K647-(67-J647)*0.2)</f>
        <v>6.1</v>
      </c>
      <c r="M647" s="3">
        <f>(C647-H647)/C647*100</f>
        <v>72.400000000000006</v>
      </c>
      <c r="N647" s="3">
        <f>100-(M647+O647)</f>
        <v>15.399999999999991</v>
      </c>
      <c r="O647" s="3">
        <f>L647/C647*100</f>
        <v>12.2</v>
      </c>
      <c r="P647" s="1" t="s">
        <v>0</v>
      </c>
      <c r="Q647" s="15">
        <v>407448.22</v>
      </c>
      <c r="R647" s="15">
        <v>3659896.5</v>
      </c>
      <c r="S647" s="1"/>
      <c r="T647">
        <v>2009033</v>
      </c>
      <c r="U647" t="s">
        <v>57</v>
      </c>
      <c r="V647">
        <v>6.5689999999999998E-2</v>
      </c>
      <c r="W647">
        <v>0.3861</v>
      </c>
      <c r="X647">
        <v>2.6610000000000002E-2</v>
      </c>
      <c r="Y647">
        <v>1.3191600000000001</v>
      </c>
      <c r="Z647">
        <v>14.181229999999999</v>
      </c>
      <c r="AA647">
        <v>8.9326699999999999</v>
      </c>
      <c r="AB647">
        <v>-1.5501199999999999</v>
      </c>
      <c r="AC647" s="23">
        <v>6.9870000000000002E-2</v>
      </c>
      <c r="AD647" s="23">
        <v>0.38602999999999998</v>
      </c>
      <c r="AE647" s="23">
        <v>2.6870000000000002E-2</v>
      </c>
      <c r="AF647" s="23">
        <v>1.2896700000000001</v>
      </c>
      <c r="AG647" s="23">
        <v>12.387409999999999</v>
      </c>
      <c r="AH647" s="23">
        <v>8.1500900000000005</v>
      </c>
      <c r="AI647" s="23">
        <v>-1.7908299999999999</v>
      </c>
      <c r="AJ647" s="25">
        <v>0.51614208333333333</v>
      </c>
      <c r="AK647" s="25">
        <v>0.38536455916577428</v>
      </c>
      <c r="AL647" s="25">
        <v>0.23529864858712957</v>
      </c>
      <c r="AM647" s="25">
        <v>0.12548219502624589</v>
      </c>
      <c r="AN647" s="24">
        <v>1.628783918210698</v>
      </c>
      <c r="AO647" s="23">
        <v>-99</v>
      </c>
    </row>
    <row r="648" spans="1:41" x14ac:dyDescent="0.25">
      <c r="A648" s="4">
        <v>112</v>
      </c>
      <c r="B648">
        <v>120</v>
      </c>
      <c r="C648">
        <v>50</v>
      </c>
      <c r="D648">
        <v>20</v>
      </c>
      <c r="E648" s="3">
        <v>25</v>
      </c>
      <c r="F648" s="3">
        <f>1.8*E648+32</f>
        <v>77</v>
      </c>
      <c r="G648" s="3">
        <v>15</v>
      </c>
      <c r="H648" s="3">
        <f>IF(F648&gt;68,G648+(F648-68)*0.2,G796-(68-F648)*0.2)</f>
        <v>16.8</v>
      </c>
      <c r="I648" s="3">
        <v>22.5</v>
      </c>
      <c r="J648" s="3">
        <f>1.8*I648+32</f>
        <v>72.5</v>
      </c>
      <c r="K648" s="3">
        <v>7</v>
      </c>
      <c r="L648" s="3">
        <f>IF(J648&gt;67,K648+(J648-67)*0.2,K648-(67-J648)*0.2)</f>
        <v>8.1</v>
      </c>
      <c r="M648" s="3">
        <f>(C648-H648)/C648*100</f>
        <v>66.400000000000006</v>
      </c>
      <c r="N648" s="3">
        <f>100-(M648+O648)</f>
        <v>17.399999999999991</v>
      </c>
      <c r="O648" s="3">
        <f>L648/C648*100</f>
        <v>16.2</v>
      </c>
      <c r="P648" s="1" t="s">
        <v>0</v>
      </c>
      <c r="Q648" s="15">
        <v>407448.22</v>
      </c>
      <c r="R648" s="15">
        <v>3659896.5</v>
      </c>
      <c r="S648" s="1"/>
      <c r="T648">
        <v>2009033</v>
      </c>
      <c r="U648" t="s">
        <v>56</v>
      </c>
      <c r="V648">
        <v>8.0750000000000002E-2</v>
      </c>
      <c r="W648">
        <v>0.41510999999999998</v>
      </c>
      <c r="X648">
        <v>2.2929999999999999E-2</v>
      </c>
      <c r="Y648">
        <v>1.28318</v>
      </c>
      <c r="Z648">
        <v>7.0064799999999998</v>
      </c>
      <c r="AA648">
        <v>6.2447900000000001</v>
      </c>
      <c r="AB648">
        <v>-1.6990000000000001</v>
      </c>
      <c r="AC648" s="23">
        <v>6.5329999999999999E-2</v>
      </c>
      <c r="AD648" s="23">
        <v>0.37952999999999998</v>
      </c>
      <c r="AE648" s="23">
        <v>2.7640000000000001E-2</v>
      </c>
      <c r="AF648" s="23">
        <v>1.31047</v>
      </c>
      <c r="AG648" s="23">
        <v>15.19252</v>
      </c>
      <c r="AH648" s="23">
        <v>9.0683799999999994</v>
      </c>
      <c r="AI648" s="23">
        <v>-1.65252</v>
      </c>
      <c r="AJ648" s="25">
        <v>0.6330216666666667</v>
      </c>
      <c r="AK648" s="25">
        <v>0.37885848745826234</v>
      </c>
      <c r="AL648" s="25">
        <v>0.22108946123638148</v>
      </c>
      <c r="AM648" s="25">
        <v>0.11368847766243509</v>
      </c>
      <c r="AN648" s="24">
        <v>1.6460250082356047</v>
      </c>
      <c r="AO648" s="23">
        <v>-99</v>
      </c>
    </row>
    <row r="649" spans="1:41" x14ac:dyDescent="0.25">
      <c r="A649" s="4">
        <v>112</v>
      </c>
      <c r="B649">
        <v>150</v>
      </c>
      <c r="C649">
        <v>50</v>
      </c>
      <c r="D649">
        <v>20</v>
      </c>
      <c r="E649" s="3">
        <v>25</v>
      </c>
      <c r="F649" s="3">
        <f>1.8*E649+32</f>
        <v>77</v>
      </c>
      <c r="G649" s="3">
        <v>11</v>
      </c>
      <c r="H649" s="3">
        <f>IF(F649&gt;68,G649+(F649-68)*0.2,G797-(68-F649)*0.2)</f>
        <v>12.8</v>
      </c>
      <c r="I649" s="3">
        <v>22.5</v>
      </c>
      <c r="J649" s="3">
        <f>1.8*I649+32</f>
        <v>72.5</v>
      </c>
      <c r="K649" s="3">
        <v>4</v>
      </c>
      <c r="L649" s="3">
        <f>IF(J649&gt;67,K649+(J649-67)*0.2,K649-(67-J649)*0.2)</f>
        <v>5.0999999999999996</v>
      </c>
      <c r="M649" s="3">
        <f>(C649-H649)/C649*100</f>
        <v>74.400000000000006</v>
      </c>
      <c r="N649" s="3">
        <f>100-(M649+O649)</f>
        <v>15.399999999999991</v>
      </c>
      <c r="O649" s="3">
        <f>L649/C649*100</f>
        <v>10.199999999999999</v>
      </c>
      <c r="P649" s="1" t="s">
        <v>0</v>
      </c>
      <c r="Q649" s="15">
        <v>407448.22</v>
      </c>
      <c r="R649" s="15">
        <v>3659896.5</v>
      </c>
      <c r="S649" s="1"/>
      <c r="T649">
        <v>2009033</v>
      </c>
      <c r="U649" t="s">
        <v>55</v>
      </c>
      <c r="V649">
        <v>7.7009999999999995E-2</v>
      </c>
      <c r="W649">
        <v>0.39967999999999998</v>
      </c>
      <c r="X649">
        <v>2.614E-2</v>
      </c>
      <c r="Y649">
        <v>1.2655099999999999</v>
      </c>
      <c r="Z649">
        <v>10.24788</v>
      </c>
      <c r="AA649">
        <v>7.1863000000000001</v>
      </c>
      <c r="AB649">
        <v>-1.9997100000000001</v>
      </c>
      <c r="AC649" s="23">
        <v>4.897E-2</v>
      </c>
      <c r="AD649" s="23">
        <v>0.37956000000000001</v>
      </c>
      <c r="AE649" s="23">
        <v>3.4070000000000003E-2</v>
      </c>
      <c r="AF649" s="23">
        <v>1.47095</v>
      </c>
      <c r="AG649" s="23">
        <v>49.81109</v>
      </c>
      <c r="AH649" s="23">
        <v>18.20391</v>
      </c>
      <c r="AI649" s="23">
        <v>-1.12384</v>
      </c>
      <c r="AJ649" s="25">
        <v>2.0754620833333335</v>
      </c>
      <c r="AK649" s="25">
        <v>0.37882906837594382</v>
      </c>
      <c r="AL649" s="25">
        <v>0.15336342348439458</v>
      </c>
      <c r="AM649" s="25">
        <v>6.6497680672325157E-2</v>
      </c>
      <c r="AN649" s="24">
        <v>1.6461029688037487</v>
      </c>
      <c r="AO649" s="23">
        <v>-99</v>
      </c>
    </row>
    <row r="650" spans="1:41" x14ac:dyDescent="0.25">
      <c r="A650" s="4">
        <v>112</v>
      </c>
      <c r="B650">
        <v>180</v>
      </c>
      <c r="C650">
        <v>50</v>
      </c>
      <c r="D650">
        <v>20</v>
      </c>
      <c r="E650" s="3">
        <v>25</v>
      </c>
      <c r="F650" s="3">
        <f>1.8*E650+32</f>
        <v>77</v>
      </c>
      <c r="G650" s="3">
        <v>15</v>
      </c>
      <c r="H650" s="3">
        <f>IF(F650&gt;68,G650+(F650-68)*0.2,G798-(68-F650)*0.2)</f>
        <v>16.8</v>
      </c>
      <c r="I650" s="3">
        <v>22.5</v>
      </c>
      <c r="J650" s="3">
        <f>1.8*I650+32</f>
        <v>72.5</v>
      </c>
      <c r="K650" s="3">
        <v>12</v>
      </c>
      <c r="L650" s="3">
        <f>IF(J650&gt;67,K650+(J650-67)*0.2,K650-(67-J650)*0.2)</f>
        <v>13.1</v>
      </c>
      <c r="M650" s="3">
        <f>(C650-H650)/C650*100</f>
        <v>66.400000000000006</v>
      </c>
      <c r="N650" s="3">
        <f>100-(M650+O650)</f>
        <v>7.3999999999999915</v>
      </c>
      <c r="O650" s="3">
        <f>L650/C650*100</f>
        <v>26.200000000000003</v>
      </c>
      <c r="P650" s="1" t="s">
        <v>2</v>
      </c>
      <c r="Q650" s="15">
        <v>407448.22</v>
      </c>
      <c r="R650" s="15">
        <v>3659896.5</v>
      </c>
      <c r="S650" s="1"/>
      <c r="T650">
        <v>2009033</v>
      </c>
      <c r="U650" t="s">
        <v>54</v>
      </c>
      <c r="V650">
        <v>6.9870000000000002E-2</v>
      </c>
      <c r="W650">
        <v>0.38602999999999998</v>
      </c>
      <c r="X650">
        <v>2.6870000000000002E-2</v>
      </c>
      <c r="Y650">
        <v>1.2896700000000001</v>
      </c>
      <c r="Z650">
        <v>12.387409999999999</v>
      </c>
      <c r="AA650">
        <v>8.1500900000000005</v>
      </c>
      <c r="AB650">
        <v>-1.7908299999999999</v>
      </c>
      <c r="AC650" s="23">
        <v>5.3109999999999997E-2</v>
      </c>
      <c r="AD650" s="23">
        <v>0.38251000000000002</v>
      </c>
      <c r="AE650" s="23">
        <v>3.0099999999999998E-2</v>
      </c>
      <c r="AF650" s="23">
        <v>1.37503</v>
      </c>
      <c r="AG650" s="23">
        <v>28.288229999999999</v>
      </c>
      <c r="AH650" s="23">
        <v>13.283300000000001</v>
      </c>
      <c r="AI650" s="23">
        <v>-1.29301</v>
      </c>
      <c r="AJ650" s="25">
        <v>1.1786762499999999</v>
      </c>
      <c r="AK650" s="25">
        <v>0.38178684299879695</v>
      </c>
      <c r="AL650" s="25">
        <v>0.19033637906748413</v>
      </c>
      <c r="AM650" s="25">
        <v>8.6385209351004966E-2</v>
      </c>
      <c r="AN650" s="24">
        <v>1.638264866053188</v>
      </c>
      <c r="AO650" s="23">
        <v>-99</v>
      </c>
    </row>
    <row r="651" spans="1:41" x14ac:dyDescent="0.25">
      <c r="Q651" s="18"/>
      <c r="R651" s="18"/>
      <c r="T651">
        <v>2009033</v>
      </c>
      <c r="U651" t="s">
        <v>53</v>
      </c>
      <c r="V651">
        <v>6.5329999999999999E-2</v>
      </c>
      <c r="W651">
        <v>0.37952999999999998</v>
      </c>
      <c r="X651">
        <v>2.7640000000000001E-2</v>
      </c>
      <c r="Y651">
        <v>1.31047</v>
      </c>
      <c r="Z651">
        <v>15.19252</v>
      </c>
      <c r="AA651">
        <v>9.0683799999999994</v>
      </c>
      <c r="AB651">
        <v>-1.65252</v>
      </c>
      <c r="AC651" s="23">
        <v>7.6499999999999999E-2</v>
      </c>
      <c r="AD651" s="23">
        <v>0.40606999999999999</v>
      </c>
      <c r="AE651" s="23">
        <v>2.2790000000000001E-2</v>
      </c>
      <c r="AF651" s="23">
        <v>1.3032999999999999</v>
      </c>
      <c r="AG651" s="23">
        <v>7.6432900000000004</v>
      </c>
      <c r="AH651" s="23">
        <v>6.5688899999999997</v>
      </c>
      <c r="AI651" s="23">
        <v>-1.54362</v>
      </c>
      <c r="AJ651" s="25">
        <v>0.3184704166666667</v>
      </c>
      <c r="AK651" s="25">
        <v>0.4055172963317169</v>
      </c>
      <c r="AL651" s="25">
        <v>0.25189990998318645</v>
      </c>
      <c r="AM651" s="25">
        <v>0.13265455255899863</v>
      </c>
      <c r="AN651" s="24">
        <v>1.5753791647209503</v>
      </c>
      <c r="AO651" s="23">
        <v>-99</v>
      </c>
    </row>
    <row r="652" spans="1:41" ht="51.75" x14ac:dyDescent="0.25">
      <c r="A652" s="14" t="s">
        <v>21</v>
      </c>
      <c r="B652" s="9" t="s">
        <v>20</v>
      </c>
      <c r="C652" s="13" t="s">
        <v>19</v>
      </c>
      <c r="D652" s="12" t="s">
        <v>18</v>
      </c>
      <c r="E652" s="11" t="s">
        <v>17</v>
      </c>
      <c r="F652" s="11" t="s">
        <v>16</v>
      </c>
      <c r="G652" s="11" t="s">
        <v>15</v>
      </c>
      <c r="H652" s="11" t="s">
        <v>14</v>
      </c>
      <c r="I652" s="11" t="s">
        <v>13</v>
      </c>
      <c r="J652" s="11" t="s">
        <v>12</v>
      </c>
      <c r="K652" s="11" t="s">
        <v>11</v>
      </c>
      <c r="L652" s="11" t="s">
        <v>10</v>
      </c>
      <c r="M652" s="10" t="s">
        <v>9</v>
      </c>
      <c r="N652" s="10" t="s">
        <v>8</v>
      </c>
      <c r="O652" s="10" t="s">
        <v>7</v>
      </c>
      <c r="P652" s="9" t="s">
        <v>6</v>
      </c>
      <c r="Q652" s="21" t="s">
        <v>5</v>
      </c>
      <c r="R652" s="20"/>
      <c r="S652" s="6"/>
      <c r="T652">
        <v>2009033</v>
      </c>
      <c r="U652" t="s">
        <v>52</v>
      </c>
      <c r="V652">
        <v>4.897E-2</v>
      </c>
      <c r="W652">
        <v>0.37956000000000001</v>
      </c>
      <c r="X652">
        <v>3.4070000000000003E-2</v>
      </c>
      <c r="Y652">
        <v>1.47095</v>
      </c>
      <c r="Z652">
        <v>49.81109</v>
      </c>
      <c r="AA652">
        <v>18.20391</v>
      </c>
      <c r="AB652">
        <v>-1.12384</v>
      </c>
      <c r="AC652" s="23">
        <v>6.5189999999999998E-2</v>
      </c>
      <c r="AD652" s="23">
        <v>0.38618999999999998</v>
      </c>
      <c r="AE652" s="23">
        <v>2.657E-2</v>
      </c>
      <c r="AF652" s="23">
        <v>1.3224800000000001</v>
      </c>
      <c r="AG652" s="23">
        <v>14.50624</v>
      </c>
      <c r="AH652" s="23">
        <v>9.0247799999999998</v>
      </c>
      <c r="AI652" s="23">
        <v>-1.5258400000000001</v>
      </c>
      <c r="AJ652" s="25">
        <v>0.60442666666666667</v>
      </c>
      <c r="AK652" s="25">
        <v>0.38554777297876131</v>
      </c>
      <c r="AL652" s="25">
        <v>0.22201082985817713</v>
      </c>
      <c r="AM652" s="25">
        <v>0.11173390426566124</v>
      </c>
      <c r="AN652" s="24">
        <v>1.6282984016062825</v>
      </c>
      <c r="AO652" s="23">
        <v>-99</v>
      </c>
    </row>
    <row r="653" spans="1:41" x14ac:dyDescent="0.25"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1"/>
      <c r="Q653" s="5" t="s">
        <v>4</v>
      </c>
      <c r="R653" s="5" t="s">
        <v>3</v>
      </c>
      <c r="S653" s="1"/>
      <c r="T653">
        <v>2009033</v>
      </c>
      <c r="U653" t="s">
        <v>51</v>
      </c>
      <c r="V653">
        <v>5.3109999999999997E-2</v>
      </c>
      <c r="W653">
        <v>0.38251000000000002</v>
      </c>
      <c r="X653">
        <v>3.0099999999999998E-2</v>
      </c>
      <c r="Y653">
        <v>1.37503</v>
      </c>
      <c r="Z653">
        <v>28.288229999999999</v>
      </c>
      <c r="AA653">
        <v>13.283300000000001</v>
      </c>
      <c r="AB653">
        <v>-1.29301</v>
      </c>
      <c r="AC653" s="23">
        <v>4.7480000000000001E-2</v>
      </c>
      <c r="AD653" s="23">
        <v>0.38142999999999999</v>
      </c>
      <c r="AE653" s="23">
        <v>3.4229999999999997E-2</v>
      </c>
      <c r="AF653" s="23">
        <v>1.43557</v>
      </c>
      <c r="AG653" s="23">
        <v>44.436509999999998</v>
      </c>
      <c r="AH653" s="23">
        <v>18.168880000000001</v>
      </c>
      <c r="AI653" s="23">
        <v>-1.1684099999999999</v>
      </c>
      <c r="AJ653" s="25">
        <v>1.85152125</v>
      </c>
      <c r="AK653" s="25">
        <v>0.38063652460280978</v>
      </c>
      <c r="AL653" s="25">
        <v>0.16213768658477146</v>
      </c>
      <c r="AM653" s="25">
        <v>6.9511944765616576E-2</v>
      </c>
      <c r="AN653" s="24">
        <v>1.6413132098025538</v>
      </c>
      <c r="AO653" s="23">
        <v>-99</v>
      </c>
    </row>
    <row r="654" spans="1:41" x14ac:dyDescent="0.25">
      <c r="A654" s="4">
        <v>113</v>
      </c>
      <c r="B654">
        <v>30</v>
      </c>
      <c r="C654">
        <v>50</v>
      </c>
      <c r="D654">
        <v>20</v>
      </c>
      <c r="E654" s="3">
        <v>25.5</v>
      </c>
      <c r="F654" s="3">
        <f>1.8*E654+32</f>
        <v>77.900000000000006</v>
      </c>
      <c r="G654" s="3">
        <v>17</v>
      </c>
      <c r="H654" s="3">
        <f>IF(F654&gt;68,G654+(F654-68)*0.2,G802-(68-F654)*0.2)</f>
        <v>18.98</v>
      </c>
      <c r="I654" s="3">
        <v>22.5</v>
      </c>
      <c r="J654" s="3">
        <f>1.8*I654+32</f>
        <v>72.5</v>
      </c>
      <c r="K654" s="3">
        <v>8</v>
      </c>
      <c r="L654" s="3">
        <f>IF(J654&gt;67,K654+(J654-67)*0.2,K654-(67-J654)*0.2)</f>
        <v>9.1</v>
      </c>
      <c r="M654" s="3">
        <f>(C654-H654)/C654*100</f>
        <v>62.039999999999992</v>
      </c>
      <c r="N654" s="3">
        <f>100-(M654+O654)</f>
        <v>19.760000000000005</v>
      </c>
      <c r="O654" s="3">
        <f>L654/C654*100</f>
        <v>18.2</v>
      </c>
      <c r="P654" s="1" t="s">
        <v>0</v>
      </c>
      <c r="Q654" s="15">
        <v>407448.22</v>
      </c>
      <c r="R654" s="15">
        <v>3659923</v>
      </c>
      <c r="S654" s="1"/>
      <c r="T654">
        <v>2009033</v>
      </c>
      <c r="U654" t="s">
        <v>50</v>
      </c>
      <c r="V654">
        <v>7.6499999999999999E-2</v>
      </c>
      <c r="W654">
        <v>0.40606999999999999</v>
      </c>
      <c r="X654">
        <v>2.2790000000000001E-2</v>
      </c>
      <c r="Y654">
        <v>1.3032999999999999</v>
      </c>
      <c r="Z654">
        <v>7.6432900000000004</v>
      </c>
      <c r="AA654">
        <v>6.5688899999999997</v>
      </c>
      <c r="AB654">
        <v>-1.54362</v>
      </c>
      <c r="AC654" s="23">
        <v>4.8469999999999999E-2</v>
      </c>
      <c r="AD654" s="23">
        <v>0.38012000000000001</v>
      </c>
      <c r="AE654" s="23">
        <v>3.424E-2</v>
      </c>
      <c r="AF654" s="23">
        <v>1.4604200000000001</v>
      </c>
      <c r="AG654" s="23">
        <v>48.342570000000002</v>
      </c>
      <c r="AH654" s="23">
        <v>18.30076</v>
      </c>
      <c r="AI654" s="23">
        <v>-1.1369800000000001</v>
      </c>
      <c r="AJ654" s="25">
        <v>2.0142737500000001</v>
      </c>
      <c r="AK654" s="25">
        <v>0.37936647320250849</v>
      </c>
      <c r="AL654" s="25">
        <v>0.15566271519889804</v>
      </c>
      <c r="AM654" s="25">
        <v>6.720436483860448E-2</v>
      </c>
      <c r="AN654" s="24">
        <v>1.6446788460133523</v>
      </c>
      <c r="AO654" s="23">
        <v>-99</v>
      </c>
    </row>
    <row r="655" spans="1:41" x14ac:dyDescent="0.25">
      <c r="A655" s="4">
        <v>113</v>
      </c>
      <c r="B655">
        <v>60</v>
      </c>
      <c r="C655">
        <v>50</v>
      </c>
      <c r="D655">
        <v>20</v>
      </c>
      <c r="E655" s="3">
        <v>25.5</v>
      </c>
      <c r="F655" s="3">
        <f>1.8*E655+32</f>
        <v>77.900000000000006</v>
      </c>
      <c r="G655" s="3">
        <v>22</v>
      </c>
      <c r="H655" s="3">
        <f>IF(F655&gt;68,G655+(F655-68)*0.2,G803-(68-F655)*0.2)</f>
        <v>23.98</v>
      </c>
      <c r="I655" s="3">
        <v>22.5</v>
      </c>
      <c r="J655" s="3">
        <f>1.8*I655+32</f>
        <v>72.5</v>
      </c>
      <c r="K655" s="3">
        <v>11</v>
      </c>
      <c r="L655" s="3">
        <f>IF(J655&gt;67,K655+(J655-67)*0.2,K655-(67-J655)*0.2)</f>
        <v>12.1</v>
      </c>
      <c r="M655" s="3">
        <f>(C655-H655)/C655*100</f>
        <v>52.04</v>
      </c>
      <c r="N655" s="3">
        <f>100-(M655+O655)</f>
        <v>23.760000000000005</v>
      </c>
      <c r="O655" s="3">
        <f>L655/C655*100</f>
        <v>24.2</v>
      </c>
      <c r="P655" s="1" t="s">
        <v>2</v>
      </c>
      <c r="Q655" s="15">
        <v>407448.22</v>
      </c>
      <c r="R655" s="15">
        <v>3659923</v>
      </c>
      <c r="S655" s="1"/>
      <c r="T655">
        <v>2009033</v>
      </c>
      <c r="U655" t="s">
        <v>49</v>
      </c>
      <c r="V655">
        <v>6.5189999999999998E-2</v>
      </c>
      <c r="W655">
        <v>0.38618999999999998</v>
      </c>
      <c r="X655">
        <v>2.657E-2</v>
      </c>
      <c r="Y655">
        <v>1.3224800000000001</v>
      </c>
      <c r="Z655">
        <v>14.50624</v>
      </c>
      <c r="AA655">
        <v>9.0247799999999998</v>
      </c>
      <c r="AB655">
        <v>-1.5258400000000001</v>
      </c>
      <c r="AC655" s="23">
        <v>4.827E-2</v>
      </c>
      <c r="AD655" s="23">
        <v>0.38035999999999998</v>
      </c>
      <c r="AE655" s="23">
        <v>3.4279999999999998E-2</v>
      </c>
      <c r="AF655" s="23">
        <v>1.4553700000000001</v>
      </c>
      <c r="AG655" s="23">
        <v>47.579709999999999</v>
      </c>
      <c r="AH655" s="23">
        <v>18.302060000000001</v>
      </c>
      <c r="AI655" s="23">
        <v>-1.1435</v>
      </c>
      <c r="AJ655" s="25">
        <v>1.9824879166666667</v>
      </c>
      <c r="AK655" s="25">
        <v>0.37959705616342332</v>
      </c>
      <c r="AL655" s="25">
        <v>0.15687173955968245</v>
      </c>
      <c r="AM655" s="25">
        <v>6.76196087909368E-2</v>
      </c>
      <c r="AN655" s="24">
        <v>1.6440678011669281</v>
      </c>
      <c r="AO655" s="23">
        <v>-99</v>
      </c>
    </row>
    <row r="656" spans="1:41" x14ac:dyDescent="0.25">
      <c r="A656" s="4">
        <v>113</v>
      </c>
      <c r="B656">
        <v>90</v>
      </c>
      <c r="C656">
        <v>50</v>
      </c>
      <c r="D656">
        <v>20</v>
      </c>
      <c r="E656" s="3">
        <v>24</v>
      </c>
      <c r="F656" s="3">
        <f>1.8*E656+32</f>
        <v>75.2</v>
      </c>
      <c r="G656" s="3">
        <v>27</v>
      </c>
      <c r="H656" s="3">
        <f>IF(F656&gt;68,G656+(F656-68)*0.2,G804-(68-F656)*0.2)</f>
        <v>28.44</v>
      </c>
      <c r="I656" s="3">
        <v>22</v>
      </c>
      <c r="J656" s="3">
        <f>1.8*I656+32</f>
        <v>71.599999999999994</v>
      </c>
      <c r="K656" s="3">
        <v>9</v>
      </c>
      <c r="L656" s="3">
        <f>IF(J656&gt;67,K656+(J656-67)*0.2,K656-(67-J656)*0.2)</f>
        <v>9.9199999999999982</v>
      </c>
      <c r="M656" s="3">
        <f>(C656-H656)/C656*100</f>
        <v>43.12</v>
      </c>
      <c r="N656" s="3">
        <f>100-(M656+O656)</f>
        <v>37.040000000000006</v>
      </c>
      <c r="O656" s="3">
        <f>L656/C656*100</f>
        <v>19.839999999999996</v>
      </c>
      <c r="P656" s="1" t="s">
        <v>0</v>
      </c>
      <c r="Q656" s="15">
        <v>407448.22</v>
      </c>
      <c r="R656" s="15">
        <v>3659923</v>
      </c>
      <c r="S656" s="1"/>
      <c r="T656">
        <v>2009033</v>
      </c>
      <c r="U656" t="s">
        <v>48</v>
      </c>
      <c r="V656">
        <v>4.7480000000000001E-2</v>
      </c>
      <c r="W656">
        <v>0.38142999999999999</v>
      </c>
      <c r="X656">
        <v>3.4229999999999997E-2</v>
      </c>
      <c r="Y656">
        <v>1.43557</v>
      </c>
      <c r="Z656">
        <v>44.436509999999998</v>
      </c>
      <c r="AA656">
        <v>18.168880000000001</v>
      </c>
      <c r="AB656">
        <v>-1.1684099999999999</v>
      </c>
      <c r="AC656" s="23">
        <v>5.425E-2</v>
      </c>
      <c r="AD656" s="23">
        <v>0.37816</v>
      </c>
      <c r="AE656" s="23">
        <v>3.117E-2</v>
      </c>
      <c r="AF656" s="23">
        <v>1.3971899999999999</v>
      </c>
      <c r="AG656" s="23">
        <v>31.99091</v>
      </c>
      <c r="AH656" s="23">
        <v>13.75952</v>
      </c>
      <c r="AI656" s="23">
        <v>-1.2811399999999999</v>
      </c>
      <c r="AJ656" s="25">
        <v>1.3329545833333334</v>
      </c>
      <c r="AK656" s="25">
        <v>0.37743981067206489</v>
      </c>
      <c r="AL656" s="25">
        <v>0.18078145644894356</v>
      </c>
      <c r="AM656" s="25">
        <v>8.2432036612564305E-2</v>
      </c>
      <c r="AN656" s="24">
        <v>1.649784501719028</v>
      </c>
      <c r="AO656" s="23">
        <v>-99</v>
      </c>
    </row>
    <row r="657" spans="1:41" x14ac:dyDescent="0.25">
      <c r="A657" s="4">
        <v>113</v>
      </c>
      <c r="B657">
        <v>120</v>
      </c>
      <c r="C657">
        <v>50</v>
      </c>
      <c r="D657">
        <v>20</v>
      </c>
      <c r="E657" s="3">
        <v>25</v>
      </c>
      <c r="F657" s="3">
        <f>1.8*E657+32</f>
        <v>77</v>
      </c>
      <c r="G657" s="3">
        <v>23</v>
      </c>
      <c r="H657" s="3">
        <f>IF(F657&gt;68,G657+(F657-68)*0.2,G805-(68-F657)*0.2)</f>
        <v>24.8</v>
      </c>
      <c r="I657" s="3">
        <v>22.5</v>
      </c>
      <c r="J657" s="3">
        <f>1.8*I657+32</f>
        <v>72.5</v>
      </c>
      <c r="K657" s="3">
        <v>10</v>
      </c>
      <c r="L657" s="3">
        <f>IF(J657&gt;67,K657+(J657-67)*0.2,K657-(67-J657)*0.2)</f>
        <v>11.1</v>
      </c>
      <c r="M657" s="3">
        <f>(C657-H657)/C657*100</f>
        <v>50.4</v>
      </c>
      <c r="N657" s="3">
        <f>100-(M657+O657)</f>
        <v>27.400000000000006</v>
      </c>
      <c r="O657" s="3">
        <f>L657/C657*100</f>
        <v>22.2</v>
      </c>
      <c r="P657" s="1" t="s">
        <v>2</v>
      </c>
      <c r="Q657" s="15">
        <v>407448.22</v>
      </c>
      <c r="R657" s="15">
        <v>3659923</v>
      </c>
      <c r="S657" s="1"/>
      <c r="T657">
        <v>2009033</v>
      </c>
      <c r="U657" t="s">
        <v>47</v>
      </c>
      <c r="V657">
        <v>4.8469999999999999E-2</v>
      </c>
      <c r="W657">
        <v>0.38012000000000001</v>
      </c>
      <c r="X657">
        <v>3.424E-2</v>
      </c>
      <c r="Y657">
        <v>1.4604200000000001</v>
      </c>
      <c r="Z657">
        <v>48.342570000000002</v>
      </c>
      <c r="AA657">
        <v>18.30076</v>
      </c>
      <c r="AB657">
        <v>-1.1369800000000001</v>
      </c>
      <c r="AC657" s="23">
        <v>7.1340000000000001E-2</v>
      </c>
      <c r="AD657" s="23">
        <v>0.39422000000000001</v>
      </c>
      <c r="AE657" s="23">
        <v>2.4879999999999999E-2</v>
      </c>
      <c r="AF657" s="23">
        <v>1.30558</v>
      </c>
      <c r="AG657" s="23">
        <v>10.39207</v>
      </c>
      <c r="AH657" s="23">
        <v>7.63985</v>
      </c>
      <c r="AI657" s="23">
        <v>-1.5982799999999999</v>
      </c>
      <c r="AJ657" s="25">
        <v>0.43300291666666668</v>
      </c>
      <c r="AK657" s="25">
        <v>0.39361484311835832</v>
      </c>
      <c r="AL657" s="25">
        <v>0.23813922549984623</v>
      </c>
      <c r="AM657" s="25">
        <v>0.12419214772941495</v>
      </c>
      <c r="AN657" s="24">
        <v>1.6069206657363502</v>
      </c>
      <c r="AO657" s="23">
        <v>-99</v>
      </c>
    </row>
    <row r="658" spans="1:41" x14ac:dyDescent="0.25">
      <c r="A658" s="4">
        <v>113</v>
      </c>
      <c r="B658">
        <v>150</v>
      </c>
      <c r="C658">
        <v>50</v>
      </c>
      <c r="D658">
        <v>20</v>
      </c>
      <c r="E658" s="3">
        <v>25.5</v>
      </c>
      <c r="F658" s="3">
        <f>1.8*E658+32</f>
        <v>77.900000000000006</v>
      </c>
      <c r="G658" s="3">
        <v>17</v>
      </c>
      <c r="H658" s="3">
        <f>IF(F658&gt;68,G658+(F658-68)*0.2,G806-(68-F658)*0.2)</f>
        <v>18.98</v>
      </c>
      <c r="I658" s="3">
        <v>22.5</v>
      </c>
      <c r="J658" s="3">
        <f>1.8*I658+32</f>
        <v>72.5</v>
      </c>
      <c r="K658" s="3">
        <v>9</v>
      </c>
      <c r="L658" s="3">
        <f>IF(J658&gt;67,K658+(J658-67)*0.2,K658-(67-J658)*0.2)</f>
        <v>10.1</v>
      </c>
      <c r="M658" s="3">
        <f>(C658-H658)/C658*100</f>
        <v>62.039999999999992</v>
      </c>
      <c r="N658" s="3">
        <f>100-(M658+O658)</f>
        <v>17.760000000000005</v>
      </c>
      <c r="O658" s="3">
        <f>L658/C658*100</f>
        <v>20.2</v>
      </c>
      <c r="P658" s="1" t="s">
        <v>2</v>
      </c>
      <c r="Q658" s="15">
        <v>407448.22</v>
      </c>
      <c r="R658" s="15">
        <v>3659923</v>
      </c>
      <c r="S658" s="1"/>
      <c r="T658">
        <v>2009033</v>
      </c>
      <c r="U658" t="s">
        <v>46</v>
      </c>
      <c r="V658">
        <v>4.827E-2</v>
      </c>
      <c r="W658">
        <v>0.38035999999999998</v>
      </c>
      <c r="X658">
        <v>3.4279999999999998E-2</v>
      </c>
      <c r="Y658">
        <v>1.4553700000000001</v>
      </c>
      <c r="Z658">
        <v>47.579709999999999</v>
      </c>
      <c r="AA658">
        <v>18.302060000000001</v>
      </c>
      <c r="AB658">
        <v>-1.1435</v>
      </c>
      <c r="AC658" s="23">
        <v>6.5629999999999994E-2</v>
      </c>
      <c r="AD658" s="23">
        <v>0.38562000000000002</v>
      </c>
      <c r="AE658" s="23">
        <v>2.6759999999999999E-2</v>
      </c>
      <c r="AF658" s="23">
        <v>1.3181499999999999</v>
      </c>
      <c r="AG658" s="23">
        <v>14.27605</v>
      </c>
      <c r="AH658" s="23">
        <v>8.9701500000000003</v>
      </c>
      <c r="AI658" s="23">
        <v>-1.56135</v>
      </c>
      <c r="AJ658" s="25">
        <v>0.59483541666666662</v>
      </c>
      <c r="AK658" s="25">
        <v>0.38497028458391558</v>
      </c>
      <c r="AL658" s="25">
        <v>0.2231039983721802</v>
      </c>
      <c r="AM658" s="25">
        <v>0.11313830100459377</v>
      </c>
      <c r="AN658" s="24">
        <v>1.6298287458526237</v>
      </c>
      <c r="AO658" s="23">
        <v>-99</v>
      </c>
    </row>
    <row r="659" spans="1:41" x14ac:dyDescent="0.25">
      <c r="A659" s="4">
        <v>113</v>
      </c>
      <c r="B659">
        <v>180</v>
      </c>
      <c r="C659">
        <v>50</v>
      </c>
      <c r="D659">
        <v>20</v>
      </c>
      <c r="E659" s="3">
        <v>25.5</v>
      </c>
      <c r="F659" s="3">
        <f>1.8*E659+32</f>
        <v>77.900000000000006</v>
      </c>
      <c r="G659" s="3">
        <v>16</v>
      </c>
      <c r="H659" s="3">
        <f>IF(F659&gt;68,G659+(F659-68)*0.2,G807-(68-F659)*0.2)</f>
        <v>17.98</v>
      </c>
      <c r="I659" s="3">
        <v>22.5</v>
      </c>
      <c r="J659" s="3">
        <f>1.8*I659+32</f>
        <v>72.5</v>
      </c>
      <c r="K659" s="3">
        <v>9</v>
      </c>
      <c r="L659" s="3">
        <f>IF(J659&gt;67,K659+(J659-67)*0.2,K659-(67-J659)*0.2)</f>
        <v>10.1</v>
      </c>
      <c r="M659" s="3">
        <f>(C659-H659)/C659*100</f>
        <v>64.039999999999992</v>
      </c>
      <c r="N659" s="3">
        <f>100-(M659+O659)</f>
        <v>15.760000000000005</v>
      </c>
      <c r="O659" s="3">
        <f>L659/C659*100</f>
        <v>20.2</v>
      </c>
      <c r="P659" s="1" t="s">
        <v>2</v>
      </c>
      <c r="Q659" s="15">
        <v>407448.22</v>
      </c>
      <c r="R659" s="15">
        <v>3659923</v>
      </c>
      <c r="S659" s="1"/>
      <c r="T659">
        <v>2009033</v>
      </c>
      <c r="U659" t="s">
        <v>45</v>
      </c>
      <c r="V659">
        <v>5.425E-2</v>
      </c>
      <c r="W659">
        <v>0.37816</v>
      </c>
      <c r="X659">
        <v>3.117E-2</v>
      </c>
      <c r="Y659">
        <v>1.3971899999999999</v>
      </c>
      <c r="Z659">
        <v>31.99091</v>
      </c>
      <c r="AA659">
        <v>13.75952</v>
      </c>
      <c r="AB659">
        <v>-1.2811399999999999</v>
      </c>
      <c r="AC659" s="23">
        <v>4.9009999999999998E-2</v>
      </c>
      <c r="AD659" s="23">
        <v>0.37992999999999999</v>
      </c>
      <c r="AE659" s="23">
        <v>3.39E-2</v>
      </c>
      <c r="AF659" s="23">
        <v>1.45184</v>
      </c>
      <c r="AG659" s="23">
        <v>46.294440000000002</v>
      </c>
      <c r="AH659" s="23">
        <v>17.744230000000002</v>
      </c>
      <c r="AI659" s="23">
        <v>-1.15235</v>
      </c>
      <c r="AJ659" s="25">
        <v>1.9289350000000001</v>
      </c>
      <c r="AK659" s="25">
        <v>0.37917701025739414</v>
      </c>
      <c r="AL659" s="25">
        <v>0.15869564071132625</v>
      </c>
      <c r="AM659" s="25">
        <v>6.8820552945298763E-2</v>
      </c>
      <c r="AN659" s="24">
        <v>1.6451809228179055</v>
      </c>
      <c r="AO659" s="23">
        <v>-99</v>
      </c>
    </row>
    <row r="660" spans="1:41" x14ac:dyDescent="0.25">
      <c r="A660" s="4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1"/>
      <c r="Q660" s="18"/>
      <c r="R660" s="18"/>
      <c r="S660" s="1"/>
      <c r="T660">
        <v>2009033</v>
      </c>
      <c r="U660" t="s">
        <v>44</v>
      </c>
      <c r="V660">
        <v>7.1340000000000001E-2</v>
      </c>
      <c r="W660">
        <v>0.39422000000000001</v>
      </c>
      <c r="X660">
        <v>2.4879999999999999E-2</v>
      </c>
      <c r="Y660">
        <v>1.30558</v>
      </c>
      <c r="Z660">
        <v>10.39207</v>
      </c>
      <c r="AA660">
        <v>7.63985</v>
      </c>
      <c r="AB660">
        <v>-1.5982799999999999</v>
      </c>
      <c r="AC660" s="23">
        <v>5.2389999999999999E-2</v>
      </c>
      <c r="AD660" s="23">
        <v>0.37806000000000001</v>
      </c>
      <c r="AE660" s="23">
        <v>3.2140000000000002E-2</v>
      </c>
      <c r="AF660" s="23">
        <v>1.4292899999999999</v>
      </c>
      <c r="AG660" s="23">
        <v>38.93329</v>
      </c>
      <c r="AH660" s="23">
        <v>15.23728</v>
      </c>
      <c r="AI660" s="23">
        <v>-1.2055499999999999</v>
      </c>
      <c r="AJ660" s="25">
        <v>1.6222204166666667</v>
      </c>
      <c r="AK660" s="25">
        <v>0.37734472048098877</v>
      </c>
      <c r="AL660" s="25">
        <v>0.16893547285104843</v>
      </c>
      <c r="AM660" s="25">
        <v>7.5346979305854711E-2</v>
      </c>
      <c r="AN660" s="24">
        <v>1.6500364907253797</v>
      </c>
      <c r="AO660" s="23">
        <v>-99</v>
      </c>
    </row>
    <row r="661" spans="1:41" ht="51.75" x14ac:dyDescent="0.25">
      <c r="A661" s="14" t="s">
        <v>21</v>
      </c>
      <c r="B661" s="9" t="s">
        <v>20</v>
      </c>
      <c r="C661" s="13" t="s">
        <v>19</v>
      </c>
      <c r="D661" s="12" t="s">
        <v>18</v>
      </c>
      <c r="E661" s="11" t="s">
        <v>17</v>
      </c>
      <c r="F661" s="11" t="s">
        <v>16</v>
      </c>
      <c r="G661" s="11" t="s">
        <v>15</v>
      </c>
      <c r="H661" s="11" t="s">
        <v>14</v>
      </c>
      <c r="I661" s="11" t="s">
        <v>13</v>
      </c>
      <c r="J661" s="11" t="s">
        <v>12</v>
      </c>
      <c r="K661" s="11" t="s">
        <v>11</v>
      </c>
      <c r="L661" s="11" t="s">
        <v>10</v>
      </c>
      <c r="M661" s="10" t="s">
        <v>9</v>
      </c>
      <c r="N661" s="10" t="s">
        <v>8</v>
      </c>
      <c r="O661" s="10" t="s">
        <v>7</v>
      </c>
      <c r="P661" s="9" t="s">
        <v>6</v>
      </c>
      <c r="Q661" s="8" t="s">
        <v>5</v>
      </c>
      <c r="R661" s="7"/>
      <c r="S661" s="6"/>
      <c r="T661">
        <v>2009033</v>
      </c>
      <c r="U661" t="s">
        <v>43</v>
      </c>
      <c r="V661">
        <v>6.5629999999999994E-2</v>
      </c>
      <c r="W661">
        <v>0.38562000000000002</v>
      </c>
      <c r="X661">
        <v>2.6759999999999999E-2</v>
      </c>
      <c r="Y661">
        <v>1.3181499999999999</v>
      </c>
      <c r="Z661">
        <v>14.27605</v>
      </c>
      <c r="AA661">
        <v>8.9701500000000003</v>
      </c>
      <c r="AB661">
        <v>-1.56135</v>
      </c>
      <c r="AC661" s="23">
        <v>5.0430000000000003E-2</v>
      </c>
      <c r="AD661" s="23">
        <v>0.38092999999999999</v>
      </c>
      <c r="AE661" s="23">
        <v>3.2419999999999997E-2</v>
      </c>
      <c r="AF661" s="23">
        <v>1.4038600000000001</v>
      </c>
      <c r="AG661" s="23">
        <v>36.218130000000002</v>
      </c>
      <c r="AH661" s="23">
        <v>15.60882</v>
      </c>
      <c r="AI661" s="23">
        <v>-1.2391300000000001</v>
      </c>
      <c r="AJ661" s="25">
        <v>1.5090887500000001</v>
      </c>
      <c r="AK661" s="25">
        <v>0.3801622728089521</v>
      </c>
      <c r="AL661" s="25">
        <v>0.17560842794299575</v>
      </c>
      <c r="AM661" s="25">
        <v>7.7595467868041196E-2</v>
      </c>
      <c r="AN661" s="24">
        <v>1.6425699770562769</v>
      </c>
      <c r="AO661" s="23">
        <v>-99</v>
      </c>
    </row>
    <row r="662" spans="1:41" x14ac:dyDescent="0.25">
      <c r="C662" s="16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1"/>
      <c r="Q662" s="5" t="s">
        <v>4</v>
      </c>
      <c r="R662" s="5" t="s">
        <v>3</v>
      </c>
      <c r="S662" s="1"/>
      <c r="T662">
        <v>2009033</v>
      </c>
      <c r="U662" t="s">
        <v>42</v>
      </c>
      <c r="V662">
        <v>4.9009999999999998E-2</v>
      </c>
      <c r="W662">
        <v>0.37992999999999999</v>
      </c>
      <c r="X662">
        <v>3.39E-2</v>
      </c>
      <c r="Y662">
        <v>1.45184</v>
      </c>
      <c r="Z662">
        <v>46.294440000000002</v>
      </c>
      <c r="AA662">
        <v>17.744230000000002</v>
      </c>
      <c r="AB662">
        <v>-1.15235</v>
      </c>
      <c r="AC662" s="23">
        <v>5.6619999999999997E-2</v>
      </c>
      <c r="AD662" s="23">
        <v>0.37983</v>
      </c>
      <c r="AE662" s="23">
        <v>2.9909999999999999E-2</v>
      </c>
      <c r="AF662" s="23">
        <v>1.36409</v>
      </c>
      <c r="AG662" s="23">
        <v>25.098210000000002</v>
      </c>
      <c r="AH662" s="23">
        <v>12.206860000000001</v>
      </c>
      <c r="AI662" s="23">
        <v>-1.37334</v>
      </c>
      <c r="AJ662" s="25">
        <v>1.0457587500000001</v>
      </c>
      <c r="AK662" s="25">
        <v>0.3791147754475464</v>
      </c>
      <c r="AL662" s="25">
        <v>0.19500675894772102</v>
      </c>
      <c r="AM662" s="25">
        <v>9.1608373759665129E-2</v>
      </c>
      <c r="AN662" s="24">
        <v>1.6453458450640022</v>
      </c>
      <c r="AO662" s="23">
        <v>-99</v>
      </c>
    </row>
    <row r="663" spans="1:41" x14ac:dyDescent="0.25">
      <c r="A663" s="4">
        <v>114</v>
      </c>
      <c r="B663">
        <v>30</v>
      </c>
      <c r="C663" s="16">
        <v>50</v>
      </c>
      <c r="D663">
        <v>20</v>
      </c>
      <c r="E663" s="3">
        <v>22</v>
      </c>
      <c r="F663" s="3">
        <f>1.8*E663+32</f>
        <v>71.599999999999994</v>
      </c>
      <c r="G663" s="3">
        <v>15</v>
      </c>
      <c r="H663" s="3">
        <f>IF(F663&gt;68,G663+(F663-68)*0.2,G810-(68-F663)*0.2)</f>
        <v>15.719999999999999</v>
      </c>
      <c r="I663" s="3">
        <v>21.5</v>
      </c>
      <c r="J663" s="3">
        <f>1.8*I663+32</f>
        <v>70.7</v>
      </c>
      <c r="K663" s="3">
        <v>7</v>
      </c>
      <c r="L663" s="3">
        <f>IF(J663&gt;68,K663+(J663-68)*0.2,K663-(68-J663)*0.2)</f>
        <v>7.5400000000000009</v>
      </c>
      <c r="M663" s="3">
        <f>(C663-H663)/C663*100</f>
        <v>68.56</v>
      </c>
      <c r="N663" s="3">
        <f>100-(M663+O663)</f>
        <v>16.36</v>
      </c>
      <c r="O663" s="3">
        <f>L663/C663*100</f>
        <v>15.080000000000002</v>
      </c>
      <c r="P663" s="1" t="s">
        <v>0</v>
      </c>
      <c r="Q663" s="15">
        <v>407448.22</v>
      </c>
      <c r="R663" s="15">
        <v>3659949.5</v>
      </c>
      <c r="S663" s="1"/>
      <c r="T663">
        <v>2009033</v>
      </c>
      <c r="U663" t="s">
        <v>41</v>
      </c>
      <c r="V663">
        <v>5.2389999999999999E-2</v>
      </c>
      <c r="W663">
        <v>0.37806000000000001</v>
      </c>
      <c r="X663">
        <v>3.2140000000000002E-2</v>
      </c>
      <c r="Y663">
        <v>1.4292899999999999</v>
      </c>
      <c r="Z663">
        <v>38.93329</v>
      </c>
      <c r="AA663">
        <v>15.23728</v>
      </c>
      <c r="AB663">
        <v>-1.2055499999999999</v>
      </c>
      <c r="AC663" s="23">
        <v>7.3130000000000001E-2</v>
      </c>
      <c r="AD663" s="23">
        <v>0.39563999999999999</v>
      </c>
      <c r="AE663" s="23">
        <v>2.5149999999999999E-2</v>
      </c>
      <c r="AF663" s="23">
        <v>1.2939400000000001</v>
      </c>
      <c r="AG663" s="23">
        <v>9.9098199999999999</v>
      </c>
      <c r="AH663" s="23">
        <v>7.45791</v>
      </c>
      <c r="AI663" s="23">
        <v>-1.6971000000000001</v>
      </c>
      <c r="AJ663" s="25">
        <v>0.41290916666666666</v>
      </c>
      <c r="AK663" s="25">
        <v>0.39501910506572613</v>
      </c>
      <c r="AL663" s="25">
        <v>0.24339598023886072</v>
      </c>
      <c r="AM663" s="25">
        <v>0.12950974049429353</v>
      </c>
      <c r="AN663" s="24">
        <v>1.6031993715758257</v>
      </c>
      <c r="AO663" s="23">
        <v>-99</v>
      </c>
    </row>
    <row r="664" spans="1:41" x14ac:dyDescent="0.25">
      <c r="A664" s="4">
        <v>114</v>
      </c>
      <c r="B664">
        <v>60</v>
      </c>
      <c r="C664" s="16">
        <v>50</v>
      </c>
      <c r="D664">
        <v>20</v>
      </c>
      <c r="E664" s="3">
        <v>22</v>
      </c>
      <c r="F664" s="3">
        <f>1.8*E664+32</f>
        <v>71.599999999999994</v>
      </c>
      <c r="G664" s="3">
        <v>15</v>
      </c>
      <c r="H664" s="3">
        <f>IF(F664&gt;68,G664+(F664-68)*0.2,G811-(68-F664)*0.2)</f>
        <v>15.719999999999999</v>
      </c>
      <c r="I664" s="3">
        <v>21.5</v>
      </c>
      <c r="J664" s="3">
        <f>1.8*I664+32</f>
        <v>70.7</v>
      </c>
      <c r="K664" s="3">
        <v>8</v>
      </c>
      <c r="L664" s="3">
        <f>IF(J664&gt;68,K664+(J664-68)*0.2,K664-(68-J664)*0.2)</f>
        <v>8.5400000000000009</v>
      </c>
      <c r="M664" s="3">
        <f>(C664-H664)/C664*100</f>
        <v>68.56</v>
      </c>
      <c r="N664" s="3">
        <f>100-(M664+O664)</f>
        <v>14.36</v>
      </c>
      <c r="O664" s="3">
        <f>L664/C664*100</f>
        <v>17.080000000000002</v>
      </c>
      <c r="P664" s="1" t="s">
        <v>0</v>
      </c>
      <c r="Q664" s="15">
        <v>407448.22</v>
      </c>
      <c r="R664" s="15">
        <v>3659949.5</v>
      </c>
      <c r="S664" s="1"/>
      <c r="T664">
        <v>2009033</v>
      </c>
      <c r="U664" t="s">
        <v>40</v>
      </c>
      <c r="V664">
        <v>5.0430000000000003E-2</v>
      </c>
      <c r="W664">
        <v>0.38092999999999999</v>
      </c>
      <c r="X664">
        <v>3.2419999999999997E-2</v>
      </c>
      <c r="Y664">
        <v>1.4038600000000001</v>
      </c>
      <c r="Z664">
        <v>36.218130000000002</v>
      </c>
      <c r="AA664">
        <v>15.60882</v>
      </c>
      <c r="AB664">
        <v>-1.2391300000000001</v>
      </c>
      <c r="AC664" s="23">
        <v>7.4450000000000002E-2</v>
      </c>
      <c r="AD664" s="23">
        <v>0.39272000000000001</v>
      </c>
      <c r="AE664" s="23">
        <v>2.6689999999999998E-2</v>
      </c>
      <c r="AF664" s="23">
        <v>1.26878</v>
      </c>
      <c r="AG664" s="23">
        <v>11.284689999999999</v>
      </c>
      <c r="AH664" s="23">
        <v>7.4991199999999996</v>
      </c>
      <c r="AI664" s="23">
        <v>-1.9870099999999999</v>
      </c>
      <c r="AJ664" s="25">
        <v>0.47019541666666664</v>
      </c>
      <c r="AK664" s="25">
        <v>0.39204461975325727</v>
      </c>
      <c r="AL664" s="25">
        <v>0.24911172480413785</v>
      </c>
      <c r="AM664" s="25">
        <v>0.13802202289233387</v>
      </c>
      <c r="AN664" s="24">
        <v>1.6110817576538683</v>
      </c>
      <c r="AO664" s="23">
        <v>-99</v>
      </c>
    </row>
    <row r="665" spans="1:41" x14ac:dyDescent="0.25">
      <c r="A665" s="4">
        <v>114</v>
      </c>
      <c r="B665">
        <v>90</v>
      </c>
      <c r="C665" s="16">
        <v>50</v>
      </c>
      <c r="D665">
        <v>20</v>
      </c>
      <c r="E665" s="3">
        <v>22</v>
      </c>
      <c r="F665" s="3">
        <f>1.8*E665+32</f>
        <v>71.599999999999994</v>
      </c>
      <c r="G665" s="3">
        <v>16</v>
      </c>
      <c r="H665" s="3">
        <f>IF(F665&gt;68,G665+(F665-68)*0.2,G812-(68-F665)*0.2)</f>
        <v>16.72</v>
      </c>
      <c r="I665" s="3">
        <v>21.5</v>
      </c>
      <c r="J665" s="3">
        <f>1.8*I665+32</f>
        <v>70.7</v>
      </c>
      <c r="K665" s="3">
        <v>8</v>
      </c>
      <c r="L665" s="3">
        <f>IF(J665&gt;68,K665+(J665-68)*0.2,K665-(68-J665)*0.2)</f>
        <v>8.5400000000000009</v>
      </c>
      <c r="M665" s="3">
        <f>(C665-H665)/C665*100</f>
        <v>66.56</v>
      </c>
      <c r="N665" s="3">
        <f>100-(M665+O665)</f>
        <v>16.36</v>
      </c>
      <c r="O665" s="3">
        <f>L665/C665*100</f>
        <v>17.080000000000002</v>
      </c>
      <c r="P665" s="1" t="s">
        <v>0</v>
      </c>
      <c r="Q665" s="15">
        <v>407448.22</v>
      </c>
      <c r="R665" s="15">
        <v>3659949.5</v>
      </c>
      <c r="S665" s="1"/>
      <c r="T665">
        <v>2009033</v>
      </c>
      <c r="U665" t="s">
        <v>39</v>
      </c>
      <c r="V665">
        <v>5.6619999999999997E-2</v>
      </c>
      <c r="W665">
        <v>0.37983</v>
      </c>
      <c r="X665">
        <v>2.9909999999999999E-2</v>
      </c>
      <c r="Y665">
        <v>1.36409</v>
      </c>
      <c r="Z665">
        <v>25.098210000000002</v>
      </c>
      <c r="AA665">
        <v>12.206860000000001</v>
      </c>
      <c r="AB665">
        <v>-1.37334</v>
      </c>
      <c r="AC665" s="23">
        <v>5.289E-2</v>
      </c>
      <c r="AD665" s="23">
        <v>0.37869999999999998</v>
      </c>
      <c r="AE665" s="23">
        <v>3.1789999999999999E-2</v>
      </c>
      <c r="AF665" s="23">
        <v>1.4073500000000001</v>
      </c>
      <c r="AG665" s="23">
        <v>34.879130000000004</v>
      </c>
      <c r="AH665" s="23">
        <v>14.59599</v>
      </c>
      <c r="AI665" s="23">
        <v>-1.2516499999999999</v>
      </c>
      <c r="AJ665" s="25">
        <v>1.4532970833333334</v>
      </c>
      <c r="AK665" s="25">
        <v>0.37796793179377358</v>
      </c>
      <c r="AL665" s="25">
        <v>0.17622246713646564</v>
      </c>
      <c r="AM665" s="25">
        <v>7.9308260277741488E-2</v>
      </c>
      <c r="AN665" s="24">
        <v>1.6483849807464999</v>
      </c>
      <c r="AO665" s="23">
        <v>-99</v>
      </c>
    </row>
    <row r="666" spans="1:41" x14ac:dyDescent="0.25">
      <c r="A666" s="4">
        <v>114</v>
      </c>
      <c r="B666">
        <v>120</v>
      </c>
      <c r="C666" s="16">
        <v>50</v>
      </c>
      <c r="D666">
        <v>20</v>
      </c>
      <c r="E666" s="3">
        <v>25</v>
      </c>
      <c r="F666" s="3">
        <f>1.8*E666+32</f>
        <v>77</v>
      </c>
      <c r="G666" s="3">
        <v>13</v>
      </c>
      <c r="H666" s="3">
        <f>IF(F666&gt;68,G666+(F666-68)*0.2,G814-(68-F666)*0.2)</f>
        <v>14.8</v>
      </c>
      <c r="I666" s="3">
        <v>22.5</v>
      </c>
      <c r="J666" s="3">
        <f>1.8*I666+32</f>
        <v>72.5</v>
      </c>
      <c r="K666" s="3">
        <v>7</v>
      </c>
      <c r="L666" s="3">
        <f>IF(J666&gt;68,K666+(J666-68)*0.2,K666-(68-J666)*0.2)</f>
        <v>7.9</v>
      </c>
      <c r="M666" s="3">
        <f>(C666-H666)/C666*100</f>
        <v>70.400000000000006</v>
      </c>
      <c r="N666" s="3">
        <f>100-(M666+O666)</f>
        <v>13.799999999999997</v>
      </c>
      <c r="O666" s="3">
        <f>L666/C666*100</f>
        <v>15.8</v>
      </c>
      <c r="P666" s="1" t="s">
        <v>0</v>
      </c>
      <c r="Q666" s="15">
        <v>407448.22</v>
      </c>
      <c r="R666" s="15">
        <v>3659949.5</v>
      </c>
      <c r="S666" s="17"/>
      <c r="T666">
        <v>2009033</v>
      </c>
      <c r="U666" t="s">
        <v>38</v>
      </c>
      <c r="V666">
        <v>7.3130000000000001E-2</v>
      </c>
      <c r="W666">
        <v>0.39563999999999999</v>
      </c>
      <c r="X666">
        <v>2.5149999999999999E-2</v>
      </c>
      <c r="Y666">
        <v>1.2939400000000001</v>
      </c>
      <c r="Z666">
        <v>9.9098199999999999</v>
      </c>
      <c r="AA666">
        <v>7.45791</v>
      </c>
      <c r="AB666">
        <v>-1.6971000000000001</v>
      </c>
      <c r="AC666" s="23">
        <v>4.9369999999999997E-2</v>
      </c>
      <c r="AD666" s="23">
        <v>0.38059999999999999</v>
      </c>
      <c r="AE666" s="23">
        <v>3.3309999999999999E-2</v>
      </c>
      <c r="AF666" s="23">
        <v>1.4234800000000001</v>
      </c>
      <c r="AG666" s="23">
        <v>40.755270000000003</v>
      </c>
      <c r="AH666" s="23">
        <v>16.766380000000002</v>
      </c>
      <c r="AI666" s="23">
        <v>-1.1998</v>
      </c>
      <c r="AJ666" s="25">
        <v>1.6981362500000001</v>
      </c>
      <c r="AK666" s="25">
        <v>0.37982676540101645</v>
      </c>
      <c r="AL666" s="25">
        <v>0.16779616085955093</v>
      </c>
      <c r="AM666" s="25">
        <v>7.3208560297140457E-2</v>
      </c>
      <c r="AN666" s="24">
        <v>1.6434590716873063</v>
      </c>
      <c r="AO666" s="23">
        <v>-99</v>
      </c>
    </row>
    <row r="667" spans="1:41" x14ac:dyDescent="0.25">
      <c r="A667" s="4">
        <v>114</v>
      </c>
      <c r="B667">
        <v>150</v>
      </c>
      <c r="C667" s="16">
        <v>50</v>
      </c>
      <c r="D667">
        <v>20</v>
      </c>
      <c r="E667" s="3">
        <v>25</v>
      </c>
      <c r="F667" s="3">
        <f>1.8*E667+32</f>
        <v>77</v>
      </c>
      <c r="G667" s="3">
        <v>17</v>
      </c>
      <c r="H667" s="3">
        <f>IF(F667&gt;68,G667+(F667-68)*0.2,G815-(68-F667)*0.2)</f>
        <v>18.8</v>
      </c>
      <c r="I667" s="3">
        <v>22.5</v>
      </c>
      <c r="J667" s="3">
        <f>1.8*I667+32</f>
        <v>72.5</v>
      </c>
      <c r="K667" s="3">
        <v>10</v>
      </c>
      <c r="L667" s="3">
        <f>IF(J667&gt;68,K667+(J667-68)*0.2,K667-(68-J667)*0.2)</f>
        <v>10.9</v>
      </c>
      <c r="M667" s="3">
        <f>(C667-H667)/C667*100</f>
        <v>62.4</v>
      </c>
      <c r="N667" s="3">
        <f>100-(M667+O667)</f>
        <v>15.799999999999997</v>
      </c>
      <c r="O667" s="3">
        <f>L667/C667*100</f>
        <v>21.8</v>
      </c>
      <c r="P667" s="1" t="s">
        <v>2</v>
      </c>
      <c r="Q667" s="15">
        <v>407448.22</v>
      </c>
      <c r="R667" s="15">
        <v>3659949.5</v>
      </c>
      <c r="S667" s="17"/>
      <c r="T667">
        <v>2009033</v>
      </c>
      <c r="U667" t="s">
        <v>37</v>
      </c>
      <c r="V667">
        <v>7.4450000000000002E-2</v>
      </c>
      <c r="W667">
        <v>0.39272000000000001</v>
      </c>
      <c r="X667">
        <v>2.6689999999999998E-2</v>
      </c>
      <c r="Y667">
        <v>1.26878</v>
      </c>
      <c r="Z667">
        <v>11.284689999999999</v>
      </c>
      <c r="AA667">
        <v>7.4991199999999996</v>
      </c>
      <c r="AB667">
        <v>-1.9870099999999999</v>
      </c>
      <c r="AC667" s="23">
        <v>4.6649999999999997E-2</v>
      </c>
      <c r="AD667" s="23">
        <v>0.38130999999999998</v>
      </c>
      <c r="AE667" s="23">
        <v>3.5119999999999998E-2</v>
      </c>
      <c r="AF667" s="23">
        <v>1.4629700000000001</v>
      </c>
      <c r="AG667" s="23">
        <v>50.24821</v>
      </c>
      <c r="AH667" s="23">
        <v>19.58764</v>
      </c>
      <c r="AI667" s="23">
        <v>-1.12453</v>
      </c>
      <c r="AJ667" s="25">
        <v>2.0936754166666667</v>
      </c>
      <c r="AK667" s="25">
        <v>0.38052478561101255</v>
      </c>
      <c r="AL667" s="25">
        <v>0.15292693802954205</v>
      </c>
      <c r="AM667" s="25">
        <v>6.5038619713678997E-2</v>
      </c>
      <c r="AN667" s="24">
        <v>1.6416093181308167</v>
      </c>
      <c r="AO667" s="23">
        <v>-99</v>
      </c>
    </row>
    <row r="668" spans="1:41" x14ac:dyDescent="0.25">
      <c r="A668" s="4">
        <v>114</v>
      </c>
      <c r="B668">
        <v>180</v>
      </c>
      <c r="C668" s="16">
        <v>50</v>
      </c>
      <c r="D668">
        <v>20</v>
      </c>
      <c r="E668" s="3">
        <v>25</v>
      </c>
      <c r="F668" s="3">
        <f>1.8*E668+32</f>
        <v>77</v>
      </c>
      <c r="G668" s="3">
        <v>15</v>
      </c>
      <c r="H668" s="3">
        <f>IF(F668&gt;68,G668+(F668-68)*0.2,G816-(68-F668)*0.2)</f>
        <v>16.8</v>
      </c>
      <c r="I668" s="3">
        <v>22.5</v>
      </c>
      <c r="J668" s="3">
        <f>1.8*I668+32</f>
        <v>72.5</v>
      </c>
      <c r="K668" s="3">
        <v>8</v>
      </c>
      <c r="L668" s="3">
        <f>IF(J668&gt;68,K668+(J668-68)*0.2,K668-(68-J668)*0.2)</f>
        <v>8.9</v>
      </c>
      <c r="M668" s="3">
        <f>(C668-H668)/C668*100</f>
        <v>66.400000000000006</v>
      </c>
      <c r="N668" s="3">
        <f>100-(M668+O668)</f>
        <v>15.799999999999997</v>
      </c>
      <c r="O668" s="3">
        <f>L668/C668*100</f>
        <v>17.8</v>
      </c>
      <c r="P668" s="1" t="s">
        <v>0</v>
      </c>
      <c r="Q668" s="15">
        <v>407448.22</v>
      </c>
      <c r="R668" s="15">
        <v>3659949.5</v>
      </c>
      <c r="S668" s="17"/>
      <c r="T668">
        <v>2009033</v>
      </c>
      <c r="U668" t="s">
        <v>36</v>
      </c>
      <c r="V668">
        <v>5.289E-2</v>
      </c>
      <c r="W668">
        <v>0.37869999999999998</v>
      </c>
      <c r="X668">
        <v>3.1789999999999999E-2</v>
      </c>
      <c r="Y668">
        <v>1.4073500000000001</v>
      </c>
      <c r="Z668">
        <v>34.879130000000004</v>
      </c>
      <c r="AA668">
        <v>14.59599</v>
      </c>
      <c r="AB668">
        <v>-1.2516499999999999</v>
      </c>
      <c r="AC668" s="23">
        <v>4.9090000000000002E-2</v>
      </c>
      <c r="AD668" s="23">
        <v>0.38107999999999997</v>
      </c>
      <c r="AE668" s="23">
        <v>3.3210000000000003E-2</v>
      </c>
      <c r="AF668" s="23">
        <v>1.4172</v>
      </c>
      <c r="AG668" s="23">
        <v>39.749090000000002</v>
      </c>
      <c r="AH668" s="23">
        <v>16.686389999999999</v>
      </c>
      <c r="AI668" s="23">
        <v>-1.2075400000000001</v>
      </c>
      <c r="AJ668" s="25">
        <v>1.6562120833333334</v>
      </c>
      <c r="AK668" s="25">
        <v>0.38029993052341204</v>
      </c>
      <c r="AL668" s="25">
        <v>0.16973656737663578</v>
      </c>
      <c r="AM668" s="25">
        <v>7.3965231132432585E-2</v>
      </c>
      <c r="AN668" s="24">
        <v>1.6422051841129581</v>
      </c>
      <c r="AO668" s="23">
        <v>-99</v>
      </c>
    </row>
    <row r="669" spans="1:41" x14ac:dyDescent="0.25">
      <c r="Q669" s="18"/>
      <c r="R669" s="18"/>
      <c r="S669" s="17"/>
      <c r="T669">
        <v>2009033</v>
      </c>
      <c r="U669" t="s">
        <v>35</v>
      </c>
      <c r="V669">
        <v>4.9369999999999997E-2</v>
      </c>
      <c r="W669">
        <v>0.38059999999999999</v>
      </c>
      <c r="X669">
        <v>3.3309999999999999E-2</v>
      </c>
      <c r="Y669">
        <v>1.4234800000000001</v>
      </c>
      <c r="Z669">
        <v>40.755270000000003</v>
      </c>
      <c r="AA669">
        <v>16.766380000000002</v>
      </c>
      <c r="AB669">
        <v>-1.1998</v>
      </c>
      <c r="AC669" s="23">
        <v>6.6900000000000001E-2</v>
      </c>
      <c r="AD669" s="23">
        <v>0.38874999999999998</v>
      </c>
      <c r="AE669" s="23">
        <v>2.5819999999999999E-2</v>
      </c>
      <c r="AF669" s="23">
        <v>1.3196099999999999</v>
      </c>
      <c r="AG669" s="23">
        <v>13.082229999999999</v>
      </c>
      <c r="AH669" s="23">
        <v>8.5346700000000002</v>
      </c>
      <c r="AI669" s="23">
        <v>-1.5247200000000001</v>
      </c>
      <c r="AJ669" s="25">
        <v>0.54509291666666659</v>
      </c>
      <c r="AK669" s="25">
        <v>0.38812759518230122</v>
      </c>
      <c r="AL669" s="25">
        <v>0.22649979194711645</v>
      </c>
      <c r="AM669" s="25">
        <v>0.11481232288318956</v>
      </c>
      <c r="AN669" s="24">
        <v>1.6214618727669017</v>
      </c>
      <c r="AO669" s="23">
        <v>-99</v>
      </c>
    </row>
    <row r="670" spans="1:41" ht="51.75" x14ac:dyDescent="0.25">
      <c r="A670" s="14" t="s">
        <v>21</v>
      </c>
      <c r="B670" s="9" t="s">
        <v>20</v>
      </c>
      <c r="C670" s="13" t="s">
        <v>19</v>
      </c>
      <c r="D670" s="12" t="s">
        <v>18</v>
      </c>
      <c r="E670" s="11" t="s">
        <v>17</v>
      </c>
      <c r="F670" s="11" t="s">
        <v>16</v>
      </c>
      <c r="G670" s="11" t="s">
        <v>15</v>
      </c>
      <c r="H670" s="11" t="s">
        <v>14</v>
      </c>
      <c r="I670" s="11" t="s">
        <v>13</v>
      </c>
      <c r="J670" s="11" t="s">
        <v>12</v>
      </c>
      <c r="K670" s="11" t="s">
        <v>11</v>
      </c>
      <c r="L670" s="11" t="s">
        <v>10</v>
      </c>
      <c r="M670" s="10" t="s">
        <v>9</v>
      </c>
      <c r="N670" s="10" t="s">
        <v>8</v>
      </c>
      <c r="O670" s="10" t="s">
        <v>7</v>
      </c>
      <c r="P670" s="9" t="s">
        <v>6</v>
      </c>
      <c r="Q670" s="21" t="s">
        <v>5</v>
      </c>
      <c r="R670" s="20"/>
      <c r="S670" s="17"/>
      <c r="T670">
        <v>2009033</v>
      </c>
      <c r="U670" t="s">
        <v>34</v>
      </c>
      <c r="V670">
        <v>4.6649999999999997E-2</v>
      </c>
      <c r="W670">
        <v>0.38130999999999998</v>
      </c>
      <c r="X670">
        <v>3.5119999999999998E-2</v>
      </c>
      <c r="Y670">
        <v>1.4629700000000001</v>
      </c>
      <c r="Z670">
        <v>50.24821</v>
      </c>
      <c r="AA670">
        <v>19.58764</v>
      </c>
      <c r="AB670">
        <v>-1.12453</v>
      </c>
      <c r="AC670" s="23">
        <v>7.2150000000000006E-2</v>
      </c>
      <c r="AD670" s="23">
        <v>0.39489000000000002</v>
      </c>
      <c r="AE670" s="23">
        <v>2.4969999999999999E-2</v>
      </c>
      <c r="AF670" s="23">
        <v>1.30067</v>
      </c>
      <c r="AG670" s="23">
        <v>10.119479999999999</v>
      </c>
      <c r="AH670" s="23">
        <v>7.54826</v>
      </c>
      <c r="AI670" s="23">
        <v>-1.6379900000000001</v>
      </c>
      <c r="AJ670" s="25">
        <v>0.42164499999999999</v>
      </c>
      <c r="AK670" s="25">
        <v>0.39427884284905673</v>
      </c>
      <c r="AL670" s="25">
        <v>0.24045072143504354</v>
      </c>
      <c r="AM670" s="25">
        <v>0.12647884690325328</v>
      </c>
      <c r="AN670" s="24">
        <v>1.6051610664499998</v>
      </c>
      <c r="AO670" s="23">
        <v>-99</v>
      </c>
    </row>
    <row r="671" spans="1:41" x14ac:dyDescent="0.25"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1"/>
      <c r="Q671" s="5" t="s">
        <v>4</v>
      </c>
      <c r="R671" s="5" t="s">
        <v>3</v>
      </c>
      <c r="S671" s="17"/>
      <c r="T671">
        <v>2009033</v>
      </c>
      <c r="U671" t="s">
        <v>33</v>
      </c>
      <c r="V671">
        <v>4.9090000000000002E-2</v>
      </c>
      <c r="W671">
        <v>0.38107999999999997</v>
      </c>
      <c r="X671">
        <v>3.3210000000000003E-2</v>
      </c>
      <c r="Y671">
        <v>1.4172</v>
      </c>
      <c r="Z671">
        <v>39.749090000000002</v>
      </c>
      <c r="AA671">
        <v>16.686389999999999</v>
      </c>
      <c r="AB671">
        <v>-1.2075400000000001</v>
      </c>
      <c r="AC671" s="23">
        <v>6.386E-2</v>
      </c>
      <c r="AD671" s="23">
        <v>0.38429999999999997</v>
      </c>
      <c r="AE671" s="23">
        <v>2.7179999999999999E-2</v>
      </c>
      <c r="AF671" s="23">
        <v>1.3254999999999999</v>
      </c>
      <c r="AG671" s="23">
        <v>15.73875</v>
      </c>
      <c r="AH671" s="23">
        <v>9.4367900000000002</v>
      </c>
      <c r="AI671" s="23">
        <v>-1.5223800000000001</v>
      </c>
      <c r="AJ671" s="25">
        <v>0.65578124999999998</v>
      </c>
      <c r="AK671" s="25">
        <v>0.38364196299499509</v>
      </c>
      <c r="AL671" s="25">
        <v>0.21829302873652795</v>
      </c>
      <c r="AM671" s="25">
        <v>0.10915433099360805</v>
      </c>
      <c r="AN671" s="24">
        <v>1.6333487980632631</v>
      </c>
      <c r="AO671" s="23">
        <v>-99</v>
      </c>
    </row>
    <row r="672" spans="1:41" x14ac:dyDescent="0.25">
      <c r="A672" s="4">
        <v>115</v>
      </c>
      <c r="B672">
        <v>30</v>
      </c>
      <c r="C672">
        <v>50</v>
      </c>
      <c r="D672">
        <v>20</v>
      </c>
      <c r="E672" s="3">
        <v>25.5</v>
      </c>
      <c r="F672" s="3">
        <f>1.8*E672+32</f>
        <v>77.900000000000006</v>
      </c>
      <c r="G672" s="3">
        <v>15</v>
      </c>
      <c r="H672" s="3">
        <f>IF(F672&gt;68,G672+(F672-68)*0.2,G820-(68-F672)*0.2)</f>
        <v>16.98</v>
      </c>
      <c r="I672" s="3">
        <v>22.5</v>
      </c>
      <c r="J672" s="3">
        <f>1.8*I672+32</f>
        <v>72.5</v>
      </c>
      <c r="K672" s="3">
        <v>8</v>
      </c>
      <c r="L672" s="3">
        <f>IF(J672&gt;67,K672+(J672-67)*0.2,K672-(67-J672)*0.2)</f>
        <v>9.1</v>
      </c>
      <c r="M672" s="3">
        <f>(C672-H672)/C672*100</f>
        <v>66.039999999999992</v>
      </c>
      <c r="N672" s="3">
        <f>100-(M672+O672)</f>
        <v>15.760000000000005</v>
      </c>
      <c r="O672" s="3">
        <f>L672/C672*100</f>
        <v>18.2</v>
      </c>
      <c r="P672" s="1" t="s">
        <v>0</v>
      </c>
      <c r="Q672" s="15">
        <v>407448.22</v>
      </c>
      <c r="R672" s="15">
        <v>3659976</v>
      </c>
      <c r="T672">
        <v>2009033</v>
      </c>
      <c r="U672" t="s">
        <v>32</v>
      </c>
      <c r="V672">
        <v>6.6900000000000001E-2</v>
      </c>
      <c r="W672">
        <v>0.38874999999999998</v>
      </c>
      <c r="X672">
        <v>2.5819999999999999E-2</v>
      </c>
      <c r="Y672">
        <v>1.3196099999999999</v>
      </c>
      <c r="Z672">
        <v>13.082229999999999</v>
      </c>
      <c r="AA672">
        <v>8.5346700000000002</v>
      </c>
      <c r="AB672">
        <v>-1.5247200000000001</v>
      </c>
      <c r="AC672" s="23">
        <v>4.8779999999999997E-2</v>
      </c>
      <c r="AD672" s="23">
        <v>0.37848999999999999</v>
      </c>
      <c r="AE672" s="23">
        <v>3.4540000000000001E-2</v>
      </c>
      <c r="AF672" s="23">
        <v>1.67988</v>
      </c>
      <c r="AG672" s="23">
        <v>90.484780000000001</v>
      </c>
      <c r="AH672" s="23">
        <v>21.93215</v>
      </c>
      <c r="AI672" s="23">
        <v>-0.93945999999999996</v>
      </c>
      <c r="AJ672" s="25">
        <v>3.7701991666666665</v>
      </c>
      <c r="AK672" s="25">
        <v>0.37802358133780944</v>
      </c>
      <c r="AL672" s="25">
        <v>0.11101833968135681</v>
      </c>
      <c r="AM672" s="25">
        <v>5.3485998279111852E-2</v>
      </c>
      <c r="AN672" s="24">
        <v>1.648237509454805</v>
      </c>
      <c r="AO672" s="23">
        <v>-99</v>
      </c>
    </row>
    <row r="673" spans="1:41" x14ac:dyDescent="0.25">
      <c r="A673" s="4">
        <v>115</v>
      </c>
      <c r="B673">
        <v>60</v>
      </c>
      <c r="C673">
        <v>50</v>
      </c>
      <c r="D673">
        <v>20</v>
      </c>
      <c r="E673" s="3">
        <v>26</v>
      </c>
      <c r="F673" s="3">
        <f>1.8*E673+32</f>
        <v>78.800000000000011</v>
      </c>
      <c r="G673" s="3">
        <v>14</v>
      </c>
      <c r="H673" s="3">
        <f>IF(F673&gt;68,G673+(F673-68)*0.2,G821-(68-F673)*0.2)</f>
        <v>16.160000000000004</v>
      </c>
      <c r="I673" s="3">
        <v>22.5</v>
      </c>
      <c r="J673" s="3">
        <f>1.8*I673+32</f>
        <v>72.5</v>
      </c>
      <c r="K673" s="3">
        <v>8</v>
      </c>
      <c r="L673" s="3">
        <f>IF(J673&gt;67,K673+(J673-67)*0.2,K673-(67-J673)*0.2)</f>
        <v>9.1</v>
      </c>
      <c r="M673" s="3">
        <f>(C673-H673)/C673*100</f>
        <v>67.679999999999993</v>
      </c>
      <c r="N673" s="3">
        <f>100-(M673+O673)</f>
        <v>14.120000000000005</v>
      </c>
      <c r="O673" s="3">
        <f>L673/C673*100</f>
        <v>18.2</v>
      </c>
      <c r="P673" s="1" t="s">
        <v>0</v>
      </c>
      <c r="Q673" s="15">
        <v>407448.22</v>
      </c>
      <c r="R673" s="15">
        <v>3659976</v>
      </c>
      <c r="T673">
        <v>2009033</v>
      </c>
      <c r="U673" t="s">
        <v>31</v>
      </c>
      <c r="V673">
        <v>7.2150000000000006E-2</v>
      </c>
      <c r="W673">
        <v>0.39489000000000002</v>
      </c>
      <c r="X673">
        <v>2.4969999999999999E-2</v>
      </c>
      <c r="Y673">
        <v>1.30067</v>
      </c>
      <c r="Z673">
        <v>10.119479999999999</v>
      </c>
      <c r="AA673">
        <v>7.54826</v>
      </c>
      <c r="AB673">
        <v>-1.6379900000000001</v>
      </c>
      <c r="AC673" s="23">
        <v>5.2769999999999997E-2</v>
      </c>
      <c r="AD673" s="23">
        <v>0.37522</v>
      </c>
      <c r="AE673" s="23">
        <v>3.159E-2</v>
      </c>
      <c r="AF673" s="23">
        <v>1.67737</v>
      </c>
      <c r="AG673" s="23">
        <v>83.784859999999995</v>
      </c>
      <c r="AH673" s="23">
        <v>17.820060000000002</v>
      </c>
      <c r="AI673" s="23">
        <v>-0.94876000000000005</v>
      </c>
      <c r="AJ673" s="25">
        <v>3.4910358333333331</v>
      </c>
      <c r="AK673" s="25">
        <v>0.37482470355213954</v>
      </c>
      <c r="AL673" s="25">
        <v>0.11775908503347741</v>
      </c>
      <c r="AM673" s="25">
        <v>5.7736584333205207E-2</v>
      </c>
      <c r="AN673" s="24">
        <v>1.6567145355868302</v>
      </c>
      <c r="AO673" s="23">
        <v>-99</v>
      </c>
    </row>
    <row r="674" spans="1:41" x14ac:dyDescent="0.25">
      <c r="A674" s="4">
        <v>115</v>
      </c>
      <c r="B674">
        <v>90</v>
      </c>
      <c r="C674">
        <v>50</v>
      </c>
      <c r="D674">
        <v>20</v>
      </c>
      <c r="E674" s="3">
        <v>24.5</v>
      </c>
      <c r="F674" s="3">
        <f>1.8*E674+32</f>
        <v>76.099999999999994</v>
      </c>
      <c r="G674" s="3">
        <v>12</v>
      </c>
      <c r="H674" s="3">
        <f>IF(F674&gt;68,G674+(F674-68)*0.2,G823-(68-F674)*0.2)</f>
        <v>13.62</v>
      </c>
      <c r="I674" s="3">
        <v>22</v>
      </c>
      <c r="J674" s="3">
        <f>1.8*I674+32</f>
        <v>71.599999999999994</v>
      </c>
      <c r="K674" s="3">
        <v>7</v>
      </c>
      <c r="L674" s="3">
        <f>IF(J674&gt;67,K674+(J674-67)*0.2,K674-(67-J674)*0.2)</f>
        <v>7.919999999999999</v>
      </c>
      <c r="M674" s="3">
        <f>(C674-H674)/C674*100</f>
        <v>72.760000000000005</v>
      </c>
      <c r="N674" s="3">
        <f>100-(M674+O674)</f>
        <v>11.399999999999991</v>
      </c>
      <c r="O674" s="3">
        <f>L674/C674*100</f>
        <v>15.839999999999998</v>
      </c>
      <c r="P674" s="1" t="s">
        <v>0</v>
      </c>
      <c r="Q674" s="15">
        <v>407448.22</v>
      </c>
      <c r="R674" s="15">
        <v>3659976</v>
      </c>
      <c r="T674">
        <v>2009033</v>
      </c>
      <c r="U674" t="s">
        <v>30</v>
      </c>
      <c r="V674">
        <v>6.386E-2</v>
      </c>
      <c r="W674">
        <v>0.38429999999999997</v>
      </c>
      <c r="X674">
        <v>2.7179999999999999E-2</v>
      </c>
      <c r="Y674">
        <v>1.3254999999999999</v>
      </c>
      <c r="Z674">
        <v>15.73875</v>
      </c>
      <c r="AA674">
        <v>9.4367900000000002</v>
      </c>
      <c r="AB674">
        <v>-1.5223800000000001</v>
      </c>
      <c r="AC674" s="23">
        <v>4.7199999999999999E-2</v>
      </c>
      <c r="AD674" s="23">
        <v>0.38041000000000003</v>
      </c>
      <c r="AE674" s="23">
        <v>3.5220000000000001E-2</v>
      </c>
      <c r="AF674" s="23">
        <v>1.5000899999999999</v>
      </c>
      <c r="AG674" s="23">
        <v>56.80406</v>
      </c>
      <c r="AH674" s="23">
        <v>20.19359</v>
      </c>
      <c r="AI674" s="23">
        <v>-1.07907</v>
      </c>
      <c r="AJ674" s="25">
        <v>2.3668358333333335</v>
      </c>
      <c r="AK674" s="25">
        <v>0.37967920676290073</v>
      </c>
      <c r="AL674" s="25">
        <v>0.14368176951360676</v>
      </c>
      <c r="AM674" s="25">
        <v>6.1688410620911738E-2</v>
      </c>
      <c r="AN674" s="24">
        <v>1.6438501020783132</v>
      </c>
      <c r="AO674" s="23">
        <v>-99</v>
      </c>
    </row>
    <row r="675" spans="1:41" x14ac:dyDescent="0.25">
      <c r="A675" s="4">
        <v>115</v>
      </c>
      <c r="B675">
        <v>120</v>
      </c>
      <c r="C675">
        <v>50</v>
      </c>
      <c r="D675">
        <v>20</v>
      </c>
      <c r="E675" s="3">
        <v>25.5</v>
      </c>
      <c r="F675" s="3">
        <f>1.8*E675+32</f>
        <v>77.900000000000006</v>
      </c>
      <c r="G675" s="3">
        <v>19</v>
      </c>
      <c r="H675" s="3">
        <f>IF(F675&gt;68,G675+(F675-68)*0.2,G824-(68-F675)*0.2)</f>
        <v>20.98</v>
      </c>
      <c r="I675" s="3">
        <v>22</v>
      </c>
      <c r="J675" s="3">
        <f>1.8*I675+32</f>
        <v>71.599999999999994</v>
      </c>
      <c r="K675" s="3">
        <v>11</v>
      </c>
      <c r="L675" s="3">
        <f>IF(J675&gt;67,K675+(J675-67)*0.2,K675-(67-J675)*0.2)</f>
        <v>11.919999999999998</v>
      </c>
      <c r="M675" s="3">
        <f>(C675-H675)/C675*100</f>
        <v>58.040000000000006</v>
      </c>
      <c r="N675" s="3">
        <f>100-(M675+O675)</f>
        <v>18.120000000000005</v>
      </c>
      <c r="O675" s="3">
        <f>L675/C675*100</f>
        <v>23.839999999999996</v>
      </c>
      <c r="P675" s="1" t="s">
        <v>2</v>
      </c>
      <c r="Q675" s="15">
        <v>407448.22</v>
      </c>
      <c r="R675" s="15">
        <v>3659976</v>
      </c>
      <c r="T675">
        <v>2009033</v>
      </c>
      <c r="U675" t="s">
        <v>29</v>
      </c>
      <c r="V675">
        <v>4.8779999999999997E-2</v>
      </c>
      <c r="W675">
        <v>0.37848999999999999</v>
      </c>
      <c r="X675">
        <v>3.4540000000000001E-2</v>
      </c>
      <c r="Y675">
        <v>1.67988</v>
      </c>
      <c r="Z675">
        <v>90.484780000000001</v>
      </c>
      <c r="AA675">
        <v>21.93215</v>
      </c>
      <c r="AB675">
        <v>-0.93945999999999996</v>
      </c>
    </row>
    <row r="676" spans="1:41" x14ac:dyDescent="0.25">
      <c r="A676" s="4">
        <v>115</v>
      </c>
      <c r="B676">
        <v>150</v>
      </c>
      <c r="C676">
        <v>50</v>
      </c>
      <c r="D676">
        <v>20</v>
      </c>
      <c r="E676" s="3">
        <v>26</v>
      </c>
      <c r="F676" s="3">
        <f>1.8*E676+32</f>
        <v>78.800000000000011</v>
      </c>
      <c r="G676" s="3">
        <v>13</v>
      </c>
      <c r="H676" s="3">
        <f>IF(F676&gt;68,G676+(F676-68)*0.2,G825-(68-F676)*0.2)</f>
        <v>15.160000000000002</v>
      </c>
      <c r="I676" s="3">
        <v>22.5</v>
      </c>
      <c r="J676" s="3">
        <f>1.8*I676+32</f>
        <v>72.5</v>
      </c>
      <c r="K676" s="3">
        <v>7</v>
      </c>
      <c r="L676" s="3">
        <f>IF(J676&gt;67,K676+(J676-67)*0.2,K676-(67-J676)*0.2)</f>
        <v>8.1</v>
      </c>
      <c r="M676" s="3">
        <f>(C676-H676)/C676*100</f>
        <v>69.679999999999993</v>
      </c>
      <c r="N676" s="3">
        <f>100-(M676+O676)</f>
        <v>14.120000000000005</v>
      </c>
      <c r="O676" s="3">
        <f>L676/C676*100</f>
        <v>16.2</v>
      </c>
      <c r="P676" s="1" t="s">
        <v>0</v>
      </c>
      <c r="Q676" s="15">
        <v>407448.22</v>
      </c>
      <c r="R676" s="15">
        <v>3659976</v>
      </c>
      <c r="T676">
        <v>2009033</v>
      </c>
      <c r="U676" t="s">
        <v>28</v>
      </c>
      <c r="V676">
        <v>5.2769999999999997E-2</v>
      </c>
      <c r="W676">
        <v>0.37522</v>
      </c>
      <c r="X676">
        <v>3.159E-2</v>
      </c>
      <c r="Y676">
        <v>1.67737</v>
      </c>
      <c r="Z676">
        <v>83.784859999999995</v>
      </c>
      <c r="AA676">
        <v>17.820060000000002</v>
      </c>
      <c r="AB676">
        <v>-0.94876000000000005</v>
      </c>
    </row>
    <row r="677" spans="1:41" x14ac:dyDescent="0.25">
      <c r="A677" s="4">
        <v>115</v>
      </c>
      <c r="B677">
        <v>180</v>
      </c>
      <c r="C677">
        <v>50</v>
      </c>
      <c r="D677">
        <v>20</v>
      </c>
      <c r="E677" s="3">
        <v>26</v>
      </c>
      <c r="F677" s="3">
        <f>1.8*E677+32</f>
        <v>78.800000000000011</v>
      </c>
      <c r="G677" s="3">
        <v>15</v>
      </c>
      <c r="H677" s="3">
        <f>IF(F677&gt;68,G677+(F677-68)*0.2,G826-(68-F677)*0.2)</f>
        <v>17.160000000000004</v>
      </c>
      <c r="I677" s="3">
        <v>22.5</v>
      </c>
      <c r="J677" s="3">
        <f>1.8*I677+32</f>
        <v>72.5</v>
      </c>
      <c r="K677" s="3">
        <v>8</v>
      </c>
      <c r="L677" s="3">
        <f>IF(J677&gt;67,K677+(J677-67)*0.2,K677-(67-J677)*0.2)</f>
        <v>9.1</v>
      </c>
      <c r="M677" s="3">
        <f>(C677-H677)/C677*100</f>
        <v>65.679999999999993</v>
      </c>
      <c r="N677" s="3">
        <f>100-(M677+O677)</f>
        <v>16.120000000000005</v>
      </c>
      <c r="O677" s="3">
        <f>L677/C677*100</f>
        <v>18.2</v>
      </c>
      <c r="P677" s="1" t="s">
        <v>0</v>
      </c>
      <c r="Q677" s="15">
        <v>407448.22</v>
      </c>
      <c r="R677" s="15">
        <v>3659976</v>
      </c>
      <c r="T677">
        <v>2009033</v>
      </c>
      <c r="U677" t="s">
        <v>27</v>
      </c>
      <c r="V677">
        <v>4.7199999999999999E-2</v>
      </c>
      <c r="W677">
        <v>0.38041000000000003</v>
      </c>
      <c r="X677">
        <v>3.5220000000000001E-2</v>
      </c>
      <c r="Y677">
        <v>1.5000899999999999</v>
      </c>
      <c r="Z677">
        <v>56.80406</v>
      </c>
      <c r="AA677">
        <v>20.19359</v>
      </c>
      <c r="AB677">
        <v>-1.07907</v>
      </c>
    </row>
    <row r="678" spans="1:41" x14ac:dyDescent="0.25">
      <c r="Q678" s="18"/>
      <c r="R678" s="18"/>
    </row>
    <row r="679" spans="1:41" ht="51.75" x14ac:dyDescent="0.25">
      <c r="A679" s="14" t="s">
        <v>21</v>
      </c>
      <c r="B679" s="9" t="s">
        <v>20</v>
      </c>
      <c r="C679" s="13" t="s">
        <v>19</v>
      </c>
      <c r="D679" s="12" t="s">
        <v>18</v>
      </c>
      <c r="E679" s="11" t="s">
        <v>17</v>
      </c>
      <c r="F679" s="11" t="s">
        <v>16</v>
      </c>
      <c r="G679" s="11" t="s">
        <v>15</v>
      </c>
      <c r="H679" s="11" t="s">
        <v>14</v>
      </c>
      <c r="I679" s="11" t="s">
        <v>13</v>
      </c>
      <c r="J679" s="11" t="s">
        <v>12</v>
      </c>
      <c r="K679" s="11" t="s">
        <v>11</v>
      </c>
      <c r="L679" s="11" t="s">
        <v>10</v>
      </c>
      <c r="M679" s="10" t="s">
        <v>9</v>
      </c>
      <c r="N679" s="10" t="s">
        <v>8</v>
      </c>
      <c r="O679" s="10" t="s">
        <v>7</v>
      </c>
      <c r="P679" s="9" t="s">
        <v>6</v>
      </c>
      <c r="Q679" s="21" t="s">
        <v>5</v>
      </c>
      <c r="R679" s="20"/>
    </row>
    <row r="680" spans="1:41" x14ac:dyDescent="0.25">
      <c r="E680" s="3"/>
      <c r="F680" s="3"/>
      <c r="G680" s="3"/>
      <c r="H680" s="3"/>
      <c r="I680" s="3"/>
      <c r="J680" s="3"/>
      <c r="K680" s="3"/>
      <c r="L680" s="3"/>
      <c r="M680" s="22" t="s">
        <v>26</v>
      </c>
      <c r="N680" s="22"/>
      <c r="O680" s="22"/>
      <c r="P680" s="22"/>
      <c r="Q680" s="5" t="s">
        <v>4</v>
      </c>
      <c r="R680" s="5" t="s">
        <v>3</v>
      </c>
    </row>
    <row r="681" spans="1:41" x14ac:dyDescent="0.25">
      <c r="A681" s="4" t="s">
        <v>25</v>
      </c>
      <c r="B681">
        <v>30</v>
      </c>
      <c r="C681">
        <v>50</v>
      </c>
      <c r="D681">
        <v>20</v>
      </c>
      <c r="E681" s="3">
        <v>25</v>
      </c>
      <c r="F681" s="3">
        <f>1.8*E681+32</f>
        <v>77</v>
      </c>
      <c r="G681" s="3">
        <v>15</v>
      </c>
      <c r="H681" s="3">
        <f>IF(F681&gt;68,G681+(F681-68)*0.2,G830-(68-F681)*0.2)</f>
        <v>16.8</v>
      </c>
      <c r="I681" s="3">
        <v>22.5</v>
      </c>
      <c r="J681" s="3">
        <f>1.8*I681+32</f>
        <v>72.5</v>
      </c>
      <c r="K681" s="3">
        <v>9</v>
      </c>
      <c r="L681" s="3">
        <f>IF(J681&gt;67,K681+(J681-67)*0.2,K681-(67-J681)*0.2)</f>
        <v>10.1</v>
      </c>
      <c r="M681" s="3">
        <f>(C681-H681)/C681*100</f>
        <v>66.400000000000006</v>
      </c>
      <c r="N681" s="3">
        <f>100-(M681+O681)</f>
        <v>13.399999999999991</v>
      </c>
      <c r="O681" s="3">
        <f>L681/C681*100</f>
        <v>20.2</v>
      </c>
      <c r="P681" s="1" t="s">
        <v>2</v>
      </c>
      <c r="Q681" s="15">
        <v>407448.22</v>
      </c>
      <c r="R681" s="15">
        <v>3660002.5</v>
      </c>
    </row>
    <row r="682" spans="1:41" x14ac:dyDescent="0.25">
      <c r="A682" s="4" t="s">
        <v>25</v>
      </c>
      <c r="B682">
        <v>60</v>
      </c>
      <c r="C682">
        <v>50</v>
      </c>
      <c r="D682">
        <v>20</v>
      </c>
      <c r="E682" s="3">
        <v>25</v>
      </c>
      <c r="F682" s="3">
        <f>1.8*E682+32</f>
        <v>77</v>
      </c>
      <c r="G682" s="3">
        <v>14</v>
      </c>
      <c r="H682" s="3">
        <f>IF(F682&gt;68,G682+(F682-68)*0.2,G831-(68-F682)*0.2)</f>
        <v>15.8</v>
      </c>
      <c r="I682" s="3">
        <v>22.5</v>
      </c>
      <c r="J682" s="3">
        <f>1.8*I682+32</f>
        <v>72.5</v>
      </c>
      <c r="K682" s="3">
        <v>9</v>
      </c>
      <c r="L682" s="3">
        <f>IF(J682&gt;67,K682+(J682-67)*0.2,K682-(67-J682)*0.2)</f>
        <v>10.1</v>
      </c>
      <c r="M682" s="3">
        <f>(C682-H682)/C682*100</f>
        <v>68.400000000000006</v>
      </c>
      <c r="N682" s="3">
        <f>100-(M682+O682)</f>
        <v>11.399999999999991</v>
      </c>
      <c r="O682" s="3">
        <f>L682/C682*100</f>
        <v>20.2</v>
      </c>
      <c r="P682" s="1" t="s">
        <v>2</v>
      </c>
      <c r="Q682" s="15">
        <v>407448.22</v>
      </c>
      <c r="R682" s="15">
        <v>3660002.5</v>
      </c>
    </row>
    <row r="683" spans="1:41" x14ac:dyDescent="0.25">
      <c r="A683" s="4" t="s">
        <v>25</v>
      </c>
      <c r="B683">
        <v>90</v>
      </c>
      <c r="C683">
        <v>50</v>
      </c>
      <c r="D683">
        <v>20</v>
      </c>
      <c r="E683" s="3">
        <v>25.5</v>
      </c>
      <c r="F683" s="3">
        <f>1.8*E683+32</f>
        <v>77.900000000000006</v>
      </c>
      <c r="G683" s="3">
        <v>14</v>
      </c>
      <c r="H683" s="3">
        <f>IF(F683&gt;68,G683+(F683-68)*0.2,G832-(68-F683)*0.2)</f>
        <v>15.98</v>
      </c>
      <c r="I683" s="3">
        <v>22.5</v>
      </c>
      <c r="J683" s="3">
        <f>1.8*I683+32</f>
        <v>72.5</v>
      </c>
      <c r="K683" s="3">
        <v>7</v>
      </c>
      <c r="L683" s="3">
        <f>IF(J683&gt;67,K683+(J683-67)*0.2,K683-(67-J683)*0.2)</f>
        <v>8.1</v>
      </c>
      <c r="M683" s="3">
        <f>(C683-H683)/C683*100</f>
        <v>68.039999999999992</v>
      </c>
      <c r="N683" s="3">
        <f>100-(M683+O683)</f>
        <v>15.760000000000005</v>
      </c>
      <c r="O683" s="3">
        <f>L683/C683*100</f>
        <v>16.2</v>
      </c>
      <c r="P683" s="1" t="s">
        <v>0</v>
      </c>
      <c r="Q683" s="15">
        <v>407448.22</v>
      </c>
      <c r="R683" s="15">
        <v>3660002.5</v>
      </c>
    </row>
    <row r="684" spans="1:41" x14ac:dyDescent="0.25">
      <c r="A684" s="4" t="s">
        <v>25</v>
      </c>
      <c r="B684">
        <v>120</v>
      </c>
      <c r="C684">
        <v>50</v>
      </c>
      <c r="D684">
        <v>20</v>
      </c>
      <c r="E684" s="3">
        <v>26</v>
      </c>
      <c r="F684" s="3">
        <f>1.8*E684+32</f>
        <v>78.800000000000011</v>
      </c>
      <c r="G684" s="3">
        <v>14</v>
      </c>
      <c r="H684" s="3">
        <f>IF(F684&gt;68,G684+(F684-68)*0.2,G833-(68-F684)*0.2)</f>
        <v>16.160000000000004</v>
      </c>
      <c r="I684" s="3">
        <v>22.5</v>
      </c>
      <c r="J684" s="3">
        <f>1.8*I684+32</f>
        <v>72.5</v>
      </c>
      <c r="K684" s="3">
        <v>9</v>
      </c>
      <c r="L684" s="3">
        <f>IF(J684&gt;67,K684+(J684-67)*0.2,K684-(67-J684)*0.2)</f>
        <v>10.1</v>
      </c>
      <c r="M684" s="3">
        <f>(C684-H684)/C684*100</f>
        <v>67.679999999999993</v>
      </c>
      <c r="N684" s="3">
        <f>100-(M684+O684)</f>
        <v>12.120000000000005</v>
      </c>
      <c r="O684" s="3">
        <f>L684/C684*100</f>
        <v>20.2</v>
      </c>
      <c r="P684" s="1" t="s">
        <v>2</v>
      </c>
      <c r="Q684" s="15">
        <v>407448.22</v>
      </c>
      <c r="R684" s="15">
        <v>3660002.5</v>
      </c>
    </row>
    <row r="685" spans="1:41" x14ac:dyDescent="0.25">
      <c r="A685" s="4" t="s">
        <v>25</v>
      </c>
      <c r="B685">
        <v>150</v>
      </c>
      <c r="C685">
        <v>50</v>
      </c>
      <c r="D685">
        <v>20</v>
      </c>
      <c r="E685" s="3">
        <v>24</v>
      </c>
      <c r="F685" s="3">
        <f>1.8*E685+32</f>
        <v>75.2</v>
      </c>
      <c r="G685" s="3">
        <v>13</v>
      </c>
      <c r="H685" s="3">
        <f>IF(F685&gt;68,G685+(F685-68)*0.2,G834-(68-F685)*0.2)</f>
        <v>14.440000000000001</v>
      </c>
      <c r="I685" s="3">
        <v>23</v>
      </c>
      <c r="J685" s="3">
        <f>1.8*I685+32</f>
        <v>73.400000000000006</v>
      </c>
      <c r="K685" s="3">
        <v>5</v>
      </c>
      <c r="L685" s="3">
        <f>IF(J685&gt;67,K685+(J685-67)*0.2,K685-(67-J685)*0.2)</f>
        <v>6.2800000000000011</v>
      </c>
      <c r="M685" s="3">
        <f>(C685-H685)/C685*100</f>
        <v>71.12</v>
      </c>
      <c r="N685" s="3">
        <f>100-(M685+O685)</f>
        <v>16.319999999999993</v>
      </c>
      <c r="O685" s="3">
        <f>L685/C685*100</f>
        <v>12.560000000000002</v>
      </c>
      <c r="P685" s="1" t="s">
        <v>0</v>
      </c>
      <c r="Q685" s="15">
        <v>407448.22</v>
      </c>
      <c r="R685" s="15">
        <v>3660002.5</v>
      </c>
    </row>
    <row r="686" spans="1:41" x14ac:dyDescent="0.25">
      <c r="A686" s="4" t="s">
        <v>25</v>
      </c>
      <c r="B686">
        <v>180</v>
      </c>
      <c r="C686">
        <v>50</v>
      </c>
      <c r="D686">
        <v>20</v>
      </c>
      <c r="E686" s="3">
        <v>24</v>
      </c>
      <c r="F686" s="3">
        <f>1.8*E686+32</f>
        <v>75.2</v>
      </c>
      <c r="G686" s="3">
        <v>13</v>
      </c>
      <c r="H686" s="3">
        <f>IF(F686&gt;68,G686+(F686-68)*0.2,G835-(68-F686)*0.2)</f>
        <v>14.440000000000001</v>
      </c>
      <c r="I686" s="3">
        <v>23</v>
      </c>
      <c r="J686" s="3">
        <f>1.8*I686+32</f>
        <v>73.400000000000006</v>
      </c>
      <c r="K686" s="3">
        <v>7</v>
      </c>
      <c r="L686" s="3">
        <f>IF(J686&gt;67,K686+(J686-67)*0.2,K686-(67-J686)*0.2)</f>
        <v>8.2800000000000011</v>
      </c>
      <c r="M686" s="3">
        <f>(C686-H686)/C686*100</f>
        <v>71.12</v>
      </c>
      <c r="N686" s="3">
        <f>100-(M686+O686)</f>
        <v>12.319999999999993</v>
      </c>
      <c r="O686" s="3">
        <f>L686/C686*100</f>
        <v>16.560000000000002</v>
      </c>
      <c r="P686" s="1" t="s">
        <v>0</v>
      </c>
      <c r="Q686" s="15">
        <v>407448.22</v>
      </c>
      <c r="R686" s="15">
        <v>3660002.5</v>
      </c>
    </row>
    <row r="687" spans="1:41" x14ac:dyDescent="0.25">
      <c r="A687" s="4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1"/>
      <c r="Q687" s="18"/>
      <c r="R687" s="18"/>
    </row>
    <row r="688" spans="1:41" ht="51.75" x14ac:dyDescent="0.25">
      <c r="A688" s="14" t="s">
        <v>21</v>
      </c>
      <c r="B688" s="9" t="s">
        <v>20</v>
      </c>
      <c r="C688" s="13" t="s">
        <v>19</v>
      </c>
      <c r="D688" s="12" t="s">
        <v>18</v>
      </c>
      <c r="E688" s="11" t="s">
        <v>17</v>
      </c>
      <c r="F688" s="11" t="s">
        <v>16</v>
      </c>
      <c r="G688" s="11" t="s">
        <v>15</v>
      </c>
      <c r="H688" s="11" t="s">
        <v>14</v>
      </c>
      <c r="I688" s="11" t="s">
        <v>13</v>
      </c>
      <c r="J688" s="11" t="s">
        <v>12</v>
      </c>
      <c r="K688" s="11" t="s">
        <v>11</v>
      </c>
      <c r="L688" s="11" t="s">
        <v>10</v>
      </c>
      <c r="M688" s="10" t="s">
        <v>9</v>
      </c>
      <c r="N688" s="10" t="s">
        <v>8</v>
      </c>
      <c r="O688" s="10" t="s">
        <v>7</v>
      </c>
      <c r="P688" s="9" t="s">
        <v>6</v>
      </c>
      <c r="Q688" s="21" t="s">
        <v>5</v>
      </c>
      <c r="R688" s="20"/>
    </row>
    <row r="689" spans="1:18" x14ac:dyDescent="0.25">
      <c r="E689" s="3"/>
      <c r="F689" s="3"/>
      <c r="G689" s="3"/>
      <c r="H689" s="3"/>
      <c r="I689" s="3"/>
      <c r="J689" s="3"/>
      <c r="K689" s="3"/>
      <c r="L689" s="3"/>
      <c r="M689" s="22" t="s">
        <v>24</v>
      </c>
      <c r="N689" s="22"/>
      <c r="O689" s="22"/>
      <c r="P689" s="22"/>
      <c r="Q689" s="5" t="s">
        <v>4</v>
      </c>
      <c r="R689" s="5" t="s">
        <v>3</v>
      </c>
    </row>
    <row r="690" spans="1:18" x14ac:dyDescent="0.25">
      <c r="A690" s="4" t="s">
        <v>23</v>
      </c>
      <c r="B690">
        <v>30</v>
      </c>
      <c r="C690">
        <v>50</v>
      </c>
      <c r="D690">
        <v>20</v>
      </c>
      <c r="E690" s="3">
        <v>25.5</v>
      </c>
      <c r="F690" s="3">
        <f>1.8*E690+32</f>
        <v>77.900000000000006</v>
      </c>
      <c r="G690" s="3">
        <v>14</v>
      </c>
      <c r="H690" s="3">
        <f>IF(F690&gt;68,G690+(F690-68)*0.2,G838-(68-F690)*0.2)</f>
        <v>15.98</v>
      </c>
      <c r="I690" s="3">
        <v>23.5</v>
      </c>
      <c r="J690" s="3">
        <f>1.8*I690+32</f>
        <v>74.300000000000011</v>
      </c>
      <c r="K690" s="3">
        <v>8</v>
      </c>
      <c r="L690" s="3">
        <f>IF(J690&gt;67,K690+(J690-67)*0.2,K690-(67-J690)*0.2)</f>
        <v>9.4600000000000026</v>
      </c>
      <c r="M690" s="3">
        <f>(C690-H690)/C690*100</f>
        <v>68.039999999999992</v>
      </c>
      <c r="N690" s="3">
        <f>100-(M690+O690)</f>
        <v>13.040000000000006</v>
      </c>
      <c r="O690" s="3">
        <f>L690/C690*100</f>
        <v>18.920000000000005</v>
      </c>
      <c r="P690" s="1" t="s">
        <v>0</v>
      </c>
      <c r="Q690" s="15">
        <v>407448.22</v>
      </c>
      <c r="R690" s="15">
        <v>3660029</v>
      </c>
    </row>
    <row r="691" spans="1:18" x14ac:dyDescent="0.25">
      <c r="A691" s="4" t="s">
        <v>23</v>
      </c>
      <c r="B691">
        <v>60</v>
      </c>
      <c r="C691">
        <v>50</v>
      </c>
      <c r="D691">
        <v>20</v>
      </c>
      <c r="E691" s="3">
        <v>25.5</v>
      </c>
      <c r="F691" s="3">
        <f>1.8*E691+32</f>
        <v>77.900000000000006</v>
      </c>
      <c r="G691" s="3">
        <v>15</v>
      </c>
      <c r="H691" s="3">
        <f>IF(F691&gt;68,G691+(F691-68)*0.2,G839-(68-F691)*0.2)</f>
        <v>16.98</v>
      </c>
      <c r="I691" s="3">
        <v>23.5</v>
      </c>
      <c r="J691" s="3">
        <f>1.8*I691+32</f>
        <v>74.300000000000011</v>
      </c>
      <c r="K691" s="3">
        <v>8</v>
      </c>
      <c r="L691" s="3">
        <f>IF(J691&gt;67,K691+(J691-67)*0.2,K691-(67-J691)*0.2)</f>
        <v>9.4600000000000026</v>
      </c>
      <c r="M691" s="3">
        <f>(C691-H691)/C691*100</f>
        <v>66.039999999999992</v>
      </c>
      <c r="N691" s="3">
        <f>100-(M691+O691)</f>
        <v>15.040000000000006</v>
      </c>
      <c r="O691" s="3">
        <f>L691/C691*100</f>
        <v>18.920000000000005</v>
      </c>
      <c r="P691" s="1" t="s">
        <v>0</v>
      </c>
      <c r="Q691" s="15">
        <v>407448.22</v>
      </c>
      <c r="R691" s="15">
        <v>3660029</v>
      </c>
    </row>
    <row r="692" spans="1:18" x14ac:dyDescent="0.25">
      <c r="A692" s="4" t="s">
        <v>23</v>
      </c>
      <c r="B692">
        <v>90</v>
      </c>
      <c r="C692">
        <v>50</v>
      </c>
      <c r="D692">
        <v>20</v>
      </c>
      <c r="E692" s="3">
        <v>25</v>
      </c>
      <c r="F692" s="3">
        <f>1.8*E692+32</f>
        <v>77</v>
      </c>
      <c r="G692" s="3">
        <v>14</v>
      </c>
      <c r="H692" s="3">
        <f>IF(F692&gt;68,G692+(F692-68)*0.2,G840-(68-F692)*0.2)</f>
        <v>15.8</v>
      </c>
      <c r="I692" s="3">
        <v>24</v>
      </c>
      <c r="J692" s="3">
        <f>1.8*I692+32</f>
        <v>75.2</v>
      </c>
      <c r="K692" s="3">
        <v>9</v>
      </c>
      <c r="L692" s="3">
        <f>IF(J692&gt;67,K692+(J692-67)*0.2,K692-(67-J692)*0.2)</f>
        <v>10.64</v>
      </c>
      <c r="M692" s="3">
        <f>(C692-H692)/C692*100</f>
        <v>68.400000000000006</v>
      </c>
      <c r="N692" s="3">
        <f>100-(M692+O692)</f>
        <v>10.319999999999993</v>
      </c>
      <c r="O692" s="3">
        <f>L692/C692*100</f>
        <v>21.28</v>
      </c>
      <c r="P692" s="1" t="s">
        <v>2</v>
      </c>
      <c r="Q692" s="15">
        <v>407448.22</v>
      </c>
      <c r="R692" s="15">
        <v>3660029</v>
      </c>
    </row>
    <row r="693" spans="1:18" x14ac:dyDescent="0.25">
      <c r="A693" s="4" t="s">
        <v>23</v>
      </c>
      <c r="B693">
        <v>120</v>
      </c>
      <c r="C693">
        <v>50</v>
      </c>
      <c r="D693">
        <v>20</v>
      </c>
      <c r="E693" s="3">
        <v>25</v>
      </c>
      <c r="F693" s="3">
        <f>1.8*E693+32</f>
        <v>77</v>
      </c>
      <c r="G693" s="3">
        <v>14</v>
      </c>
      <c r="H693" s="3">
        <f>IF(F693&gt;68,G693+(F693-68)*0.2,G841-(68-F693)*0.2)</f>
        <v>15.8</v>
      </c>
      <c r="I693" s="3">
        <v>23.5</v>
      </c>
      <c r="J693" s="3">
        <f>1.8*I693+32</f>
        <v>74.300000000000011</v>
      </c>
      <c r="K693" s="3">
        <v>8</v>
      </c>
      <c r="L693" s="3">
        <f>IF(J693&gt;67,K693+(J693-67)*0.2,K693-(67-J693)*0.2)</f>
        <v>9.4600000000000026</v>
      </c>
      <c r="M693" s="3">
        <f>(C693-H693)/C693*100</f>
        <v>68.400000000000006</v>
      </c>
      <c r="N693" s="3">
        <f>100-(M693+O693)</f>
        <v>12.679999999999993</v>
      </c>
      <c r="O693" s="3">
        <f>L693/C693*100</f>
        <v>18.920000000000005</v>
      </c>
      <c r="P693" s="1" t="s">
        <v>0</v>
      </c>
      <c r="Q693" s="15">
        <v>407448.22</v>
      </c>
      <c r="R693" s="15">
        <v>3660029</v>
      </c>
    </row>
    <row r="694" spans="1:18" x14ac:dyDescent="0.25">
      <c r="A694" s="4" t="s">
        <v>23</v>
      </c>
      <c r="B694">
        <v>150</v>
      </c>
      <c r="C694">
        <v>50</v>
      </c>
      <c r="D694">
        <v>20</v>
      </c>
      <c r="E694" s="3">
        <v>26</v>
      </c>
      <c r="F694" s="3">
        <f>1.8*E694+32</f>
        <v>78.800000000000011</v>
      </c>
      <c r="G694" s="3">
        <v>7</v>
      </c>
      <c r="H694" s="3">
        <f>IF(F694&gt;68,G694+(F694-68)*0.2,G842-(68-F694)*0.2)</f>
        <v>9.1600000000000019</v>
      </c>
      <c r="I694" s="3">
        <v>24</v>
      </c>
      <c r="J694" s="3">
        <f>1.8*I694+32</f>
        <v>75.2</v>
      </c>
      <c r="K694" s="3">
        <v>3</v>
      </c>
      <c r="L694" s="3">
        <f>IF(J694&gt;67,K694+(J694-67)*0.2,K694-(67-J694)*0.2)</f>
        <v>4.6400000000000006</v>
      </c>
      <c r="M694" s="3">
        <f>(C694-H694)/C694*100</f>
        <v>81.679999999999993</v>
      </c>
      <c r="N694" s="3">
        <f>100-(M694+O694)</f>
        <v>9.0400000000000063</v>
      </c>
      <c r="O694" s="3">
        <f>L694/C694*100</f>
        <v>9.2800000000000011</v>
      </c>
      <c r="P694" s="1" t="s">
        <v>1</v>
      </c>
      <c r="Q694" s="15">
        <v>407448.22</v>
      </c>
      <c r="R694" s="15">
        <v>3660029</v>
      </c>
    </row>
    <row r="695" spans="1:18" x14ac:dyDescent="0.25">
      <c r="A695" s="4" t="s">
        <v>23</v>
      </c>
      <c r="B695">
        <v>180</v>
      </c>
      <c r="C695">
        <v>50</v>
      </c>
      <c r="D695">
        <v>20</v>
      </c>
      <c r="E695" s="3">
        <v>26</v>
      </c>
      <c r="F695" s="3">
        <f>1.8*E695+32</f>
        <v>78.800000000000011</v>
      </c>
      <c r="G695" s="3">
        <v>8</v>
      </c>
      <c r="H695" s="3">
        <f>IF(F695&gt;68,G695+(F695-68)*0.2,G843-(68-F695)*0.2)</f>
        <v>10.160000000000002</v>
      </c>
      <c r="I695" s="3">
        <v>24</v>
      </c>
      <c r="J695" s="3">
        <f>1.8*I695+32</f>
        <v>75.2</v>
      </c>
      <c r="K695" s="3">
        <v>4</v>
      </c>
      <c r="L695" s="3">
        <f>IF(J695&gt;67,K695+(J695-67)*0.2,K695-(67-J695)*0.2)</f>
        <v>5.6400000000000006</v>
      </c>
      <c r="M695" s="3">
        <f>(C695-H695)/C695*100</f>
        <v>79.679999999999993</v>
      </c>
      <c r="N695" s="3">
        <f>100-(M695+O695)</f>
        <v>9.0400000000000063</v>
      </c>
      <c r="O695" s="3">
        <f>L695/C695*100</f>
        <v>11.280000000000001</v>
      </c>
      <c r="P695" s="1" t="s">
        <v>0</v>
      </c>
      <c r="Q695" s="15">
        <v>407448.22</v>
      </c>
      <c r="R695" s="15">
        <v>3660029</v>
      </c>
    </row>
    <row r="696" spans="1:18" x14ac:dyDescent="0.25">
      <c r="A696" s="4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1"/>
      <c r="Q696" s="18"/>
      <c r="R696" s="18"/>
    </row>
    <row r="697" spans="1:18" ht="51.75" x14ac:dyDescent="0.25">
      <c r="A697" s="14" t="s">
        <v>21</v>
      </c>
      <c r="B697" s="9" t="s">
        <v>20</v>
      </c>
      <c r="C697" s="13" t="s">
        <v>19</v>
      </c>
      <c r="D697" s="12" t="s">
        <v>18</v>
      </c>
      <c r="E697" s="11" t="s">
        <v>17</v>
      </c>
      <c r="F697" s="11" t="s">
        <v>16</v>
      </c>
      <c r="G697" s="11" t="s">
        <v>15</v>
      </c>
      <c r="H697" s="11" t="s">
        <v>14</v>
      </c>
      <c r="I697" s="11" t="s">
        <v>13</v>
      </c>
      <c r="J697" s="11" t="s">
        <v>12</v>
      </c>
      <c r="K697" s="11" t="s">
        <v>11</v>
      </c>
      <c r="L697" s="11" t="s">
        <v>10</v>
      </c>
      <c r="M697" s="10" t="s">
        <v>9</v>
      </c>
      <c r="N697" s="10" t="s">
        <v>8</v>
      </c>
      <c r="O697" s="10" t="s">
        <v>7</v>
      </c>
      <c r="P697" s="9" t="s">
        <v>6</v>
      </c>
      <c r="Q697" s="21" t="s">
        <v>5</v>
      </c>
      <c r="R697" s="20"/>
    </row>
    <row r="698" spans="1:18" x14ac:dyDescent="0.25">
      <c r="C698" s="16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1"/>
      <c r="Q698" s="5" t="s">
        <v>4</v>
      </c>
      <c r="R698" s="5" t="s">
        <v>3</v>
      </c>
    </row>
    <row r="699" spans="1:18" x14ac:dyDescent="0.25">
      <c r="A699" s="4">
        <v>121</v>
      </c>
      <c r="B699">
        <v>30</v>
      </c>
      <c r="C699" s="16">
        <v>50</v>
      </c>
      <c r="D699">
        <v>20</v>
      </c>
      <c r="E699" s="3">
        <v>25</v>
      </c>
      <c r="F699" s="3">
        <f>1.8*E699+32</f>
        <v>77</v>
      </c>
      <c r="G699" s="3">
        <v>18</v>
      </c>
      <c r="H699" s="3">
        <f>IF(F699&gt;68,G699+(F699-68)*0.2,G846-(68-F699)*0.2)</f>
        <v>19.8</v>
      </c>
      <c r="I699" s="3">
        <v>24</v>
      </c>
      <c r="J699" s="3">
        <f>1.8*I699+32</f>
        <v>75.2</v>
      </c>
      <c r="K699" s="3">
        <v>10</v>
      </c>
      <c r="L699" s="3">
        <f>IF(J699&gt;68,K699+(J699-68)*0.2,K699-(68-J699)*0.2)</f>
        <v>11.440000000000001</v>
      </c>
      <c r="M699" s="3">
        <f>(C699-H699)/C699*100</f>
        <v>60.4</v>
      </c>
      <c r="N699" s="3">
        <f>100-(M699+O699)</f>
        <v>16.72</v>
      </c>
      <c r="O699" s="3">
        <f>L699/C699*100</f>
        <v>22.880000000000003</v>
      </c>
      <c r="P699" s="1" t="s">
        <v>2</v>
      </c>
      <c r="Q699" s="15">
        <v>407433.99599999998</v>
      </c>
      <c r="R699" s="15">
        <v>3659870</v>
      </c>
    </row>
    <row r="700" spans="1:18" x14ac:dyDescent="0.25">
      <c r="A700" s="4">
        <v>121</v>
      </c>
      <c r="B700">
        <v>60</v>
      </c>
      <c r="C700" s="16">
        <v>50</v>
      </c>
      <c r="D700">
        <v>20</v>
      </c>
      <c r="E700" s="3">
        <v>25</v>
      </c>
      <c r="F700" s="3">
        <f>1.8*E700+32</f>
        <v>77</v>
      </c>
      <c r="G700" s="3">
        <v>20</v>
      </c>
      <c r="H700" s="3">
        <f>IF(F700&gt;68,G700+(F700-68)*0.2,G847-(68-F700)*0.2)</f>
        <v>21.8</v>
      </c>
      <c r="I700" s="3">
        <v>24</v>
      </c>
      <c r="J700" s="3">
        <f>1.8*I700+32</f>
        <v>75.2</v>
      </c>
      <c r="K700" s="3">
        <v>12</v>
      </c>
      <c r="L700" s="3">
        <f>IF(J700&gt;68,K700+(J700-68)*0.2,K700-(68-J700)*0.2)</f>
        <v>13.440000000000001</v>
      </c>
      <c r="M700" s="3">
        <f>(C700-H700)/C700*100</f>
        <v>56.399999999999991</v>
      </c>
      <c r="N700" s="3">
        <f>100-(M700+O700)</f>
        <v>16.72</v>
      </c>
      <c r="O700" s="3">
        <f>L700/C700*100</f>
        <v>26.880000000000003</v>
      </c>
      <c r="P700" s="1" t="s">
        <v>2</v>
      </c>
      <c r="Q700" s="15">
        <v>407433.99599999998</v>
      </c>
      <c r="R700" s="15">
        <v>3659870</v>
      </c>
    </row>
    <row r="701" spans="1:18" x14ac:dyDescent="0.25">
      <c r="A701" s="4">
        <v>121</v>
      </c>
      <c r="B701">
        <v>90</v>
      </c>
      <c r="C701" s="16">
        <v>50</v>
      </c>
      <c r="D701">
        <v>20</v>
      </c>
      <c r="E701" s="3">
        <v>25.5</v>
      </c>
      <c r="F701" s="3">
        <f>1.8*E701+32</f>
        <v>77.900000000000006</v>
      </c>
      <c r="G701" s="3">
        <v>18</v>
      </c>
      <c r="H701" s="3">
        <f>IF(F701&gt;68,G701+(F701-68)*0.2,G848-(68-F701)*0.2)</f>
        <v>19.98</v>
      </c>
      <c r="I701" s="3">
        <v>24</v>
      </c>
      <c r="J701" s="3">
        <f>1.8*I701+32</f>
        <v>75.2</v>
      </c>
      <c r="K701" s="3">
        <v>8</v>
      </c>
      <c r="L701" s="3">
        <f>IF(J701&gt;68,K701+(J701-68)*0.2,K701-(68-J701)*0.2)</f>
        <v>9.4400000000000013</v>
      </c>
      <c r="M701" s="3">
        <f>(C701-H701)/C701*100</f>
        <v>60.040000000000006</v>
      </c>
      <c r="N701" s="3">
        <f>100-(M701+O701)</f>
        <v>21.079999999999984</v>
      </c>
      <c r="O701" s="3">
        <f>L701/C701*100</f>
        <v>18.880000000000003</v>
      </c>
      <c r="P701" s="1" t="s">
        <v>0</v>
      </c>
      <c r="Q701" s="15">
        <v>407433.99599999998</v>
      </c>
      <c r="R701" s="15">
        <v>3659870</v>
      </c>
    </row>
    <row r="702" spans="1:18" x14ac:dyDescent="0.25">
      <c r="A702" s="4">
        <v>121</v>
      </c>
      <c r="B702">
        <v>120</v>
      </c>
      <c r="C702" s="16">
        <v>50</v>
      </c>
      <c r="D702">
        <v>20</v>
      </c>
      <c r="E702" s="3">
        <v>26</v>
      </c>
      <c r="F702" s="3">
        <f>1.8*E702+32</f>
        <v>78.800000000000011</v>
      </c>
      <c r="G702" s="3">
        <v>16</v>
      </c>
      <c r="H702" s="3">
        <f>IF(F702&gt;68,G702+(F702-68)*0.2,G850-(68-F702)*0.2)</f>
        <v>18.160000000000004</v>
      </c>
      <c r="I702" s="3">
        <v>24</v>
      </c>
      <c r="J702" s="3">
        <f>1.8*I702+32</f>
        <v>75.2</v>
      </c>
      <c r="K702" s="3">
        <v>8</v>
      </c>
      <c r="L702" s="3">
        <f>IF(J702&gt;68,K702+(J702-68)*0.2,K702-(68-J702)*0.2)</f>
        <v>9.4400000000000013</v>
      </c>
      <c r="M702" s="3">
        <f>(C702-H702)/C702*100</f>
        <v>63.679999999999993</v>
      </c>
      <c r="N702" s="3">
        <f>100-(M702+O702)</f>
        <v>17.439999999999998</v>
      </c>
      <c r="O702" s="3">
        <f>L702/C702*100</f>
        <v>18.880000000000003</v>
      </c>
      <c r="P702" s="1" t="s">
        <v>0</v>
      </c>
      <c r="Q702" s="15">
        <v>407433.99599999998</v>
      </c>
      <c r="R702" s="15">
        <v>3659870</v>
      </c>
    </row>
    <row r="703" spans="1:18" x14ac:dyDescent="0.25">
      <c r="A703" s="4">
        <v>121</v>
      </c>
      <c r="B703">
        <v>150</v>
      </c>
      <c r="C703" s="16">
        <v>50</v>
      </c>
      <c r="D703">
        <v>20</v>
      </c>
      <c r="E703" s="3">
        <v>25</v>
      </c>
      <c r="F703" s="3">
        <f>1.8*E703+32</f>
        <v>77</v>
      </c>
      <c r="G703" s="3">
        <v>18</v>
      </c>
      <c r="H703" s="3">
        <f>IF(F703&gt;68,G703+(F703-68)*0.2,G851-(68-F703)*0.2)</f>
        <v>19.8</v>
      </c>
      <c r="I703" s="3">
        <v>24</v>
      </c>
      <c r="J703" s="3">
        <f>1.8*I703+32</f>
        <v>75.2</v>
      </c>
      <c r="K703" s="3">
        <v>10</v>
      </c>
      <c r="L703" s="3">
        <f>IF(J703&gt;68,K703+(J703-68)*0.2,K703-(68-J703)*0.2)</f>
        <v>11.440000000000001</v>
      </c>
      <c r="M703" s="3">
        <f>(C703-H703)/C703*100</f>
        <v>60.4</v>
      </c>
      <c r="N703" s="3">
        <f>100-(M703+O703)</f>
        <v>16.72</v>
      </c>
      <c r="O703" s="3">
        <f>L703/C703*100</f>
        <v>22.880000000000003</v>
      </c>
      <c r="P703" s="1" t="s">
        <v>2</v>
      </c>
      <c r="Q703" s="15">
        <v>407433.99599999998</v>
      </c>
      <c r="R703" s="15">
        <v>3659870</v>
      </c>
    </row>
    <row r="704" spans="1:18" x14ac:dyDescent="0.25">
      <c r="A704" s="4">
        <v>121</v>
      </c>
      <c r="B704">
        <v>180</v>
      </c>
      <c r="C704" s="16">
        <v>50</v>
      </c>
      <c r="D704">
        <v>20</v>
      </c>
      <c r="E704" s="3">
        <v>25</v>
      </c>
      <c r="F704" s="3">
        <f>1.8*E704+32</f>
        <v>77</v>
      </c>
      <c r="G704" s="3">
        <v>16</v>
      </c>
      <c r="H704" s="3">
        <f>IF(F704&gt;68,G704+(F704-68)*0.2,G852-(68-F704)*0.2)</f>
        <v>17.8</v>
      </c>
      <c r="I704" s="3">
        <v>24</v>
      </c>
      <c r="J704" s="3">
        <f>1.8*I704+32</f>
        <v>75.2</v>
      </c>
      <c r="K704" s="3">
        <v>8</v>
      </c>
      <c r="L704" s="3">
        <f>IF(J704&gt;68,K704+(J704-68)*0.2,K704-(68-J704)*0.2)</f>
        <v>9.4400000000000013</v>
      </c>
      <c r="M704" s="3">
        <f>(C704-H704)/C704*100</f>
        <v>64.400000000000006</v>
      </c>
      <c r="N704" s="3">
        <f>100-(M704+O704)</f>
        <v>16.72</v>
      </c>
      <c r="O704" s="3">
        <f>L704/C704*100</f>
        <v>18.880000000000003</v>
      </c>
      <c r="P704" s="1" t="s">
        <v>0</v>
      </c>
      <c r="Q704" s="15">
        <v>407433.99599999998</v>
      </c>
      <c r="R704" s="15">
        <v>3659870</v>
      </c>
    </row>
    <row r="705" spans="1:19" x14ac:dyDescent="0.25">
      <c r="Q705" s="18"/>
      <c r="R705" s="18"/>
    </row>
    <row r="706" spans="1:19" ht="51.75" x14ac:dyDescent="0.25">
      <c r="A706" s="14" t="s">
        <v>21</v>
      </c>
      <c r="B706" s="9" t="s">
        <v>20</v>
      </c>
      <c r="C706" s="13" t="s">
        <v>19</v>
      </c>
      <c r="D706" s="12" t="s">
        <v>18</v>
      </c>
      <c r="E706" s="11" t="s">
        <v>17</v>
      </c>
      <c r="F706" s="11" t="s">
        <v>16</v>
      </c>
      <c r="G706" s="11" t="s">
        <v>15</v>
      </c>
      <c r="H706" s="11" t="s">
        <v>14</v>
      </c>
      <c r="I706" s="11" t="s">
        <v>13</v>
      </c>
      <c r="J706" s="11" t="s">
        <v>12</v>
      </c>
      <c r="K706" s="11" t="s">
        <v>11</v>
      </c>
      <c r="L706" s="11" t="s">
        <v>10</v>
      </c>
      <c r="M706" s="10" t="s">
        <v>9</v>
      </c>
      <c r="N706" s="10" t="s">
        <v>8</v>
      </c>
      <c r="O706" s="10" t="s">
        <v>7</v>
      </c>
      <c r="P706" s="9" t="s">
        <v>6</v>
      </c>
      <c r="Q706" s="19" t="s">
        <v>5</v>
      </c>
      <c r="R706" s="19"/>
    </row>
    <row r="707" spans="1:19" x14ac:dyDescent="0.25"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1"/>
      <c r="Q707" s="5" t="s">
        <v>4</v>
      </c>
      <c r="R707" s="5" t="s">
        <v>3</v>
      </c>
      <c r="S707" s="1"/>
    </row>
    <row r="708" spans="1:19" x14ac:dyDescent="0.25">
      <c r="A708" s="4">
        <v>122</v>
      </c>
      <c r="B708">
        <v>30</v>
      </c>
      <c r="C708">
        <v>50</v>
      </c>
      <c r="D708">
        <v>20</v>
      </c>
      <c r="E708" s="3">
        <v>26</v>
      </c>
      <c r="F708" s="3">
        <f>1.8*E708+32</f>
        <v>78.800000000000011</v>
      </c>
      <c r="G708" s="3">
        <v>16</v>
      </c>
      <c r="H708" s="3">
        <f>IF(F708&gt;68,G708+(F708-68)*0.2,G856-(68-F708)*0.2)</f>
        <v>18.160000000000004</v>
      </c>
      <c r="I708" s="3">
        <v>23.5</v>
      </c>
      <c r="J708" s="3">
        <f>1.8*I708+32</f>
        <v>74.300000000000011</v>
      </c>
      <c r="K708" s="3">
        <v>9</v>
      </c>
      <c r="L708" s="3">
        <f>IF(J708&gt;67,K708+(J708-67)*0.2,K708-(67-J708)*0.2)</f>
        <v>10.460000000000003</v>
      </c>
      <c r="M708" s="3">
        <f>(C708-H708)/C708*100</f>
        <v>63.679999999999993</v>
      </c>
      <c r="N708" s="3">
        <f>100-(M708+O708)</f>
        <v>15.400000000000006</v>
      </c>
      <c r="O708" s="3">
        <f>L708/C708*100</f>
        <v>20.920000000000005</v>
      </c>
      <c r="P708" s="1" t="s">
        <v>2</v>
      </c>
      <c r="Q708" s="15">
        <v>407433.99599999998</v>
      </c>
      <c r="R708" s="15">
        <v>3659896.5</v>
      </c>
      <c r="S708" s="1"/>
    </row>
    <row r="709" spans="1:19" x14ac:dyDescent="0.25">
      <c r="A709" s="4">
        <v>122</v>
      </c>
      <c r="B709">
        <v>60</v>
      </c>
      <c r="C709">
        <v>50</v>
      </c>
      <c r="D709">
        <v>20</v>
      </c>
      <c r="E709" s="3">
        <v>26</v>
      </c>
      <c r="F709" s="3">
        <f>1.8*E709+32</f>
        <v>78.800000000000011</v>
      </c>
      <c r="G709" s="3">
        <v>17</v>
      </c>
      <c r="H709" s="3">
        <f>IF(F709&gt;68,G709+(F709-68)*0.2,G857-(68-F709)*0.2)</f>
        <v>19.160000000000004</v>
      </c>
      <c r="I709" s="3">
        <v>23.5</v>
      </c>
      <c r="J709" s="3">
        <f>1.8*I709+32</f>
        <v>74.300000000000011</v>
      </c>
      <c r="K709" s="3">
        <v>10</v>
      </c>
      <c r="L709" s="3">
        <f>IF(J709&gt;67,K709+(J709-67)*0.2,K709-(67-J709)*0.2)</f>
        <v>11.460000000000003</v>
      </c>
      <c r="M709" s="3">
        <f>(C709-H709)/C709*100</f>
        <v>61.679999999999993</v>
      </c>
      <c r="N709" s="3">
        <f>100-(M709+O709)</f>
        <v>15.400000000000006</v>
      </c>
      <c r="O709" s="3">
        <f>L709/C709*100</f>
        <v>22.920000000000005</v>
      </c>
      <c r="P709" s="1" t="s">
        <v>2</v>
      </c>
      <c r="Q709" s="15">
        <v>407433.99599999998</v>
      </c>
      <c r="R709" s="15">
        <v>3659896.5</v>
      </c>
      <c r="S709" s="1"/>
    </row>
    <row r="710" spans="1:19" x14ac:dyDescent="0.25">
      <c r="A710" s="4">
        <v>122</v>
      </c>
      <c r="B710">
        <v>90</v>
      </c>
      <c r="C710">
        <v>50</v>
      </c>
      <c r="D710">
        <v>20</v>
      </c>
      <c r="E710" s="3">
        <v>24</v>
      </c>
      <c r="F710" s="3">
        <f>1.8*E710+32</f>
        <v>75.2</v>
      </c>
      <c r="G710" s="3">
        <v>15</v>
      </c>
      <c r="H710" s="3">
        <f>IF(F710&gt;68,G710+(F710-68)*0.2,G858-(68-F710)*0.2)</f>
        <v>16.440000000000001</v>
      </c>
      <c r="I710" s="3">
        <v>23</v>
      </c>
      <c r="J710" s="3">
        <f>1.8*I710+32</f>
        <v>73.400000000000006</v>
      </c>
      <c r="K710" s="3">
        <v>7</v>
      </c>
      <c r="L710" s="3">
        <f>IF(J710&gt;67,K710+(J710-67)*0.2,K710-(67-J710)*0.2)</f>
        <v>8.2800000000000011</v>
      </c>
      <c r="M710" s="3">
        <f>(C710-H710)/C710*100</f>
        <v>67.12</v>
      </c>
      <c r="N710" s="3">
        <f>100-(M710+O710)</f>
        <v>16.319999999999993</v>
      </c>
      <c r="O710" s="3">
        <f>L710/C710*100</f>
        <v>16.560000000000002</v>
      </c>
      <c r="P710" s="1" t="s">
        <v>0</v>
      </c>
      <c r="Q710" s="15">
        <v>407433.99599999998</v>
      </c>
      <c r="R710" s="15">
        <v>3659896.5</v>
      </c>
      <c r="S710" s="1"/>
    </row>
    <row r="711" spans="1:19" x14ac:dyDescent="0.25">
      <c r="A711" s="4">
        <v>122</v>
      </c>
      <c r="B711">
        <v>120</v>
      </c>
      <c r="C711">
        <v>50</v>
      </c>
      <c r="D711">
        <v>20</v>
      </c>
      <c r="E711" s="3">
        <v>25.5</v>
      </c>
      <c r="F711" s="3">
        <f>1.8*E711+32</f>
        <v>77.900000000000006</v>
      </c>
      <c r="G711" s="3">
        <v>18</v>
      </c>
      <c r="H711" s="3">
        <f>IF(F711&gt;68,G711+(F711-68)*0.2,G859-(68-F711)*0.2)</f>
        <v>19.98</v>
      </c>
      <c r="I711" s="3">
        <v>23</v>
      </c>
      <c r="J711" s="3">
        <f>1.8*I711+32</f>
        <v>73.400000000000006</v>
      </c>
      <c r="K711" s="3">
        <v>10</v>
      </c>
      <c r="L711" s="3">
        <f>IF(J711&gt;67,K711+(J711-67)*0.2,K711-(67-J711)*0.2)</f>
        <v>11.280000000000001</v>
      </c>
      <c r="M711" s="3">
        <f>(C711-H711)/C711*100</f>
        <v>60.040000000000006</v>
      </c>
      <c r="N711" s="3">
        <f>100-(M711+O711)</f>
        <v>17.399999999999991</v>
      </c>
      <c r="O711" s="3">
        <f>L711/C711*100</f>
        <v>22.560000000000002</v>
      </c>
      <c r="P711" s="1" t="s">
        <v>2</v>
      </c>
      <c r="Q711" s="15">
        <v>407433.99599999998</v>
      </c>
      <c r="R711" s="15">
        <v>3659896.5</v>
      </c>
      <c r="S711" s="1"/>
    </row>
    <row r="712" spans="1:19" x14ac:dyDescent="0.25">
      <c r="A712" s="4">
        <v>122</v>
      </c>
      <c r="B712">
        <v>150</v>
      </c>
      <c r="C712">
        <v>50</v>
      </c>
      <c r="D712">
        <v>20</v>
      </c>
      <c r="E712" s="3">
        <v>26</v>
      </c>
      <c r="F712" s="3">
        <f>1.8*E712+32</f>
        <v>78.800000000000011</v>
      </c>
      <c r="G712" s="3">
        <v>17</v>
      </c>
      <c r="H712" s="3">
        <f>IF(F712&gt;68,G712+(F712-68)*0.2,G860-(68-F712)*0.2)</f>
        <v>19.160000000000004</v>
      </c>
      <c r="I712" s="3">
        <v>23</v>
      </c>
      <c r="J712" s="3">
        <f>1.8*I712+32</f>
        <v>73.400000000000006</v>
      </c>
      <c r="K712" s="3">
        <v>8</v>
      </c>
      <c r="L712" s="3">
        <f>IF(J712&gt;67,K712+(J712-67)*0.2,K712-(67-J712)*0.2)</f>
        <v>9.2800000000000011</v>
      </c>
      <c r="M712" s="3">
        <f>(C712-H712)/C712*100</f>
        <v>61.679999999999993</v>
      </c>
      <c r="N712" s="3">
        <f>100-(M712+O712)</f>
        <v>19.760000000000005</v>
      </c>
      <c r="O712" s="3">
        <f>L712/C712*100</f>
        <v>18.560000000000002</v>
      </c>
      <c r="P712" s="1" t="s">
        <v>0</v>
      </c>
      <c r="Q712" s="15">
        <v>407433.99599999998</v>
      </c>
      <c r="R712" s="15">
        <v>3659896.5</v>
      </c>
      <c r="S712" s="1"/>
    </row>
    <row r="713" spans="1:19" x14ac:dyDescent="0.25">
      <c r="A713" s="4">
        <v>122</v>
      </c>
      <c r="B713">
        <v>180</v>
      </c>
      <c r="C713">
        <v>50</v>
      </c>
      <c r="D713">
        <v>20</v>
      </c>
      <c r="E713" s="3">
        <v>26</v>
      </c>
      <c r="F713" s="3">
        <f>1.8*E713+32</f>
        <v>78.800000000000011</v>
      </c>
      <c r="G713" s="3">
        <v>15</v>
      </c>
      <c r="H713" s="3">
        <f>IF(F713&gt;68,G713+(F713-68)*0.2,G861-(68-F713)*0.2)</f>
        <v>17.160000000000004</v>
      </c>
      <c r="I713" s="3">
        <v>23.5</v>
      </c>
      <c r="J713" s="3">
        <f>1.8*I713+32</f>
        <v>74.300000000000011</v>
      </c>
      <c r="K713" s="3">
        <v>7</v>
      </c>
      <c r="L713" s="3">
        <f>IF(J713&gt;67,K713+(J713-67)*0.2,K713-(67-J713)*0.2)</f>
        <v>8.4600000000000026</v>
      </c>
      <c r="M713" s="3">
        <f>(C713-H713)/C713*100</f>
        <v>65.679999999999993</v>
      </c>
      <c r="N713" s="3">
        <f>100-(M713+O713)</f>
        <v>17.400000000000006</v>
      </c>
      <c r="O713" s="3">
        <f>L713/C713*100</f>
        <v>16.920000000000005</v>
      </c>
      <c r="P713" s="1" t="s">
        <v>0</v>
      </c>
      <c r="Q713" s="15">
        <v>407433.99599999998</v>
      </c>
      <c r="R713" s="15">
        <v>3659896.5</v>
      </c>
      <c r="S713" s="1"/>
    </row>
    <row r="715" spans="1:19" ht="51.75" x14ac:dyDescent="0.25">
      <c r="A715" s="14" t="s">
        <v>21</v>
      </c>
      <c r="B715" s="9" t="s">
        <v>20</v>
      </c>
      <c r="C715" s="13" t="s">
        <v>19</v>
      </c>
      <c r="D715" s="12" t="s">
        <v>18</v>
      </c>
      <c r="E715" s="11" t="s">
        <v>17</v>
      </c>
      <c r="F715" s="11" t="s">
        <v>16</v>
      </c>
      <c r="G715" s="11" t="s">
        <v>15</v>
      </c>
      <c r="H715" s="11" t="s">
        <v>14</v>
      </c>
      <c r="I715" s="11" t="s">
        <v>13</v>
      </c>
      <c r="J715" s="11" t="s">
        <v>12</v>
      </c>
      <c r="K715" s="11" t="s">
        <v>11</v>
      </c>
      <c r="L715" s="11" t="s">
        <v>10</v>
      </c>
      <c r="M715" s="10" t="s">
        <v>9</v>
      </c>
      <c r="N715" s="10" t="s">
        <v>8</v>
      </c>
      <c r="O715" s="10" t="s">
        <v>7</v>
      </c>
      <c r="P715" s="9" t="s">
        <v>6</v>
      </c>
      <c r="Q715" s="19" t="s">
        <v>5</v>
      </c>
      <c r="R715" s="19"/>
      <c r="S715" s="6"/>
    </row>
    <row r="716" spans="1:19" x14ac:dyDescent="0.25"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1"/>
      <c r="Q716" s="5" t="s">
        <v>4</v>
      </c>
      <c r="R716" s="5" t="s">
        <v>3</v>
      </c>
      <c r="S716" s="1"/>
    </row>
    <row r="717" spans="1:19" x14ac:dyDescent="0.25">
      <c r="A717" s="4">
        <v>123</v>
      </c>
      <c r="B717">
        <v>30</v>
      </c>
      <c r="C717">
        <v>50</v>
      </c>
      <c r="D717">
        <v>20</v>
      </c>
      <c r="E717" s="3">
        <v>25</v>
      </c>
      <c r="F717" s="3">
        <f>1.8*E717+32</f>
        <v>77</v>
      </c>
      <c r="G717" s="3">
        <v>17</v>
      </c>
      <c r="H717" s="3">
        <f>IF(F717&gt;68,G717+(F717-68)*0.2,G865-(68-F717)*0.2)</f>
        <v>18.8</v>
      </c>
      <c r="I717" s="3">
        <v>23</v>
      </c>
      <c r="J717" s="3">
        <f>1.8*I717+32</f>
        <v>73.400000000000006</v>
      </c>
      <c r="K717" s="3">
        <v>8</v>
      </c>
      <c r="L717" s="3">
        <f>IF(J717&gt;67,K717+(J717-67)*0.2,K717-(67-J717)*0.2)</f>
        <v>9.2800000000000011</v>
      </c>
      <c r="M717" s="3">
        <f>(C717-H717)/C717*100</f>
        <v>62.4</v>
      </c>
      <c r="N717" s="3">
        <f>100-(M717+O717)</f>
        <v>19.039999999999992</v>
      </c>
      <c r="O717" s="3">
        <f>L717/C717*100</f>
        <v>18.560000000000002</v>
      </c>
      <c r="P717" s="1" t="s">
        <v>0</v>
      </c>
      <c r="Q717" s="15">
        <v>407433.99599999998</v>
      </c>
      <c r="R717" s="15">
        <v>3659923</v>
      </c>
      <c r="S717" s="1"/>
    </row>
    <row r="718" spans="1:19" x14ac:dyDescent="0.25">
      <c r="A718" s="4">
        <v>123</v>
      </c>
      <c r="B718">
        <v>60</v>
      </c>
      <c r="C718">
        <v>50</v>
      </c>
      <c r="D718">
        <v>20</v>
      </c>
      <c r="E718" s="3">
        <v>25.5</v>
      </c>
      <c r="F718" s="3">
        <f>1.8*E718+32</f>
        <v>77.900000000000006</v>
      </c>
      <c r="G718" s="3">
        <v>16</v>
      </c>
      <c r="H718" s="3">
        <f>IF(F718&gt;68,G718+(F718-68)*0.2,G866-(68-F718)*0.2)</f>
        <v>17.98</v>
      </c>
      <c r="I718" s="3">
        <v>23</v>
      </c>
      <c r="J718" s="3">
        <f>1.8*I718+32</f>
        <v>73.400000000000006</v>
      </c>
      <c r="K718" s="3">
        <v>8</v>
      </c>
      <c r="L718" s="3">
        <f>IF(J718&gt;67,K718+(J718-67)*0.2,K718-(67-J718)*0.2)</f>
        <v>9.2800000000000011</v>
      </c>
      <c r="M718" s="3">
        <f>(C718-H718)/C718*100</f>
        <v>64.039999999999992</v>
      </c>
      <c r="N718" s="3">
        <f>100-(M718+O718)</f>
        <v>17.400000000000006</v>
      </c>
      <c r="O718" s="3">
        <f>L718/C718*100</f>
        <v>18.560000000000002</v>
      </c>
      <c r="P718" s="1" t="s">
        <v>0</v>
      </c>
      <c r="Q718" s="15">
        <v>407433.99599999998</v>
      </c>
      <c r="R718" s="15">
        <v>3659923</v>
      </c>
      <c r="S718" s="1"/>
    </row>
    <row r="719" spans="1:19" x14ac:dyDescent="0.25">
      <c r="A719" s="4">
        <v>123</v>
      </c>
      <c r="B719">
        <v>90</v>
      </c>
      <c r="C719">
        <v>50</v>
      </c>
      <c r="D719">
        <v>20</v>
      </c>
      <c r="E719" s="3">
        <v>26</v>
      </c>
      <c r="F719" s="3">
        <f>1.8*E719+32</f>
        <v>78.800000000000011</v>
      </c>
      <c r="G719" s="3">
        <v>9</v>
      </c>
      <c r="H719" s="3">
        <f>IF(F719&gt;68,G719+(F719-68)*0.2,G867-(68-F719)*0.2)</f>
        <v>11.160000000000002</v>
      </c>
      <c r="I719" s="3">
        <v>23</v>
      </c>
      <c r="J719" s="3">
        <f>1.8*I719+32</f>
        <v>73.400000000000006</v>
      </c>
      <c r="K719" s="3">
        <v>4</v>
      </c>
      <c r="L719" s="3">
        <f>IF(J719&gt;67,K719+(J719-67)*0.2,K719-(67-J719)*0.2)</f>
        <v>5.2800000000000011</v>
      </c>
      <c r="M719" s="3">
        <f>(C719-H719)/C719*100</f>
        <v>77.679999999999993</v>
      </c>
      <c r="N719" s="3">
        <f>100-(M719+O719)</f>
        <v>11.760000000000005</v>
      </c>
      <c r="O719" s="3">
        <f>L719/C719*100</f>
        <v>10.560000000000002</v>
      </c>
      <c r="P719" s="1" t="s">
        <v>0</v>
      </c>
      <c r="Q719" s="15">
        <v>407433.99599999998</v>
      </c>
      <c r="R719" s="15">
        <v>3659923</v>
      </c>
      <c r="S719" s="1"/>
    </row>
    <row r="720" spans="1:19" x14ac:dyDescent="0.25">
      <c r="A720" s="4">
        <v>123</v>
      </c>
      <c r="B720">
        <v>120</v>
      </c>
      <c r="C720">
        <v>50</v>
      </c>
      <c r="D720">
        <v>20</v>
      </c>
      <c r="E720" s="3">
        <v>26</v>
      </c>
      <c r="F720" s="3">
        <f>1.8*E720+32</f>
        <v>78.800000000000011</v>
      </c>
      <c r="G720" s="3">
        <v>15</v>
      </c>
      <c r="H720" s="3">
        <f>IF(F720&gt;68,G720+(F720-68)*0.2,G868-(68-F720)*0.2)</f>
        <v>17.160000000000004</v>
      </c>
      <c r="I720" s="3">
        <v>23</v>
      </c>
      <c r="J720" s="3">
        <f>1.8*I720+32</f>
        <v>73.400000000000006</v>
      </c>
      <c r="K720" s="3">
        <v>8</v>
      </c>
      <c r="L720" s="3">
        <f>IF(J720&gt;67,K720+(J720-67)*0.2,K720-(67-J720)*0.2)</f>
        <v>9.2800000000000011</v>
      </c>
      <c r="M720" s="3">
        <f>(C720-H720)/C720*100</f>
        <v>65.679999999999993</v>
      </c>
      <c r="N720" s="3">
        <f>100-(M720+O720)</f>
        <v>15.760000000000005</v>
      </c>
      <c r="O720" s="3">
        <f>L720/C720*100</f>
        <v>18.560000000000002</v>
      </c>
      <c r="P720" s="1" t="s">
        <v>0</v>
      </c>
      <c r="Q720" s="15">
        <v>407433.99599999998</v>
      </c>
      <c r="R720" s="15">
        <v>3659923</v>
      </c>
      <c r="S720" s="1"/>
    </row>
    <row r="721" spans="1:20" x14ac:dyDescent="0.25">
      <c r="A721" s="4">
        <v>123</v>
      </c>
      <c r="B721">
        <v>150</v>
      </c>
      <c r="C721">
        <v>50</v>
      </c>
      <c r="D721">
        <v>20</v>
      </c>
      <c r="E721" s="3">
        <v>25</v>
      </c>
      <c r="F721" s="3">
        <f>1.8*E721+32</f>
        <v>77</v>
      </c>
      <c r="G721" s="3">
        <v>17</v>
      </c>
      <c r="H721" s="3">
        <f>IF(F721&gt;68,G721+(F721-68)*0.2,G869-(68-F721)*0.2)</f>
        <v>18.8</v>
      </c>
      <c r="I721" s="3">
        <v>23</v>
      </c>
      <c r="J721" s="3">
        <f>1.8*I721+32</f>
        <v>73.400000000000006</v>
      </c>
      <c r="K721" s="3">
        <v>9</v>
      </c>
      <c r="L721" s="3">
        <f>IF(J721&gt;67,K721+(J721-67)*0.2,K721-(67-J721)*0.2)</f>
        <v>10.280000000000001</v>
      </c>
      <c r="M721" s="3">
        <f>(C721-H721)/C721*100</f>
        <v>62.4</v>
      </c>
      <c r="N721" s="3">
        <f>100-(M721+O721)</f>
        <v>17.039999999999992</v>
      </c>
      <c r="O721" s="3">
        <f>L721/C721*100</f>
        <v>20.560000000000002</v>
      </c>
      <c r="P721" s="1" t="s">
        <v>2</v>
      </c>
      <c r="Q721" s="15">
        <v>407433.99599999998</v>
      </c>
      <c r="R721" s="15">
        <v>3659923</v>
      </c>
      <c r="S721" s="17"/>
      <c r="T721" s="17"/>
    </row>
    <row r="722" spans="1:20" x14ac:dyDescent="0.25">
      <c r="A722" s="4">
        <v>123</v>
      </c>
      <c r="B722">
        <v>180</v>
      </c>
      <c r="C722">
        <v>50</v>
      </c>
      <c r="D722">
        <v>20</v>
      </c>
      <c r="E722" s="3">
        <v>25</v>
      </c>
      <c r="F722" s="3">
        <f>1.8*E722+32</f>
        <v>77</v>
      </c>
      <c r="G722" s="3">
        <v>14</v>
      </c>
      <c r="H722" s="3">
        <f>IF(F722&gt;68,G722+(F722-68)*0.2,G870-(68-F722)*0.2)</f>
        <v>15.8</v>
      </c>
      <c r="I722" s="3">
        <v>23</v>
      </c>
      <c r="J722" s="3">
        <f>1.8*I722+32</f>
        <v>73.400000000000006</v>
      </c>
      <c r="K722" s="3">
        <v>6</v>
      </c>
      <c r="L722" s="3">
        <f>IF(J722&gt;67,K722+(J722-67)*0.2,K722-(67-J722)*0.2)</f>
        <v>7.2800000000000011</v>
      </c>
      <c r="M722" s="3">
        <f>(C722-H722)/C722*100</f>
        <v>68.400000000000006</v>
      </c>
      <c r="N722" s="3">
        <f>100-(M722+O722)</f>
        <v>17.039999999999992</v>
      </c>
      <c r="O722" s="3">
        <f>L722/C722*100</f>
        <v>14.560000000000004</v>
      </c>
      <c r="P722" s="1" t="s">
        <v>0</v>
      </c>
      <c r="Q722" s="15">
        <v>407433.99599999998</v>
      </c>
      <c r="R722" s="15">
        <v>3659923</v>
      </c>
      <c r="S722" s="17"/>
      <c r="T722" s="17"/>
    </row>
    <row r="723" spans="1:20" x14ac:dyDescent="0.25">
      <c r="A723" s="4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1"/>
      <c r="S723" s="17"/>
      <c r="T723" s="17"/>
    </row>
    <row r="724" spans="1:20" ht="51.75" x14ac:dyDescent="0.25">
      <c r="A724" s="14" t="s">
        <v>21</v>
      </c>
      <c r="B724" s="9" t="s">
        <v>20</v>
      </c>
      <c r="C724" s="13" t="s">
        <v>19</v>
      </c>
      <c r="D724" s="12" t="s">
        <v>18</v>
      </c>
      <c r="E724" s="11" t="s">
        <v>17</v>
      </c>
      <c r="F724" s="11" t="s">
        <v>16</v>
      </c>
      <c r="G724" s="11" t="s">
        <v>15</v>
      </c>
      <c r="H724" s="11" t="s">
        <v>14</v>
      </c>
      <c r="I724" s="11" t="s">
        <v>13</v>
      </c>
      <c r="J724" s="11" t="s">
        <v>12</v>
      </c>
      <c r="K724" s="11" t="s">
        <v>11</v>
      </c>
      <c r="L724" s="11" t="s">
        <v>10</v>
      </c>
      <c r="M724" s="10" t="s">
        <v>9</v>
      </c>
      <c r="N724" s="10" t="s">
        <v>8</v>
      </c>
      <c r="O724" s="10" t="s">
        <v>7</v>
      </c>
      <c r="P724" s="9" t="s">
        <v>6</v>
      </c>
      <c r="Q724" s="19" t="s">
        <v>5</v>
      </c>
      <c r="R724" s="19"/>
      <c r="S724" s="17"/>
      <c r="T724" s="17"/>
    </row>
    <row r="725" spans="1:20" x14ac:dyDescent="0.25">
      <c r="C725" s="16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1"/>
      <c r="Q725" s="5" t="s">
        <v>4</v>
      </c>
      <c r="R725" s="5" t="s">
        <v>3</v>
      </c>
      <c r="S725" s="17"/>
      <c r="T725" s="17"/>
    </row>
    <row r="726" spans="1:20" x14ac:dyDescent="0.25">
      <c r="A726" s="4">
        <v>124</v>
      </c>
      <c r="B726">
        <v>30</v>
      </c>
      <c r="C726" s="16">
        <v>50</v>
      </c>
      <c r="D726">
        <v>20</v>
      </c>
      <c r="E726" s="3">
        <v>26</v>
      </c>
      <c r="F726" s="3">
        <f>1.8*E726+32</f>
        <v>78.800000000000011</v>
      </c>
      <c r="G726" s="3">
        <v>16</v>
      </c>
      <c r="H726" s="3">
        <f>IF(F726&gt;68,G726+(F726-68)*0.2,G873-(68-F726)*0.2)</f>
        <v>18.160000000000004</v>
      </c>
      <c r="I726" s="3">
        <v>23</v>
      </c>
      <c r="J726" s="3">
        <f>1.8*I726+32</f>
        <v>73.400000000000006</v>
      </c>
      <c r="K726" s="3">
        <v>8</v>
      </c>
      <c r="L726" s="3">
        <f>IF(J726&gt;68,K726+(J726-68)*0.2,K726-(68-J726)*0.2)</f>
        <v>9.0800000000000018</v>
      </c>
      <c r="M726" s="3">
        <f>(C726-H726)/C726*100</f>
        <v>63.679999999999993</v>
      </c>
      <c r="N726" s="3">
        <f>100-(M726+O726)</f>
        <v>18.159999999999997</v>
      </c>
      <c r="O726" s="3">
        <f>L726/C726*100</f>
        <v>18.160000000000004</v>
      </c>
      <c r="P726" s="1" t="s">
        <v>0</v>
      </c>
      <c r="Q726" s="15">
        <v>407433.99599999998</v>
      </c>
      <c r="R726" s="15">
        <v>3659949.5</v>
      </c>
      <c r="S726" s="17"/>
      <c r="T726" s="17"/>
    </row>
    <row r="727" spans="1:20" x14ac:dyDescent="0.25">
      <c r="A727" s="4">
        <v>124</v>
      </c>
      <c r="B727">
        <v>60</v>
      </c>
      <c r="C727" s="16">
        <v>50</v>
      </c>
      <c r="D727">
        <v>20</v>
      </c>
      <c r="E727" s="3">
        <v>26</v>
      </c>
      <c r="F727" s="3">
        <f>1.8*E727+32</f>
        <v>78.800000000000011</v>
      </c>
      <c r="G727" s="3">
        <v>17</v>
      </c>
      <c r="H727" s="3">
        <f>IF(F727&gt;68,G727+(F727-68)*0.2,G874-(68-F727)*0.2)</f>
        <v>19.160000000000004</v>
      </c>
      <c r="I727" s="3">
        <v>23</v>
      </c>
      <c r="J727" s="3">
        <f>1.8*I727+32</f>
        <v>73.400000000000006</v>
      </c>
      <c r="K727" s="3">
        <v>10</v>
      </c>
      <c r="L727" s="3">
        <f>IF(J727&gt;68,K727+(J727-68)*0.2,K727-(68-J727)*0.2)</f>
        <v>11.080000000000002</v>
      </c>
      <c r="M727" s="3">
        <f>(C727-H727)/C727*100</f>
        <v>61.679999999999993</v>
      </c>
      <c r="N727" s="3">
        <f>100-(M727+O727)</f>
        <v>16.159999999999997</v>
      </c>
      <c r="O727" s="3">
        <f>L727/C727*100</f>
        <v>22.160000000000004</v>
      </c>
      <c r="P727" s="1" t="s">
        <v>2</v>
      </c>
      <c r="Q727" s="15">
        <v>407433.99599999998</v>
      </c>
      <c r="R727" s="15">
        <v>3659949.5</v>
      </c>
      <c r="S727" s="17"/>
      <c r="T727" s="17"/>
    </row>
    <row r="728" spans="1:20" x14ac:dyDescent="0.25">
      <c r="A728" s="4">
        <v>124</v>
      </c>
      <c r="B728">
        <v>90</v>
      </c>
      <c r="C728" s="16">
        <v>50</v>
      </c>
      <c r="D728">
        <v>20</v>
      </c>
      <c r="E728" s="3">
        <v>25</v>
      </c>
      <c r="F728" s="3">
        <f>1.8*E728+32</f>
        <v>77</v>
      </c>
      <c r="G728" s="3">
        <v>18</v>
      </c>
      <c r="H728" s="3">
        <f>IF(F728&gt;68,G728+(F728-68)*0.2,G875-(68-F728)*0.2)</f>
        <v>19.8</v>
      </c>
      <c r="I728" s="3">
        <v>23</v>
      </c>
      <c r="J728" s="3">
        <f>1.8*I728+32</f>
        <v>73.400000000000006</v>
      </c>
      <c r="K728" s="3">
        <v>9</v>
      </c>
      <c r="L728" s="3">
        <f>IF(J728&gt;68,K728+(J728-68)*0.2,K728-(68-J728)*0.2)</f>
        <v>10.080000000000002</v>
      </c>
      <c r="M728" s="3">
        <f>(C728-H728)/C728*100</f>
        <v>60.4</v>
      </c>
      <c r="N728" s="3">
        <f>100-(M728+O728)</f>
        <v>19.439999999999998</v>
      </c>
      <c r="O728" s="3">
        <f>L728/C728*100</f>
        <v>20.160000000000004</v>
      </c>
      <c r="P728" s="1" t="s">
        <v>2</v>
      </c>
      <c r="Q728" s="15">
        <v>407433.99599999998</v>
      </c>
      <c r="R728" s="15">
        <v>3659949.5</v>
      </c>
    </row>
    <row r="729" spans="1:20" x14ac:dyDescent="0.25">
      <c r="A729" s="4">
        <v>124</v>
      </c>
      <c r="B729">
        <v>120</v>
      </c>
      <c r="C729" s="16">
        <v>50</v>
      </c>
      <c r="D729">
        <v>20</v>
      </c>
      <c r="E729" s="3">
        <v>25.5</v>
      </c>
      <c r="F729" s="3">
        <f>1.8*E729+32</f>
        <v>77.900000000000006</v>
      </c>
      <c r="G729" s="3">
        <v>20</v>
      </c>
      <c r="H729" s="3">
        <f>IF(F729&gt;68,G729+(F729-68)*0.2,G877-(68-F729)*0.2)</f>
        <v>21.98</v>
      </c>
      <c r="I729" s="3">
        <v>22.5</v>
      </c>
      <c r="J729" s="3">
        <f>1.8*I729+32</f>
        <v>72.5</v>
      </c>
      <c r="K729" s="3">
        <v>12</v>
      </c>
      <c r="L729" s="3">
        <f>IF(J729&gt;68,K729+(J729-68)*0.2,K729-(68-J729)*0.2)</f>
        <v>12.9</v>
      </c>
      <c r="M729" s="3">
        <f>(C729-H729)/C729*100</f>
        <v>56.04</v>
      </c>
      <c r="N729" s="3">
        <f>100-(M729+O729)</f>
        <v>18.159999999999997</v>
      </c>
      <c r="O729" s="3">
        <f>L729/C729*100</f>
        <v>25.8</v>
      </c>
      <c r="P729" s="1" t="s">
        <v>2</v>
      </c>
      <c r="Q729" s="15">
        <v>407433.99599999998</v>
      </c>
      <c r="R729" s="15">
        <v>3659949.5</v>
      </c>
    </row>
    <row r="730" spans="1:20" x14ac:dyDescent="0.25">
      <c r="A730" s="4">
        <v>124</v>
      </c>
      <c r="B730">
        <v>150</v>
      </c>
      <c r="C730" s="16">
        <v>50</v>
      </c>
      <c r="D730">
        <v>20</v>
      </c>
      <c r="E730" s="3">
        <v>26</v>
      </c>
      <c r="F730" s="3">
        <f>1.8*E730+32</f>
        <v>78.800000000000011</v>
      </c>
      <c r="G730" s="3">
        <v>18</v>
      </c>
      <c r="H730" s="3">
        <f>IF(F730&gt;68,G730+(F730-68)*0.2,G878-(68-F730)*0.2)</f>
        <v>20.160000000000004</v>
      </c>
      <c r="I730" s="3">
        <v>22.5</v>
      </c>
      <c r="J730" s="3">
        <f>1.8*I730+32</f>
        <v>72.5</v>
      </c>
      <c r="K730" s="3">
        <v>11</v>
      </c>
      <c r="L730" s="3">
        <f>IF(J730&gt;68,K730+(J730-68)*0.2,K730-(68-J730)*0.2)</f>
        <v>11.9</v>
      </c>
      <c r="M730" s="3">
        <f>(C730-H730)/C730*100</f>
        <v>59.679999999999986</v>
      </c>
      <c r="N730" s="3">
        <f>100-(M730+O730)</f>
        <v>16.52000000000001</v>
      </c>
      <c r="O730" s="3">
        <f>L730/C730*100</f>
        <v>23.8</v>
      </c>
      <c r="P730" s="1" t="s">
        <v>2</v>
      </c>
      <c r="Q730" s="15">
        <v>407433.99599999998</v>
      </c>
      <c r="R730" s="15">
        <v>3659949.5</v>
      </c>
    </row>
    <row r="731" spans="1:20" x14ac:dyDescent="0.25">
      <c r="A731" s="4">
        <v>124</v>
      </c>
      <c r="B731">
        <v>180</v>
      </c>
      <c r="C731" s="16">
        <v>50</v>
      </c>
      <c r="D731">
        <v>20</v>
      </c>
      <c r="E731" s="3">
        <v>26</v>
      </c>
      <c r="F731" s="3">
        <f>1.8*E731+32</f>
        <v>78.800000000000011</v>
      </c>
      <c r="G731" s="3">
        <v>17</v>
      </c>
      <c r="H731" s="3">
        <f>IF(F731&gt;68,G731+(F731-68)*0.2,G879-(68-F731)*0.2)</f>
        <v>19.160000000000004</v>
      </c>
      <c r="I731" s="3">
        <v>22.5</v>
      </c>
      <c r="J731" s="3">
        <f>1.8*I731+32</f>
        <v>72.5</v>
      </c>
      <c r="K731" s="3">
        <v>11</v>
      </c>
      <c r="L731" s="3">
        <f>IF(J731&gt;68,K731+(J731-68)*0.2,K731-(68-J731)*0.2)</f>
        <v>11.9</v>
      </c>
      <c r="M731" s="3">
        <f>(C731-H731)/C731*100</f>
        <v>61.679999999999993</v>
      </c>
      <c r="N731" s="3">
        <f>100-(M731+O731)</f>
        <v>14.52000000000001</v>
      </c>
      <c r="O731" s="3">
        <f>L731/C731*100</f>
        <v>23.8</v>
      </c>
      <c r="P731" s="1" t="s">
        <v>2</v>
      </c>
      <c r="Q731" s="15">
        <v>407433.99599999998</v>
      </c>
      <c r="R731" s="15">
        <v>3659949.5</v>
      </c>
    </row>
    <row r="733" spans="1:20" ht="51.75" x14ac:dyDescent="0.25">
      <c r="A733" s="14" t="s">
        <v>21</v>
      </c>
      <c r="B733" s="9" t="s">
        <v>20</v>
      </c>
      <c r="C733" s="13" t="s">
        <v>19</v>
      </c>
      <c r="D733" s="12" t="s">
        <v>18</v>
      </c>
      <c r="E733" s="11" t="s">
        <v>17</v>
      </c>
      <c r="F733" s="11" t="s">
        <v>16</v>
      </c>
      <c r="G733" s="11" t="s">
        <v>15</v>
      </c>
      <c r="H733" s="11" t="s">
        <v>14</v>
      </c>
      <c r="I733" s="11" t="s">
        <v>13</v>
      </c>
      <c r="J733" s="11" t="s">
        <v>12</v>
      </c>
      <c r="K733" s="11" t="s">
        <v>11</v>
      </c>
      <c r="L733" s="11" t="s">
        <v>10</v>
      </c>
      <c r="M733" s="10" t="s">
        <v>9</v>
      </c>
      <c r="N733" s="10" t="s">
        <v>8</v>
      </c>
      <c r="O733" s="10" t="s">
        <v>7</v>
      </c>
      <c r="P733" s="9" t="s">
        <v>6</v>
      </c>
      <c r="Q733" s="19" t="s">
        <v>5</v>
      </c>
      <c r="R733" s="19"/>
    </row>
    <row r="734" spans="1:20" x14ac:dyDescent="0.25"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1"/>
      <c r="Q734" s="5" t="s">
        <v>4</v>
      </c>
      <c r="R734" s="5" t="s">
        <v>3</v>
      </c>
    </row>
    <row r="735" spans="1:20" x14ac:dyDescent="0.25">
      <c r="A735" s="4">
        <v>125</v>
      </c>
      <c r="B735">
        <v>30</v>
      </c>
      <c r="C735">
        <v>50</v>
      </c>
      <c r="D735">
        <v>20</v>
      </c>
      <c r="E735" s="3">
        <v>26</v>
      </c>
      <c r="F735" s="3">
        <f>1.8*E735+32</f>
        <v>78.800000000000011</v>
      </c>
      <c r="G735" s="3">
        <v>13</v>
      </c>
      <c r="H735" s="3">
        <f>IF(F735&gt;68,G735+(F735-68)*0.2,G883-(68-F735)*0.2)</f>
        <v>15.160000000000002</v>
      </c>
      <c r="I735" s="3">
        <v>23.5</v>
      </c>
      <c r="J735" s="3">
        <f>1.8*I735+32</f>
        <v>74.300000000000011</v>
      </c>
      <c r="K735" s="3">
        <v>6</v>
      </c>
      <c r="L735" s="3">
        <f>IF(J735&gt;67,K735+(J735-67)*0.2,K735-(67-J735)*0.2)</f>
        <v>7.4600000000000026</v>
      </c>
      <c r="M735" s="3">
        <f>(C735-H735)/C735*100</f>
        <v>69.679999999999993</v>
      </c>
      <c r="N735" s="3">
        <f>100-(M735+O735)</f>
        <v>15.400000000000006</v>
      </c>
      <c r="O735" s="3">
        <f>L735/C735*100</f>
        <v>14.920000000000005</v>
      </c>
      <c r="P735" s="1" t="s">
        <v>0</v>
      </c>
      <c r="Q735" s="15">
        <v>407433.99599999998</v>
      </c>
      <c r="R735" s="15">
        <v>3659976</v>
      </c>
    </row>
    <row r="736" spans="1:20" x14ac:dyDescent="0.25">
      <c r="A736" s="4">
        <v>125</v>
      </c>
      <c r="B736">
        <v>60</v>
      </c>
      <c r="C736">
        <v>50</v>
      </c>
      <c r="D736">
        <v>20</v>
      </c>
      <c r="E736" s="3">
        <v>26</v>
      </c>
      <c r="F736" s="3">
        <f>1.8*E736+32</f>
        <v>78.800000000000011</v>
      </c>
      <c r="G736" s="3">
        <v>15</v>
      </c>
      <c r="H736" s="3">
        <f>IF(F736&gt;68,G736+(F736-68)*0.2,G884-(68-F736)*0.2)</f>
        <v>17.160000000000004</v>
      </c>
      <c r="I736" s="3">
        <v>23.5</v>
      </c>
      <c r="J736" s="3">
        <f>1.8*I736+32</f>
        <v>74.300000000000011</v>
      </c>
      <c r="K736" s="3">
        <v>8</v>
      </c>
      <c r="L736" s="3">
        <f>IF(J736&gt;67,K736+(J736-67)*0.2,K736-(67-J736)*0.2)</f>
        <v>9.4600000000000026</v>
      </c>
      <c r="M736" s="3">
        <f>(C736-H736)/C736*100</f>
        <v>65.679999999999993</v>
      </c>
      <c r="N736" s="3">
        <f>100-(M736+O736)</f>
        <v>15.400000000000006</v>
      </c>
      <c r="O736" s="3">
        <f>L736/C736*100</f>
        <v>18.920000000000005</v>
      </c>
      <c r="P736" s="1" t="s">
        <v>0</v>
      </c>
      <c r="Q736" s="15">
        <v>407433.99599999998</v>
      </c>
      <c r="R736" s="15">
        <v>3659976</v>
      </c>
    </row>
    <row r="737" spans="1:18" x14ac:dyDescent="0.25">
      <c r="A737" s="4">
        <v>125</v>
      </c>
      <c r="B737">
        <v>90</v>
      </c>
      <c r="C737">
        <v>50</v>
      </c>
      <c r="D737">
        <v>20</v>
      </c>
      <c r="E737" s="3">
        <v>26</v>
      </c>
      <c r="F737" s="3">
        <f>1.8*E737+32</f>
        <v>78.800000000000011</v>
      </c>
      <c r="G737" s="3">
        <v>11</v>
      </c>
      <c r="H737" s="3">
        <f>IF(F737&gt;68,G737+(F737-68)*0.2,G886-(68-F737)*0.2)</f>
        <v>13.160000000000002</v>
      </c>
      <c r="I737" s="3">
        <v>24</v>
      </c>
      <c r="J737" s="3">
        <f>1.8*I737+32</f>
        <v>75.2</v>
      </c>
      <c r="K737" s="3">
        <v>6</v>
      </c>
      <c r="L737" s="3">
        <f>IF(J737&gt;67,K737+(J737-67)*0.2,K737-(67-J737)*0.2)</f>
        <v>7.6400000000000006</v>
      </c>
      <c r="M737" s="3">
        <f>(C737-H737)/C737*100</f>
        <v>73.679999999999993</v>
      </c>
      <c r="N737" s="3">
        <f>100-(M737+O737)</f>
        <v>11.040000000000006</v>
      </c>
      <c r="O737" s="3">
        <f>L737/C737*100</f>
        <v>15.280000000000001</v>
      </c>
      <c r="P737" s="1" t="s">
        <v>0</v>
      </c>
      <c r="Q737" s="15">
        <v>407433.99599999998</v>
      </c>
      <c r="R737" s="15">
        <v>3659976</v>
      </c>
    </row>
    <row r="738" spans="1:18" x14ac:dyDescent="0.25">
      <c r="A738" s="4">
        <v>125</v>
      </c>
      <c r="B738">
        <v>120</v>
      </c>
      <c r="C738">
        <v>50</v>
      </c>
      <c r="D738">
        <v>20</v>
      </c>
      <c r="E738" s="3">
        <v>25.5</v>
      </c>
      <c r="F738" s="3">
        <f>1.8*E738+32</f>
        <v>77.900000000000006</v>
      </c>
      <c r="G738" s="3">
        <v>10</v>
      </c>
      <c r="H738" s="3">
        <f>IF(F738&gt;68,G738+(F738-68)*0.2,G887-(68-F738)*0.2)</f>
        <v>11.98</v>
      </c>
      <c r="I738" s="3">
        <v>23.5</v>
      </c>
      <c r="J738" s="3">
        <f>1.8*I738+32</f>
        <v>74.300000000000011</v>
      </c>
      <c r="K738" s="3">
        <v>6</v>
      </c>
      <c r="L738" s="3">
        <f>IF(J738&gt;67,K738+(J738-67)*0.2,K738-(67-J738)*0.2)</f>
        <v>7.4600000000000026</v>
      </c>
      <c r="M738" s="3">
        <f>(C738-H738)/C738*100</f>
        <v>76.039999999999992</v>
      </c>
      <c r="N738" s="3">
        <f>100-(M738+O738)</f>
        <v>9.0400000000000063</v>
      </c>
      <c r="O738" s="3">
        <f>L738/C738*100</f>
        <v>14.920000000000005</v>
      </c>
      <c r="P738" s="1" t="s">
        <v>0</v>
      </c>
      <c r="Q738" s="15">
        <v>407433.99599999998</v>
      </c>
      <c r="R738" s="15">
        <v>3659976</v>
      </c>
    </row>
    <row r="739" spans="1:18" x14ac:dyDescent="0.25">
      <c r="A739" s="4">
        <v>125</v>
      </c>
      <c r="B739">
        <v>150</v>
      </c>
      <c r="C739">
        <v>50</v>
      </c>
      <c r="D739">
        <v>20</v>
      </c>
      <c r="E739" s="3">
        <v>25.5</v>
      </c>
      <c r="F739" s="3">
        <f>1.8*E739+32</f>
        <v>77.900000000000006</v>
      </c>
      <c r="G739" s="3">
        <v>9</v>
      </c>
      <c r="H739" s="3">
        <f>IF(F739&gt;68,G739+(F739-68)*0.2,G888-(68-F739)*0.2)</f>
        <v>10.98</v>
      </c>
      <c r="I739" s="3">
        <v>23.5</v>
      </c>
      <c r="J739" s="3">
        <f>1.8*I739+32</f>
        <v>74.300000000000011</v>
      </c>
      <c r="K739" s="3">
        <v>5</v>
      </c>
      <c r="L739" s="3">
        <f>IF(J739&gt;67,K739+(J739-67)*0.2,K739-(67-J739)*0.2)</f>
        <v>6.4600000000000026</v>
      </c>
      <c r="M739" s="3">
        <f>(C739-H739)/C739*100</f>
        <v>78.039999999999992</v>
      </c>
      <c r="N739" s="3">
        <f>100-(M739+O739)</f>
        <v>9.0400000000000063</v>
      </c>
      <c r="O739" s="3">
        <f>L739/C739*100</f>
        <v>12.920000000000007</v>
      </c>
      <c r="P739" s="1" t="s">
        <v>0</v>
      </c>
      <c r="Q739" s="15">
        <v>407433.99599999998</v>
      </c>
      <c r="R739" s="15">
        <v>3659976</v>
      </c>
    </row>
    <row r="740" spans="1:18" x14ac:dyDescent="0.25">
      <c r="A740" s="4">
        <v>125</v>
      </c>
      <c r="B740">
        <v>180</v>
      </c>
      <c r="C740">
        <v>50</v>
      </c>
      <c r="D740">
        <v>20</v>
      </c>
      <c r="E740" s="3">
        <v>25.5</v>
      </c>
      <c r="F740" s="3">
        <f>1.8*E740+32</f>
        <v>77.900000000000006</v>
      </c>
      <c r="G740" s="3">
        <v>11</v>
      </c>
      <c r="H740" s="3">
        <f>IF(F740&gt;68,G740+(F740-68)*0.2,G889-(68-F740)*0.2)</f>
        <v>12.98</v>
      </c>
      <c r="I740" s="3">
        <v>23.5</v>
      </c>
      <c r="J740" s="3">
        <f>1.8*I740+32</f>
        <v>74.300000000000011</v>
      </c>
      <c r="K740" s="3">
        <v>5</v>
      </c>
      <c r="L740" s="3">
        <f>IF(J740&gt;67,K740+(J740-67)*0.2,K740-(67-J740)*0.2)</f>
        <v>6.4600000000000026</v>
      </c>
      <c r="M740" s="3">
        <f>(C740-H740)/C740*100</f>
        <v>74.039999999999992</v>
      </c>
      <c r="N740" s="3">
        <f>100-(M740+O740)</f>
        <v>13.040000000000006</v>
      </c>
      <c r="O740" s="3">
        <f>L740/C740*100</f>
        <v>12.920000000000007</v>
      </c>
      <c r="P740" s="1" t="s">
        <v>0</v>
      </c>
      <c r="Q740" s="15">
        <v>407433.99599999998</v>
      </c>
      <c r="R740" s="15">
        <v>3659976</v>
      </c>
    </row>
    <row r="742" spans="1:18" ht="51.75" x14ac:dyDescent="0.25">
      <c r="A742" s="14" t="s">
        <v>21</v>
      </c>
      <c r="B742" s="9" t="s">
        <v>20</v>
      </c>
      <c r="C742" s="13" t="s">
        <v>19</v>
      </c>
      <c r="D742" s="12" t="s">
        <v>18</v>
      </c>
      <c r="E742" s="11" t="s">
        <v>17</v>
      </c>
      <c r="F742" s="11" t="s">
        <v>16</v>
      </c>
      <c r="G742" s="11" t="s">
        <v>15</v>
      </c>
      <c r="H742" s="11" t="s">
        <v>14</v>
      </c>
      <c r="I742" s="11" t="s">
        <v>13</v>
      </c>
      <c r="J742" s="11" t="s">
        <v>12</v>
      </c>
      <c r="K742" s="11" t="s">
        <v>11</v>
      </c>
      <c r="L742" s="11" t="s">
        <v>10</v>
      </c>
      <c r="M742" s="10" t="s">
        <v>9</v>
      </c>
      <c r="N742" s="10" t="s">
        <v>8</v>
      </c>
      <c r="O742" s="10" t="s">
        <v>7</v>
      </c>
      <c r="P742" s="9" t="s">
        <v>6</v>
      </c>
      <c r="Q742" s="19" t="s">
        <v>5</v>
      </c>
      <c r="R742" s="19"/>
    </row>
    <row r="743" spans="1:18" x14ac:dyDescent="0.25"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1"/>
      <c r="Q743" s="5" t="s">
        <v>4</v>
      </c>
      <c r="R743" s="5" t="s">
        <v>3</v>
      </c>
    </row>
    <row r="744" spans="1:18" x14ac:dyDescent="0.25">
      <c r="A744" s="4">
        <v>126</v>
      </c>
      <c r="B744">
        <v>30</v>
      </c>
      <c r="C744">
        <v>50</v>
      </c>
      <c r="D744">
        <v>20</v>
      </c>
      <c r="E744" s="3">
        <v>25.5</v>
      </c>
      <c r="F744" s="3">
        <f>1.8*E744+32</f>
        <v>77.900000000000006</v>
      </c>
      <c r="G744" s="3">
        <v>15</v>
      </c>
      <c r="H744" s="3">
        <f>IF(F744&gt;68,G744+(F744-68)*0.2,G893-(68-F744)*0.2)</f>
        <v>16.98</v>
      </c>
      <c r="I744" s="3">
        <v>23.5</v>
      </c>
      <c r="J744" s="3">
        <f>1.8*I744+32</f>
        <v>74.300000000000011</v>
      </c>
      <c r="K744" s="3">
        <v>8</v>
      </c>
      <c r="L744" s="3">
        <f>IF(J744&gt;67,K744+(J744-67)*0.2,K744-(67-J744)*0.2)</f>
        <v>9.4600000000000026</v>
      </c>
      <c r="M744" s="3">
        <f>(C744-H744)/C744*100</f>
        <v>66.039999999999992</v>
      </c>
      <c r="N744" s="3">
        <f>100-(M744+O744)</f>
        <v>15.040000000000006</v>
      </c>
      <c r="O744" s="3">
        <f>L744/C744*100</f>
        <v>18.920000000000005</v>
      </c>
      <c r="P744" s="1" t="s">
        <v>0</v>
      </c>
      <c r="Q744" s="15">
        <v>407433.99599999998</v>
      </c>
      <c r="R744" s="15">
        <v>3660002.5</v>
      </c>
    </row>
    <row r="745" spans="1:18" x14ac:dyDescent="0.25">
      <c r="A745" s="4">
        <v>126</v>
      </c>
      <c r="B745">
        <v>60</v>
      </c>
      <c r="C745">
        <v>50</v>
      </c>
      <c r="D745">
        <v>20</v>
      </c>
      <c r="E745" s="3">
        <v>26</v>
      </c>
      <c r="F745" s="3">
        <f>1.8*E745+32</f>
        <v>78.800000000000011</v>
      </c>
      <c r="G745" s="3">
        <v>16</v>
      </c>
      <c r="H745" s="3">
        <f>IF(F745&gt;68,G745+(F745-68)*0.2,G894-(68-F745)*0.2)</f>
        <v>18.160000000000004</v>
      </c>
      <c r="I745" s="3">
        <v>23</v>
      </c>
      <c r="J745" s="3">
        <f>1.8*I745+32</f>
        <v>73.400000000000006</v>
      </c>
      <c r="K745" s="3">
        <v>8</v>
      </c>
      <c r="L745" s="3">
        <f>IF(J745&gt;67,K745+(J745-67)*0.2,K745-(67-J745)*0.2)</f>
        <v>9.2800000000000011</v>
      </c>
      <c r="M745" s="3">
        <f>(C745-H745)/C745*100</f>
        <v>63.679999999999993</v>
      </c>
      <c r="N745" s="3">
        <f>100-(M745+O745)</f>
        <v>17.760000000000005</v>
      </c>
      <c r="O745" s="3">
        <f>L745/C745*100</f>
        <v>18.560000000000002</v>
      </c>
      <c r="P745" s="1" t="s">
        <v>0</v>
      </c>
      <c r="Q745" s="15">
        <v>407433.99599999998</v>
      </c>
      <c r="R745" s="15">
        <v>3660002.5</v>
      </c>
    </row>
    <row r="746" spans="1:18" x14ac:dyDescent="0.25">
      <c r="A746" s="4">
        <v>126</v>
      </c>
      <c r="B746">
        <v>90</v>
      </c>
      <c r="C746">
        <v>50</v>
      </c>
      <c r="D746">
        <v>20</v>
      </c>
      <c r="E746" s="3">
        <v>25</v>
      </c>
      <c r="F746" s="3">
        <f>1.8*E746+32</f>
        <v>77</v>
      </c>
      <c r="G746" s="3">
        <v>13</v>
      </c>
      <c r="H746" s="3">
        <f>IF(F746&gt;68,G746+(F746-68)*0.2,G895-(68-F746)*0.2)</f>
        <v>14.8</v>
      </c>
      <c r="I746" s="3">
        <v>23</v>
      </c>
      <c r="J746" s="3">
        <f>1.8*I746+32</f>
        <v>73.400000000000006</v>
      </c>
      <c r="K746" s="3">
        <v>8</v>
      </c>
      <c r="L746" s="3">
        <f>IF(J746&gt;67,K746+(J746-67)*0.2,K746-(67-J746)*0.2)</f>
        <v>9.2800000000000011</v>
      </c>
      <c r="M746" s="3">
        <f>(C746-H746)/C746*100</f>
        <v>70.400000000000006</v>
      </c>
      <c r="N746" s="3">
        <f>100-(M746+O746)</f>
        <v>11.039999999999992</v>
      </c>
      <c r="O746" s="3">
        <f>L746/C746*100</f>
        <v>18.560000000000002</v>
      </c>
      <c r="P746" s="1" t="s">
        <v>0</v>
      </c>
      <c r="Q746" s="15">
        <v>407433.99599999998</v>
      </c>
      <c r="R746" s="15">
        <v>3660002.5</v>
      </c>
    </row>
    <row r="747" spans="1:18" x14ac:dyDescent="0.25">
      <c r="A747" s="4">
        <v>126</v>
      </c>
      <c r="B747">
        <v>120</v>
      </c>
      <c r="C747">
        <v>50</v>
      </c>
      <c r="D747">
        <v>20</v>
      </c>
      <c r="E747" s="3">
        <v>25.5</v>
      </c>
      <c r="F747" s="3">
        <f>1.8*E747+32</f>
        <v>77.900000000000006</v>
      </c>
      <c r="G747" s="3">
        <v>11</v>
      </c>
      <c r="H747" s="3">
        <f>IF(F747&gt;68,G747+(F747-68)*0.2,G896-(68-F747)*0.2)</f>
        <v>12.98</v>
      </c>
      <c r="I747" s="3">
        <v>23</v>
      </c>
      <c r="J747" s="3">
        <f>1.8*I747+32</f>
        <v>73.400000000000006</v>
      </c>
      <c r="K747" s="3">
        <v>6</v>
      </c>
      <c r="L747" s="3">
        <f>IF(J747&gt;67,K747+(J747-67)*0.2,K747-(67-J747)*0.2)</f>
        <v>7.2800000000000011</v>
      </c>
      <c r="M747" s="3">
        <f>(C747-H747)/C747*100</f>
        <v>74.039999999999992</v>
      </c>
      <c r="N747" s="3">
        <f>100-(M747+O747)</f>
        <v>11.400000000000006</v>
      </c>
      <c r="O747" s="3">
        <f>L747/C747*100</f>
        <v>14.560000000000004</v>
      </c>
      <c r="P747" s="1" t="s">
        <v>0</v>
      </c>
      <c r="Q747" s="15">
        <v>407433.99599999998</v>
      </c>
      <c r="R747" s="15">
        <v>3660002.5</v>
      </c>
    </row>
    <row r="748" spans="1:18" x14ac:dyDescent="0.25">
      <c r="A748" s="4">
        <v>126</v>
      </c>
      <c r="B748">
        <v>150</v>
      </c>
      <c r="C748">
        <v>50</v>
      </c>
      <c r="D748">
        <v>20</v>
      </c>
      <c r="E748" s="3">
        <v>26</v>
      </c>
      <c r="F748" s="3">
        <f>1.8*E748+32</f>
        <v>78.800000000000011</v>
      </c>
      <c r="G748" s="3">
        <v>13</v>
      </c>
      <c r="H748" s="3">
        <f>IF(F748&gt;68,G748+(F748-68)*0.2,G897-(68-F748)*0.2)</f>
        <v>15.160000000000002</v>
      </c>
      <c r="I748" s="3">
        <v>23</v>
      </c>
      <c r="J748" s="3">
        <f>1.8*I748+32</f>
        <v>73.400000000000006</v>
      </c>
      <c r="K748" s="3">
        <v>6</v>
      </c>
      <c r="L748" s="3">
        <f>IF(J748&gt;67,K748+(J748-67)*0.2,K748-(67-J748)*0.2)</f>
        <v>7.2800000000000011</v>
      </c>
      <c r="M748" s="3">
        <f>(C748-H748)/C748*100</f>
        <v>69.679999999999993</v>
      </c>
      <c r="N748" s="3">
        <f>100-(M748+O748)</f>
        <v>15.760000000000005</v>
      </c>
      <c r="O748" s="3">
        <f>L748/C748*100</f>
        <v>14.560000000000004</v>
      </c>
      <c r="P748" s="1" t="s">
        <v>0</v>
      </c>
      <c r="Q748" s="15">
        <v>407433.99599999998</v>
      </c>
      <c r="R748" s="15">
        <v>3660002.5</v>
      </c>
    </row>
    <row r="749" spans="1:18" x14ac:dyDescent="0.25">
      <c r="A749" s="4">
        <v>126</v>
      </c>
      <c r="B749">
        <v>180</v>
      </c>
      <c r="C749">
        <v>50</v>
      </c>
      <c r="D749">
        <v>20</v>
      </c>
      <c r="E749" s="3">
        <v>26</v>
      </c>
      <c r="F749" s="3">
        <f>1.8*E749+32</f>
        <v>78.800000000000011</v>
      </c>
      <c r="G749" s="3">
        <v>11</v>
      </c>
      <c r="H749" s="3">
        <f>IF(F749&gt;68,G749+(F749-68)*0.2,G898-(68-F749)*0.2)</f>
        <v>13.160000000000002</v>
      </c>
      <c r="I749" s="3">
        <v>23</v>
      </c>
      <c r="J749" s="3">
        <f>1.8*I749+32</f>
        <v>73.400000000000006</v>
      </c>
      <c r="K749" s="3">
        <v>6</v>
      </c>
      <c r="L749" s="3">
        <f>IF(J749&gt;67,K749+(J749-67)*0.2,K749-(67-J749)*0.2)</f>
        <v>7.2800000000000011</v>
      </c>
      <c r="M749" s="3">
        <f>(C749-H749)/C749*100</f>
        <v>73.679999999999993</v>
      </c>
      <c r="N749" s="3">
        <f>100-(M749+O749)</f>
        <v>11.760000000000005</v>
      </c>
      <c r="O749" s="3">
        <f>L749/C749*100</f>
        <v>14.560000000000004</v>
      </c>
      <c r="P749" s="1" t="s">
        <v>0</v>
      </c>
      <c r="Q749" s="15">
        <v>407433.99599999998</v>
      </c>
      <c r="R749" s="15">
        <v>3660002.5</v>
      </c>
    </row>
    <row r="750" spans="1:18" x14ac:dyDescent="0.25">
      <c r="A750" s="4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1"/>
    </row>
    <row r="751" spans="1:18" ht="51.75" x14ac:dyDescent="0.25">
      <c r="A751" s="14" t="s">
        <v>21</v>
      </c>
      <c r="B751" s="9" t="s">
        <v>20</v>
      </c>
      <c r="C751" s="13" t="s">
        <v>19</v>
      </c>
      <c r="D751" s="12" t="s">
        <v>18</v>
      </c>
      <c r="E751" s="11" t="s">
        <v>17</v>
      </c>
      <c r="F751" s="11" t="s">
        <v>16</v>
      </c>
      <c r="G751" s="11" t="s">
        <v>15</v>
      </c>
      <c r="H751" s="11" t="s">
        <v>14</v>
      </c>
      <c r="I751" s="11" t="s">
        <v>13</v>
      </c>
      <c r="J751" s="11" t="s">
        <v>12</v>
      </c>
      <c r="K751" s="11" t="s">
        <v>11</v>
      </c>
      <c r="L751" s="11" t="s">
        <v>10</v>
      </c>
      <c r="M751" s="10" t="s">
        <v>9</v>
      </c>
      <c r="N751" s="10" t="s">
        <v>8</v>
      </c>
      <c r="O751" s="10" t="s">
        <v>7</v>
      </c>
      <c r="P751" s="9" t="s">
        <v>6</v>
      </c>
      <c r="Q751" s="19" t="s">
        <v>5</v>
      </c>
      <c r="R751" s="19"/>
    </row>
    <row r="752" spans="1:18" x14ac:dyDescent="0.25"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1"/>
      <c r="Q752" s="5" t="s">
        <v>4</v>
      </c>
      <c r="R752" s="5" t="s">
        <v>3</v>
      </c>
    </row>
    <row r="753" spans="1:19" x14ac:dyDescent="0.25">
      <c r="A753" s="4">
        <v>127</v>
      </c>
      <c r="B753">
        <v>30</v>
      </c>
      <c r="C753">
        <v>50</v>
      </c>
      <c r="D753">
        <v>20</v>
      </c>
      <c r="E753" s="3">
        <v>25.5</v>
      </c>
      <c r="F753" s="3">
        <f>1.8*E753+32</f>
        <v>77.900000000000006</v>
      </c>
      <c r="G753" s="3">
        <v>14</v>
      </c>
      <c r="H753" s="3">
        <f>IF(F753&gt;68,G753+(F753-68)*0.2,G901-(68-F753)*0.2)</f>
        <v>15.98</v>
      </c>
      <c r="I753" s="3">
        <v>23</v>
      </c>
      <c r="J753" s="3">
        <f>1.8*I753+32</f>
        <v>73.400000000000006</v>
      </c>
      <c r="K753" s="3">
        <v>8</v>
      </c>
      <c r="L753" s="3">
        <f>IF(J753&gt;67,K753+(J753-67)*0.2,K753-(67-J753)*0.2)</f>
        <v>9.2800000000000011</v>
      </c>
      <c r="M753" s="3">
        <f>(C753-H753)/C753*100</f>
        <v>68.039999999999992</v>
      </c>
      <c r="N753" s="3">
        <f>100-(M753+O753)</f>
        <v>13.400000000000006</v>
      </c>
      <c r="O753" s="3">
        <f>L753/C753*100</f>
        <v>18.560000000000002</v>
      </c>
      <c r="P753" s="1" t="s">
        <v>0</v>
      </c>
      <c r="Q753" s="15">
        <v>407433.99599999998</v>
      </c>
      <c r="R753" s="15">
        <v>3660029</v>
      </c>
    </row>
    <row r="754" spans="1:19" x14ac:dyDescent="0.25">
      <c r="A754" s="4">
        <v>127</v>
      </c>
      <c r="B754">
        <v>60</v>
      </c>
      <c r="C754">
        <v>50</v>
      </c>
      <c r="D754">
        <v>20</v>
      </c>
      <c r="E754" s="3">
        <v>26</v>
      </c>
      <c r="F754" s="3">
        <f>1.8*E754+32</f>
        <v>78.800000000000011</v>
      </c>
      <c r="G754" s="3">
        <v>14</v>
      </c>
      <c r="H754" s="3">
        <f>IF(F754&gt;68,G754+(F754-68)*0.2,G902-(68-F754)*0.2)</f>
        <v>16.160000000000004</v>
      </c>
      <c r="I754" s="3">
        <v>23</v>
      </c>
      <c r="J754" s="3">
        <f>1.8*I754+32</f>
        <v>73.400000000000006</v>
      </c>
      <c r="K754" s="3">
        <v>8</v>
      </c>
      <c r="L754" s="3">
        <f>IF(J754&gt;67,K754+(J754-67)*0.2,K754-(67-J754)*0.2)</f>
        <v>9.2800000000000011</v>
      </c>
      <c r="M754" s="3">
        <f>(C754-H754)/C754*100</f>
        <v>67.679999999999993</v>
      </c>
      <c r="N754" s="3">
        <f>100-(M754+O754)</f>
        <v>13.760000000000005</v>
      </c>
      <c r="O754" s="3">
        <f>L754/C754*100</f>
        <v>18.560000000000002</v>
      </c>
      <c r="P754" s="1" t="s">
        <v>0</v>
      </c>
      <c r="Q754" s="15">
        <v>407433.99599999998</v>
      </c>
      <c r="R754" s="15">
        <v>3660029</v>
      </c>
    </row>
    <row r="755" spans="1:19" x14ac:dyDescent="0.25">
      <c r="A755" s="4">
        <v>127</v>
      </c>
      <c r="B755">
        <v>90</v>
      </c>
      <c r="C755">
        <v>50</v>
      </c>
      <c r="D755">
        <v>20</v>
      </c>
      <c r="E755" s="3">
        <v>26</v>
      </c>
      <c r="F755" s="3">
        <f>1.8*E755+32</f>
        <v>78.800000000000011</v>
      </c>
      <c r="G755" s="3">
        <v>8</v>
      </c>
      <c r="H755" s="3">
        <f>IF(F755&gt;68,G755+(F755-68)*0.2,G903-(68-F755)*0.2)</f>
        <v>10.160000000000002</v>
      </c>
      <c r="I755" s="3">
        <v>23</v>
      </c>
      <c r="J755" s="3">
        <f>1.8*I755+32</f>
        <v>73.400000000000006</v>
      </c>
      <c r="K755" s="3">
        <v>4</v>
      </c>
      <c r="L755" s="3">
        <f>IF(J755&gt;67,K755+(J755-67)*0.2,K755-(67-J755)*0.2)</f>
        <v>5.2800000000000011</v>
      </c>
      <c r="M755" s="3">
        <f>(C755-H755)/C755*100</f>
        <v>79.679999999999993</v>
      </c>
      <c r="N755" s="3">
        <f>100-(M755+O755)</f>
        <v>9.7600000000000051</v>
      </c>
      <c r="O755" s="3">
        <f>L755/C755*100</f>
        <v>10.560000000000002</v>
      </c>
      <c r="P755" s="1" t="s">
        <v>0</v>
      </c>
      <c r="Q755" s="15">
        <v>407433.99599999998</v>
      </c>
      <c r="R755" s="15">
        <v>3660029</v>
      </c>
    </row>
    <row r="756" spans="1:19" x14ac:dyDescent="0.25">
      <c r="A756" s="4">
        <v>127</v>
      </c>
      <c r="B756">
        <v>120</v>
      </c>
      <c r="C756">
        <v>50</v>
      </c>
      <c r="D756">
        <v>20</v>
      </c>
      <c r="E756" s="3">
        <v>26</v>
      </c>
      <c r="F756" s="3">
        <f>1.8*E756+32</f>
        <v>78.800000000000011</v>
      </c>
      <c r="G756" s="3">
        <v>8</v>
      </c>
      <c r="H756" s="3">
        <f>IF(F756&gt;68,G756+(F756-68)*0.2,G904-(68-F756)*0.2)</f>
        <v>10.160000000000002</v>
      </c>
      <c r="I756" s="3">
        <v>23</v>
      </c>
      <c r="J756" s="3">
        <f>1.8*I756+32</f>
        <v>73.400000000000006</v>
      </c>
      <c r="K756" s="3">
        <v>4</v>
      </c>
      <c r="L756" s="3">
        <f>IF(J756&gt;67,K756+(J756-67)*0.2,K756-(67-J756)*0.2)</f>
        <v>5.2800000000000011</v>
      </c>
      <c r="M756" s="3">
        <f>(C756-H756)/C756*100</f>
        <v>79.679999999999993</v>
      </c>
      <c r="N756" s="3">
        <f>100-(M756+O756)</f>
        <v>9.7600000000000051</v>
      </c>
      <c r="O756" s="3">
        <f>L756/C756*100</f>
        <v>10.560000000000002</v>
      </c>
      <c r="P756" s="1" t="s">
        <v>0</v>
      </c>
      <c r="Q756" s="15">
        <v>407433.99599999998</v>
      </c>
      <c r="R756" s="15">
        <v>3660029</v>
      </c>
    </row>
    <row r="757" spans="1:19" x14ac:dyDescent="0.25">
      <c r="A757" s="4">
        <v>127</v>
      </c>
      <c r="B757">
        <v>150</v>
      </c>
      <c r="C757">
        <v>50</v>
      </c>
      <c r="D757">
        <v>20</v>
      </c>
      <c r="E757" s="3">
        <v>24.5</v>
      </c>
      <c r="F757" s="3">
        <f>1.8*E757+32</f>
        <v>76.099999999999994</v>
      </c>
      <c r="G757" s="3">
        <v>11</v>
      </c>
      <c r="H757" s="3">
        <f>IF(F757&gt;68,G757+(F757-68)*0.2,G905-(68-F757)*0.2)</f>
        <v>12.62</v>
      </c>
      <c r="I757" s="3">
        <v>22.5</v>
      </c>
      <c r="J757" s="3">
        <f>1.8*I757+32</f>
        <v>72.5</v>
      </c>
      <c r="K757" s="3">
        <v>4</v>
      </c>
      <c r="L757" s="3">
        <f>IF(J757&gt;67,K757+(J757-67)*0.2,K757-(67-J757)*0.2)</f>
        <v>5.0999999999999996</v>
      </c>
      <c r="M757" s="3">
        <f>(C757-H757)/C757*100</f>
        <v>74.760000000000005</v>
      </c>
      <c r="N757" s="3">
        <f>100-(M757+O757)</f>
        <v>15.039999999999992</v>
      </c>
      <c r="O757" s="3">
        <f>L757/C757*100</f>
        <v>10.199999999999999</v>
      </c>
      <c r="P757" s="1" t="s">
        <v>0</v>
      </c>
      <c r="Q757" s="15">
        <v>407433.99599999998</v>
      </c>
      <c r="R757" s="15">
        <v>3660029</v>
      </c>
    </row>
    <row r="758" spans="1:19" x14ac:dyDescent="0.25">
      <c r="A758" s="4">
        <v>127</v>
      </c>
      <c r="B758">
        <v>180</v>
      </c>
      <c r="C758">
        <v>50</v>
      </c>
      <c r="D758">
        <v>20</v>
      </c>
      <c r="E758" s="3">
        <v>24.5</v>
      </c>
      <c r="F758" s="3">
        <f>1.8*E758+32</f>
        <v>76.099999999999994</v>
      </c>
      <c r="G758" s="3">
        <v>10</v>
      </c>
      <c r="H758" s="3">
        <f>IF(F758&gt;68,G758+(F758-68)*0.2,G906-(68-F758)*0.2)</f>
        <v>11.62</v>
      </c>
      <c r="I758" s="3">
        <v>22.5</v>
      </c>
      <c r="J758" s="3">
        <f>1.8*I758+32</f>
        <v>72.5</v>
      </c>
      <c r="K758" s="3">
        <v>6</v>
      </c>
      <c r="L758" s="3">
        <f>IF(J758&gt;67,K758+(J758-67)*0.2,K758-(67-J758)*0.2)</f>
        <v>7.1</v>
      </c>
      <c r="M758" s="3">
        <f>(C758-H758)/C758*100</f>
        <v>76.760000000000005</v>
      </c>
      <c r="N758" s="3">
        <f>100-(M758+O758)</f>
        <v>9.039999999999992</v>
      </c>
      <c r="O758" s="3">
        <f>L758/C758*100</f>
        <v>14.2</v>
      </c>
      <c r="P758" s="1" t="s">
        <v>0</v>
      </c>
      <c r="Q758" s="15">
        <v>407433.99599999998</v>
      </c>
      <c r="R758" s="15">
        <v>3660029</v>
      </c>
    </row>
    <row r="759" spans="1:19" x14ac:dyDescent="0.25">
      <c r="A759" s="4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1"/>
      <c r="Q759" s="18"/>
      <c r="R759" s="18"/>
    </row>
    <row r="760" spans="1:19" ht="51.75" x14ac:dyDescent="0.25">
      <c r="A760" s="14" t="s">
        <v>21</v>
      </c>
      <c r="B760" s="9" t="s">
        <v>20</v>
      </c>
      <c r="C760" s="13" t="s">
        <v>19</v>
      </c>
      <c r="D760" s="12" t="s">
        <v>18</v>
      </c>
      <c r="E760" s="11" t="s">
        <v>17</v>
      </c>
      <c r="F760" s="11" t="s">
        <v>16</v>
      </c>
      <c r="G760" s="11" t="s">
        <v>15</v>
      </c>
      <c r="H760" s="11" t="s">
        <v>14</v>
      </c>
      <c r="I760" s="11" t="s">
        <v>13</v>
      </c>
      <c r="J760" s="11" t="s">
        <v>12</v>
      </c>
      <c r="K760" s="11" t="s">
        <v>11</v>
      </c>
      <c r="L760" s="11" t="s">
        <v>10</v>
      </c>
      <c r="M760" s="10" t="s">
        <v>9</v>
      </c>
      <c r="N760" s="10" t="s">
        <v>8</v>
      </c>
      <c r="O760" s="10" t="s">
        <v>7</v>
      </c>
      <c r="P760" s="9" t="s">
        <v>6</v>
      </c>
      <c r="Q760" s="21" t="s">
        <v>5</v>
      </c>
      <c r="R760" s="20"/>
      <c r="S760" s="6"/>
    </row>
    <row r="761" spans="1:19" x14ac:dyDescent="0.25">
      <c r="C761" s="16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1"/>
      <c r="Q761" s="5" t="s">
        <v>4</v>
      </c>
      <c r="R761" s="5" t="s">
        <v>3</v>
      </c>
      <c r="S761" s="1"/>
    </row>
    <row r="762" spans="1:19" x14ac:dyDescent="0.25">
      <c r="A762" s="4">
        <v>131</v>
      </c>
      <c r="B762">
        <v>30</v>
      </c>
      <c r="C762" s="16">
        <v>50</v>
      </c>
      <c r="D762">
        <v>20</v>
      </c>
      <c r="E762" s="3">
        <v>25.5</v>
      </c>
      <c r="F762" s="3">
        <f>1.8*E762+32</f>
        <v>77.900000000000006</v>
      </c>
      <c r="G762" s="3">
        <v>19</v>
      </c>
      <c r="H762" s="3">
        <f>IF(F762&gt;68,G762+(F762-68)*0.2,G909-(68-F762)*0.2)</f>
        <v>20.98</v>
      </c>
      <c r="I762" s="3">
        <v>23</v>
      </c>
      <c r="J762" s="3">
        <f>1.8*I762+32</f>
        <v>73.400000000000006</v>
      </c>
      <c r="K762" s="3">
        <v>12</v>
      </c>
      <c r="L762" s="3">
        <f>IF(J762&gt;68,K762+(J762-68)*0.2,K762-(68-J762)*0.2)</f>
        <v>13.080000000000002</v>
      </c>
      <c r="M762" s="3">
        <f>(C762-H762)/C762*100</f>
        <v>58.040000000000006</v>
      </c>
      <c r="N762" s="3">
        <f>100-(M762+O762)</f>
        <v>15.799999999999983</v>
      </c>
      <c r="O762" s="3">
        <f>L762/C762*100</f>
        <v>26.160000000000004</v>
      </c>
      <c r="P762" s="1" t="s">
        <v>2</v>
      </c>
      <c r="Q762" s="15">
        <v>407405.54800000001</v>
      </c>
      <c r="R762" s="15">
        <v>3659870</v>
      </c>
      <c r="S762" s="1"/>
    </row>
    <row r="763" spans="1:19" x14ac:dyDescent="0.25">
      <c r="A763" s="4">
        <v>131</v>
      </c>
      <c r="B763">
        <v>60</v>
      </c>
      <c r="C763" s="16">
        <v>50</v>
      </c>
      <c r="D763">
        <v>20</v>
      </c>
      <c r="E763" s="3">
        <v>25.5</v>
      </c>
      <c r="F763" s="3">
        <f>1.8*E763+32</f>
        <v>77.900000000000006</v>
      </c>
      <c r="G763" s="3">
        <v>17</v>
      </c>
      <c r="H763" s="3">
        <f>IF(F763&gt;68,G763+(F763-68)*0.2,G910-(68-F763)*0.2)</f>
        <v>18.98</v>
      </c>
      <c r="I763" s="3">
        <v>23</v>
      </c>
      <c r="J763" s="3">
        <f>1.8*I763+32</f>
        <v>73.400000000000006</v>
      </c>
      <c r="K763" s="3">
        <v>11</v>
      </c>
      <c r="L763" s="3">
        <f>IF(J763&gt;68,K763+(J763-68)*0.2,K763-(68-J763)*0.2)</f>
        <v>12.080000000000002</v>
      </c>
      <c r="M763" s="3">
        <f>(C763-H763)/C763*100</f>
        <v>62.039999999999992</v>
      </c>
      <c r="N763" s="3">
        <f>100-(M763+O763)</f>
        <v>13.800000000000011</v>
      </c>
      <c r="O763" s="3">
        <f>L763/C763*100</f>
        <v>24.160000000000004</v>
      </c>
      <c r="P763" s="1" t="s">
        <v>2</v>
      </c>
      <c r="Q763" s="15">
        <v>407405.54800000001</v>
      </c>
      <c r="R763" s="15">
        <v>3659870</v>
      </c>
      <c r="S763" s="1"/>
    </row>
    <row r="764" spans="1:19" x14ac:dyDescent="0.25">
      <c r="A764" s="4">
        <v>131</v>
      </c>
      <c r="B764">
        <v>90</v>
      </c>
      <c r="C764" s="16">
        <v>50</v>
      </c>
      <c r="D764">
        <v>20</v>
      </c>
      <c r="E764" s="3">
        <v>24.5</v>
      </c>
      <c r="F764" s="3">
        <f>1.8*E764+32</f>
        <v>76.099999999999994</v>
      </c>
      <c r="G764" s="3">
        <v>18</v>
      </c>
      <c r="H764" s="3">
        <f>IF(F764&gt;68,G764+(F764-68)*0.2,G911-(68-F764)*0.2)</f>
        <v>19.619999999999997</v>
      </c>
      <c r="I764" s="3">
        <v>23</v>
      </c>
      <c r="J764" s="3">
        <f>1.8*I764+32</f>
        <v>73.400000000000006</v>
      </c>
      <c r="K764" s="3">
        <v>10</v>
      </c>
      <c r="L764" s="3">
        <f>IF(J764&gt;68,K764+(J764-68)*0.2,K764-(68-J764)*0.2)</f>
        <v>11.080000000000002</v>
      </c>
      <c r="M764" s="3">
        <f>(C764-H764)/C764*100</f>
        <v>60.760000000000005</v>
      </c>
      <c r="N764" s="3">
        <f>100-(M764+O764)</f>
        <v>17.079999999999984</v>
      </c>
      <c r="O764" s="3">
        <f>L764/C764*100</f>
        <v>22.160000000000004</v>
      </c>
      <c r="P764" s="1" t="s">
        <v>2</v>
      </c>
      <c r="Q764" s="15">
        <v>407405.54800000001</v>
      </c>
      <c r="R764" s="15">
        <v>3659870</v>
      </c>
      <c r="S764" s="1"/>
    </row>
    <row r="765" spans="1:19" x14ac:dyDescent="0.25">
      <c r="A765" s="4">
        <v>131</v>
      </c>
      <c r="B765">
        <v>120</v>
      </c>
      <c r="C765" s="16">
        <v>50</v>
      </c>
      <c r="D765">
        <v>20</v>
      </c>
      <c r="E765" s="3">
        <v>25</v>
      </c>
      <c r="F765" s="3">
        <f>1.8*E765+32</f>
        <v>77</v>
      </c>
      <c r="G765" s="3">
        <v>18</v>
      </c>
      <c r="H765" s="3">
        <f>IF(F765&gt;68,G765+(F765-68)*0.2,G913-(68-F765)*0.2)</f>
        <v>19.8</v>
      </c>
      <c r="I765" s="3">
        <v>22.5</v>
      </c>
      <c r="J765" s="3">
        <f>1.8*I765+32</f>
        <v>72.5</v>
      </c>
      <c r="K765" s="3">
        <v>11</v>
      </c>
      <c r="L765" s="3">
        <f>IF(J765&gt;68,K765+(J765-68)*0.2,K765-(68-J765)*0.2)</f>
        <v>11.9</v>
      </c>
      <c r="M765" s="3">
        <f>(C765-H765)/C765*100</f>
        <v>60.4</v>
      </c>
      <c r="N765" s="3">
        <f>100-(M765+O765)</f>
        <v>15.799999999999997</v>
      </c>
      <c r="O765" s="3">
        <f>L765/C765*100</f>
        <v>23.8</v>
      </c>
      <c r="P765" s="1" t="s">
        <v>2</v>
      </c>
      <c r="Q765" s="15">
        <v>407405.54800000001</v>
      </c>
      <c r="R765" s="15">
        <v>3659870</v>
      </c>
      <c r="S765" s="1"/>
    </row>
    <row r="766" spans="1:19" x14ac:dyDescent="0.25">
      <c r="A766" s="4">
        <v>131</v>
      </c>
      <c r="B766">
        <v>150</v>
      </c>
      <c r="C766" s="16">
        <v>50</v>
      </c>
      <c r="D766">
        <v>20</v>
      </c>
      <c r="E766" s="3">
        <v>25.5</v>
      </c>
      <c r="F766" s="3">
        <f>1.8*E766+32</f>
        <v>77.900000000000006</v>
      </c>
      <c r="G766" s="3">
        <v>20</v>
      </c>
      <c r="H766" s="3">
        <f>IF(F766&gt;68,G766+(F766-68)*0.2,G914-(68-F766)*0.2)</f>
        <v>21.98</v>
      </c>
      <c r="I766" s="3">
        <v>23</v>
      </c>
      <c r="J766" s="3">
        <f>1.8*I766+32</f>
        <v>73.400000000000006</v>
      </c>
      <c r="K766" s="3">
        <v>11</v>
      </c>
      <c r="L766" s="3">
        <f>IF(J766&gt;68,K766+(J766-68)*0.2,K766-(68-J766)*0.2)</f>
        <v>12.080000000000002</v>
      </c>
      <c r="M766" s="3">
        <f>(C766-H766)/C766*100</f>
        <v>56.04</v>
      </c>
      <c r="N766" s="3">
        <f>100-(M766+O766)</f>
        <v>19.799999999999997</v>
      </c>
      <c r="O766" s="3">
        <f>L766/C766*100</f>
        <v>24.160000000000004</v>
      </c>
      <c r="P766" s="1" t="s">
        <v>2</v>
      </c>
      <c r="Q766" s="15">
        <v>407405.54800000001</v>
      </c>
      <c r="R766" s="15">
        <v>3659870</v>
      </c>
      <c r="S766" s="1"/>
    </row>
    <row r="767" spans="1:19" x14ac:dyDescent="0.25">
      <c r="A767" s="4">
        <v>131</v>
      </c>
      <c r="B767">
        <v>180</v>
      </c>
      <c r="C767" s="16">
        <v>50</v>
      </c>
      <c r="D767">
        <v>20</v>
      </c>
      <c r="E767" s="3">
        <v>25.5</v>
      </c>
      <c r="F767" s="3">
        <f>1.8*E767+32</f>
        <v>77.900000000000006</v>
      </c>
      <c r="G767" s="3">
        <v>18</v>
      </c>
      <c r="H767" s="3">
        <f>IF(F767&gt;68,G767+(F767-68)*0.2,G915-(68-F767)*0.2)</f>
        <v>19.98</v>
      </c>
      <c r="I767" s="3">
        <v>22.5</v>
      </c>
      <c r="J767" s="3">
        <f>1.8*I767+32</f>
        <v>72.5</v>
      </c>
      <c r="K767" s="3">
        <v>9</v>
      </c>
      <c r="L767" s="3">
        <f>IF(J767&gt;68,K767+(J767-68)*0.2,K767-(68-J767)*0.2)</f>
        <v>9.9</v>
      </c>
      <c r="M767" s="3">
        <f>(C767-H767)/C767*100</f>
        <v>60.040000000000006</v>
      </c>
      <c r="N767" s="3">
        <f>100-(M767+O767)</f>
        <v>20.159999999999997</v>
      </c>
      <c r="O767" s="3">
        <f>L767/C767*100</f>
        <v>19.8</v>
      </c>
      <c r="P767" s="1" t="s">
        <v>0</v>
      </c>
      <c r="Q767" s="15">
        <v>407405.54800000001</v>
      </c>
      <c r="R767" s="15">
        <v>3659870</v>
      </c>
      <c r="S767" s="1"/>
    </row>
    <row r="768" spans="1:19" x14ac:dyDescent="0.25">
      <c r="Q768" s="18"/>
      <c r="R768" s="18"/>
    </row>
    <row r="769" spans="1:20" ht="51.75" x14ac:dyDescent="0.25">
      <c r="A769" s="14" t="s">
        <v>21</v>
      </c>
      <c r="B769" s="9" t="s">
        <v>20</v>
      </c>
      <c r="C769" s="13" t="s">
        <v>19</v>
      </c>
      <c r="D769" s="12" t="s">
        <v>18</v>
      </c>
      <c r="E769" s="11" t="s">
        <v>17</v>
      </c>
      <c r="F769" s="11" t="s">
        <v>16</v>
      </c>
      <c r="G769" s="11" t="s">
        <v>15</v>
      </c>
      <c r="H769" s="11" t="s">
        <v>14</v>
      </c>
      <c r="I769" s="11" t="s">
        <v>13</v>
      </c>
      <c r="J769" s="11" t="s">
        <v>12</v>
      </c>
      <c r="K769" s="11" t="s">
        <v>11</v>
      </c>
      <c r="L769" s="11" t="s">
        <v>10</v>
      </c>
      <c r="M769" s="10" t="s">
        <v>9</v>
      </c>
      <c r="N769" s="10" t="s">
        <v>8</v>
      </c>
      <c r="O769" s="10" t="s">
        <v>7</v>
      </c>
      <c r="P769" s="9" t="s">
        <v>6</v>
      </c>
      <c r="Q769" s="21" t="s">
        <v>5</v>
      </c>
      <c r="R769" s="20"/>
      <c r="S769" s="6"/>
    </row>
    <row r="770" spans="1:20" x14ac:dyDescent="0.25"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1"/>
      <c r="Q770" s="5" t="s">
        <v>4</v>
      </c>
      <c r="R770" s="5" t="s">
        <v>3</v>
      </c>
      <c r="S770" s="1"/>
    </row>
    <row r="771" spans="1:20" x14ac:dyDescent="0.25">
      <c r="A771" s="4">
        <v>132</v>
      </c>
      <c r="B771">
        <v>30</v>
      </c>
      <c r="C771">
        <v>50</v>
      </c>
      <c r="D771">
        <v>20</v>
      </c>
      <c r="E771" s="3">
        <v>25</v>
      </c>
      <c r="F771" s="3">
        <f>1.8*E771+32</f>
        <v>77</v>
      </c>
      <c r="G771" s="3">
        <v>19</v>
      </c>
      <c r="H771" s="3">
        <f>IF(F771&gt;68,G771+(F771-68)*0.2,G919-(68-F771)*0.2)</f>
        <v>20.8</v>
      </c>
      <c r="I771" s="3">
        <v>23</v>
      </c>
      <c r="J771" s="3">
        <f>1.8*I771+32</f>
        <v>73.400000000000006</v>
      </c>
      <c r="K771" s="3">
        <v>11</v>
      </c>
      <c r="L771" s="3">
        <f>IF(J771&gt;67,K771+(J771-67)*0.2,K771-(67-J771)*0.2)</f>
        <v>12.280000000000001</v>
      </c>
      <c r="M771" s="3">
        <f>(C771-H771)/C771*100</f>
        <v>58.4</v>
      </c>
      <c r="N771" s="3">
        <f>100-(M771+O771)</f>
        <v>17.039999999999992</v>
      </c>
      <c r="O771" s="3">
        <f>L771/C771*100</f>
        <v>24.560000000000002</v>
      </c>
      <c r="P771" s="1" t="s">
        <v>2</v>
      </c>
      <c r="Q771" s="15">
        <v>407405.54800000001</v>
      </c>
      <c r="R771" s="15">
        <v>3659896.5</v>
      </c>
      <c r="S771" s="1"/>
    </row>
    <row r="772" spans="1:20" x14ac:dyDescent="0.25">
      <c r="A772" s="4">
        <v>132</v>
      </c>
      <c r="B772">
        <v>60</v>
      </c>
      <c r="C772">
        <v>50</v>
      </c>
      <c r="D772">
        <v>20</v>
      </c>
      <c r="E772" s="3">
        <v>25</v>
      </c>
      <c r="F772" s="3">
        <f>1.8*E772+32</f>
        <v>77</v>
      </c>
      <c r="G772" s="3">
        <v>17</v>
      </c>
      <c r="H772" s="3">
        <f>IF(F772&gt;68,G772+(F772-68)*0.2,G920-(68-F772)*0.2)</f>
        <v>18.8</v>
      </c>
      <c r="I772" s="3">
        <v>23</v>
      </c>
      <c r="J772" s="3">
        <f>1.8*I772+32</f>
        <v>73.400000000000006</v>
      </c>
      <c r="K772" s="3">
        <v>10</v>
      </c>
      <c r="L772" s="3">
        <f>IF(J772&gt;67,K772+(J772-67)*0.2,K772-(67-J772)*0.2)</f>
        <v>11.280000000000001</v>
      </c>
      <c r="M772" s="3">
        <f>(C772-H772)/C772*100</f>
        <v>62.4</v>
      </c>
      <c r="N772" s="3">
        <f>100-(M772+O772)</f>
        <v>15.039999999999992</v>
      </c>
      <c r="O772" s="3">
        <f>L772/C772*100</f>
        <v>22.560000000000002</v>
      </c>
      <c r="P772" s="1" t="s">
        <v>2</v>
      </c>
      <c r="Q772" s="15">
        <v>407405.54800000001</v>
      </c>
      <c r="R772" s="15">
        <v>3659896.5</v>
      </c>
      <c r="S772" s="1"/>
    </row>
    <row r="773" spans="1:20" x14ac:dyDescent="0.25">
      <c r="A773" s="4">
        <v>132</v>
      </c>
      <c r="B773">
        <v>90</v>
      </c>
      <c r="C773">
        <v>50</v>
      </c>
      <c r="D773">
        <v>20</v>
      </c>
      <c r="E773" s="3">
        <v>25</v>
      </c>
      <c r="F773" s="3">
        <f>1.8*E773+32</f>
        <v>77</v>
      </c>
      <c r="G773" s="3">
        <v>17</v>
      </c>
      <c r="H773" s="3">
        <f>IF(F773&gt;68,G773+(F773-68)*0.2,G921-(68-F773)*0.2)</f>
        <v>18.8</v>
      </c>
      <c r="I773" s="3">
        <v>23</v>
      </c>
      <c r="J773" s="3">
        <f>1.8*I773+32</f>
        <v>73.400000000000006</v>
      </c>
      <c r="K773" s="3">
        <v>9</v>
      </c>
      <c r="L773" s="3">
        <f>IF(J773&gt;67,K773+(J773-67)*0.2,K773-(67-J773)*0.2)</f>
        <v>10.280000000000001</v>
      </c>
      <c r="M773" s="3">
        <f>(C773-H773)/C773*100</f>
        <v>62.4</v>
      </c>
      <c r="N773" s="3">
        <f>100-(M773+O773)</f>
        <v>17.039999999999992</v>
      </c>
      <c r="O773" s="3">
        <f>L773/C773*100</f>
        <v>20.560000000000002</v>
      </c>
      <c r="P773" s="1" t="s">
        <v>2</v>
      </c>
      <c r="Q773" s="15">
        <v>407405.54800000001</v>
      </c>
      <c r="R773" s="15">
        <v>3659896.5</v>
      </c>
      <c r="S773" s="1"/>
    </row>
    <row r="774" spans="1:20" x14ac:dyDescent="0.25">
      <c r="A774" s="4">
        <v>132</v>
      </c>
      <c r="B774">
        <v>120</v>
      </c>
      <c r="C774">
        <v>50</v>
      </c>
      <c r="D774">
        <v>20</v>
      </c>
      <c r="E774" s="3">
        <v>25</v>
      </c>
      <c r="F774" s="3">
        <f>1.8*E774+32</f>
        <v>77</v>
      </c>
      <c r="G774" s="3">
        <v>20</v>
      </c>
      <c r="H774" s="3">
        <f>IF(F774&gt;68,G774+(F774-68)*0.2,G922-(68-F774)*0.2)</f>
        <v>21.8</v>
      </c>
      <c r="I774" s="3">
        <v>23</v>
      </c>
      <c r="J774" s="3">
        <f>1.8*I774+32</f>
        <v>73.400000000000006</v>
      </c>
      <c r="K774" s="3">
        <v>11</v>
      </c>
      <c r="L774" s="3">
        <f>IF(J774&gt;67,K774+(J774-67)*0.2,K774-(67-J774)*0.2)</f>
        <v>12.280000000000001</v>
      </c>
      <c r="M774" s="3">
        <f>(C774-H774)/C774*100</f>
        <v>56.399999999999991</v>
      </c>
      <c r="N774" s="3">
        <f>100-(M774+O774)</f>
        <v>19.040000000000006</v>
      </c>
      <c r="O774" s="3">
        <f>L774/C774*100</f>
        <v>24.560000000000002</v>
      </c>
      <c r="P774" s="1" t="s">
        <v>2</v>
      </c>
      <c r="Q774" s="15">
        <v>407405.54800000001</v>
      </c>
      <c r="R774" s="15">
        <v>3659896.5</v>
      </c>
      <c r="S774" s="1"/>
    </row>
    <row r="775" spans="1:20" x14ac:dyDescent="0.25">
      <c r="A775" s="4">
        <v>132</v>
      </c>
      <c r="B775">
        <v>150</v>
      </c>
      <c r="C775">
        <v>50</v>
      </c>
      <c r="D775">
        <v>20</v>
      </c>
      <c r="E775" s="3">
        <v>25</v>
      </c>
      <c r="F775" s="3">
        <f>1.8*E775+32</f>
        <v>77</v>
      </c>
      <c r="G775" s="3">
        <v>16</v>
      </c>
      <c r="H775" s="3">
        <f>IF(F775&gt;68,G775+(F775-68)*0.2,G923-(68-F775)*0.2)</f>
        <v>17.8</v>
      </c>
      <c r="I775" s="3">
        <v>22.5</v>
      </c>
      <c r="J775" s="3">
        <f>1.8*I775+32</f>
        <v>72.5</v>
      </c>
      <c r="K775" s="3">
        <v>7</v>
      </c>
      <c r="L775" s="3">
        <f>IF(J775&gt;67,K775+(J775-67)*0.2,K775-(67-J775)*0.2)</f>
        <v>8.1</v>
      </c>
      <c r="M775" s="3">
        <f>(C775-H775)/C775*100</f>
        <v>64.400000000000006</v>
      </c>
      <c r="N775" s="3">
        <f>100-(M775+O775)</f>
        <v>19.399999999999991</v>
      </c>
      <c r="O775" s="3">
        <f>L775/C775*100</f>
        <v>16.2</v>
      </c>
      <c r="P775" s="1" t="s">
        <v>0</v>
      </c>
      <c r="Q775" s="15">
        <v>407405.54800000001</v>
      </c>
      <c r="R775" s="15">
        <v>3659896.5</v>
      </c>
      <c r="S775" s="1"/>
    </row>
    <row r="776" spans="1:20" x14ac:dyDescent="0.25">
      <c r="A776" s="4">
        <v>132</v>
      </c>
      <c r="B776">
        <v>180</v>
      </c>
      <c r="C776">
        <v>50</v>
      </c>
      <c r="D776">
        <v>20</v>
      </c>
      <c r="E776" s="3">
        <v>25</v>
      </c>
      <c r="F776" s="3">
        <f>1.8*E776+32</f>
        <v>77</v>
      </c>
      <c r="G776" s="3">
        <v>15</v>
      </c>
      <c r="H776" s="3">
        <f>IF(F776&gt;68,G776+(F776-68)*0.2,G924-(68-F776)*0.2)</f>
        <v>16.8</v>
      </c>
      <c r="I776" s="3">
        <v>22.5</v>
      </c>
      <c r="J776" s="3">
        <f>1.8*I776+32</f>
        <v>72.5</v>
      </c>
      <c r="K776" s="3">
        <v>7</v>
      </c>
      <c r="L776" s="3">
        <f>IF(J776&gt;67,K776+(J776-67)*0.2,K776-(67-J776)*0.2)</f>
        <v>8.1</v>
      </c>
      <c r="M776" s="3">
        <f>(C776-H776)/C776*100</f>
        <v>66.400000000000006</v>
      </c>
      <c r="N776" s="3">
        <f>100-(M776+O776)</f>
        <v>17.399999999999991</v>
      </c>
      <c r="O776" s="3">
        <f>L776/C776*100</f>
        <v>16.2</v>
      </c>
      <c r="P776" s="1" t="s">
        <v>0</v>
      </c>
      <c r="Q776" s="15">
        <v>407405.54800000001</v>
      </c>
      <c r="R776" s="15">
        <v>3659896.5</v>
      </c>
      <c r="S776" s="1"/>
    </row>
    <row r="777" spans="1:20" x14ac:dyDescent="0.25">
      <c r="Q777" s="18"/>
      <c r="R777" s="18"/>
    </row>
    <row r="778" spans="1:20" ht="51.75" x14ac:dyDescent="0.25">
      <c r="A778" s="14" t="s">
        <v>21</v>
      </c>
      <c r="B778" s="9" t="s">
        <v>20</v>
      </c>
      <c r="C778" s="13" t="s">
        <v>19</v>
      </c>
      <c r="D778" s="12" t="s">
        <v>18</v>
      </c>
      <c r="E778" s="11" t="s">
        <v>17</v>
      </c>
      <c r="F778" s="11" t="s">
        <v>16</v>
      </c>
      <c r="G778" s="11" t="s">
        <v>15</v>
      </c>
      <c r="H778" s="11" t="s">
        <v>14</v>
      </c>
      <c r="I778" s="11" t="s">
        <v>13</v>
      </c>
      <c r="J778" s="11" t="s">
        <v>12</v>
      </c>
      <c r="K778" s="11" t="s">
        <v>11</v>
      </c>
      <c r="L778" s="11" t="s">
        <v>10</v>
      </c>
      <c r="M778" s="10" t="s">
        <v>9</v>
      </c>
      <c r="N778" s="10" t="s">
        <v>8</v>
      </c>
      <c r="O778" s="10" t="s">
        <v>7</v>
      </c>
      <c r="P778" s="9" t="s">
        <v>6</v>
      </c>
      <c r="Q778" s="21" t="s">
        <v>5</v>
      </c>
      <c r="R778" s="20"/>
      <c r="S778" s="17"/>
      <c r="T778" s="17"/>
    </row>
    <row r="779" spans="1:20" x14ac:dyDescent="0.25"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1"/>
      <c r="Q779" s="5" t="s">
        <v>4</v>
      </c>
      <c r="R779" s="5" t="s">
        <v>3</v>
      </c>
      <c r="S779" s="17"/>
      <c r="T779" s="17"/>
    </row>
    <row r="780" spans="1:20" x14ac:dyDescent="0.25">
      <c r="A780" s="4">
        <v>133</v>
      </c>
      <c r="B780">
        <v>30</v>
      </c>
      <c r="C780">
        <v>50</v>
      </c>
      <c r="D780">
        <v>20</v>
      </c>
      <c r="E780" s="3">
        <v>26</v>
      </c>
      <c r="F780" s="3">
        <f>1.8*E780+32</f>
        <v>78.800000000000011</v>
      </c>
      <c r="G780" s="3">
        <v>20</v>
      </c>
      <c r="H780" s="3">
        <f>IF(F780&gt;68,G780+(F780-68)*0.2,G928-(68-F780)*0.2)</f>
        <v>22.160000000000004</v>
      </c>
      <c r="I780" s="3">
        <v>22.5</v>
      </c>
      <c r="J780" s="3">
        <f>1.8*I780+32</f>
        <v>72.5</v>
      </c>
      <c r="K780" s="3">
        <v>13</v>
      </c>
      <c r="L780" s="3">
        <f>IF(J780&gt;67,K780+(J780-67)*0.2,K780-(67-J780)*0.2)</f>
        <v>14.1</v>
      </c>
      <c r="M780" s="3">
        <f>(C780-H780)/C780*100</f>
        <v>55.679999999999993</v>
      </c>
      <c r="N780" s="3">
        <f>100-(M780+O780)</f>
        <v>16.120000000000005</v>
      </c>
      <c r="O780" s="3">
        <f>L780/C780*100</f>
        <v>28.199999999999996</v>
      </c>
      <c r="P780" s="1" t="s">
        <v>2</v>
      </c>
      <c r="Q780" s="15">
        <v>407405.54800000001</v>
      </c>
      <c r="R780" s="15">
        <v>3659923</v>
      </c>
      <c r="S780" s="17"/>
      <c r="T780" s="17"/>
    </row>
    <row r="781" spans="1:20" x14ac:dyDescent="0.25">
      <c r="A781" s="4">
        <v>133</v>
      </c>
      <c r="B781">
        <v>60</v>
      </c>
      <c r="C781">
        <v>50</v>
      </c>
      <c r="D781">
        <v>20</v>
      </c>
      <c r="E781" s="3">
        <v>26</v>
      </c>
      <c r="F781" s="3">
        <f>1.8*E781+32</f>
        <v>78.800000000000011</v>
      </c>
      <c r="G781" s="3">
        <v>19</v>
      </c>
      <c r="H781" s="3">
        <f>IF(F781&gt;68,G781+(F781-68)*0.2,G929-(68-F781)*0.2)</f>
        <v>21.160000000000004</v>
      </c>
      <c r="I781" s="3">
        <v>22.5</v>
      </c>
      <c r="J781" s="3">
        <f>1.8*I781+32</f>
        <v>72.5</v>
      </c>
      <c r="K781" s="3">
        <v>12</v>
      </c>
      <c r="L781" s="3">
        <f>IF(J781&gt;67,K781+(J781-67)*0.2,K781-(67-J781)*0.2)</f>
        <v>13.1</v>
      </c>
      <c r="M781" s="3">
        <f>(C781-H781)/C781*100</f>
        <v>57.68</v>
      </c>
      <c r="N781" s="3">
        <f>100-(M781+O781)</f>
        <v>16.120000000000005</v>
      </c>
      <c r="O781" s="3">
        <f>L781/C781*100</f>
        <v>26.200000000000003</v>
      </c>
      <c r="P781" s="1" t="s">
        <v>2</v>
      </c>
      <c r="Q781" s="15">
        <v>407405.54800000001</v>
      </c>
      <c r="R781" s="15">
        <v>3659923</v>
      </c>
      <c r="S781" s="17"/>
      <c r="T781" s="17"/>
    </row>
    <row r="782" spans="1:20" x14ac:dyDescent="0.25">
      <c r="A782" s="4">
        <v>133</v>
      </c>
      <c r="B782">
        <v>90</v>
      </c>
      <c r="C782">
        <v>50</v>
      </c>
      <c r="D782">
        <v>20</v>
      </c>
      <c r="E782" s="3">
        <v>24</v>
      </c>
      <c r="F782" s="3">
        <f>1.8*E782+32</f>
        <v>75.2</v>
      </c>
      <c r="G782" s="3">
        <v>24</v>
      </c>
      <c r="H782" s="3">
        <f>IF(F782&gt;68,G782+(F782-68)*0.2,G930-(68-F782)*0.2)</f>
        <v>25.44</v>
      </c>
      <c r="I782" s="3">
        <v>23</v>
      </c>
      <c r="J782" s="3">
        <f>1.8*I782+32</f>
        <v>73.400000000000006</v>
      </c>
      <c r="K782" s="3">
        <v>12</v>
      </c>
      <c r="L782" s="3">
        <f>IF(J782&gt;67,K782+(J782-67)*0.2,K782-(67-J782)*0.2)</f>
        <v>13.280000000000001</v>
      </c>
      <c r="M782" s="3">
        <f>(C782-H782)/C782*100</f>
        <v>49.12</v>
      </c>
      <c r="N782" s="3">
        <f>100-(M782+O782)</f>
        <v>24.320000000000007</v>
      </c>
      <c r="O782" s="3">
        <f>L782/C782*100</f>
        <v>26.56</v>
      </c>
      <c r="P782" s="1" t="s">
        <v>2</v>
      </c>
      <c r="Q782" s="15">
        <v>407405.54800000001</v>
      </c>
      <c r="R782" s="15">
        <v>3659923</v>
      </c>
      <c r="S782" s="17"/>
      <c r="T782" s="17"/>
    </row>
    <row r="783" spans="1:20" x14ac:dyDescent="0.25">
      <c r="A783" s="4">
        <v>133</v>
      </c>
      <c r="B783">
        <v>120</v>
      </c>
      <c r="C783">
        <v>50</v>
      </c>
      <c r="D783">
        <v>20</v>
      </c>
      <c r="E783" s="3">
        <v>24</v>
      </c>
      <c r="F783" s="3">
        <f>1.8*E783+32</f>
        <v>75.2</v>
      </c>
      <c r="G783" s="3">
        <v>23</v>
      </c>
      <c r="H783" s="3">
        <f>IF(F783&gt;68,G783+(F783-68)*0.2,G931-(68-F783)*0.2)</f>
        <v>24.44</v>
      </c>
      <c r="I783" s="3">
        <v>23</v>
      </c>
      <c r="J783" s="3">
        <f>1.8*I783+32</f>
        <v>73.400000000000006</v>
      </c>
      <c r="K783" s="3">
        <v>14</v>
      </c>
      <c r="L783" s="3">
        <f>IF(J783&gt;67,K783+(J783-67)*0.2,K783-(67-J783)*0.2)</f>
        <v>15.280000000000001</v>
      </c>
      <c r="M783" s="3">
        <f>(C783-H783)/C783*100</f>
        <v>51.12</v>
      </c>
      <c r="N783" s="3">
        <f>100-(M783+O783)</f>
        <v>18.319999999999993</v>
      </c>
      <c r="O783" s="3">
        <f>L783/C783*100</f>
        <v>30.560000000000002</v>
      </c>
      <c r="P783" s="1" t="s">
        <v>2</v>
      </c>
      <c r="Q783" s="15">
        <v>407405.54800000001</v>
      </c>
      <c r="R783" s="15">
        <v>3659923</v>
      </c>
      <c r="S783" s="17"/>
      <c r="T783" s="17"/>
    </row>
    <row r="784" spans="1:20" x14ac:dyDescent="0.25">
      <c r="A784" s="4">
        <v>133</v>
      </c>
      <c r="B784">
        <v>150</v>
      </c>
      <c r="C784">
        <v>50</v>
      </c>
      <c r="D784">
        <v>20</v>
      </c>
      <c r="E784" s="3">
        <v>24.5</v>
      </c>
      <c r="F784" s="3">
        <f>1.8*E784+32</f>
        <v>76.099999999999994</v>
      </c>
      <c r="G784" s="3">
        <v>21</v>
      </c>
      <c r="H784" s="3">
        <f>IF(F784&gt;68,G784+(F784-68)*0.2,G932-(68-F784)*0.2)</f>
        <v>22.619999999999997</v>
      </c>
      <c r="I784" s="3">
        <v>23.5</v>
      </c>
      <c r="J784" s="3">
        <f>1.8*I784+32</f>
        <v>74.300000000000011</v>
      </c>
      <c r="K784" s="3">
        <v>11</v>
      </c>
      <c r="L784" s="3">
        <f>IF(J784&gt;67,K784+(J784-67)*0.2,K784-(67-J784)*0.2)</f>
        <v>12.460000000000003</v>
      </c>
      <c r="M784" s="3">
        <f>(C784-H784)/C784*100</f>
        <v>54.760000000000005</v>
      </c>
      <c r="N784" s="3">
        <f>100-(M784+O784)</f>
        <v>20.319999999999993</v>
      </c>
      <c r="O784" s="3">
        <f>L784/C784*100</f>
        <v>24.920000000000005</v>
      </c>
      <c r="P784" s="1" t="s">
        <v>2</v>
      </c>
      <c r="Q784" s="15">
        <v>407405.54800000001</v>
      </c>
      <c r="R784" s="15">
        <v>3659923</v>
      </c>
      <c r="S784" s="17"/>
      <c r="T784" s="17"/>
    </row>
    <row r="785" spans="1:18" x14ac:dyDescent="0.25">
      <c r="A785" s="4">
        <v>133</v>
      </c>
      <c r="B785">
        <v>180</v>
      </c>
      <c r="C785">
        <v>50</v>
      </c>
      <c r="D785">
        <v>20</v>
      </c>
      <c r="E785" s="3">
        <v>26</v>
      </c>
      <c r="F785" s="3">
        <f>1.8*E785+32</f>
        <v>78.800000000000011</v>
      </c>
      <c r="G785" s="3">
        <v>18</v>
      </c>
      <c r="H785" s="3">
        <f>IF(F785&gt;68,G785+(F785-68)*0.2,G933-(68-F785)*0.2)</f>
        <v>20.160000000000004</v>
      </c>
      <c r="I785" s="3">
        <v>24</v>
      </c>
      <c r="J785" s="3">
        <f>1.8*I785+32</f>
        <v>75.2</v>
      </c>
      <c r="K785" s="3">
        <v>11</v>
      </c>
      <c r="L785" s="3">
        <f>IF(J785&gt;67,K785+(J785-67)*0.2,K785-(67-J785)*0.2)</f>
        <v>12.64</v>
      </c>
      <c r="M785" s="3">
        <f>(C785-H785)/C785*100</f>
        <v>59.679999999999986</v>
      </c>
      <c r="N785" s="3">
        <f>100-(M785+O785)</f>
        <v>15.04000000000002</v>
      </c>
      <c r="O785" s="3">
        <f>L785/C785*100</f>
        <v>25.28</v>
      </c>
      <c r="P785" s="1" t="s">
        <v>2</v>
      </c>
      <c r="Q785" s="15">
        <v>407405.54800000001</v>
      </c>
      <c r="R785" s="15">
        <v>3659923</v>
      </c>
    </row>
    <row r="786" spans="1:18" x14ac:dyDescent="0.25">
      <c r="A786" s="4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1"/>
      <c r="Q786" s="18"/>
      <c r="R786" s="18"/>
    </row>
    <row r="787" spans="1:18" ht="51.75" x14ac:dyDescent="0.25">
      <c r="A787" s="14" t="s">
        <v>21</v>
      </c>
      <c r="B787" s="9" t="s">
        <v>20</v>
      </c>
      <c r="C787" s="13" t="s">
        <v>19</v>
      </c>
      <c r="D787" s="12" t="s">
        <v>18</v>
      </c>
      <c r="E787" s="11" t="s">
        <v>17</v>
      </c>
      <c r="F787" s="11" t="s">
        <v>16</v>
      </c>
      <c r="G787" s="11" t="s">
        <v>15</v>
      </c>
      <c r="H787" s="11" t="s">
        <v>14</v>
      </c>
      <c r="I787" s="11" t="s">
        <v>13</v>
      </c>
      <c r="J787" s="11" t="s">
        <v>12</v>
      </c>
      <c r="K787" s="11" t="s">
        <v>11</v>
      </c>
      <c r="L787" s="11" t="s">
        <v>10</v>
      </c>
      <c r="M787" s="10" t="s">
        <v>9</v>
      </c>
      <c r="N787" s="10" t="s">
        <v>8</v>
      </c>
      <c r="O787" s="10" t="s">
        <v>7</v>
      </c>
      <c r="P787" s="9" t="s">
        <v>6</v>
      </c>
      <c r="Q787" s="21" t="s">
        <v>5</v>
      </c>
      <c r="R787" s="20"/>
    </row>
    <row r="788" spans="1:18" x14ac:dyDescent="0.25">
      <c r="C788" s="16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1"/>
      <c r="Q788" s="5" t="s">
        <v>4</v>
      </c>
      <c r="R788" s="5" t="s">
        <v>3</v>
      </c>
    </row>
    <row r="789" spans="1:18" x14ac:dyDescent="0.25">
      <c r="A789" s="4">
        <v>134</v>
      </c>
      <c r="B789">
        <v>30</v>
      </c>
      <c r="C789" s="16">
        <v>50</v>
      </c>
      <c r="D789">
        <v>20</v>
      </c>
      <c r="E789" s="3">
        <v>25.5</v>
      </c>
      <c r="F789" s="3">
        <f>1.8*E789+32</f>
        <v>77.900000000000006</v>
      </c>
      <c r="G789" s="3">
        <v>18</v>
      </c>
      <c r="H789" s="3">
        <f>IF(F789&gt;68,G789+(F789-68)*0.2,G936-(68-F789)*0.2)</f>
        <v>19.98</v>
      </c>
      <c r="I789" s="3">
        <v>24</v>
      </c>
      <c r="J789" s="3">
        <f>1.8*I789+32</f>
        <v>75.2</v>
      </c>
      <c r="K789" s="3">
        <v>10</v>
      </c>
      <c r="L789" s="3">
        <f>IF(J789&gt;68,K789+(J789-68)*0.2,K789-(68-J789)*0.2)</f>
        <v>11.440000000000001</v>
      </c>
      <c r="M789" s="3">
        <f>(C789-H789)/C789*100</f>
        <v>60.040000000000006</v>
      </c>
      <c r="N789" s="3">
        <f>100-(M789+O789)</f>
        <v>17.079999999999984</v>
      </c>
      <c r="O789" s="3">
        <f>L789/C789*100</f>
        <v>22.880000000000003</v>
      </c>
      <c r="P789" s="1" t="s">
        <v>2</v>
      </c>
      <c r="Q789" s="15">
        <v>407405.54800000001</v>
      </c>
      <c r="R789" s="15">
        <v>3659949.5</v>
      </c>
    </row>
    <row r="790" spans="1:18" x14ac:dyDescent="0.25">
      <c r="A790" s="4">
        <v>134</v>
      </c>
      <c r="B790">
        <v>60</v>
      </c>
      <c r="C790" s="16">
        <v>50</v>
      </c>
      <c r="D790">
        <v>20</v>
      </c>
      <c r="E790" s="3">
        <v>25</v>
      </c>
      <c r="F790" s="3">
        <f>1.8*E790+32</f>
        <v>77</v>
      </c>
      <c r="G790" s="3">
        <v>16</v>
      </c>
      <c r="H790" s="3">
        <f>IF(F790&gt;68,G790+(F790-68)*0.2,G937-(68-F790)*0.2)</f>
        <v>17.8</v>
      </c>
      <c r="I790" s="3">
        <v>24</v>
      </c>
      <c r="J790" s="3">
        <f>1.8*I790+32</f>
        <v>75.2</v>
      </c>
      <c r="K790" s="3">
        <v>9</v>
      </c>
      <c r="L790" s="3">
        <f>IF(J790&gt;68,K790+(J790-68)*0.2,K790-(68-J790)*0.2)</f>
        <v>10.440000000000001</v>
      </c>
      <c r="M790" s="3">
        <f>(C790-H790)/C790*100</f>
        <v>64.400000000000006</v>
      </c>
      <c r="N790" s="3">
        <f>100-(M790+O790)</f>
        <v>14.719999999999999</v>
      </c>
      <c r="O790" s="3">
        <f>L790/C790*100</f>
        <v>20.880000000000003</v>
      </c>
      <c r="P790" s="1" t="s">
        <v>2</v>
      </c>
      <c r="Q790" s="15">
        <v>407405.54800000001</v>
      </c>
      <c r="R790" s="15">
        <v>3659949.5</v>
      </c>
    </row>
    <row r="791" spans="1:18" x14ac:dyDescent="0.25">
      <c r="A791" s="4">
        <v>134</v>
      </c>
      <c r="B791">
        <v>90</v>
      </c>
      <c r="C791" s="16">
        <v>50</v>
      </c>
      <c r="D791">
        <v>20</v>
      </c>
      <c r="E791" s="3">
        <v>26</v>
      </c>
      <c r="F791" s="3">
        <f>1.8*E791+32</f>
        <v>78.800000000000011</v>
      </c>
      <c r="G791" s="3">
        <v>15</v>
      </c>
      <c r="H791" s="3">
        <f>IF(F791&gt;68,G791+(F791-68)*0.2,G938-(68-F791)*0.2)</f>
        <v>17.160000000000004</v>
      </c>
      <c r="I791" s="3">
        <v>24</v>
      </c>
      <c r="J791" s="3">
        <f>1.8*I791+32</f>
        <v>75.2</v>
      </c>
      <c r="K791" s="3">
        <v>8</v>
      </c>
      <c r="L791" s="3">
        <f>IF(J791&gt;68,K791+(J791-68)*0.2,K791-(68-J791)*0.2)</f>
        <v>9.4400000000000013</v>
      </c>
      <c r="M791" s="3">
        <f>(C791-H791)/C791*100</f>
        <v>65.679999999999993</v>
      </c>
      <c r="N791" s="3">
        <f>100-(M791+O791)</f>
        <v>15.439999999999998</v>
      </c>
      <c r="O791" s="3">
        <f>L791/C791*100</f>
        <v>18.880000000000003</v>
      </c>
      <c r="P791" s="1" t="s">
        <v>0</v>
      </c>
      <c r="Q791" s="15">
        <v>407405.54800000001</v>
      </c>
      <c r="R791" s="15">
        <v>3659949.5</v>
      </c>
    </row>
    <row r="792" spans="1:18" x14ac:dyDescent="0.25">
      <c r="A792" s="4">
        <v>134</v>
      </c>
      <c r="B792">
        <v>120</v>
      </c>
      <c r="C792" s="16">
        <v>50</v>
      </c>
      <c r="D792">
        <v>20</v>
      </c>
      <c r="E792" s="3">
        <v>26</v>
      </c>
      <c r="F792" s="3">
        <f>1.8*E792+32</f>
        <v>78.800000000000011</v>
      </c>
      <c r="G792" s="3">
        <v>15</v>
      </c>
      <c r="H792" s="3">
        <f>IF(F792&gt;68,G792+(F792-68)*0.2,G940-(68-F792)*0.2)</f>
        <v>17.160000000000004</v>
      </c>
      <c r="I792" s="3">
        <v>23.5</v>
      </c>
      <c r="J792" s="3">
        <f>1.8*I792+32</f>
        <v>74.300000000000011</v>
      </c>
      <c r="K792" s="3">
        <v>9</v>
      </c>
      <c r="L792" s="3">
        <f>IF(J792&gt;68,K792+(J792-68)*0.2,K792-(68-J792)*0.2)</f>
        <v>10.260000000000002</v>
      </c>
      <c r="M792" s="3">
        <f>(C792-H792)/C792*100</f>
        <v>65.679999999999993</v>
      </c>
      <c r="N792" s="3">
        <f>100-(M792+O792)</f>
        <v>13.800000000000011</v>
      </c>
      <c r="O792" s="3">
        <f>L792/C792*100</f>
        <v>20.520000000000003</v>
      </c>
      <c r="P792" s="1" t="s">
        <v>2</v>
      </c>
      <c r="Q792" s="15">
        <v>407405.54800000001</v>
      </c>
      <c r="R792" s="15">
        <v>3659949.5</v>
      </c>
    </row>
    <row r="793" spans="1:18" x14ac:dyDescent="0.25">
      <c r="A793" s="4">
        <v>134</v>
      </c>
      <c r="B793">
        <v>150</v>
      </c>
      <c r="C793" s="16">
        <v>50</v>
      </c>
      <c r="D793">
        <v>20</v>
      </c>
      <c r="E793" s="3">
        <v>25</v>
      </c>
      <c r="F793" s="3">
        <f>1.8*E793+32</f>
        <v>77</v>
      </c>
      <c r="G793" s="3">
        <v>12</v>
      </c>
      <c r="H793" s="3">
        <f>IF(F793&gt;68,G793+(F793-68)*0.2,G941-(68-F793)*0.2)</f>
        <v>13.8</v>
      </c>
      <c r="I793" s="3">
        <v>23.5</v>
      </c>
      <c r="J793" s="3">
        <f>1.8*I793+32</f>
        <v>74.300000000000011</v>
      </c>
      <c r="K793" s="3">
        <v>5</v>
      </c>
      <c r="L793" s="3">
        <f>IF(J793&gt;68,K793+(J793-68)*0.2,K793-(68-J793)*0.2)</f>
        <v>6.2600000000000025</v>
      </c>
      <c r="M793" s="3">
        <f>(C793-H793)/C793*100</f>
        <v>72.400000000000006</v>
      </c>
      <c r="N793" s="3">
        <f>100-(M793+O793)</f>
        <v>15.079999999999984</v>
      </c>
      <c r="O793" s="3">
        <f>L793/C793*100</f>
        <v>12.520000000000007</v>
      </c>
      <c r="P793" s="1" t="s">
        <v>0</v>
      </c>
      <c r="Q793" s="15">
        <v>407405.54800000001</v>
      </c>
      <c r="R793" s="15">
        <v>3659949.5</v>
      </c>
    </row>
    <row r="794" spans="1:18" x14ac:dyDescent="0.25">
      <c r="A794" s="4">
        <v>134</v>
      </c>
      <c r="B794">
        <v>180</v>
      </c>
      <c r="C794" s="16">
        <v>50</v>
      </c>
      <c r="D794">
        <v>20</v>
      </c>
      <c r="E794" s="3">
        <v>25.5</v>
      </c>
      <c r="F794" s="3">
        <f>1.8*E794+32</f>
        <v>77.900000000000006</v>
      </c>
      <c r="G794" s="3">
        <v>17</v>
      </c>
      <c r="H794" s="3">
        <f>IF(F794&gt;68,G794+(F794-68)*0.2,G942-(68-F794)*0.2)</f>
        <v>18.98</v>
      </c>
      <c r="I794" s="3">
        <v>23.5</v>
      </c>
      <c r="J794" s="3">
        <f>1.8*I794+32</f>
        <v>74.300000000000011</v>
      </c>
      <c r="K794" s="3">
        <v>9</v>
      </c>
      <c r="L794" s="3">
        <f>IF(J794&gt;68,K794+(J794-68)*0.2,K794-(68-J794)*0.2)</f>
        <v>10.260000000000002</v>
      </c>
      <c r="M794" s="3">
        <f>(C794-H794)/C794*100</f>
        <v>62.039999999999992</v>
      </c>
      <c r="N794" s="3">
        <f>100-(M794+O794)</f>
        <v>17.439999999999998</v>
      </c>
      <c r="O794" s="3">
        <f>L794/C794*100</f>
        <v>20.520000000000003</v>
      </c>
      <c r="P794" s="1" t="s">
        <v>2</v>
      </c>
      <c r="Q794" s="15">
        <v>407405.54800000001</v>
      </c>
      <c r="R794" s="15">
        <v>3659949.5</v>
      </c>
    </row>
    <row r="795" spans="1:18" x14ac:dyDescent="0.25">
      <c r="Q795" s="18"/>
      <c r="R795" s="18"/>
    </row>
    <row r="796" spans="1:18" ht="51.75" x14ac:dyDescent="0.25">
      <c r="A796" s="14" t="s">
        <v>21</v>
      </c>
      <c r="B796" s="9" t="s">
        <v>20</v>
      </c>
      <c r="C796" s="13" t="s">
        <v>19</v>
      </c>
      <c r="D796" s="12" t="s">
        <v>18</v>
      </c>
      <c r="E796" s="11" t="s">
        <v>17</v>
      </c>
      <c r="F796" s="11" t="s">
        <v>16</v>
      </c>
      <c r="G796" s="11" t="s">
        <v>15</v>
      </c>
      <c r="H796" s="11" t="s">
        <v>14</v>
      </c>
      <c r="I796" s="11" t="s">
        <v>13</v>
      </c>
      <c r="J796" s="11" t="s">
        <v>12</v>
      </c>
      <c r="K796" s="11" t="s">
        <v>11</v>
      </c>
      <c r="L796" s="11" t="s">
        <v>10</v>
      </c>
      <c r="M796" s="10" t="s">
        <v>9</v>
      </c>
      <c r="N796" s="10" t="s">
        <v>8</v>
      </c>
      <c r="O796" s="10" t="s">
        <v>7</v>
      </c>
      <c r="P796" s="9" t="s">
        <v>6</v>
      </c>
      <c r="Q796" s="8" t="s">
        <v>5</v>
      </c>
      <c r="R796" s="7"/>
    </row>
    <row r="797" spans="1:18" x14ac:dyDescent="0.25"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1"/>
      <c r="Q797" s="5" t="s">
        <v>4</v>
      </c>
      <c r="R797" s="5" t="s">
        <v>3</v>
      </c>
    </row>
    <row r="798" spans="1:18" x14ac:dyDescent="0.25">
      <c r="A798" s="4">
        <v>135</v>
      </c>
      <c r="B798">
        <v>30</v>
      </c>
      <c r="C798">
        <v>50</v>
      </c>
      <c r="D798">
        <v>20</v>
      </c>
      <c r="E798" s="3">
        <v>26</v>
      </c>
      <c r="F798" s="3">
        <f>1.8*E798+32</f>
        <v>78.800000000000011</v>
      </c>
      <c r="G798" s="3">
        <v>17</v>
      </c>
      <c r="H798" s="3">
        <f>IF(F798&gt;68,G798+(F798-68)*0.2,G946-(68-F798)*0.2)</f>
        <v>19.160000000000004</v>
      </c>
      <c r="I798" s="3">
        <v>23.5</v>
      </c>
      <c r="J798" s="3">
        <f>1.8*I798+32</f>
        <v>74.300000000000011</v>
      </c>
      <c r="K798" s="3">
        <v>10</v>
      </c>
      <c r="L798" s="3">
        <f>IF(J798&gt;67,K798+(J798-67)*0.2,K798-(67-J798)*0.2)</f>
        <v>11.460000000000003</v>
      </c>
      <c r="M798" s="3">
        <f>(C798-H798)/C798*100</f>
        <v>61.679999999999993</v>
      </c>
      <c r="N798" s="3">
        <f>100-(M798+O798)</f>
        <v>15.400000000000006</v>
      </c>
      <c r="O798" s="3">
        <f>L798/C798*100</f>
        <v>22.920000000000005</v>
      </c>
      <c r="P798" s="1" t="s">
        <v>2</v>
      </c>
      <c r="Q798" s="15">
        <v>407405.54800000001</v>
      </c>
      <c r="R798" s="15">
        <v>3659976</v>
      </c>
    </row>
    <row r="799" spans="1:18" x14ac:dyDescent="0.25">
      <c r="A799" s="4">
        <v>135</v>
      </c>
      <c r="B799">
        <v>60</v>
      </c>
      <c r="C799">
        <v>50</v>
      </c>
      <c r="D799">
        <v>20</v>
      </c>
      <c r="E799" s="3">
        <v>26</v>
      </c>
      <c r="F799" s="3">
        <f>1.8*E799+32</f>
        <v>78.800000000000011</v>
      </c>
      <c r="G799" s="3">
        <v>16</v>
      </c>
      <c r="H799" s="3">
        <f>IF(F799&gt;68,G799+(F799-68)*0.2,G947-(68-F799)*0.2)</f>
        <v>18.160000000000004</v>
      </c>
      <c r="I799" s="3">
        <v>23.5</v>
      </c>
      <c r="J799" s="3">
        <f>1.8*I799+32</f>
        <v>74.300000000000011</v>
      </c>
      <c r="K799" s="3">
        <v>10</v>
      </c>
      <c r="L799" s="3">
        <f>IF(J799&gt;67,K799+(J799-67)*0.2,K799-(67-J799)*0.2)</f>
        <v>11.460000000000003</v>
      </c>
      <c r="M799" s="3">
        <f>(C799-H799)/C799*100</f>
        <v>63.679999999999993</v>
      </c>
      <c r="N799" s="3">
        <f>100-(M799+O799)</f>
        <v>13.400000000000006</v>
      </c>
      <c r="O799" s="3">
        <f>L799/C799*100</f>
        <v>22.920000000000005</v>
      </c>
      <c r="P799" s="1" t="s">
        <v>2</v>
      </c>
      <c r="Q799" s="15">
        <v>407405.54800000001</v>
      </c>
      <c r="R799" s="15">
        <v>3659976</v>
      </c>
    </row>
    <row r="800" spans="1:18" x14ac:dyDescent="0.25">
      <c r="A800" s="4">
        <v>135</v>
      </c>
      <c r="B800">
        <v>90</v>
      </c>
      <c r="C800">
        <v>50</v>
      </c>
      <c r="D800">
        <v>20</v>
      </c>
      <c r="E800" s="3">
        <v>26</v>
      </c>
      <c r="F800" s="3">
        <f>1.8*E800+32</f>
        <v>78.800000000000011</v>
      </c>
      <c r="G800" s="3">
        <v>16</v>
      </c>
      <c r="H800" s="3">
        <f>IF(F800&gt;68,G800+(F800-68)*0.2,G949-(68-F800)*0.2)</f>
        <v>18.160000000000004</v>
      </c>
      <c r="I800" s="3">
        <v>23.5</v>
      </c>
      <c r="J800" s="3">
        <f>1.8*I800+32</f>
        <v>74.300000000000011</v>
      </c>
      <c r="K800" s="3">
        <v>8</v>
      </c>
      <c r="L800" s="3">
        <f>IF(J800&gt;67,K800+(J800-67)*0.2,K800-(67-J800)*0.2)</f>
        <v>9.4600000000000026</v>
      </c>
      <c r="M800" s="3">
        <f>(C800-H800)/C800*100</f>
        <v>63.679999999999993</v>
      </c>
      <c r="N800" s="3">
        <f>100-(M800+O800)</f>
        <v>17.400000000000006</v>
      </c>
      <c r="O800" s="3">
        <f>L800/C800*100</f>
        <v>18.920000000000005</v>
      </c>
      <c r="P800" s="1" t="s">
        <v>0</v>
      </c>
      <c r="Q800" s="15">
        <v>407405.54800000001</v>
      </c>
      <c r="R800" s="15">
        <v>3659976</v>
      </c>
    </row>
    <row r="801" spans="1:19" x14ac:dyDescent="0.25">
      <c r="A801" s="4">
        <v>135</v>
      </c>
      <c r="B801">
        <v>120</v>
      </c>
      <c r="C801">
        <v>50</v>
      </c>
      <c r="D801">
        <v>20</v>
      </c>
      <c r="E801" s="3">
        <v>25.5</v>
      </c>
      <c r="F801" s="3">
        <f>1.8*E801+32</f>
        <v>77.900000000000006</v>
      </c>
      <c r="G801" s="3">
        <v>11</v>
      </c>
      <c r="H801" s="3">
        <f>IF(F801&gt;68,G801+(F801-68)*0.2,G950-(68-F801)*0.2)</f>
        <v>12.98</v>
      </c>
      <c r="I801" s="3">
        <v>23.5</v>
      </c>
      <c r="J801" s="3">
        <f>1.8*I801+32</f>
        <v>74.300000000000011</v>
      </c>
      <c r="K801" s="3">
        <v>6</v>
      </c>
      <c r="L801" s="3">
        <f>IF(J801&gt;67,K801+(J801-67)*0.2,K801-(67-J801)*0.2)</f>
        <v>7.4600000000000026</v>
      </c>
      <c r="M801" s="3">
        <f>(C801-H801)/C801*100</f>
        <v>74.039999999999992</v>
      </c>
      <c r="N801" s="3">
        <f>100-(M801+O801)</f>
        <v>11.040000000000006</v>
      </c>
      <c r="O801" s="3">
        <f>L801/C801*100</f>
        <v>14.920000000000005</v>
      </c>
      <c r="P801" s="1" t="s">
        <v>0</v>
      </c>
      <c r="Q801" s="15">
        <v>407405.54800000001</v>
      </c>
      <c r="R801" s="15">
        <v>3659976</v>
      </c>
    </row>
    <row r="802" spans="1:19" x14ac:dyDescent="0.25">
      <c r="A802" s="4">
        <v>135</v>
      </c>
      <c r="B802">
        <v>150</v>
      </c>
      <c r="C802">
        <v>50</v>
      </c>
      <c r="D802">
        <v>20</v>
      </c>
      <c r="E802" s="3">
        <v>26</v>
      </c>
      <c r="F802" s="3">
        <f>1.8*E802+32</f>
        <v>78.800000000000011</v>
      </c>
      <c r="G802" s="3">
        <v>8</v>
      </c>
      <c r="H802" s="3">
        <f>IF(F802&gt;68,G802+(F802-68)*0.2,G951-(68-F802)*0.2)</f>
        <v>10.160000000000002</v>
      </c>
      <c r="I802" s="3">
        <v>23.5</v>
      </c>
      <c r="J802" s="3">
        <f>1.8*I802+32</f>
        <v>74.300000000000011</v>
      </c>
      <c r="K802" s="3">
        <v>4</v>
      </c>
      <c r="L802" s="3">
        <f>IF(J802&gt;67,K802+(J802-67)*0.2,K802-(67-J802)*0.2)</f>
        <v>5.4600000000000026</v>
      </c>
      <c r="M802" s="3">
        <f>(C802-H802)/C802*100</f>
        <v>79.679999999999993</v>
      </c>
      <c r="N802" s="3">
        <f>100-(M802+O802)</f>
        <v>9.4000000000000057</v>
      </c>
      <c r="O802" s="3">
        <f>L802/C802*100</f>
        <v>10.920000000000005</v>
      </c>
      <c r="P802" s="1" t="s">
        <v>0</v>
      </c>
      <c r="Q802" s="15">
        <v>407405.54800000001</v>
      </c>
      <c r="R802" s="15">
        <v>3659976</v>
      </c>
    </row>
    <row r="803" spans="1:19" x14ac:dyDescent="0.25">
      <c r="A803" s="4">
        <v>135</v>
      </c>
      <c r="B803">
        <v>180</v>
      </c>
      <c r="C803">
        <v>50</v>
      </c>
      <c r="D803">
        <v>20</v>
      </c>
      <c r="E803" s="3">
        <v>26</v>
      </c>
      <c r="F803" s="3">
        <f>1.8*E803+32</f>
        <v>78.800000000000011</v>
      </c>
      <c r="G803" s="3">
        <v>17</v>
      </c>
      <c r="H803" s="3">
        <f>IF(F803&gt;68,G803+(F803-68)*0.2,G952-(68-F803)*0.2)</f>
        <v>19.160000000000004</v>
      </c>
      <c r="I803" s="3">
        <v>23</v>
      </c>
      <c r="J803" s="3">
        <f>1.8*I803+32</f>
        <v>73.400000000000006</v>
      </c>
      <c r="K803" s="3">
        <v>10</v>
      </c>
      <c r="L803" s="3">
        <f>IF(J803&gt;67,K803+(J803-67)*0.2,K803-(67-J803)*0.2)</f>
        <v>11.280000000000001</v>
      </c>
      <c r="M803" s="3">
        <f>(C803-H803)/C803*100</f>
        <v>61.679999999999993</v>
      </c>
      <c r="N803" s="3">
        <f>100-(M803+O803)</f>
        <v>15.760000000000005</v>
      </c>
      <c r="O803" s="3">
        <f>L803/C803*100</f>
        <v>22.560000000000002</v>
      </c>
      <c r="P803" s="1" t="s">
        <v>2</v>
      </c>
      <c r="Q803" s="15">
        <v>407405.54800000001</v>
      </c>
      <c r="R803" s="15">
        <v>3659976</v>
      </c>
    </row>
    <row r="804" spans="1:19" x14ac:dyDescent="0.25">
      <c r="Q804" s="18"/>
      <c r="R804" s="18"/>
    </row>
    <row r="805" spans="1:19" ht="51.75" x14ac:dyDescent="0.25">
      <c r="A805" s="14" t="s">
        <v>21</v>
      </c>
      <c r="B805" s="9" t="s">
        <v>20</v>
      </c>
      <c r="C805" s="13" t="s">
        <v>19</v>
      </c>
      <c r="D805" s="12" t="s">
        <v>18</v>
      </c>
      <c r="E805" s="11" t="s">
        <v>17</v>
      </c>
      <c r="F805" s="11" t="s">
        <v>16</v>
      </c>
      <c r="G805" s="11" t="s">
        <v>15</v>
      </c>
      <c r="H805" s="11" t="s">
        <v>14</v>
      </c>
      <c r="I805" s="11" t="s">
        <v>13</v>
      </c>
      <c r="J805" s="11" t="s">
        <v>12</v>
      </c>
      <c r="K805" s="11" t="s">
        <v>11</v>
      </c>
      <c r="L805" s="11" t="s">
        <v>10</v>
      </c>
      <c r="M805" s="10" t="s">
        <v>9</v>
      </c>
      <c r="N805" s="10" t="s">
        <v>8</v>
      </c>
      <c r="O805" s="10" t="s">
        <v>7</v>
      </c>
      <c r="P805" s="9" t="s">
        <v>6</v>
      </c>
      <c r="Q805" s="21" t="s">
        <v>5</v>
      </c>
      <c r="R805" s="20"/>
    </row>
    <row r="806" spans="1:19" x14ac:dyDescent="0.25"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1"/>
      <c r="Q806" s="5" t="s">
        <v>4</v>
      </c>
      <c r="R806" s="5" t="s">
        <v>3</v>
      </c>
    </row>
    <row r="807" spans="1:19" x14ac:dyDescent="0.25">
      <c r="A807" s="4">
        <v>136</v>
      </c>
      <c r="B807">
        <v>30</v>
      </c>
      <c r="C807">
        <v>50</v>
      </c>
      <c r="D807">
        <v>20</v>
      </c>
      <c r="E807" s="3">
        <v>25</v>
      </c>
      <c r="F807" s="3">
        <f>1.8*E807+32</f>
        <v>77</v>
      </c>
      <c r="G807" s="3">
        <v>18</v>
      </c>
      <c r="H807" s="3">
        <f>IF(F807&gt;68,G807+(F807-68)*0.2,G956-(68-F807)*0.2)</f>
        <v>19.8</v>
      </c>
      <c r="I807" s="3">
        <v>23</v>
      </c>
      <c r="J807" s="3">
        <f>1.8*I807+32</f>
        <v>73.400000000000006</v>
      </c>
      <c r="K807" s="3">
        <v>9</v>
      </c>
      <c r="L807" s="3">
        <f>IF(J807&gt;67,K807+(J807-67)*0.2,K807-(67-J807)*0.2)</f>
        <v>10.280000000000001</v>
      </c>
      <c r="M807" s="3">
        <f>(C807-H807)/C807*100</f>
        <v>60.4</v>
      </c>
      <c r="N807" s="3">
        <f>100-(M807+O807)</f>
        <v>19.039999999999992</v>
      </c>
      <c r="O807" s="3">
        <f>L807/C807*100</f>
        <v>20.560000000000002</v>
      </c>
      <c r="P807" s="1" t="s">
        <v>2</v>
      </c>
      <c r="Q807" s="15">
        <v>407405.54800000001</v>
      </c>
      <c r="R807" s="15">
        <v>3660002.5</v>
      </c>
    </row>
    <row r="808" spans="1:19" x14ac:dyDescent="0.25">
      <c r="A808" s="4">
        <v>136</v>
      </c>
      <c r="B808">
        <v>60</v>
      </c>
      <c r="C808">
        <v>50</v>
      </c>
      <c r="D808">
        <v>20</v>
      </c>
      <c r="E808" s="3">
        <v>25</v>
      </c>
      <c r="F808" s="3">
        <f>1.8*E808+32</f>
        <v>77</v>
      </c>
      <c r="G808" s="3">
        <v>14</v>
      </c>
      <c r="H808" s="3">
        <f>IF(F808&gt;68,G808+(F808-68)*0.2,G957-(68-F808)*0.2)</f>
        <v>15.8</v>
      </c>
      <c r="I808" s="3">
        <v>23</v>
      </c>
      <c r="J808" s="3">
        <f>1.8*I808+32</f>
        <v>73.400000000000006</v>
      </c>
      <c r="K808" s="3">
        <v>8</v>
      </c>
      <c r="L808" s="3">
        <f>IF(J808&gt;67,K808+(J808-67)*0.2,K808-(67-J808)*0.2)</f>
        <v>9.2800000000000011</v>
      </c>
      <c r="M808" s="3">
        <f>(C808-H808)/C808*100</f>
        <v>68.400000000000006</v>
      </c>
      <c r="N808" s="3">
        <f>100-(M808+O808)</f>
        <v>13.039999999999992</v>
      </c>
      <c r="O808" s="3">
        <f>L808/C808*100</f>
        <v>18.560000000000002</v>
      </c>
      <c r="P808" s="1" t="s">
        <v>0</v>
      </c>
      <c r="Q808" s="15">
        <v>407405.54800000001</v>
      </c>
      <c r="R808" s="15">
        <v>3660002.5</v>
      </c>
    </row>
    <row r="809" spans="1:19" x14ac:dyDescent="0.25">
      <c r="A809" s="4">
        <v>136</v>
      </c>
      <c r="B809">
        <v>90</v>
      </c>
      <c r="C809">
        <v>50</v>
      </c>
      <c r="D809">
        <v>20</v>
      </c>
      <c r="E809" s="3">
        <v>26</v>
      </c>
      <c r="F809" s="3">
        <f>1.8*E809+32</f>
        <v>78.800000000000011</v>
      </c>
      <c r="G809" s="3">
        <v>9</v>
      </c>
      <c r="H809" s="3">
        <f>IF(F809&gt;68,G809+(F809-68)*0.2,G958-(68-F809)*0.2)</f>
        <v>11.160000000000002</v>
      </c>
      <c r="I809" s="3">
        <v>23</v>
      </c>
      <c r="J809" s="3">
        <f>1.8*I809+32</f>
        <v>73.400000000000006</v>
      </c>
      <c r="K809" s="3">
        <v>4</v>
      </c>
      <c r="L809" s="3">
        <f>IF(J809&gt;67,K809+(J809-67)*0.2,K809-(67-J809)*0.2)</f>
        <v>5.2800000000000011</v>
      </c>
      <c r="M809" s="3">
        <f>(C809-H809)/C809*100</f>
        <v>77.679999999999993</v>
      </c>
      <c r="N809" s="3">
        <f>100-(M809+O809)</f>
        <v>11.760000000000005</v>
      </c>
      <c r="O809" s="3">
        <f>L809/C809*100</f>
        <v>10.560000000000002</v>
      </c>
      <c r="P809" s="1" t="s">
        <v>0</v>
      </c>
      <c r="Q809" s="15">
        <v>407405.54800000001</v>
      </c>
      <c r="R809" s="15">
        <v>3660002.5</v>
      </c>
    </row>
    <row r="810" spans="1:19" x14ac:dyDescent="0.25">
      <c r="A810" s="4">
        <v>136</v>
      </c>
      <c r="B810">
        <v>120</v>
      </c>
      <c r="C810">
        <v>50</v>
      </c>
      <c r="D810">
        <v>20</v>
      </c>
      <c r="E810" s="3">
        <v>26</v>
      </c>
      <c r="F810" s="3">
        <f>1.8*E810+32</f>
        <v>78.800000000000011</v>
      </c>
      <c r="G810" s="3">
        <v>10</v>
      </c>
      <c r="H810" s="3">
        <f>IF(F810&gt;68,G810+(F810-68)*0.2,G959-(68-F810)*0.2)</f>
        <v>12.160000000000002</v>
      </c>
      <c r="I810" s="3">
        <v>23</v>
      </c>
      <c r="J810" s="3">
        <f>1.8*I810+32</f>
        <v>73.400000000000006</v>
      </c>
      <c r="K810" s="3">
        <v>4</v>
      </c>
      <c r="L810" s="3">
        <f>IF(J810&gt;67,K810+(J810-67)*0.2,K810-(67-J810)*0.2)</f>
        <v>5.2800000000000011</v>
      </c>
      <c r="M810" s="3">
        <f>(C810-H810)/C810*100</f>
        <v>75.679999999999993</v>
      </c>
      <c r="N810" s="3">
        <f>100-(M810+O810)</f>
        <v>13.760000000000005</v>
      </c>
      <c r="O810" s="3">
        <f>L810/C810*100</f>
        <v>10.560000000000002</v>
      </c>
      <c r="P810" s="1" t="s">
        <v>0</v>
      </c>
      <c r="Q810" s="15">
        <v>407405.54800000001</v>
      </c>
      <c r="R810" s="15">
        <v>3660002.5</v>
      </c>
    </row>
    <row r="811" spans="1:19" x14ac:dyDescent="0.25">
      <c r="A811" s="4">
        <v>136</v>
      </c>
      <c r="B811">
        <v>150</v>
      </c>
      <c r="C811">
        <v>50</v>
      </c>
      <c r="D811">
        <v>20</v>
      </c>
      <c r="E811" s="3">
        <v>25</v>
      </c>
      <c r="F811" s="3">
        <f>1.8*E811+32</f>
        <v>77</v>
      </c>
      <c r="G811" s="3">
        <v>10</v>
      </c>
      <c r="H811" s="3">
        <f>IF(F811&gt;68,G811+(F811-68)*0.2,G960-(68-F811)*0.2)</f>
        <v>11.8</v>
      </c>
      <c r="I811" s="3">
        <v>23</v>
      </c>
      <c r="J811" s="3">
        <f>1.8*I811+32</f>
        <v>73.400000000000006</v>
      </c>
      <c r="K811" s="3">
        <v>4</v>
      </c>
      <c r="L811" s="3">
        <f>IF(J811&gt;67,K811+(J811-67)*0.2,K811-(67-J811)*0.2)</f>
        <v>5.2800000000000011</v>
      </c>
      <c r="M811" s="3">
        <f>(C811-H811)/C811*100</f>
        <v>76.400000000000006</v>
      </c>
      <c r="N811" s="3">
        <f>100-(M811+O811)</f>
        <v>13.039999999999992</v>
      </c>
      <c r="O811" s="3">
        <f>L811/C811*100</f>
        <v>10.560000000000002</v>
      </c>
      <c r="P811" s="1" t="s">
        <v>0</v>
      </c>
      <c r="Q811" s="15">
        <v>407405.54800000001</v>
      </c>
      <c r="R811" s="15">
        <v>3660002.5</v>
      </c>
    </row>
    <row r="812" spans="1:19" x14ac:dyDescent="0.25">
      <c r="A812" s="4">
        <v>136</v>
      </c>
      <c r="B812">
        <v>180</v>
      </c>
      <c r="C812">
        <v>50</v>
      </c>
      <c r="D812">
        <v>20</v>
      </c>
      <c r="E812" s="3">
        <v>25</v>
      </c>
      <c r="F812" s="3">
        <f>1.8*E812+32</f>
        <v>77</v>
      </c>
      <c r="G812" s="3">
        <v>18</v>
      </c>
      <c r="H812" s="3">
        <f>IF(F812&gt;68,G812+(F812-68)*0.2,G961-(68-F812)*0.2)</f>
        <v>19.8</v>
      </c>
      <c r="I812" s="3">
        <v>23</v>
      </c>
      <c r="J812" s="3">
        <f>1.8*I812+32</f>
        <v>73.400000000000006</v>
      </c>
      <c r="K812" s="3">
        <v>9</v>
      </c>
      <c r="L812" s="3">
        <f>IF(J812&gt;67,K812+(J812-67)*0.2,K812-(67-J812)*0.2)</f>
        <v>10.280000000000001</v>
      </c>
      <c r="M812" s="3">
        <f>(C812-H812)/C812*100</f>
        <v>60.4</v>
      </c>
      <c r="N812" s="3">
        <f>100-(M812+O812)</f>
        <v>19.039999999999992</v>
      </c>
      <c r="O812" s="3">
        <f>L812/C812*100</f>
        <v>20.560000000000002</v>
      </c>
      <c r="P812" s="1" t="s">
        <v>2</v>
      </c>
      <c r="Q812" s="15">
        <v>407405.54800000001</v>
      </c>
      <c r="R812" s="15">
        <v>3660002.5</v>
      </c>
    </row>
    <row r="813" spans="1:19" x14ac:dyDescent="0.25">
      <c r="A813" s="4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1"/>
      <c r="Q813" s="18"/>
      <c r="R813" s="18"/>
    </row>
    <row r="814" spans="1:19" ht="51.75" x14ac:dyDescent="0.25">
      <c r="A814" s="14" t="s">
        <v>21</v>
      </c>
      <c r="B814" s="9" t="s">
        <v>20</v>
      </c>
      <c r="C814" s="13" t="s">
        <v>19</v>
      </c>
      <c r="D814" s="12" t="s">
        <v>18</v>
      </c>
      <c r="E814" s="11" t="s">
        <v>17</v>
      </c>
      <c r="F814" s="11" t="s">
        <v>16</v>
      </c>
      <c r="G814" s="11" t="s">
        <v>15</v>
      </c>
      <c r="H814" s="11" t="s">
        <v>14</v>
      </c>
      <c r="I814" s="11" t="s">
        <v>13</v>
      </c>
      <c r="J814" s="11" t="s">
        <v>12</v>
      </c>
      <c r="K814" s="11" t="s">
        <v>11</v>
      </c>
      <c r="L814" s="11" t="s">
        <v>10</v>
      </c>
      <c r="M814" s="10" t="s">
        <v>9</v>
      </c>
      <c r="N814" s="10" t="s">
        <v>8</v>
      </c>
      <c r="O814" s="10" t="s">
        <v>7</v>
      </c>
      <c r="P814" s="9" t="s">
        <v>6</v>
      </c>
      <c r="Q814" s="21" t="s">
        <v>5</v>
      </c>
      <c r="R814" s="20"/>
      <c r="S814" s="6"/>
    </row>
    <row r="815" spans="1:19" x14ac:dyDescent="0.25"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1"/>
      <c r="Q815" s="5" t="s">
        <v>4</v>
      </c>
      <c r="R815" s="5" t="s">
        <v>3</v>
      </c>
      <c r="S815" s="1"/>
    </row>
    <row r="816" spans="1:19" x14ac:dyDescent="0.25">
      <c r="A816" s="4">
        <v>137</v>
      </c>
      <c r="B816">
        <v>30</v>
      </c>
      <c r="C816">
        <v>50</v>
      </c>
      <c r="D816">
        <v>20</v>
      </c>
      <c r="E816" s="3">
        <v>26</v>
      </c>
      <c r="F816" s="3">
        <f>1.8*E816+32</f>
        <v>78.800000000000011</v>
      </c>
      <c r="G816" s="3">
        <v>17</v>
      </c>
      <c r="H816" s="3">
        <f>IF(F816&gt;68,G816+(F816-68)*0.2,G964-(68-F816)*0.2)</f>
        <v>19.160000000000004</v>
      </c>
      <c r="I816" s="3">
        <v>23</v>
      </c>
      <c r="J816" s="3">
        <f>1.8*I816+32</f>
        <v>73.400000000000006</v>
      </c>
      <c r="K816" s="3">
        <v>10</v>
      </c>
      <c r="L816" s="3">
        <f>IF(J816&gt;67,K816+(J816-67)*0.2,K816-(67-J816)*0.2)</f>
        <v>11.280000000000001</v>
      </c>
      <c r="M816" s="3">
        <f>(C816-H816)/C816*100</f>
        <v>61.679999999999993</v>
      </c>
      <c r="N816" s="3">
        <f>100-(M816+O816)</f>
        <v>15.760000000000005</v>
      </c>
      <c r="O816" s="3">
        <f>L816/C816*100</f>
        <v>22.560000000000002</v>
      </c>
      <c r="P816" s="1" t="s">
        <v>2</v>
      </c>
      <c r="Q816" s="15">
        <v>407405.54800000001</v>
      </c>
      <c r="R816" s="15">
        <v>3660029</v>
      </c>
      <c r="S816" s="1"/>
    </row>
    <row r="817" spans="1:19" x14ac:dyDescent="0.25">
      <c r="A817" s="4">
        <v>137</v>
      </c>
      <c r="B817">
        <v>60</v>
      </c>
      <c r="C817">
        <v>50</v>
      </c>
      <c r="D817">
        <v>20</v>
      </c>
      <c r="E817" s="3">
        <v>25.5</v>
      </c>
      <c r="F817" s="3">
        <f>1.8*E817+32</f>
        <v>77.900000000000006</v>
      </c>
      <c r="G817" s="3">
        <v>15</v>
      </c>
      <c r="H817" s="3">
        <f>IF(F817&gt;68,G817+(F817-68)*0.2,G965-(68-F817)*0.2)</f>
        <v>16.98</v>
      </c>
      <c r="I817" s="3">
        <v>23</v>
      </c>
      <c r="J817" s="3">
        <f>1.8*I817+32</f>
        <v>73.400000000000006</v>
      </c>
      <c r="K817" s="3">
        <v>9</v>
      </c>
      <c r="L817" s="3">
        <f>IF(J817&gt;67,K817+(J817-67)*0.2,K817-(67-J817)*0.2)</f>
        <v>10.280000000000001</v>
      </c>
      <c r="M817" s="3">
        <f>(C817-H817)/C817*100</f>
        <v>66.039999999999992</v>
      </c>
      <c r="N817" s="3">
        <f>100-(M817+O817)</f>
        <v>13.400000000000006</v>
      </c>
      <c r="O817" s="3">
        <f>L817/C817*100</f>
        <v>20.560000000000002</v>
      </c>
      <c r="P817" s="1" t="s">
        <v>2</v>
      </c>
      <c r="Q817" s="15">
        <v>407405.54800000001</v>
      </c>
      <c r="R817" s="15">
        <v>3660029</v>
      </c>
      <c r="S817" s="1"/>
    </row>
    <row r="818" spans="1:19" x14ac:dyDescent="0.25">
      <c r="A818" s="4">
        <v>137</v>
      </c>
      <c r="B818">
        <v>90</v>
      </c>
      <c r="C818">
        <v>50</v>
      </c>
      <c r="D818">
        <v>20</v>
      </c>
      <c r="E818" s="3">
        <v>25</v>
      </c>
      <c r="F818" s="3">
        <f>1.8*E818+32</f>
        <v>77</v>
      </c>
      <c r="G818" s="3">
        <v>15</v>
      </c>
      <c r="H818" s="3">
        <f>IF(F818&gt;68,G818+(F818-68)*0.2,G966-(68-F818)*0.2)</f>
        <v>16.8</v>
      </c>
      <c r="I818" s="3">
        <v>23</v>
      </c>
      <c r="J818" s="3">
        <f>1.8*I818+32</f>
        <v>73.400000000000006</v>
      </c>
      <c r="K818" s="3">
        <v>8</v>
      </c>
      <c r="L818" s="3">
        <f>IF(J818&gt;67,K818+(J818-67)*0.2,K818-(67-J818)*0.2)</f>
        <v>9.2800000000000011</v>
      </c>
      <c r="M818" s="3">
        <f>(C818-H818)/C818*100</f>
        <v>66.400000000000006</v>
      </c>
      <c r="N818" s="3">
        <f>100-(M818+O818)</f>
        <v>15.039999999999992</v>
      </c>
      <c r="O818" s="3">
        <f>L818/C818*100</f>
        <v>18.560000000000002</v>
      </c>
      <c r="P818" s="1" t="s">
        <v>0</v>
      </c>
      <c r="Q818" s="15">
        <v>407405.54800000001</v>
      </c>
      <c r="R818" s="15">
        <v>3660029</v>
      </c>
      <c r="S818" s="1"/>
    </row>
    <row r="819" spans="1:19" x14ac:dyDescent="0.25">
      <c r="A819" s="4">
        <v>137</v>
      </c>
      <c r="B819">
        <v>120</v>
      </c>
      <c r="C819">
        <v>50</v>
      </c>
      <c r="D819">
        <v>20</v>
      </c>
      <c r="E819" s="3">
        <v>25</v>
      </c>
      <c r="F819" s="3">
        <f>1.8*E819+32</f>
        <v>77</v>
      </c>
      <c r="G819" s="3">
        <v>18</v>
      </c>
      <c r="H819" s="3">
        <f>IF(F819&gt;68,G819+(F819-68)*0.2,G967-(68-F819)*0.2)</f>
        <v>19.8</v>
      </c>
      <c r="I819" s="3">
        <v>23</v>
      </c>
      <c r="J819" s="3">
        <f>1.8*I819+32</f>
        <v>73.400000000000006</v>
      </c>
      <c r="K819" s="3">
        <v>12</v>
      </c>
      <c r="L819" s="3">
        <f>IF(J819&gt;67,K819+(J819-67)*0.2,K819-(67-J819)*0.2)</f>
        <v>13.280000000000001</v>
      </c>
      <c r="M819" s="3">
        <f>(C819-H819)/C819*100</f>
        <v>60.4</v>
      </c>
      <c r="N819" s="3">
        <f>100-(M819+O819)</f>
        <v>13.040000000000006</v>
      </c>
      <c r="O819" s="3">
        <f>L819/C819*100</f>
        <v>26.56</v>
      </c>
      <c r="P819" s="1" t="s">
        <v>2</v>
      </c>
      <c r="Q819" s="15">
        <v>407405.54800000001</v>
      </c>
      <c r="R819" s="15">
        <v>3660029</v>
      </c>
      <c r="S819" s="1"/>
    </row>
    <row r="820" spans="1:19" x14ac:dyDescent="0.25">
      <c r="A820" s="4">
        <v>137</v>
      </c>
      <c r="B820">
        <v>150</v>
      </c>
      <c r="C820">
        <v>50</v>
      </c>
      <c r="D820">
        <v>20</v>
      </c>
      <c r="E820" s="3">
        <v>25</v>
      </c>
      <c r="F820" s="3">
        <f>1.8*E820+32</f>
        <v>77</v>
      </c>
      <c r="G820" s="3">
        <v>16</v>
      </c>
      <c r="H820" s="3">
        <f>IF(F820&gt;68,G820+(F820-68)*0.2,G968-(68-F820)*0.2)</f>
        <v>17.8</v>
      </c>
      <c r="I820" s="3">
        <v>23</v>
      </c>
      <c r="J820" s="3">
        <f>1.8*I820+32</f>
        <v>73.400000000000006</v>
      </c>
      <c r="K820" s="3">
        <v>9</v>
      </c>
      <c r="L820" s="3">
        <f>IF(J820&gt;67,K820+(J820-67)*0.2,K820-(67-J820)*0.2)</f>
        <v>10.280000000000001</v>
      </c>
      <c r="M820" s="3">
        <f>(C820-H820)/C820*100</f>
        <v>64.400000000000006</v>
      </c>
      <c r="N820" s="3">
        <f>100-(M820+O820)</f>
        <v>15.039999999999992</v>
      </c>
      <c r="O820" s="3">
        <f>L820/C820*100</f>
        <v>20.560000000000002</v>
      </c>
      <c r="P820" s="1" t="s">
        <v>2</v>
      </c>
      <c r="Q820" s="15">
        <v>407405.54800000001</v>
      </c>
      <c r="R820" s="15">
        <v>3660029</v>
      </c>
      <c r="S820" s="1"/>
    </row>
    <row r="821" spans="1:19" x14ac:dyDescent="0.25">
      <c r="A821" s="4">
        <v>137</v>
      </c>
      <c r="B821">
        <v>180</v>
      </c>
      <c r="C821">
        <v>50</v>
      </c>
      <c r="D821">
        <v>20</v>
      </c>
      <c r="E821" s="3">
        <v>26</v>
      </c>
      <c r="F821" s="3">
        <f>1.8*E821+32</f>
        <v>78.800000000000011</v>
      </c>
      <c r="G821" s="3">
        <v>17</v>
      </c>
      <c r="H821" s="3">
        <f>IF(F821&gt;68,G821+(F821-68)*0.2,G969-(68-F821)*0.2)</f>
        <v>19.160000000000004</v>
      </c>
      <c r="I821" s="3">
        <v>23</v>
      </c>
      <c r="J821" s="3">
        <f>1.8*I821+32</f>
        <v>73.400000000000006</v>
      </c>
      <c r="K821" s="3">
        <v>9</v>
      </c>
      <c r="L821" s="3">
        <f>IF(J821&gt;67,K821+(J821-67)*0.2,K821-(67-J821)*0.2)</f>
        <v>10.280000000000001</v>
      </c>
      <c r="M821" s="3">
        <f>(C821-H821)/C821*100</f>
        <v>61.679999999999993</v>
      </c>
      <c r="N821" s="3">
        <f>100-(M821+O821)</f>
        <v>17.760000000000005</v>
      </c>
      <c r="O821" s="3">
        <f>L821/C821*100</f>
        <v>20.560000000000002</v>
      </c>
      <c r="P821" s="1" t="s">
        <v>2</v>
      </c>
      <c r="Q821" s="15">
        <v>407405.54800000001</v>
      </c>
      <c r="R821" s="15">
        <v>3660029</v>
      </c>
      <c r="S821" s="1"/>
    </row>
    <row r="822" spans="1:19" x14ac:dyDescent="0.25">
      <c r="A822" s="4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1"/>
      <c r="Q822" s="18"/>
      <c r="R822" s="18"/>
      <c r="S822" s="1"/>
    </row>
    <row r="823" spans="1:19" ht="51.75" x14ac:dyDescent="0.25">
      <c r="A823" s="14" t="s">
        <v>21</v>
      </c>
      <c r="B823" s="9" t="s">
        <v>20</v>
      </c>
      <c r="C823" s="13" t="s">
        <v>19</v>
      </c>
      <c r="D823" s="12" t="s">
        <v>18</v>
      </c>
      <c r="E823" s="11" t="s">
        <v>17</v>
      </c>
      <c r="F823" s="11" t="s">
        <v>16</v>
      </c>
      <c r="G823" s="11" t="s">
        <v>15</v>
      </c>
      <c r="H823" s="11" t="s">
        <v>14</v>
      </c>
      <c r="I823" s="11" t="s">
        <v>13</v>
      </c>
      <c r="J823" s="11" t="s">
        <v>12</v>
      </c>
      <c r="K823" s="11" t="s">
        <v>11</v>
      </c>
      <c r="L823" s="11" t="s">
        <v>10</v>
      </c>
      <c r="M823" s="10" t="s">
        <v>9</v>
      </c>
      <c r="N823" s="10" t="s">
        <v>8</v>
      </c>
      <c r="O823" s="10" t="s">
        <v>7</v>
      </c>
      <c r="P823" s="9" t="s">
        <v>6</v>
      </c>
      <c r="Q823" s="21" t="s">
        <v>5</v>
      </c>
      <c r="R823" s="20"/>
      <c r="S823" s="6"/>
    </row>
    <row r="824" spans="1:19" x14ac:dyDescent="0.25">
      <c r="C824" s="16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1"/>
      <c r="Q824" s="5" t="s">
        <v>4</v>
      </c>
      <c r="R824" s="5" t="s">
        <v>3</v>
      </c>
      <c r="S824" s="1"/>
    </row>
    <row r="825" spans="1:19" x14ac:dyDescent="0.25">
      <c r="A825" s="4">
        <v>141</v>
      </c>
      <c r="B825">
        <v>30</v>
      </c>
      <c r="C825" s="16">
        <v>50</v>
      </c>
      <c r="D825">
        <v>20</v>
      </c>
      <c r="E825" s="3">
        <v>25</v>
      </c>
      <c r="F825" s="3">
        <f>1.8*E825+32</f>
        <v>77</v>
      </c>
      <c r="G825" s="3">
        <v>21</v>
      </c>
      <c r="H825" s="3">
        <f>IF(F825&gt;68,G825+(F825-68)*0.2,G972-(68-F825)*0.2)</f>
        <v>22.8</v>
      </c>
      <c r="I825" s="3">
        <v>22.5</v>
      </c>
      <c r="J825" s="3">
        <f>1.8*I825+32</f>
        <v>72.5</v>
      </c>
      <c r="K825" s="3">
        <v>13</v>
      </c>
      <c r="L825" s="3">
        <f>IF(J825&gt;68,K825+(J825-68)*0.2,K825-(68-J825)*0.2)</f>
        <v>13.9</v>
      </c>
      <c r="M825" s="3">
        <f>(C825-H825)/C825*100</f>
        <v>54.400000000000006</v>
      </c>
      <c r="N825" s="3">
        <f>100-(M825+O825)</f>
        <v>17.799999999999983</v>
      </c>
      <c r="O825" s="3">
        <f>L825/C825*100</f>
        <v>27.800000000000004</v>
      </c>
      <c r="P825" s="1" t="s">
        <v>2</v>
      </c>
      <c r="Q825" s="15">
        <v>407391.32400000002</v>
      </c>
      <c r="R825" s="15">
        <v>3659870</v>
      </c>
      <c r="S825" s="1"/>
    </row>
    <row r="826" spans="1:19" x14ac:dyDescent="0.25">
      <c r="A826" s="4">
        <v>141</v>
      </c>
      <c r="B826">
        <v>60</v>
      </c>
      <c r="C826" s="16">
        <v>50</v>
      </c>
      <c r="D826">
        <v>20</v>
      </c>
      <c r="E826" s="3">
        <v>25</v>
      </c>
      <c r="F826" s="3">
        <f>1.8*E826+32</f>
        <v>77</v>
      </c>
      <c r="G826" s="3">
        <v>15</v>
      </c>
      <c r="H826" s="3">
        <f>IF(F826&gt;68,G826+(F826-68)*0.2,G973-(68-F826)*0.2)</f>
        <v>16.8</v>
      </c>
      <c r="I826" s="3">
        <v>23</v>
      </c>
      <c r="J826" s="3">
        <f>1.8*I826+32</f>
        <v>73.400000000000006</v>
      </c>
      <c r="K826" s="3">
        <v>9</v>
      </c>
      <c r="L826" s="3">
        <f>IF(J826&gt;68,K826+(J826-68)*0.2,K826-(68-J826)*0.2)</f>
        <v>10.080000000000002</v>
      </c>
      <c r="M826" s="3">
        <f>(C826-H826)/C826*100</f>
        <v>66.400000000000006</v>
      </c>
      <c r="N826" s="3">
        <f>100-(M826+O826)</f>
        <v>13.439999999999998</v>
      </c>
      <c r="O826" s="3">
        <f>L826/C826*100</f>
        <v>20.160000000000004</v>
      </c>
      <c r="P826" s="1" t="s">
        <v>2</v>
      </c>
      <c r="Q826" s="15">
        <v>407391.32400000002</v>
      </c>
      <c r="R826" s="15">
        <v>3659870</v>
      </c>
      <c r="S826" s="1"/>
    </row>
    <row r="827" spans="1:19" x14ac:dyDescent="0.25">
      <c r="A827" s="4">
        <v>141</v>
      </c>
      <c r="B827">
        <v>90</v>
      </c>
      <c r="C827" s="16">
        <v>50</v>
      </c>
      <c r="D827">
        <v>20</v>
      </c>
      <c r="E827" s="3">
        <v>26</v>
      </c>
      <c r="F827" s="3">
        <f>1.8*E827+32</f>
        <v>78.800000000000011</v>
      </c>
      <c r="G827" s="3">
        <v>12</v>
      </c>
      <c r="H827" s="3">
        <f>IF(F827&gt;68,G827+(F827-68)*0.2,G974-(68-F827)*0.2)</f>
        <v>14.160000000000002</v>
      </c>
      <c r="I827" s="3">
        <v>23.5</v>
      </c>
      <c r="J827" s="3">
        <f>1.8*I827+32</f>
        <v>74.300000000000011</v>
      </c>
      <c r="K827" s="3">
        <v>6</v>
      </c>
      <c r="L827" s="3">
        <f>IF(J827&gt;68,K827+(J827-68)*0.2,K827-(68-J827)*0.2)</f>
        <v>7.2600000000000025</v>
      </c>
      <c r="M827" s="3">
        <f>(C827-H827)/C827*100</f>
        <v>71.679999999999993</v>
      </c>
      <c r="N827" s="3">
        <f>100-(M827+O827)</f>
        <v>13.799999999999997</v>
      </c>
      <c r="O827" s="3">
        <f>L827/C827*100</f>
        <v>14.520000000000005</v>
      </c>
      <c r="P827" s="1" t="s">
        <v>0</v>
      </c>
      <c r="Q827" s="15">
        <v>407391.32400000002</v>
      </c>
      <c r="R827" s="15">
        <v>3659870</v>
      </c>
      <c r="S827" s="1"/>
    </row>
    <row r="828" spans="1:19" x14ac:dyDescent="0.25">
      <c r="A828" s="4">
        <v>141</v>
      </c>
      <c r="B828">
        <v>120</v>
      </c>
      <c r="C828" s="16">
        <v>50</v>
      </c>
      <c r="D828">
        <v>20</v>
      </c>
      <c r="E828" s="3">
        <v>26</v>
      </c>
      <c r="F828" s="3">
        <f>1.8*E828+32</f>
        <v>78.800000000000011</v>
      </c>
      <c r="G828" s="3">
        <v>13</v>
      </c>
      <c r="H828" s="3">
        <f>IF(F828&gt;68,G828+(F828-68)*0.2,G976-(68-F828)*0.2)</f>
        <v>15.160000000000002</v>
      </c>
      <c r="I828" s="3">
        <v>23.5</v>
      </c>
      <c r="J828" s="3">
        <f>1.8*I828+32</f>
        <v>74.300000000000011</v>
      </c>
      <c r="K828" s="3">
        <v>8</v>
      </c>
      <c r="L828" s="3">
        <f>IF(J828&gt;68,K828+(J828-68)*0.2,K828-(68-J828)*0.2)</f>
        <v>9.2600000000000016</v>
      </c>
      <c r="M828" s="3">
        <f>(C828-H828)/C828*100</f>
        <v>69.679999999999993</v>
      </c>
      <c r="N828" s="3">
        <f>100-(M828+O828)</f>
        <v>11.800000000000011</v>
      </c>
      <c r="O828" s="3">
        <f>L828/C828*100</f>
        <v>18.520000000000003</v>
      </c>
      <c r="P828" s="1" t="s">
        <v>0</v>
      </c>
      <c r="Q828" s="15">
        <v>407391.32400000002</v>
      </c>
      <c r="R828" s="15">
        <v>3659870</v>
      </c>
      <c r="S828" s="1"/>
    </row>
    <row r="829" spans="1:19" x14ac:dyDescent="0.25">
      <c r="A829" s="4">
        <v>141</v>
      </c>
      <c r="B829">
        <v>150</v>
      </c>
      <c r="C829" s="16">
        <v>50</v>
      </c>
      <c r="D829">
        <v>20</v>
      </c>
      <c r="E829" s="3">
        <v>24</v>
      </c>
      <c r="F829" s="3">
        <f>1.8*E829+32</f>
        <v>75.2</v>
      </c>
      <c r="G829" s="3">
        <v>17</v>
      </c>
      <c r="H829" s="3">
        <f>IF(F829&gt;68,G829+(F829-68)*0.2,G977-(68-F829)*0.2)</f>
        <v>18.440000000000001</v>
      </c>
      <c r="I829" s="3">
        <v>22.5</v>
      </c>
      <c r="J829" s="3">
        <f>1.8*I829+32</f>
        <v>72.5</v>
      </c>
      <c r="K829" s="3">
        <v>7</v>
      </c>
      <c r="L829" s="3">
        <f>IF(J829&gt;68,K829+(J829-68)*0.2,K829-(68-J829)*0.2)</f>
        <v>7.9</v>
      </c>
      <c r="M829" s="3">
        <f>(C829-H829)/C829*100</f>
        <v>63.12</v>
      </c>
      <c r="N829" s="3">
        <f>100-(M829+O829)</f>
        <v>21.08</v>
      </c>
      <c r="O829" s="3">
        <f>L829/C829*100</f>
        <v>15.8</v>
      </c>
      <c r="P829" s="1" t="s">
        <v>0</v>
      </c>
      <c r="Q829" s="15">
        <v>407391.32400000002</v>
      </c>
      <c r="R829" s="15">
        <v>3659870</v>
      </c>
      <c r="S829" s="1"/>
    </row>
    <row r="830" spans="1:19" x14ac:dyDescent="0.25">
      <c r="A830" s="4">
        <v>141</v>
      </c>
      <c r="B830">
        <v>180</v>
      </c>
      <c r="C830" s="16">
        <v>50</v>
      </c>
      <c r="D830">
        <v>20</v>
      </c>
      <c r="E830" s="3">
        <v>25</v>
      </c>
      <c r="F830" s="3">
        <f>1.8*E830+32</f>
        <v>77</v>
      </c>
      <c r="G830" s="3">
        <v>13</v>
      </c>
      <c r="H830" s="3">
        <f>IF(F830&gt;68,G830+(F830-68)*0.2,G978-(68-F830)*0.2)</f>
        <v>14.8</v>
      </c>
      <c r="I830" s="3">
        <v>23</v>
      </c>
      <c r="J830" s="3">
        <f>1.8*I830+32</f>
        <v>73.400000000000006</v>
      </c>
      <c r="K830" s="3">
        <v>7</v>
      </c>
      <c r="L830" s="3">
        <f>IF(J830&gt;68,K830+(J830-68)*0.2,K830-(68-J830)*0.2)</f>
        <v>8.0800000000000018</v>
      </c>
      <c r="M830" s="3">
        <f>(C830-H830)/C830*100</f>
        <v>70.400000000000006</v>
      </c>
      <c r="N830" s="3">
        <f>100-(M830+O830)</f>
        <v>13.439999999999998</v>
      </c>
      <c r="O830" s="3">
        <f>L830/C830*100</f>
        <v>16.160000000000004</v>
      </c>
      <c r="P830" s="1" t="s">
        <v>0</v>
      </c>
      <c r="Q830" s="15">
        <v>407391.32400000002</v>
      </c>
      <c r="R830" s="15">
        <v>3659870</v>
      </c>
      <c r="S830" s="1"/>
    </row>
    <row r="831" spans="1:19" x14ac:dyDescent="0.25">
      <c r="Q831" s="18"/>
      <c r="R831" s="18"/>
    </row>
    <row r="832" spans="1:19" ht="51.75" x14ac:dyDescent="0.25">
      <c r="A832" s="14" t="s">
        <v>21</v>
      </c>
      <c r="B832" s="9" t="s">
        <v>20</v>
      </c>
      <c r="C832" s="13" t="s">
        <v>19</v>
      </c>
      <c r="D832" s="12" t="s">
        <v>18</v>
      </c>
      <c r="E832" s="11" t="s">
        <v>17</v>
      </c>
      <c r="F832" s="11" t="s">
        <v>16</v>
      </c>
      <c r="G832" s="11" t="s">
        <v>15</v>
      </c>
      <c r="H832" s="11" t="s">
        <v>14</v>
      </c>
      <c r="I832" s="11" t="s">
        <v>13</v>
      </c>
      <c r="J832" s="11" t="s">
        <v>12</v>
      </c>
      <c r="K832" s="11" t="s">
        <v>11</v>
      </c>
      <c r="L832" s="11" t="s">
        <v>10</v>
      </c>
      <c r="M832" s="10" t="s">
        <v>9</v>
      </c>
      <c r="N832" s="10" t="s">
        <v>8</v>
      </c>
      <c r="O832" s="10" t="s">
        <v>7</v>
      </c>
      <c r="P832" s="9" t="s">
        <v>6</v>
      </c>
      <c r="Q832" s="21" t="s">
        <v>5</v>
      </c>
      <c r="R832" s="20"/>
      <c r="S832" s="6"/>
    </row>
    <row r="833" spans="1:20" x14ac:dyDescent="0.25"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1"/>
      <c r="Q833" s="5" t="s">
        <v>4</v>
      </c>
      <c r="R833" s="5" t="s">
        <v>3</v>
      </c>
      <c r="S833" s="1"/>
    </row>
    <row r="834" spans="1:20" x14ac:dyDescent="0.25">
      <c r="A834" s="4">
        <v>142</v>
      </c>
      <c r="B834">
        <v>30</v>
      </c>
      <c r="C834">
        <v>50</v>
      </c>
      <c r="D834">
        <v>20</v>
      </c>
      <c r="E834" s="3">
        <v>25</v>
      </c>
      <c r="F834" s="3">
        <f>1.8*E834+32</f>
        <v>77</v>
      </c>
      <c r="G834" s="3">
        <v>23</v>
      </c>
      <c r="H834" s="3">
        <f>IF(F834&gt;68,G834+(F834-68)*0.2,G982-(68-F834)*0.2)</f>
        <v>24.8</v>
      </c>
      <c r="I834" s="3">
        <v>22.5</v>
      </c>
      <c r="J834" s="3">
        <f>1.8*I834+32</f>
        <v>72.5</v>
      </c>
      <c r="K834" s="3">
        <v>14</v>
      </c>
      <c r="L834" s="3">
        <f>IF(J834&gt;67,K834+(J834-67)*0.2,K834-(67-J834)*0.2)</f>
        <v>15.1</v>
      </c>
      <c r="M834" s="3">
        <f>(C834-H834)/C834*100</f>
        <v>50.4</v>
      </c>
      <c r="N834" s="3">
        <f>100-(M834+O834)</f>
        <v>19.400000000000006</v>
      </c>
      <c r="O834" s="3">
        <f>L834/C834*100</f>
        <v>30.2</v>
      </c>
      <c r="P834" s="1" t="s">
        <v>2</v>
      </c>
      <c r="Q834" s="15">
        <v>407391.32400000002</v>
      </c>
      <c r="R834" s="15">
        <v>3659896.5</v>
      </c>
      <c r="S834" s="1"/>
    </row>
    <row r="835" spans="1:20" x14ac:dyDescent="0.25">
      <c r="A835" s="4">
        <v>142</v>
      </c>
      <c r="B835">
        <v>60</v>
      </c>
      <c r="C835">
        <v>50</v>
      </c>
      <c r="D835">
        <v>20</v>
      </c>
      <c r="E835" s="3">
        <v>25.5</v>
      </c>
      <c r="F835" s="3">
        <f>1.8*E835+32</f>
        <v>77.900000000000006</v>
      </c>
      <c r="G835" s="3">
        <v>15</v>
      </c>
      <c r="H835" s="3">
        <f>IF(F835&gt;68,G835+(F835-68)*0.2,G983-(68-F835)*0.2)</f>
        <v>16.98</v>
      </c>
      <c r="I835" s="3">
        <v>23</v>
      </c>
      <c r="J835" s="3">
        <f>1.8*I835+32</f>
        <v>73.400000000000006</v>
      </c>
      <c r="K835" s="3">
        <v>9</v>
      </c>
      <c r="L835" s="3">
        <f>IF(J835&gt;67,K835+(J835-67)*0.2,K835-(67-J835)*0.2)</f>
        <v>10.280000000000001</v>
      </c>
      <c r="M835" s="3">
        <f>(C835-H835)/C835*100</f>
        <v>66.039999999999992</v>
      </c>
      <c r="N835" s="3">
        <f>100-(M835+O835)</f>
        <v>13.400000000000006</v>
      </c>
      <c r="O835" s="3">
        <f>L835/C835*100</f>
        <v>20.560000000000002</v>
      </c>
      <c r="P835" s="1" t="s">
        <v>2</v>
      </c>
      <c r="Q835" s="15">
        <v>407391.32400000002</v>
      </c>
      <c r="R835" s="15">
        <v>3659896.5</v>
      </c>
      <c r="S835" s="1"/>
    </row>
    <row r="836" spans="1:20" x14ac:dyDescent="0.25">
      <c r="A836" s="4">
        <v>142</v>
      </c>
      <c r="B836">
        <v>90</v>
      </c>
      <c r="C836">
        <v>50</v>
      </c>
      <c r="D836">
        <v>20</v>
      </c>
      <c r="E836" s="3">
        <v>25</v>
      </c>
      <c r="F836" s="3">
        <f>1.8*E836+32</f>
        <v>77</v>
      </c>
      <c r="G836" s="3">
        <v>17</v>
      </c>
      <c r="H836" s="3">
        <f>IF(F836&gt;68,G836+(F836-68)*0.2,G984-(68-F836)*0.2)</f>
        <v>18.8</v>
      </c>
      <c r="I836" s="3">
        <v>23</v>
      </c>
      <c r="J836" s="3">
        <f>1.8*I836+32</f>
        <v>73.400000000000006</v>
      </c>
      <c r="K836" s="3">
        <v>10</v>
      </c>
      <c r="L836" s="3">
        <f>IF(J836&gt;67,K836+(J836-67)*0.2,K836-(67-J836)*0.2)</f>
        <v>11.280000000000001</v>
      </c>
      <c r="M836" s="3">
        <f>(C836-H836)/C836*100</f>
        <v>62.4</v>
      </c>
      <c r="N836" s="3">
        <f>100-(M836+O836)</f>
        <v>15.039999999999992</v>
      </c>
      <c r="O836" s="3">
        <f>L836/C836*100</f>
        <v>22.560000000000002</v>
      </c>
      <c r="P836" s="1" t="s">
        <v>2</v>
      </c>
      <c r="Q836" s="15">
        <v>407391.32400000002</v>
      </c>
      <c r="R836" s="15">
        <v>3659896.5</v>
      </c>
      <c r="S836" s="1"/>
    </row>
    <row r="837" spans="1:20" x14ac:dyDescent="0.25">
      <c r="A837" s="4">
        <v>142</v>
      </c>
      <c r="B837">
        <v>120</v>
      </c>
      <c r="C837">
        <v>50</v>
      </c>
      <c r="D837">
        <v>20</v>
      </c>
      <c r="E837" s="3">
        <v>25</v>
      </c>
      <c r="F837" s="3">
        <f>1.8*E837+32</f>
        <v>77</v>
      </c>
      <c r="G837" s="3">
        <v>16</v>
      </c>
      <c r="H837" s="3">
        <f>IF(F837&gt;68,G837+(F837-68)*0.2,G985-(68-F837)*0.2)</f>
        <v>17.8</v>
      </c>
      <c r="I837" s="3">
        <v>23</v>
      </c>
      <c r="J837" s="3">
        <f>1.8*I837+32</f>
        <v>73.400000000000006</v>
      </c>
      <c r="K837" s="3">
        <v>9</v>
      </c>
      <c r="L837" s="3">
        <f>IF(J837&gt;67,K837+(J837-67)*0.2,K837-(67-J837)*0.2)</f>
        <v>10.280000000000001</v>
      </c>
      <c r="M837" s="3">
        <f>(C837-H837)/C837*100</f>
        <v>64.400000000000006</v>
      </c>
      <c r="N837" s="3">
        <f>100-(M837+O837)</f>
        <v>15.039999999999992</v>
      </c>
      <c r="O837" s="3">
        <f>L837/C837*100</f>
        <v>20.560000000000002</v>
      </c>
      <c r="P837" s="1" t="s">
        <v>2</v>
      </c>
      <c r="Q837" s="15">
        <v>407391.32400000002</v>
      </c>
      <c r="R837" s="15">
        <v>3659896.5</v>
      </c>
      <c r="S837" s="1"/>
    </row>
    <row r="838" spans="1:20" x14ac:dyDescent="0.25">
      <c r="A838" s="4">
        <v>142</v>
      </c>
      <c r="B838">
        <v>150</v>
      </c>
      <c r="C838">
        <v>50</v>
      </c>
      <c r="D838">
        <v>20</v>
      </c>
      <c r="E838" s="3">
        <v>25.5</v>
      </c>
      <c r="F838" s="3">
        <f>1.8*E838+32</f>
        <v>77.900000000000006</v>
      </c>
      <c r="G838" s="3">
        <v>17</v>
      </c>
      <c r="H838" s="3">
        <f>IF(F838&gt;68,G838+(F838-68)*0.2,G986-(68-F838)*0.2)</f>
        <v>18.98</v>
      </c>
      <c r="I838" s="3">
        <v>23</v>
      </c>
      <c r="J838" s="3">
        <f>1.8*I838+32</f>
        <v>73.400000000000006</v>
      </c>
      <c r="K838" s="3">
        <v>9</v>
      </c>
      <c r="L838" s="3">
        <f>IF(J838&gt;67,K838+(J838-67)*0.2,K838-(67-J838)*0.2)</f>
        <v>10.280000000000001</v>
      </c>
      <c r="M838" s="3">
        <f>(C838-H838)/C838*100</f>
        <v>62.039999999999992</v>
      </c>
      <c r="N838" s="3">
        <f>100-(M838+O838)</f>
        <v>17.400000000000006</v>
      </c>
      <c r="O838" s="3">
        <f>L838/C838*100</f>
        <v>20.560000000000002</v>
      </c>
      <c r="P838" s="1" t="s">
        <v>2</v>
      </c>
      <c r="Q838" s="15">
        <v>407391.32400000002</v>
      </c>
      <c r="R838" s="15">
        <v>3659896.5</v>
      </c>
      <c r="S838" s="1"/>
    </row>
    <row r="839" spans="1:20" x14ac:dyDescent="0.25">
      <c r="A839" s="4">
        <v>142</v>
      </c>
      <c r="B839">
        <v>180</v>
      </c>
      <c r="C839">
        <v>50</v>
      </c>
      <c r="D839">
        <v>20</v>
      </c>
      <c r="E839" s="3">
        <v>26</v>
      </c>
      <c r="F839" s="3">
        <f>1.8*E839+32</f>
        <v>78.800000000000011</v>
      </c>
      <c r="G839" s="3">
        <v>13</v>
      </c>
      <c r="H839" s="3">
        <f>IF(F839&gt;68,G839+(F839-68)*0.2,G987-(68-F839)*0.2)</f>
        <v>15.160000000000002</v>
      </c>
      <c r="I839" s="3">
        <v>23</v>
      </c>
      <c r="J839" s="3">
        <f>1.8*I839+32</f>
        <v>73.400000000000006</v>
      </c>
      <c r="K839" s="3">
        <v>7</v>
      </c>
      <c r="L839" s="3">
        <f>IF(J839&gt;67,K839+(J839-67)*0.2,K839-(67-J839)*0.2)</f>
        <v>8.2800000000000011</v>
      </c>
      <c r="M839" s="3">
        <f>(C839-H839)/C839*100</f>
        <v>69.679999999999993</v>
      </c>
      <c r="N839" s="3">
        <f>100-(M839+O839)</f>
        <v>13.760000000000005</v>
      </c>
      <c r="O839" s="3">
        <f>L839/C839*100</f>
        <v>16.560000000000002</v>
      </c>
      <c r="P839" s="1" t="s">
        <v>0</v>
      </c>
      <c r="Q839" s="15">
        <v>407391.32400000002</v>
      </c>
      <c r="R839" s="15">
        <v>3659896.5</v>
      </c>
      <c r="S839" s="1"/>
    </row>
    <row r="840" spans="1:20" x14ac:dyDescent="0.25">
      <c r="Q840" s="18"/>
      <c r="R840" s="18"/>
    </row>
    <row r="841" spans="1:20" ht="51.75" x14ac:dyDescent="0.25">
      <c r="A841" s="14" t="s">
        <v>21</v>
      </c>
      <c r="B841" s="9" t="s">
        <v>20</v>
      </c>
      <c r="C841" s="13" t="s">
        <v>19</v>
      </c>
      <c r="D841" s="12" t="s">
        <v>18</v>
      </c>
      <c r="E841" s="11" t="s">
        <v>17</v>
      </c>
      <c r="F841" s="11" t="s">
        <v>16</v>
      </c>
      <c r="G841" s="11" t="s">
        <v>15</v>
      </c>
      <c r="H841" s="11" t="s">
        <v>14</v>
      </c>
      <c r="I841" s="11" t="s">
        <v>13</v>
      </c>
      <c r="J841" s="11" t="s">
        <v>12</v>
      </c>
      <c r="K841" s="11" t="s">
        <v>11</v>
      </c>
      <c r="L841" s="11" t="s">
        <v>10</v>
      </c>
      <c r="M841" s="10" t="s">
        <v>9</v>
      </c>
      <c r="N841" s="10" t="s">
        <v>8</v>
      </c>
      <c r="O841" s="10" t="s">
        <v>7</v>
      </c>
      <c r="P841" s="9" t="s">
        <v>6</v>
      </c>
      <c r="Q841" s="19" t="s">
        <v>5</v>
      </c>
      <c r="R841" s="19"/>
      <c r="S841" s="17"/>
      <c r="T841" s="17"/>
    </row>
    <row r="842" spans="1:20" x14ac:dyDescent="0.25"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1"/>
      <c r="Q842" s="5" t="s">
        <v>4</v>
      </c>
      <c r="R842" s="5" t="s">
        <v>3</v>
      </c>
      <c r="S842" s="17"/>
      <c r="T842" s="17"/>
    </row>
    <row r="843" spans="1:20" x14ac:dyDescent="0.25">
      <c r="A843" s="4">
        <v>143</v>
      </c>
      <c r="B843">
        <v>30</v>
      </c>
      <c r="C843">
        <v>50</v>
      </c>
      <c r="D843">
        <v>20</v>
      </c>
      <c r="E843" s="3">
        <v>25</v>
      </c>
      <c r="F843" s="3">
        <f>1.8*E843+32</f>
        <v>77</v>
      </c>
      <c r="G843" s="3">
        <v>16</v>
      </c>
      <c r="H843" s="3">
        <f>IF(F843&gt;68,G843+(F843-68)*0.2,G991-(68-F843)*0.2)</f>
        <v>17.8</v>
      </c>
      <c r="I843" s="3">
        <v>23</v>
      </c>
      <c r="J843" s="3">
        <f>1.8*I843+32</f>
        <v>73.400000000000006</v>
      </c>
      <c r="K843" s="3">
        <v>10</v>
      </c>
      <c r="L843" s="3">
        <f>IF(J843&gt;67,K843+(J843-67)*0.2,K843-(67-J843)*0.2)</f>
        <v>11.280000000000001</v>
      </c>
      <c r="M843" s="3">
        <f>(C843-H843)/C843*100</f>
        <v>64.400000000000006</v>
      </c>
      <c r="N843" s="3">
        <f>100-(M843+O843)</f>
        <v>13.039999999999992</v>
      </c>
      <c r="O843" s="3">
        <f>L843/C843*100</f>
        <v>22.560000000000002</v>
      </c>
      <c r="P843" s="1" t="s">
        <v>2</v>
      </c>
      <c r="Q843" s="15">
        <v>407391.32400000002</v>
      </c>
      <c r="R843" s="15">
        <v>3659923</v>
      </c>
      <c r="S843" s="17"/>
      <c r="T843" s="17"/>
    </row>
    <row r="844" spans="1:20" x14ac:dyDescent="0.25">
      <c r="A844" s="4">
        <v>143</v>
      </c>
      <c r="B844">
        <v>60</v>
      </c>
      <c r="C844">
        <v>50</v>
      </c>
      <c r="D844">
        <v>20</v>
      </c>
      <c r="E844" s="3">
        <v>25</v>
      </c>
      <c r="F844" s="3">
        <f>1.8*E844+32</f>
        <v>77</v>
      </c>
      <c r="G844" s="3">
        <v>19</v>
      </c>
      <c r="H844" s="3">
        <f>IF(F844&gt;68,G844+(F844-68)*0.2,G992-(68-F844)*0.2)</f>
        <v>20.8</v>
      </c>
      <c r="I844" s="3">
        <v>22.5</v>
      </c>
      <c r="J844" s="3">
        <f>1.8*I844+32</f>
        <v>72.5</v>
      </c>
      <c r="K844" s="3">
        <v>11</v>
      </c>
      <c r="L844" s="3">
        <f>IF(J844&gt;67,K844+(J844-67)*0.2,K844-(67-J844)*0.2)</f>
        <v>12.1</v>
      </c>
      <c r="M844" s="3">
        <f>(C844-H844)/C844*100</f>
        <v>58.4</v>
      </c>
      <c r="N844" s="3">
        <f>100-(M844+O844)</f>
        <v>17.400000000000006</v>
      </c>
      <c r="O844" s="3">
        <f>L844/C844*100</f>
        <v>24.2</v>
      </c>
      <c r="P844" s="1" t="s">
        <v>2</v>
      </c>
      <c r="Q844" s="15">
        <v>407391.32400000002</v>
      </c>
      <c r="R844" s="15">
        <v>3659923</v>
      </c>
      <c r="S844" s="17"/>
      <c r="T844" s="17"/>
    </row>
    <row r="845" spans="1:20" x14ac:dyDescent="0.25">
      <c r="A845" s="4">
        <v>143</v>
      </c>
      <c r="B845">
        <v>90</v>
      </c>
      <c r="C845">
        <v>50</v>
      </c>
      <c r="D845">
        <v>20</v>
      </c>
      <c r="E845" s="3">
        <v>26</v>
      </c>
      <c r="F845" s="3">
        <f>1.8*E845+32</f>
        <v>78.800000000000011</v>
      </c>
      <c r="G845" s="3">
        <v>14</v>
      </c>
      <c r="H845" s="3">
        <f>IF(F845&gt;68,G845+(F845-68)*0.2,G993-(68-F845)*0.2)</f>
        <v>16.160000000000004</v>
      </c>
      <c r="I845" s="3">
        <v>23</v>
      </c>
      <c r="J845" s="3">
        <f>1.8*I845+32</f>
        <v>73.400000000000006</v>
      </c>
      <c r="K845" s="3">
        <v>7</v>
      </c>
      <c r="L845" s="3">
        <f>IF(J845&gt;67,K845+(J845-67)*0.2,K845-(67-J845)*0.2)</f>
        <v>8.2800000000000011</v>
      </c>
      <c r="M845" s="3">
        <f>(C845-H845)/C845*100</f>
        <v>67.679999999999993</v>
      </c>
      <c r="N845" s="3">
        <f>100-(M845+O845)</f>
        <v>15.760000000000005</v>
      </c>
      <c r="O845" s="3">
        <f>L845/C845*100</f>
        <v>16.560000000000002</v>
      </c>
      <c r="P845" s="1" t="s">
        <v>0</v>
      </c>
      <c r="Q845" s="15">
        <v>407391.32400000002</v>
      </c>
      <c r="R845" s="15">
        <v>3659923</v>
      </c>
      <c r="S845" s="17"/>
      <c r="T845" s="17"/>
    </row>
    <row r="846" spans="1:20" x14ac:dyDescent="0.25">
      <c r="A846" s="4">
        <v>143</v>
      </c>
      <c r="B846">
        <v>120</v>
      </c>
      <c r="C846">
        <v>50</v>
      </c>
      <c r="D846">
        <v>20</v>
      </c>
      <c r="E846" s="3">
        <v>26</v>
      </c>
      <c r="F846" s="3">
        <f>1.8*E846+32</f>
        <v>78.800000000000011</v>
      </c>
      <c r="G846" s="3">
        <v>13</v>
      </c>
      <c r="H846" s="3">
        <f>IF(F846&gt;68,G846+(F846-68)*0.2,G994-(68-F846)*0.2)</f>
        <v>15.160000000000002</v>
      </c>
      <c r="I846" s="3">
        <v>23</v>
      </c>
      <c r="J846" s="3">
        <f>1.8*I846+32</f>
        <v>73.400000000000006</v>
      </c>
      <c r="K846" s="3">
        <v>6</v>
      </c>
      <c r="L846" s="3">
        <f>IF(J846&gt;67,K846+(J846-67)*0.2,K846-(67-J846)*0.2)</f>
        <v>7.2800000000000011</v>
      </c>
      <c r="M846" s="3">
        <f>(C846-H846)/C846*100</f>
        <v>69.679999999999993</v>
      </c>
      <c r="N846" s="3">
        <f>100-(M846+O846)</f>
        <v>15.760000000000005</v>
      </c>
      <c r="O846" s="3">
        <f>L846/C846*100</f>
        <v>14.560000000000004</v>
      </c>
      <c r="P846" s="1" t="s">
        <v>0</v>
      </c>
      <c r="Q846" s="15">
        <v>407391.32400000002</v>
      </c>
      <c r="R846" s="15">
        <v>3659923</v>
      </c>
      <c r="S846" s="17"/>
      <c r="T846" s="17"/>
    </row>
    <row r="847" spans="1:20" x14ac:dyDescent="0.25">
      <c r="A847" s="4">
        <v>143</v>
      </c>
      <c r="B847">
        <v>150</v>
      </c>
      <c r="C847">
        <v>50</v>
      </c>
      <c r="D847">
        <v>20</v>
      </c>
      <c r="E847" s="3">
        <v>25</v>
      </c>
      <c r="F847" s="3">
        <f>1.8*E847+32</f>
        <v>77</v>
      </c>
      <c r="G847" s="3">
        <v>12</v>
      </c>
      <c r="H847" s="3">
        <f>IF(F847&gt;68,G847+(F847-68)*0.2,G995-(68-F847)*0.2)</f>
        <v>13.8</v>
      </c>
      <c r="I847" s="3">
        <v>22.5</v>
      </c>
      <c r="J847" s="3">
        <f>1.8*I847+32</f>
        <v>72.5</v>
      </c>
      <c r="K847" s="3">
        <v>5</v>
      </c>
      <c r="L847" s="3">
        <f>IF(J847&gt;67,K847+(J847-67)*0.2,K847-(67-J847)*0.2)</f>
        <v>6.1</v>
      </c>
      <c r="M847" s="3">
        <f>(C847-H847)/C847*100</f>
        <v>72.400000000000006</v>
      </c>
      <c r="N847" s="3">
        <f>100-(M847+O847)</f>
        <v>15.399999999999991</v>
      </c>
      <c r="O847" s="3">
        <f>L847/C847*100</f>
        <v>12.2</v>
      </c>
      <c r="P847" s="1" t="s">
        <v>0</v>
      </c>
      <c r="Q847" s="15">
        <v>407391.32400000002</v>
      </c>
      <c r="R847" s="15">
        <v>3659923</v>
      </c>
      <c r="S847" s="17"/>
      <c r="T847" s="17"/>
    </row>
    <row r="848" spans="1:20" x14ac:dyDescent="0.25">
      <c r="A848" s="4">
        <v>143</v>
      </c>
      <c r="B848">
        <v>180</v>
      </c>
      <c r="C848">
        <v>50</v>
      </c>
      <c r="D848">
        <v>20</v>
      </c>
      <c r="E848" s="3">
        <v>25.5</v>
      </c>
      <c r="F848" s="3">
        <f>1.8*E848+32</f>
        <v>77.900000000000006</v>
      </c>
      <c r="G848" s="3">
        <v>13</v>
      </c>
      <c r="H848" s="3">
        <f>IF(F848&gt;68,G848+(F848-68)*0.2,G996-(68-F848)*0.2)</f>
        <v>14.98</v>
      </c>
      <c r="I848" s="3">
        <v>22.5</v>
      </c>
      <c r="J848" s="3">
        <f>1.8*I848+32</f>
        <v>72.5</v>
      </c>
      <c r="K848" s="3">
        <v>6</v>
      </c>
      <c r="L848" s="3">
        <f>IF(J848&gt;67,K848+(J848-67)*0.2,K848-(67-J848)*0.2)</f>
        <v>7.1</v>
      </c>
      <c r="M848" s="3">
        <f>(C848-H848)/C848*100</f>
        <v>70.039999999999992</v>
      </c>
      <c r="N848" s="3">
        <f>100-(M848+O848)</f>
        <v>15.760000000000005</v>
      </c>
      <c r="O848" s="3">
        <f>L848/C848*100</f>
        <v>14.2</v>
      </c>
      <c r="P848" s="1" t="s">
        <v>0</v>
      </c>
      <c r="Q848" s="15">
        <v>407391.32400000002</v>
      </c>
      <c r="R848" s="15">
        <v>3659923</v>
      </c>
    </row>
    <row r="849" spans="1:19" x14ac:dyDescent="0.25">
      <c r="A849" s="4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1"/>
    </row>
    <row r="850" spans="1:19" ht="51.75" x14ac:dyDescent="0.25">
      <c r="A850" s="14" t="s">
        <v>21</v>
      </c>
      <c r="B850" s="9" t="s">
        <v>20</v>
      </c>
      <c r="C850" s="13" t="s">
        <v>19</v>
      </c>
      <c r="D850" s="12" t="s">
        <v>18</v>
      </c>
      <c r="E850" s="11" t="s">
        <v>17</v>
      </c>
      <c r="F850" s="11" t="s">
        <v>16</v>
      </c>
      <c r="G850" s="11" t="s">
        <v>15</v>
      </c>
      <c r="H850" s="11" t="s">
        <v>14</v>
      </c>
      <c r="I850" s="11" t="s">
        <v>13</v>
      </c>
      <c r="J850" s="11" t="s">
        <v>12</v>
      </c>
      <c r="K850" s="11" t="s">
        <v>11</v>
      </c>
      <c r="L850" s="11" t="s">
        <v>10</v>
      </c>
      <c r="M850" s="10" t="s">
        <v>9</v>
      </c>
      <c r="N850" s="10" t="s">
        <v>8</v>
      </c>
      <c r="O850" s="10" t="s">
        <v>7</v>
      </c>
      <c r="P850" s="9" t="s">
        <v>6</v>
      </c>
      <c r="Q850" s="19" t="s">
        <v>5</v>
      </c>
      <c r="R850" s="19"/>
    </row>
    <row r="851" spans="1:19" x14ac:dyDescent="0.25">
      <c r="C851" s="16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1"/>
      <c r="Q851" s="5" t="s">
        <v>4</v>
      </c>
      <c r="R851" s="5" t="s">
        <v>3</v>
      </c>
    </row>
    <row r="852" spans="1:19" x14ac:dyDescent="0.25">
      <c r="A852" s="4">
        <v>144</v>
      </c>
      <c r="B852">
        <v>30</v>
      </c>
      <c r="C852" s="16">
        <v>50</v>
      </c>
      <c r="D852">
        <v>20</v>
      </c>
      <c r="E852" s="3">
        <v>26</v>
      </c>
      <c r="F852" s="3">
        <f>1.8*E852+32</f>
        <v>78.800000000000011</v>
      </c>
      <c r="G852" s="3">
        <v>21</v>
      </c>
      <c r="H852" s="3">
        <f>IF(F852&gt;68,G852+(F852-68)*0.2,G999-(68-F852)*0.2)</f>
        <v>23.160000000000004</v>
      </c>
      <c r="I852" s="3">
        <v>22.5</v>
      </c>
      <c r="J852" s="3">
        <f>1.8*I852+32</f>
        <v>72.5</v>
      </c>
      <c r="K852" s="3">
        <v>12</v>
      </c>
      <c r="L852" s="3">
        <f>IF(J852&gt;68,K852+(J852-68)*0.2,K852-(68-J852)*0.2)</f>
        <v>12.9</v>
      </c>
      <c r="M852" s="3">
        <f>(C852-H852)/C852*100</f>
        <v>53.679999999999993</v>
      </c>
      <c r="N852" s="3">
        <f>100-(M852+O852)</f>
        <v>20.52000000000001</v>
      </c>
      <c r="O852" s="3">
        <f>L852/C852*100</f>
        <v>25.8</v>
      </c>
      <c r="P852" s="1" t="s">
        <v>2</v>
      </c>
      <c r="Q852" s="15">
        <v>407391.32400000002</v>
      </c>
      <c r="R852" s="15">
        <v>3659949.5</v>
      </c>
    </row>
    <row r="853" spans="1:19" x14ac:dyDescent="0.25">
      <c r="A853" s="4">
        <v>144</v>
      </c>
      <c r="B853">
        <v>60</v>
      </c>
      <c r="C853" s="16">
        <v>50</v>
      </c>
      <c r="D853">
        <v>20</v>
      </c>
      <c r="E853" s="3">
        <v>26</v>
      </c>
      <c r="F853" s="3">
        <f>1.8*E853+32</f>
        <v>78.800000000000011</v>
      </c>
      <c r="G853" s="3">
        <v>19</v>
      </c>
      <c r="H853" s="3">
        <f>IF(F853&gt;68,G853+(F853-68)*0.2,G1000-(68-F853)*0.2)</f>
        <v>21.160000000000004</v>
      </c>
      <c r="I853" s="3">
        <v>22.5</v>
      </c>
      <c r="J853" s="3">
        <f>1.8*I853+32</f>
        <v>72.5</v>
      </c>
      <c r="K853" s="3">
        <v>12</v>
      </c>
      <c r="L853" s="3">
        <f>IF(J853&gt;68,K853+(J853-68)*0.2,K853-(68-J853)*0.2)</f>
        <v>12.9</v>
      </c>
      <c r="M853" s="3">
        <f>(C853-H853)/C853*100</f>
        <v>57.68</v>
      </c>
      <c r="N853" s="3">
        <f>100-(M853+O853)</f>
        <v>16.519999999999996</v>
      </c>
      <c r="O853" s="3">
        <f>L853/C853*100</f>
        <v>25.8</v>
      </c>
      <c r="P853" s="1" t="s">
        <v>2</v>
      </c>
      <c r="Q853" s="15">
        <v>407391.32400000002</v>
      </c>
      <c r="R853" s="15">
        <v>3659949.5</v>
      </c>
    </row>
    <row r="854" spans="1:19" x14ac:dyDescent="0.25">
      <c r="A854" s="4">
        <v>144</v>
      </c>
      <c r="B854">
        <v>90</v>
      </c>
      <c r="C854" s="16">
        <v>50</v>
      </c>
      <c r="D854">
        <v>20</v>
      </c>
      <c r="E854" s="3">
        <v>22.5</v>
      </c>
      <c r="F854" s="3">
        <f>1.8*E854+32</f>
        <v>72.5</v>
      </c>
      <c r="G854" s="3">
        <v>14</v>
      </c>
      <c r="H854" s="3">
        <f>IF(F854&gt;68,G854+(F854-68)*0.2,G1001-(68-F854)*0.2)</f>
        <v>14.9</v>
      </c>
      <c r="I854" s="3">
        <v>23</v>
      </c>
      <c r="J854" s="3">
        <f>1.8*I854+32</f>
        <v>73.400000000000006</v>
      </c>
      <c r="K854" s="3">
        <v>8</v>
      </c>
      <c r="L854" s="3">
        <f>IF(J854&gt;68,K854+(J854-68)*0.2,K854-(68-J854)*0.2)</f>
        <v>9.0800000000000018</v>
      </c>
      <c r="M854" s="3">
        <f>(C854-H854)/C854*100</f>
        <v>70.2</v>
      </c>
      <c r="N854" s="3">
        <f>100-(M854+O854)</f>
        <v>11.639999999999986</v>
      </c>
      <c r="O854" s="3">
        <f>L854/C854*100</f>
        <v>18.160000000000004</v>
      </c>
      <c r="P854" s="1" t="s">
        <v>0</v>
      </c>
      <c r="Q854" s="15">
        <v>407391.32400000002</v>
      </c>
      <c r="R854" s="15">
        <v>3659949.5</v>
      </c>
    </row>
    <row r="855" spans="1:19" x14ac:dyDescent="0.25">
      <c r="A855" s="4">
        <v>144</v>
      </c>
      <c r="B855">
        <v>120</v>
      </c>
      <c r="C855" s="16">
        <v>50</v>
      </c>
      <c r="D855">
        <v>20</v>
      </c>
      <c r="E855" s="3">
        <v>22.5</v>
      </c>
      <c r="F855" s="3">
        <f>1.8*E855+32</f>
        <v>72.5</v>
      </c>
      <c r="G855" s="3">
        <v>13</v>
      </c>
      <c r="H855" s="3">
        <f>IF(F855&gt;68,G855+(F855-68)*0.2,G1003-(68-F855)*0.2)</f>
        <v>13.9</v>
      </c>
      <c r="I855" s="3">
        <v>23</v>
      </c>
      <c r="J855" s="3">
        <f>1.8*I855+32</f>
        <v>73.400000000000006</v>
      </c>
      <c r="K855" s="3">
        <v>8</v>
      </c>
      <c r="L855" s="3">
        <f>IF(J855&gt;68,K855+(J855-68)*0.2,K855-(68-J855)*0.2)</f>
        <v>9.0800000000000018</v>
      </c>
      <c r="M855" s="3">
        <f>(C855-H855)/C855*100</f>
        <v>72.2</v>
      </c>
      <c r="N855" s="3">
        <f>100-(M855+O855)</f>
        <v>9.6399999999999864</v>
      </c>
      <c r="O855" s="3">
        <f>L855/C855*100</f>
        <v>18.160000000000004</v>
      </c>
      <c r="P855" s="1" t="s">
        <v>0</v>
      </c>
      <c r="Q855" s="15">
        <v>407391.32400000002</v>
      </c>
      <c r="R855" s="15">
        <v>3659949.5</v>
      </c>
    </row>
    <row r="856" spans="1:19" x14ac:dyDescent="0.25">
      <c r="A856" s="4">
        <v>144</v>
      </c>
      <c r="B856">
        <v>150</v>
      </c>
      <c r="C856" s="16">
        <v>50</v>
      </c>
      <c r="D856">
        <v>20</v>
      </c>
      <c r="E856" s="3">
        <v>22.5</v>
      </c>
      <c r="F856" s="3">
        <f>1.8*E856+32</f>
        <v>72.5</v>
      </c>
      <c r="G856" s="3">
        <v>17</v>
      </c>
      <c r="H856" s="3">
        <f>IF(F856&gt;68,G856+(F856-68)*0.2,G1004-(68-F856)*0.2)</f>
        <v>17.899999999999999</v>
      </c>
      <c r="I856" s="3">
        <v>23</v>
      </c>
      <c r="J856" s="3">
        <f>1.8*I856+32</f>
        <v>73.400000000000006</v>
      </c>
      <c r="K856" s="3">
        <v>9</v>
      </c>
      <c r="L856" s="3">
        <f>IF(J856&gt;68,K856+(J856-68)*0.2,K856-(68-J856)*0.2)</f>
        <v>10.080000000000002</v>
      </c>
      <c r="M856" s="3">
        <f>(C856-H856)/C856*100</f>
        <v>64.2</v>
      </c>
      <c r="N856" s="3">
        <f>100-(M856+O856)</f>
        <v>15.639999999999986</v>
      </c>
      <c r="O856" s="3">
        <f>L856/C856*100</f>
        <v>20.160000000000004</v>
      </c>
      <c r="P856" s="1" t="s">
        <v>2</v>
      </c>
      <c r="Q856" s="15">
        <v>407391.32400000002</v>
      </c>
      <c r="R856" s="15">
        <v>3659949.5</v>
      </c>
    </row>
    <row r="857" spans="1:19" x14ac:dyDescent="0.25">
      <c r="A857" s="4">
        <v>144</v>
      </c>
      <c r="B857">
        <v>180</v>
      </c>
      <c r="C857" s="16">
        <v>50</v>
      </c>
      <c r="D857">
        <v>20</v>
      </c>
      <c r="E857" s="3">
        <v>25.5</v>
      </c>
      <c r="F857" s="3">
        <f>1.8*E857+32</f>
        <v>77.900000000000006</v>
      </c>
      <c r="G857" s="3">
        <v>22</v>
      </c>
      <c r="H857" s="3">
        <f>IF(F857&gt;68,G857+(F857-68)*0.2,G1005-(68-F857)*0.2)</f>
        <v>23.98</v>
      </c>
      <c r="I857" s="3">
        <v>23</v>
      </c>
      <c r="J857" s="3">
        <f>1.8*I857+32</f>
        <v>73.400000000000006</v>
      </c>
      <c r="K857" s="3">
        <v>13</v>
      </c>
      <c r="L857" s="3">
        <f>IF(J857&gt;68,K857+(J857-68)*0.2,K857-(68-J857)*0.2)</f>
        <v>14.080000000000002</v>
      </c>
      <c r="M857" s="3">
        <f>(C857-H857)/C857*100</f>
        <v>52.04</v>
      </c>
      <c r="N857" s="3">
        <f>100-(M857+O857)</f>
        <v>19.799999999999997</v>
      </c>
      <c r="O857" s="3">
        <f>L857/C857*100</f>
        <v>28.16</v>
      </c>
      <c r="P857" s="1" t="s">
        <v>2</v>
      </c>
      <c r="Q857" s="15">
        <v>407391.32400000002</v>
      </c>
      <c r="R857" s="15">
        <v>3659949.5</v>
      </c>
    </row>
    <row r="859" spans="1:19" ht="51.75" x14ac:dyDescent="0.25">
      <c r="A859" s="14" t="s">
        <v>21</v>
      </c>
      <c r="B859" s="9" t="s">
        <v>20</v>
      </c>
      <c r="C859" s="13" t="s">
        <v>19</v>
      </c>
      <c r="D859" s="12" t="s">
        <v>18</v>
      </c>
      <c r="E859" s="11" t="s">
        <v>17</v>
      </c>
      <c r="F859" s="11" t="s">
        <v>16</v>
      </c>
      <c r="G859" s="11" t="s">
        <v>15</v>
      </c>
      <c r="H859" s="11" t="s">
        <v>14</v>
      </c>
      <c r="I859" s="11" t="s">
        <v>13</v>
      </c>
      <c r="J859" s="11" t="s">
        <v>12</v>
      </c>
      <c r="K859" s="11" t="s">
        <v>11</v>
      </c>
      <c r="L859" s="11" t="s">
        <v>10</v>
      </c>
      <c r="M859" s="10" t="s">
        <v>9</v>
      </c>
      <c r="N859" s="10" t="s">
        <v>8</v>
      </c>
      <c r="O859" s="10" t="s">
        <v>7</v>
      </c>
      <c r="P859" s="9" t="s">
        <v>6</v>
      </c>
      <c r="Q859" s="8" t="s">
        <v>5</v>
      </c>
      <c r="R859" s="7"/>
    </row>
    <row r="860" spans="1:19" x14ac:dyDescent="0.25"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1"/>
      <c r="Q860" s="5" t="s">
        <v>4</v>
      </c>
      <c r="R860" s="5" t="s">
        <v>3</v>
      </c>
    </row>
    <row r="861" spans="1:19" x14ac:dyDescent="0.25">
      <c r="A861" s="4">
        <v>145</v>
      </c>
      <c r="B861">
        <v>30</v>
      </c>
      <c r="C861">
        <v>50</v>
      </c>
      <c r="D861">
        <v>20</v>
      </c>
      <c r="E861" s="3">
        <v>25</v>
      </c>
      <c r="F861" s="3">
        <f>1.8*E861+32</f>
        <v>77</v>
      </c>
      <c r="G861" s="3">
        <v>19</v>
      </c>
      <c r="H861" s="3">
        <f>IF(F861&gt;68,G861+(F861-68)*0.2,G1009-(68-F861)*0.2)</f>
        <v>20.8</v>
      </c>
      <c r="I861" s="3">
        <v>24</v>
      </c>
      <c r="J861" s="3">
        <f>1.8*I861+32</f>
        <v>75.2</v>
      </c>
      <c r="K861" s="3">
        <v>11</v>
      </c>
      <c r="L861" s="3">
        <f>IF(J861&gt;67,K861+(J861-67)*0.2,K861-(67-J861)*0.2)</f>
        <v>12.64</v>
      </c>
      <c r="M861" s="3">
        <f>(C861-H861)/C861*100</f>
        <v>58.4</v>
      </c>
      <c r="N861" s="3">
        <f>100-(M861+O861)</f>
        <v>16.319999999999993</v>
      </c>
      <c r="O861" s="3">
        <f>L861/C861*100</f>
        <v>25.28</v>
      </c>
      <c r="P861" s="1" t="s">
        <v>2</v>
      </c>
      <c r="Q861" s="15">
        <v>407391.32400000002</v>
      </c>
      <c r="R861" s="15">
        <v>3659976</v>
      </c>
    </row>
    <row r="862" spans="1:19" x14ac:dyDescent="0.25">
      <c r="A862" s="4">
        <v>145</v>
      </c>
      <c r="B862">
        <v>60</v>
      </c>
      <c r="C862">
        <v>50</v>
      </c>
      <c r="D862">
        <v>20</v>
      </c>
      <c r="E862" s="3">
        <v>25</v>
      </c>
      <c r="F862" s="3">
        <f>1.8*E862+32</f>
        <v>77</v>
      </c>
      <c r="G862" s="3">
        <v>17</v>
      </c>
      <c r="H862" s="3">
        <f>IF(F862&gt;68,G862+(F862-68)*0.2,G1010-(68-F862)*0.2)</f>
        <v>18.8</v>
      </c>
      <c r="I862" s="3">
        <v>24</v>
      </c>
      <c r="J862" s="3">
        <f>1.8*I862+32</f>
        <v>75.2</v>
      </c>
      <c r="K862" s="3">
        <v>10</v>
      </c>
      <c r="L862" s="3">
        <f>IF(J862&gt;67,K862+(J862-67)*0.2,K862-(67-J862)*0.2)</f>
        <v>11.64</v>
      </c>
      <c r="M862" s="3">
        <f>(C862-H862)/C862*100</f>
        <v>62.4</v>
      </c>
      <c r="N862" s="3">
        <f>100-(M862+O862)</f>
        <v>14.319999999999993</v>
      </c>
      <c r="O862" s="3">
        <f>L862/C862*100</f>
        <v>23.28</v>
      </c>
      <c r="P862" s="1" t="s">
        <v>2</v>
      </c>
      <c r="Q862" s="15">
        <v>407391.32400000002</v>
      </c>
      <c r="R862" s="15">
        <v>3659976</v>
      </c>
    </row>
    <row r="863" spans="1:19" x14ac:dyDescent="0.25">
      <c r="A863" s="4">
        <v>145</v>
      </c>
      <c r="B863">
        <v>90</v>
      </c>
      <c r="C863">
        <v>50</v>
      </c>
      <c r="D863">
        <v>20</v>
      </c>
      <c r="E863" s="3">
        <v>25.5</v>
      </c>
      <c r="F863" s="3">
        <f>1.8*E863+32</f>
        <v>77.900000000000006</v>
      </c>
      <c r="G863" s="3">
        <v>12</v>
      </c>
      <c r="H863" s="3">
        <f>IF(F863&gt;68,G863+(F863-68)*0.2,G1011-(68-F863)*0.2)</f>
        <v>13.98</v>
      </c>
      <c r="I863" s="3">
        <v>24</v>
      </c>
      <c r="J863" s="3">
        <f>1.8*I863+32</f>
        <v>75.2</v>
      </c>
      <c r="K863" s="3">
        <v>6</v>
      </c>
      <c r="L863" s="3">
        <f>IF(J863&gt;67,K863+(J863-67)*0.2,K863-(67-J863)*0.2)</f>
        <v>7.6400000000000006</v>
      </c>
      <c r="M863" s="3">
        <f>(C863-H863)/C863*100</f>
        <v>72.039999999999992</v>
      </c>
      <c r="N863" s="3">
        <f>100-(M863+O863)</f>
        <v>12.680000000000007</v>
      </c>
      <c r="O863" s="3">
        <f>L863/C863*100</f>
        <v>15.280000000000001</v>
      </c>
      <c r="P863" s="1" t="s">
        <v>0</v>
      </c>
      <c r="Q863" s="15">
        <v>407391.32400000002</v>
      </c>
      <c r="R863" s="15">
        <v>3659976</v>
      </c>
      <c r="S863" s="1"/>
    </row>
    <row r="864" spans="1:19" x14ac:dyDescent="0.25">
      <c r="A864" s="4">
        <v>145</v>
      </c>
      <c r="B864">
        <v>120</v>
      </c>
      <c r="C864">
        <v>50</v>
      </c>
      <c r="D864">
        <v>20</v>
      </c>
      <c r="E864" s="3">
        <v>26</v>
      </c>
      <c r="F864" s="3">
        <f>1.8*E864+32</f>
        <v>78.800000000000011</v>
      </c>
      <c r="G864" s="3">
        <v>11</v>
      </c>
      <c r="H864" s="3">
        <f>IF(F864&gt;68,G864+(F864-68)*0.2,G1012-(68-F864)*0.2)</f>
        <v>13.160000000000002</v>
      </c>
      <c r="I864" s="3">
        <v>24</v>
      </c>
      <c r="J864" s="3">
        <f>1.8*I864+32</f>
        <v>75.2</v>
      </c>
      <c r="K864" s="3">
        <v>6</v>
      </c>
      <c r="L864" s="3">
        <f>IF(J864&gt;67,K864+(J864-67)*0.2,K864-(67-J864)*0.2)</f>
        <v>7.6400000000000006</v>
      </c>
      <c r="M864" s="3">
        <f>(C864-H864)/C864*100</f>
        <v>73.679999999999993</v>
      </c>
      <c r="N864" s="3">
        <f>100-(M864+O864)</f>
        <v>11.040000000000006</v>
      </c>
      <c r="O864" s="3">
        <f>L864/C864*100</f>
        <v>15.280000000000001</v>
      </c>
      <c r="P864" s="1" t="s">
        <v>0</v>
      </c>
      <c r="Q864" s="15">
        <v>407391.32400000002</v>
      </c>
      <c r="R864" s="15">
        <v>3659976</v>
      </c>
      <c r="S864" s="1"/>
    </row>
    <row r="865" spans="1:19" x14ac:dyDescent="0.25">
      <c r="A865" s="4">
        <v>145</v>
      </c>
      <c r="B865">
        <v>150</v>
      </c>
      <c r="C865">
        <v>50</v>
      </c>
      <c r="D865">
        <v>20</v>
      </c>
      <c r="E865" s="3">
        <v>25</v>
      </c>
      <c r="F865" s="3">
        <f>1.8*E865+32</f>
        <v>77</v>
      </c>
      <c r="G865" s="3">
        <v>14</v>
      </c>
      <c r="H865" s="3">
        <f>IF(F865&gt;68,G865+(F865-68)*0.2,G1013-(68-F865)*0.2)</f>
        <v>15.8</v>
      </c>
      <c r="I865" s="3">
        <v>24</v>
      </c>
      <c r="J865" s="3">
        <f>1.8*I865+32</f>
        <v>75.2</v>
      </c>
      <c r="K865" s="3">
        <v>7</v>
      </c>
      <c r="L865" s="3">
        <f>IF(J865&gt;67,K865+(J865-67)*0.2,K865-(67-J865)*0.2)</f>
        <v>8.64</v>
      </c>
      <c r="M865" s="3">
        <f>(C865-H865)/C865*100</f>
        <v>68.400000000000006</v>
      </c>
      <c r="N865" s="3">
        <f>100-(M865+O865)</f>
        <v>14.319999999999993</v>
      </c>
      <c r="O865" s="3">
        <f>L865/C865*100</f>
        <v>17.28</v>
      </c>
      <c r="P865" s="1" t="s">
        <v>0</v>
      </c>
      <c r="Q865" s="15">
        <v>407391.32400000002</v>
      </c>
      <c r="R865" s="15">
        <v>3659976</v>
      </c>
      <c r="S865" s="1"/>
    </row>
    <row r="866" spans="1:19" x14ac:dyDescent="0.25">
      <c r="A866" s="4">
        <v>145</v>
      </c>
      <c r="B866">
        <v>180</v>
      </c>
      <c r="C866">
        <v>50</v>
      </c>
      <c r="D866">
        <v>20</v>
      </c>
      <c r="E866" s="3">
        <v>25.5</v>
      </c>
      <c r="F866" s="3">
        <f>1.8*E866+32</f>
        <v>77.900000000000006</v>
      </c>
      <c r="G866" s="3">
        <v>18</v>
      </c>
      <c r="H866" s="3">
        <f>IF(F866&gt;68,G866+(F866-68)*0.2,G1014-(68-F866)*0.2)</f>
        <v>19.98</v>
      </c>
      <c r="I866" s="3">
        <v>24</v>
      </c>
      <c r="J866" s="3">
        <f>1.8*I866+32</f>
        <v>75.2</v>
      </c>
      <c r="K866" s="3">
        <v>10</v>
      </c>
      <c r="L866" s="3">
        <f>IF(J866&gt;67,K866+(J866-67)*0.2,K866-(67-J866)*0.2)</f>
        <v>11.64</v>
      </c>
      <c r="M866" s="3">
        <f>(C866-H866)/C866*100</f>
        <v>60.040000000000006</v>
      </c>
      <c r="N866" s="3">
        <f>100-(M866+O866)</f>
        <v>16.679999999999993</v>
      </c>
      <c r="O866" s="3">
        <f>L866/C866*100</f>
        <v>23.28</v>
      </c>
      <c r="P866" s="1" t="s">
        <v>2</v>
      </c>
      <c r="Q866" s="15">
        <v>407391.32400000002</v>
      </c>
      <c r="R866" s="15">
        <v>3659976</v>
      </c>
      <c r="S866" s="1"/>
    </row>
    <row r="867" spans="1:19" x14ac:dyDescent="0.25">
      <c r="S867" s="1"/>
    </row>
    <row r="868" spans="1:19" ht="51.75" x14ac:dyDescent="0.25">
      <c r="A868" s="14" t="s">
        <v>21</v>
      </c>
      <c r="B868" s="9" t="s">
        <v>20</v>
      </c>
      <c r="C868" s="13" t="s">
        <v>19</v>
      </c>
      <c r="D868" s="12" t="s">
        <v>18</v>
      </c>
      <c r="E868" s="11" t="s">
        <v>17</v>
      </c>
      <c r="F868" s="11" t="s">
        <v>16</v>
      </c>
      <c r="G868" s="11" t="s">
        <v>15</v>
      </c>
      <c r="H868" s="11" t="s">
        <v>14</v>
      </c>
      <c r="I868" s="11" t="s">
        <v>13</v>
      </c>
      <c r="J868" s="11" t="s">
        <v>12</v>
      </c>
      <c r="K868" s="11" t="s">
        <v>11</v>
      </c>
      <c r="L868" s="11" t="s">
        <v>10</v>
      </c>
      <c r="M868" s="10" t="s">
        <v>9</v>
      </c>
      <c r="N868" s="10" t="s">
        <v>8</v>
      </c>
      <c r="O868" s="10" t="s">
        <v>7</v>
      </c>
      <c r="P868" s="9" t="s">
        <v>6</v>
      </c>
      <c r="Q868" s="8" t="s">
        <v>5</v>
      </c>
      <c r="R868" s="7"/>
      <c r="S868" s="1"/>
    </row>
    <row r="869" spans="1:19" x14ac:dyDescent="0.25"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1"/>
      <c r="Q869" s="5" t="s">
        <v>4</v>
      </c>
      <c r="R869" s="5" t="s">
        <v>3</v>
      </c>
      <c r="S869" s="1"/>
    </row>
    <row r="870" spans="1:19" x14ac:dyDescent="0.25">
      <c r="A870" s="4">
        <v>146</v>
      </c>
      <c r="B870">
        <v>30</v>
      </c>
      <c r="C870">
        <v>50</v>
      </c>
      <c r="D870">
        <v>20</v>
      </c>
      <c r="E870" s="3">
        <v>25.5</v>
      </c>
      <c r="F870" s="3">
        <f>1.8*E870+32</f>
        <v>77.900000000000006</v>
      </c>
      <c r="G870" s="3">
        <v>18</v>
      </c>
      <c r="H870" s="3">
        <f>IF(F870&gt;68,G870+(F870-68)*0.2,G1018-(68-F870)*0.2)</f>
        <v>19.98</v>
      </c>
      <c r="I870" s="3">
        <v>24</v>
      </c>
      <c r="J870" s="3">
        <f>1.8*I870+32</f>
        <v>75.2</v>
      </c>
      <c r="K870" s="3">
        <v>10</v>
      </c>
      <c r="L870" s="3">
        <f>IF(J870&gt;67,K870+(J870-67)*0.2,K870-(67-J870)*0.2)</f>
        <v>11.64</v>
      </c>
      <c r="M870" s="3">
        <f>(C870-H870)/C870*100</f>
        <v>60.040000000000006</v>
      </c>
      <c r="N870" s="3">
        <f>100-(M870+O870)</f>
        <v>16.679999999999993</v>
      </c>
      <c r="O870" s="3">
        <f>L870/C870*100</f>
        <v>23.28</v>
      </c>
      <c r="P870" s="1" t="s">
        <v>2</v>
      </c>
      <c r="Q870" s="15">
        <v>407391.32400000002</v>
      </c>
      <c r="R870" s="15">
        <v>3660002.5</v>
      </c>
      <c r="S870" s="1"/>
    </row>
    <row r="871" spans="1:19" x14ac:dyDescent="0.25">
      <c r="A871" s="4">
        <v>146</v>
      </c>
      <c r="B871">
        <v>60</v>
      </c>
      <c r="C871">
        <v>50</v>
      </c>
      <c r="D871">
        <v>20</v>
      </c>
      <c r="E871" s="3">
        <v>25.5</v>
      </c>
      <c r="F871" s="3">
        <f>1.8*E871+32</f>
        <v>77.900000000000006</v>
      </c>
      <c r="G871" s="3">
        <v>18</v>
      </c>
      <c r="H871" s="3">
        <f>IF(F871&gt;68,G871+(F871-68)*0.2,G1019-(68-F871)*0.2)</f>
        <v>19.98</v>
      </c>
      <c r="I871" s="3">
        <v>24</v>
      </c>
      <c r="J871" s="3">
        <f>1.8*I871+32</f>
        <v>75.2</v>
      </c>
      <c r="K871" s="3">
        <v>10</v>
      </c>
      <c r="L871" s="3">
        <f>IF(J871&gt;67,K871+(J871-67)*0.2,K871-(67-J871)*0.2)</f>
        <v>11.64</v>
      </c>
      <c r="M871" s="3">
        <f>(C871-H871)/C871*100</f>
        <v>60.040000000000006</v>
      </c>
      <c r="N871" s="3">
        <f>100-(M871+O871)</f>
        <v>16.679999999999993</v>
      </c>
      <c r="O871" s="3">
        <f>L871/C871*100</f>
        <v>23.28</v>
      </c>
      <c r="P871" s="1" t="s">
        <v>2</v>
      </c>
      <c r="Q871" s="15">
        <v>407391.32400000002</v>
      </c>
      <c r="R871" s="15">
        <v>3660002.5</v>
      </c>
      <c r="S871" s="1"/>
    </row>
    <row r="872" spans="1:19" x14ac:dyDescent="0.25">
      <c r="A872" s="4">
        <v>146</v>
      </c>
      <c r="B872">
        <v>90</v>
      </c>
      <c r="C872">
        <v>50</v>
      </c>
      <c r="D872">
        <v>20</v>
      </c>
      <c r="E872" s="3">
        <v>25.5</v>
      </c>
      <c r="F872" s="3">
        <f>1.8*E872+32</f>
        <v>77.900000000000006</v>
      </c>
      <c r="G872" s="3">
        <v>12</v>
      </c>
      <c r="H872" s="3">
        <f>IF(F872&gt;68,G872+(F872-68)*0.2,G1020-(68-F872)*0.2)</f>
        <v>13.98</v>
      </c>
      <c r="I872" s="3">
        <v>24</v>
      </c>
      <c r="J872" s="3">
        <f>1.8*I872+32</f>
        <v>75.2</v>
      </c>
      <c r="K872" s="3">
        <v>6</v>
      </c>
      <c r="L872" s="3">
        <f>IF(J872&gt;67,K872+(J872-67)*0.2,K872-(67-J872)*0.2)</f>
        <v>7.6400000000000006</v>
      </c>
      <c r="M872" s="3">
        <f>(C872-H872)/C872*100</f>
        <v>72.039999999999992</v>
      </c>
      <c r="N872" s="3">
        <f>100-(M872+O872)</f>
        <v>12.680000000000007</v>
      </c>
      <c r="O872" s="3">
        <f>L872/C872*100</f>
        <v>15.280000000000001</v>
      </c>
      <c r="P872" s="1" t="s">
        <v>0</v>
      </c>
      <c r="Q872" s="15">
        <v>407391.32400000002</v>
      </c>
      <c r="R872" s="15">
        <v>3660002.5</v>
      </c>
      <c r="S872" s="1"/>
    </row>
    <row r="873" spans="1:19" x14ac:dyDescent="0.25">
      <c r="A873" s="4">
        <v>146</v>
      </c>
      <c r="B873">
        <v>120</v>
      </c>
      <c r="C873">
        <v>50</v>
      </c>
      <c r="D873">
        <v>20</v>
      </c>
      <c r="E873" s="3">
        <v>25.5</v>
      </c>
      <c r="F873" s="3">
        <f>1.8*E873+32</f>
        <v>77.900000000000006</v>
      </c>
      <c r="G873" s="3">
        <v>11</v>
      </c>
      <c r="H873" s="3">
        <f>IF(F873&gt;68,G873+(F873-68)*0.2,G1021-(68-F873)*0.2)</f>
        <v>12.98</v>
      </c>
      <c r="I873" s="3">
        <v>24</v>
      </c>
      <c r="J873" s="3">
        <f>1.8*I873+32</f>
        <v>75.2</v>
      </c>
      <c r="K873" s="3">
        <v>5</v>
      </c>
      <c r="L873" s="3">
        <f>IF(J873&gt;67,K873+(J873-67)*0.2,K873-(67-J873)*0.2)</f>
        <v>6.6400000000000006</v>
      </c>
      <c r="M873" s="3">
        <f>(C873-H873)/C873*100</f>
        <v>74.039999999999992</v>
      </c>
      <c r="N873" s="3">
        <f>100-(M873+O873)</f>
        <v>12.680000000000007</v>
      </c>
      <c r="O873" s="3">
        <f>L873/C873*100</f>
        <v>13.28</v>
      </c>
      <c r="P873" s="1" t="s">
        <v>0</v>
      </c>
      <c r="Q873" s="15">
        <v>407391.32400000002</v>
      </c>
      <c r="R873" s="15">
        <v>3660002.5</v>
      </c>
      <c r="S873" s="1"/>
    </row>
    <row r="874" spans="1:19" x14ac:dyDescent="0.25">
      <c r="A874" s="4">
        <v>146</v>
      </c>
      <c r="B874">
        <v>150</v>
      </c>
      <c r="C874">
        <v>50</v>
      </c>
      <c r="D874">
        <v>20</v>
      </c>
      <c r="E874" s="3">
        <v>26</v>
      </c>
      <c r="F874" s="3">
        <f>1.8*E874+32</f>
        <v>78.800000000000011</v>
      </c>
      <c r="G874" s="3">
        <v>11</v>
      </c>
      <c r="H874" s="3">
        <f>IF(F874&gt;68,G874+(F874-68)*0.2,G1022-(68-F874)*0.2)</f>
        <v>13.160000000000002</v>
      </c>
      <c r="I874" s="3">
        <v>24</v>
      </c>
      <c r="J874" s="3">
        <f>1.8*I874+32</f>
        <v>75.2</v>
      </c>
      <c r="K874" s="3">
        <v>6</v>
      </c>
      <c r="L874" s="3">
        <f>IF(J874&gt;67,K874+(J874-67)*0.2,K874-(67-J874)*0.2)</f>
        <v>7.6400000000000006</v>
      </c>
      <c r="M874" s="3">
        <f>(C874-H874)/C874*100</f>
        <v>73.679999999999993</v>
      </c>
      <c r="N874" s="3">
        <f>100-(M874+O874)</f>
        <v>11.040000000000006</v>
      </c>
      <c r="O874" s="3">
        <f>L874/C874*100</f>
        <v>15.280000000000001</v>
      </c>
      <c r="P874" s="1" t="s">
        <v>0</v>
      </c>
      <c r="Q874" s="15">
        <v>407391.32400000002</v>
      </c>
      <c r="R874" s="15">
        <v>3660002.5</v>
      </c>
      <c r="S874" s="1"/>
    </row>
    <row r="875" spans="1:19" x14ac:dyDescent="0.25">
      <c r="A875" s="4">
        <v>146</v>
      </c>
      <c r="B875">
        <v>180</v>
      </c>
      <c r="C875">
        <v>50</v>
      </c>
      <c r="D875">
        <v>20</v>
      </c>
      <c r="E875" s="3">
        <v>26</v>
      </c>
      <c r="F875" s="3">
        <f>1.8*E875+32</f>
        <v>78.800000000000011</v>
      </c>
      <c r="G875" s="3">
        <v>16</v>
      </c>
      <c r="H875" s="3">
        <f>IF(F875&gt;68,G875+(F875-68)*0.2,G1023-(68-F875)*0.2)</f>
        <v>18.160000000000004</v>
      </c>
      <c r="I875" s="3">
        <v>24</v>
      </c>
      <c r="J875" s="3">
        <f>1.8*I875+32</f>
        <v>75.2</v>
      </c>
      <c r="K875" s="3">
        <v>9</v>
      </c>
      <c r="L875" s="3">
        <f>IF(J875&gt;67,K875+(J875-67)*0.2,K875-(67-J875)*0.2)</f>
        <v>10.64</v>
      </c>
      <c r="M875" s="3">
        <f>(C875-H875)/C875*100</f>
        <v>63.679999999999993</v>
      </c>
      <c r="N875" s="3">
        <f>100-(M875+O875)</f>
        <v>15.040000000000006</v>
      </c>
      <c r="O875" s="3">
        <f>L875/C875*100</f>
        <v>21.28</v>
      </c>
      <c r="P875" s="1" t="s">
        <v>2</v>
      </c>
      <c r="Q875" s="15">
        <v>407391.32400000002</v>
      </c>
      <c r="R875" s="15">
        <v>3660002.5</v>
      </c>
      <c r="S875" s="1"/>
    </row>
    <row r="876" spans="1:19" x14ac:dyDescent="0.25">
      <c r="A876" s="4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1"/>
      <c r="S876" s="1"/>
    </row>
    <row r="877" spans="1:19" ht="51.75" x14ac:dyDescent="0.25">
      <c r="A877" s="14" t="s">
        <v>21</v>
      </c>
      <c r="B877" s="9" t="s">
        <v>20</v>
      </c>
      <c r="C877" s="13" t="s">
        <v>19</v>
      </c>
      <c r="D877" s="12" t="s">
        <v>18</v>
      </c>
      <c r="E877" s="11" t="s">
        <v>17</v>
      </c>
      <c r="F877" s="11" t="s">
        <v>16</v>
      </c>
      <c r="G877" s="11" t="s">
        <v>15</v>
      </c>
      <c r="H877" s="11" t="s">
        <v>14</v>
      </c>
      <c r="I877" s="11" t="s">
        <v>13</v>
      </c>
      <c r="J877" s="11" t="s">
        <v>12</v>
      </c>
      <c r="K877" s="11" t="s">
        <v>11</v>
      </c>
      <c r="L877" s="11" t="s">
        <v>10</v>
      </c>
      <c r="M877" s="10" t="s">
        <v>9</v>
      </c>
      <c r="N877" s="10" t="s">
        <v>8</v>
      </c>
      <c r="O877" s="10" t="s">
        <v>7</v>
      </c>
      <c r="P877" s="9" t="s">
        <v>6</v>
      </c>
      <c r="Q877" s="8" t="s">
        <v>5</v>
      </c>
      <c r="R877" s="7"/>
      <c r="S877" s="6"/>
    </row>
    <row r="878" spans="1:19" x14ac:dyDescent="0.25"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1"/>
      <c r="Q878" s="5" t="s">
        <v>4</v>
      </c>
      <c r="R878" s="5" t="s">
        <v>3</v>
      </c>
      <c r="S878" s="1"/>
    </row>
    <row r="879" spans="1:19" x14ac:dyDescent="0.25">
      <c r="A879" s="4">
        <v>147</v>
      </c>
      <c r="B879">
        <v>30</v>
      </c>
      <c r="C879">
        <v>50</v>
      </c>
      <c r="D879">
        <v>20</v>
      </c>
      <c r="E879" s="3">
        <v>25</v>
      </c>
      <c r="F879" s="3">
        <f>1.8*E879+32</f>
        <v>77</v>
      </c>
      <c r="G879" s="3">
        <v>17</v>
      </c>
      <c r="H879" s="3">
        <f>IF(F879&gt;68,G879+(F879-68)*0.2,G1026-(68-F879)*0.2)</f>
        <v>18.8</v>
      </c>
      <c r="I879" s="3">
        <v>23</v>
      </c>
      <c r="J879" s="3">
        <f>1.8*I879+32</f>
        <v>73.400000000000006</v>
      </c>
      <c r="K879" s="3">
        <v>9</v>
      </c>
      <c r="L879" s="3">
        <f>IF(J879&gt;67,K879+(J879-67)*0.2,K879-(67-J879)*0.2)</f>
        <v>10.280000000000001</v>
      </c>
      <c r="M879" s="3">
        <f>(C879-H879)/C879*100</f>
        <v>62.4</v>
      </c>
      <c r="N879" s="3">
        <f>100-(M879+O879)</f>
        <v>17.039999999999992</v>
      </c>
      <c r="O879" s="3">
        <f>L879/C879*100</f>
        <v>20.560000000000002</v>
      </c>
      <c r="P879" s="1" t="s">
        <v>2</v>
      </c>
      <c r="Q879" s="15">
        <v>407391.32400000002</v>
      </c>
      <c r="R879" s="15">
        <v>3660029</v>
      </c>
      <c r="S879" s="1"/>
    </row>
    <row r="880" spans="1:19" x14ac:dyDescent="0.25">
      <c r="A880" s="4">
        <v>147</v>
      </c>
      <c r="B880">
        <v>60</v>
      </c>
      <c r="C880">
        <v>50</v>
      </c>
      <c r="D880">
        <v>20</v>
      </c>
      <c r="E880" s="3">
        <v>25</v>
      </c>
      <c r="F880" s="3">
        <f>1.8*E880+32</f>
        <v>77</v>
      </c>
      <c r="G880" s="3">
        <v>18</v>
      </c>
      <c r="H880" s="3">
        <f>IF(F880&gt;68,G880+(F880-68)*0.2,G1027-(68-F880)*0.2)</f>
        <v>19.8</v>
      </c>
      <c r="I880" s="3">
        <v>23</v>
      </c>
      <c r="J880" s="3">
        <f>1.8*I880+32</f>
        <v>73.400000000000006</v>
      </c>
      <c r="K880" s="3">
        <v>10</v>
      </c>
      <c r="L880" s="3">
        <f>IF(J880&gt;67,K880+(J880-67)*0.2,K880-(67-J880)*0.2)</f>
        <v>11.280000000000001</v>
      </c>
      <c r="M880" s="3">
        <f>(C880-H880)/C880*100</f>
        <v>60.4</v>
      </c>
      <c r="N880" s="3">
        <f>100-(M880+O880)</f>
        <v>17.039999999999992</v>
      </c>
      <c r="O880" s="3">
        <f>L880/C880*100</f>
        <v>22.560000000000002</v>
      </c>
      <c r="P880" s="1" t="s">
        <v>2</v>
      </c>
      <c r="Q880" s="15">
        <v>407391.32400000002</v>
      </c>
      <c r="R880" s="15">
        <v>3660029</v>
      </c>
      <c r="S880" s="1"/>
    </row>
    <row r="881" spans="1:19" x14ac:dyDescent="0.25">
      <c r="A881" s="4">
        <v>147</v>
      </c>
      <c r="B881">
        <v>90</v>
      </c>
      <c r="C881">
        <v>50</v>
      </c>
      <c r="D881">
        <v>20</v>
      </c>
      <c r="E881" s="3">
        <v>26</v>
      </c>
      <c r="F881" s="3">
        <f>1.8*E881+32</f>
        <v>78.800000000000011</v>
      </c>
      <c r="G881" s="3">
        <v>16</v>
      </c>
      <c r="H881" s="3">
        <f>IF(F881&gt;68,G881+(F881-68)*0.2,G1028-(68-F881)*0.2)</f>
        <v>18.160000000000004</v>
      </c>
      <c r="I881" s="3">
        <v>23.5</v>
      </c>
      <c r="J881" s="3">
        <f>1.8*I881+32</f>
        <v>74.300000000000011</v>
      </c>
      <c r="K881" s="3">
        <v>8</v>
      </c>
      <c r="L881" s="3">
        <f>IF(J881&gt;67,K881+(J881-67)*0.2,K881-(67-J881)*0.2)</f>
        <v>9.4600000000000026</v>
      </c>
      <c r="M881" s="3">
        <f>(C881-H881)/C881*100</f>
        <v>63.679999999999993</v>
      </c>
      <c r="N881" s="3">
        <f>100-(M881+O881)</f>
        <v>17.400000000000006</v>
      </c>
      <c r="O881" s="3">
        <f>L881/C881*100</f>
        <v>18.920000000000005</v>
      </c>
      <c r="P881" s="1" t="s">
        <v>0</v>
      </c>
      <c r="Q881" s="15">
        <v>407391.32400000002</v>
      </c>
      <c r="R881" s="15">
        <v>3660029</v>
      </c>
      <c r="S881" s="1"/>
    </row>
    <row r="882" spans="1:19" x14ac:dyDescent="0.25">
      <c r="A882" s="4">
        <v>147</v>
      </c>
      <c r="B882">
        <v>120</v>
      </c>
      <c r="C882">
        <v>50</v>
      </c>
      <c r="D882">
        <v>20</v>
      </c>
      <c r="E882" s="3">
        <v>25.5</v>
      </c>
      <c r="F882" s="3">
        <f>1.8*E882+32</f>
        <v>77.900000000000006</v>
      </c>
      <c r="G882" s="3">
        <v>13</v>
      </c>
      <c r="H882" s="3">
        <f>IF(F882&gt;68,G882+(F882-68)*0.2,G1029-(68-F882)*0.2)</f>
        <v>14.98</v>
      </c>
      <c r="I882" s="3">
        <v>23</v>
      </c>
      <c r="J882" s="3">
        <f>1.8*I882+32</f>
        <v>73.400000000000006</v>
      </c>
      <c r="K882" s="3">
        <v>6</v>
      </c>
      <c r="L882" s="3">
        <f>IF(J882&gt;67,K882+(J882-67)*0.2,K882-(67-J882)*0.2)</f>
        <v>7.2800000000000011</v>
      </c>
      <c r="M882" s="3">
        <f>(C882-H882)/C882*100</f>
        <v>70.039999999999992</v>
      </c>
      <c r="N882" s="3">
        <f>100-(M882+O882)</f>
        <v>15.400000000000006</v>
      </c>
      <c r="O882" s="3">
        <f>L882/C882*100</f>
        <v>14.560000000000004</v>
      </c>
      <c r="P882" s="1" t="s">
        <v>0</v>
      </c>
      <c r="Q882" s="15">
        <v>407391.32400000002</v>
      </c>
      <c r="R882" s="15">
        <v>3660029</v>
      </c>
      <c r="S882" s="1"/>
    </row>
    <row r="883" spans="1:19" x14ac:dyDescent="0.25">
      <c r="A883" s="4">
        <v>147</v>
      </c>
      <c r="B883">
        <v>150</v>
      </c>
      <c r="C883">
        <v>50</v>
      </c>
      <c r="D883">
        <v>20</v>
      </c>
      <c r="E883" s="3">
        <v>25</v>
      </c>
      <c r="F883" s="3">
        <f>1.8*E883+32</f>
        <v>77</v>
      </c>
      <c r="G883" s="3">
        <v>9</v>
      </c>
      <c r="H883" s="3">
        <f>IF(F883&gt;68,G883+(F883-68)*0.2,G1030-(68-F883)*0.2)</f>
        <v>10.8</v>
      </c>
      <c r="I883" s="3">
        <v>23</v>
      </c>
      <c r="J883" s="3">
        <f>1.8*I883+32</f>
        <v>73.400000000000006</v>
      </c>
      <c r="K883" s="3">
        <v>4</v>
      </c>
      <c r="L883" s="3">
        <f>IF(J883&gt;67,K883+(J883-67)*0.2,K883-(67-J883)*0.2)</f>
        <v>5.2800000000000011</v>
      </c>
      <c r="M883" s="3">
        <f>(C883-H883)/C883*100</f>
        <v>78.400000000000006</v>
      </c>
      <c r="N883" s="3">
        <f>100-(M883+O883)</f>
        <v>11.039999999999992</v>
      </c>
      <c r="O883" s="3">
        <f>L883/C883*100</f>
        <v>10.560000000000002</v>
      </c>
      <c r="P883" s="1" t="s">
        <v>0</v>
      </c>
      <c r="Q883" s="15">
        <v>407391.32400000002</v>
      </c>
      <c r="R883" s="15">
        <v>3660029</v>
      </c>
      <c r="S883" s="1"/>
    </row>
    <row r="884" spans="1:19" x14ac:dyDescent="0.25">
      <c r="A884" s="4">
        <v>147</v>
      </c>
      <c r="B884">
        <v>180</v>
      </c>
      <c r="C884">
        <v>50</v>
      </c>
      <c r="D884">
        <v>20</v>
      </c>
      <c r="E884" s="3">
        <v>26</v>
      </c>
      <c r="F884" s="3">
        <f>1.8*E884+32</f>
        <v>78.800000000000011</v>
      </c>
      <c r="G884" s="3">
        <v>13</v>
      </c>
      <c r="H884" s="3">
        <f>IF(F884&gt;68,G884+(F884-68)*0.2,G1031-(68-F884)*0.2)</f>
        <v>15.160000000000002</v>
      </c>
      <c r="I884" s="3">
        <v>23</v>
      </c>
      <c r="J884" s="3">
        <f>1.8*I884+32</f>
        <v>73.400000000000006</v>
      </c>
      <c r="K884" s="3">
        <v>7</v>
      </c>
      <c r="L884" s="3">
        <f>IF(J884&gt;67,K884+(J884-67)*0.2,K884-(67-J884)*0.2)</f>
        <v>8.2800000000000011</v>
      </c>
      <c r="M884" s="3">
        <f>(C884-H884)/C884*100</f>
        <v>69.679999999999993</v>
      </c>
      <c r="N884" s="3">
        <f>100-(M884+O884)</f>
        <v>13.760000000000005</v>
      </c>
      <c r="O884" s="3">
        <f>L884/C884*100</f>
        <v>16.560000000000002</v>
      </c>
      <c r="P884" s="1" t="s">
        <v>0</v>
      </c>
      <c r="Q884" s="15">
        <v>407391.32400000002</v>
      </c>
      <c r="R884" s="15">
        <v>3660029</v>
      </c>
      <c r="S884" s="1"/>
    </row>
    <row r="885" spans="1:19" x14ac:dyDescent="0.25">
      <c r="A885" s="4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1"/>
      <c r="S885" s="1"/>
    </row>
    <row r="886" spans="1:19" ht="51.75" x14ac:dyDescent="0.25">
      <c r="A886" s="14" t="s">
        <v>21</v>
      </c>
      <c r="B886" s="9" t="s">
        <v>20</v>
      </c>
      <c r="C886" s="13" t="s">
        <v>19</v>
      </c>
      <c r="D886" s="12" t="s">
        <v>18</v>
      </c>
      <c r="E886" s="11" t="s">
        <v>17</v>
      </c>
      <c r="F886" s="11" t="s">
        <v>16</v>
      </c>
      <c r="G886" s="11" t="s">
        <v>15</v>
      </c>
      <c r="H886" s="11" t="s">
        <v>14</v>
      </c>
      <c r="I886" s="11" t="s">
        <v>13</v>
      </c>
      <c r="J886" s="11" t="s">
        <v>12</v>
      </c>
      <c r="K886" s="11" t="s">
        <v>11</v>
      </c>
      <c r="L886" s="11" t="s">
        <v>10</v>
      </c>
      <c r="M886" s="10" t="s">
        <v>9</v>
      </c>
      <c r="N886" s="10" t="s">
        <v>8</v>
      </c>
      <c r="O886" s="10" t="s">
        <v>7</v>
      </c>
      <c r="P886" s="9" t="s">
        <v>6</v>
      </c>
      <c r="Q886" s="8" t="s">
        <v>5</v>
      </c>
      <c r="R886" s="7"/>
      <c r="S886" s="6"/>
    </row>
    <row r="887" spans="1:19" x14ac:dyDescent="0.25">
      <c r="C887" s="16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1"/>
      <c r="Q887" s="5" t="s">
        <v>4</v>
      </c>
      <c r="R887" s="5" t="s">
        <v>3</v>
      </c>
      <c r="S887" s="1"/>
    </row>
    <row r="888" spans="1:19" x14ac:dyDescent="0.25">
      <c r="A888" s="4">
        <v>151</v>
      </c>
      <c r="B888">
        <v>30</v>
      </c>
      <c r="C888" s="16">
        <v>50</v>
      </c>
      <c r="D888">
        <v>20</v>
      </c>
      <c r="E888" s="3">
        <v>26</v>
      </c>
      <c r="F888" s="3">
        <f>1.8*E888+32</f>
        <v>78.800000000000011</v>
      </c>
      <c r="G888" s="3">
        <v>20</v>
      </c>
      <c r="H888" s="3">
        <f>IF(F888&gt;68,G888+(F888-68)*0.2,G1034-(68-F888)*0.2)</f>
        <v>22.160000000000004</v>
      </c>
      <c r="I888" s="3">
        <v>23</v>
      </c>
      <c r="J888" s="3">
        <f>1.8*I888+32</f>
        <v>73.400000000000006</v>
      </c>
      <c r="K888" s="3">
        <v>11</v>
      </c>
      <c r="L888" s="3">
        <f>IF(J888&gt;68,K888+(J888-68)*0.2,K888-(68-J888)*0.2)</f>
        <v>12.080000000000002</v>
      </c>
      <c r="M888" s="3">
        <f>(C888-H888)/C888*100</f>
        <v>55.679999999999993</v>
      </c>
      <c r="N888" s="3">
        <f>100-(M888+O888)</f>
        <v>20.159999999999997</v>
      </c>
      <c r="O888" s="3">
        <f>L888/C888*100</f>
        <v>24.160000000000004</v>
      </c>
      <c r="P888" s="1" t="s">
        <v>2</v>
      </c>
      <c r="Q888" s="15">
        <v>407377.1</v>
      </c>
      <c r="R888" s="15">
        <v>3659870</v>
      </c>
      <c r="S888" s="1"/>
    </row>
    <row r="889" spans="1:19" x14ac:dyDescent="0.25">
      <c r="A889" s="4">
        <v>151</v>
      </c>
      <c r="B889">
        <v>60</v>
      </c>
      <c r="C889" s="16">
        <v>50</v>
      </c>
      <c r="D889">
        <v>20</v>
      </c>
      <c r="E889" s="3">
        <v>26</v>
      </c>
      <c r="F889" s="3">
        <f>1.8*E889+32</f>
        <v>78.800000000000011</v>
      </c>
      <c r="G889" s="3">
        <v>17</v>
      </c>
      <c r="H889" s="3">
        <f>IF(F889&gt;68,G889+(F889-68)*0.2,G1035-(68-F889)*0.2)</f>
        <v>19.160000000000004</v>
      </c>
      <c r="I889" s="3">
        <v>23</v>
      </c>
      <c r="J889" s="3">
        <f>1.8*I889+32</f>
        <v>73.400000000000006</v>
      </c>
      <c r="K889" s="3">
        <v>9</v>
      </c>
      <c r="L889" s="3">
        <f>IF(J889&gt;68,K889+(J889-68)*0.2,K889-(68-J889)*0.2)</f>
        <v>10.080000000000002</v>
      </c>
      <c r="M889" s="3">
        <f>(C889-H889)/C889*100</f>
        <v>61.679999999999993</v>
      </c>
      <c r="N889" s="3">
        <f>100-(M889+O889)</f>
        <v>18.159999999999997</v>
      </c>
      <c r="O889" s="3">
        <f>L889/C889*100</f>
        <v>20.160000000000004</v>
      </c>
      <c r="P889" s="1" t="s">
        <v>2</v>
      </c>
      <c r="Q889" s="15">
        <v>407377.1</v>
      </c>
      <c r="R889" s="15">
        <v>3659870</v>
      </c>
      <c r="S889" s="1"/>
    </row>
    <row r="890" spans="1:19" x14ac:dyDescent="0.25">
      <c r="A890" s="4">
        <v>151</v>
      </c>
      <c r="B890">
        <v>90</v>
      </c>
      <c r="C890" s="16">
        <v>50</v>
      </c>
      <c r="D890">
        <v>20</v>
      </c>
      <c r="E890" s="3">
        <v>25</v>
      </c>
      <c r="F890" s="3">
        <f>1.8*E890+32</f>
        <v>77</v>
      </c>
      <c r="G890" s="3">
        <v>13</v>
      </c>
      <c r="H890" s="3">
        <f>IF(F890&gt;68,G890+(F890-68)*0.2,G1036-(68-F890)*0.2)</f>
        <v>14.8</v>
      </c>
      <c r="I890" s="3">
        <v>23</v>
      </c>
      <c r="J890" s="3">
        <f>1.8*I890+32</f>
        <v>73.400000000000006</v>
      </c>
      <c r="K890" s="3">
        <v>7</v>
      </c>
      <c r="L890" s="3">
        <f>IF(J890&gt;68,K890+(J890-68)*0.2,K890-(68-J890)*0.2)</f>
        <v>8.0800000000000018</v>
      </c>
      <c r="M890" s="3">
        <f>(C890-H890)/C890*100</f>
        <v>70.400000000000006</v>
      </c>
      <c r="N890" s="3">
        <f>100-(M890+O890)</f>
        <v>13.439999999999998</v>
      </c>
      <c r="O890" s="3">
        <f>L890/C890*100</f>
        <v>16.160000000000004</v>
      </c>
      <c r="P890" s="1" t="s">
        <v>0</v>
      </c>
      <c r="Q890" s="15">
        <v>407377.1</v>
      </c>
      <c r="R890" s="15">
        <v>3659870</v>
      </c>
      <c r="S890" s="1"/>
    </row>
    <row r="891" spans="1:19" x14ac:dyDescent="0.25">
      <c r="A891" s="4">
        <v>151</v>
      </c>
      <c r="B891">
        <v>120</v>
      </c>
      <c r="C891" s="16">
        <v>50</v>
      </c>
      <c r="D891">
        <v>20</v>
      </c>
      <c r="E891" s="3">
        <v>25</v>
      </c>
      <c r="F891" s="3">
        <f>1.8*E891+32</f>
        <v>77</v>
      </c>
      <c r="G891" s="3">
        <v>13</v>
      </c>
      <c r="H891" s="3">
        <f>IF(F891&gt;68,G891+(F891-68)*0.2,G1037-(68-F891)*0.2)</f>
        <v>14.8</v>
      </c>
      <c r="I891" s="3">
        <v>23</v>
      </c>
      <c r="J891" s="3">
        <f>1.8*I891+32</f>
        <v>73.400000000000006</v>
      </c>
      <c r="K891" s="3">
        <v>7</v>
      </c>
      <c r="L891" s="3">
        <f>IF(J891&gt;68,K891+(J891-68)*0.2,K891-(68-J891)*0.2)</f>
        <v>8.0800000000000018</v>
      </c>
      <c r="M891" s="3">
        <f>(C891-H891)/C891*100</f>
        <v>70.400000000000006</v>
      </c>
      <c r="N891" s="3">
        <f>100-(M891+O891)</f>
        <v>13.439999999999998</v>
      </c>
      <c r="O891" s="3">
        <f>L891/C891*100</f>
        <v>16.160000000000004</v>
      </c>
      <c r="P891" s="1" t="s">
        <v>0</v>
      </c>
      <c r="Q891" s="15">
        <v>407377.1</v>
      </c>
      <c r="R891" s="15">
        <v>3659870</v>
      </c>
      <c r="S891" s="1"/>
    </row>
    <row r="892" spans="1:19" x14ac:dyDescent="0.25">
      <c r="A892" s="4">
        <v>151</v>
      </c>
      <c r="B892">
        <v>150</v>
      </c>
      <c r="C892" s="16">
        <v>50</v>
      </c>
      <c r="D892">
        <v>20</v>
      </c>
      <c r="E892" s="3">
        <v>25</v>
      </c>
      <c r="F892" s="3">
        <f>1.8*E892+32</f>
        <v>77</v>
      </c>
      <c r="G892" s="3">
        <v>13</v>
      </c>
      <c r="H892" s="3">
        <f>IF(F892&gt;68,G892+(F892-68)*0.2,G1038-(68-F892)*0.2)</f>
        <v>14.8</v>
      </c>
      <c r="I892" s="3">
        <v>23</v>
      </c>
      <c r="J892" s="3">
        <f>1.8*I892+32</f>
        <v>73.400000000000006</v>
      </c>
      <c r="K892" s="3">
        <v>6</v>
      </c>
      <c r="L892" s="3">
        <f>IF(J892&gt;68,K892+(J892-68)*0.2,K892-(68-J892)*0.2)</f>
        <v>7.080000000000001</v>
      </c>
      <c r="M892" s="3">
        <f>(C892-H892)/C892*100</f>
        <v>70.400000000000006</v>
      </c>
      <c r="N892" s="3">
        <f>100-(M892+O892)</f>
        <v>15.439999999999998</v>
      </c>
      <c r="O892" s="3">
        <f>L892/C892*100</f>
        <v>14.160000000000004</v>
      </c>
      <c r="P892" s="1" t="s">
        <v>0</v>
      </c>
      <c r="Q892" s="15">
        <v>407377.1</v>
      </c>
      <c r="R892" s="15">
        <v>3659870</v>
      </c>
      <c r="S892" s="1"/>
    </row>
    <row r="893" spans="1:19" x14ac:dyDescent="0.25">
      <c r="A893" s="4">
        <v>151</v>
      </c>
      <c r="B893">
        <v>180</v>
      </c>
      <c r="C893" s="16">
        <v>50</v>
      </c>
      <c r="D893">
        <v>20</v>
      </c>
      <c r="E893" s="3">
        <v>25</v>
      </c>
      <c r="F893" s="3">
        <f>1.8*E893+32</f>
        <v>77</v>
      </c>
      <c r="G893" s="3">
        <v>16</v>
      </c>
      <c r="H893" s="3">
        <f>IF(F893&gt;68,G893+(F893-68)*0.2,G1039-(68-F893)*0.2)</f>
        <v>17.8</v>
      </c>
      <c r="I893" s="3">
        <v>23</v>
      </c>
      <c r="J893" s="3">
        <f>1.8*I893+32</f>
        <v>73.400000000000006</v>
      </c>
      <c r="K893" s="3">
        <v>8</v>
      </c>
      <c r="L893" s="3">
        <f>IF(J893&gt;68,K893+(J893-68)*0.2,K893-(68-J893)*0.2)</f>
        <v>9.0800000000000018</v>
      </c>
      <c r="M893" s="3">
        <f>(C893-H893)/C893*100</f>
        <v>64.400000000000006</v>
      </c>
      <c r="N893" s="3">
        <f>100-(M893+O893)</f>
        <v>17.439999999999998</v>
      </c>
      <c r="O893" s="3">
        <f>L893/C893*100</f>
        <v>18.160000000000004</v>
      </c>
      <c r="P893" s="1" t="s">
        <v>0</v>
      </c>
      <c r="Q893" s="15">
        <v>407377.1</v>
      </c>
      <c r="R893" s="15">
        <v>3659870</v>
      </c>
      <c r="S893" s="1"/>
    </row>
    <row r="894" spans="1:19" x14ac:dyDescent="0.25">
      <c r="Q894" s="18"/>
      <c r="R894" s="18"/>
    </row>
    <row r="895" spans="1:19" ht="51.75" x14ac:dyDescent="0.25">
      <c r="A895" s="14" t="s">
        <v>21</v>
      </c>
      <c r="B895" s="9" t="s">
        <v>20</v>
      </c>
      <c r="C895" s="13" t="s">
        <v>19</v>
      </c>
      <c r="D895" s="12" t="s">
        <v>18</v>
      </c>
      <c r="E895" s="11" t="s">
        <v>17</v>
      </c>
      <c r="F895" s="11" t="s">
        <v>16</v>
      </c>
      <c r="G895" s="11" t="s">
        <v>15</v>
      </c>
      <c r="H895" s="11" t="s">
        <v>14</v>
      </c>
      <c r="I895" s="11" t="s">
        <v>13</v>
      </c>
      <c r="J895" s="11" t="s">
        <v>12</v>
      </c>
      <c r="K895" s="11" t="s">
        <v>11</v>
      </c>
      <c r="L895" s="11" t="s">
        <v>10</v>
      </c>
      <c r="M895" s="10" t="s">
        <v>9</v>
      </c>
      <c r="N895" s="10" t="s">
        <v>8</v>
      </c>
      <c r="O895" s="10" t="s">
        <v>7</v>
      </c>
      <c r="P895" s="9" t="s">
        <v>6</v>
      </c>
      <c r="Q895" s="8" t="s">
        <v>5</v>
      </c>
      <c r="R895" s="7"/>
      <c r="S895" s="6"/>
    </row>
    <row r="896" spans="1:19" x14ac:dyDescent="0.25"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1"/>
      <c r="Q896" s="5" t="s">
        <v>4</v>
      </c>
      <c r="R896" s="5" t="s">
        <v>3</v>
      </c>
      <c r="S896" s="1"/>
    </row>
    <row r="897" spans="1:20" x14ac:dyDescent="0.25">
      <c r="A897" s="4">
        <v>152</v>
      </c>
      <c r="B897">
        <v>30</v>
      </c>
      <c r="C897">
        <v>50</v>
      </c>
      <c r="D897">
        <v>20</v>
      </c>
      <c r="E897" s="3">
        <v>25</v>
      </c>
      <c r="F897" s="3">
        <f>1.8*E897+32</f>
        <v>77</v>
      </c>
      <c r="G897" s="3">
        <v>24</v>
      </c>
      <c r="H897" s="3">
        <f>IF(F897&gt;68,G897+(F897-68)*0.2,G1043-(68-F897)*0.2)</f>
        <v>25.8</v>
      </c>
      <c r="I897" s="3">
        <v>23</v>
      </c>
      <c r="J897" s="3">
        <f>1.8*I897+32</f>
        <v>73.400000000000006</v>
      </c>
      <c r="K897" s="3">
        <v>16</v>
      </c>
      <c r="L897" s="3">
        <f>IF(J897&gt;67,K897+(J897-67)*0.2,K897-(67-J897)*0.2)</f>
        <v>17.28</v>
      </c>
      <c r="M897" s="3">
        <f>(C897-H897)/C897*100</f>
        <v>48.4</v>
      </c>
      <c r="N897" s="3">
        <f>100-(M897+O897)</f>
        <v>17.039999999999992</v>
      </c>
      <c r="O897" s="3">
        <f>L897/C897*100</f>
        <v>34.56</v>
      </c>
      <c r="P897" s="1" t="s">
        <v>2</v>
      </c>
      <c r="Q897" s="15">
        <v>407377.1</v>
      </c>
      <c r="R897" s="15">
        <v>3659896.5</v>
      </c>
      <c r="S897" s="1"/>
    </row>
    <row r="898" spans="1:20" x14ac:dyDescent="0.25">
      <c r="A898" s="4">
        <v>152</v>
      </c>
      <c r="B898">
        <v>60</v>
      </c>
      <c r="C898">
        <v>50</v>
      </c>
      <c r="D898">
        <v>20</v>
      </c>
      <c r="E898" s="3">
        <v>25.5</v>
      </c>
      <c r="F898" s="3">
        <f>1.8*E898+32</f>
        <v>77.900000000000006</v>
      </c>
      <c r="G898" s="3">
        <v>16</v>
      </c>
      <c r="H898" s="3">
        <f>IF(F898&gt;68,G898+(F898-68)*0.2,G1044-(68-F898)*0.2)</f>
        <v>17.98</v>
      </c>
      <c r="I898" s="3">
        <v>23</v>
      </c>
      <c r="J898" s="3">
        <f>1.8*I898+32</f>
        <v>73.400000000000006</v>
      </c>
      <c r="K898" s="3">
        <v>12</v>
      </c>
      <c r="L898" s="3">
        <f>IF(J898&gt;67,K898+(J898-67)*0.2,K898-(67-J898)*0.2)</f>
        <v>13.280000000000001</v>
      </c>
      <c r="M898" s="3">
        <f>(C898-H898)/C898*100</f>
        <v>64.039999999999992</v>
      </c>
      <c r="N898" s="3">
        <f>100-(M898+O898)</f>
        <v>9.4000000000000057</v>
      </c>
      <c r="O898" s="3">
        <f>L898/C898*100</f>
        <v>26.56</v>
      </c>
      <c r="P898" s="1" t="s">
        <v>2</v>
      </c>
      <c r="Q898" s="15">
        <v>407377.1</v>
      </c>
      <c r="R898" s="15">
        <v>3659896.5</v>
      </c>
      <c r="S898" s="1"/>
    </row>
    <row r="899" spans="1:20" x14ac:dyDescent="0.25">
      <c r="A899" s="4">
        <v>152</v>
      </c>
      <c r="B899">
        <v>90</v>
      </c>
      <c r="C899">
        <v>50</v>
      </c>
      <c r="D899">
        <v>20</v>
      </c>
      <c r="E899" s="3">
        <v>26</v>
      </c>
      <c r="F899" s="3">
        <f>1.8*E899+32</f>
        <v>78.800000000000011</v>
      </c>
      <c r="G899" s="3">
        <v>17</v>
      </c>
      <c r="H899" s="3">
        <f>IF(F899&gt;68,G899+(F899-68)*0.2,G1045-(68-F899)*0.2)</f>
        <v>19.160000000000004</v>
      </c>
      <c r="I899" s="3">
        <v>23</v>
      </c>
      <c r="J899" s="3">
        <f>1.8*I899+32</f>
        <v>73.400000000000006</v>
      </c>
      <c r="K899" s="3">
        <v>11</v>
      </c>
      <c r="L899" s="3">
        <f>IF(J899&gt;67,K899+(J899-67)*0.2,K899-(67-J899)*0.2)</f>
        <v>12.280000000000001</v>
      </c>
      <c r="M899" s="3">
        <f>(C899-H899)/C899*100</f>
        <v>61.679999999999993</v>
      </c>
      <c r="N899" s="3">
        <f>100-(M899+O899)</f>
        <v>13.760000000000005</v>
      </c>
      <c r="O899" s="3">
        <f>L899/C899*100</f>
        <v>24.560000000000002</v>
      </c>
      <c r="P899" s="1" t="s">
        <v>2</v>
      </c>
      <c r="Q899" s="15">
        <v>407377.1</v>
      </c>
      <c r="R899" s="15">
        <v>3659896.5</v>
      </c>
      <c r="S899" s="1"/>
    </row>
    <row r="900" spans="1:20" x14ac:dyDescent="0.25">
      <c r="A900" s="4">
        <v>152</v>
      </c>
      <c r="B900">
        <v>120</v>
      </c>
      <c r="C900">
        <v>50</v>
      </c>
      <c r="D900">
        <v>20</v>
      </c>
      <c r="E900" s="3">
        <v>26</v>
      </c>
      <c r="F900" s="3">
        <f>1.8*E900+32</f>
        <v>78.800000000000011</v>
      </c>
      <c r="G900" s="3">
        <v>12</v>
      </c>
      <c r="H900" s="3">
        <f>IF(F900&gt;68,G900+(F900-68)*0.2,G1046-(68-F900)*0.2)</f>
        <v>14.160000000000002</v>
      </c>
      <c r="I900" s="3">
        <v>23</v>
      </c>
      <c r="J900" s="3">
        <f>1.8*I900+32</f>
        <v>73.400000000000006</v>
      </c>
      <c r="K900" s="3">
        <v>8</v>
      </c>
      <c r="L900" s="3">
        <f>IF(J900&gt;67,K900+(J900-67)*0.2,K900-(67-J900)*0.2)</f>
        <v>9.2800000000000011</v>
      </c>
      <c r="M900" s="3">
        <f>(C900-H900)/C900*100</f>
        <v>71.679999999999993</v>
      </c>
      <c r="N900" s="3">
        <f>100-(M900+O900)</f>
        <v>9.7600000000000051</v>
      </c>
      <c r="O900" s="3">
        <f>L900/C900*100</f>
        <v>18.560000000000002</v>
      </c>
      <c r="P900" s="1" t="s">
        <v>0</v>
      </c>
      <c r="Q900" s="15">
        <v>407377.1</v>
      </c>
      <c r="R900" s="15">
        <v>3659896.5</v>
      </c>
      <c r="S900" s="1"/>
    </row>
    <row r="901" spans="1:20" x14ac:dyDescent="0.25">
      <c r="A901" s="4">
        <v>152</v>
      </c>
      <c r="B901">
        <v>150</v>
      </c>
      <c r="C901">
        <v>50</v>
      </c>
      <c r="D901">
        <v>20</v>
      </c>
      <c r="E901" s="3">
        <v>24</v>
      </c>
      <c r="F901" s="3">
        <f>1.8*E901+32</f>
        <v>75.2</v>
      </c>
      <c r="G901" s="3">
        <v>11</v>
      </c>
      <c r="H901" s="3">
        <f>IF(F901&gt;68,G901+(F901-68)*0.2,G1047-(68-F901)*0.2)</f>
        <v>12.440000000000001</v>
      </c>
      <c r="I901" s="3">
        <v>23</v>
      </c>
      <c r="J901" s="3">
        <f>1.8*I901+32</f>
        <v>73.400000000000006</v>
      </c>
      <c r="K901" s="3">
        <v>5</v>
      </c>
      <c r="L901" s="3">
        <f>IF(J901&gt;67,K901+(J901-67)*0.2,K901-(67-J901)*0.2)</f>
        <v>6.2800000000000011</v>
      </c>
      <c r="M901" s="3">
        <f>(C901-H901)/C901*100</f>
        <v>75.12</v>
      </c>
      <c r="N901" s="3">
        <f>100-(M901+O901)</f>
        <v>12.319999999999993</v>
      </c>
      <c r="O901" s="3">
        <f>L901/C901*100</f>
        <v>12.560000000000002</v>
      </c>
      <c r="P901" s="1" t="s">
        <v>0</v>
      </c>
      <c r="Q901" s="15">
        <v>407377.1</v>
      </c>
      <c r="R901" s="15">
        <v>3659896.5</v>
      </c>
      <c r="S901" s="1"/>
    </row>
    <row r="902" spans="1:20" x14ac:dyDescent="0.25">
      <c r="A902" s="4">
        <v>152</v>
      </c>
      <c r="B902">
        <v>180</v>
      </c>
      <c r="C902">
        <v>50</v>
      </c>
      <c r="D902">
        <v>20</v>
      </c>
      <c r="E902" s="3">
        <v>25.5</v>
      </c>
      <c r="F902" s="3">
        <f>1.8*E902+32</f>
        <v>77.900000000000006</v>
      </c>
      <c r="G902" s="3">
        <v>17</v>
      </c>
      <c r="H902" s="3">
        <f>IF(F902&gt;68,G902+(F902-68)*0.2,G1048-(68-F902)*0.2)</f>
        <v>18.98</v>
      </c>
      <c r="I902" s="3">
        <v>23</v>
      </c>
      <c r="J902" s="3">
        <f>1.8*I902+32</f>
        <v>73.400000000000006</v>
      </c>
      <c r="K902" s="3">
        <v>9</v>
      </c>
      <c r="L902" s="3">
        <f>IF(J902&gt;67,K902+(J902-67)*0.2,K902-(67-J902)*0.2)</f>
        <v>10.280000000000001</v>
      </c>
      <c r="M902" s="3">
        <f>(C902-H902)/C902*100</f>
        <v>62.039999999999992</v>
      </c>
      <c r="N902" s="3">
        <f>100-(M902+O902)</f>
        <v>17.400000000000006</v>
      </c>
      <c r="O902" s="3">
        <f>L902/C902*100</f>
        <v>20.560000000000002</v>
      </c>
      <c r="P902" s="1" t="s">
        <v>2</v>
      </c>
      <c r="Q902" s="15">
        <v>407377.1</v>
      </c>
      <c r="R902" s="15">
        <v>3659896.5</v>
      </c>
      <c r="S902" s="1"/>
    </row>
    <row r="903" spans="1:20" x14ac:dyDescent="0.25">
      <c r="Q903" s="18"/>
      <c r="R903" s="18"/>
    </row>
    <row r="904" spans="1:20" ht="51.75" x14ac:dyDescent="0.25">
      <c r="A904" s="14" t="s">
        <v>21</v>
      </c>
      <c r="B904" s="9" t="s">
        <v>20</v>
      </c>
      <c r="C904" s="13" t="s">
        <v>19</v>
      </c>
      <c r="D904" s="12" t="s">
        <v>18</v>
      </c>
      <c r="E904" s="11" t="s">
        <v>17</v>
      </c>
      <c r="F904" s="11" t="s">
        <v>16</v>
      </c>
      <c r="G904" s="11" t="s">
        <v>15</v>
      </c>
      <c r="H904" s="11" t="s">
        <v>14</v>
      </c>
      <c r="I904" s="11" t="s">
        <v>13</v>
      </c>
      <c r="J904" s="11" t="s">
        <v>12</v>
      </c>
      <c r="K904" s="11" t="s">
        <v>11</v>
      </c>
      <c r="L904" s="11" t="s">
        <v>10</v>
      </c>
      <c r="M904" s="10" t="s">
        <v>9</v>
      </c>
      <c r="N904" s="10" t="s">
        <v>8</v>
      </c>
      <c r="O904" s="10" t="s">
        <v>7</v>
      </c>
      <c r="P904" s="9" t="s">
        <v>6</v>
      </c>
      <c r="Q904" s="8" t="s">
        <v>5</v>
      </c>
      <c r="R904" s="7"/>
      <c r="S904" s="6"/>
    </row>
    <row r="905" spans="1:20" x14ac:dyDescent="0.25"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1"/>
      <c r="Q905" s="5" t="s">
        <v>4</v>
      </c>
      <c r="R905" s="5" t="s">
        <v>3</v>
      </c>
      <c r="S905" s="1"/>
    </row>
    <row r="906" spans="1:20" x14ac:dyDescent="0.25">
      <c r="A906" s="4">
        <v>153</v>
      </c>
      <c r="B906">
        <v>30</v>
      </c>
      <c r="C906">
        <v>50</v>
      </c>
      <c r="D906">
        <v>20</v>
      </c>
      <c r="E906" s="3">
        <v>25.5</v>
      </c>
      <c r="F906" s="3">
        <f>1.8*E906+32</f>
        <v>77.900000000000006</v>
      </c>
      <c r="G906" s="3">
        <v>25</v>
      </c>
      <c r="H906" s="3">
        <f>IF(F906&gt;68,G906+(F906-68)*0.2,G1052-(68-F906)*0.2)</f>
        <v>26.98</v>
      </c>
      <c r="I906" s="3">
        <v>23</v>
      </c>
      <c r="J906" s="3">
        <f>1.8*I906+32</f>
        <v>73.400000000000006</v>
      </c>
      <c r="K906" s="3">
        <v>15</v>
      </c>
      <c r="L906" s="3">
        <f>IF(J906&gt;67,K906+(J906-67)*0.2,K906-(67-J906)*0.2)</f>
        <v>16.28</v>
      </c>
      <c r="M906" s="3">
        <f>(C906-H906)/C906*100</f>
        <v>46.04</v>
      </c>
      <c r="N906" s="3">
        <f>100-(M906+O906)</f>
        <v>21.400000000000006</v>
      </c>
      <c r="O906" s="3">
        <f>L906/C906*100</f>
        <v>32.56</v>
      </c>
      <c r="P906" s="1" t="s">
        <v>2</v>
      </c>
      <c r="Q906" s="15">
        <v>407377.1</v>
      </c>
      <c r="R906" s="15">
        <v>3659923</v>
      </c>
      <c r="S906" s="1"/>
    </row>
    <row r="907" spans="1:20" x14ac:dyDescent="0.25">
      <c r="A907" s="4">
        <v>153</v>
      </c>
      <c r="B907">
        <v>60</v>
      </c>
      <c r="C907">
        <v>50</v>
      </c>
      <c r="D907">
        <v>20</v>
      </c>
      <c r="E907" s="3">
        <v>26</v>
      </c>
      <c r="F907" s="3">
        <f>1.8*E907+32</f>
        <v>78.800000000000011</v>
      </c>
      <c r="G907" s="3">
        <v>22</v>
      </c>
      <c r="H907" s="3">
        <f>IF(F907&gt;68,G907+(F907-68)*0.2,G1053-(68-F907)*0.2)</f>
        <v>24.160000000000004</v>
      </c>
      <c r="I907" s="3">
        <v>23</v>
      </c>
      <c r="J907" s="3">
        <f>1.8*I907+32</f>
        <v>73.400000000000006</v>
      </c>
      <c r="K907" s="3">
        <v>14</v>
      </c>
      <c r="L907" s="3">
        <f>IF(J907&gt;67,K907+(J907-67)*0.2,K907-(67-J907)*0.2)</f>
        <v>15.280000000000001</v>
      </c>
      <c r="M907" s="3">
        <f>(C907-H907)/C907*100</f>
        <v>51.679999999999993</v>
      </c>
      <c r="N907" s="3">
        <f>100-(M907+O907)</f>
        <v>17.760000000000005</v>
      </c>
      <c r="O907" s="3">
        <f>L907/C907*100</f>
        <v>30.560000000000002</v>
      </c>
      <c r="P907" s="1" t="s">
        <v>2</v>
      </c>
      <c r="Q907" s="15">
        <v>407377.1</v>
      </c>
      <c r="R907" s="15">
        <v>3659923</v>
      </c>
      <c r="S907" s="17"/>
      <c r="T907" s="17"/>
    </row>
    <row r="908" spans="1:20" x14ac:dyDescent="0.25">
      <c r="A908" s="4">
        <v>153</v>
      </c>
      <c r="B908">
        <v>90</v>
      </c>
      <c r="C908">
        <v>50</v>
      </c>
      <c r="D908">
        <v>20</v>
      </c>
      <c r="E908" s="3">
        <v>25</v>
      </c>
      <c r="F908" s="3">
        <f>1.8*E908+32</f>
        <v>77</v>
      </c>
      <c r="G908" s="3">
        <v>18</v>
      </c>
      <c r="H908" s="3">
        <f>IF(F908&gt;68,G908+(F908-68)*0.2,G1054-(68-F908)*0.2)</f>
        <v>19.8</v>
      </c>
      <c r="I908" s="3">
        <v>23</v>
      </c>
      <c r="J908" s="3">
        <f>1.8*I908+32</f>
        <v>73.400000000000006</v>
      </c>
      <c r="K908" s="3">
        <v>10</v>
      </c>
      <c r="L908" s="3">
        <f>IF(J908&gt;67,K908+(J908-67)*0.2,K908-(67-J908)*0.2)</f>
        <v>11.280000000000001</v>
      </c>
      <c r="M908" s="3">
        <f>(C908-H908)/C908*100</f>
        <v>60.4</v>
      </c>
      <c r="N908" s="3">
        <f>100-(M908+O908)</f>
        <v>17.039999999999992</v>
      </c>
      <c r="O908" s="3">
        <f>L908/C908*100</f>
        <v>22.560000000000002</v>
      </c>
      <c r="P908" s="1" t="s">
        <v>2</v>
      </c>
      <c r="Q908" s="15">
        <v>407377.1</v>
      </c>
      <c r="R908" s="15">
        <v>3659923</v>
      </c>
      <c r="S908" s="17"/>
      <c r="T908" s="17"/>
    </row>
    <row r="909" spans="1:20" x14ac:dyDescent="0.25">
      <c r="A909" s="4">
        <v>153</v>
      </c>
      <c r="B909">
        <v>120</v>
      </c>
      <c r="C909">
        <v>50</v>
      </c>
      <c r="D909">
        <v>20</v>
      </c>
      <c r="E909" s="3">
        <v>25.5</v>
      </c>
      <c r="F909" s="3">
        <f>1.8*E909+32</f>
        <v>77.900000000000006</v>
      </c>
      <c r="G909" s="3">
        <v>16</v>
      </c>
      <c r="H909" s="3">
        <f>IF(F909&gt;68,G909+(F909-68)*0.2,G1055-(68-F909)*0.2)</f>
        <v>17.98</v>
      </c>
      <c r="I909" s="3">
        <v>23</v>
      </c>
      <c r="J909" s="3">
        <f>1.8*I909+32</f>
        <v>73.400000000000006</v>
      </c>
      <c r="K909" s="3">
        <v>9</v>
      </c>
      <c r="L909" s="3">
        <f>IF(J909&gt;67,K909+(J909-67)*0.2,K909-(67-J909)*0.2)</f>
        <v>10.280000000000001</v>
      </c>
      <c r="M909" s="3">
        <f>(C909-H909)/C909*100</f>
        <v>64.039999999999992</v>
      </c>
      <c r="N909" s="3">
        <f>100-(M909+O909)</f>
        <v>15.400000000000006</v>
      </c>
      <c r="O909" s="3">
        <f>L909/C909*100</f>
        <v>20.560000000000002</v>
      </c>
      <c r="P909" s="1" t="s">
        <v>2</v>
      </c>
      <c r="Q909" s="15">
        <v>407377.1</v>
      </c>
      <c r="R909" s="15">
        <v>3659923</v>
      </c>
      <c r="S909" s="17"/>
      <c r="T909" s="17"/>
    </row>
    <row r="910" spans="1:20" x14ac:dyDescent="0.25">
      <c r="A910" s="4">
        <v>153</v>
      </c>
      <c r="B910">
        <v>150</v>
      </c>
      <c r="C910">
        <v>50</v>
      </c>
      <c r="D910">
        <v>20</v>
      </c>
      <c r="E910" s="3">
        <v>26</v>
      </c>
      <c r="F910" s="3">
        <f>1.8*E910+32</f>
        <v>78.800000000000011</v>
      </c>
      <c r="G910" s="3">
        <v>17</v>
      </c>
      <c r="H910" s="3">
        <f>IF(F910&gt;68,G910+(F910-68)*0.2,G1056-(68-F910)*0.2)</f>
        <v>19.160000000000004</v>
      </c>
      <c r="I910" s="3">
        <v>23</v>
      </c>
      <c r="J910" s="3">
        <f>1.8*I910+32</f>
        <v>73.400000000000006</v>
      </c>
      <c r="K910" s="3">
        <v>9</v>
      </c>
      <c r="L910" s="3">
        <f>IF(J910&gt;67,K910+(J910-67)*0.2,K910-(67-J910)*0.2)</f>
        <v>10.280000000000001</v>
      </c>
      <c r="M910" s="3">
        <f>(C910-H910)/C910*100</f>
        <v>61.679999999999993</v>
      </c>
      <c r="N910" s="3">
        <f>100-(M910+O910)</f>
        <v>17.760000000000005</v>
      </c>
      <c r="O910" s="3">
        <f>L910/C910*100</f>
        <v>20.560000000000002</v>
      </c>
      <c r="P910" s="1" t="s">
        <v>2</v>
      </c>
      <c r="Q910" s="15">
        <v>407377.1</v>
      </c>
      <c r="R910" s="15">
        <v>3659923</v>
      </c>
      <c r="S910" s="17"/>
      <c r="T910" s="17"/>
    </row>
    <row r="911" spans="1:20" x14ac:dyDescent="0.25">
      <c r="A911" s="4">
        <v>153</v>
      </c>
      <c r="B911">
        <v>180</v>
      </c>
      <c r="C911">
        <v>50</v>
      </c>
      <c r="D911">
        <v>20</v>
      </c>
      <c r="E911" s="3">
        <v>25.5</v>
      </c>
      <c r="F911" s="3">
        <f>1.8*E911+32</f>
        <v>77.900000000000006</v>
      </c>
      <c r="G911" s="3">
        <v>17</v>
      </c>
      <c r="H911" s="3">
        <f>IF(F911&gt;68,G911+(F911-68)*0.2,G1057-(68-F911)*0.2)</f>
        <v>18.98</v>
      </c>
      <c r="I911" s="3">
        <v>23</v>
      </c>
      <c r="J911" s="3">
        <f>1.8*I911+32</f>
        <v>73.400000000000006</v>
      </c>
      <c r="K911" s="3">
        <v>8</v>
      </c>
      <c r="L911" s="3">
        <f>IF(J911&gt;67,K911+(J911-67)*0.2,K911-(67-J911)*0.2)</f>
        <v>9.2800000000000011</v>
      </c>
      <c r="M911" s="3">
        <f>(C911-H911)/C911*100</f>
        <v>62.039999999999992</v>
      </c>
      <c r="N911" s="3">
        <f>100-(M911+O911)</f>
        <v>19.400000000000006</v>
      </c>
      <c r="O911" s="3">
        <f>L911/C911*100</f>
        <v>18.560000000000002</v>
      </c>
      <c r="P911" s="1" t="s">
        <v>0</v>
      </c>
      <c r="Q911" s="15">
        <v>407377.1</v>
      </c>
      <c r="R911" s="15">
        <v>3659923</v>
      </c>
      <c r="S911" s="17"/>
      <c r="T911" s="17"/>
    </row>
    <row r="912" spans="1:20" x14ac:dyDescent="0.25">
      <c r="A912" s="4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1"/>
      <c r="Q912" s="18"/>
      <c r="R912" s="18"/>
      <c r="S912" s="17"/>
      <c r="T912" s="17"/>
    </row>
    <row r="913" spans="1:20" ht="51.75" x14ac:dyDescent="0.25">
      <c r="A913" s="14" t="s">
        <v>21</v>
      </c>
      <c r="B913" s="9" t="s">
        <v>20</v>
      </c>
      <c r="C913" s="13" t="s">
        <v>19</v>
      </c>
      <c r="D913" s="12" t="s">
        <v>18</v>
      </c>
      <c r="E913" s="11" t="s">
        <v>17</v>
      </c>
      <c r="F913" s="11" t="s">
        <v>16</v>
      </c>
      <c r="G913" s="11" t="s">
        <v>15</v>
      </c>
      <c r="H913" s="11" t="s">
        <v>14</v>
      </c>
      <c r="I913" s="11" t="s">
        <v>13</v>
      </c>
      <c r="J913" s="11" t="s">
        <v>12</v>
      </c>
      <c r="K913" s="11" t="s">
        <v>11</v>
      </c>
      <c r="L913" s="11" t="s">
        <v>10</v>
      </c>
      <c r="M913" s="10" t="s">
        <v>9</v>
      </c>
      <c r="N913" s="10" t="s">
        <v>8</v>
      </c>
      <c r="O913" s="10" t="s">
        <v>7</v>
      </c>
      <c r="P913" s="9" t="s">
        <v>6</v>
      </c>
      <c r="Q913" s="8" t="s">
        <v>5</v>
      </c>
      <c r="R913" s="7"/>
      <c r="S913" s="17"/>
      <c r="T913" s="17"/>
    </row>
    <row r="914" spans="1:20" x14ac:dyDescent="0.25">
      <c r="C914" s="16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1"/>
      <c r="Q914" s="5" t="s">
        <v>4</v>
      </c>
      <c r="R914" s="5" t="s">
        <v>3</v>
      </c>
    </row>
    <row r="915" spans="1:20" x14ac:dyDescent="0.25">
      <c r="A915" s="4">
        <v>154</v>
      </c>
      <c r="B915">
        <v>30</v>
      </c>
      <c r="C915" s="16">
        <v>50</v>
      </c>
      <c r="D915">
        <v>20</v>
      </c>
      <c r="E915" s="3">
        <v>25</v>
      </c>
      <c r="F915" s="3">
        <f>1.8*E915+32</f>
        <v>77</v>
      </c>
      <c r="G915" s="3">
        <v>23</v>
      </c>
      <c r="H915" s="3">
        <f>IF(F915&gt;68,G915+(F915-68)*0.2,G1060-(68-F915)*0.2)</f>
        <v>24.8</v>
      </c>
      <c r="I915" s="3">
        <v>23</v>
      </c>
      <c r="J915" s="3">
        <f>1.8*I915+32</f>
        <v>73.400000000000006</v>
      </c>
      <c r="K915" s="3">
        <v>12</v>
      </c>
      <c r="L915" s="3">
        <f>IF(J915&gt;68,K915+(J915-68)*0.2,K915-(68-J915)*0.2)</f>
        <v>13.080000000000002</v>
      </c>
      <c r="M915" s="3">
        <f>(C915-H915)/C915*100</f>
        <v>50.4</v>
      </c>
      <c r="N915" s="3">
        <f>100-(M915+O915)</f>
        <v>23.439999999999998</v>
      </c>
      <c r="O915" s="3">
        <f>L915/C915*100</f>
        <v>26.160000000000004</v>
      </c>
      <c r="P915" s="1" t="s">
        <v>2</v>
      </c>
      <c r="Q915" s="15">
        <v>407377.1</v>
      </c>
      <c r="R915" s="15">
        <v>3659949.5</v>
      </c>
    </row>
    <row r="916" spans="1:20" x14ac:dyDescent="0.25">
      <c r="A916" s="4">
        <v>154</v>
      </c>
      <c r="B916">
        <v>60</v>
      </c>
      <c r="C916" s="16">
        <v>50</v>
      </c>
      <c r="D916">
        <v>20</v>
      </c>
      <c r="E916" s="3">
        <v>25</v>
      </c>
      <c r="F916" s="3">
        <f>1.8*E916+32</f>
        <v>77</v>
      </c>
      <c r="G916" s="3">
        <v>18</v>
      </c>
      <c r="H916" s="3">
        <f>IF(F916&gt;68,G916+(F916-68)*0.2,G1061-(68-F916)*0.2)</f>
        <v>19.8</v>
      </c>
      <c r="I916" s="3">
        <v>23</v>
      </c>
      <c r="J916" s="3">
        <f>1.8*I916+32</f>
        <v>73.400000000000006</v>
      </c>
      <c r="K916" s="3">
        <v>11</v>
      </c>
      <c r="L916" s="3">
        <f>IF(J916&gt;68,K916+(J916-68)*0.2,K916-(68-J916)*0.2)</f>
        <v>12.080000000000002</v>
      </c>
      <c r="M916" s="3">
        <f>(C916-H916)/C916*100</f>
        <v>60.4</v>
      </c>
      <c r="N916" s="3">
        <f>100-(M916+O916)</f>
        <v>15.439999999999998</v>
      </c>
      <c r="O916" s="3">
        <f>L916/C916*100</f>
        <v>24.160000000000004</v>
      </c>
      <c r="P916" s="1" t="s">
        <v>2</v>
      </c>
      <c r="Q916" s="15">
        <v>407377.1</v>
      </c>
      <c r="R916" s="15">
        <v>3659949.5</v>
      </c>
    </row>
    <row r="917" spans="1:20" x14ac:dyDescent="0.25">
      <c r="A917" s="4">
        <v>154</v>
      </c>
      <c r="B917">
        <v>90</v>
      </c>
      <c r="C917" s="16">
        <v>50</v>
      </c>
      <c r="D917">
        <v>20</v>
      </c>
      <c r="E917" s="3">
        <v>26</v>
      </c>
      <c r="F917" s="3">
        <f>1.8*E917+32</f>
        <v>78.800000000000011</v>
      </c>
      <c r="G917" s="3">
        <v>18</v>
      </c>
      <c r="H917" s="3">
        <f>IF(F917&gt;68,G917+(F917-68)*0.2,G1062-(68-F917)*0.2)</f>
        <v>20.160000000000004</v>
      </c>
      <c r="I917" s="3">
        <v>23</v>
      </c>
      <c r="J917" s="3">
        <f>1.8*I917+32</f>
        <v>73.400000000000006</v>
      </c>
      <c r="K917" s="3">
        <v>11</v>
      </c>
      <c r="L917" s="3">
        <f>IF(J917&gt;68,K917+(J917-68)*0.2,K917-(68-J917)*0.2)</f>
        <v>12.080000000000002</v>
      </c>
      <c r="M917" s="3">
        <f>(C917-H917)/C917*100</f>
        <v>59.679999999999986</v>
      </c>
      <c r="N917" s="3">
        <f>100-(M917+O917)</f>
        <v>16.160000000000011</v>
      </c>
      <c r="O917" s="3">
        <f>L917/C917*100</f>
        <v>24.160000000000004</v>
      </c>
      <c r="P917" s="1" t="s">
        <v>2</v>
      </c>
      <c r="Q917" s="15">
        <v>407377.1</v>
      </c>
      <c r="R917" s="15">
        <v>3659949.5</v>
      </c>
    </row>
    <row r="918" spans="1:20" x14ac:dyDescent="0.25">
      <c r="A918" s="4">
        <v>154</v>
      </c>
      <c r="B918">
        <v>120</v>
      </c>
      <c r="C918" s="16">
        <v>50</v>
      </c>
      <c r="D918">
        <v>20</v>
      </c>
      <c r="E918" s="3">
        <v>26</v>
      </c>
      <c r="F918" s="3">
        <f>1.8*E918+32</f>
        <v>78.800000000000011</v>
      </c>
      <c r="G918" s="3">
        <v>13</v>
      </c>
      <c r="H918" s="3">
        <f>IF(F918&gt;68,G918+(F918-68)*0.2,G1063-(68-F918)*0.2)</f>
        <v>15.160000000000002</v>
      </c>
      <c r="I918" s="3">
        <v>23</v>
      </c>
      <c r="J918" s="3">
        <f>1.8*I918+32</f>
        <v>73.400000000000006</v>
      </c>
      <c r="K918" s="3">
        <v>7</v>
      </c>
      <c r="L918" s="3">
        <f>IF(J918&gt;68,K918+(J918-68)*0.2,K918-(68-J918)*0.2)</f>
        <v>8.0800000000000018</v>
      </c>
      <c r="M918" s="3">
        <f>(C918-H918)/C918*100</f>
        <v>69.679999999999993</v>
      </c>
      <c r="N918" s="3">
        <f>100-(M918+O918)</f>
        <v>14.159999999999997</v>
      </c>
      <c r="O918" s="3">
        <f>L918/C918*100</f>
        <v>16.160000000000004</v>
      </c>
      <c r="P918" s="1" t="s">
        <v>0</v>
      </c>
      <c r="Q918" s="15">
        <v>407377.1</v>
      </c>
      <c r="R918" s="15">
        <v>3659949.5</v>
      </c>
    </row>
    <row r="919" spans="1:20" x14ac:dyDescent="0.25">
      <c r="A919" s="4">
        <v>154</v>
      </c>
      <c r="B919">
        <v>150</v>
      </c>
      <c r="C919" s="16">
        <v>50</v>
      </c>
      <c r="D919">
        <v>20</v>
      </c>
      <c r="E919" s="3">
        <v>25</v>
      </c>
      <c r="F919" s="3">
        <f>1.8*E919+32</f>
        <v>77</v>
      </c>
      <c r="G919" s="3">
        <v>14</v>
      </c>
      <c r="H919" s="3">
        <f>IF(F919&gt;68,G919+(F919-68)*0.2,G1064-(68-F919)*0.2)</f>
        <v>15.8</v>
      </c>
      <c r="I919" s="3">
        <v>23</v>
      </c>
      <c r="J919" s="3">
        <f>1.8*I919+32</f>
        <v>73.400000000000006</v>
      </c>
      <c r="K919" s="3">
        <v>7</v>
      </c>
      <c r="L919" s="3">
        <f>IF(J919&gt;68,K919+(J919-68)*0.2,K919-(68-J919)*0.2)</f>
        <v>8.0800000000000018</v>
      </c>
      <c r="M919" s="3">
        <f>(C919-H919)/C919*100</f>
        <v>68.400000000000006</v>
      </c>
      <c r="N919" s="3">
        <f>100-(M919+O919)</f>
        <v>15.439999999999998</v>
      </c>
      <c r="O919" s="3">
        <f>L919/C919*100</f>
        <v>16.160000000000004</v>
      </c>
      <c r="P919" s="1" t="s">
        <v>0</v>
      </c>
      <c r="Q919" s="15">
        <v>407377.1</v>
      </c>
      <c r="R919" s="15">
        <v>3659949.5</v>
      </c>
    </row>
    <row r="920" spans="1:20" x14ac:dyDescent="0.25">
      <c r="A920" s="4">
        <v>154</v>
      </c>
      <c r="B920">
        <v>180</v>
      </c>
      <c r="C920" s="16">
        <v>50</v>
      </c>
      <c r="D920">
        <v>20</v>
      </c>
      <c r="E920" s="3">
        <v>26</v>
      </c>
      <c r="F920" s="3">
        <f>1.8*E920+32</f>
        <v>78.800000000000011</v>
      </c>
      <c r="G920" s="3">
        <v>14</v>
      </c>
      <c r="H920" s="3">
        <f>IF(F920&gt;68,G920+(F920-68)*0.2,G1065-(68-F920)*0.2)</f>
        <v>16.160000000000004</v>
      </c>
      <c r="I920" s="3">
        <v>23</v>
      </c>
      <c r="J920" s="3">
        <f>1.8*I920+32</f>
        <v>73.400000000000006</v>
      </c>
      <c r="K920" s="3">
        <v>8</v>
      </c>
      <c r="L920" s="3">
        <f>IF(J920&gt;68,K920+(J920-68)*0.2,K920-(68-J920)*0.2)</f>
        <v>9.0800000000000018</v>
      </c>
      <c r="M920" s="3">
        <f>(C920-H920)/C920*100</f>
        <v>67.679999999999993</v>
      </c>
      <c r="N920" s="3">
        <f>100-(M920+O920)</f>
        <v>14.159999999999997</v>
      </c>
      <c r="O920" s="3">
        <f>L920/C920*100</f>
        <v>18.160000000000004</v>
      </c>
      <c r="P920" s="1" t="s">
        <v>0</v>
      </c>
      <c r="Q920" s="15">
        <v>407377.1</v>
      </c>
      <c r="R920" s="15">
        <v>3659949.5</v>
      </c>
    </row>
    <row r="921" spans="1:20" x14ac:dyDescent="0.25">
      <c r="Q921" s="18"/>
      <c r="R921" s="18"/>
    </row>
    <row r="922" spans="1:20" ht="51.75" x14ac:dyDescent="0.25">
      <c r="A922" s="14" t="s">
        <v>21</v>
      </c>
      <c r="B922" s="9" t="s">
        <v>20</v>
      </c>
      <c r="C922" s="13" t="s">
        <v>19</v>
      </c>
      <c r="D922" s="12" t="s">
        <v>18</v>
      </c>
      <c r="E922" s="11" t="s">
        <v>17</v>
      </c>
      <c r="F922" s="11" t="s">
        <v>16</v>
      </c>
      <c r="G922" s="11" t="s">
        <v>15</v>
      </c>
      <c r="H922" s="11" t="s">
        <v>14</v>
      </c>
      <c r="I922" s="11" t="s">
        <v>13</v>
      </c>
      <c r="J922" s="11" t="s">
        <v>12</v>
      </c>
      <c r="K922" s="11" t="s">
        <v>11</v>
      </c>
      <c r="L922" s="11" t="s">
        <v>10</v>
      </c>
      <c r="M922" s="10" t="s">
        <v>9</v>
      </c>
      <c r="N922" s="10" t="s">
        <v>8</v>
      </c>
      <c r="O922" s="10" t="s">
        <v>7</v>
      </c>
      <c r="P922" s="9" t="s">
        <v>6</v>
      </c>
      <c r="Q922" s="8" t="s">
        <v>5</v>
      </c>
      <c r="R922" s="7"/>
    </row>
    <row r="923" spans="1:20" x14ac:dyDescent="0.25"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1"/>
      <c r="Q923" s="5" t="s">
        <v>4</v>
      </c>
      <c r="R923" s="5" t="s">
        <v>3</v>
      </c>
      <c r="S923" s="1"/>
    </row>
    <row r="924" spans="1:20" x14ac:dyDescent="0.25">
      <c r="A924" s="4">
        <v>155</v>
      </c>
      <c r="B924">
        <v>30</v>
      </c>
      <c r="C924">
        <v>50</v>
      </c>
      <c r="D924">
        <v>20</v>
      </c>
      <c r="E924" s="3">
        <v>26</v>
      </c>
      <c r="F924" s="3">
        <f>1.8*E924+32</f>
        <v>78.800000000000011</v>
      </c>
      <c r="G924" s="3">
        <v>20</v>
      </c>
      <c r="H924" s="3">
        <f>IF(F924&gt;68,G924+(F924-68)*0.2,G1069-(68-F924)*0.2)</f>
        <v>22.160000000000004</v>
      </c>
      <c r="I924" s="3">
        <v>23</v>
      </c>
      <c r="J924" s="3">
        <f>1.8*I924+32</f>
        <v>73.400000000000006</v>
      </c>
      <c r="K924" s="3">
        <v>13</v>
      </c>
      <c r="L924" s="3">
        <f>IF(J924&gt;67,K924+(J924-67)*0.2,K924-(67-J924)*0.2)</f>
        <v>14.280000000000001</v>
      </c>
      <c r="M924" s="3">
        <f>(C924-H924)/C924*100</f>
        <v>55.679999999999993</v>
      </c>
      <c r="N924" s="3">
        <f>100-(M924+O924)</f>
        <v>15.760000000000005</v>
      </c>
      <c r="O924" s="3">
        <f>L924/C924*100</f>
        <v>28.560000000000002</v>
      </c>
      <c r="P924" s="1" t="s">
        <v>2</v>
      </c>
      <c r="Q924" s="15">
        <v>407377.1</v>
      </c>
      <c r="R924" s="15">
        <v>3659976</v>
      </c>
      <c r="S924" s="1"/>
    </row>
    <row r="925" spans="1:20" x14ac:dyDescent="0.25">
      <c r="A925" s="4">
        <v>155</v>
      </c>
      <c r="B925">
        <v>60</v>
      </c>
      <c r="C925">
        <v>50</v>
      </c>
      <c r="D925">
        <v>20</v>
      </c>
      <c r="E925" s="3">
        <v>26</v>
      </c>
      <c r="F925" s="3">
        <f>1.8*E925+32</f>
        <v>78.800000000000011</v>
      </c>
      <c r="G925" s="3">
        <v>18</v>
      </c>
      <c r="H925" s="3">
        <f>IF(F925&gt;68,G925+(F925-68)*0.2,G1070-(68-F925)*0.2)</f>
        <v>20.160000000000004</v>
      </c>
      <c r="I925" s="3">
        <v>23</v>
      </c>
      <c r="J925" s="3">
        <f>1.8*I925+32</f>
        <v>73.400000000000006</v>
      </c>
      <c r="K925" s="3">
        <v>11</v>
      </c>
      <c r="L925" s="3">
        <f>IF(J925&gt;67,K925+(J925-67)*0.2,K925-(67-J925)*0.2)</f>
        <v>12.280000000000001</v>
      </c>
      <c r="M925" s="3">
        <f>(C925-H925)/C925*100</f>
        <v>59.679999999999986</v>
      </c>
      <c r="N925" s="3">
        <f>100-(M925+O925)</f>
        <v>15.760000000000019</v>
      </c>
      <c r="O925" s="3">
        <f>L925/C925*100</f>
        <v>24.560000000000002</v>
      </c>
      <c r="P925" s="1" t="s">
        <v>2</v>
      </c>
      <c r="Q925" s="15">
        <v>407377.1</v>
      </c>
      <c r="R925" s="15">
        <v>3659976</v>
      </c>
      <c r="S925" s="1"/>
    </row>
    <row r="926" spans="1:20" x14ac:dyDescent="0.25">
      <c r="A926" s="4">
        <v>155</v>
      </c>
      <c r="B926">
        <v>90</v>
      </c>
      <c r="C926">
        <v>50</v>
      </c>
      <c r="D926">
        <v>20</v>
      </c>
      <c r="E926" s="3">
        <v>22</v>
      </c>
      <c r="F926" s="3">
        <f>1.8*E926+32</f>
        <v>71.599999999999994</v>
      </c>
      <c r="G926" s="3">
        <v>17</v>
      </c>
      <c r="H926" s="3">
        <f>IF(F926&gt;68,G926+(F926-68)*0.2,G1071-(68-F926)*0.2)</f>
        <v>17.72</v>
      </c>
      <c r="I926" s="3">
        <v>23</v>
      </c>
      <c r="J926" s="3">
        <f>1.8*I926+32</f>
        <v>73.400000000000006</v>
      </c>
      <c r="K926" s="3">
        <v>10</v>
      </c>
      <c r="L926" s="3">
        <f>IF(J926&gt;67,K926+(J926-67)*0.2,K926-(67-J926)*0.2)</f>
        <v>11.280000000000001</v>
      </c>
      <c r="M926" s="3">
        <f>(C926-H926)/C926*100</f>
        <v>64.56</v>
      </c>
      <c r="N926" s="3">
        <f>100-(M926+O926)</f>
        <v>12.879999999999995</v>
      </c>
      <c r="O926" s="3">
        <f>L926/C926*100</f>
        <v>22.560000000000002</v>
      </c>
      <c r="P926" s="1" t="s">
        <v>2</v>
      </c>
      <c r="Q926" s="15">
        <v>407377.1</v>
      </c>
      <c r="R926" s="15">
        <v>3659976</v>
      </c>
      <c r="S926" s="1"/>
    </row>
    <row r="927" spans="1:20" x14ac:dyDescent="0.25">
      <c r="A927" s="4">
        <v>155</v>
      </c>
      <c r="B927">
        <v>120</v>
      </c>
      <c r="C927">
        <v>50</v>
      </c>
      <c r="D927">
        <v>20</v>
      </c>
      <c r="E927" s="3">
        <v>22.5</v>
      </c>
      <c r="F927" s="3">
        <f>1.8*E927+32</f>
        <v>72.5</v>
      </c>
      <c r="G927" s="3">
        <v>17</v>
      </c>
      <c r="H927" s="3">
        <f>IF(F927&gt;68,G927+(F927-68)*0.2,G1072-(68-F927)*0.2)</f>
        <v>17.899999999999999</v>
      </c>
      <c r="I927" s="3">
        <v>23</v>
      </c>
      <c r="J927" s="3">
        <f>1.8*I927+32</f>
        <v>73.400000000000006</v>
      </c>
      <c r="K927" s="3">
        <v>10</v>
      </c>
      <c r="L927" s="3">
        <f>IF(J927&gt;67,K927+(J927-67)*0.2,K927-(67-J927)*0.2)</f>
        <v>11.280000000000001</v>
      </c>
      <c r="M927" s="3">
        <f>(C927-H927)/C927*100</f>
        <v>64.2</v>
      </c>
      <c r="N927" s="3">
        <f>100-(M927+O927)</f>
        <v>13.239999999999995</v>
      </c>
      <c r="O927" s="3">
        <f>L927/C927*100</f>
        <v>22.560000000000002</v>
      </c>
      <c r="P927" s="1" t="s">
        <v>2</v>
      </c>
      <c r="Q927" s="15">
        <v>407377.1</v>
      </c>
      <c r="R927" s="15">
        <v>3659976</v>
      </c>
      <c r="S927" s="1"/>
    </row>
    <row r="928" spans="1:20" x14ac:dyDescent="0.25">
      <c r="A928" s="4">
        <v>155</v>
      </c>
      <c r="B928">
        <v>150</v>
      </c>
      <c r="C928">
        <v>50</v>
      </c>
      <c r="D928">
        <v>20</v>
      </c>
      <c r="E928" s="3">
        <v>23</v>
      </c>
      <c r="F928" s="3">
        <f>1.8*E928+32</f>
        <v>73.400000000000006</v>
      </c>
      <c r="G928" s="3">
        <v>16</v>
      </c>
      <c r="H928" s="3">
        <f>IF(F928&gt;68,G928+(F928-68)*0.2,G1073-(68-F928)*0.2)</f>
        <v>17.080000000000002</v>
      </c>
      <c r="I928" s="3">
        <v>23.5</v>
      </c>
      <c r="J928" s="3">
        <f>1.8*I928+32</f>
        <v>74.300000000000011</v>
      </c>
      <c r="K928" s="3">
        <v>10</v>
      </c>
      <c r="L928" s="3">
        <f>IF(J928&gt;67,K928+(J928-67)*0.2,K928-(67-J928)*0.2)</f>
        <v>11.460000000000003</v>
      </c>
      <c r="M928" s="3">
        <f>(C928-H928)/C928*100</f>
        <v>65.84</v>
      </c>
      <c r="N928" s="3">
        <f>100-(M928+O928)</f>
        <v>11.239999999999995</v>
      </c>
      <c r="O928" s="3">
        <f>L928/C928*100</f>
        <v>22.920000000000005</v>
      </c>
      <c r="P928" s="1" t="s">
        <v>2</v>
      </c>
      <c r="Q928" s="15">
        <v>407377.1</v>
      </c>
      <c r="R928" s="15">
        <v>3659976</v>
      </c>
      <c r="S928" s="1"/>
    </row>
    <row r="929" spans="1:19" x14ac:dyDescent="0.25">
      <c r="A929" s="4">
        <v>155</v>
      </c>
      <c r="B929">
        <v>180</v>
      </c>
      <c r="C929">
        <v>50</v>
      </c>
      <c r="D929">
        <v>20</v>
      </c>
      <c r="E929" s="3">
        <v>26.5</v>
      </c>
      <c r="F929" s="3">
        <f>1.8*E929+32</f>
        <v>79.7</v>
      </c>
      <c r="G929" s="3">
        <v>19</v>
      </c>
      <c r="H929" s="3">
        <f>IF(F929&gt;68,G929+(F929-68)*0.2,G1074-(68-F929)*0.2)</f>
        <v>21.34</v>
      </c>
      <c r="I929" s="3">
        <v>25</v>
      </c>
      <c r="J929" s="3">
        <f>1.8*I929+32</f>
        <v>77</v>
      </c>
      <c r="K929" s="3">
        <v>11</v>
      </c>
      <c r="L929" s="3">
        <f>IF(J929&gt;67,K929+(J929-67)*0.2,K929-(67-J929)*0.2)</f>
        <v>13</v>
      </c>
      <c r="M929" s="3">
        <f>(C929-H929)/C929*100</f>
        <v>57.320000000000007</v>
      </c>
      <c r="N929" s="3">
        <f>100-(M929+O929)</f>
        <v>16.679999999999993</v>
      </c>
      <c r="O929" s="3">
        <f>L929/C929*100</f>
        <v>26</v>
      </c>
      <c r="P929" s="1" t="s">
        <v>2</v>
      </c>
      <c r="Q929" s="15">
        <v>407377.1</v>
      </c>
      <c r="R929" s="15">
        <v>3659976</v>
      </c>
      <c r="S929" s="1"/>
    </row>
    <row r="930" spans="1:19" x14ac:dyDescent="0.25">
      <c r="Q930" s="18"/>
      <c r="R930" s="18"/>
    </row>
    <row r="931" spans="1:19" ht="51.75" x14ac:dyDescent="0.25">
      <c r="A931" s="14" t="s">
        <v>21</v>
      </c>
      <c r="B931" s="9" t="s">
        <v>20</v>
      </c>
      <c r="C931" s="13" t="s">
        <v>19</v>
      </c>
      <c r="D931" s="12" t="s">
        <v>18</v>
      </c>
      <c r="E931" s="11" t="s">
        <v>17</v>
      </c>
      <c r="F931" s="11" t="s">
        <v>16</v>
      </c>
      <c r="G931" s="11" t="s">
        <v>15</v>
      </c>
      <c r="H931" s="11" t="s">
        <v>14</v>
      </c>
      <c r="I931" s="11" t="s">
        <v>13</v>
      </c>
      <c r="J931" s="11" t="s">
        <v>12</v>
      </c>
      <c r="K931" s="11" t="s">
        <v>11</v>
      </c>
      <c r="L931" s="11" t="s">
        <v>10</v>
      </c>
      <c r="M931" s="10" t="s">
        <v>9</v>
      </c>
      <c r="N931" s="10" t="s">
        <v>8</v>
      </c>
      <c r="O931" s="10" t="s">
        <v>7</v>
      </c>
      <c r="P931" s="9" t="s">
        <v>6</v>
      </c>
      <c r="Q931" s="8" t="s">
        <v>5</v>
      </c>
      <c r="R931" s="7"/>
      <c r="S931" s="6"/>
    </row>
    <row r="932" spans="1:19" x14ac:dyDescent="0.25"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1"/>
      <c r="Q932" s="5" t="s">
        <v>4</v>
      </c>
      <c r="R932" s="5" t="s">
        <v>3</v>
      </c>
      <c r="S932" s="1"/>
    </row>
    <row r="933" spans="1:19" x14ac:dyDescent="0.25">
      <c r="A933" s="4">
        <v>156</v>
      </c>
      <c r="B933">
        <v>30</v>
      </c>
      <c r="C933">
        <v>50</v>
      </c>
      <c r="D933">
        <v>20</v>
      </c>
      <c r="E933" s="3">
        <v>25</v>
      </c>
      <c r="F933" s="3">
        <f>1.8*E933+32</f>
        <v>77</v>
      </c>
      <c r="G933" s="3">
        <v>19</v>
      </c>
      <c r="H933" s="3">
        <f>IF(F933&gt;68,G933+(F933-68)*0.2,G1078-(68-F933)*0.2)</f>
        <v>20.8</v>
      </c>
      <c r="I933" s="3">
        <v>24</v>
      </c>
      <c r="J933" s="3">
        <f>1.8*I933+32</f>
        <v>75.2</v>
      </c>
      <c r="K933" s="3">
        <v>13</v>
      </c>
      <c r="L933" s="3">
        <f>IF(J933&gt;67,K933+(J933-67)*0.2,K933-(67-J933)*0.2)</f>
        <v>14.64</v>
      </c>
      <c r="M933" s="3">
        <f>(C933-H933)/C933*100</f>
        <v>58.4</v>
      </c>
      <c r="N933" s="3">
        <f>100-(M933+O933)</f>
        <v>12.319999999999993</v>
      </c>
      <c r="O933" s="3">
        <f>L933/C933*100</f>
        <v>29.28</v>
      </c>
      <c r="P933" s="1" t="s">
        <v>2</v>
      </c>
      <c r="Q933" s="15">
        <v>407377.1</v>
      </c>
      <c r="R933" s="15">
        <v>3660002.5</v>
      </c>
      <c r="S933" s="1"/>
    </row>
    <row r="934" spans="1:19" x14ac:dyDescent="0.25">
      <c r="A934" s="4">
        <v>156</v>
      </c>
      <c r="B934">
        <v>60</v>
      </c>
      <c r="C934">
        <v>50</v>
      </c>
      <c r="D934">
        <v>20</v>
      </c>
      <c r="E934" s="3">
        <v>25</v>
      </c>
      <c r="F934" s="3">
        <f>1.8*E934+32</f>
        <v>77</v>
      </c>
      <c r="G934" s="3">
        <v>21</v>
      </c>
      <c r="H934" s="3">
        <f>IF(F934&gt;68,G934+(F934-68)*0.2,G1079-(68-F934)*0.2)</f>
        <v>22.8</v>
      </c>
      <c r="I934" s="3">
        <v>24</v>
      </c>
      <c r="J934" s="3">
        <f>1.8*I934+32</f>
        <v>75.2</v>
      </c>
      <c r="K934" s="3">
        <v>13</v>
      </c>
      <c r="L934" s="3">
        <f>IF(J934&gt;67,K934+(J934-67)*0.2,K934-(67-J934)*0.2)</f>
        <v>14.64</v>
      </c>
      <c r="M934" s="3">
        <f>(C934-H934)/C934*100</f>
        <v>54.400000000000006</v>
      </c>
      <c r="N934" s="3">
        <f>100-(M934+O934)</f>
        <v>16.319999999999993</v>
      </c>
      <c r="O934" s="3">
        <f>L934/C934*100</f>
        <v>29.28</v>
      </c>
      <c r="P934" s="1" t="s">
        <v>2</v>
      </c>
      <c r="Q934" s="15">
        <v>407377.1</v>
      </c>
      <c r="R934" s="15">
        <v>3660002.5</v>
      </c>
      <c r="S934" s="1"/>
    </row>
    <row r="935" spans="1:19" x14ac:dyDescent="0.25">
      <c r="A935" s="4">
        <v>156</v>
      </c>
      <c r="B935">
        <v>90</v>
      </c>
      <c r="C935">
        <v>50</v>
      </c>
      <c r="D935">
        <v>20</v>
      </c>
      <c r="E935" s="3">
        <v>26</v>
      </c>
      <c r="F935" s="3">
        <f>1.8*E935+32</f>
        <v>78.800000000000011</v>
      </c>
      <c r="G935" s="3">
        <v>16</v>
      </c>
      <c r="H935" s="3">
        <f>IF(F935&gt;68,G935+(F935-68)*0.2,G1080-(68-F935)*0.2)</f>
        <v>18.160000000000004</v>
      </c>
      <c r="I935" s="3">
        <v>24.5</v>
      </c>
      <c r="J935" s="3">
        <f>1.8*I935+32</f>
        <v>76.099999999999994</v>
      </c>
      <c r="K935" s="3">
        <v>9</v>
      </c>
      <c r="L935" s="3">
        <f>IF(J935&gt;67,K935+(J935-67)*0.2,K935-(67-J935)*0.2)</f>
        <v>10.819999999999999</v>
      </c>
      <c r="M935" s="3">
        <f>(C935-H935)/C935*100</f>
        <v>63.679999999999993</v>
      </c>
      <c r="N935" s="3">
        <f>100-(M935+O935)</f>
        <v>14.680000000000007</v>
      </c>
      <c r="O935" s="3">
        <f>L935/C935*100</f>
        <v>21.639999999999997</v>
      </c>
      <c r="P935" s="1" t="s">
        <v>2</v>
      </c>
      <c r="Q935" s="15">
        <v>407377.1</v>
      </c>
      <c r="R935" s="15">
        <v>3660002.5</v>
      </c>
      <c r="S935" s="1"/>
    </row>
    <row r="936" spans="1:19" x14ac:dyDescent="0.25">
      <c r="A936" s="4">
        <v>156</v>
      </c>
      <c r="B936">
        <v>120</v>
      </c>
      <c r="C936">
        <v>50</v>
      </c>
      <c r="D936">
        <v>20</v>
      </c>
      <c r="E936" s="3">
        <v>27</v>
      </c>
      <c r="F936" s="3">
        <f>1.8*E936+32</f>
        <v>80.599999999999994</v>
      </c>
      <c r="G936" s="3">
        <v>13</v>
      </c>
      <c r="H936" s="3">
        <f>IF(F936&gt;68,G936+(F936-68)*0.2,G1081-(68-F936)*0.2)</f>
        <v>15.52</v>
      </c>
      <c r="I936" s="3">
        <v>25</v>
      </c>
      <c r="J936" s="3">
        <f>1.8*I936+32</f>
        <v>77</v>
      </c>
      <c r="K936" s="3">
        <v>7</v>
      </c>
      <c r="L936" s="3">
        <f>IF(J936&gt;67,K936+(J936-67)*0.2,K936-(67-J936)*0.2)</f>
        <v>9</v>
      </c>
      <c r="M936" s="3">
        <f>(C936-H936)/C936*100</f>
        <v>68.960000000000008</v>
      </c>
      <c r="N936" s="3">
        <f>100-(M936+O936)</f>
        <v>13.039999999999992</v>
      </c>
      <c r="O936" s="3">
        <f>L936/C936*100</f>
        <v>18</v>
      </c>
      <c r="P936" s="1" t="s">
        <v>0</v>
      </c>
      <c r="Q936" s="15">
        <v>407377.1</v>
      </c>
      <c r="R936" s="15">
        <v>3660002.5</v>
      </c>
      <c r="S936" s="1"/>
    </row>
    <row r="937" spans="1:19" x14ac:dyDescent="0.25">
      <c r="A937" s="4">
        <v>156</v>
      </c>
      <c r="B937">
        <v>150</v>
      </c>
      <c r="C937">
        <v>50</v>
      </c>
      <c r="D937">
        <v>20</v>
      </c>
      <c r="E937" s="3">
        <v>25</v>
      </c>
      <c r="F937" s="3">
        <f>1.8*E937+32</f>
        <v>77</v>
      </c>
      <c r="G937" s="3">
        <v>11</v>
      </c>
      <c r="H937" s="3">
        <f>IF(F937&gt;68,G937+(F937-68)*0.2,G1082-(68-F937)*0.2)</f>
        <v>12.8</v>
      </c>
      <c r="I937" s="3">
        <v>24</v>
      </c>
      <c r="J937" s="3">
        <f>1.8*I937+32</f>
        <v>75.2</v>
      </c>
      <c r="K937" s="3">
        <v>6</v>
      </c>
      <c r="L937" s="3">
        <f>IF(J937&gt;67,K937+(J937-67)*0.2,K937-(67-J937)*0.2)</f>
        <v>7.6400000000000006</v>
      </c>
      <c r="M937" s="3">
        <f>(C937-H937)/C937*100</f>
        <v>74.400000000000006</v>
      </c>
      <c r="N937" s="3">
        <f>100-(M937+O937)</f>
        <v>10.319999999999993</v>
      </c>
      <c r="O937" s="3">
        <f>L937/C937*100</f>
        <v>15.280000000000001</v>
      </c>
      <c r="P937" s="1" t="s">
        <v>0</v>
      </c>
      <c r="Q937" s="15">
        <v>407377.1</v>
      </c>
      <c r="R937" s="15">
        <v>3660002.5</v>
      </c>
      <c r="S937" s="1"/>
    </row>
    <row r="938" spans="1:19" x14ac:dyDescent="0.25">
      <c r="A938" s="4">
        <v>156</v>
      </c>
      <c r="B938">
        <v>180</v>
      </c>
      <c r="C938">
        <v>50</v>
      </c>
      <c r="D938">
        <v>20</v>
      </c>
      <c r="E938" s="3">
        <v>25.5</v>
      </c>
      <c r="F938" s="3">
        <f>1.8*E938+32</f>
        <v>77.900000000000006</v>
      </c>
      <c r="G938" s="3">
        <v>16</v>
      </c>
      <c r="H938" s="3">
        <f>IF(F938&gt;68,G938+(F938-68)*0.2,G1083-(68-F938)*0.2)</f>
        <v>17.98</v>
      </c>
      <c r="I938" s="3">
        <v>24</v>
      </c>
      <c r="J938" s="3">
        <f>1.8*I938+32</f>
        <v>75.2</v>
      </c>
      <c r="K938" s="3">
        <v>10</v>
      </c>
      <c r="L938" s="3">
        <f>IF(J938&gt;67,K938+(J938-67)*0.2,K938-(67-J938)*0.2)</f>
        <v>11.64</v>
      </c>
      <c r="M938" s="3">
        <f>(C938-H938)/C938*100</f>
        <v>64.039999999999992</v>
      </c>
      <c r="N938" s="3">
        <f>100-(M938+O938)</f>
        <v>12.680000000000007</v>
      </c>
      <c r="O938" s="3">
        <f>L938/C938*100</f>
        <v>23.28</v>
      </c>
      <c r="P938" s="1" t="s">
        <v>2</v>
      </c>
      <c r="Q938" s="15">
        <v>407377.1</v>
      </c>
      <c r="R938" s="15">
        <v>3660002.5</v>
      </c>
      <c r="S938" s="1"/>
    </row>
    <row r="939" spans="1:19" x14ac:dyDescent="0.25">
      <c r="A939" s="4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1"/>
      <c r="Q939" s="18"/>
      <c r="R939" s="18"/>
      <c r="S939" s="1"/>
    </row>
    <row r="940" spans="1:19" ht="51.75" x14ac:dyDescent="0.25">
      <c r="A940" s="14" t="s">
        <v>21</v>
      </c>
      <c r="B940" s="9" t="s">
        <v>20</v>
      </c>
      <c r="C940" s="13" t="s">
        <v>19</v>
      </c>
      <c r="D940" s="12" t="s">
        <v>18</v>
      </c>
      <c r="E940" s="11" t="s">
        <v>17</v>
      </c>
      <c r="F940" s="11" t="s">
        <v>16</v>
      </c>
      <c r="G940" s="11" t="s">
        <v>15</v>
      </c>
      <c r="H940" s="11" t="s">
        <v>14</v>
      </c>
      <c r="I940" s="11" t="s">
        <v>13</v>
      </c>
      <c r="J940" s="11" t="s">
        <v>12</v>
      </c>
      <c r="K940" s="11" t="s">
        <v>11</v>
      </c>
      <c r="L940" s="11" t="s">
        <v>10</v>
      </c>
      <c r="M940" s="10" t="s">
        <v>9</v>
      </c>
      <c r="N940" s="10" t="s">
        <v>8</v>
      </c>
      <c r="O940" s="10" t="s">
        <v>7</v>
      </c>
      <c r="P940" s="9" t="s">
        <v>6</v>
      </c>
      <c r="Q940" s="8" t="s">
        <v>5</v>
      </c>
      <c r="R940" s="7"/>
      <c r="S940" s="6"/>
    </row>
    <row r="941" spans="1:19" x14ac:dyDescent="0.25"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1"/>
      <c r="Q941" s="5" t="s">
        <v>4</v>
      </c>
      <c r="R941" s="5" t="s">
        <v>3</v>
      </c>
      <c r="S941" s="1"/>
    </row>
    <row r="942" spans="1:19" x14ac:dyDescent="0.25">
      <c r="A942" s="4">
        <v>157</v>
      </c>
      <c r="B942">
        <v>30</v>
      </c>
      <c r="C942">
        <v>50</v>
      </c>
      <c r="D942">
        <v>20</v>
      </c>
      <c r="E942" s="3">
        <v>26</v>
      </c>
      <c r="F942" s="3">
        <f>1.8*E942+32</f>
        <v>78.800000000000011</v>
      </c>
      <c r="G942" s="3">
        <v>18</v>
      </c>
      <c r="H942" s="3">
        <f>IF(F942&gt;68,G942+(F942-68)*0.2,G1086-(68-F942)*0.2)</f>
        <v>20.160000000000004</v>
      </c>
      <c r="I942" s="3">
        <v>24</v>
      </c>
      <c r="J942" s="3">
        <f>1.8*I942+32</f>
        <v>75.2</v>
      </c>
      <c r="K942" s="3">
        <v>11</v>
      </c>
      <c r="L942" s="3">
        <f>IF(J942&gt;67,K942+(J942-67)*0.2,K942-(67-J942)*0.2)</f>
        <v>12.64</v>
      </c>
      <c r="M942" s="3">
        <f>(C942-H942)/C942*100</f>
        <v>59.679999999999986</v>
      </c>
      <c r="N942" s="3">
        <f>100-(M942+O942)</f>
        <v>15.04000000000002</v>
      </c>
      <c r="O942" s="3">
        <f>L942/C942*100</f>
        <v>25.28</v>
      </c>
      <c r="P942" s="1" t="s">
        <v>2</v>
      </c>
      <c r="Q942" s="15">
        <v>407377.1</v>
      </c>
      <c r="R942" s="15">
        <v>3660029</v>
      </c>
      <c r="S942" s="1"/>
    </row>
    <row r="943" spans="1:19" x14ac:dyDescent="0.25">
      <c r="A943" s="4">
        <v>157</v>
      </c>
      <c r="B943">
        <v>60</v>
      </c>
      <c r="C943">
        <v>50</v>
      </c>
      <c r="D943">
        <v>20</v>
      </c>
      <c r="E943" s="3">
        <v>27</v>
      </c>
      <c r="F943" s="3">
        <f>1.8*E943+32</f>
        <v>80.599999999999994</v>
      </c>
      <c r="G943" s="3">
        <v>20</v>
      </c>
      <c r="H943" s="3">
        <f>IF(F943&gt;68,G943+(F943-68)*0.2,G1087-(68-F943)*0.2)</f>
        <v>22.52</v>
      </c>
      <c r="I943" s="3">
        <v>24</v>
      </c>
      <c r="J943" s="3">
        <f>1.8*I943+32</f>
        <v>75.2</v>
      </c>
      <c r="K943" s="3">
        <v>13</v>
      </c>
      <c r="L943" s="3">
        <f>IF(J943&gt;67,K943+(J943-67)*0.2,K943-(67-J943)*0.2)</f>
        <v>14.64</v>
      </c>
      <c r="M943" s="3">
        <f>(C943-H943)/C943*100</f>
        <v>54.96</v>
      </c>
      <c r="N943" s="3">
        <f>100-(M943+O943)</f>
        <v>15.759999999999991</v>
      </c>
      <c r="O943" s="3">
        <f>L943/C943*100</f>
        <v>29.28</v>
      </c>
      <c r="P943" s="1" t="s">
        <v>2</v>
      </c>
      <c r="Q943" s="15">
        <v>407377.1</v>
      </c>
      <c r="R943" s="15">
        <v>3660029</v>
      </c>
      <c r="S943" s="1"/>
    </row>
    <row r="944" spans="1:19" x14ac:dyDescent="0.25">
      <c r="A944" s="4">
        <v>157</v>
      </c>
      <c r="B944">
        <v>90</v>
      </c>
      <c r="C944">
        <v>50</v>
      </c>
      <c r="D944">
        <v>20</v>
      </c>
      <c r="E944" s="3">
        <v>26</v>
      </c>
      <c r="F944" s="3">
        <f>1.8*E944+32</f>
        <v>78.800000000000011</v>
      </c>
      <c r="G944" s="3">
        <v>19</v>
      </c>
      <c r="H944" s="3">
        <f>IF(F944&gt;68,G944+(F944-68)*0.2,G1088-(68-F944)*0.2)</f>
        <v>21.160000000000004</v>
      </c>
      <c r="I944" s="3">
        <v>23.5</v>
      </c>
      <c r="J944" s="3">
        <f>1.8*I944+32</f>
        <v>74.300000000000011</v>
      </c>
      <c r="K944" s="3">
        <v>12</v>
      </c>
      <c r="L944" s="3">
        <f>IF(J944&gt;67,K944+(J944-67)*0.2,K944-(67-J944)*0.2)</f>
        <v>13.460000000000003</v>
      </c>
      <c r="M944" s="3">
        <f>(C944-H944)/C944*100</f>
        <v>57.68</v>
      </c>
      <c r="N944" s="3">
        <f>100-(M944+O944)</f>
        <v>15.399999999999991</v>
      </c>
      <c r="O944" s="3">
        <f>L944/C944*100</f>
        <v>26.920000000000005</v>
      </c>
      <c r="P944" s="1" t="s">
        <v>2</v>
      </c>
      <c r="Q944" s="15">
        <v>407377.1</v>
      </c>
      <c r="R944" s="15">
        <v>3660029</v>
      </c>
      <c r="S944" s="1"/>
    </row>
    <row r="945" spans="1:19" x14ac:dyDescent="0.25">
      <c r="A945" s="4">
        <v>157</v>
      </c>
      <c r="B945">
        <v>120</v>
      </c>
      <c r="C945">
        <v>50</v>
      </c>
      <c r="D945">
        <v>20</v>
      </c>
      <c r="E945" s="3">
        <v>25.5</v>
      </c>
      <c r="F945" s="3">
        <f>1.8*E945+32</f>
        <v>77.900000000000006</v>
      </c>
      <c r="G945" s="3">
        <v>19</v>
      </c>
      <c r="H945" s="3">
        <f>IF(F945&gt;68,G945+(F945-68)*0.2,G1089-(68-F945)*0.2)</f>
        <v>20.98</v>
      </c>
      <c r="I945" s="3">
        <v>23.5</v>
      </c>
      <c r="J945" s="3">
        <f>1.8*I945+32</f>
        <v>74.300000000000011</v>
      </c>
      <c r="K945" s="3">
        <v>12</v>
      </c>
      <c r="L945" s="3">
        <f>IF(J945&gt;67,K945+(J945-67)*0.2,K945-(67-J945)*0.2)</f>
        <v>13.460000000000003</v>
      </c>
      <c r="M945" s="3">
        <f>(C945-H945)/C945*100</f>
        <v>58.040000000000006</v>
      </c>
      <c r="N945" s="3">
        <f>100-(M945+O945)</f>
        <v>15.039999999999992</v>
      </c>
      <c r="O945" s="3">
        <f>L945/C945*100</f>
        <v>26.920000000000005</v>
      </c>
      <c r="P945" s="1" t="s">
        <v>2</v>
      </c>
      <c r="Q945" s="15">
        <v>407377.1</v>
      </c>
      <c r="R945" s="15">
        <v>3660029</v>
      </c>
      <c r="S945" s="1"/>
    </row>
    <row r="946" spans="1:19" x14ac:dyDescent="0.25">
      <c r="A946" s="4">
        <v>157</v>
      </c>
      <c r="B946">
        <v>150</v>
      </c>
      <c r="C946">
        <v>50</v>
      </c>
      <c r="D946">
        <v>20</v>
      </c>
      <c r="E946" s="3">
        <v>26</v>
      </c>
      <c r="F946" s="3">
        <f>1.8*E946+32</f>
        <v>78.800000000000011</v>
      </c>
      <c r="G946" s="3">
        <v>20</v>
      </c>
      <c r="H946" s="3">
        <f>IF(F946&gt;68,G946+(F946-68)*0.2,G1090-(68-F946)*0.2)</f>
        <v>22.160000000000004</v>
      </c>
      <c r="I946" s="3">
        <v>23.5</v>
      </c>
      <c r="J946" s="3">
        <f>1.8*I946+32</f>
        <v>74.300000000000011</v>
      </c>
      <c r="K946" s="3">
        <v>13</v>
      </c>
      <c r="L946" s="3">
        <f>IF(J946&gt;67,K946+(J946-67)*0.2,K946-(67-J946)*0.2)</f>
        <v>14.460000000000003</v>
      </c>
      <c r="M946" s="3">
        <f>(C946-H946)/C946*100</f>
        <v>55.679999999999993</v>
      </c>
      <c r="N946" s="3">
        <f>100-(M946+O946)</f>
        <v>15.400000000000006</v>
      </c>
      <c r="O946" s="3">
        <f>L946/C946*100</f>
        <v>28.920000000000005</v>
      </c>
      <c r="P946" s="1" t="s">
        <v>2</v>
      </c>
      <c r="Q946" s="15">
        <v>407377.1</v>
      </c>
      <c r="R946" s="15">
        <v>3660029</v>
      </c>
      <c r="S946" s="1"/>
    </row>
    <row r="947" spans="1:19" x14ac:dyDescent="0.25">
      <c r="A947" s="4">
        <v>157</v>
      </c>
      <c r="B947">
        <v>180</v>
      </c>
      <c r="C947">
        <v>50</v>
      </c>
      <c r="D947">
        <v>20</v>
      </c>
      <c r="E947" s="3">
        <v>27</v>
      </c>
      <c r="F947" s="3">
        <f>1.8*E947+32</f>
        <v>80.599999999999994</v>
      </c>
      <c r="G947" s="3">
        <v>18</v>
      </c>
      <c r="H947" s="3">
        <f>IF(F947&gt;68,G947+(F947-68)*0.2,G1091-(68-F947)*0.2)</f>
        <v>20.52</v>
      </c>
      <c r="I947" s="3">
        <v>23.5</v>
      </c>
      <c r="J947" s="3">
        <f>1.8*I947+32</f>
        <v>74.300000000000011</v>
      </c>
      <c r="K947" s="3">
        <v>11</v>
      </c>
      <c r="L947" s="3">
        <f>IF(J947&gt;67,K947+(J947-67)*0.2,K947-(67-J947)*0.2)</f>
        <v>12.460000000000003</v>
      </c>
      <c r="M947" s="3">
        <f>(C947-H947)/C947*100</f>
        <v>58.96</v>
      </c>
      <c r="N947" s="3">
        <f>100-(M947+O947)</f>
        <v>16.11999999999999</v>
      </c>
      <c r="O947" s="3">
        <f>L947/C947*100</f>
        <v>24.920000000000005</v>
      </c>
      <c r="P947" s="1" t="s">
        <v>2</v>
      </c>
      <c r="Q947" s="15">
        <v>407377.1</v>
      </c>
      <c r="R947" s="15">
        <v>3660029</v>
      </c>
      <c r="S947" s="1"/>
    </row>
    <row r="948" spans="1:19" x14ac:dyDescent="0.25">
      <c r="A948" s="4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1"/>
      <c r="Q948" s="18"/>
      <c r="R948" s="18"/>
      <c r="S948" s="1"/>
    </row>
    <row r="949" spans="1:19" ht="51.75" x14ac:dyDescent="0.25">
      <c r="A949" s="14" t="s">
        <v>21</v>
      </c>
      <c r="B949" s="9" t="s">
        <v>20</v>
      </c>
      <c r="C949" s="13" t="s">
        <v>19</v>
      </c>
      <c r="D949" s="12" t="s">
        <v>18</v>
      </c>
      <c r="E949" s="11" t="s">
        <v>17</v>
      </c>
      <c r="F949" s="11" t="s">
        <v>16</v>
      </c>
      <c r="G949" s="11" t="s">
        <v>15</v>
      </c>
      <c r="H949" s="11" t="s">
        <v>14</v>
      </c>
      <c r="I949" s="11" t="s">
        <v>13</v>
      </c>
      <c r="J949" s="11" t="s">
        <v>12</v>
      </c>
      <c r="K949" s="11" t="s">
        <v>11</v>
      </c>
      <c r="L949" s="11" t="s">
        <v>10</v>
      </c>
      <c r="M949" s="10" t="s">
        <v>9</v>
      </c>
      <c r="N949" s="10" t="s">
        <v>8</v>
      </c>
      <c r="O949" s="10" t="s">
        <v>7</v>
      </c>
      <c r="P949" s="9" t="s">
        <v>6</v>
      </c>
      <c r="Q949" s="8" t="s">
        <v>5</v>
      </c>
      <c r="R949" s="7"/>
      <c r="S949" s="6"/>
    </row>
    <row r="950" spans="1:19" x14ac:dyDescent="0.25">
      <c r="C950" s="16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1"/>
      <c r="Q950" s="5" t="s">
        <v>4</v>
      </c>
      <c r="R950" s="5" t="s">
        <v>3</v>
      </c>
      <c r="S950" s="1"/>
    </row>
    <row r="951" spans="1:19" x14ac:dyDescent="0.25">
      <c r="A951" s="4">
        <v>161</v>
      </c>
      <c r="B951">
        <v>30</v>
      </c>
      <c r="C951" s="16">
        <v>50</v>
      </c>
      <c r="D951">
        <v>20</v>
      </c>
      <c r="E951" s="3">
        <v>25</v>
      </c>
      <c r="F951" s="3">
        <f>1.8*E951+32</f>
        <v>77</v>
      </c>
      <c r="G951" s="3">
        <v>20</v>
      </c>
      <c r="H951" s="3">
        <f>IF(F951&gt;68,G951+(F951-68)*0.2,G1094-(68-F951)*0.2)</f>
        <v>21.8</v>
      </c>
      <c r="I951" s="3">
        <v>23</v>
      </c>
      <c r="J951" s="3">
        <f>1.8*I951+32</f>
        <v>73.400000000000006</v>
      </c>
      <c r="K951" s="3">
        <v>10</v>
      </c>
      <c r="L951" s="3">
        <f>IF(J951&gt;68,K951+(J951-68)*0.2,K951-(68-J951)*0.2)</f>
        <v>11.080000000000002</v>
      </c>
      <c r="M951" s="3">
        <f>(C951-H951)/C951*100</f>
        <v>56.399999999999991</v>
      </c>
      <c r="N951" s="3">
        <f>100-(M951+O951)</f>
        <v>21.439999999999998</v>
      </c>
      <c r="O951" s="3">
        <f>L951/C951*100</f>
        <v>22.160000000000004</v>
      </c>
      <c r="P951" s="1" t="s">
        <v>2</v>
      </c>
      <c r="Q951" s="15">
        <v>407362.87599999999</v>
      </c>
      <c r="R951" s="15">
        <v>3659870</v>
      </c>
      <c r="S951" s="1"/>
    </row>
    <row r="952" spans="1:19" x14ac:dyDescent="0.25">
      <c r="A952" s="4">
        <v>161</v>
      </c>
      <c r="B952">
        <v>60</v>
      </c>
      <c r="C952" s="16">
        <v>50</v>
      </c>
      <c r="D952">
        <v>20</v>
      </c>
      <c r="E952" s="3">
        <v>25</v>
      </c>
      <c r="F952" s="3">
        <f>1.8*E952+32</f>
        <v>77</v>
      </c>
      <c r="G952" s="3">
        <v>18</v>
      </c>
      <c r="H952" s="3">
        <f>IF(F952&gt;68,G952+(F952-68)*0.2,G1095-(68-F952)*0.2)</f>
        <v>19.8</v>
      </c>
      <c r="I952" s="3">
        <v>23</v>
      </c>
      <c r="J952" s="3">
        <f>1.8*I952+32</f>
        <v>73.400000000000006</v>
      </c>
      <c r="K952" s="3">
        <v>10</v>
      </c>
      <c r="L952" s="3">
        <f>IF(J952&gt;68,K952+(J952-68)*0.2,K952-(68-J952)*0.2)</f>
        <v>11.080000000000002</v>
      </c>
      <c r="M952" s="3">
        <f>(C952-H952)/C952*100</f>
        <v>60.4</v>
      </c>
      <c r="N952" s="3">
        <f>100-(M952+O952)</f>
        <v>17.439999999999998</v>
      </c>
      <c r="O952" s="3">
        <f>L952/C952*100</f>
        <v>22.160000000000004</v>
      </c>
      <c r="P952" s="1" t="s">
        <v>2</v>
      </c>
      <c r="Q952" s="15">
        <v>407362.87599999999</v>
      </c>
      <c r="R952" s="15">
        <v>3659870</v>
      </c>
      <c r="S952" s="1"/>
    </row>
    <row r="953" spans="1:19" x14ac:dyDescent="0.25">
      <c r="A953" s="4">
        <v>161</v>
      </c>
      <c r="B953">
        <v>90</v>
      </c>
      <c r="C953" s="16">
        <v>50</v>
      </c>
      <c r="D953">
        <v>20</v>
      </c>
      <c r="E953" s="3">
        <v>26</v>
      </c>
      <c r="F953" s="3">
        <f>1.8*E953+32</f>
        <v>78.800000000000011</v>
      </c>
      <c r="G953" s="3">
        <v>16</v>
      </c>
      <c r="H953" s="3">
        <f>IF(F953&gt;68,G953+(F953-68)*0.2,G1096-(68-F953)*0.2)</f>
        <v>18.160000000000004</v>
      </c>
      <c r="I953" s="3">
        <v>23</v>
      </c>
      <c r="J953" s="3">
        <f>1.8*I953+32</f>
        <v>73.400000000000006</v>
      </c>
      <c r="K953" s="3">
        <v>8</v>
      </c>
      <c r="L953" s="3">
        <f>IF(J953&gt;68,K953+(J953-68)*0.2,K953-(68-J953)*0.2)</f>
        <v>9.0800000000000018</v>
      </c>
      <c r="M953" s="3">
        <f>(C953-H953)/C953*100</f>
        <v>63.679999999999993</v>
      </c>
      <c r="N953" s="3">
        <f>100-(M953+O953)</f>
        <v>18.159999999999997</v>
      </c>
      <c r="O953" s="3">
        <f>L953/C953*100</f>
        <v>18.160000000000004</v>
      </c>
      <c r="P953" s="1" t="s">
        <v>0</v>
      </c>
      <c r="Q953" s="15">
        <v>407362.87599999999</v>
      </c>
      <c r="R953" s="15">
        <v>3659870</v>
      </c>
      <c r="S953" s="1"/>
    </row>
    <row r="954" spans="1:19" x14ac:dyDescent="0.25">
      <c r="A954" s="4">
        <v>161</v>
      </c>
      <c r="B954">
        <v>120</v>
      </c>
      <c r="C954" s="16">
        <v>50</v>
      </c>
      <c r="D954">
        <v>20</v>
      </c>
      <c r="E954" s="3">
        <v>27</v>
      </c>
      <c r="F954" s="3">
        <f>1.8*E954+32</f>
        <v>80.599999999999994</v>
      </c>
      <c r="G954" s="3">
        <v>11</v>
      </c>
      <c r="H954" s="3">
        <f>IF(F954&gt;68,G954+(F954-68)*0.2,G1097-(68-F954)*0.2)</f>
        <v>13.52</v>
      </c>
      <c r="I954" s="3">
        <v>24</v>
      </c>
      <c r="J954" s="3">
        <f>1.8*I954+32</f>
        <v>75.2</v>
      </c>
      <c r="K954" s="3">
        <v>7</v>
      </c>
      <c r="L954" s="3">
        <f>IF(J954&gt;68,K954+(J954-68)*0.2,K954-(68-J954)*0.2)</f>
        <v>8.4400000000000013</v>
      </c>
      <c r="M954" s="3">
        <f>(C954-H954)/C954*100</f>
        <v>72.960000000000008</v>
      </c>
      <c r="N954" s="3">
        <f>100-(M954+O954)</f>
        <v>10.159999999999997</v>
      </c>
      <c r="O954" s="3">
        <f>L954/C954*100</f>
        <v>16.880000000000003</v>
      </c>
      <c r="P954" s="1" t="s">
        <v>0</v>
      </c>
      <c r="Q954" s="15">
        <v>407362.87599999999</v>
      </c>
      <c r="R954" s="15">
        <v>3659870</v>
      </c>
      <c r="S954" s="1"/>
    </row>
    <row r="955" spans="1:19" x14ac:dyDescent="0.25">
      <c r="A955" s="4">
        <v>161</v>
      </c>
      <c r="B955">
        <v>150</v>
      </c>
      <c r="C955" s="16">
        <v>50</v>
      </c>
      <c r="D955">
        <v>20</v>
      </c>
      <c r="E955" s="3">
        <v>25</v>
      </c>
      <c r="F955" s="3">
        <f>1.8*E955+32</f>
        <v>77</v>
      </c>
      <c r="G955" s="3">
        <v>10</v>
      </c>
      <c r="H955" s="3">
        <f>IF(F955&gt;68,G955+(F955-68)*0.2,G1098-(68-F955)*0.2)</f>
        <v>11.8</v>
      </c>
      <c r="I955" s="3">
        <v>23</v>
      </c>
      <c r="J955" s="3">
        <f>1.8*I955+32</f>
        <v>73.400000000000006</v>
      </c>
      <c r="K955" s="3">
        <v>6</v>
      </c>
      <c r="L955" s="3">
        <f>IF(J955&gt;68,K955+(J955-68)*0.2,K955-(68-J955)*0.2)</f>
        <v>7.080000000000001</v>
      </c>
      <c r="M955" s="3">
        <f>(C955-H955)/C955*100</f>
        <v>76.400000000000006</v>
      </c>
      <c r="N955" s="3">
        <f>100-(M955+O955)</f>
        <v>9.4399999999999977</v>
      </c>
      <c r="O955" s="3">
        <f>L955/C955*100</f>
        <v>14.160000000000004</v>
      </c>
      <c r="P955" s="1" t="s">
        <v>0</v>
      </c>
      <c r="Q955" s="15">
        <v>407362.87599999999</v>
      </c>
      <c r="R955" s="15">
        <v>3659870</v>
      </c>
      <c r="S955" s="1"/>
    </row>
    <row r="956" spans="1:19" x14ac:dyDescent="0.25">
      <c r="A956" s="4">
        <v>161</v>
      </c>
      <c r="B956">
        <v>180</v>
      </c>
      <c r="C956" s="16">
        <v>50</v>
      </c>
      <c r="D956">
        <v>20</v>
      </c>
      <c r="E956" s="3">
        <v>25.5</v>
      </c>
      <c r="F956" s="3">
        <f>1.8*E956+32</f>
        <v>77.900000000000006</v>
      </c>
      <c r="G956" s="3">
        <v>16</v>
      </c>
      <c r="H956" s="3">
        <f>IF(F956&gt;68,G956+(F956-68)*0.2,G1099-(68-F956)*0.2)</f>
        <v>17.98</v>
      </c>
      <c r="I956" s="3">
        <v>23</v>
      </c>
      <c r="J956" s="3">
        <f>1.8*I956+32</f>
        <v>73.400000000000006</v>
      </c>
      <c r="K956" s="3">
        <v>7</v>
      </c>
      <c r="L956" s="3">
        <f>IF(J956&gt;68,K956+(J956-68)*0.2,K956-(68-J956)*0.2)</f>
        <v>8.0800000000000018</v>
      </c>
      <c r="M956" s="3">
        <f>(C956-H956)/C956*100</f>
        <v>64.039999999999992</v>
      </c>
      <c r="N956" s="3">
        <f>100-(M956+O956)</f>
        <v>19.800000000000011</v>
      </c>
      <c r="O956" s="3">
        <f>L956/C956*100</f>
        <v>16.160000000000004</v>
      </c>
      <c r="P956" s="1" t="s">
        <v>0</v>
      </c>
      <c r="Q956" s="15">
        <v>407362.87599999999</v>
      </c>
      <c r="R956" s="15">
        <v>3659870</v>
      </c>
      <c r="S956" s="1"/>
    </row>
    <row r="957" spans="1:19" x14ac:dyDescent="0.25">
      <c r="Q957" s="18"/>
      <c r="R957" s="18"/>
    </row>
    <row r="958" spans="1:19" ht="51.75" x14ac:dyDescent="0.25">
      <c r="A958" s="14" t="s">
        <v>21</v>
      </c>
      <c r="B958" s="9" t="s">
        <v>20</v>
      </c>
      <c r="C958" s="13" t="s">
        <v>19</v>
      </c>
      <c r="D958" s="12" t="s">
        <v>18</v>
      </c>
      <c r="E958" s="11" t="s">
        <v>17</v>
      </c>
      <c r="F958" s="11" t="s">
        <v>16</v>
      </c>
      <c r="G958" s="11" t="s">
        <v>15</v>
      </c>
      <c r="H958" s="11" t="s">
        <v>14</v>
      </c>
      <c r="I958" s="11" t="s">
        <v>13</v>
      </c>
      <c r="J958" s="11" t="s">
        <v>12</v>
      </c>
      <c r="K958" s="11" t="s">
        <v>11</v>
      </c>
      <c r="L958" s="11" t="s">
        <v>10</v>
      </c>
      <c r="M958" s="10" t="s">
        <v>9</v>
      </c>
      <c r="N958" s="10" t="s">
        <v>8</v>
      </c>
      <c r="O958" s="10" t="s">
        <v>7</v>
      </c>
      <c r="P958" s="9" t="s">
        <v>6</v>
      </c>
      <c r="Q958" s="8" t="s">
        <v>5</v>
      </c>
      <c r="R958" s="7"/>
      <c r="S958" s="6"/>
    </row>
    <row r="959" spans="1:19" x14ac:dyDescent="0.25"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1"/>
      <c r="Q959" s="5" t="s">
        <v>4</v>
      </c>
      <c r="R959" s="5" t="s">
        <v>3</v>
      </c>
      <c r="S959" s="1"/>
    </row>
    <row r="960" spans="1:19" x14ac:dyDescent="0.25">
      <c r="A960" s="4">
        <v>162</v>
      </c>
      <c r="B960">
        <v>30</v>
      </c>
      <c r="C960">
        <v>50</v>
      </c>
      <c r="D960">
        <v>20</v>
      </c>
      <c r="E960" s="3">
        <v>26</v>
      </c>
      <c r="F960" s="3">
        <f>1.8*E960+32</f>
        <v>78.800000000000011</v>
      </c>
      <c r="G960" s="3">
        <v>25</v>
      </c>
      <c r="H960" s="3">
        <f>IF(F960&gt;68,G960+(F960-68)*0.2,G1103-(68-F960)*0.2)</f>
        <v>27.160000000000004</v>
      </c>
      <c r="I960" s="3">
        <v>23</v>
      </c>
      <c r="J960" s="3">
        <f>1.8*I960+32</f>
        <v>73.400000000000006</v>
      </c>
      <c r="K960" s="3">
        <v>15</v>
      </c>
      <c r="L960" s="3">
        <f>IF(J960&gt;67,K960+(J960-67)*0.2,K960-(67-J960)*0.2)</f>
        <v>16.28</v>
      </c>
      <c r="M960" s="3">
        <f>(C960-H960)/C960*100</f>
        <v>45.679999999999993</v>
      </c>
      <c r="N960" s="3">
        <f>100-(M960+O960)</f>
        <v>21.760000000000005</v>
      </c>
      <c r="O960" s="3">
        <f>L960/C960*100</f>
        <v>32.56</v>
      </c>
      <c r="P960" s="1" t="s">
        <v>2</v>
      </c>
      <c r="Q960" s="15">
        <v>407362.87599999999</v>
      </c>
      <c r="R960" s="15">
        <v>3659896.5</v>
      </c>
      <c r="S960" s="1"/>
    </row>
    <row r="961" spans="1:20" x14ac:dyDescent="0.25">
      <c r="A961" s="4">
        <v>162</v>
      </c>
      <c r="B961">
        <v>60</v>
      </c>
      <c r="C961">
        <v>50</v>
      </c>
      <c r="D961">
        <v>20</v>
      </c>
      <c r="E961" s="3">
        <v>26</v>
      </c>
      <c r="F961" s="3">
        <f>1.8*E961+32</f>
        <v>78.800000000000011</v>
      </c>
      <c r="G961" s="3">
        <v>18</v>
      </c>
      <c r="H961" s="3">
        <f>IF(F961&gt;68,G961+(F961-68)*0.2,G1104-(68-F961)*0.2)</f>
        <v>20.160000000000004</v>
      </c>
      <c r="I961" s="3">
        <v>23</v>
      </c>
      <c r="J961" s="3">
        <f>1.8*I961+32</f>
        <v>73.400000000000006</v>
      </c>
      <c r="K961" s="3">
        <v>12</v>
      </c>
      <c r="L961" s="3">
        <f>IF(J961&gt;67,K961+(J961-67)*0.2,K961-(67-J961)*0.2)</f>
        <v>13.280000000000001</v>
      </c>
      <c r="M961" s="3">
        <f>(C961-H961)/C961*100</f>
        <v>59.679999999999986</v>
      </c>
      <c r="N961" s="3">
        <f>100-(M961+O961)</f>
        <v>13.760000000000019</v>
      </c>
      <c r="O961" s="3">
        <f>L961/C961*100</f>
        <v>26.56</v>
      </c>
      <c r="P961" s="1" t="s">
        <v>2</v>
      </c>
      <c r="Q961" s="15">
        <v>407362.87599999999</v>
      </c>
      <c r="R961" s="15">
        <v>3659896.5</v>
      </c>
      <c r="S961" s="1"/>
    </row>
    <row r="962" spans="1:20" x14ac:dyDescent="0.25">
      <c r="A962" s="4">
        <v>162</v>
      </c>
      <c r="B962">
        <v>90</v>
      </c>
      <c r="C962">
        <v>50</v>
      </c>
      <c r="D962">
        <v>20</v>
      </c>
      <c r="E962" s="3">
        <v>25</v>
      </c>
      <c r="F962" s="3">
        <f>1.8*E962+32</f>
        <v>77</v>
      </c>
      <c r="G962" s="3">
        <v>14</v>
      </c>
      <c r="H962" s="3">
        <f>IF(F962&gt;68,G962+(F962-68)*0.2,G1105-(68-F962)*0.2)</f>
        <v>15.8</v>
      </c>
      <c r="I962" s="3">
        <v>23</v>
      </c>
      <c r="J962" s="3">
        <f>1.8*I962+32</f>
        <v>73.400000000000006</v>
      </c>
      <c r="K962" s="3">
        <v>7</v>
      </c>
      <c r="L962" s="3">
        <f>IF(J962&gt;67,K962+(J962-67)*0.2,K962-(67-J962)*0.2)</f>
        <v>8.2800000000000011</v>
      </c>
      <c r="M962" s="3">
        <f>(C962-H962)/C962*100</f>
        <v>68.400000000000006</v>
      </c>
      <c r="N962" s="3">
        <f>100-(M962+O962)</f>
        <v>15.039999999999992</v>
      </c>
      <c r="O962" s="3">
        <f>L962/C962*100</f>
        <v>16.560000000000002</v>
      </c>
      <c r="P962" s="1" t="s">
        <v>0</v>
      </c>
      <c r="Q962" s="15">
        <v>407362.87599999999</v>
      </c>
      <c r="R962" s="15">
        <v>3659896.5</v>
      </c>
      <c r="S962" s="1"/>
    </row>
    <row r="963" spans="1:20" x14ac:dyDescent="0.25">
      <c r="A963" s="4">
        <v>162</v>
      </c>
      <c r="B963">
        <v>120</v>
      </c>
      <c r="C963">
        <v>50</v>
      </c>
      <c r="D963">
        <v>20</v>
      </c>
      <c r="E963" s="3">
        <v>25</v>
      </c>
      <c r="F963" s="3">
        <f>1.8*E963+32</f>
        <v>77</v>
      </c>
      <c r="G963" s="3">
        <v>15</v>
      </c>
      <c r="H963" s="3">
        <f>IF(F963&gt;68,G963+(F963-68)*0.2,G1106-(68-F963)*0.2)</f>
        <v>16.8</v>
      </c>
      <c r="I963" s="3">
        <v>23</v>
      </c>
      <c r="J963" s="3">
        <f>1.8*I963+32</f>
        <v>73.400000000000006</v>
      </c>
      <c r="K963" s="3">
        <v>8</v>
      </c>
      <c r="L963" s="3">
        <f>IF(J963&gt;67,K963+(J963-67)*0.2,K963-(67-J963)*0.2)</f>
        <v>9.2800000000000011</v>
      </c>
      <c r="M963" s="3">
        <f>(C963-H963)/C963*100</f>
        <v>66.400000000000006</v>
      </c>
      <c r="N963" s="3">
        <f>100-(M963+O963)</f>
        <v>15.039999999999992</v>
      </c>
      <c r="O963" s="3">
        <f>L963/C963*100</f>
        <v>18.560000000000002</v>
      </c>
      <c r="P963" s="1" t="s">
        <v>0</v>
      </c>
      <c r="Q963" s="15">
        <v>407362.87599999999</v>
      </c>
      <c r="R963" s="15">
        <v>3659896.5</v>
      </c>
      <c r="S963" s="1"/>
    </row>
    <row r="964" spans="1:20" x14ac:dyDescent="0.25">
      <c r="A964" s="4">
        <v>162</v>
      </c>
      <c r="B964">
        <v>150</v>
      </c>
      <c r="C964">
        <v>50</v>
      </c>
      <c r="D964">
        <v>20</v>
      </c>
      <c r="E964" s="3">
        <v>25.5</v>
      </c>
      <c r="F964" s="3">
        <f>1.8*E964+32</f>
        <v>77.900000000000006</v>
      </c>
      <c r="G964" s="3">
        <v>12</v>
      </c>
      <c r="H964" s="3">
        <f>IF(F964&gt;68,G964+(F964-68)*0.2,G1107-(68-F964)*0.2)</f>
        <v>13.98</v>
      </c>
      <c r="I964" s="3">
        <v>23</v>
      </c>
      <c r="J964" s="3">
        <f>1.8*I964+32</f>
        <v>73.400000000000006</v>
      </c>
      <c r="K964" s="3">
        <v>5</v>
      </c>
      <c r="L964" s="3">
        <f>IF(J964&gt;67,K964+(J964-67)*0.2,K964-(67-J964)*0.2)</f>
        <v>6.2800000000000011</v>
      </c>
      <c r="M964" s="3">
        <f>(C964-H964)/C964*100</f>
        <v>72.039999999999992</v>
      </c>
      <c r="N964" s="3">
        <f>100-(M964+O964)</f>
        <v>15.400000000000006</v>
      </c>
      <c r="O964" s="3">
        <f>L964/C964*100</f>
        <v>12.560000000000002</v>
      </c>
      <c r="P964" s="1" t="s">
        <v>0</v>
      </c>
      <c r="Q964" s="15">
        <v>407362.87599999999</v>
      </c>
      <c r="R964" s="15">
        <v>3659896.5</v>
      </c>
      <c r="S964" s="1"/>
    </row>
    <row r="965" spans="1:20" x14ac:dyDescent="0.25">
      <c r="A965" s="4">
        <v>162</v>
      </c>
      <c r="B965">
        <v>180</v>
      </c>
      <c r="C965">
        <v>50</v>
      </c>
      <c r="D965">
        <v>20</v>
      </c>
      <c r="E965" s="3">
        <v>25.5</v>
      </c>
      <c r="F965" s="3">
        <f>1.8*E965+32</f>
        <v>77.900000000000006</v>
      </c>
      <c r="G965" s="3">
        <v>18</v>
      </c>
      <c r="H965" s="3">
        <f>IF(F965&gt;68,G965+(F965-68)*0.2,G1108-(68-F965)*0.2)</f>
        <v>19.98</v>
      </c>
      <c r="I965" s="3">
        <v>23</v>
      </c>
      <c r="J965" s="3">
        <f>1.8*I965+32</f>
        <v>73.400000000000006</v>
      </c>
      <c r="K965" s="3">
        <v>11</v>
      </c>
      <c r="L965" s="3">
        <f>IF(J965&gt;67,K965+(J965-67)*0.2,K965-(67-J965)*0.2)</f>
        <v>12.280000000000001</v>
      </c>
      <c r="M965" s="3">
        <f>(C965-H965)/C965*100</f>
        <v>60.040000000000006</v>
      </c>
      <c r="N965" s="3">
        <f>100-(M965+O965)</f>
        <v>15.399999999999991</v>
      </c>
      <c r="O965" s="3">
        <f>L965/C965*100</f>
        <v>24.560000000000002</v>
      </c>
      <c r="P965" s="1" t="s">
        <v>2</v>
      </c>
      <c r="Q965" s="15">
        <v>407362.87599999999</v>
      </c>
      <c r="R965" s="15">
        <v>3659896.5</v>
      </c>
      <c r="S965" s="1"/>
    </row>
    <row r="966" spans="1:20" x14ac:dyDescent="0.25">
      <c r="Q966" s="18"/>
      <c r="R966" s="18"/>
    </row>
    <row r="967" spans="1:20" ht="51.75" x14ac:dyDescent="0.25">
      <c r="A967" s="14" t="s">
        <v>21</v>
      </c>
      <c r="B967" s="9" t="s">
        <v>20</v>
      </c>
      <c r="C967" s="13" t="s">
        <v>19</v>
      </c>
      <c r="D967" s="12" t="s">
        <v>18</v>
      </c>
      <c r="E967" s="11" t="s">
        <v>17</v>
      </c>
      <c r="F967" s="11" t="s">
        <v>16</v>
      </c>
      <c r="G967" s="11" t="s">
        <v>15</v>
      </c>
      <c r="H967" s="11" t="s">
        <v>14</v>
      </c>
      <c r="I967" s="11" t="s">
        <v>13</v>
      </c>
      <c r="J967" s="11" t="s">
        <v>12</v>
      </c>
      <c r="K967" s="11" t="s">
        <v>11</v>
      </c>
      <c r="L967" s="11" t="s">
        <v>10</v>
      </c>
      <c r="M967" s="10" t="s">
        <v>9</v>
      </c>
      <c r="N967" s="10" t="s">
        <v>8</v>
      </c>
      <c r="O967" s="10" t="s">
        <v>7</v>
      </c>
      <c r="P967" s="9" t="s">
        <v>6</v>
      </c>
      <c r="Q967" s="8" t="s">
        <v>5</v>
      </c>
      <c r="R967" s="7"/>
      <c r="S967" s="6"/>
    </row>
    <row r="968" spans="1:20" x14ac:dyDescent="0.25"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1"/>
      <c r="Q968" s="5" t="s">
        <v>4</v>
      </c>
      <c r="R968" s="5" t="s">
        <v>3</v>
      </c>
      <c r="S968" s="1"/>
    </row>
    <row r="969" spans="1:20" x14ac:dyDescent="0.25">
      <c r="A969" s="4">
        <v>163</v>
      </c>
      <c r="B969">
        <v>30</v>
      </c>
      <c r="C969">
        <v>50</v>
      </c>
      <c r="D969">
        <v>20</v>
      </c>
      <c r="E969" s="3">
        <v>25</v>
      </c>
      <c r="F969" s="3">
        <f>1.8*E969+32</f>
        <v>77</v>
      </c>
      <c r="G969" s="3">
        <v>26</v>
      </c>
      <c r="H969" s="3">
        <f>IF(F969&gt;68,G969+(F969-68)*0.2,G1112-(68-F969)*0.2)</f>
        <v>27.8</v>
      </c>
      <c r="I969" s="3">
        <v>22.5</v>
      </c>
      <c r="J969" s="3">
        <f>1.8*I969+32</f>
        <v>72.5</v>
      </c>
      <c r="K969" s="3">
        <v>17</v>
      </c>
      <c r="L969" s="3">
        <f>IF(J969&gt;67,K969+(J969-67)*0.2,K969-(67-J969)*0.2)</f>
        <v>18.100000000000001</v>
      </c>
      <c r="M969" s="3">
        <f>(C969-H969)/C969*100</f>
        <v>44.4</v>
      </c>
      <c r="N969" s="3">
        <f>100-(M969+O969)</f>
        <v>19.400000000000006</v>
      </c>
      <c r="O969" s="3">
        <f>L969/C969*100</f>
        <v>36.200000000000003</v>
      </c>
      <c r="P969" s="1" t="s">
        <v>22</v>
      </c>
      <c r="Q969" s="15"/>
      <c r="R969" s="15"/>
      <c r="S969" s="1"/>
    </row>
    <row r="970" spans="1:20" x14ac:dyDescent="0.25">
      <c r="A970" s="4">
        <v>163</v>
      </c>
      <c r="B970">
        <v>60</v>
      </c>
      <c r="C970">
        <v>50</v>
      </c>
      <c r="D970">
        <v>20</v>
      </c>
      <c r="E970" s="3">
        <v>25.5</v>
      </c>
      <c r="F970" s="3">
        <f>1.8*E970+32</f>
        <v>77.900000000000006</v>
      </c>
      <c r="G970" s="3">
        <v>22</v>
      </c>
      <c r="H970" s="3">
        <f>IF(F970&gt;68,G970+(F970-68)*0.2,G1113-(68-F970)*0.2)</f>
        <v>23.98</v>
      </c>
      <c r="I970" s="3">
        <v>22.5</v>
      </c>
      <c r="J970" s="3">
        <f>1.8*I970+32</f>
        <v>72.5</v>
      </c>
      <c r="K970" s="3">
        <v>16</v>
      </c>
      <c r="L970" s="3">
        <f>IF(J970&gt;67,K970+(J970-67)*0.2,K970-(67-J970)*0.2)</f>
        <v>17.100000000000001</v>
      </c>
      <c r="M970" s="3">
        <f>(C970-H970)/C970*100</f>
        <v>52.04</v>
      </c>
      <c r="N970" s="3">
        <f>100-(M970+O970)</f>
        <v>13.759999999999991</v>
      </c>
      <c r="O970" s="3">
        <f>L970/C970*100</f>
        <v>34.200000000000003</v>
      </c>
      <c r="P970" s="1" t="s">
        <v>2</v>
      </c>
      <c r="Q970" s="15">
        <v>407362.87599999999</v>
      </c>
      <c r="R970" s="15">
        <v>3659923</v>
      </c>
      <c r="S970" s="1"/>
    </row>
    <row r="971" spans="1:20" x14ac:dyDescent="0.25">
      <c r="A971" s="4">
        <v>163</v>
      </c>
      <c r="B971">
        <v>90</v>
      </c>
      <c r="C971">
        <v>50</v>
      </c>
      <c r="D971">
        <v>20</v>
      </c>
      <c r="E971" s="3">
        <v>26</v>
      </c>
      <c r="F971" s="3">
        <f>1.8*E971+32</f>
        <v>78.800000000000011</v>
      </c>
      <c r="G971" s="3">
        <v>18</v>
      </c>
      <c r="H971" s="3">
        <f>IF(F971&gt;68,G971+(F971-68)*0.2,G1114-(68-F971)*0.2)</f>
        <v>20.160000000000004</v>
      </c>
      <c r="I971" s="3">
        <v>22.5</v>
      </c>
      <c r="J971" s="3">
        <f>1.8*I971+32</f>
        <v>72.5</v>
      </c>
      <c r="K971" s="3">
        <v>13</v>
      </c>
      <c r="L971" s="3">
        <f>IF(J971&gt;67,K971+(J971-67)*0.2,K971-(67-J971)*0.2)</f>
        <v>14.1</v>
      </c>
      <c r="M971" s="3">
        <f>(C971-H971)/C971*100</f>
        <v>59.679999999999986</v>
      </c>
      <c r="N971" s="3">
        <f>100-(M971+O971)</f>
        <v>12.120000000000019</v>
      </c>
      <c r="O971" s="3">
        <f>L971/C971*100</f>
        <v>28.199999999999996</v>
      </c>
      <c r="P971" s="1" t="s">
        <v>2</v>
      </c>
      <c r="Q971" s="15">
        <v>407362.87599999999</v>
      </c>
      <c r="R971" s="15">
        <v>3659923</v>
      </c>
      <c r="S971" s="1"/>
    </row>
    <row r="972" spans="1:20" x14ac:dyDescent="0.25">
      <c r="A972" s="4">
        <v>163</v>
      </c>
      <c r="B972">
        <v>120</v>
      </c>
      <c r="C972">
        <v>50</v>
      </c>
      <c r="D972">
        <v>20</v>
      </c>
      <c r="E972" s="3">
        <v>27</v>
      </c>
      <c r="F972" s="3">
        <f>1.8*E972+32</f>
        <v>80.599999999999994</v>
      </c>
      <c r="G972" s="3">
        <v>15</v>
      </c>
      <c r="H972" s="3">
        <f>IF(F972&gt;68,G972+(F972-68)*0.2,G1115-(68-F972)*0.2)</f>
        <v>17.52</v>
      </c>
      <c r="I972" s="3">
        <v>23</v>
      </c>
      <c r="J972" s="3">
        <f>1.8*I972+32</f>
        <v>73.400000000000006</v>
      </c>
      <c r="K972" s="3">
        <v>11</v>
      </c>
      <c r="L972" s="3">
        <f>IF(J972&gt;67,K972+(J972-67)*0.2,K972-(67-J972)*0.2)</f>
        <v>12.280000000000001</v>
      </c>
      <c r="M972" s="3">
        <f>(C972-H972)/C972*100</f>
        <v>64.960000000000008</v>
      </c>
      <c r="N972" s="3">
        <f>100-(M972+O972)</f>
        <v>10.47999999999999</v>
      </c>
      <c r="O972" s="3">
        <f>L972/C972*100</f>
        <v>24.560000000000002</v>
      </c>
      <c r="P972" s="1" t="s">
        <v>2</v>
      </c>
      <c r="Q972" s="15">
        <v>407362.87599999999</v>
      </c>
      <c r="R972" s="15">
        <v>3659923</v>
      </c>
      <c r="S972" s="17"/>
      <c r="T972" s="17"/>
    </row>
    <row r="973" spans="1:20" x14ac:dyDescent="0.25">
      <c r="A973" s="4">
        <v>163</v>
      </c>
      <c r="B973">
        <v>150</v>
      </c>
      <c r="C973">
        <v>50</v>
      </c>
      <c r="D973">
        <v>20</v>
      </c>
      <c r="E973" s="3">
        <v>24</v>
      </c>
      <c r="F973" s="3">
        <f>1.8*E973+32</f>
        <v>75.2</v>
      </c>
      <c r="G973" s="3">
        <v>11</v>
      </c>
      <c r="H973" s="3">
        <f>IF(F973&gt;68,G973+(F973-68)*0.2,G1116-(68-F973)*0.2)</f>
        <v>12.440000000000001</v>
      </c>
      <c r="I973" s="3">
        <v>22.5</v>
      </c>
      <c r="J973" s="3">
        <f>1.8*I973+32</f>
        <v>72.5</v>
      </c>
      <c r="K973" s="3">
        <v>5</v>
      </c>
      <c r="L973" s="3">
        <f>IF(J973&gt;67,K973+(J973-67)*0.2,K973-(67-J973)*0.2)</f>
        <v>6.1</v>
      </c>
      <c r="M973" s="3">
        <f>(C973-H973)/C973*100</f>
        <v>75.12</v>
      </c>
      <c r="N973" s="3">
        <f>100-(M973+O973)</f>
        <v>12.679999999999993</v>
      </c>
      <c r="O973" s="3">
        <f>L973/C973*100</f>
        <v>12.2</v>
      </c>
      <c r="P973" s="1" t="s">
        <v>0</v>
      </c>
      <c r="Q973" s="15">
        <v>407362.87599999999</v>
      </c>
      <c r="R973" s="15">
        <v>3659923</v>
      </c>
      <c r="S973" s="17"/>
      <c r="T973" s="17"/>
    </row>
    <row r="974" spans="1:20" x14ac:dyDescent="0.25">
      <c r="A974" s="4">
        <v>163</v>
      </c>
      <c r="B974">
        <v>180</v>
      </c>
      <c r="C974">
        <v>50</v>
      </c>
      <c r="D974">
        <v>20</v>
      </c>
      <c r="E974" s="3">
        <v>25</v>
      </c>
      <c r="F974" s="3">
        <f>1.8*E974+32</f>
        <v>77</v>
      </c>
      <c r="G974" s="3">
        <v>15</v>
      </c>
      <c r="H974" s="3">
        <f>IF(F974&gt;68,G974+(F974-68)*0.2,G1117-(68-F974)*0.2)</f>
        <v>16.8</v>
      </c>
      <c r="I974" s="3">
        <v>22.5</v>
      </c>
      <c r="J974" s="3">
        <f>1.8*I974+32</f>
        <v>72.5</v>
      </c>
      <c r="K974" s="3">
        <v>7</v>
      </c>
      <c r="L974" s="3">
        <f>IF(J974&gt;67,K974+(J974-67)*0.2,K974-(67-J974)*0.2)</f>
        <v>8.1</v>
      </c>
      <c r="M974" s="3">
        <f>(C974-H974)/C974*100</f>
        <v>66.400000000000006</v>
      </c>
      <c r="N974" s="3">
        <f>100-(M974+O974)</f>
        <v>17.399999999999991</v>
      </c>
      <c r="O974" s="3">
        <f>L974/C974*100</f>
        <v>16.2</v>
      </c>
      <c r="P974" s="1" t="s">
        <v>0</v>
      </c>
      <c r="Q974" s="15">
        <v>407362.87599999999</v>
      </c>
      <c r="R974" s="15">
        <v>3659923</v>
      </c>
      <c r="S974" s="17"/>
      <c r="T974" s="17"/>
    </row>
    <row r="975" spans="1:20" x14ac:dyDescent="0.25">
      <c r="A975" s="4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1"/>
      <c r="Q975" s="18"/>
      <c r="R975" s="18"/>
      <c r="S975" s="17"/>
      <c r="T975" s="17"/>
    </row>
    <row r="976" spans="1:20" ht="51.75" x14ac:dyDescent="0.25">
      <c r="A976" s="14" t="s">
        <v>21</v>
      </c>
      <c r="B976" s="9" t="s">
        <v>20</v>
      </c>
      <c r="C976" s="13" t="s">
        <v>19</v>
      </c>
      <c r="D976" s="12" t="s">
        <v>18</v>
      </c>
      <c r="E976" s="11" t="s">
        <v>17</v>
      </c>
      <c r="F976" s="11" t="s">
        <v>16</v>
      </c>
      <c r="G976" s="11" t="s">
        <v>15</v>
      </c>
      <c r="H976" s="11" t="s">
        <v>14</v>
      </c>
      <c r="I976" s="11" t="s">
        <v>13</v>
      </c>
      <c r="J976" s="11" t="s">
        <v>12</v>
      </c>
      <c r="K976" s="11" t="s">
        <v>11</v>
      </c>
      <c r="L976" s="11" t="s">
        <v>10</v>
      </c>
      <c r="M976" s="10" t="s">
        <v>9</v>
      </c>
      <c r="N976" s="10" t="s">
        <v>8</v>
      </c>
      <c r="O976" s="10" t="s">
        <v>7</v>
      </c>
      <c r="P976" s="9" t="s">
        <v>6</v>
      </c>
      <c r="Q976" s="8" t="s">
        <v>5</v>
      </c>
      <c r="R976" s="7"/>
      <c r="S976" s="17"/>
      <c r="T976" s="17"/>
    </row>
    <row r="977" spans="1:20" x14ac:dyDescent="0.25">
      <c r="C977" s="16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1"/>
      <c r="Q977" s="5" t="s">
        <v>4</v>
      </c>
      <c r="R977" s="5" t="s">
        <v>3</v>
      </c>
      <c r="S977" s="17"/>
      <c r="T977" s="17"/>
    </row>
    <row r="978" spans="1:20" x14ac:dyDescent="0.25">
      <c r="A978" s="4">
        <v>164</v>
      </c>
      <c r="B978">
        <v>30</v>
      </c>
      <c r="C978" s="16">
        <v>50</v>
      </c>
      <c r="D978">
        <v>20</v>
      </c>
      <c r="E978" s="3">
        <v>25.5</v>
      </c>
      <c r="F978" s="3">
        <f>1.8*E978+32</f>
        <v>77.900000000000006</v>
      </c>
      <c r="G978" s="3">
        <v>24</v>
      </c>
      <c r="H978" s="3">
        <f>IF(F978&gt;68,G978+(F978-68)*0.2,G1120-(68-F978)*0.2)</f>
        <v>25.98</v>
      </c>
      <c r="I978" s="3">
        <v>23</v>
      </c>
      <c r="J978" s="3">
        <f>1.8*I978+32</f>
        <v>73.400000000000006</v>
      </c>
      <c r="K978" s="3">
        <v>15</v>
      </c>
      <c r="L978" s="3">
        <f>IF(J978&gt;68,K978+(J978-68)*0.2,K978-(68-J978)*0.2)</f>
        <v>16.080000000000002</v>
      </c>
      <c r="M978" s="3">
        <f>(C978-H978)/C978*100</f>
        <v>48.04</v>
      </c>
      <c r="N978" s="3">
        <f>100-(M978+O978)</f>
        <v>19.799999999999997</v>
      </c>
      <c r="O978" s="3">
        <f>L978/C978*100</f>
        <v>32.160000000000004</v>
      </c>
      <c r="P978" s="1" t="s">
        <v>2</v>
      </c>
      <c r="Q978" s="15">
        <v>407362.87599999999</v>
      </c>
      <c r="R978" s="15">
        <v>3659949.5</v>
      </c>
      <c r="S978" s="17"/>
      <c r="T978" s="17"/>
    </row>
    <row r="979" spans="1:20" x14ac:dyDescent="0.25">
      <c r="A979" s="4">
        <v>164</v>
      </c>
      <c r="B979">
        <v>60</v>
      </c>
      <c r="C979" s="16">
        <v>50</v>
      </c>
      <c r="D979">
        <v>20</v>
      </c>
      <c r="E979" s="3">
        <v>25.5</v>
      </c>
      <c r="F979" s="3">
        <f>1.8*E979+32</f>
        <v>77.900000000000006</v>
      </c>
      <c r="G979" s="3">
        <v>18</v>
      </c>
      <c r="H979" s="3">
        <f>IF(F979&gt;68,G979+(F979-68)*0.2,G1121-(68-F979)*0.2)</f>
        <v>19.98</v>
      </c>
      <c r="I979" s="3">
        <v>23</v>
      </c>
      <c r="J979" s="3">
        <f>1.8*I979+32</f>
        <v>73.400000000000006</v>
      </c>
      <c r="K979" s="3">
        <v>11</v>
      </c>
      <c r="L979" s="3">
        <f>IF(J979&gt;68,K979+(J979-68)*0.2,K979-(68-J979)*0.2)</f>
        <v>12.080000000000002</v>
      </c>
      <c r="M979" s="3">
        <f>(C979-H979)/C979*100</f>
        <v>60.040000000000006</v>
      </c>
      <c r="N979" s="3">
        <f>100-(M979+O979)</f>
        <v>15.799999999999983</v>
      </c>
      <c r="O979" s="3">
        <f>L979/C979*100</f>
        <v>24.160000000000004</v>
      </c>
      <c r="P979" s="1" t="s">
        <v>2</v>
      </c>
      <c r="Q979" s="15">
        <v>407362.87599999999</v>
      </c>
      <c r="R979" s="15">
        <v>3659949.5</v>
      </c>
      <c r="S979" s="1"/>
    </row>
    <row r="980" spans="1:20" x14ac:dyDescent="0.25">
      <c r="A980" s="4">
        <v>164</v>
      </c>
      <c r="B980">
        <v>90</v>
      </c>
      <c r="C980" s="16">
        <v>50</v>
      </c>
      <c r="D980">
        <v>20</v>
      </c>
      <c r="E980" s="3">
        <v>25</v>
      </c>
      <c r="F980" s="3">
        <f>1.8*E980+32</f>
        <v>77</v>
      </c>
      <c r="G980" s="3">
        <v>12</v>
      </c>
      <c r="H980" s="3">
        <f>IF(F980&gt;68,G980+(F980-68)*0.2,G1122-(68-F980)*0.2)</f>
        <v>13.8</v>
      </c>
      <c r="I980" s="3">
        <v>23</v>
      </c>
      <c r="J980" s="3">
        <f>1.8*I980+32</f>
        <v>73.400000000000006</v>
      </c>
      <c r="K980" s="3">
        <v>5</v>
      </c>
      <c r="L980" s="3">
        <f>IF(J980&gt;68,K980+(J980-68)*0.2,K980-(68-J980)*0.2)</f>
        <v>6.080000000000001</v>
      </c>
      <c r="M980" s="3">
        <f>(C980-H980)/C980*100</f>
        <v>72.400000000000006</v>
      </c>
      <c r="N980" s="3">
        <f>100-(M980+O980)</f>
        <v>15.439999999999998</v>
      </c>
      <c r="O980" s="3">
        <f>L980/C980*100</f>
        <v>12.160000000000002</v>
      </c>
      <c r="P980" s="1" t="s">
        <v>0</v>
      </c>
      <c r="Q980" s="15">
        <v>407362.87599999999</v>
      </c>
      <c r="R980" s="15">
        <v>3659949.5</v>
      </c>
      <c r="S980" s="6"/>
    </row>
    <row r="981" spans="1:20" x14ac:dyDescent="0.25">
      <c r="A981" s="4">
        <v>164</v>
      </c>
      <c r="B981">
        <v>120</v>
      </c>
      <c r="C981" s="16">
        <v>50</v>
      </c>
      <c r="D981">
        <v>20</v>
      </c>
      <c r="E981" s="3">
        <v>25</v>
      </c>
      <c r="F981" s="3">
        <f>1.8*E981+32</f>
        <v>77</v>
      </c>
      <c r="G981" s="3">
        <v>11</v>
      </c>
      <c r="H981" s="3">
        <f>IF(F981&gt;68,G981+(F981-68)*0.2,G1123-(68-F981)*0.2)</f>
        <v>12.8</v>
      </c>
      <c r="I981" s="3">
        <v>23</v>
      </c>
      <c r="J981" s="3">
        <f>1.8*I981+32</f>
        <v>73.400000000000006</v>
      </c>
      <c r="K981" s="3">
        <v>5</v>
      </c>
      <c r="L981" s="3">
        <f>IF(J981&gt;68,K981+(J981-68)*0.2,K981-(68-J981)*0.2)</f>
        <v>6.080000000000001</v>
      </c>
      <c r="M981" s="3">
        <f>(C981-H981)/C981*100</f>
        <v>74.400000000000006</v>
      </c>
      <c r="N981" s="3">
        <f>100-(M981+O981)</f>
        <v>13.439999999999998</v>
      </c>
      <c r="O981" s="3">
        <f>L981/C981*100</f>
        <v>12.160000000000002</v>
      </c>
      <c r="P981" s="1" t="s">
        <v>0</v>
      </c>
      <c r="Q981" s="15">
        <v>407362.87599999999</v>
      </c>
      <c r="R981" s="15">
        <v>3659949.5</v>
      </c>
      <c r="S981" s="1"/>
    </row>
    <row r="982" spans="1:20" x14ac:dyDescent="0.25">
      <c r="A982" s="4">
        <v>164</v>
      </c>
      <c r="B982">
        <v>150</v>
      </c>
      <c r="C982" s="16">
        <v>50</v>
      </c>
      <c r="D982">
        <v>20</v>
      </c>
      <c r="E982" s="3">
        <v>25.5</v>
      </c>
      <c r="F982" s="3">
        <f>1.8*E982+32</f>
        <v>77.900000000000006</v>
      </c>
      <c r="G982" s="3">
        <v>11</v>
      </c>
      <c r="H982" s="3">
        <f>IF(F982&gt;68,G982+(F982-68)*0.2,G1124-(68-F982)*0.2)</f>
        <v>12.98</v>
      </c>
      <c r="I982" s="3">
        <v>23</v>
      </c>
      <c r="J982" s="3">
        <f>1.8*I982+32</f>
        <v>73.400000000000006</v>
      </c>
      <c r="K982" s="3">
        <v>5</v>
      </c>
      <c r="L982" s="3">
        <f>IF(J982&gt;68,K982+(J982-68)*0.2,K982-(68-J982)*0.2)</f>
        <v>6.080000000000001</v>
      </c>
      <c r="M982" s="3">
        <f>(C982-H982)/C982*100</f>
        <v>74.039999999999992</v>
      </c>
      <c r="N982" s="3">
        <f>100-(M982+O982)</f>
        <v>13.800000000000011</v>
      </c>
      <c r="O982" s="3">
        <f>L982/C982*100</f>
        <v>12.160000000000002</v>
      </c>
      <c r="P982" s="1" t="s">
        <v>0</v>
      </c>
      <c r="Q982" s="15">
        <v>407362.87599999999</v>
      </c>
      <c r="R982" s="15">
        <v>3659949.5</v>
      </c>
      <c r="S982" s="1"/>
    </row>
    <row r="983" spans="1:20" x14ac:dyDescent="0.25">
      <c r="A983" s="4">
        <v>164</v>
      </c>
      <c r="B983">
        <v>180</v>
      </c>
      <c r="C983" s="16">
        <v>50</v>
      </c>
      <c r="D983">
        <v>20</v>
      </c>
      <c r="E983" s="3">
        <v>26</v>
      </c>
      <c r="F983" s="3">
        <f>1.8*E983+32</f>
        <v>78.800000000000011</v>
      </c>
      <c r="G983" s="3">
        <v>12</v>
      </c>
      <c r="H983" s="3">
        <f>IF(F983&gt;68,G983+(F983-68)*0.2,G1125-(68-F983)*0.2)</f>
        <v>14.160000000000002</v>
      </c>
      <c r="I983" s="3">
        <v>23</v>
      </c>
      <c r="J983" s="3">
        <f>1.8*I983+32</f>
        <v>73.400000000000006</v>
      </c>
      <c r="K983" s="3">
        <v>7</v>
      </c>
      <c r="L983" s="3">
        <f>IF(J983&gt;68,K983+(J983-68)*0.2,K983-(68-J983)*0.2)</f>
        <v>8.0800000000000018</v>
      </c>
      <c r="M983" s="3">
        <f>(C983-H983)/C983*100</f>
        <v>71.679999999999993</v>
      </c>
      <c r="N983" s="3">
        <f>100-(M983+O983)</f>
        <v>12.159999999999997</v>
      </c>
      <c r="O983" s="3">
        <f>L983/C983*100</f>
        <v>16.160000000000004</v>
      </c>
      <c r="P983" s="1" t="s">
        <v>0</v>
      </c>
      <c r="Q983" s="15">
        <v>407362.87599999999</v>
      </c>
      <c r="R983" s="15">
        <v>3659949.5</v>
      </c>
      <c r="S983" s="1"/>
    </row>
    <row r="985" spans="1:20" ht="51.75" x14ac:dyDescent="0.25">
      <c r="A985" s="14" t="s">
        <v>21</v>
      </c>
      <c r="B985" s="9" t="s">
        <v>20</v>
      </c>
      <c r="C985" s="13" t="s">
        <v>19</v>
      </c>
      <c r="D985" s="12" t="s">
        <v>18</v>
      </c>
      <c r="E985" s="11" t="s">
        <v>17</v>
      </c>
      <c r="F985" s="11" t="s">
        <v>16</v>
      </c>
      <c r="G985" s="11" t="s">
        <v>15</v>
      </c>
      <c r="H985" s="11" t="s">
        <v>14</v>
      </c>
      <c r="I985" s="11" t="s">
        <v>13</v>
      </c>
      <c r="J985" s="11" t="s">
        <v>12</v>
      </c>
      <c r="K985" s="11" t="s">
        <v>11</v>
      </c>
      <c r="L985" s="11" t="s">
        <v>10</v>
      </c>
      <c r="M985" s="10" t="s">
        <v>9</v>
      </c>
      <c r="N985" s="10" t="s">
        <v>8</v>
      </c>
      <c r="O985" s="10" t="s">
        <v>7</v>
      </c>
      <c r="P985" s="9" t="s">
        <v>6</v>
      </c>
      <c r="Q985" s="8" t="s">
        <v>5</v>
      </c>
      <c r="R985" s="7"/>
      <c r="S985" s="6"/>
    </row>
    <row r="986" spans="1:20" x14ac:dyDescent="0.25"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1"/>
      <c r="Q986" s="5" t="s">
        <v>4</v>
      </c>
      <c r="R986" s="5" t="s">
        <v>3</v>
      </c>
      <c r="S986" s="1"/>
    </row>
    <row r="987" spans="1:20" x14ac:dyDescent="0.25">
      <c r="A987" s="4">
        <v>165</v>
      </c>
      <c r="B987">
        <v>30</v>
      </c>
      <c r="C987">
        <v>50</v>
      </c>
      <c r="D987">
        <v>20</v>
      </c>
      <c r="E987" s="3">
        <v>25</v>
      </c>
      <c r="F987" s="3">
        <f>1.8*E987+32</f>
        <v>77</v>
      </c>
      <c r="G987" s="3">
        <v>21</v>
      </c>
      <c r="H987" s="3">
        <f>IF(F987&gt;68,G987+(F987-68)*0.2,G1129-(68-F987)*0.2)</f>
        <v>22.8</v>
      </c>
      <c r="I987" s="3">
        <v>23</v>
      </c>
      <c r="J987" s="3">
        <f>1.8*I987+32</f>
        <v>73.400000000000006</v>
      </c>
      <c r="K987" s="3">
        <v>13</v>
      </c>
      <c r="L987" s="3">
        <f>IF(J987&gt;67,K987+(J987-67)*0.2,K987-(67-J987)*0.2)</f>
        <v>14.280000000000001</v>
      </c>
      <c r="M987" s="3">
        <f>(C987-H987)/C987*100</f>
        <v>54.400000000000006</v>
      </c>
      <c r="N987" s="3">
        <f>100-(M987+O987)</f>
        <v>17.039999999999992</v>
      </c>
      <c r="O987" s="3">
        <f>L987/C987*100</f>
        <v>28.560000000000002</v>
      </c>
      <c r="P987" s="1" t="s">
        <v>2</v>
      </c>
      <c r="Q987" s="15">
        <v>407362.87599999999</v>
      </c>
      <c r="R987" s="15">
        <v>3659976</v>
      </c>
      <c r="S987" s="1"/>
    </row>
    <row r="988" spans="1:20" x14ac:dyDescent="0.25">
      <c r="A988" s="4">
        <v>165</v>
      </c>
      <c r="B988">
        <v>60</v>
      </c>
      <c r="C988">
        <v>50</v>
      </c>
      <c r="D988">
        <v>20</v>
      </c>
      <c r="E988" s="3">
        <v>25</v>
      </c>
      <c r="F988" s="3">
        <f>1.8*E988+32</f>
        <v>77</v>
      </c>
      <c r="G988" s="3">
        <v>18</v>
      </c>
      <c r="H988" s="3">
        <f>IF(F988&gt;68,G988+(F988-68)*0.2,G1130-(68-F988)*0.2)</f>
        <v>19.8</v>
      </c>
      <c r="I988" s="3">
        <v>23</v>
      </c>
      <c r="J988" s="3">
        <f>1.8*I988+32</f>
        <v>73.400000000000006</v>
      </c>
      <c r="K988" s="3">
        <v>11</v>
      </c>
      <c r="L988" s="3">
        <f>IF(J988&gt;67,K988+(J988-67)*0.2,K988-(67-J988)*0.2)</f>
        <v>12.280000000000001</v>
      </c>
      <c r="M988" s="3">
        <f>(C988-H988)/C988*100</f>
        <v>60.4</v>
      </c>
      <c r="N988" s="3">
        <f>100-(M988+O988)</f>
        <v>15.039999999999992</v>
      </c>
      <c r="O988" s="3">
        <f>L988/C988*100</f>
        <v>24.560000000000002</v>
      </c>
      <c r="P988" s="1" t="s">
        <v>2</v>
      </c>
      <c r="Q988" s="15">
        <v>407362.87599999999</v>
      </c>
      <c r="R988" s="15">
        <v>3659976</v>
      </c>
      <c r="S988" s="1"/>
    </row>
    <row r="989" spans="1:20" x14ac:dyDescent="0.25">
      <c r="A989" s="4">
        <v>165</v>
      </c>
      <c r="B989">
        <v>90</v>
      </c>
      <c r="C989">
        <v>50</v>
      </c>
      <c r="D989">
        <v>20</v>
      </c>
      <c r="E989" s="3">
        <v>25.5</v>
      </c>
      <c r="F989" s="3">
        <f>1.8*E989+32</f>
        <v>77.900000000000006</v>
      </c>
      <c r="G989" s="3">
        <v>11</v>
      </c>
      <c r="H989" s="3">
        <f>IF(F989&gt;68,G989+(F989-68)*0.2,G1131-(68-F989)*0.2)</f>
        <v>12.98</v>
      </c>
      <c r="I989" s="3">
        <v>23</v>
      </c>
      <c r="J989" s="3">
        <f>1.8*I989+32</f>
        <v>73.400000000000006</v>
      </c>
      <c r="K989" s="3">
        <v>5</v>
      </c>
      <c r="L989" s="3">
        <f>IF(J989&gt;67,K989+(J989-67)*0.2,K989-(67-J989)*0.2)</f>
        <v>6.2800000000000011</v>
      </c>
      <c r="M989" s="3">
        <f>(C989-H989)/C989*100</f>
        <v>74.039999999999992</v>
      </c>
      <c r="N989" s="3">
        <f>100-(M989+O989)</f>
        <v>13.400000000000006</v>
      </c>
      <c r="O989" s="3">
        <f>L989/C989*100</f>
        <v>12.560000000000002</v>
      </c>
      <c r="P989" s="1" t="s">
        <v>0</v>
      </c>
      <c r="Q989" s="15">
        <v>407362.87599999999</v>
      </c>
      <c r="R989" s="15">
        <v>3659976</v>
      </c>
      <c r="S989" s="1"/>
    </row>
    <row r="990" spans="1:20" x14ac:dyDescent="0.25">
      <c r="A990" s="4">
        <v>165</v>
      </c>
      <c r="B990">
        <v>120</v>
      </c>
      <c r="C990">
        <v>50</v>
      </c>
      <c r="D990">
        <v>20</v>
      </c>
      <c r="E990" s="3">
        <v>26</v>
      </c>
      <c r="F990" s="3">
        <f>1.8*E990+32</f>
        <v>78.800000000000011</v>
      </c>
      <c r="G990" s="3">
        <v>11</v>
      </c>
      <c r="H990" s="3">
        <f>IF(F990&gt;68,G990+(F990-68)*0.2,G1132-(68-F990)*0.2)</f>
        <v>13.160000000000002</v>
      </c>
      <c r="I990" s="3">
        <v>23</v>
      </c>
      <c r="J990" s="3">
        <f>1.8*I990+32</f>
        <v>73.400000000000006</v>
      </c>
      <c r="K990" s="3">
        <v>6</v>
      </c>
      <c r="L990" s="3">
        <f>IF(J990&gt;67,K990+(J990-67)*0.2,K990-(67-J990)*0.2)</f>
        <v>7.2800000000000011</v>
      </c>
      <c r="M990" s="3">
        <f>(C990-H990)/C990*100</f>
        <v>73.679999999999993</v>
      </c>
      <c r="N990" s="3">
        <f>100-(M990+O990)</f>
        <v>11.760000000000005</v>
      </c>
      <c r="O990" s="3">
        <f>L990/C990*100</f>
        <v>14.560000000000004</v>
      </c>
      <c r="P990" s="1" t="s">
        <v>0</v>
      </c>
      <c r="Q990" s="15">
        <v>407362.87599999999</v>
      </c>
      <c r="R990" s="15">
        <v>3659976</v>
      </c>
      <c r="S990" s="1"/>
    </row>
    <row r="991" spans="1:20" x14ac:dyDescent="0.25">
      <c r="A991" s="4">
        <v>165</v>
      </c>
      <c r="B991">
        <v>150</v>
      </c>
      <c r="C991">
        <v>50</v>
      </c>
      <c r="D991">
        <v>20</v>
      </c>
      <c r="E991" s="3">
        <v>25</v>
      </c>
      <c r="F991" s="3">
        <f>1.8*E991+32</f>
        <v>77</v>
      </c>
      <c r="G991" s="3">
        <v>13</v>
      </c>
      <c r="H991" s="3">
        <f>IF(F991&gt;68,G991+(F991-68)*0.2,G1133-(68-F991)*0.2)</f>
        <v>14.8</v>
      </c>
      <c r="I991" s="3">
        <v>22.5</v>
      </c>
      <c r="J991" s="3">
        <f>1.8*I991+32</f>
        <v>72.5</v>
      </c>
      <c r="K991" s="3">
        <v>6</v>
      </c>
      <c r="L991" s="3">
        <f>IF(J991&gt;67,K991+(J991-67)*0.2,K991-(67-J991)*0.2)</f>
        <v>7.1</v>
      </c>
      <c r="M991" s="3">
        <f>(C991-H991)/C991*100</f>
        <v>70.400000000000006</v>
      </c>
      <c r="N991" s="3">
        <f>100-(M991+O991)</f>
        <v>15.399999999999991</v>
      </c>
      <c r="O991" s="3">
        <f>L991/C991*100</f>
        <v>14.2</v>
      </c>
      <c r="P991" s="1" t="s">
        <v>0</v>
      </c>
      <c r="Q991" s="15">
        <v>407362.87599999999</v>
      </c>
      <c r="R991" s="15">
        <v>3659976</v>
      </c>
      <c r="S991" s="1"/>
    </row>
    <row r="992" spans="1:20" x14ac:dyDescent="0.25">
      <c r="A992" s="4">
        <v>165</v>
      </c>
      <c r="B992">
        <v>180</v>
      </c>
      <c r="C992">
        <v>50</v>
      </c>
      <c r="D992">
        <v>20</v>
      </c>
      <c r="E992" s="3">
        <v>25.5</v>
      </c>
      <c r="F992" s="3">
        <f>1.8*E992+32</f>
        <v>77.900000000000006</v>
      </c>
      <c r="G992" s="3">
        <v>14</v>
      </c>
      <c r="H992" s="3">
        <f>IF(F992&gt;68,G992+(F992-68)*0.2,G1134-(68-F992)*0.2)</f>
        <v>15.98</v>
      </c>
      <c r="I992" s="3">
        <v>22.5</v>
      </c>
      <c r="J992" s="3">
        <f>1.8*I992+32</f>
        <v>72.5</v>
      </c>
      <c r="K992" s="3">
        <v>8</v>
      </c>
      <c r="L992" s="3">
        <f>IF(J992&gt;67,K992+(J992-67)*0.2,K992-(67-J992)*0.2)</f>
        <v>9.1</v>
      </c>
      <c r="M992" s="3">
        <f>(C992-H992)/C992*100</f>
        <v>68.039999999999992</v>
      </c>
      <c r="N992" s="3">
        <f>100-(M992+O992)</f>
        <v>13.760000000000005</v>
      </c>
      <c r="O992" s="3">
        <f>L992/C992*100</f>
        <v>18.2</v>
      </c>
      <c r="P992" s="1" t="s">
        <v>0</v>
      </c>
      <c r="Q992" s="15">
        <v>407362.87599999999</v>
      </c>
      <c r="R992" s="15">
        <v>3659976</v>
      </c>
      <c r="S992" s="1"/>
    </row>
    <row r="993" spans="1:19" x14ac:dyDescent="0.25">
      <c r="A993" s="4"/>
    </row>
    <row r="994" spans="1:19" ht="51.75" x14ac:dyDescent="0.25">
      <c r="A994" s="14" t="s">
        <v>21</v>
      </c>
      <c r="B994" s="9" t="s">
        <v>20</v>
      </c>
      <c r="C994" s="13" t="s">
        <v>19</v>
      </c>
      <c r="D994" s="12" t="s">
        <v>18</v>
      </c>
      <c r="E994" s="11" t="s">
        <v>17</v>
      </c>
      <c r="F994" s="11" t="s">
        <v>16</v>
      </c>
      <c r="G994" s="11" t="s">
        <v>15</v>
      </c>
      <c r="H994" s="11" t="s">
        <v>14</v>
      </c>
      <c r="I994" s="11" t="s">
        <v>13</v>
      </c>
      <c r="J994" s="11" t="s">
        <v>12</v>
      </c>
      <c r="K994" s="11" t="s">
        <v>11</v>
      </c>
      <c r="L994" s="11" t="s">
        <v>10</v>
      </c>
      <c r="M994" s="10" t="s">
        <v>9</v>
      </c>
      <c r="N994" s="10" t="s">
        <v>8</v>
      </c>
      <c r="O994" s="10" t="s">
        <v>7</v>
      </c>
      <c r="P994" s="9" t="s">
        <v>6</v>
      </c>
      <c r="Q994" s="8" t="s">
        <v>5</v>
      </c>
      <c r="R994" s="7"/>
      <c r="S994" s="6"/>
    </row>
    <row r="995" spans="1:19" x14ac:dyDescent="0.25"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1"/>
      <c r="Q995" s="5" t="s">
        <v>4</v>
      </c>
      <c r="R995" s="5" t="s">
        <v>3</v>
      </c>
      <c r="S995" s="1"/>
    </row>
    <row r="996" spans="1:19" x14ac:dyDescent="0.25">
      <c r="A996" s="4">
        <v>166</v>
      </c>
      <c r="B996">
        <v>30</v>
      </c>
      <c r="C996">
        <v>50</v>
      </c>
      <c r="D996">
        <v>20</v>
      </c>
      <c r="E996" s="3">
        <v>26</v>
      </c>
      <c r="F996" s="3">
        <f>1.8*E996+32</f>
        <v>78.800000000000011</v>
      </c>
      <c r="G996" s="3">
        <v>21</v>
      </c>
      <c r="H996" s="3">
        <f>IF(F996&gt;68,G996+(F996-68)*0.2,G1138-(68-F996)*0.2)</f>
        <v>23.160000000000004</v>
      </c>
      <c r="I996" s="3">
        <v>22.5</v>
      </c>
      <c r="J996" s="3">
        <f>1.8*I996+32</f>
        <v>72.5</v>
      </c>
      <c r="K996" s="3">
        <v>14</v>
      </c>
      <c r="L996" s="3">
        <f>IF(J996&gt;67,K996+(J996-67)*0.2,K996-(67-J996)*0.2)</f>
        <v>15.1</v>
      </c>
      <c r="M996" s="3">
        <f>(C996-H996)/C996*100</f>
        <v>53.679999999999993</v>
      </c>
      <c r="N996" s="3">
        <f>100-(M996+O996)</f>
        <v>16.120000000000005</v>
      </c>
      <c r="O996" s="3">
        <f>L996/C996*100</f>
        <v>30.2</v>
      </c>
      <c r="P996" s="1" t="s">
        <v>2</v>
      </c>
      <c r="Q996" s="15">
        <v>407362.87599999999</v>
      </c>
      <c r="R996" s="15">
        <v>3660002.5</v>
      </c>
      <c r="S996" s="1"/>
    </row>
    <row r="997" spans="1:19" x14ac:dyDescent="0.25">
      <c r="A997" s="4">
        <v>166</v>
      </c>
      <c r="B997">
        <v>60</v>
      </c>
      <c r="C997">
        <v>50</v>
      </c>
      <c r="D997">
        <v>20</v>
      </c>
      <c r="E997" s="3">
        <v>26</v>
      </c>
      <c r="F997" s="3">
        <f>1.8*E997+32</f>
        <v>78.800000000000011</v>
      </c>
      <c r="G997" s="3">
        <v>20</v>
      </c>
      <c r="H997" s="3">
        <f>IF(F997&gt;68,G997+(F997-68)*0.2,G1139-(68-F997)*0.2)</f>
        <v>22.160000000000004</v>
      </c>
      <c r="I997" s="3">
        <v>22.5</v>
      </c>
      <c r="J997" s="3">
        <f>1.8*I997+32</f>
        <v>72.5</v>
      </c>
      <c r="K997" s="3">
        <v>15</v>
      </c>
      <c r="L997" s="3">
        <f>IF(J997&gt;67,K997+(J997-67)*0.2,K997-(67-J997)*0.2)</f>
        <v>16.100000000000001</v>
      </c>
      <c r="M997" s="3">
        <f>(C997-H997)/C997*100</f>
        <v>55.679999999999993</v>
      </c>
      <c r="N997" s="3">
        <f>100-(M997+O997)</f>
        <v>12.120000000000005</v>
      </c>
      <c r="O997" s="3">
        <f>L997/C997*100</f>
        <v>32.200000000000003</v>
      </c>
      <c r="P997" s="1" t="s">
        <v>2</v>
      </c>
      <c r="Q997" s="15">
        <v>407362.87599999999</v>
      </c>
      <c r="R997" s="15">
        <v>3660002.5</v>
      </c>
      <c r="S997" s="1"/>
    </row>
    <row r="998" spans="1:19" x14ac:dyDescent="0.25">
      <c r="A998" s="4">
        <v>166</v>
      </c>
      <c r="B998">
        <v>90</v>
      </c>
      <c r="C998">
        <v>50</v>
      </c>
      <c r="D998">
        <v>20</v>
      </c>
      <c r="E998" s="3">
        <v>25.5</v>
      </c>
      <c r="F998" s="3">
        <f>1.8*E998+32</f>
        <v>77.900000000000006</v>
      </c>
      <c r="G998" s="3">
        <v>12</v>
      </c>
      <c r="H998" s="3">
        <f>IF(F998&gt;68,G998+(F998-68)*0.2,G1140-(68-F998)*0.2)</f>
        <v>13.98</v>
      </c>
      <c r="I998" s="3">
        <v>24</v>
      </c>
      <c r="J998" s="3">
        <f>1.8*I998+32</f>
        <v>75.2</v>
      </c>
      <c r="K998" s="3">
        <v>6</v>
      </c>
      <c r="L998" s="3">
        <f>IF(J998&gt;67,K998+(J998-67)*0.2,K998-(67-J998)*0.2)</f>
        <v>7.6400000000000006</v>
      </c>
      <c r="M998" s="3">
        <f>(C998-H998)/C998*100</f>
        <v>72.039999999999992</v>
      </c>
      <c r="N998" s="3">
        <f>100-(M998+O998)</f>
        <v>12.680000000000007</v>
      </c>
      <c r="O998" s="3">
        <f>L998/C998*100</f>
        <v>15.280000000000001</v>
      </c>
      <c r="P998" s="1" t="s">
        <v>0</v>
      </c>
      <c r="Q998" s="15">
        <v>407362.87599999999</v>
      </c>
      <c r="R998" s="15">
        <v>3660002.5</v>
      </c>
      <c r="S998" s="1"/>
    </row>
    <row r="999" spans="1:19" x14ac:dyDescent="0.25">
      <c r="A999" s="4">
        <v>166</v>
      </c>
      <c r="B999">
        <v>120</v>
      </c>
      <c r="C999">
        <v>50</v>
      </c>
      <c r="D999">
        <v>20</v>
      </c>
      <c r="E999" s="3">
        <v>25.5</v>
      </c>
      <c r="F999" s="3">
        <f>1.8*E999+32</f>
        <v>77.900000000000006</v>
      </c>
      <c r="G999" s="3">
        <v>12</v>
      </c>
      <c r="H999" s="3">
        <f>IF(F999&gt;68,G999+(F999-68)*0.2,G1141-(68-F999)*0.2)</f>
        <v>13.98</v>
      </c>
      <c r="I999" s="3">
        <v>24</v>
      </c>
      <c r="J999" s="3">
        <f>1.8*I999+32</f>
        <v>75.2</v>
      </c>
      <c r="K999" s="3">
        <v>5</v>
      </c>
      <c r="L999" s="3">
        <f>IF(J999&gt;67,K999+(J999-67)*0.2,K999-(67-J999)*0.2)</f>
        <v>6.6400000000000006</v>
      </c>
      <c r="M999" s="3">
        <f>(C999-H999)/C999*100</f>
        <v>72.039999999999992</v>
      </c>
      <c r="N999" s="3">
        <f>100-(M999+O999)</f>
        <v>14.680000000000007</v>
      </c>
      <c r="O999" s="3">
        <f>L999/C999*100</f>
        <v>13.28</v>
      </c>
      <c r="P999" s="1" t="s">
        <v>0</v>
      </c>
      <c r="Q999" s="15">
        <v>407362.87599999999</v>
      </c>
      <c r="R999" s="15">
        <v>3660002.5</v>
      </c>
      <c r="S999" s="1"/>
    </row>
    <row r="1000" spans="1:19" x14ac:dyDescent="0.25">
      <c r="A1000" s="4">
        <v>166</v>
      </c>
      <c r="B1000">
        <v>150</v>
      </c>
      <c r="C1000">
        <v>50</v>
      </c>
      <c r="D1000">
        <v>20</v>
      </c>
      <c r="E1000" s="3">
        <v>25.5</v>
      </c>
      <c r="F1000" s="3">
        <f>1.8*E1000+32</f>
        <v>77.900000000000006</v>
      </c>
      <c r="G1000" s="3">
        <v>11</v>
      </c>
      <c r="H1000" s="3">
        <f>IF(F1000&gt;68,G1000+(F1000-68)*0.2,G1142-(68-F1000)*0.2)</f>
        <v>12.98</v>
      </c>
      <c r="I1000" s="3">
        <v>24</v>
      </c>
      <c r="J1000" s="3">
        <f>1.8*I1000+32</f>
        <v>75.2</v>
      </c>
      <c r="K1000" s="3">
        <v>4</v>
      </c>
      <c r="L1000" s="3">
        <f>IF(J1000&gt;67,K1000+(J1000-67)*0.2,K1000-(67-J1000)*0.2)</f>
        <v>5.6400000000000006</v>
      </c>
      <c r="M1000" s="3">
        <f>(C1000-H1000)/C1000*100</f>
        <v>74.039999999999992</v>
      </c>
      <c r="N1000" s="3">
        <f>100-(M1000+O1000)</f>
        <v>14.680000000000007</v>
      </c>
      <c r="O1000" s="3">
        <f>L1000/C1000*100</f>
        <v>11.280000000000001</v>
      </c>
      <c r="P1000" s="1" t="s">
        <v>0</v>
      </c>
      <c r="Q1000" s="15">
        <v>407362.87599999999</v>
      </c>
      <c r="R1000" s="15">
        <v>3660002.5</v>
      </c>
      <c r="S1000" s="1"/>
    </row>
    <row r="1001" spans="1:19" x14ac:dyDescent="0.25">
      <c r="A1001" s="4">
        <v>166</v>
      </c>
      <c r="B1001">
        <v>180</v>
      </c>
      <c r="C1001">
        <v>50</v>
      </c>
      <c r="D1001">
        <v>20</v>
      </c>
      <c r="E1001" s="3">
        <v>26.5</v>
      </c>
      <c r="F1001" s="3">
        <f>1.8*E1001+32</f>
        <v>79.7</v>
      </c>
      <c r="G1001" s="3">
        <v>12</v>
      </c>
      <c r="H1001" s="3">
        <f>IF(F1001&gt;68,G1001+(F1001-68)*0.2,G1143-(68-F1001)*0.2)</f>
        <v>14.34</v>
      </c>
      <c r="I1001" s="3">
        <v>24</v>
      </c>
      <c r="J1001" s="3">
        <f>1.8*I1001+32</f>
        <v>75.2</v>
      </c>
      <c r="K1001" s="3">
        <v>5</v>
      </c>
      <c r="L1001" s="3">
        <f>IF(J1001&gt;67,K1001+(J1001-67)*0.2,K1001-(67-J1001)*0.2)</f>
        <v>6.6400000000000006</v>
      </c>
      <c r="M1001" s="3">
        <f>(C1001-H1001)/C1001*100</f>
        <v>71.319999999999993</v>
      </c>
      <c r="N1001" s="3">
        <f>100-(M1001+O1001)</f>
        <v>15.400000000000006</v>
      </c>
      <c r="O1001" s="3">
        <f>L1001/C1001*100</f>
        <v>13.28</v>
      </c>
      <c r="P1001" s="1" t="s">
        <v>0</v>
      </c>
      <c r="Q1001" s="15">
        <v>407362.87599999999</v>
      </c>
      <c r="R1001" s="15">
        <v>3660002.5</v>
      </c>
      <c r="S1001" s="1"/>
    </row>
    <row r="1002" spans="1:19" x14ac:dyDescent="0.25">
      <c r="A1002" s="4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1"/>
      <c r="S1002" s="1"/>
    </row>
    <row r="1003" spans="1:19" ht="51.75" x14ac:dyDescent="0.25">
      <c r="A1003" s="14" t="s">
        <v>21</v>
      </c>
      <c r="B1003" s="9" t="s">
        <v>20</v>
      </c>
      <c r="C1003" s="13" t="s">
        <v>19</v>
      </c>
      <c r="D1003" s="12" t="s">
        <v>18</v>
      </c>
      <c r="E1003" s="11" t="s">
        <v>17</v>
      </c>
      <c r="F1003" s="11" t="s">
        <v>16</v>
      </c>
      <c r="G1003" s="11" t="s">
        <v>15</v>
      </c>
      <c r="H1003" s="11" t="s">
        <v>14</v>
      </c>
      <c r="I1003" s="11" t="s">
        <v>13</v>
      </c>
      <c r="J1003" s="11" t="s">
        <v>12</v>
      </c>
      <c r="K1003" s="11" t="s">
        <v>11</v>
      </c>
      <c r="L1003" s="11" t="s">
        <v>10</v>
      </c>
      <c r="M1003" s="10" t="s">
        <v>9</v>
      </c>
      <c r="N1003" s="10" t="s">
        <v>8</v>
      </c>
      <c r="O1003" s="10" t="s">
        <v>7</v>
      </c>
      <c r="P1003" s="9" t="s">
        <v>6</v>
      </c>
      <c r="Q1003" s="8" t="s">
        <v>5</v>
      </c>
      <c r="R1003" s="7"/>
      <c r="S1003" s="6"/>
    </row>
    <row r="1004" spans="1:19" x14ac:dyDescent="0.25"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1"/>
      <c r="Q1004" s="5" t="s">
        <v>4</v>
      </c>
      <c r="R1004" s="5" t="s">
        <v>3</v>
      </c>
      <c r="S1004" s="1"/>
    </row>
    <row r="1005" spans="1:19" x14ac:dyDescent="0.25">
      <c r="A1005" s="4">
        <v>167</v>
      </c>
      <c r="B1005">
        <v>30</v>
      </c>
      <c r="C1005">
        <v>50</v>
      </c>
      <c r="D1005">
        <v>20</v>
      </c>
      <c r="E1005" s="3">
        <v>25.5</v>
      </c>
      <c r="F1005" s="3">
        <f>1.8*E1005+32</f>
        <v>77.900000000000006</v>
      </c>
      <c r="G1005" s="3">
        <v>19</v>
      </c>
      <c r="H1005" s="3">
        <f>IF(F1005&gt;68,G1005+(F1005-68)*0.2,G1146-(68-F1005)*0.2)</f>
        <v>20.98</v>
      </c>
      <c r="I1005" s="3">
        <v>24</v>
      </c>
      <c r="J1005" s="3">
        <f>1.8*I1005+32</f>
        <v>75.2</v>
      </c>
      <c r="K1005" s="3">
        <v>11</v>
      </c>
      <c r="L1005" s="3">
        <f>IF(J1005&gt;67,K1005+(J1005-67)*0.2,K1005-(67-J1005)*0.2)</f>
        <v>12.64</v>
      </c>
      <c r="M1005" s="3">
        <f>(C1005-H1005)/C1005*100</f>
        <v>58.040000000000006</v>
      </c>
      <c r="N1005" s="3">
        <f>100-(M1005+O1005)</f>
        <v>16.679999999999993</v>
      </c>
      <c r="O1005" s="3">
        <f>L1005/C1005*100</f>
        <v>25.28</v>
      </c>
      <c r="P1005" s="1" t="s">
        <v>2</v>
      </c>
      <c r="Q1005" s="2">
        <v>407362.87599999999</v>
      </c>
      <c r="R1005" s="2">
        <v>3660029</v>
      </c>
      <c r="S1005" s="1"/>
    </row>
    <row r="1006" spans="1:19" x14ac:dyDescent="0.25">
      <c r="A1006" s="4">
        <v>167</v>
      </c>
      <c r="B1006">
        <v>60</v>
      </c>
      <c r="C1006">
        <v>50</v>
      </c>
      <c r="D1006">
        <v>20</v>
      </c>
      <c r="E1006" s="3">
        <v>25.5</v>
      </c>
      <c r="F1006" s="3">
        <f>1.8*E1006+32</f>
        <v>77.900000000000006</v>
      </c>
      <c r="G1006" s="3">
        <v>21</v>
      </c>
      <c r="H1006" s="3">
        <f>IF(F1006&gt;68,G1006+(F1006-68)*0.2,G1147-(68-F1006)*0.2)</f>
        <v>22.98</v>
      </c>
      <c r="I1006" s="3">
        <v>24</v>
      </c>
      <c r="J1006" s="3">
        <f>1.8*I1006+32</f>
        <v>75.2</v>
      </c>
      <c r="K1006" s="3">
        <v>13</v>
      </c>
      <c r="L1006" s="3">
        <f>IF(J1006&gt;67,K1006+(J1006-67)*0.2,K1006-(67-J1006)*0.2)</f>
        <v>14.64</v>
      </c>
      <c r="M1006" s="3">
        <f>(C1006-H1006)/C1006*100</f>
        <v>54.04</v>
      </c>
      <c r="N1006" s="3">
        <f>100-(M1006+O1006)</f>
        <v>16.680000000000007</v>
      </c>
      <c r="O1006" s="3">
        <f>L1006/C1006*100</f>
        <v>29.28</v>
      </c>
      <c r="P1006" s="1" t="s">
        <v>2</v>
      </c>
      <c r="Q1006" s="2">
        <v>407362.87599999999</v>
      </c>
      <c r="R1006" s="2">
        <v>3660029</v>
      </c>
      <c r="S1006" s="1"/>
    </row>
    <row r="1007" spans="1:19" x14ac:dyDescent="0.25">
      <c r="A1007" s="4">
        <v>167</v>
      </c>
      <c r="B1007">
        <v>90</v>
      </c>
      <c r="C1007">
        <v>50</v>
      </c>
      <c r="D1007">
        <v>20</v>
      </c>
      <c r="E1007" s="3">
        <v>26</v>
      </c>
      <c r="F1007" s="3">
        <f>1.8*E1007+32</f>
        <v>78.800000000000011</v>
      </c>
      <c r="G1007" s="3">
        <v>17</v>
      </c>
      <c r="H1007" s="3">
        <f>IF(F1007&gt;68,G1007+(F1007-68)*0.2,G1148-(68-F1007)*0.2)</f>
        <v>19.160000000000004</v>
      </c>
      <c r="I1007" s="3">
        <v>24</v>
      </c>
      <c r="J1007" s="3">
        <f>1.8*I1007+32</f>
        <v>75.2</v>
      </c>
      <c r="K1007" s="3">
        <v>10</v>
      </c>
      <c r="L1007" s="3">
        <f>IF(J1007&gt;67,K1007+(J1007-67)*0.2,K1007-(67-J1007)*0.2)</f>
        <v>11.64</v>
      </c>
      <c r="M1007" s="3">
        <f>(C1007-H1007)/C1007*100</f>
        <v>61.679999999999993</v>
      </c>
      <c r="N1007" s="3">
        <f>100-(M1007+O1007)</f>
        <v>15.040000000000006</v>
      </c>
      <c r="O1007" s="3">
        <f>L1007/C1007*100</f>
        <v>23.28</v>
      </c>
      <c r="P1007" s="1" t="s">
        <v>2</v>
      </c>
      <c r="Q1007" s="2">
        <v>407362.87599999999</v>
      </c>
      <c r="R1007" s="2">
        <v>3660029</v>
      </c>
      <c r="S1007" s="1"/>
    </row>
    <row r="1008" spans="1:19" x14ac:dyDescent="0.25">
      <c r="A1008" s="4">
        <v>167</v>
      </c>
      <c r="B1008">
        <v>120</v>
      </c>
      <c r="C1008">
        <v>50</v>
      </c>
      <c r="D1008">
        <v>20</v>
      </c>
      <c r="E1008" s="3">
        <v>26.5</v>
      </c>
      <c r="F1008" s="3">
        <f>1.8*E1008+32</f>
        <v>79.7</v>
      </c>
      <c r="G1008" s="3">
        <v>7</v>
      </c>
      <c r="H1008" s="3">
        <f>IF(F1008&gt;68,G1008+(F1008-68)*0.2,G1149-(68-F1008)*0.2)</f>
        <v>9.34</v>
      </c>
      <c r="I1008" s="3">
        <v>24</v>
      </c>
      <c r="J1008" s="3">
        <f>1.8*I1008+32</f>
        <v>75.2</v>
      </c>
      <c r="K1008" s="3">
        <v>3</v>
      </c>
      <c r="L1008" s="3">
        <f>IF(J1008&gt;67,K1008+(J1008-67)*0.2,K1008-(67-J1008)*0.2)</f>
        <v>4.6400000000000006</v>
      </c>
      <c r="M1008" s="3">
        <f>(C1008-H1008)/C1008*100</f>
        <v>81.319999999999993</v>
      </c>
      <c r="N1008" s="3">
        <f>100-(M1008+O1008)</f>
        <v>9.4000000000000057</v>
      </c>
      <c r="O1008" s="3">
        <f>L1008/C1008*100</f>
        <v>9.2800000000000011</v>
      </c>
      <c r="P1008" s="1" t="s">
        <v>1</v>
      </c>
      <c r="Q1008" s="2">
        <v>407362.87599999999</v>
      </c>
      <c r="R1008" s="2">
        <v>3660029</v>
      </c>
      <c r="S1008" s="1"/>
    </row>
    <row r="1009" spans="1:19" x14ac:dyDescent="0.25">
      <c r="A1009" s="4">
        <v>167</v>
      </c>
      <c r="B1009">
        <v>150</v>
      </c>
      <c r="C1009">
        <v>50</v>
      </c>
      <c r="D1009">
        <v>20</v>
      </c>
      <c r="E1009" s="3">
        <v>25.5</v>
      </c>
      <c r="F1009" s="3">
        <f>1.8*E1009+32</f>
        <v>77.900000000000006</v>
      </c>
      <c r="G1009" s="3">
        <v>7</v>
      </c>
      <c r="H1009" s="3">
        <f>IF(F1009&gt;68,G1009+(F1009-68)*0.2,G1150-(68-F1009)*0.2)</f>
        <v>8.98</v>
      </c>
      <c r="I1009" s="3">
        <v>23.5</v>
      </c>
      <c r="J1009" s="3">
        <f>1.8*I1009+32</f>
        <v>74.300000000000011</v>
      </c>
      <c r="K1009" s="3">
        <v>4</v>
      </c>
      <c r="L1009" s="3">
        <f>IF(J1009&gt;67,K1009+(J1009-67)*0.2,K1009-(67-J1009)*0.2)</f>
        <v>5.4600000000000026</v>
      </c>
      <c r="M1009" s="3">
        <f>(C1009-H1009)/C1009*100</f>
        <v>82.039999999999992</v>
      </c>
      <c r="N1009" s="3">
        <f>100-(M1009+O1009)</f>
        <v>7.0400000000000063</v>
      </c>
      <c r="O1009" s="3">
        <f>L1009/C1009*100</f>
        <v>10.920000000000005</v>
      </c>
      <c r="P1009" s="1" t="s">
        <v>1</v>
      </c>
      <c r="Q1009" s="2">
        <v>407362.87599999999</v>
      </c>
      <c r="R1009" s="2">
        <v>3660029</v>
      </c>
      <c r="S1009" s="1"/>
    </row>
    <row r="1010" spans="1:19" x14ac:dyDescent="0.25">
      <c r="A1010" s="4">
        <v>167</v>
      </c>
      <c r="B1010">
        <v>180</v>
      </c>
      <c r="C1010">
        <v>50</v>
      </c>
      <c r="D1010">
        <v>20</v>
      </c>
      <c r="E1010" s="3">
        <v>25.5</v>
      </c>
      <c r="F1010" s="3">
        <f>1.8*E1010+32</f>
        <v>77.900000000000006</v>
      </c>
      <c r="G1010" s="3">
        <v>10</v>
      </c>
      <c r="H1010" s="3">
        <f>IF(F1010&gt;68,G1010+(F1010-68)*0.2,G1151-(68-F1010)*0.2)</f>
        <v>11.98</v>
      </c>
      <c r="I1010" s="3">
        <v>23.5</v>
      </c>
      <c r="J1010" s="3">
        <f>1.8*I1010+32</f>
        <v>74.300000000000011</v>
      </c>
      <c r="K1010" s="3">
        <v>4</v>
      </c>
      <c r="L1010" s="3">
        <f>IF(J1010&gt;67,K1010+(J1010-67)*0.2,K1010-(67-J1010)*0.2)</f>
        <v>5.4600000000000026</v>
      </c>
      <c r="M1010" s="3">
        <f>(C1010-H1010)/C1010*100</f>
        <v>76.039999999999992</v>
      </c>
      <c r="N1010" s="3">
        <f>100-(M1010+O1010)</f>
        <v>13.040000000000006</v>
      </c>
      <c r="O1010" s="3">
        <f>L1010/C1010*100</f>
        <v>10.920000000000005</v>
      </c>
      <c r="P1010" s="1" t="s">
        <v>0</v>
      </c>
      <c r="Q1010" s="2">
        <v>407362.87599999999</v>
      </c>
      <c r="R1010" s="2">
        <v>3660029</v>
      </c>
      <c r="S1010" s="1"/>
    </row>
  </sheetData>
  <mergeCells count="112">
    <mergeCell ref="Q976:R976"/>
    <mergeCell ref="Q985:R985"/>
    <mergeCell ref="Q994:R994"/>
    <mergeCell ref="Q1003:R1003"/>
    <mergeCell ref="Q931:R931"/>
    <mergeCell ref="Q940:R940"/>
    <mergeCell ref="Q949:R949"/>
    <mergeCell ref="Q958:R958"/>
    <mergeCell ref="Q967:R967"/>
    <mergeCell ref="Q886:R886"/>
    <mergeCell ref="Q895:R895"/>
    <mergeCell ref="Q904:R904"/>
    <mergeCell ref="Q913:R913"/>
    <mergeCell ref="Q922:R922"/>
    <mergeCell ref="Q841:R841"/>
    <mergeCell ref="Q850:R850"/>
    <mergeCell ref="Q859:R859"/>
    <mergeCell ref="Q868:R868"/>
    <mergeCell ref="Q877:R877"/>
    <mergeCell ref="Q796:R796"/>
    <mergeCell ref="Q805:R805"/>
    <mergeCell ref="Q814:R814"/>
    <mergeCell ref="Q823:R823"/>
    <mergeCell ref="Q832:R832"/>
    <mergeCell ref="Q751:R751"/>
    <mergeCell ref="Q760:R760"/>
    <mergeCell ref="Q769:R769"/>
    <mergeCell ref="Q778:R778"/>
    <mergeCell ref="Q787:R787"/>
    <mergeCell ref="Q706:R706"/>
    <mergeCell ref="Q715:R715"/>
    <mergeCell ref="Q724:R724"/>
    <mergeCell ref="Q733:R733"/>
    <mergeCell ref="Q742:R742"/>
    <mergeCell ref="Q661:R661"/>
    <mergeCell ref="Q670:R670"/>
    <mergeCell ref="Q679:R679"/>
    <mergeCell ref="Q688:R688"/>
    <mergeCell ref="Q697:R697"/>
    <mergeCell ref="Q616:R616"/>
    <mergeCell ref="Q625:R625"/>
    <mergeCell ref="Q634:R634"/>
    <mergeCell ref="Q643:R643"/>
    <mergeCell ref="Q652:R652"/>
    <mergeCell ref="Q571:R571"/>
    <mergeCell ref="Q580:R580"/>
    <mergeCell ref="Q589:R589"/>
    <mergeCell ref="Q598:R598"/>
    <mergeCell ref="Q607:R607"/>
    <mergeCell ref="Q526:R526"/>
    <mergeCell ref="Q535:R535"/>
    <mergeCell ref="Q544:R544"/>
    <mergeCell ref="Q553:R553"/>
    <mergeCell ref="Q562:R562"/>
    <mergeCell ref="Q481:R481"/>
    <mergeCell ref="Q490:R490"/>
    <mergeCell ref="Q499:R499"/>
    <mergeCell ref="Q508:R508"/>
    <mergeCell ref="Q517:R517"/>
    <mergeCell ref="Q463:R463"/>
    <mergeCell ref="Q472:R472"/>
    <mergeCell ref="Q346:R346"/>
    <mergeCell ref="Q355:R355"/>
    <mergeCell ref="Q364:R364"/>
    <mergeCell ref="Q373:R373"/>
    <mergeCell ref="Q382:R382"/>
    <mergeCell ref="Q130:R130"/>
    <mergeCell ref="Q139:R139"/>
    <mergeCell ref="Q148:R148"/>
    <mergeCell ref="Q436:R436"/>
    <mergeCell ref="Q445:R445"/>
    <mergeCell ref="Q454:R454"/>
    <mergeCell ref="Q49:R49"/>
    <mergeCell ref="Q4:R4"/>
    <mergeCell ref="Q13:R13"/>
    <mergeCell ref="Q22:R22"/>
    <mergeCell ref="Q31:R31"/>
    <mergeCell ref="Q40:R40"/>
    <mergeCell ref="Q103:R103"/>
    <mergeCell ref="Q112:R112"/>
    <mergeCell ref="Q121:R121"/>
    <mergeCell ref="Q265:R265"/>
    <mergeCell ref="Q274:R274"/>
    <mergeCell ref="Q283:R283"/>
    <mergeCell ref="Q220:R220"/>
    <mergeCell ref="Q229:R229"/>
    <mergeCell ref="Q238:R238"/>
    <mergeCell ref="Q247:R247"/>
    <mergeCell ref="Q427:R427"/>
    <mergeCell ref="Q391:R391"/>
    <mergeCell ref="Q400:R400"/>
    <mergeCell ref="Q409:R409"/>
    <mergeCell ref="Q157:R157"/>
    <mergeCell ref="Q58:R58"/>
    <mergeCell ref="Q67:R67"/>
    <mergeCell ref="Q76:R76"/>
    <mergeCell ref="Q85:R85"/>
    <mergeCell ref="Q94:R94"/>
    <mergeCell ref="Q310:R310"/>
    <mergeCell ref="Q319:R319"/>
    <mergeCell ref="Q328:R328"/>
    <mergeCell ref="Q256:R256"/>
    <mergeCell ref="Q337:R337"/>
    <mergeCell ref="Q418:R418"/>
    <mergeCell ref="Q292:R292"/>
    <mergeCell ref="Q301:R301"/>
    <mergeCell ref="Q166:R166"/>
    <mergeCell ref="Q175:R175"/>
    <mergeCell ref="Q184:R184"/>
    <mergeCell ref="Q193:R193"/>
    <mergeCell ref="Q202:R202"/>
    <mergeCell ref="Q211:R2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2D81-319C-4A99-92D3-D79A3712AC98}">
  <dimension ref="A1:AB805"/>
  <sheetViews>
    <sheetView tabSelected="1" zoomScale="85" zoomScaleNormal="85" workbookViewId="0">
      <pane ySplit="4" topLeftCell="A5" activePane="bottomLeft" state="frozen"/>
      <selection pane="bottomLeft" activeCell="T2" sqref="T2"/>
    </sheetView>
  </sheetViews>
  <sheetFormatPr defaultRowHeight="15" x14ac:dyDescent="0.25"/>
  <cols>
    <col min="1" max="1" width="8" bestFit="1" customWidth="1"/>
    <col min="2" max="2" width="7.140625" bestFit="1" customWidth="1"/>
    <col min="3" max="3" width="7.5703125" bestFit="1" customWidth="1"/>
    <col min="4" max="4" width="9" customWidth="1"/>
    <col min="5" max="5" width="8" bestFit="1" customWidth="1"/>
    <col min="6" max="6" width="9.85546875" bestFit="1" customWidth="1"/>
    <col min="7" max="7" width="8.85546875" bestFit="1" customWidth="1"/>
    <col min="8" max="8" width="9.5703125" bestFit="1" customWidth="1"/>
    <col min="9" max="9" width="9.42578125" bestFit="1" customWidth="1"/>
    <col min="10" max="10" width="11.28515625" bestFit="1" customWidth="1"/>
    <col min="11" max="11" width="8.85546875" bestFit="1" customWidth="1"/>
    <col min="12" max="12" width="9.5703125" bestFit="1" customWidth="1"/>
    <col min="13" max="13" width="7.7109375" bestFit="1" customWidth="1"/>
    <col min="14" max="14" width="6.7109375" bestFit="1" customWidth="1"/>
    <col min="15" max="15" width="7" bestFit="1" customWidth="1"/>
    <col min="16" max="16" width="18.28515625" bestFit="1" customWidth="1"/>
    <col min="17" max="17" width="10.7109375" bestFit="1" customWidth="1"/>
    <col min="18" max="18" width="11.7109375" bestFit="1" customWidth="1"/>
  </cols>
  <sheetData>
    <row r="1" spans="1:28" x14ac:dyDescent="0.25">
      <c r="A1" s="103" t="s">
        <v>935</v>
      </c>
      <c r="C1" s="58"/>
      <c r="D1" s="58" t="s">
        <v>934</v>
      </c>
      <c r="F1" s="58"/>
      <c r="G1" s="60"/>
      <c r="H1" s="58"/>
      <c r="I1" s="58"/>
      <c r="J1" s="58"/>
      <c r="K1" s="60"/>
      <c r="L1" s="58"/>
      <c r="M1" s="59"/>
      <c r="N1" s="59"/>
      <c r="O1" s="59"/>
      <c r="P1" s="58"/>
    </row>
    <row r="2" spans="1:28" x14ac:dyDescent="0.25">
      <c r="A2" s="61"/>
      <c r="B2" s="58"/>
      <c r="C2" s="58"/>
      <c r="D2" s="58"/>
      <c r="E2" s="58"/>
      <c r="F2" s="58"/>
      <c r="G2" s="60"/>
      <c r="H2" s="58"/>
      <c r="I2" s="58"/>
      <c r="J2" s="58"/>
      <c r="K2" s="60"/>
      <c r="L2" s="58"/>
      <c r="M2" s="59"/>
      <c r="N2" s="59"/>
      <c r="O2" s="59"/>
      <c r="P2" s="58"/>
      <c r="T2" t="s">
        <v>933</v>
      </c>
    </row>
    <row r="3" spans="1:28" x14ac:dyDescent="0.25">
      <c r="A3" s="61"/>
      <c r="B3" s="58"/>
      <c r="C3" s="58"/>
      <c r="D3" s="58"/>
      <c r="E3" s="58"/>
      <c r="F3" s="58"/>
      <c r="G3" s="60"/>
      <c r="H3" s="58"/>
      <c r="I3" s="58"/>
      <c r="J3" s="58"/>
      <c r="K3" s="60"/>
      <c r="L3" s="58"/>
      <c r="M3" s="59"/>
      <c r="N3" s="59"/>
      <c r="O3" s="59"/>
      <c r="P3" s="58"/>
      <c r="T3" s="71" t="s">
        <v>823</v>
      </c>
      <c r="U3" s="71" t="s">
        <v>822</v>
      </c>
      <c r="V3" s="71" t="s">
        <v>821</v>
      </c>
      <c r="W3" s="71" t="s">
        <v>820</v>
      </c>
      <c r="X3" s="71" t="s">
        <v>819</v>
      </c>
      <c r="Y3" s="71" t="s">
        <v>818</v>
      </c>
      <c r="Z3" s="71" t="s">
        <v>817</v>
      </c>
      <c r="AA3" s="71" t="s">
        <v>816</v>
      </c>
      <c r="AB3" s="71" t="s">
        <v>815</v>
      </c>
    </row>
    <row r="4" spans="1:28" ht="51.75" x14ac:dyDescent="0.25">
      <c r="A4" s="102" t="s">
        <v>21</v>
      </c>
      <c r="B4" s="96" t="s">
        <v>20</v>
      </c>
      <c r="C4" s="101" t="s">
        <v>19</v>
      </c>
      <c r="D4" s="100" t="s">
        <v>18</v>
      </c>
      <c r="E4" s="98" t="s">
        <v>17</v>
      </c>
      <c r="F4" s="98" t="s">
        <v>16</v>
      </c>
      <c r="G4" s="99" t="s">
        <v>15</v>
      </c>
      <c r="H4" s="98" t="s">
        <v>14</v>
      </c>
      <c r="I4" s="98" t="s">
        <v>13</v>
      </c>
      <c r="J4" s="98" t="s">
        <v>12</v>
      </c>
      <c r="K4" s="99" t="s">
        <v>11</v>
      </c>
      <c r="L4" s="98" t="s">
        <v>10</v>
      </c>
      <c r="M4" s="97" t="s">
        <v>9</v>
      </c>
      <c r="N4" s="97" t="s">
        <v>8</v>
      </c>
      <c r="O4" s="97" t="s">
        <v>7</v>
      </c>
      <c r="P4" s="96" t="s">
        <v>6</v>
      </c>
      <c r="Q4" s="95" t="s">
        <v>5</v>
      </c>
      <c r="R4" s="95"/>
      <c r="T4" s="71"/>
      <c r="U4" s="71"/>
      <c r="V4" s="71" t="s">
        <v>813</v>
      </c>
      <c r="W4" s="71" t="s">
        <v>813</v>
      </c>
      <c r="X4" s="71" t="s">
        <v>812</v>
      </c>
      <c r="Y4" s="71" t="s">
        <v>810</v>
      </c>
      <c r="Z4" s="71" t="s">
        <v>811</v>
      </c>
      <c r="AA4" s="71" t="s">
        <v>811</v>
      </c>
      <c r="AB4" s="71" t="s">
        <v>810</v>
      </c>
    </row>
    <row r="5" spans="1:28" x14ac:dyDescent="0.25">
      <c r="A5" s="94"/>
      <c r="B5" s="88"/>
      <c r="C5" s="93"/>
      <c r="D5" s="92"/>
      <c r="E5" s="90"/>
      <c r="F5" s="90"/>
      <c r="G5" s="91"/>
      <c r="H5" s="90"/>
      <c r="I5" s="90"/>
      <c r="J5" s="90"/>
      <c r="K5" s="91"/>
      <c r="L5" s="90"/>
      <c r="M5" s="89"/>
      <c r="N5" s="89"/>
      <c r="O5" s="89"/>
      <c r="P5" s="88"/>
      <c r="Q5" s="87" t="s">
        <v>4</v>
      </c>
      <c r="R5" s="87" t="s">
        <v>3</v>
      </c>
      <c r="T5" s="71">
        <v>2008034</v>
      </c>
      <c r="U5" s="71" t="s">
        <v>932</v>
      </c>
      <c r="V5" s="71">
        <v>6.0580000000000002E-2</v>
      </c>
      <c r="W5" s="71">
        <v>0.38545000000000001</v>
      </c>
      <c r="X5" s="71">
        <v>2.6960000000000001E-2</v>
      </c>
      <c r="Y5" s="71">
        <v>1.34521</v>
      </c>
      <c r="Z5" s="71">
        <v>18.308710000000001</v>
      </c>
      <c r="AA5" s="71">
        <v>10.09845</v>
      </c>
      <c r="AB5" s="71">
        <v>-1.38662</v>
      </c>
    </row>
    <row r="6" spans="1:28" x14ac:dyDescent="0.25">
      <c r="A6" s="86">
        <v>73</v>
      </c>
      <c r="B6" s="85" t="s">
        <v>845</v>
      </c>
      <c r="C6" s="84">
        <v>50</v>
      </c>
      <c r="D6" s="83">
        <v>20</v>
      </c>
      <c r="E6" s="81">
        <v>22</v>
      </c>
      <c r="F6" s="81">
        <f>1.8*E6+32</f>
        <v>71.599999999999994</v>
      </c>
      <c r="G6" s="82">
        <v>23</v>
      </c>
      <c r="H6" s="81">
        <f>IF(F6&gt;68,G6+(F6-68)*0.2,#REF!-(68-F6)*0.2)</f>
        <v>23.72</v>
      </c>
      <c r="I6" s="81">
        <v>21</v>
      </c>
      <c r="J6" s="81">
        <f>1.8*I6+32</f>
        <v>69.800000000000011</v>
      </c>
      <c r="K6" s="82">
        <v>12</v>
      </c>
      <c r="L6" s="81">
        <f>IF(J6&gt;68,K6+(J6-68)*0.2,K6-(68-J6)*0.2)</f>
        <v>12.360000000000003</v>
      </c>
      <c r="M6" s="80">
        <f>(C6-H6)/C6*100</f>
        <v>52.560000000000009</v>
      </c>
      <c r="N6" s="80">
        <f>100-(M6+O6)</f>
        <v>22.719999999999985</v>
      </c>
      <c r="O6" s="80">
        <f>L6/C6*100</f>
        <v>24.720000000000006</v>
      </c>
      <c r="P6" s="79" t="s">
        <v>2</v>
      </c>
      <c r="Q6" s="41">
        <v>407595.26199999999</v>
      </c>
      <c r="R6" s="41">
        <v>3659994.1290000002</v>
      </c>
      <c r="T6" s="71">
        <v>2008034</v>
      </c>
      <c r="U6" s="71" t="s">
        <v>931</v>
      </c>
      <c r="V6" s="71">
        <v>7.3569999999999997E-2</v>
      </c>
      <c r="W6" s="71">
        <v>0.39457999999999999</v>
      </c>
      <c r="X6" s="71">
        <v>2.5760000000000002E-2</v>
      </c>
      <c r="Y6" s="71">
        <v>1.28487</v>
      </c>
      <c r="Z6" s="71">
        <v>10.28116</v>
      </c>
      <c r="AA6" s="71">
        <v>7.5061099999999996</v>
      </c>
      <c r="AB6" s="71">
        <v>-1.7953399999999999</v>
      </c>
    </row>
    <row r="7" spans="1:28" x14ac:dyDescent="0.25">
      <c r="A7" s="49">
        <v>73</v>
      </c>
      <c r="B7" s="48" t="s">
        <v>844</v>
      </c>
      <c r="C7" s="47">
        <v>50</v>
      </c>
      <c r="D7" s="46">
        <v>20</v>
      </c>
      <c r="E7" s="44">
        <v>22</v>
      </c>
      <c r="F7" s="44">
        <f>1.8*E7+32</f>
        <v>71.599999999999994</v>
      </c>
      <c r="G7" s="45">
        <v>23</v>
      </c>
      <c r="H7" s="44">
        <f>IF(F7&gt;68,G7+(F7-68)*0.2,Y38-(68-F7)*0.2)</f>
        <v>23.72</v>
      </c>
      <c r="I7" s="44">
        <v>21</v>
      </c>
      <c r="J7" s="44">
        <f>1.8*I7+32</f>
        <v>69.800000000000011</v>
      </c>
      <c r="K7" s="45">
        <v>12</v>
      </c>
      <c r="L7" s="44">
        <f>IF(J7&gt;68,K7+(J7-68)*0.2,K7-(68-J7)*0.2)</f>
        <v>12.360000000000003</v>
      </c>
      <c r="M7" s="43">
        <f>(C7-H7)/C7*100</f>
        <v>52.560000000000009</v>
      </c>
      <c r="N7" s="43">
        <f>100-(M7+O7)</f>
        <v>22.719999999999985</v>
      </c>
      <c r="O7" s="43">
        <f>L7/C7*100</f>
        <v>24.720000000000006</v>
      </c>
      <c r="P7" s="42" t="s">
        <v>2</v>
      </c>
      <c r="Q7" s="41">
        <v>407595.26199999999</v>
      </c>
      <c r="R7" s="41">
        <v>3659994.1290000002</v>
      </c>
      <c r="T7" s="71">
        <v>2008034</v>
      </c>
      <c r="U7" s="71" t="s">
        <v>930</v>
      </c>
      <c r="V7" s="71">
        <v>5.2040000000000003E-2</v>
      </c>
      <c r="W7" s="71">
        <v>0.37662000000000001</v>
      </c>
      <c r="X7" s="71">
        <v>3.227E-2</v>
      </c>
      <c r="Y7" s="71">
        <v>1.5110699999999999</v>
      </c>
      <c r="Z7" s="71">
        <v>53.113930000000003</v>
      </c>
      <c r="AA7" s="71">
        <v>16.582439999999998</v>
      </c>
      <c r="AB7" s="71">
        <v>-1.0797000000000001</v>
      </c>
    </row>
    <row r="8" spans="1:28" x14ac:dyDescent="0.25">
      <c r="A8" s="49">
        <v>73</v>
      </c>
      <c r="B8" s="48" t="s">
        <v>843</v>
      </c>
      <c r="C8" s="47">
        <v>50</v>
      </c>
      <c r="D8" s="46">
        <v>20</v>
      </c>
      <c r="E8" s="44">
        <v>22</v>
      </c>
      <c r="F8" s="44">
        <f>1.8*E8+32</f>
        <v>71.599999999999994</v>
      </c>
      <c r="G8" s="45">
        <v>22</v>
      </c>
      <c r="H8" s="44">
        <f>IF(F8&gt;68,G8+(F8-68)*0.2,Y39-(68-F8)*0.2)</f>
        <v>22.72</v>
      </c>
      <c r="I8" s="44">
        <v>21</v>
      </c>
      <c r="J8" s="44">
        <f>1.8*I8+32</f>
        <v>69.800000000000011</v>
      </c>
      <c r="K8" s="45">
        <v>12</v>
      </c>
      <c r="L8" s="44">
        <f>IF(J8&gt;68,K8+(J8-68)*0.2,K8-(68-J8)*0.2)</f>
        <v>12.360000000000003</v>
      </c>
      <c r="M8" s="43">
        <f>(C8-H8)/C8*100</f>
        <v>54.559999999999995</v>
      </c>
      <c r="N8" s="43">
        <f>100-(M8+O8)</f>
        <v>20.72</v>
      </c>
      <c r="O8" s="43">
        <f>L8/C8*100</f>
        <v>24.720000000000006</v>
      </c>
      <c r="P8" s="42" t="s">
        <v>2</v>
      </c>
      <c r="Q8" s="41">
        <v>407595.26199999999</v>
      </c>
      <c r="R8" s="41">
        <v>3659994.1290000002</v>
      </c>
      <c r="T8" s="71">
        <v>2008034</v>
      </c>
      <c r="U8" s="71" t="s">
        <v>929</v>
      </c>
      <c r="V8" s="71">
        <v>5.8979999999999998E-2</v>
      </c>
      <c r="W8" s="71">
        <v>0.37125000000000002</v>
      </c>
      <c r="X8" s="71">
        <v>2.776E-2</v>
      </c>
      <c r="Y8" s="71">
        <v>1.4584299999999999</v>
      </c>
      <c r="Z8" s="71">
        <v>33.680320000000002</v>
      </c>
      <c r="AA8" s="71">
        <v>11.367620000000001</v>
      </c>
      <c r="AB8" s="71">
        <v>-1.1530400000000001</v>
      </c>
    </row>
    <row r="9" spans="1:28" x14ac:dyDescent="0.25">
      <c r="A9" s="49">
        <v>73</v>
      </c>
      <c r="B9" s="48" t="s">
        <v>842</v>
      </c>
      <c r="C9" s="47">
        <v>50</v>
      </c>
      <c r="D9" s="46">
        <v>20</v>
      </c>
      <c r="E9" s="44">
        <v>22</v>
      </c>
      <c r="F9" s="44">
        <f>1.8*E9+32</f>
        <v>71.599999999999994</v>
      </c>
      <c r="G9" s="45">
        <v>29</v>
      </c>
      <c r="H9" s="44">
        <f>IF(F9&gt;68,G9+(F9-68)*0.2,Y40-(68-F9)*0.2)</f>
        <v>29.72</v>
      </c>
      <c r="I9" s="44">
        <v>21</v>
      </c>
      <c r="J9" s="44">
        <f>1.8*I9+32</f>
        <v>69.800000000000011</v>
      </c>
      <c r="K9" s="45">
        <v>17</v>
      </c>
      <c r="L9" s="44">
        <f>IF(J9&gt;68,K9+(J9-68)*0.2,K9-(68-J9)*0.2)</f>
        <v>17.360000000000003</v>
      </c>
      <c r="M9" s="43">
        <f>(C9-H9)/C9*100</f>
        <v>40.56</v>
      </c>
      <c r="N9" s="43">
        <f>100-(M9+O9)</f>
        <v>24.72</v>
      </c>
      <c r="O9" s="43">
        <f>L9/C9*100</f>
        <v>34.720000000000006</v>
      </c>
      <c r="P9" s="42" t="s">
        <v>22</v>
      </c>
      <c r="Q9" s="41">
        <v>407595.26199999999</v>
      </c>
      <c r="R9" s="41">
        <v>3659994.1290000002</v>
      </c>
      <c r="T9" s="71">
        <v>2008034</v>
      </c>
      <c r="U9" s="71" t="s">
        <v>928</v>
      </c>
      <c r="V9" s="71">
        <v>4.632E-2</v>
      </c>
      <c r="W9" s="71">
        <v>0.38046999999999997</v>
      </c>
      <c r="X9" s="71">
        <v>3.6240000000000001E-2</v>
      </c>
      <c r="Y9" s="71">
        <v>1.6233299999999999</v>
      </c>
      <c r="Z9" s="71">
        <v>81.081599999999995</v>
      </c>
      <c r="AA9" s="71">
        <v>23.684889999999999</v>
      </c>
      <c r="AB9" s="71">
        <v>-0.96597</v>
      </c>
    </row>
    <row r="10" spans="1:28" x14ac:dyDescent="0.25">
      <c r="A10" s="49">
        <v>73</v>
      </c>
      <c r="B10" s="48" t="s">
        <v>841</v>
      </c>
      <c r="C10" s="47">
        <v>50</v>
      </c>
      <c r="D10" s="46">
        <v>20</v>
      </c>
      <c r="E10" s="44">
        <v>22</v>
      </c>
      <c r="F10" s="44">
        <f>1.8*E10+32</f>
        <v>71.599999999999994</v>
      </c>
      <c r="G10" s="45">
        <v>22</v>
      </c>
      <c r="H10" s="44">
        <f>IF(F10&gt;68,G10+(F10-68)*0.2,Y41-(68-F10)*0.2)</f>
        <v>22.72</v>
      </c>
      <c r="I10" s="44">
        <v>21</v>
      </c>
      <c r="J10" s="44">
        <f>1.8*I10+32</f>
        <v>69.800000000000011</v>
      </c>
      <c r="K10" s="45">
        <v>10</v>
      </c>
      <c r="L10" s="44">
        <f>IF(J10&gt;68,K10+(J10-68)*0.2,K10-(68-J10)*0.2)</f>
        <v>10.360000000000003</v>
      </c>
      <c r="M10" s="43">
        <f>(C10-H10)/C10*100</f>
        <v>54.559999999999995</v>
      </c>
      <c r="N10" s="43">
        <f>100-(M10+O10)</f>
        <v>24.72</v>
      </c>
      <c r="O10" s="43">
        <f>L10/C10*100</f>
        <v>20.720000000000006</v>
      </c>
      <c r="P10" s="42" t="s">
        <v>2</v>
      </c>
      <c r="Q10" s="41">
        <v>407595.26199999999</v>
      </c>
      <c r="R10" s="41">
        <v>3659994.1290000002</v>
      </c>
      <c r="T10" s="71">
        <v>2008034</v>
      </c>
      <c r="U10" s="71" t="s">
        <v>927</v>
      </c>
      <c r="V10" s="71">
        <v>5.2060000000000002E-2</v>
      </c>
      <c r="W10" s="71">
        <v>0.37936999999999999</v>
      </c>
      <c r="X10" s="71">
        <v>3.2099999999999997E-2</v>
      </c>
      <c r="Y10" s="71">
        <v>1.4077900000000001</v>
      </c>
      <c r="Z10" s="71">
        <v>35.710850000000001</v>
      </c>
      <c r="AA10" s="71">
        <v>15.012700000000001</v>
      </c>
      <c r="AB10" s="71">
        <v>-1.2456700000000001</v>
      </c>
    </row>
    <row r="11" spans="1:28" x14ac:dyDescent="0.25">
      <c r="A11" s="49">
        <v>73</v>
      </c>
      <c r="B11" s="48" t="s">
        <v>839</v>
      </c>
      <c r="C11" s="47">
        <v>50</v>
      </c>
      <c r="D11" s="46">
        <v>20</v>
      </c>
      <c r="E11" s="44">
        <v>22</v>
      </c>
      <c r="F11" s="44">
        <f>1.8*E11+32</f>
        <v>71.599999999999994</v>
      </c>
      <c r="G11" s="45">
        <v>16</v>
      </c>
      <c r="H11" s="44">
        <f>IF(F11&gt;68,G11+(F11-68)*0.2,Y42-(68-F11)*0.2)</f>
        <v>16.72</v>
      </c>
      <c r="I11" s="44">
        <v>21</v>
      </c>
      <c r="J11" s="44">
        <f>1.8*I11+32</f>
        <v>69.800000000000011</v>
      </c>
      <c r="K11" s="45">
        <v>7</v>
      </c>
      <c r="L11" s="44">
        <f>IF(J11&gt;68,K11+(J11-68)*0.2,K11-(68-J11)*0.2)</f>
        <v>7.3600000000000021</v>
      </c>
      <c r="M11" s="43">
        <f>(C11-H11)/C11*100</f>
        <v>66.56</v>
      </c>
      <c r="N11" s="43">
        <f>100-(M11+O11)</f>
        <v>18.72</v>
      </c>
      <c r="O11" s="43">
        <f>L11/C11*100</f>
        <v>14.720000000000006</v>
      </c>
      <c r="P11" s="42" t="s">
        <v>0</v>
      </c>
      <c r="Q11" s="41">
        <v>407595.26199999999</v>
      </c>
      <c r="R11" s="41">
        <v>3659994.1290000002</v>
      </c>
      <c r="T11" s="71">
        <v>2008034</v>
      </c>
      <c r="U11" s="71" t="s">
        <v>926</v>
      </c>
      <c r="V11" s="71">
        <v>7.041E-2</v>
      </c>
      <c r="W11" s="71">
        <v>0.38405</v>
      </c>
      <c r="X11" s="71">
        <v>2.7099999999999999E-2</v>
      </c>
      <c r="Y11" s="71">
        <v>1.2809299999999999</v>
      </c>
      <c r="Z11" s="71">
        <v>12.765779999999999</v>
      </c>
      <c r="AA11" s="71">
        <v>8.0039800000000003</v>
      </c>
      <c r="AB11" s="71">
        <v>-1.88191</v>
      </c>
    </row>
    <row r="12" spans="1:28" x14ac:dyDescent="0.25">
      <c r="A12" s="61"/>
      <c r="B12" s="58"/>
      <c r="C12" s="58"/>
      <c r="D12" s="58"/>
      <c r="E12" s="58"/>
      <c r="F12" s="58"/>
      <c r="G12" s="60"/>
      <c r="H12" s="58"/>
      <c r="I12" s="58"/>
      <c r="J12" s="58"/>
      <c r="K12" s="60"/>
      <c r="L12" s="58"/>
      <c r="M12" s="59"/>
      <c r="N12" s="59"/>
      <c r="O12" s="59"/>
      <c r="P12" s="58"/>
      <c r="T12" s="71">
        <v>2008034</v>
      </c>
      <c r="U12" s="71" t="s">
        <v>925</v>
      </c>
      <c r="V12" s="71">
        <v>6.0839999999999998E-2</v>
      </c>
      <c r="W12" s="71">
        <v>0.37684000000000001</v>
      </c>
      <c r="X12" s="71">
        <v>2.8649999999999998E-2</v>
      </c>
      <c r="Y12" s="71">
        <v>1.3445100000000001</v>
      </c>
      <c r="Z12" s="71">
        <v>20.030750000000001</v>
      </c>
      <c r="AA12" s="71">
        <v>10.479189999999999</v>
      </c>
      <c r="AB12" s="71">
        <v>-1.4722900000000001</v>
      </c>
    </row>
    <row r="13" spans="1:28" x14ac:dyDescent="0.25">
      <c r="A13" s="78"/>
      <c r="B13" s="72"/>
      <c r="C13" s="77"/>
      <c r="D13" s="76"/>
      <c r="E13" s="74"/>
      <c r="F13" s="74"/>
      <c r="G13" s="75"/>
      <c r="H13" s="74"/>
      <c r="I13" s="74"/>
      <c r="J13" s="74"/>
      <c r="K13" s="75"/>
      <c r="L13" s="74"/>
      <c r="M13" s="73"/>
      <c r="N13" s="73"/>
      <c r="O13" s="73"/>
      <c r="P13" s="72"/>
      <c r="Q13" s="5" t="s">
        <v>4</v>
      </c>
      <c r="R13" s="5" t="s">
        <v>3</v>
      </c>
      <c r="T13" s="71">
        <v>2008034</v>
      </c>
      <c r="U13" s="71" t="s">
        <v>924</v>
      </c>
      <c r="V13" s="71">
        <v>5.2940000000000001E-2</v>
      </c>
      <c r="W13" s="71">
        <v>0.37770999999999999</v>
      </c>
      <c r="X13" s="71">
        <v>3.1850000000000003E-2</v>
      </c>
      <c r="Y13" s="71">
        <v>1.42631</v>
      </c>
      <c r="Z13" s="71">
        <v>37.822980000000001</v>
      </c>
      <c r="AA13" s="71">
        <v>14.8687</v>
      </c>
      <c r="AB13" s="71">
        <v>-1.2133499999999999</v>
      </c>
    </row>
    <row r="14" spans="1:28" x14ac:dyDescent="0.25">
      <c r="A14" s="49">
        <v>94</v>
      </c>
      <c r="B14" s="48" t="s">
        <v>845</v>
      </c>
      <c r="C14" s="47">
        <v>50</v>
      </c>
      <c r="D14" s="46">
        <v>20</v>
      </c>
      <c r="E14" s="44">
        <v>22</v>
      </c>
      <c r="F14" s="44">
        <f>1.8*E14+32</f>
        <v>71.599999999999994</v>
      </c>
      <c r="G14" s="45">
        <v>20</v>
      </c>
      <c r="H14" s="44">
        <f>IF(F14&gt;68,G14+(F14-68)*0.2,#REF!-(68-F14)*0.2)</f>
        <v>20.72</v>
      </c>
      <c r="I14" s="44">
        <v>21</v>
      </c>
      <c r="J14" s="44">
        <f>1.8*I14+32</f>
        <v>69.800000000000011</v>
      </c>
      <c r="K14" s="45">
        <v>11</v>
      </c>
      <c r="L14" s="44">
        <f>IF(J14&gt;68,K14+(J14-68)*0.2,K14-(68-J14)*0.2)</f>
        <v>11.360000000000003</v>
      </c>
      <c r="M14" s="43">
        <f>(C14-H14)/C14*100</f>
        <v>58.56</v>
      </c>
      <c r="N14" s="43">
        <f>100-(M14+O14)</f>
        <v>18.72</v>
      </c>
      <c r="O14" s="43">
        <f>L14/C14*100</f>
        <v>22.720000000000006</v>
      </c>
      <c r="P14" s="42" t="s">
        <v>2</v>
      </c>
      <c r="Q14" s="41">
        <v>407591.63199999998</v>
      </c>
      <c r="R14" s="41">
        <v>3659976.1209999998</v>
      </c>
      <c r="T14" s="71">
        <v>2008034</v>
      </c>
      <c r="U14" s="71" t="s">
        <v>923</v>
      </c>
      <c r="V14" s="71">
        <v>5.0990000000000001E-2</v>
      </c>
      <c r="W14" s="71">
        <v>0.38231999999999999</v>
      </c>
      <c r="X14" s="71">
        <v>3.1150000000000001E-2</v>
      </c>
      <c r="Y14" s="71">
        <v>1.3865000000000001</v>
      </c>
      <c r="Z14" s="71">
        <v>32.009219999999999</v>
      </c>
      <c r="AA14" s="71">
        <v>14.49666</v>
      </c>
      <c r="AB14" s="71">
        <v>-1.2599899999999999</v>
      </c>
    </row>
    <row r="15" spans="1:28" x14ac:dyDescent="0.25">
      <c r="A15" s="49">
        <v>94</v>
      </c>
      <c r="B15" s="48" t="s">
        <v>844</v>
      </c>
      <c r="C15" s="47">
        <v>50</v>
      </c>
      <c r="D15" s="46">
        <v>20</v>
      </c>
      <c r="E15" s="44">
        <v>22</v>
      </c>
      <c r="F15" s="44">
        <f>1.8*E15+32</f>
        <v>71.599999999999994</v>
      </c>
      <c r="G15" s="45">
        <v>21</v>
      </c>
      <c r="H15" s="44">
        <f>IF(F15&gt;68,G15+(F15-68)*0.2,Y46-(68-F15)*0.2)</f>
        <v>21.72</v>
      </c>
      <c r="I15" s="44">
        <v>21</v>
      </c>
      <c r="J15" s="44">
        <f>1.8*I15+32</f>
        <v>69.800000000000011</v>
      </c>
      <c r="K15" s="45">
        <v>12</v>
      </c>
      <c r="L15" s="44">
        <f>IF(J15&gt;68,K15+(J15-68)*0.2,K15-(68-J15)*0.2)</f>
        <v>12.360000000000003</v>
      </c>
      <c r="M15" s="43">
        <f>(C15-H15)/C15*100</f>
        <v>56.56</v>
      </c>
      <c r="N15" s="43">
        <f>100-(M15+O15)</f>
        <v>18.72</v>
      </c>
      <c r="O15" s="43">
        <f>L15/C15*100</f>
        <v>24.720000000000006</v>
      </c>
      <c r="P15" s="42" t="s">
        <v>2</v>
      </c>
      <c r="Q15" s="41">
        <v>407591.63199999998</v>
      </c>
      <c r="R15" s="41">
        <v>3659976.1209999998</v>
      </c>
      <c r="T15" s="71">
        <v>2008034</v>
      </c>
      <c r="U15" s="71" t="s">
        <v>922</v>
      </c>
      <c r="V15" s="71">
        <v>5.3850000000000002E-2</v>
      </c>
      <c r="W15" s="71">
        <v>0.37469000000000002</v>
      </c>
      <c r="X15" s="71">
        <v>3.091E-2</v>
      </c>
      <c r="Y15" s="71">
        <v>1.56036</v>
      </c>
      <c r="Z15" s="71">
        <v>58.705190000000002</v>
      </c>
      <c r="AA15" s="71">
        <v>15.695919999999999</v>
      </c>
      <c r="AB15" s="71">
        <v>-1.03077</v>
      </c>
    </row>
    <row r="16" spans="1:28" x14ac:dyDescent="0.25">
      <c r="A16" s="49">
        <v>94</v>
      </c>
      <c r="B16" s="48" t="s">
        <v>843</v>
      </c>
      <c r="C16" s="47">
        <v>50</v>
      </c>
      <c r="D16" s="46">
        <v>20</v>
      </c>
      <c r="E16" s="44">
        <v>22</v>
      </c>
      <c r="F16" s="44">
        <f>1.8*E16+32</f>
        <v>71.599999999999994</v>
      </c>
      <c r="G16" s="45">
        <v>20</v>
      </c>
      <c r="H16" s="44">
        <f>IF(F16&gt;68,G16+(F16-68)*0.2,Y47-(68-F16)*0.2)</f>
        <v>20.72</v>
      </c>
      <c r="I16" s="44">
        <v>21</v>
      </c>
      <c r="J16" s="44">
        <f>1.8*I16+32</f>
        <v>69.800000000000011</v>
      </c>
      <c r="K16" s="45">
        <v>10</v>
      </c>
      <c r="L16" s="44">
        <f>IF(J16&gt;68,K16+(J16-68)*0.2,K16-(68-J16)*0.2)</f>
        <v>10.360000000000003</v>
      </c>
      <c r="M16" s="43">
        <f>(C16-H16)/C16*100</f>
        <v>58.56</v>
      </c>
      <c r="N16" s="43">
        <f>100-(M16+O16)</f>
        <v>20.72</v>
      </c>
      <c r="O16" s="43">
        <f>L16/C16*100</f>
        <v>20.720000000000006</v>
      </c>
      <c r="P16" s="42" t="s">
        <v>2</v>
      </c>
      <c r="Q16" s="41">
        <v>407591.63199999998</v>
      </c>
      <c r="R16" s="41">
        <v>3659976.1209999998</v>
      </c>
      <c r="T16" s="71">
        <v>2008034</v>
      </c>
      <c r="U16" s="71" t="s">
        <v>921</v>
      </c>
      <c r="V16" s="71">
        <v>5.8979999999999998E-2</v>
      </c>
      <c r="W16" s="71">
        <v>0.37125000000000002</v>
      </c>
      <c r="X16" s="71">
        <v>2.776E-2</v>
      </c>
      <c r="Y16" s="71">
        <v>1.4584299999999999</v>
      </c>
      <c r="Z16" s="71">
        <v>33.680320000000002</v>
      </c>
      <c r="AA16" s="71">
        <v>11.367620000000001</v>
      </c>
      <c r="AB16" s="71">
        <v>-1.1530400000000001</v>
      </c>
    </row>
    <row r="17" spans="1:28" x14ac:dyDescent="0.25">
      <c r="A17" s="49">
        <v>94</v>
      </c>
      <c r="B17" s="48" t="s">
        <v>842</v>
      </c>
      <c r="C17" s="47">
        <v>50</v>
      </c>
      <c r="D17" s="46">
        <v>20</v>
      </c>
      <c r="E17" s="44">
        <v>22</v>
      </c>
      <c r="F17" s="44">
        <f>1.8*E17+32</f>
        <v>71.599999999999994</v>
      </c>
      <c r="G17" s="45">
        <v>20</v>
      </c>
      <c r="H17" s="44">
        <f>IF(F17&gt;68,G17+(F17-68)*0.2,Y48-(68-F17)*0.2)</f>
        <v>20.72</v>
      </c>
      <c r="I17" s="44">
        <v>21</v>
      </c>
      <c r="J17" s="44">
        <f>1.8*I17+32</f>
        <v>69.800000000000011</v>
      </c>
      <c r="K17" s="45">
        <v>10</v>
      </c>
      <c r="L17" s="44">
        <f>IF(J17&gt;68,K17+(J17-68)*0.2,K17-(68-J17)*0.2)</f>
        <v>10.360000000000003</v>
      </c>
      <c r="M17" s="43">
        <f>(C17-H17)/C17*100</f>
        <v>58.56</v>
      </c>
      <c r="N17" s="43">
        <f>100-(M17+O17)</f>
        <v>20.72</v>
      </c>
      <c r="O17" s="43">
        <f>L17/C17*100</f>
        <v>20.720000000000006</v>
      </c>
      <c r="P17" s="42" t="s">
        <v>2</v>
      </c>
      <c r="Q17" s="41">
        <v>407591.63199999998</v>
      </c>
      <c r="R17" s="41">
        <v>3659976.1209999998</v>
      </c>
      <c r="T17" s="71">
        <v>2008034</v>
      </c>
      <c r="U17" s="71" t="s">
        <v>920</v>
      </c>
      <c r="V17" s="71">
        <v>5.4730000000000001E-2</v>
      </c>
      <c r="W17" s="71">
        <v>0.38971</v>
      </c>
      <c r="X17" s="71">
        <v>2.2089999999999999E-2</v>
      </c>
      <c r="Y17" s="71">
        <v>1.3904000000000001</v>
      </c>
      <c r="Z17" s="71">
        <v>20.49024</v>
      </c>
      <c r="AA17" s="71">
        <v>9.1235800000000005</v>
      </c>
      <c r="AB17" s="71">
        <v>-1.00553</v>
      </c>
    </row>
    <row r="18" spans="1:28" x14ac:dyDescent="0.25">
      <c r="A18" s="49">
        <v>94</v>
      </c>
      <c r="B18" s="48" t="s">
        <v>841</v>
      </c>
      <c r="C18" s="47">
        <v>50</v>
      </c>
      <c r="D18" s="46">
        <v>20</v>
      </c>
      <c r="E18" s="44">
        <v>22</v>
      </c>
      <c r="F18" s="44">
        <f>1.8*E18+32</f>
        <v>71.599999999999994</v>
      </c>
      <c r="G18" s="45">
        <v>22</v>
      </c>
      <c r="H18" s="44">
        <f>IF(F18&gt;68,G18+(F18-68)*0.2,Y49-(68-F18)*0.2)</f>
        <v>22.72</v>
      </c>
      <c r="I18" s="44">
        <v>21</v>
      </c>
      <c r="J18" s="44">
        <f>1.8*I18+32</f>
        <v>69.800000000000011</v>
      </c>
      <c r="K18" s="45">
        <v>13</v>
      </c>
      <c r="L18" s="44">
        <f>IF(J18&gt;68,K18+(J18-68)*0.2,K18-(68-J18)*0.2)</f>
        <v>13.360000000000003</v>
      </c>
      <c r="M18" s="43">
        <f>(C18-H18)/C18*100</f>
        <v>54.559999999999995</v>
      </c>
      <c r="N18" s="43">
        <f>100-(M18+O18)</f>
        <v>18.72</v>
      </c>
      <c r="O18" s="43">
        <f>L18/C18*100</f>
        <v>26.720000000000006</v>
      </c>
      <c r="P18" s="42" t="s">
        <v>2</v>
      </c>
      <c r="Q18" s="41">
        <v>407591.63199999998</v>
      </c>
      <c r="R18" s="41">
        <v>3659976.1209999998</v>
      </c>
      <c r="T18" s="71">
        <v>2008034</v>
      </c>
      <c r="U18" s="71" t="s">
        <v>919</v>
      </c>
      <c r="V18" s="71">
        <v>7.6990000000000003E-2</v>
      </c>
      <c r="W18" s="71">
        <v>0.40571000000000002</v>
      </c>
      <c r="X18" s="71">
        <v>2.3439999999999999E-2</v>
      </c>
      <c r="Y18" s="71">
        <v>1.2943499999999999</v>
      </c>
      <c r="Z18" s="71">
        <v>7.8545499999999997</v>
      </c>
      <c r="AA18" s="71">
        <v>6.6784999999999997</v>
      </c>
      <c r="AB18" s="71">
        <v>-1.6332199999999999</v>
      </c>
    </row>
    <row r="19" spans="1:28" x14ac:dyDescent="0.25">
      <c r="A19" s="49">
        <v>94</v>
      </c>
      <c r="B19" s="48" t="s">
        <v>839</v>
      </c>
      <c r="C19" s="47">
        <v>50</v>
      </c>
      <c r="D19" s="46">
        <v>20</v>
      </c>
      <c r="E19" s="44">
        <v>22</v>
      </c>
      <c r="F19" s="44">
        <f>1.8*E19+32</f>
        <v>71.599999999999994</v>
      </c>
      <c r="G19" s="45">
        <v>20</v>
      </c>
      <c r="H19" s="44">
        <f>IF(F19&gt;68,G19+(F19-68)*0.2,Y50-(68-F19)*0.2)</f>
        <v>20.72</v>
      </c>
      <c r="I19" s="44">
        <v>21</v>
      </c>
      <c r="J19" s="44">
        <f>1.8*I19+32</f>
        <v>69.800000000000011</v>
      </c>
      <c r="K19" s="45">
        <v>11</v>
      </c>
      <c r="L19" s="44">
        <f>IF(J19&gt;68,K19+(J19-68)*0.2,K19-(68-J19)*0.2)</f>
        <v>11.360000000000003</v>
      </c>
      <c r="M19" s="43">
        <f>(C19-H19)/C19*100</f>
        <v>58.56</v>
      </c>
      <c r="N19" s="43">
        <f>100-(M19+O19)</f>
        <v>18.72</v>
      </c>
      <c r="O19" s="43">
        <f>L19/C19*100</f>
        <v>22.720000000000006</v>
      </c>
      <c r="P19" s="42" t="s">
        <v>2</v>
      </c>
      <c r="Q19" s="41">
        <v>407591.63199999998</v>
      </c>
      <c r="R19" s="41">
        <v>3659976.1209999998</v>
      </c>
      <c r="T19" s="71">
        <v>2008034</v>
      </c>
      <c r="U19" s="71" t="s">
        <v>918</v>
      </c>
      <c r="V19" s="71">
        <v>6.7729999999999999E-2</v>
      </c>
      <c r="W19" s="71">
        <v>0.39671000000000001</v>
      </c>
      <c r="X19" s="71">
        <v>2.2040000000000001E-2</v>
      </c>
      <c r="Y19" s="71">
        <v>1.34941</v>
      </c>
      <c r="Z19" s="71">
        <v>11.3384</v>
      </c>
      <c r="AA19" s="71">
        <v>7.3365299999999998</v>
      </c>
      <c r="AB19" s="71">
        <v>-1.24091</v>
      </c>
    </row>
    <row r="20" spans="1:28" x14ac:dyDescent="0.25">
      <c r="A20" s="61"/>
      <c r="B20" s="58"/>
      <c r="C20" s="58"/>
      <c r="D20" s="58"/>
      <c r="E20" s="58"/>
      <c r="F20" s="58"/>
      <c r="G20" s="60"/>
      <c r="H20" s="58"/>
      <c r="I20" s="58"/>
      <c r="J20" s="58"/>
      <c r="K20" s="60"/>
      <c r="L20" s="58"/>
      <c r="M20" s="59"/>
      <c r="N20" s="59"/>
      <c r="O20" s="59"/>
      <c r="P20" s="58"/>
      <c r="T20" s="71">
        <v>2008034</v>
      </c>
      <c r="U20" s="71" t="s">
        <v>917</v>
      </c>
      <c r="V20" s="71">
        <v>6.3920000000000005E-2</v>
      </c>
      <c r="W20" s="71">
        <v>0.38944000000000001</v>
      </c>
      <c r="X20" s="71">
        <v>2.5069999999999999E-2</v>
      </c>
      <c r="Y20" s="71">
        <v>1.34108</v>
      </c>
      <c r="Z20" s="71">
        <v>14.82831</v>
      </c>
      <c r="AA20" s="71">
        <v>8.8519199999999998</v>
      </c>
      <c r="AB20" s="71">
        <v>-1.3655999999999999</v>
      </c>
    </row>
    <row r="21" spans="1:28" x14ac:dyDescent="0.25">
      <c r="A21" s="78"/>
      <c r="B21" s="72"/>
      <c r="C21" s="77"/>
      <c r="D21" s="76"/>
      <c r="E21" s="74"/>
      <c r="F21" s="74"/>
      <c r="G21" s="75"/>
      <c r="H21" s="74"/>
      <c r="I21" s="74"/>
      <c r="J21" s="74"/>
      <c r="K21" s="75"/>
      <c r="L21" s="74"/>
      <c r="M21" s="73"/>
      <c r="N21" s="73"/>
      <c r="O21" s="73"/>
      <c r="P21" s="72"/>
      <c r="Q21" s="5" t="s">
        <v>4</v>
      </c>
      <c r="R21" s="5" t="s">
        <v>3</v>
      </c>
      <c r="T21" s="71">
        <v>2008034</v>
      </c>
      <c r="U21" s="71" t="s">
        <v>916</v>
      </c>
      <c r="V21" s="71">
        <v>5.7680000000000002E-2</v>
      </c>
      <c r="W21" s="71">
        <v>0.38740999999999998</v>
      </c>
      <c r="X21" s="71">
        <v>2.562E-2</v>
      </c>
      <c r="Y21" s="71">
        <v>1.36415</v>
      </c>
      <c r="Z21" s="71">
        <v>20.011320000000001</v>
      </c>
      <c r="AA21" s="71">
        <v>10.185639999999999</v>
      </c>
      <c r="AB21" s="71">
        <v>-1.2375700000000001</v>
      </c>
    </row>
    <row r="22" spans="1:28" x14ac:dyDescent="0.25">
      <c r="A22" s="49" t="s">
        <v>910</v>
      </c>
      <c r="B22" s="48" t="s">
        <v>845</v>
      </c>
      <c r="C22" s="47">
        <v>50</v>
      </c>
      <c r="D22" s="46">
        <v>20</v>
      </c>
      <c r="E22" s="44">
        <v>22</v>
      </c>
      <c r="F22" s="44">
        <f>1.8*E22+32</f>
        <v>71.599999999999994</v>
      </c>
      <c r="G22" s="45">
        <v>20</v>
      </c>
      <c r="H22" s="44">
        <f>IF(F22&gt;68,G22+(F22-68)*0.2,#REF!-(68-F22)*0.2)</f>
        <v>20.72</v>
      </c>
      <c r="I22" s="44">
        <v>21</v>
      </c>
      <c r="J22" s="44">
        <f>1.8*I22+32</f>
        <v>69.800000000000011</v>
      </c>
      <c r="K22" s="45">
        <v>12</v>
      </c>
      <c r="L22" s="44">
        <f>IF(J22&gt;68,K22+(J22-68)*0.2,K22-(68-J22)*0.2)</f>
        <v>12.360000000000003</v>
      </c>
      <c r="M22" s="43">
        <f>(C22-H22)/C22*100</f>
        <v>58.56</v>
      </c>
      <c r="N22" s="43">
        <f>100-(M22+O22)</f>
        <v>16.72</v>
      </c>
      <c r="O22" s="43">
        <f>L22/C22*100</f>
        <v>24.720000000000006</v>
      </c>
      <c r="P22" s="42" t="s">
        <v>2</v>
      </c>
      <c r="Q22" s="41">
        <v>407591.63199999998</v>
      </c>
      <c r="R22" s="41">
        <v>3659976.1209999998</v>
      </c>
      <c r="T22" s="71">
        <v>2008034</v>
      </c>
      <c r="U22" s="71" t="s">
        <v>915</v>
      </c>
      <c r="V22" s="71">
        <v>5.5449999999999999E-2</v>
      </c>
      <c r="W22" s="71">
        <v>0.37747000000000003</v>
      </c>
      <c r="X22" s="71">
        <v>3.066E-2</v>
      </c>
      <c r="Y22" s="71">
        <v>1.3909899999999999</v>
      </c>
      <c r="Z22" s="71">
        <v>29.916029999999999</v>
      </c>
      <c r="AA22" s="71">
        <v>13.09998</v>
      </c>
      <c r="AB22" s="71">
        <v>-1.3019099999999999</v>
      </c>
    </row>
    <row r="23" spans="1:28" x14ac:dyDescent="0.25">
      <c r="A23" s="49" t="s">
        <v>910</v>
      </c>
      <c r="B23" s="48" t="s">
        <v>844</v>
      </c>
      <c r="C23" s="47">
        <v>50</v>
      </c>
      <c r="D23" s="46">
        <v>20</v>
      </c>
      <c r="E23" s="44">
        <v>22</v>
      </c>
      <c r="F23" s="44">
        <f>1.8*E23+32</f>
        <v>71.599999999999994</v>
      </c>
      <c r="G23" s="45">
        <v>21</v>
      </c>
      <c r="H23" s="44">
        <f>IF(F23&gt;68,G23+(F23-68)*0.2,Y54-(68-F23)*0.2)</f>
        <v>21.72</v>
      </c>
      <c r="I23" s="44">
        <v>21</v>
      </c>
      <c r="J23" s="44">
        <f>1.8*I23+32</f>
        <v>69.800000000000011</v>
      </c>
      <c r="K23" s="45">
        <v>12</v>
      </c>
      <c r="L23" s="44">
        <f>IF(J23&gt;68,K23+(J23-68)*0.2,K23-(68-J23)*0.2)</f>
        <v>12.360000000000003</v>
      </c>
      <c r="M23" s="43">
        <f>(C23-H23)/C23*100</f>
        <v>56.56</v>
      </c>
      <c r="N23" s="43">
        <f>100-(M23+O23)</f>
        <v>18.72</v>
      </c>
      <c r="O23" s="43">
        <f>L23/C23*100</f>
        <v>24.720000000000006</v>
      </c>
      <c r="P23" s="42" t="s">
        <v>2</v>
      </c>
      <c r="Q23" s="41">
        <v>407591.63199999998</v>
      </c>
      <c r="R23" s="41">
        <v>3659976.1209999998</v>
      </c>
      <c r="T23" s="71">
        <v>2008034</v>
      </c>
      <c r="U23" s="71" t="s">
        <v>914</v>
      </c>
      <c r="V23" s="71">
        <v>6.8199999999999997E-2</v>
      </c>
      <c r="W23" s="71">
        <v>0.38329000000000002</v>
      </c>
      <c r="X23" s="71">
        <v>2.716E-2</v>
      </c>
      <c r="Y23" s="71">
        <v>1.29582</v>
      </c>
      <c r="Z23" s="71">
        <v>13.28942</v>
      </c>
      <c r="AA23" s="71">
        <v>8.4540400000000009</v>
      </c>
      <c r="AB23" s="71">
        <v>-1.7485900000000001</v>
      </c>
    </row>
    <row r="24" spans="1:28" x14ac:dyDescent="0.25">
      <c r="A24" s="49" t="s">
        <v>910</v>
      </c>
      <c r="B24" s="48" t="s">
        <v>843</v>
      </c>
      <c r="C24" s="47">
        <v>50</v>
      </c>
      <c r="D24" s="46">
        <v>20</v>
      </c>
      <c r="E24" s="44">
        <v>22</v>
      </c>
      <c r="F24" s="44">
        <f>1.8*E24+32</f>
        <v>71.599999999999994</v>
      </c>
      <c r="G24" s="45">
        <v>24</v>
      </c>
      <c r="H24" s="44">
        <f>IF(F24&gt;68,G24+(F24-68)*0.2,Y55-(68-F24)*0.2)</f>
        <v>24.72</v>
      </c>
      <c r="I24" s="44">
        <v>21</v>
      </c>
      <c r="J24" s="44">
        <f>1.8*I24+32</f>
        <v>69.800000000000011</v>
      </c>
      <c r="K24" s="45">
        <v>12</v>
      </c>
      <c r="L24" s="44">
        <f>IF(J24&gt;68,K24+(J24-68)*0.2,K24-(68-J24)*0.2)</f>
        <v>12.360000000000003</v>
      </c>
      <c r="M24" s="43">
        <f>(C24-H24)/C24*100</f>
        <v>50.56</v>
      </c>
      <c r="N24" s="43">
        <f>100-(M24+O24)</f>
        <v>24.72</v>
      </c>
      <c r="O24" s="43">
        <f>L24/C24*100</f>
        <v>24.720000000000006</v>
      </c>
      <c r="P24" s="42" t="s">
        <v>2</v>
      </c>
      <c r="Q24" s="41">
        <v>407591.63199999998</v>
      </c>
      <c r="R24" s="41">
        <v>3659976.1209999998</v>
      </c>
      <c r="T24" s="71">
        <v>2008034</v>
      </c>
      <c r="U24" s="71" t="s">
        <v>913</v>
      </c>
      <c r="V24" s="71">
        <v>6.8080000000000002E-2</v>
      </c>
      <c r="W24" s="71">
        <v>0.38044</v>
      </c>
      <c r="X24" s="71">
        <v>2.726E-2</v>
      </c>
      <c r="Y24" s="71">
        <v>1.2925500000000001</v>
      </c>
      <c r="Z24" s="71">
        <v>13.76187</v>
      </c>
      <c r="AA24" s="71">
        <v>8.3742800000000006</v>
      </c>
      <c r="AB24" s="71">
        <v>-1.7846900000000001</v>
      </c>
    </row>
    <row r="25" spans="1:28" x14ac:dyDescent="0.25">
      <c r="A25" s="49" t="s">
        <v>910</v>
      </c>
      <c r="B25" s="48" t="s">
        <v>842</v>
      </c>
      <c r="C25" s="47">
        <v>50</v>
      </c>
      <c r="D25" s="46">
        <v>20</v>
      </c>
      <c r="E25" s="44">
        <v>22</v>
      </c>
      <c r="F25" s="44">
        <f>1.8*E25+32</f>
        <v>71.599999999999994</v>
      </c>
      <c r="G25" s="45">
        <v>25</v>
      </c>
      <c r="H25" s="44">
        <f>IF(F25&gt;68,G25+(F25-68)*0.2,Y56-(68-F25)*0.2)</f>
        <v>25.72</v>
      </c>
      <c r="I25" s="44">
        <v>21</v>
      </c>
      <c r="J25" s="44">
        <f>1.8*I25+32</f>
        <v>69.800000000000011</v>
      </c>
      <c r="K25" s="45">
        <v>14</v>
      </c>
      <c r="L25" s="44">
        <f>IF(J25&gt;68,K25+(J25-68)*0.2,K25-(68-J25)*0.2)</f>
        <v>14.360000000000003</v>
      </c>
      <c r="M25" s="43">
        <f>(C25-H25)/C25*100</f>
        <v>48.56</v>
      </c>
      <c r="N25" s="43">
        <f>100-(M25+O25)</f>
        <v>22.72</v>
      </c>
      <c r="O25" s="43">
        <f>L25/C25*100</f>
        <v>28.720000000000006</v>
      </c>
      <c r="P25" s="42" t="s">
        <v>2</v>
      </c>
      <c r="Q25" s="41">
        <v>407591.63199999998</v>
      </c>
      <c r="R25" s="41">
        <v>3659976.1209999998</v>
      </c>
      <c r="T25" s="71">
        <v>2008034</v>
      </c>
      <c r="U25" s="71" t="s">
        <v>912</v>
      </c>
      <c r="V25" s="71">
        <v>6.1449999999999998E-2</v>
      </c>
      <c r="W25" s="71">
        <v>0.38250000000000001</v>
      </c>
      <c r="X25" s="71">
        <v>2.7959999999999999E-2</v>
      </c>
      <c r="Y25" s="71">
        <v>1.3355900000000001</v>
      </c>
      <c r="Z25" s="71">
        <v>18.147929999999999</v>
      </c>
      <c r="AA25" s="71">
        <v>10.19078</v>
      </c>
      <c r="AB25" s="71">
        <v>-1.4781299999999999</v>
      </c>
    </row>
    <row r="26" spans="1:28" x14ac:dyDescent="0.25">
      <c r="A26" s="49" t="s">
        <v>910</v>
      </c>
      <c r="B26" s="48" t="s">
        <v>841</v>
      </c>
      <c r="C26" s="47">
        <v>50</v>
      </c>
      <c r="D26" s="46">
        <v>20</v>
      </c>
      <c r="E26" s="44">
        <v>21</v>
      </c>
      <c r="F26" s="44">
        <f>1.8*E26+32</f>
        <v>69.800000000000011</v>
      </c>
      <c r="G26" s="45">
        <v>20</v>
      </c>
      <c r="H26" s="44">
        <f>IF(F26&gt;68,G26+(F26-68)*0.2,Y57-(68-F26)*0.2)</f>
        <v>20.360000000000003</v>
      </c>
      <c r="I26" s="44">
        <v>21</v>
      </c>
      <c r="J26" s="44">
        <f>1.8*I26+32</f>
        <v>69.800000000000011</v>
      </c>
      <c r="K26" s="45">
        <v>10</v>
      </c>
      <c r="L26" s="44">
        <f>IF(J26&gt;68,K26+(J26-68)*0.2,K26-(68-J26)*0.2)</f>
        <v>10.360000000000003</v>
      </c>
      <c r="M26" s="43">
        <f>(C26-H26)/C26*100</f>
        <v>59.28</v>
      </c>
      <c r="N26" s="43">
        <f>100-(M26+O26)</f>
        <v>20</v>
      </c>
      <c r="O26" s="43">
        <f>L26/C26*100</f>
        <v>20.720000000000006</v>
      </c>
      <c r="P26" s="42" t="s">
        <v>2</v>
      </c>
      <c r="Q26" s="41">
        <v>407591.63199999998</v>
      </c>
      <c r="R26" s="41">
        <v>3659976.1209999998</v>
      </c>
      <c r="T26" s="71">
        <v>2008034</v>
      </c>
      <c r="U26" s="71" t="s">
        <v>911</v>
      </c>
      <c r="V26" s="71">
        <v>5.2670000000000002E-2</v>
      </c>
      <c r="W26" s="71">
        <v>0.38034000000000001</v>
      </c>
      <c r="X26" s="71">
        <v>3.1449999999999999E-2</v>
      </c>
      <c r="Y26" s="71">
        <v>1.3896200000000001</v>
      </c>
      <c r="Z26" s="71">
        <v>31.997330000000002</v>
      </c>
      <c r="AA26" s="71">
        <v>14.25386</v>
      </c>
      <c r="AB26" s="71">
        <v>-1.28346</v>
      </c>
    </row>
    <row r="27" spans="1:28" x14ac:dyDescent="0.25">
      <c r="A27" s="49" t="s">
        <v>910</v>
      </c>
      <c r="B27" s="48" t="s">
        <v>839</v>
      </c>
      <c r="C27" s="47">
        <v>50</v>
      </c>
      <c r="D27" s="46">
        <v>20</v>
      </c>
      <c r="E27" s="44">
        <v>21</v>
      </c>
      <c r="F27" s="44">
        <f>1.8*E27+32</f>
        <v>69.800000000000011</v>
      </c>
      <c r="G27" s="45">
        <v>19</v>
      </c>
      <c r="H27" s="44">
        <f>IF(F27&gt;68,G27+(F27-68)*0.2,Y58-(68-F27)*0.2)</f>
        <v>19.360000000000003</v>
      </c>
      <c r="I27" s="44">
        <v>21</v>
      </c>
      <c r="J27" s="44">
        <f>1.8*I27+32</f>
        <v>69.800000000000011</v>
      </c>
      <c r="K27" s="45">
        <v>9</v>
      </c>
      <c r="L27" s="44">
        <f>IF(J27&gt;68,K27+(J27-68)*0.2,K27-(68-J27)*0.2)</f>
        <v>9.360000000000003</v>
      </c>
      <c r="M27" s="43">
        <f>(C27-H27)/C27*100</f>
        <v>61.279999999999987</v>
      </c>
      <c r="N27" s="43">
        <f>100-(M27+O27)</f>
        <v>20</v>
      </c>
      <c r="O27" s="43">
        <f>L27/C27*100</f>
        <v>18.720000000000006</v>
      </c>
      <c r="P27" s="42" t="s">
        <v>0</v>
      </c>
      <c r="Q27" s="41">
        <v>407591.63199999998</v>
      </c>
      <c r="R27" s="41">
        <v>3659976.1209999998</v>
      </c>
      <c r="T27" s="71">
        <v>2008034</v>
      </c>
      <c r="U27" s="71" t="s">
        <v>909</v>
      </c>
      <c r="V27" s="71">
        <v>5.33E-2</v>
      </c>
      <c r="W27" s="71">
        <v>0.37869999999999998</v>
      </c>
      <c r="X27" s="71">
        <v>3.1579999999999997E-2</v>
      </c>
      <c r="Y27" s="71">
        <v>1.4018900000000001</v>
      </c>
      <c r="Z27" s="71">
        <v>33.618949999999998</v>
      </c>
      <c r="AA27" s="71">
        <v>14.2949</v>
      </c>
      <c r="AB27" s="71">
        <v>-1.2654000000000001</v>
      </c>
    </row>
    <row r="28" spans="1:28" x14ac:dyDescent="0.25">
      <c r="A28" s="61"/>
      <c r="B28" s="58"/>
      <c r="C28" s="58"/>
      <c r="D28" s="58"/>
      <c r="E28" s="58"/>
      <c r="F28" s="58"/>
      <c r="G28" s="60"/>
      <c r="H28" s="58"/>
      <c r="I28" s="58"/>
      <c r="J28" s="58"/>
      <c r="K28" s="60"/>
      <c r="L28" s="58"/>
      <c r="M28" s="59"/>
      <c r="N28" s="59"/>
      <c r="O28" s="59"/>
      <c r="P28" s="58"/>
      <c r="T28" s="71">
        <v>2008034</v>
      </c>
      <c r="U28" s="71" t="s">
        <v>908</v>
      </c>
      <c r="V28" s="71">
        <v>5.7340000000000002E-2</v>
      </c>
      <c r="W28" s="71">
        <v>0.37136999999999998</v>
      </c>
      <c r="X28" s="71">
        <v>2.828E-2</v>
      </c>
      <c r="Y28" s="71">
        <v>1.60921</v>
      </c>
      <c r="Z28" s="71">
        <v>59.938960000000002</v>
      </c>
      <c r="AA28" s="71">
        <v>13.345050000000001</v>
      </c>
      <c r="AB28" s="71">
        <v>-0.99241999999999997</v>
      </c>
    </row>
    <row r="29" spans="1:28" x14ac:dyDescent="0.25">
      <c r="A29" s="78"/>
      <c r="B29" s="72"/>
      <c r="C29" s="77"/>
      <c r="D29" s="76"/>
      <c r="E29" s="74"/>
      <c r="F29" s="74"/>
      <c r="G29" s="75"/>
      <c r="H29" s="74"/>
      <c r="I29" s="74"/>
      <c r="J29" s="74"/>
      <c r="K29" s="75"/>
      <c r="L29" s="74"/>
      <c r="M29" s="73"/>
      <c r="N29" s="73"/>
      <c r="O29" s="73"/>
      <c r="P29" s="72"/>
      <c r="Q29" s="5" t="s">
        <v>4</v>
      </c>
      <c r="R29" s="5" t="s">
        <v>3</v>
      </c>
      <c r="T29" s="71">
        <v>2008034</v>
      </c>
      <c r="U29" s="71" t="s">
        <v>907</v>
      </c>
      <c r="V29" s="71">
        <v>6.5449999999999994E-2</v>
      </c>
      <c r="W29" s="71">
        <v>0.39296999999999999</v>
      </c>
      <c r="X29" s="71">
        <v>2.341E-2</v>
      </c>
      <c r="Y29" s="71">
        <v>1.34717</v>
      </c>
      <c r="Z29" s="71">
        <v>13.171989999999999</v>
      </c>
      <c r="AA29" s="71">
        <v>8.0825899999999997</v>
      </c>
      <c r="AB29" s="71">
        <v>-1.28853</v>
      </c>
    </row>
    <row r="30" spans="1:28" x14ac:dyDescent="0.25">
      <c r="A30" s="49">
        <v>104</v>
      </c>
      <c r="B30" s="48" t="s">
        <v>845</v>
      </c>
      <c r="C30" s="47">
        <v>50</v>
      </c>
      <c r="D30" s="46">
        <v>20</v>
      </c>
      <c r="E30" s="44">
        <v>31</v>
      </c>
      <c r="F30" s="44">
        <f>1.8*E30+32</f>
        <v>87.800000000000011</v>
      </c>
      <c r="G30" s="45">
        <v>16</v>
      </c>
      <c r="H30" s="44">
        <f>IF(F30&gt;68,G30+(F30-68)*0.2,#REF!-(68-F30)*0.2)</f>
        <v>19.96</v>
      </c>
      <c r="I30" s="44">
        <v>21</v>
      </c>
      <c r="J30" s="44">
        <f>1.8*I30+32</f>
        <v>69.800000000000011</v>
      </c>
      <c r="K30" s="45">
        <v>10</v>
      </c>
      <c r="L30" s="44">
        <f>IF(J30&gt;68,K30+(J30-68)*0.2,K30-(68-J30)*0.2)</f>
        <v>10.360000000000003</v>
      </c>
      <c r="M30" s="43">
        <f>(C30-H30)/C30*100</f>
        <v>60.08</v>
      </c>
      <c r="N30" s="43">
        <f>100-(M30+O30)</f>
        <v>19.199999999999989</v>
      </c>
      <c r="O30" s="43">
        <f>L30/C30*100</f>
        <v>20.720000000000006</v>
      </c>
      <c r="P30" s="42" t="s">
        <v>2</v>
      </c>
      <c r="Q30" s="41">
        <v>407590.717</v>
      </c>
      <c r="R30" s="41">
        <v>3659932.7760000001</v>
      </c>
      <c r="T30" s="71">
        <v>2008034</v>
      </c>
      <c r="U30" s="71" t="s">
        <v>906</v>
      </c>
      <c r="V30" s="71">
        <v>6.9349999999999995E-2</v>
      </c>
      <c r="W30" s="71">
        <v>0.38716</v>
      </c>
      <c r="X30" s="71">
        <v>2.6599999999999999E-2</v>
      </c>
      <c r="Y30" s="71">
        <v>1.2967900000000001</v>
      </c>
      <c r="Z30" s="71">
        <v>12.26207</v>
      </c>
      <c r="AA30" s="71">
        <v>8.2317199999999993</v>
      </c>
      <c r="AB30" s="71">
        <v>-1.7205600000000001</v>
      </c>
    </row>
    <row r="31" spans="1:28" x14ac:dyDescent="0.25">
      <c r="A31" s="49">
        <v>104</v>
      </c>
      <c r="B31" s="48" t="s">
        <v>844</v>
      </c>
      <c r="C31" s="47">
        <v>50</v>
      </c>
      <c r="D31" s="46">
        <v>20</v>
      </c>
      <c r="E31" s="44">
        <v>31</v>
      </c>
      <c r="F31" s="44">
        <f>1.8*E31+32</f>
        <v>87.800000000000011</v>
      </c>
      <c r="G31" s="45">
        <v>16</v>
      </c>
      <c r="H31" s="44">
        <f>IF(F31&gt;68,G31+(F31-68)*0.2,Y62-(68-F31)*0.2)</f>
        <v>19.96</v>
      </c>
      <c r="I31" s="44">
        <v>21</v>
      </c>
      <c r="J31" s="44">
        <f>1.8*I31+32</f>
        <v>69.800000000000011</v>
      </c>
      <c r="K31" s="45">
        <v>10</v>
      </c>
      <c r="L31" s="44">
        <f>IF(J31&gt;68,K31+(J31-68)*0.2,K31-(68-J31)*0.2)</f>
        <v>10.360000000000003</v>
      </c>
      <c r="M31" s="43">
        <f>(C31-H31)/C31*100</f>
        <v>60.08</v>
      </c>
      <c r="N31" s="43">
        <f>100-(M31+O31)</f>
        <v>19.199999999999989</v>
      </c>
      <c r="O31" s="43">
        <f>L31/C31*100</f>
        <v>20.720000000000006</v>
      </c>
      <c r="P31" s="42" t="s">
        <v>2</v>
      </c>
      <c r="Q31" s="41">
        <v>407590.717</v>
      </c>
      <c r="R31" s="41">
        <v>3659932.7760000001</v>
      </c>
      <c r="T31" s="71">
        <v>2008034</v>
      </c>
      <c r="U31" s="71" t="s">
        <v>905</v>
      </c>
      <c r="V31" s="71">
        <v>5.1400000000000001E-2</v>
      </c>
      <c r="W31" s="71">
        <v>0.37807000000000002</v>
      </c>
      <c r="X31" s="71">
        <v>3.27E-2</v>
      </c>
      <c r="Y31" s="71">
        <v>1.4546699999999999</v>
      </c>
      <c r="Z31" s="71">
        <v>44.27948</v>
      </c>
      <c r="AA31" s="71">
        <v>16.247039999999998</v>
      </c>
      <c r="AB31" s="71">
        <v>-1.15733</v>
      </c>
    </row>
    <row r="32" spans="1:28" x14ac:dyDescent="0.25">
      <c r="A32" s="49">
        <v>104</v>
      </c>
      <c r="B32" s="48" t="s">
        <v>843</v>
      </c>
      <c r="C32" s="47">
        <v>50</v>
      </c>
      <c r="D32" s="46">
        <v>20</v>
      </c>
      <c r="E32" s="44">
        <v>22</v>
      </c>
      <c r="F32" s="44">
        <f>1.8*E32+32</f>
        <v>71.599999999999994</v>
      </c>
      <c r="G32" s="45">
        <v>12</v>
      </c>
      <c r="H32" s="44">
        <f>IF(F32&gt;68,G32+(F32-68)*0.2,Y63-(68-F32)*0.2)</f>
        <v>12.719999999999999</v>
      </c>
      <c r="I32" s="44">
        <v>22</v>
      </c>
      <c r="J32" s="44">
        <f>1.8*I32+32</f>
        <v>71.599999999999994</v>
      </c>
      <c r="K32" s="45">
        <v>6</v>
      </c>
      <c r="L32" s="44">
        <f>IF(J32&gt;68,K32+(J32-68)*0.2,K32-(68-J32)*0.2)</f>
        <v>6.7199999999999989</v>
      </c>
      <c r="M32" s="43">
        <f>(C32-H32)/C32*100</f>
        <v>74.56</v>
      </c>
      <c r="N32" s="43">
        <f>100-(M32+O32)</f>
        <v>12</v>
      </c>
      <c r="O32" s="43">
        <f>L32/C32*100</f>
        <v>13.439999999999996</v>
      </c>
      <c r="P32" s="42" t="s">
        <v>0</v>
      </c>
      <c r="Q32" s="41">
        <v>407590.717</v>
      </c>
      <c r="R32" s="41">
        <v>3659932.7760000001</v>
      </c>
      <c r="T32" s="71">
        <v>2008034</v>
      </c>
      <c r="U32" s="71" t="s">
        <v>904</v>
      </c>
      <c r="V32" s="71">
        <v>5.6250000000000001E-2</v>
      </c>
      <c r="W32" s="71">
        <v>0.37373000000000001</v>
      </c>
      <c r="X32" s="71">
        <v>2.9649999999999999E-2</v>
      </c>
      <c r="Y32" s="71">
        <v>1.46295</v>
      </c>
      <c r="Z32" s="71">
        <v>38.488349999999997</v>
      </c>
      <c r="AA32" s="71">
        <v>13.121449999999999</v>
      </c>
      <c r="AB32" s="71">
        <v>-1.1502399999999999</v>
      </c>
    </row>
    <row r="33" spans="1:28" x14ac:dyDescent="0.25">
      <c r="A33" s="49">
        <v>104</v>
      </c>
      <c r="B33" s="48" t="s">
        <v>842</v>
      </c>
      <c r="C33" s="47">
        <v>50</v>
      </c>
      <c r="D33" s="46">
        <v>20</v>
      </c>
      <c r="E33" s="44">
        <v>22</v>
      </c>
      <c r="F33" s="44">
        <f>1.8*E33+32</f>
        <v>71.599999999999994</v>
      </c>
      <c r="G33" s="45">
        <v>22</v>
      </c>
      <c r="H33" s="44">
        <f>IF(F33&gt;68,G33+(F33-68)*0.2,Y64-(68-F33)*0.2)</f>
        <v>22.72</v>
      </c>
      <c r="I33" s="44">
        <v>22</v>
      </c>
      <c r="J33" s="44">
        <f>1.8*I33+32</f>
        <v>71.599999999999994</v>
      </c>
      <c r="K33" s="45">
        <v>12</v>
      </c>
      <c r="L33" s="44">
        <f>IF(J33&gt;68,K33+(J33-68)*0.2,K33-(68-J33)*0.2)</f>
        <v>12.719999999999999</v>
      </c>
      <c r="M33" s="43">
        <f>(C33-H33)/C33*100</f>
        <v>54.559999999999995</v>
      </c>
      <c r="N33" s="43">
        <f>100-(M33+O33)</f>
        <v>20</v>
      </c>
      <c r="O33" s="43">
        <f>L33/C33*100</f>
        <v>25.439999999999998</v>
      </c>
      <c r="P33" s="42" t="s">
        <v>2</v>
      </c>
      <c r="Q33" s="41">
        <v>407590.717</v>
      </c>
      <c r="R33" s="41">
        <v>3659932.7760000001</v>
      </c>
      <c r="T33" s="71">
        <v>2008034</v>
      </c>
      <c r="U33" s="71" t="s">
        <v>903</v>
      </c>
      <c r="V33" s="71">
        <v>5.0799999999999998E-2</v>
      </c>
      <c r="W33" s="71">
        <v>0.37720999999999999</v>
      </c>
      <c r="X33" s="71">
        <v>3.3050000000000003E-2</v>
      </c>
      <c r="Y33" s="71">
        <v>1.5599400000000001</v>
      </c>
      <c r="Z33" s="71">
        <v>63.961260000000003</v>
      </c>
      <c r="AA33" s="71">
        <v>18.255769999999998</v>
      </c>
      <c r="AB33" s="71">
        <v>-1.0264599999999999</v>
      </c>
    </row>
    <row r="34" spans="1:28" x14ac:dyDescent="0.25">
      <c r="A34" s="49">
        <v>104</v>
      </c>
      <c r="B34" s="48" t="s">
        <v>841</v>
      </c>
      <c r="C34" s="47">
        <v>50</v>
      </c>
      <c r="D34" s="46">
        <v>20</v>
      </c>
      <c r="E34" s="44">
        <v>22</v>
      </c>
      <c r="F34" s="44">
        <f>1.8*E34+32</f>
        <v>71.599999999999994</v>
      </c>
      <c r="G34" s="45">
        <v>16</v>
      </c>
      <c r="H34" s="44">
        <f>IF(F34&gt;68,G34+(F34-68)*0.2,Y65-(68-F34)*0.2)</f>
        <v>16.72</v>
      </c>
      <c r="I34" s="44">
        <v>22</v>
      </c>
      <c r="J34" s="44">
        <f>1.8*I34+32</f>
        <v>71.599999999999994</v>
      </c>
      <c r="K34" s="45">
        <v>10</v>
      </c>
      <c r="L34" s="44">
        <f>IF(J34&gt;68,K34+(J34-68)*0.2,K34-(68-J34)*0.2)</f>
        <v>10.719999999999999</v>
      </c>
      <c r="M34" s="43">
        <f>(C34-H34)/C34*100</f>
        <v>66.56</v>
      </c>
      <c r="N34" s="43">
        <f>100-(M34+O34)</f>
        <v>12</v>
      </c>
      <c r="O34" s="43">
        <f>L34/C34*100</f>
        <v>21.439999999999998</v>
      </c>
      <c r="P34" s="42" t="s">
        <v>2</v>
      </c>
      <c r="Q34" s="41">
        <v>407590.717</v>
      </c>
      <c r="R34" s="41">
        <v>3659932.7760000001</v>
      </c>
      <c r="T34" s="71">
        <v>2008034</v>
      </c>
      <c r="U34" s="71" t="s">
        <v>902</v>
      </c>
      <c r="V34" s="71">
        <v>5.8200000000000002E-2</v>
      </c>
      <c r="W34" s="71">
        <v>0.37337999999999999</v>
      </c>
      <c r="X34" s="71">
        <v>2.886E-2</v>
      </c>
      <c r="Y34" s="71">
        <v>1.4126099999999999</v>
      </c>
      <c r="Z34" s="71">
        <v>29.225239999999999</v>
      </c>
      <c r="AA34" s="71">
        <v>11.701029999999999</v>
      </c>
      <c r="AB34" s="71">
        <v>-1.24932</v>
      </c>
    </row>
    <row r="35" spans="1:28" x14ac:dyDescent="0.25">
      <c r="A35" s="49">
        <v>104</v>
      </c>
      <c r="B35" s="48" t="s">
        <v>839</v>
      </c>
      <c r="C35" s="47">
        <v>50</v>
      </c>
      <c r="D35" s="46">
        <v>20</v>
      </c>
      <c r="E35" s="44">
        <v>22</v>
      </c>
      <c r="F35" s="44">
        <f>1.8*E35+32</f>
        <v>71.599999999999994</v>
      </c>
      <c r="G35" s="45">
        <v>20</v>
      </c>
      <c r="H35" s="44">
        <f>IF(F35&gt;68,G35+(F35-68)*0.2,Y66-(68-F35)*0.2)</f>
        <v>20.72</v>
      </c>
      <c r="I35" s="44">
        <v>22</v>
      </c>
      <c r="J35" s="44">
        <f>1.8*I35+32</f>
        <v>71.599999999999994</v>
      </c>
      <c r="K35" s="45">
        <v>10</v>
      </c>
      <c r="L35" s="44">
        <f>IF(J35&gt;68,K35+(J35-68)*0.2,K35-(68-J35)*0.2)</f>
        <v>10.719999999999999</v>
      </c>
      <c r="M35" s="43">
        <f>(C35-H35)/C35*100</f>
        <v>58.56</v>
      </c>
      <c r="N35" s="43">
        <f>100-(M35+O35)</f>
        <v>20</v>
      </c>
      <c r="O35" s="43">
        <f>L35/C35*100</f>
        <v>21.439999999999998</v>
      </c>
      <c r="P35" s="42" t="s">
        <v>2</v>
      </c>
      <c r="Q35" s="41">
        <v>407590.717</v>
      </c>
      <c r="R35" s="41">
        <v>3659932.7760000001</v>
      </c>
      <c r="T35" s="71">
        <v>2008034</v>
      </c>
      <c r="U35" s="71" t="s">
        <v>901</v>
      </c>
      <c r="V35" s="71">
        <v>7.1779999999999997E-2</v>
      </c>
      <c r="W35" s="71">
        <v>0.39023000000000002</v>
      </c>
      <c r="X35" s="71">
        <v>2.6349999999999998E-2</v>
      </c>
      <c r="Y35" s="71">
        <v>1.28633</v>
      </c>
      <c r="Z35" s="71">
        <v>11.293480000000001</v>
      </c>
      <c r="AA35" s="71">
        <v>7.8219200000000004</v>
      </c>
      <c r="AB35" s="71">
        <v>-1.80288</v>
      </c>
    </row>
    <row r="36" spans="1:28" x14ac:dyDescent="0.25">
      <c r="A36" s="61"/>
      <c r="B36" s="58"/>
      <c r="C36" s="58"/>
      <c r="D36" s="58"/>
      <c r="E36" s="58"/>
      <c r="F36" s="58"/>
      <c r="G36" s="60"/>
      <c r="H36" s="58"/>
      <c r="I36" s="58"/>
      <c r="J36" s="58"/>
      <c r="K36" s="60"/>
      <c r="L36" s="58"/>
      <c r="M36" s="59"/>
      <c r="N36" s="59"/>
      <c r="O36" s="59"/>
      <c r="P36" s="58"/>
      <c r="T36" s="71">
        <v>2008034</v>
      </c>
      <c r="U36" s="71" t="s">
        <v>900</v>
      </c>
      <c r="V36" s="71">
        <v>7.1779999999999997E-2</v>
      </c>
      <c r="W36" s="71">
        <v>0.39023000000000002</v>
      </c>
      <c r="X36" s="71">
        <v>2.6349999999999998E-2</v>
      </c>
      <c r="Y36" s="71">
        <v>1.28633</v>
      </c>
      <c r="Z36" s="71">
        <v>11.293480000000001</v>
      </c>
      <c r="AA36" s="71">
        <v>7.8219200000000004</v>
      </c>
      <c r="AB36" s="71">
        <v>-1.80288</v>
      </c>
    </row>
    <row r="37" spans="1:28" x14ac:dyDescent="0.25">
      <c r="A37" s="57"/>
      <c r="B37" s="56"/>
      <c r="C37" s="55"/>
      <c r="D37" s="54"/>
      <c r="E37" s="52"/>
      <c r="F37" s="52"/>
      <c r="G37" s="53"/>
      <c r="H37" s="52"/>
      <c r="I37" s="52"/>
      <c r="J37" s="52"/>
      <c r="K37" s="53"/>
      <c r="L37" s="52"/>
      <c r="M37" s="51"/>
      <c r="N37" s="51"/>
      <c r="O37" s="51"/>
      <c r="P37" s="56"/>
      <c r="Q37" s="5" t="s">
        <v>4</v>
      </c>
      <c r="R37" s="5" t="s">
        <v>3</v>
      </c>
      <c r="T37" s="71">
        <v>2008034</v>
      </c>
      <c r="U37" s="71" t="s">
        <v>899</v>
      </c>
      <c r="V37" s="71">
        <v>5.7489999999999999E-2</v>
      </c>
      <c r="W37" s="71">
        <v>0.38099</v>
      </c>
      <c r="X37" s="71">
        <v>2.9319999999999999E-2</v>
      </c>
      <c r="Y37" s="71">
        <v>1.3561399999999999</v>
      </c>
      <c r="Z37" s="71">
        <v>23.166979999999999</v>
      </c>
      <c r="AA37" s="71">
        <v>11.696070000000001</v>
      </c>
      <c r="AB37" s="71">
        <v>-1.3926799999999999</v>
      </c>
    </row>
    <row r="38" spans="1:28" x14ac:dyDescent="0.25">
      <c r="A38" s="49">
        <v>138</v>
      </c>
      <c r="B38" s="48" t="s">
        <v>845</v>
      </c>
      <c r="C38" s="47">
        <v>50</v>
      </c>
      <c r="D38" s="46">
        <v>20</v>
      </c>
      <c r="E38" s="44">
        <v>22</v>
      </c>
      <c r="F38" s="44">
        <f>1.8*E38+32</f>
        <v>71.599999999999994</v>
      </c>
      <c r="G38" s="45">
        <v>16</v>
      </c>
      <c r="H38" s="44">
        <f>IF(F38&gt;68,G38+(F38-68)*0.2,#REF!-(68-F38)*0.2)</f>
        <v>16.72</v>
      </c>
      <c r="I38" s="44">
        <v>22</v>
      </c>
      <c r="J38" s="44">
        <f>1.8*I38+32</f>
        <v>71.599999999999994</v>
      </c>
      <c r="K38" s="45">
        <v>8</v>
      </c>
      <c r="L38" s="44">
        <f>IF(J38&gt;68,K38+(J38-68)*0.2,K38-(68-J38)*0.2)</f>
        <v>8.7199999999999989</v>
      </c>
      <c r="M38" s="43">
        <f>(C38-H38)/C38*100</f>
        <v>66.56</v>
      </c>
      <c r="N38" s="43">
        <f>100-(M38+O38)</f>
        <v>16</v>
      </c>
      <c r="O38" s="43">
        <f>L38/C38*100</f>
        <v>17.439999999999998</v>
      </c>
      <c r="P38" s="42" t="s">
        <v>0</v>
      </c>
      <c r="Q38" s="41">
        <v>407587.53600000002</v>
      </c>
      <c r="R38" s="41">
        <v>3659913.0809999998</v>
      </c>
      <c r="T38" s="71">
        <v>2008034</v>
      </c>
      <c r="U38" s="71" t="s">
        <v>898</v>
      </c>
      <c r="V38" s="71">
        <v>4.879E-2</v>
      </c>
      <c r="W38" s="71">
        <v>0.38074000000000002</v>
      </c>
      <c r="X38" s="71">
        <v>3.3649999999999999E-2</v>
      </c>
      <c r="Y38" s="71">
        <v>1.4300600000000001</v>
      </c>
      <c r="Z38" s="71">
        <v>42.435490000000001</v>
      </c>
      <c r="AA38" s="71">
        <v>17.272010000000002</v>
      </c>
      <c r="AB38" s="71">
        <v>-1.18547</v>
      </c>
    </row>
    <row r="39" spans="1:28" x14ac:dyDescent="0.25">
      <c r="A39" s="49">
        <v>138</v>
      </c>
      <c r="B39" s="48" t="s">
        <v>844</v>
      </c>
      <c r="C39" s="47">
        <v>50</v>
      </c>
      <c r="D39" s="46">
        <v>20</v>
      </c>
      <c r="E39" s="44">
        <v>22</v>
      </c>
      <c r="F39" s="44">
        <f>1.8*E39+32</f>
        <v>71.599999999999994</v>
      </c>
      <c r="G39" s="45">
        <v>14</v>
      </c>
      <c r="H39" s="44">
        <f>IF(F39&gt;68,G39+(F39-68)*0.2,Y70-(68-F39)*0.2)</f>
        <v>14.719999999999999</v>
      </c>
      <c r="I39" s="44">
        <v>22</v>
      </c>
      <c r="J39" s="44">
        <f>1.8*I39+32</f>
        <v>71.599999999999994</v>
      </c>
      <c r="K39" s="45">
        <v>7</v>
      </c>
      <c r="L39" s="44">
        <f>IF(J39&gt;68,K39+(J39-68)*0.2,K39-(68-J39)*0.2)</f>
        <v>7.7199999999999989</v>
      </c>
      <c r="M39" s="43">
        <f>(C39-H39)/C39*100</f>
        <v>70.56</v>
      </c>
      <c r="N39" s="43">
        <f>100-(M39+O39)</f>
        <v>14</v>
      </c>
      <c r="O39" s="43">
        <f>L39/C39*100</f>
        <v>15.439999999999998</v>
      </c>
      <c r="P39" s="42" t="s">
        <v>0</v>
      </c>
      <c r="Q39" s="41">
        <v>407587.53600000002</v>
      </c>
      <c r="R39" s="41">
        <v>3659913.0809999998</v>
      </c>
      <c r="T39" s="71">
        <v>2008034</v>
      </c>
      <c r="U39" s="71" t="s">
        <v>897</v>
      </c>
      <c r="V39" s="71">
        <v>5.4600000000000003E-2</v>
      </c>
      <c r="W39" s="71">
        <v>0.37522</v>
      </c>
      <c r="X39" s="71">
        <v>3.0759999999999999E-2</v>
      </c>
      <c r="Y39" s="71">
        <v>1.46254</v>
      </c>
      <c r="Z39" s="71">
        <v>41.071730000000002</v>
      </c>
      <c r="AA39" s="71">
        <v>14.212300000000001</v>
      </c>
      <c r="AB39" s="71">
        <v>-1.15076</v>
      </c>
    </row>
    <row r="40" spans="1:28" x14ac:dyDescent="0.25">
      <c r="A40" s="49">
        <v>138</v>
      </c>
      <c r="B40" s="48" t="s">
        <v>843</v>
      </c>
      <c r="C40" s="47">
        <v>50</v>
      </c>
      <c r="D40" s="46">
        <v>20</v>
      </c>
      <c r="E40" s="44">
        <v>22</v>
      </c>
      <c r="F40" s="44">
        <f>1.8*E40+32</f>
        <v>71.599999999999994</v>
      </c>
      <c r="G40" s="45">
        <v>12</v>
      </c>
      <c r="H40" s="44">
        <f>IF(F40&gt;68,G40+(F40-68)*0.2,Y71-(68-F40)*0.2)</f>
        <v>12.719999999999999</v>
      </c>
      <c r="I40" s="44">
        <v>22</v>
      </c>
      <c r="J40" s="44">
        <f>1.8*I40+32</f>
        <v>71.599999999999994</v>
      </c>
      <c r="K40" s="45">
        <v>6</v>
      </c>
      <c r="L40" s="44">
        <f>IF(J40&gt;68,K40+(J40-68)*0.2,K40-(68-J40)*0.2)</f>
        <v>6.7199999999999989</v>
      </c>
      <c r="M40" s="43">
        <f>(C40-H40)/C40*100</f>
        <v>74.56</v>
      </c>
      <c r="N40" s="43">
        <f>100-(M40+O40)</f>
        <v>12</v>
      </c>
      <c r="O40" s="43">
        <f>L40/C40*100</f>
        <v>13.439999999999996</v>
      </c>
      <c r="P40" s="42" t="s">
        <v>0</v>
      </c>
      <c r="Q40" s="41">
        <v>407587.53600000002</v>
      </c>
      <c r="R40" s="41">
        <v>3659913.0809999998</v>
      </c>
      <c r="T40" s="71">
        <v>2008034</v>
      </c>
      <c r="U40" s="71" t="s">
        <v>896</v>
      </c>
      <c r="V40" s="71">
        <v>6.0440000000000001E-2</v>
      </c>
      <c r="W40" s="71">
        <v>0.38057000000000002</v>
      </c>
      <c r="X40" s="71">
        <v>2.86E-2</v>
      </c>
      <c r="Y40" s="71">
        <v>1.3402799999999999</v>
      </c>
      <c r="Z40" s="71">
        <v>19.598040000000001</v>
      </c>
      <c r="AA40" s="71">
        <v>10.61961</v>
      </c>
      <c r="AB40" s="71">
        <v>-1.4714</v>
      </c>
    </row>
    <row r="41" spans="1:28" x14ac:dyDescent="0.25">
      <c r="A41" s="49">
        <v>138</v>
      </c>
      <c r="B41" s="48" t="s">
        <v>842</v>
      </c>
      <c r="C41" s="47">
        <v>50</v>
      </c>
      <c r="D41" s="46">
        <v>20</v>
      </c>
      <c r="E41" s="44">
        <v>22</v>
      </c>
      <c r="F41" s="44">
        <f>1.8*E41+32</f>
        <v>71.599999999999994</v>
      </c>
      <c r="G41" s="45">
        <v>21</v>
      </c>
      <c r="H41" s="44">
        <f>IF(F41&gt;68,G41+(F41-68)*0.2,Y72-(68-F41)*0.2)</f>
        <v>21.72</v>
      </c>
      <c r="I41" s="44">
        <v>22</v>
      </c>
      <c r="J41" s="44">
        <f>1.8*I41+32</f>
        <v>71.599999999999994</v>
      </c>
      <c r="K41" s="45">
        <v>11</v>
      </c>
      <c r="L41" s="44">
        <f>IF(J41&gt;68,K41+(J41-68)*0.2,K41-(68-J41)*0.2)</f>
        <v>11.719999999999999</v>
      </c>
      <c r="M41" s="43">
        <f>(C41-H41)/C41*100</f>
        <v>56.56</v>
      </c>
      <c r="N41" s="43">
        <f>100-(M41+O41)</f>
        <v>20</v>
      </c>
      <c r="O41" s="43">
        <f>L41/C41*100</f>
        <v>23.439999999999998</v>
      </c>
      <c r="P41" s="42" t="s">
        <v>2</v>
      </c>
      <c r="Q41" s="41">
        <v>407587.53600000002</v>
      </c>
      <c r="R41" s="41">
        <v>3659913.0809999998</v>
      </c>
      <c r="T41" s="71">
        <v>2008034</v>
      </c>
      <c r="U41" s="71" t="s">
        <v>895</v>
      </c>
      <c r="V41" s="71">
        <v>6.3780000000000003E-2</v>
      </c>
      <c r="W41" s="71">
        <v>0.37447999999999998</v>
      </c>
      <c r="X41" s="71">
        <v>2.743E-2</v>
      </c>
      <c r="Y41" s="71">
        <v>1.3289899999999999</v>
      </c>
      <c r="Z41" s="71">
        <v>17.251239999999999</v>
      </c>
      <c r="AA41" s="71">
        <v>9.2323699999999995</v>
      </c>
      <c r="AB41" s="71">
        <v>-1.5468999999999999</v>
      </c>
    </row>
    <row r="42" spans="1:28" x14ac:dyDescent="0.25">
      <c r="A42" s="49">
        <v>138</v>
      </c>
      <c r="B42" s="48" t="s">
        <v>841</v>
      </c>
      <c r="C42" s="47">
        <v>50</v>
      </c>
      <c r="D42" s="46">
        <v>20</v>
      </c>
      <c r="E42" s="44">
        <v>22</v>
      </c>
      <c r="F42" s="44">
        <f>1.8*E42+32</f>
        <v>71.599999999999994</v>
      </c>
      <c r="G42" s="45">
        <v>16</v>
      </c>
      <c r="H42" s="44">
        <f>IF(F42&gt;68,G42+(F42-68)*0.2,Y73-(68-F42)*0.2)</f>
        <v>16.72</v>
      </c>
      <c r="I42" s="44">
        <v>22</v>
      </c>
      <c r="J42" s="44">
        <f>1.8*I42+32</f>
        <v>71.599999999999994</v>
      </c>
      <c r="K42" s="45">
        <v>7</v>
      </c>
      <c r="L42" s="44">
        <f>IF(J42&gt;68,K42+(J42-68)*0.2,K42-(68-J42)*0.2)</f>
        <v>7.7199999999999989</v>
      </c>
      <c r="M42" s="43">
        <f>(C42-H42)/C42*100</f>
        <v>66.56</v>
      </c>
      <c r="N42" s="43">
        <f>100-(M42+O42)</f>
        <v>18</v>
      </c>
      <c r="O42" s="43">
        <f>L42/C42*100</f>
        <v>15.439999999999998</v>
      </c>
      <c r="P42" s="42" t="s">
        <v>0</v>
      </c>
      <c r="Q42" s="41">
        <v>407587.53600000002</v>
      </c>
      <c r="R42" s="41">
        <v>3659913.0809999998</v>
      </c>
      <c r="T42" s="71">
        <v>2008034</v>
      </c>
      <c r="U42" s="71" t="s">
        <v>894</v>
      </c>
      <c r="V42" s="71">
        <v>6.8140000000000006E-2</v>
      </c>
      <c r="W42" s="71">
        <v>0.38225999999999999</v>
      </c>
      <c r="X42" s="71">
        <v>2.724E-2</v>
      </c>
      <c r="Y42" s="71">
        <v>1.2944500000000001</v>
      </c>
      <c r="Z42" s="71">
        <v>13.472709999999999</v>
      </c>
      <c r="AA42" s="71">
        <v>8.4403100000000002</v>
      </c>
      <c r="AB42" s="71">
        <v>-1.7641100000000001</v>
      </c>
    </row>
    <row r="43" spans="1:28" x14ac:dyDescent="0.25">
      <c r="A43" s="49">
        <v>138</v>
      </c>
      <c r="B43" s="48" t="s">
        <v>839</v>
      </c>
      <c r="C43" s="47">
        <v>50</v>
      </c>
      <c r="D43" s="46">
        <v>20</v>
      </c>
      <c r="E43" s="44">
        <v>22</v>
      </c>
      <c r="F43" s="44">
        <f>1.8*E43+32</f>
        <v>71.599999999999994</v>
      </c>
      <c r="G43" s="45">
        <v>11</v>
      </c>
      <c r="H43" s="44">
        <f>IF(F43&gt;68,G43+(F43-68)*0.2,Y74-(68-F43)*0.2)</f>
        <v>11.719999999999999</v>
      </c>
      <c r="I43" s="44">
        <v>22</v>
      </c>
      <c r="J43" s="44">
        <f>1.8*I43+32</f>
        <v>71.599999999999994</v>
      </c>
      <c r="K43" s="45">
        <v>5</v>
      </c>
      <c r="L43" s="44">
        <f>IF(J43&gt;68,K43+(J43-68)*0.2,K43-(68-J43)*0.2)</f>
        <v>5.7199999999999989</v>
      </c>
      <c r="M43" s="43">
        <f>(C43-H43)/C43*100</f>
        <v>76.56</v>
      </c>
      <c r="N43" s="43">
        <f>100-(M43+O43)</f>
        <v>12</v>
      </c>
      <c r="O43" s="43">
        <f>L43/C43*100</f>
        <v>11.439999999999998</v>
      </c>
      <c r="P43" s="42" t="s">
        <v>0</v>
      </c>
      <c r="Q43" s="41">
        <v>407587.53600000002</v>
      </c>
      <c r="R43" s="41">
        <v>3659913.0809999998</v>
      </c>
      <c r="T43" s="71">
        <v>2008034</v>
      </c>
      <c r="U43" s="71" t="s">
        <v>893</v>
      </c>
      <c r="V43" s="71">
        <v>5.7439999999999998E-2</v>
      </c>
      <c r="W43" s="71">
        <v>0.38169999999999998</v>
      </c>
      <c r="X43" s="71">
        <v>2.9100000000000001E-2</v>
      </c>
      <c r="Y43" s="71">
        <v>1.35561</v>
      </c>
      <c r="Z43" s="71">
        <v>22.896809999999999</v>
      </c>
      <c r="AA43" s="71">
        <v>11.62346</v>
      </c>
      <c r="AB43" s="71">
        <v>-1.3858299999999999</v>
      </c>
    </row>
    <row r="44" spans="1:28" x14ac:dyDescent="0.25">
      <c r="A44" s="61"/>
      <c r="B44" s="58"/>
      <c r="C44" s="58"/>
      <c r="D44" s="58"/>
      <c r="E44" s="58"/>
      <c r="F44" s="58"/>
      <c r="G44" s="60"/>
      <c r="H44" s="58"/>
      <c r="I44" s="58"/>
      <c r="J44" s="58"/>
      <c r="K44" s="60"/>
      <c r="L44" s="58"/>
      <c r="M44" s="59"/>
      <c r="N44" s="59"/>
      <c r="O44" s="59"/>
      <c r="P44" s="58"/>
      <c r="T44" s="71">
        <v>2008034</v>
      </c>
      <c r="U44" s="71" t="s">
        <v>892</v>
      </c>
      <c r="V44" s="71">
        <v>6.3189999999999996E-2</v>
      </c>
      <c r="W44" s="71">
        <v>0.38192999999999999</v>
      </c>
      <c r="X44" s="71">
        <v>2.7799999999999998E-2</v>
      </c>
      <c r="Y44" s="71">
        <v>1.3253600000000001</v>
      </c>
      <c r="Z44" s="71">
        <v>16.583469999999998</v>
      </c>
      <c r="AA44" s="71">
        <v>9.7071799999999993</v>
      </c>
      <c r="AB44" s="71">
        <v>-1.54355</v>
      </c>
    </row>
    <row r="45" spans="1:28" x14ac:dyDescent="0.25">
      <c r="A45" s="57"/>
      <c r="B45" s="56"/>
      <c r="C45" s="55"/>
      <c r="D45" s="54"/>
      <c r="E45" s="52"/>
      <c r="F45" s="52"/>
      <c r="G45" s="53"/>
      <c r="H45" s="52"/>
      <c r="I45" s="52"/>
      <c r="J45" s="52"/>
      <c r="K45" s="53"/>
      <c r="L45" s="52"/>
      <c r="M45" s="51"/>
      <c r="N45" s="51"/>
      <c r="O45" s="51"/>
      <c r="P45" s="56"/>
      <c r="Q45" s="5" t="s">
        <v>4</v>
      </c>
      <c r="R45" s="5" t="s">
        <v>3</v>
      </c>
      <c r="T45" s="71">
        <v>2008034</v>
      </c>
      <c r="U45" s="71" t="s">
        <v>891</v>
      </c>
      <c r="V45" s="71">
        <v>4.8500000000000001E-2</v>
      </c>
      <c r="W45" s="71">
        <v>0.38120999999999999</v>
      </c>
      <c r="X45" s="71">
        <v>3.356E-2</v>
      </c>
      <c r="Y45" s="71">
        <v>1.4232</v>
      </c>
      <c r="Z45" s="71">
        <v>41.329329999999999</v>
      </c>
      <c r="AA45" s="71">
        <v>17.188610000000001</v>
      </c>
      <c r="AB45" s="71">
        <v>-1.19394</v>
      </c>
    </row>
    <row r="46" spans="1:28" x14ac:dyDescent="0.25">
      <c r="A46" s="49">
        <v>162</v>
      </c>
      <c r="B46" s="48" t="s">
        <v>845</v>
      </c>
      <c r="C46" s="47">
        <v>50</v>
      </c>
      <c r="D46" s="46">
        <v>20</v>
      </c>
      <c r="E46" s="44">
        <v>22</v>
      </c>
      <c r="F46" s="44">
        <f>1.8*E46+32</f>
        <v>71.599999999999994</v>
      </c>
      <c r="G46" s="45">
        <v>21</v>
      </c>
      <c r="H46" s="44">
        <f>IF(F46&gt;68,G46+(F46-68)*0.2,#REF!-(68-F46)*0.2)</f>
        <v>21.72</v>
      </c>
      <c r="I46" s="44">
        <v>22</v>
      </c>
      <c r="J46" s="44">
        <f>1.8*I46+32</f>
        <v>71.599999999999994</v>
      </c>
      <c r="K46" s="45">
        <v>13</v>
      </c>
      <c r="L46" s="44">
        <f>IF(J46&gt;68,K46+(J46-68)*0.2,K46-(68-J46)*0.2)</f>
        <v>13.719999999999999</v>
      </c>
      <c r="M46" s="43">
        <f>(C46-H46)/C46*100</f>
        <v>56.56</v>
      </c>
      <c r="N46" s="43">
        <f>100-(M46+O46)</f>
        <v>16</v>
      </c>
      <c r="O46" s="43">
        <f>L46/C46*100</f>
        <v>27.439999999999998</v>
      </c>
      <c r="P46" s="42" t="s">
        <v>2</v>
      </c>
      <c r="Q46" s="41">
        <v>407589.179</v>
      </c>
      <c r="R46" s="41">
        <v>3660002.4920000001</v>
      </c>
      <c r="T46" s="71">
        <v>2008034</v>
      </c>
      <c r="U46" s="71" t="s">
        <v>890</v>
      </c>
      <c r="V46" s="71">
        <v>5.7630000000000001E-2</v>
      </c>
      <c r="W46" s="71">
        <v>0.37969999999999998</v>
      </c>
      <c r="X46" s="71">
        <v>2.9569999999999999E-2</v>
      </c>
      <c r="Y46" s="71">
        <v>1.3580300000000001</v>
      </c>
      <c r="Z46" s="71">
        <v>23.59083</v>
      </c>
      <c r="AA46" s="71">
        <v>11.76327</v>
      </c>
      <c r="AB46" s="71">
        <v>-1.3984099999999999</v>
      </c>
    </row>
    <row r="47" spans="1:28" x14ac:dyDescent="0.25">
      <c r="A47" s="49">
        <v>162</v>
      </c>
      <c r="B47" s="48" t="s">
        <v>844</v>
      </c>
      <c r="C47" s="47">
        <v>50</v>
      </c>
      <c r="D47" s="46">
        <v>20</v>
      </c>
      <c r="E47" s="44">
        <v>22</v>
      </c>
      <c r="F47" s="44">
        <f>1.8*E47+32</f>
        <v>71.599999999999994</v>
      </c>
      <c r="G47" s="45">
        <v>24</v>
      </c>
      <c r="H47" s="44">
        <f>IF(F47&gt;68,G47+(F47-68)*0.2,Y78-(68-F47)*0.2)</f>
        <v>24.72</v>
      </c>
      <c r="I47" s="44">
        <v>22</v>
      </c>
      <c r="J47" s="44">
        <f>1.8*I47+32</f>
        <v>71.599999999999994</v>
      </c>
      <c r="K47" s="45">
        <v>15</v>
      </c>
      <c r="L47" s="44">
        <f>IF(J47&gt;68,K47+(J47-68)*0.2,K47-(68-J47)*0.2)</f>
        <v>15.719999999999999</v>
      </c>
      <c r="M47" s="43">
        <f>(C47-H47)/C47*100</f>
        <v>50.56</v>
      </c>
      <c r="N47" s="43">
        <f>100-(M47+O47)</f>
        <v>18</v>
      </c>
      <c r="O47" s="43">
        <f>L47/C47*100</f>
        <v>31.439999999999994</v>
      </c>
      <c r="P47" s="42" t="s">
        <v>2</v>
      </c>
      <c r="Q47" s="41">
        <v>407589.179</v>
      </c>
      <c r="R47" s="41">
        <v>3660002.4920000001</v>
      </c>
      <c r="T47" s="71">
        <v>2008034</v>
      </c>
      <c r="U47" s="71" t="s">
        <v>889</v>
      </c>
      <c r="V47" s="71">
        <v>6.923E-2</v>
      </c>
      <c r="W47" s="71">
        <v>0.38608999999999999</v>
      </c>
      <c r="X47" s="71">
        <v>2.6800000000000001E-2</v>
      </c>
      <c r="Y47" s="71">
        <v>1.2946899999999999</v>
      </c>
      <c r="Z47" s="71">
        <v>12.498200000000001</v>
      </c>
      <c r="AA47" s="71">
        <v>8.2649899999999992</v>
      </c>
      <c r="AB47" s="71">
        <v>-1.7449600000000001</v>
      </c>
    </row>
    <row r="48" spans="1:28" x14ac:dyDescent="0.25">
      <c r="A48" s="49">
        <v>162</v>
      </c>
      <c r="B48" s="48" t="s">
        <v>843</v>
      </c>
      <c r="C48" s="47">
        <v>50</v>
      </c>
      <c r="D48" s="46">
        <v>20</v>
      </c>
      <c r="E48" s="44">
        <v>21</v>
      </c>
      <c r="F48" s="44">
        <f>1.8*E48+32</f>
        <v>69.800000000000011</v>
      </c>
      <c r="G48" s="45">
        <v>20</v>
      </c>
      <c r="H48" s="44">
        <f>IF(F48&gt;68,G48+(F48-68)*0.2,Y79-(68-F48)*0.2)</f>
        <v>20.360000000000003</v>
      </c>
      <c r="I48" s="44">
        <v>22</v>
      </c>
      <c r="J48" s="44">
        <f>1.8*I48+32</f>
        <v>71.599999999999994</v>
      </c>
      <c r="K48" s="45">
        <v>11</v>
      </c>
      <c r="L48" s="44">
        <f>IF(J48&gt;68,K48+(J48-68)*0.2,K48-(68-J48)*0.2)</f>
        <v>11.719999999999999</v>
      </c>
      <c r="M48" s="43">
        <f>(C48-H48)/C48*100</f>
        <v>59.28</v>
      </c>
      <c r="N48" s="43">
        <f>100-(M48+O48)</f>
        <v>17.28</v>
      </c>
      <c r="O48" s="43">
        <f>L48/C48*100</f>
        <v>23.439999999999998</v>
      </c>
      <c r="P48" s="42" t="s">
        <v>2</v>
      </c>
      <c r="Q48" s="41">
        <v>407589.179</v>
      </c>
      <c r="R48" s="41">
        <v>3660002.4920000001</v>
      </c>
      <c r="T48" s="71">
        <v>2008034</v>
      </c>
      <c r="U48" s="71" t="s">
        <v>888</v>
      </c>
      <c r="V48" s="71">
        <v>7.4399999999999994E-2</v>
      </c>
      <c r="W48" s="71">
        <v>0.39595000000000002</v>
      </c>
      <c r="X48" s="71">
        <v>2.572E-2</v>
      </c>
      <c r="Y48" s="71">
        <v>1.2814700000000001</v>
      </c>
      <c r="Z48" s="71">
        <v>10.07626</v>
      </c>
      <c r="AA48" s="71">
        <v>7.4008700000000003</v>
      </c>
      <c r="AB48" s="71">
        <v>-1.8248599999999999</v>
      </c>
    </row>
    <row r="49" spans="1:28" x14ac:dyDescent="0.25">
      <c r="A49" s="49">
        <v>162</v>
      </c>
      <c r="B49" s="48" t="s">
        <v>842</v>
      </c>
      <c r="C49" s="47">
        <v>50</v>
      </c>
      <c r="D49" s="46">
        <v>20</v>
      </c>
      <c r="E49" s="44">
        <v>21</v>
      </c>
      <c r="F49" s="44">
        <f>1.8*E49+32</f>
        <v>69.800000000000011</v>
      </c>
      <c r="G49" s="45">
        <v>22</v>
      </c>
      <c r="H49" s="44">
        <f>IF(F49&gt;68,G49+(F49-68)*0.2,Y80-(68-F49)*0.2)</f>
        <v>22.360000000000003</v>
      </c>
      <c r="I49" s="44">
        <v>22</v>
      </c>
      <c r="J49" s="44">
        <f>1.8*I49+32</f>
        <v>71.599999999999994</v>
      </c>
      <c r="K49" s="45">
        <v>11</v>
      </c>
      <c r="L49" s="44">
        <f>IF(J49&gt;68,K49+(J49-68)*0.2,K49-(68-J49)*0.2)</f>
        <v>11.719999999999999</v>
      </c>
      <c r="M49" s="43">
        <f>(C49-H49)/C49*100</f>
        <v>55.279999999999994</v>
      </c>
      <c r="N49" s="43">
        <f>100-(M49+O49)</f>
        <v>21.28</v>
      </c>
      <c r="O49" s="43">
        <f>L49/C49*100</f>
        <v>23.439999999999998</v>
      </c>
      <c r="P49" s="42" t="s">
        <v>2</v>
      </c>
      <c r="Q49" s="41">
        <v>407589.179</v>
      </c>
      <c r="R49" s="41">
        <v>3660002.4920000001</v>
      </c>
      <c r="T49" s="71">
        <v>2008034</v>
      </c>
      <c r="U49" s="71" t="s">
        <v>887</v>
      </c>
      <c r="V49" s="71">
        <v>6.7220000000000002E-2</v>
      </c>
      <c r="W49" s="71">
        <v>0.39388000000000001</v>
      </c>
      <c r="X49" s="71">
        <v>2.35E-2</v>
      </c>
      <c r="Y49" s="71">
        <v>1.33877</v>
      </c>
      <c r="Z49" s="71">
        <v>12.09402</v>
      </c>
      <c r="AA49" s="71">
        <v>7.8591300000000004</v>
      </c>
      <c r="AB49" s="71">
        <v>-1.3402000000000001</v>
      </c>
    </row>
    <row r="50" spans="1:28" x14ac:dyDescent="0.25">
      <c r="A50" s="49">
        <v>162</v>
      </c>
      <c r="B50" s="48" t="s">
        <v>841</v>
      </c>
      <c r="C50" s="47">
        <v>50</v>
      </c>
      <c r="D50" s="46">
        <v>20</v>
      </c>
      <c r="E50" s="44">
        <v>21</v>
      </c>
      <c r="F50" s="44">
        <f>1.8*E50+32</f>
        <v>69.800000000000011</v>
      </c>
      <c r="G50" s="45">
        <v>16</v>
      </c>
      <c r="H50" s="44">
        <f>IF(F50&gt;68,G50+(F50-68)*0.2,Y81-(68-F50)*0.2)</f>
        <v>16.360000000000003</v>
      </c>
      <c r="I50" s="44">
        <v>22</v>
      </c>
      <c r="J50" s="44">
        <f>1.8*I50+32</f>
        <v>71.599999999999994</v>
      </c>
      <c r="K50" s="45">
        <v>9</v>
      </c>
      <c r="L50" s="44">
        <f>IF(J50&gt;68,K50+(J50-68)*0.2,K50-(68-J50)*0.2)</f>
        <v>9.7199999999999989</v>
      </c>
      <c r="M50" s="43">
        <f>(C50-H50)/C50*100</f>
        <v>67.28</v>
      </c>
      <c r="N50" s="43">
        <f>100-(M50+O50)</f>
        <v>13.280000000000001</v>
      </c>
      <c r="O50" s="43">
        <f>L50/C50*100</f>
        <v>19.439999999999998</v>
      </c>
      <c r="P50" s="42" t="s">
        <v>0</v>
      </c>
      <c r="Q50" s="41">
        <v>407589.179</v>
      </c>
      <c r="R50" s="41">
        <v>3660002.4920000001</v>
      </c>
      <c r="T50" s="71">
        <v>2008034</v>
      </c>
      <c r="U50" s="71" t="s">
        <v>886</v>
      </c>
      <c r="V50" s="71">
        <v>5.67E-2</v>
      </c>
      <c r="W50" s="71">
        <v>0.37480000000000002</v>
      </c>
      <c r="X50" s="71">
        <v>2.981E-2</v>
      </c>
      <c r="Y50" s="71">
        <v>1.41425</v>
      </c>
      <c r="Z50" s="71">
        <v>31.361550000000001</v>
      </c>
      <c r="AA50" s="71">
        <v>12.57391</v>
      </c>
      <c r="AB50" s="71">
        <v>-1.24664</v>
      </c>
    </row>
    <row r="51" spans="1:28" x14ac:dyDescent="0.25">
      <c r="A51" s="49">
        <v>162</v>
      </c>
      <c r="B51" s="48" t="s">
        <v>839</v>
      </c>
      <c r="C51" s="47">
        <v>50</v>
      </c>
      <c r="D51" s="46">
        <v>20</v>
      </c>
      <c r="E51" s="44">
        <v>21</v>
      </c>
      <c r="F51" s="44">
        <f>1.8*E51+32</f>
        <v>69.800000000000011</v>
      </c>
      <c r="G51" s="45">
        <v>22</v>
      </c>
      <c r="H51" s="44">
        <f>IF(F51&gt;68,G51+(F51-68)*0.2,Y82-(68-F51)*0.2)</f>
        <v>22.360000000000003</v>
      </c>
      <c r="I51" s="44">
        <v>22</v>
      </c>
      <c r="J51" s="44">
        <f>1.8*I51+32</f>
        <v>71.599999999999994</v>
      </c>
      <c r="K51" s="45">
        <v>12</v>
      </c>
      <c r="L51" s="44">
        <f>IF(J51&gt;68,K51+(J51-68)*0.2,K51-(68-J51)*0.2)</f>
        <v>12.719999999999999</v>
      </c>
      <c r="M51" s="43">
        <f>(C51-H51)/C51*100</f>
        <v>55.279999999999994</v>
      </c>
      <c r="N51" s="43">
        <f>100-(M51+O51)</f>
        <v>19.28</v>
      </c>
      <c r="O51" s="43">
        <f>L51/C51*100</f>
        <v>25.439999999999998</v>
      </c>
      <c r="P51" s="42" t="s">
        <v>2</v>
      </c>
      <c r="Q51" s="41">
        <v>407589.179</v>
      </c>
      <c r="R51" s="41">
        <v>3660002.4920000001</v>
      </c>
      <c r="T51" s="71">
        <v>2008034</v>
      </c>
      <c r="U51" s="71" t="s">
        <v>885</v>
      </c>
      <c r="V51" s="71">
        <v>5.8209999999999998E-2</v>
      </c>
      <c r="W51" s="71">
        <v>0.37690000000000001</v>
      </c>
      <c r="X51" s="71">
        <v>2.954E-2</v>
      </c>
      <c r="Y51" s="71">
        <v>1.3666</v>
      </c>
      <c r="Z51" s="71">
        <v>24.269279999999998</v>
      </c>
      <c r="AA51" s="71">
        <v>11.629250000000001</v>
      </c>
      <c r="AB51" s="71">
        <v>-1.3828199999999999</v>
      </c>
    </row>
    <row r="52" spans="1:28" x14ac:dyDescent="0.25">
      <c r="A52" s="61"/>
      <c r="B52" s="58"/>
      <c r="C52" s="58"/>
      <c r="D52" s="58"/>
      <c r="E52" s="58"/>
      <c r="F52" s="58"/>
      <c r="G52" s="60"/>
      <c r="H52" s="58"/>
      <c r="I52" s="58"/>
      <c r="J52" s="58"/>
      <c r="K52" s="60"/>
      <c r="L52" s="58"/>
      <c r="M52" s="59"/>
      <c r="N52" s="59"/>
      <c r="O52" s="59"/>
      <c r="P52" s="58"/>
      <c r="T52" s="71">
        <v>2008034</v>
      </c>
      <c r="U52" s="71" t="s">
        <v>884</v>
      </c>
      <c r="V52" s="71">
        <v>7.3569999999999997E-2</v>
      </c>
      <c r="W52" s="71">
        <v>0.39457999999999999</v>
      </c>
      <c r="X52" s="71">
        <v>2.5760000000000002E-2</v>
      </c>
      <c r="Y52" s="71">
        <v>1.28487</v>
      </c>
      <c r="Z52" s="71">
        <v>10.28116</v>
      </c>
      <c r="AA52" s="71">
        <v>7.5061099999999996</v>
      </c>
      <c r="AB52" s="71">
        <v>-1.7953399999999999</v>
      </c>
    </row>
    <row r="53" spans="1:28" x14ac:dyDescent="0.25">
      <c r="A53" s="57"/>
      <c r="B53" s="56"/>
      <c r="C53" s="55"/>
      <c r="D53" s="54"/>
      <c r="E53" s="52"/>
      <c r="F53" s="52"/>
      <c r="G53" s="53"/>
      <c r="H53" s="52"/>
      <c r="I53" s="52"/>
      <c r="J53" s="52"/>
      <c r="K53" s="53"/>
      <c r="L53" s="52"/>
      <c r="M53" s="51"/>
      <c r="N53" s="51"/>
      <c r="O53" s="51"/>
      <c r="P53" s="56"/>
      <c r="Q53" s="5" t="s">
        <v>4</v>
      </c>
      <c r="R53" s="5" t="s">
        <v>3</v>
      </c>
      <c r="T53" s="71">
        <v>2008034</v>
      </c>
      <c r="U53" s="71" t="s">
        <v>883</v>
      </c>
      <c r="V53" s="71">
        <v>6.0539999999999997E-2</v>
      </c>
      <c r="W53" s="71">
        <v>0.38505</v>
      </c>
      <c r="X53" s="71">
        <v>2.7150000000000001E-2</v>
      </c>
      <c r="Y53" s="71">
        <v>1.3444100000000001</v>
      </c>
      <c r="Z53" s="71">
        <v>18.446850000000001</v>
      </c>
      <c r="AA53" s="71">
        <v>10.168939999999999</v>
      </c>
      <c r="AB53" s="71">
        <v>-1.39679</v>
      </c>
    </row>
    <row r="54" spans="1:28" x14ac:dyDescent="0.25">
      <c r="A54" s="49">
        <v>187</v>
      </c>
      <c r="B54" s="48" t="s">
        <v>845</v>
      </c>
      <c r="C54" s="47">
        <v>50</v>
      </c>
      <c r="D54" s="46">
        <v>20</v>
      </c>
      <c r="E54" s="44">
        <v>22</v>
      </c>
      <c r="F54" s="44">
        <f>1.8*E54+32</f>
        <v>71.599999999999994</v>
      </c>
      <c r="G54" s="45">
        <v>20</v>
      </c>
      <c r="H54" s="44">
        <f>IF(F54&gt;68,G54+(F54-68)*0.2,#REF!-(68-F54)*0.2)</f>
        <v>20.72</v>
      </c>
      <c r="I54" s="44">
        <v>22</v>
      </c>
      <c r="J54" s="44">
        <f>1.8*I54+32</f>
        <v>71.599999999999994</v>
      </c>
      <c r="K54" s="45">
        <v>10</v>
      </c>
      <c r="L54" s="44">
        <f>IF(J54&gt;68,K54+(J54-68)*0.2,K54-(68-J54)*0.2)</f>
        <v>10.719999999999999</v>
      </c>
      <c r="M54" s="43">
        <f>(C54-H54)/C54*100</f>
        <v>58.56</v>
      </c>
      <c r="N54" s="43">
        <f>100-(M54+O54)</f>
        <v>20</v>
      </c>
      <c r="O54" s="43">
        <f>L54/C54*100</f>
        <v>21.439999999999998</v>
      </c>
      <c r="P54" s="42" t="s">
        <v>2</v>
      </c>
      <c r="Q54" s="41">
        <v>407585.12599999999</v>
      </c>
      <c r="R54" s="41">
        <v>3659957.8829999999</v>
      </c>
      <c r="T54" s="71">
        <v>2008034</v>
      </c>
      <c r="U54" s="71" t="s">
        <v>882</v>
      </c>
      <c r="V54" s="71">
        <v>5.7630000000000001E-2</v>
      </c>
      <c r="W54" s="71">
        <v>0.37969999999999998</v>
      </c>
      <c r="X54" s="71">
        <v>2.9569999999999999E-2</v>
      </c>
      <c r="Y54" s="71">
        <v>1.3580300000000001</v>
      </c>
      <c r="Z54" s="71">
        <v>23.59083</v>
      </c>
      <c r="AA54" s="71">
        <v>11.76327</v>
      </c>
      <c r="AB54" s="71">
        <v>-1.3984099999999999</v>
      </c>
    </row>
    <row r="55" spans="1:28" x14ac:dyDescent="0.25">
      <c r="A55" s="49">
        <v>187</v>
      </c>
      <c r="B55" s="48" t="s">
        <v>844</v>
      </c>
      <c r="C55" s="47">
        <v>50</v>
      </c>
      <c r="D55" s="46">
        <v>20</v>
      </c>
      <c r="E55" s="44">
        <v>22</v>
      </c>
      <c r="F55" s="44">
        <f>1.8*E55+32</f>
        <v>71.599999999999994</v>
      </c>
      <c r="G55" s="45">
        <v>20</v>
      </c>
      <c r="H55" s="44">
        <f>IF(F55&gt;68,G55+(F55-68)*0.2,Y86-(68-F55)*0.2)</f>
        <v>20.72</v>
      </c>
      <c r="I55" s="44">
        <v>22</v>
      </c>
      <c r="J55" s="44">
        <f>1.8*I55+32</f>
        <v>71.599999999999994</v>
      </c>
      <c r="K55" s="45">
        <v>10</v>
      </c>
      <c r="L55" s="44">
        <f>IF(J55&gt;68,K55+(J55-68)*0.2,K55-(68-J55)*0.2)</f>
        <v>10.719999999999999</v>
      </c>
      <c r="M55" s="43">
        <f>(C55-H55)/C55*100</f>
        <v>58.56</v>
      </c>
      <c r="N55" s="43">
        <f>100-(M55+O55)</f>
        <v>20</v>
      </c>
      <c r="O55" s="43">
        <f>L55/C55*100</f>
        <v>21.439999999999998</v>
      </c>
      <c r="P55" s="42" t="s">
        <v>2</v>
      </c>
      <c r="Q55" s="41">
        <v>407585.12599999999</v>
      </c>
      <c r="R55" s="41">
        <v>3659957.8829999999</v>
      </c>
      <c r="T55" s="71">
        <v>2008034</v>
      </c>
      <c r="U55" s="71" t="s">
        <v>881</v>
      </c>
      <c r="V55" s="71">
        <v>5.3850000000000002E-2</v>
      </c>
      <c r="W55" s="71">
        <v>0.37469000000000002</v>
      </c>
      <c r="X55" s="71">
        <v>3.091E-2</v>
      </c>
      <c r="Y55" s="71">
        <v>1.56036</v>
      </c>
      <c r="Z55" s="71">
        <v>58.705190000000002</v>
      </c>
      <c r="AA55" s="71">
        <v>15.695919999999999</v>
      </c>
      <c r="AB55" s="71">
        <v>-1.03077</v>
      </c>
    </row>
    <row r="56" spans="1:28" x14ac:dyDescent="0.25">
      <c r="A56" s="49">
        <v>187</v>
      </c>
      <c r="B56" s="48" t="s">
        <v>843</v>
      </c>
      <c r="C56" s="47">
        <v>50</v>
      </c>
      <c r="D56" s="46">
        <v>20</v>
      </c>
      <c r="E56" s="44">
        <v>22</v>
      </c>
      <c r="F56" s="44">
        <f>1.8*E56+32</f>
        <v>71.599999999999994</v>
      </c>
      <c r="G56" s="45">
        <v>17</v>
      </c>
      <c r="H56" s="44">
        <f>IF(F56&gt;68,G56+(F56-68)*0.2,Y87-(68-F56)*0.2)</f>
        <v>17.72</v>
      </c>
      <c r="I56" s="44">
        <v>22</v>
      </c>
      <c r="J56" s="44">
        <f>1.8*I56+32</f>
        <v>71.599999999999994</v>
      </c>
      <c r="K56" s="45">
        <v>10</v>
      </c>
      <c r="L56" s="44">
        <f>IF(J56&gt;68,K56+(J56-68)*0.2,K56-(68-J56)*0.2)</f>
        <v>10.719999999999999</v>
      </c>
      <c r="M56" s="43">
        <f>(C56-H56)/C56*100</f>
        <v>64.56</v>
      </c>
      <c r="N56" s="43">
        <f>100-(M56+O56)</f>
        <v>14</v>
      </c>
      <c r="O56" s="43">
        <f>L56/C56*100</f>
        <v>21.439999999999998</v>
      </c>
      <c r="P56" s="42" t="s">
        <v>2</v>
      </c>
      <c r="Q56" s="41">
        <v>407585.12599999999</v>
      </c>
      <c r="R56" s="41">
        <v>3659957.8829999999</v>
      </c>
      <c r="T56" s="71">
        <v>2008034</v>
      </c>
      <c r="U56" s="71" t="s">
        <v>880</v>
      </c>
      <c r="V56" s="71">
        <v>5.6320000000000002E-2</v>
      </c>
      <c r="W56" s="71">
        <v>0.37552999999999997</v>
      </c>
      <c r="X56" s="71">
        <v>3.0110000000000001E-2</v>
      </c>
      <c r="Y56" s="71">
        <v>1.40706</v>
      </c>
      <c r="Z56" s="71">
        <v>30.96509</v>
      </c>
      <c r="AA56" s="71">
        <v>12.756869999999999</v>
      </c>
      <c r="AB56" s="71">
        <v>-1.26379</v>
      </c>
    </row>
    <row r="57" spans="1:28" x14ac:dyDescent="0.25">
      <c r="A57" s="49">
        <v>187</v>
      </c>
      <c r="B57" s="48" t="s">
        <v>842</v>
      </c>
      <c r="C57" s="47">
        <v>50</v>
      </c>
      <c r="D57" s="46">
        <v>20</v>
      </c>
      <c r="E57" s="44">
        <v>22</v>
      </c>
      <c r="F57" s="44">
        <f>1.8*E57+32</f>
        <v>71.599999999999994</v>
      </c>
      <c r="G57" s="45">
        <v>20</v>
      </c>
      <c r="H57" s="44">
        <f>IF(F57&gt;68,G57+(F57-68)*0.2,Y88-(68-F57)*0.2)</f>
        <v>20.72</v>
      </c>
      <c r="I57" s="44">
        <v>22</v>
      </c>
      <c r="J57" s="44">
        <f>1.8*I57+32</f>
        <v>71.599999999999994</v>
      </c>
      <c r="K57" s="45">
        <v>11</v>
      </c>
      <c r="L57" s="44">
        <f>IF(J57&gt;68,K57+(J57-68)*0.2,K57-(68-J57)*0.2)</f>
        <v>11.719999999999999</v>
      </c>
      <c r="M57" s="43">
        <f>(C57-H57)/C57*100</f>
        <v>58.56</v>
      </c>
      <c r="N57" s="43">
        <f>100-(M57+O57)</f>
        <v>18</v>
      </c>
      <c r="O57" s="43">
        <f>L57/C57*100</f>
        <v>23.439999999999998</v>
      </c>
      <c r="P57" s="42" t="s">
        <v>2</v>
      </c>
      <c r="Q57" s="41">
        <v>407585.12599999999</v>
      </c>
      <c r="R57" s="41">
        <v>3659957.8829999999</v>
      </c>
      <c r="T57" s="71">
        <v>2008034</v>
      </c>
      <c r="U57" s="71" t="s">
        <v>879</v>
      </c>
      <c r="V57" s="71">
        <v>5.0130000000000001E-2</v>
      </c>
      <c r="W57" s="71">
        <v>0.37758999999999998</v>
      </c>
      <c r="X57" s="71">
        <v>3.3509999999999998E-2</v>
      </c>
      <c r="Y57" s="71">
        <v>1.5920799999999999</v>
      </c>
      <c r="Z57" s="71">
        <v>71.11224</v>
      </c>
      <c r="AA57" s="71">
        <v>19.312259999999998</v>
      </c>
      <c r="AB57" s="71">
        <v>-0.99809999999999999</v>
      </c>
    </row>
    <row r="58" spans="1:28" x14ac:dyDescent="0.25">
      <c r="A58" s="49">
        <v>187</v>
      </c>
      <c r="B58" s="48" t="s">
        <v>841</v>
      </c>
      <c r="C58" s="47">
        <v>50</v>
      </c>
      <c r="D58" s="46">
        <v>20</v>
      </c>
      <c r="E58" s="44">
        <v>22</v>
      </c>
      <c r="F58" s="44">
        <f>1.8*E58+32</f>
        <v>71.599999999999994</v>
      </c>
      <c r="G58" s="45">
        <v>14</v>
      </c>
      <c r="H58" s="44">
        <f>IF(F58&gt;68,G58+(F58-68)*0.2,Y89-(68-F58)*0.2)</f>
        <v>14.719999999999999</v>
      </c>
      <c r="I58" s="44">
        <v>22</v>
      </c>
      <c r="J58" s="44">
        <f>1.8*I58+32</f>
        <v>71.599999999999994</v>
      </c>
      <c r="K58" s="45">
        <v>6</v>
      </c>
      <c r="L58" s="44">
        <f>IF(J58&gt;68,K58+(J58-68)*0.2,K58-(68-J58)*0.2)</f>
        <v>6.7199999999999989</v>
      </c>
      <c r="M58" s="43">
        <f>(C58-H58)/C58*100</f>
        <v>70.56</v>
      </c>
      <c r="N58" s="43">
        <f>100-(M58+O58)</f>
        <v>16</v>
      </c>
      <c r="O58" s="43">
        <f>L58/C58*100</f>
        <v>13.439999999999996</v>
      </c>
      <c r="P58" s="42" t="s">
        <v>0</v>
      </c>
      <c r="Q58" s="41">
        <v>407585.12599999999</v>
      </c>
      <c r="R58" s="41">
        <v>3659957.8829999999</v>
      </c>
      <c r="T58" s="71">
        <v>2008034</v>
      </c>
      <c r="U58" s="71" t="s">
        <v>878</v>
      </c>
      <c r="V58" s="71">
        <v>5.5449999999999999E-2</v>
      </c>
      <c r="W58" s="71">
        <v>0.37747000000000003</v>
      </c>
      <c r="X58" s="71">
        <v>3.066E-2</v>
      </c>
      <c r="Y58" s="71">
        <v>1.3909899999999999</v>
      </c>
      <c r="Z58" s="71">
        <v>29.916029999999999</v>
      </c>
      <c r="AA58" s="71">
        <v>13.09998</v>
      </c>
      <c r="AB58" s="71">
        <v>-1.3019099999999999</v>
      </c>
    </row>
    <row r="59" spans="1:28" x14ac:dyDescent="0.25">
      <c r="A59" s="49">
        <v>187</v>
      </c>
      <c r="B59" s="48" t="s">
        <v>839</v>
      </c>
      <c r="C59" s="47">
        <v>50</v>
      </c>
      <c r="D59" s="46">
        <v>20</v>
      </c>
      <c r="E59" s="44">
        <v>22</v>
      </c>
      <c r="F59" s="44">
        <f>1.8*E59+32</f>
        <v>71.599999999999994</v>
      </c>
      <c r="G59" s="45">
        <v>21</v>
      </c>
      <c r="H59" s="44">
        <f>IF(F59&gt;68,G59+(F59-68)*0.2,Y90-(68-F59)*0.2)</f>
        <v>21.72</v>
      </c>
      <c r="I59" s="44">
        <v>22</v>
      </c>
      <c r="J59" s="44">
        <f>1.8*I59+32</f>
        <v>71.599999999999994</v>
      </c>
      <c r="K59" s="45">
        <v>10</v>
      </c>
      <c r="L59" s="44">
        <f>IF(J59&gt;68,K59+(J59-68)*0.2,K59-(68-J59)*0.2)</f>
        <v>10.719999999999999</v>
      </c>
      <c r="M59" s="43">
        <f>(C59-H59)/C59*100</f>
        <v>56.56</v>
      </c>
      <c r="N59" s="43">
        <f>100-(M59+O59)</f>
        <v>22</v>
      </c>
      <c r="O59" s="43">
        <f>L59/C59*100</f>
        <v>21.439999999999998</v>
      </c>
      <c r="P59" s="42" t="s">
        <v>2</v>
      </c>
      <c r="Q59" s="41">
        <v>407585.12599999999</v>
      </c>
      <c r="R59" s="41">
        <v>3659957.8829999999</v>
      </c>
      <c r="T59" s="71">
        <v>2008034</v>
      </c>
      <c r="U59" s="71" t="s">
        <v>877</v>
      </c>
      <c r="V59" s="71">
        <v>7.5509999999999994E-2</v>
      </c>
      <c r="W59" s="71">
        <v>0.39632000000000001</v>
      </c>
      <c r="X59" s="71">
        <v>2.6239999999999999E-2</v>
      </c>
      <c r="Y59" s="71">
        <v>1.2703500000000001</v>
      </c>
      <c r="Z59" s="71">
        <v>10.51267</v>
      </c>
      <c r="AA59" s="71">
        <v>7.3477699999999997</v>
      </c>
      <c r="AB59" s="71">
        <v>-1.9528099999999999</v>
      </c>
    </row>
    <row r="60" spans="1:28" x14ac:dyDescent="0.25">
      <c r="A60" s="61"/>
      <c r="B60" s="58"/>
      <c r="C60" s="58"/>
      <c r="D60" s="58"/>
      <c r="E60" s="58"/>
      <c r="F60" s="58"/>
      <c r="G60" s="60"/>
      <c r="H60" s="58"/>
      <c r="I60" s="58"/>
      <c r="J60" s="58"/>
      <c r="K60" s="60"/>
      <c r="L60" s="58"/>
      <c r="M60" s="59"/>
      <c r="N60" s="59"/>
      <c r="O60" s="59"/>
      <c r="P60" s="58"/>
      <c r="T60" s="71">
        <v>2008034</v>
      </c>
      <c r="U60" s="71" t="s">
        <v>876</v>
      </c>
      <c r="V60" s="71">
        <v>7.3270000000000002E-2</v>
      </c>
      <c r="W60" s="71">
        <v>0.39245999999999998</v>
      </c>
      <c r="X60" s="71">
        <v>2.6270000000000002E-2</v>
      </c>
      <c r="Y60" s="71">
        <v>1.2799400000000001</v>
      </c>
      <c r="Z60" s="71">
        <v>10.87932</v>
      </c>
      <c r="AA60" s="71">
        <v>7.61097</v>
      </c>
      <c r="AB60" s="71">
        <v>-1.8589800000000001</v>
      </c>
    </row>
    <row r="61" spans="1:28" x14ac:dyDescent="0.25">
      <c r="A61" s="57"/>
      <c r="B61" s="56"/>
      <c r="C61" s="55"/>
      <c r="D61" s="54"/>
      <c r="E61" s="52"/>
      <c r="F61" s="52"/>
      <c r="G61" s="53"/>
      <c r="H61" s="52"/>
      <c r="I61" s="52"/>
      <c r="J61" s="52"/>
      <c r="K61" s="53"/>
      <c r="L61" s="52"/>
      <c r="M61" s="51"/>
      <c r="N61" s="51"/>
      <c r="O61" s="51"/>
      <c r="P61" s="56"/>
      <c r="Q61" s="5" t="s">
        <v>4</v>
      </c>
      <c r="R61" s="5" t="s">
        <v>3</v>
      </c>
      <c r="T61" s="71">
        <v>2008034</v>
      </c>
      <c r="U61" s="71" t="s">
        <v>875</v>
      </c>
      <c r="V61" s="71">
        <v>7.6100000000000001E-2</v>
      </c>
      <c r="W61" s="71">
        <v>0.39655000000000001</v>
      </c>
      <c r="X61" s="71">
        <v>2.6530000000000001E-2</v>
      </c>
      <c r="Y61" s="71">
        <v>1.26424</v>
      </c>
      <c r="Z61" s="71">
        <v>10.87326</v>
      </c>
      <c r="AA61" s="71">
        <v>7.3160299999999996</v>
      </c>
      <c r="AB61" s="71">
        <v>-2.0297399999999999</v>
      </c>
    </row>
    <row r="62" spans="1:28" x14ac:dyDescent="0.25">
      <c r="A62" s="49">
        <v>219</v>
      </c>
      <c r="B62" s="48" t="s">
        <v>845</v>
      </c>
      <c r="C62" s="47">
        <v>50</v>
      </c>
      <c r="D62" s="46">
        <v>20</v>
      </c>
      <c r="E62" s="44">
        <v>22</v>
      </c>
      <c r="F62" s="44">
        <f>1.8*E62+32</f>
        <v>71.599999999999994</v>
      </c>
      <c r="G62" s="45">
        <v>16</v>
      </c>
      <c r="H62" s="44">
        <f>IF(F62&gt;68,G62+(F62-68)*0.2,#REF!-(68-F62)*0.2)</f>
        <v>16.72</v>
      </c>
      <c r="I62" s="44">
        <v>22</v>
      </c>
      <c r="J62" s="44">
        <f>1.8*I62+32</f>
        <v>71.599999999999994</v>
      </c>
      <c r="K62" s="45">
        <v>8</v>
      </c>
      <c r="L62" s="44">
        <f>IF(J62&gt;68,K62+(J62-68)*0.2,K62-(68-J62)*0.2)</f>
        <v>8.7199999999999989</v>
      </c>
      <c r="M62" s="43">
        <f>(C62-H62)/C62*100</f>
        <v>66.56</v>
      </c>
      <c r="N62" s="43">
        <f>100-(M62+O62)</f>
        <v>16</v>
      </c>
      <c r="O62" s="43">
        <f>L62/C62*100</f>
        <v>17.439999999999998</v>
      </c>
      <c r="P62" s="42" t="s">
        <v>0</v>
      </c>
      <c r="Q62" s="41">
        <v>407580.75099999999</v>
      </c>
      <c r="R62" s="41">
        <v>3659878.1060000001</v>
      </c>
      <c r="T62" s="71">
        <v>2008034</v>
      </c>
      <c r="U62" s="71" t="s">
        <v>874</v>
      </c>
      <c r="V62" s="71">
        <v>5.7489999999999999E-2</v>
      </c>
      <c r="W62" s="71">
        <v>0.37474000000000002</v>
      </c>
      <c r="X62" s="71">
        <v>2.9499999999999998E-2</v>
      </c>
      <c r="Y62" s="71">
        <v>1.39991</v>
      </c>
      <c r="Z62" s="71">
        <v>28.661200000000001</v>
      </c>
      <c r="AA62" s="71">
        <v>12.074009999999999</v>
      </c>
      <c r="AB62" s="71">
        <v>-1.2826599999999999</v>
      </c>
    </row>
    <row r="63" spans="1:28" x14ac:dyDescent="0.25">
      <c r="A63" s="49">
        <v>219</v>
      </c>
      <c r="B63" s="48" t="s">
        <v>844</v>
      </c>
      <c r="C63" s="47">
        <v>50</v>
      </c>
      <c r="D63" s="46">
        <v>20</v>
      </c>
      <c r="E63" s="44">
        <v>22</v>
      </c>
      <c r="F63" s="44">
        <f>1.8*E63+32</f>
        <v>71.599999999999994</v>
      </c>
      <c r="G63" s="45">
        <v>15</v>
      </c>
      <c r="H63" s="44">
        <f>IF(F63&gt;68,G63+(F63-68)*0.2,Y94-(68-F63)*0.2)</f>
        <v>15.719999999999999</v>
      </c>
      <c r="I63" s="44">
        <v>22</v>
      </c>
      <c r="J63" s="44">
        <f>1.8*I63+32</f>
        <v>71.599999999999994</v>
      </c>
      <c r="K63" s="45">
        <v>7</v>
      </c>
      <c r="L63" s="44">
        <f>IF(J63&gt;68,K63+(J63-68)*0.2,K63-(68-J63)*0.2)</f>
        <v>7.7199999999999989</v>
      </c>
      <c r="M63" s="43">
        <f>(C63-H63)/C63*100</f>
        <v>68.56</v>
      </c>
      <c r="N63" s="43">
        <f>100-(M63+O63)</f>
        <v>16</v>
      </c>
      <c r="O63" s="43">
        <f>L63/C63*100</f>
        <v>15.439999999999998</v>
      </c>
      <c r="P63" s="42" t="s">
        <v>0</v>
      </c>
      <c r="Q63" s="41">
        <v>407580.75099999999</v>
      </c>
      <c r="R63" s="41">
        <v>3659878.1060000001</v>
      </c>
      <c r="T63" s="71">
        <v>2008034</v>
      </c>
      <c r="U63" s="71" t="s">
        <v>873</v>
      </c>
      <c r="V63" s="71">
        <v>5.9119999999999999E-2</v>
      </c>
      <c r="W63" s="71">
        <v>0.37706000000000001</v>
      </c>
      <c r="X63" s="71">
        <v>2.9229999999999999E-2</v>
      </c>
      <c r="Y63" s="71">
        <v>1.3575900000000001</v>
      </c>
      <c r="Z63" s="71">
        <v>22.55078</v>
      </c>
      <c r="AA63" s="71">
        <v>11.207129999999999</v>
      </c>
      <c r="AB63" s="71">
        <v>-1.4164099999999999</v>
      </c>
    </row>
    <row r="64" spans="1:28" x14ac:dyDescent="0.25">
      <c r="A64" s="49">
        <v>219</v>
      </c>
      <c r="B64" s="48" t="s">
        <v>843</v>
      </c>
      <c r="C64" s="47">
        <v>50</v>
      </c>
      <c r="D64" s="46">
        <v>20</v>
      </c>
      <c r="E64" s="44">
        <v>22</v>
      </c>
      <c r="F64" s="44">
        <f>1.8*E64+32</f>
        <v>71.599999999999994</v>
      </c>
      <c r="G64" s="45">
        <v>11</v>
      </c>
      <c r="H64" s="44">
        <f>IF(F64&gt;68,G64+(F64-68)*0.2,Y95-(68-F64)*0.2)</f>
        <v>11.719999999999999</v>
      </c>
      <c r="I64" s="44">
        <v>22</v>
      </c>
      <c r="J64" s="44">
        <f>1.8*I64+32</f>
        <v>71.599999999999994</v>
      </c>
      <c r="K64" s="45">
        <v>5</v>
      </c>
      <c r="L64" s="44">
        <f>IF(J64&gt;68,K64+(J64-68)*0.2,K64-(68-J64)*0.2)</f>
        <v>5.7199999999999989</v>
      </c>
      <c r="M64" s="43">
        <f>(C64-H64)/C64*100</f>
        <v>76.56</v>
      </c>
      <c r="N64" s="43">
        <f>100-(M64+O64)</f>
        <v>12</v>
      </c>
      <c r="O64" s="43">
        <f>L64/C64*100</f>
        <v>11.439999999999998</v>
      </c>
      <c r="P64" s="42" t="s">
        <v>0</v>
      </c>
      <c r="Q64" s="41">
        <v>407580.75099999999</v>
      </c>
      <c r="R64" s="41">
        <v>3659878.1060000001</v>
      </c>
      <c r="T64" s="71">
        <v>2008034</v>
      </c>
      <c r="U64" s="71" t="s">
        <v>872</v>
      </c>
      <c r="V64" s="71">
        <v>7.6619999999999994E-2</v>
      </c>
      <c r="W64" s="71">
        <v>0.40009</v>
      </c>
      <c r="X64" s="71">
        <v>2.5690000000000001E-2</v>
      </c>
      <c r="Y64" s="71">
        <v>1.2722199999999999</v>
      </c>
      <c r="Z64" s="71">
        <v>9.7254100000000001</v>
      </c>
      <c r="AA64" s="71">
        <v>7.1584599999999998</v>
      </c>
      <c r="AB64" s="71">
        <v>-1.9121600000000001</v>
      </c>
    </row>
    <row r="65" spans="1:28" x14ac:dyDescent="0.25">
      <c r="A65" s="49">
        <v>219</v>
      </c>
      <c r="B65" s="48" t="s">
        <v>842</v>
      </c>
      <c r="C65" s="47">
        <v>50</v>
      </c>
      <c r="D65" s="46">
        <v>20</v>
      </c>
      <c r="E65" s="44">
        <v>22</v>
      </c>
      <c r="F65" s="44">
        <f>1.8*E65+32</f>
        <v>71.599999999999994</v>
      </c>
      <c r="G65" s="45">
        <v>16</v>
      </c>
      <c r="H65" s="44">
        <f>IF(F65&gt;68,G65+(F65-68)*0.2,Y96-(68-F65)*0.2)</f>
        <v>16.72</v>
      </c>
      <c r="I65" s="44">
        <v>22</v>
      </c>
      <c r="J65" s="44">
        <f>1.8*I65+32</f>
        <v>71.599999999999994</v>
      </c>
      <c r="K65" s="45">
        <v>7</v>
      </c>
      <c r="L65" s="44">
        <f>IF(J65&gt;68,K65+(J65-68)*0.2,K65-(68-J65)*0.2)</f>
        <v>7.7199999999999989</v>
      </c>
      <c r="M65" s="43">
        <f>(C65-H65)/C65*100</f>
        <v>66.56</v>
      </c>
      <c r="N65" s="43">
        <f>100-(M65+O65)</f>
        <v>18</v>
      </c>
      <c r="O65" s="43">
        <f>L65/C65*100</f>
        <v>15.439999999999998</v>
      </c>
      <c r="P65" s="42" t="s">
        <v>0</v>
      </c>
      <c r="Q65" s="41">
        <v>407580.75099999999</v>
      </c>
      <c r="R65" s="41">
        <v>3659878.1060000001</v>
      </c>
      <c r="T65" s="71">
        <v>2008034</v>
      </c>
      <c r="U65" s="71" t="s">
        <v>871</v>
      </c>
      <c r="V65" s="71">
        <v>6.6350000000000006E-2</v>
      </c>
      <c r="W65" s="71">
        <v>0.38829000000000002</v>
      </c>
      <c r="X65" s="71">
        <v>2.5919999999999999E-2</v>
      </c>
      <c r="Y65" s="71">
        <v>1.32172</v>
      </c>
      <c r="Z65" s="71">
        <v>13.46936</v>
      </c>
      <c r="AA65" s="71">
        <v>8.65564</v>
      </c>
      <c r="AB65" s="71">
        <v>-1.51291</v>
      </c>
    </row>
    <row r="66" spans="1:28" x14ac:dyDescent="0.25">
      <c r="A66" s="49">
        <v>219</v>
      </c>
      <c r="B66" s="48" t="s">
        <v>841</v>
      </c>
      <c r="C66" s="47">
        <v>50</v>
      </c>
      <c r="D66" s="46">
        <v>20</v>
      </c>
      <c r="E66" s="44">
        <v>22</v>
      </c>
      <c r="F66" s="44">
        <f>1.8*E66+32</f>
        <v>71.599999999999994</v>
      </c>
      <c r="G66" s="45">
        <v>16</v>
      </c>
      <c r="H66" s="44">
        <f>IF(F66&gt;68,G66+(F66-68)*0.2,Y97-(68-F66)*0.2)</f>
        <v>16.72</v>
      </c>
      <c r="I66" s="44">
        <v>22</v>
      </c>
      <c r="J66" s="44">
        <f>1.8*I66+32</f>
        <v>71.599999999999994</v>
      </c>
      <c r="K66" s="45">
        <v>8</v>
      </c>
      <c r="L66" s="44">
        <f>IF(J66&gt;68,K66+(J66-68)*0.2,K66-(68-J66)*0.2)</f>
        <v>8.7199999999999989</v>
      </c>
      <c r="M66" s="43">
        <f>(C66-H66)/C66*100</f>
        <v>66.56</v>
      </c>
      <c r="N66" s="43">
        <f>100-(M66+O66)</f>
        <v>16</v>
      </c>
      <c r="O66" s="43">
        <f>L66/C66*100</f>
        <v>17.439999999999998</v>
      </c>
      <c r="P66" s="42" t="s">
        <v>0</v>
      </c>
      <c r="Q66" s="41">
        <v>407580.75099999999</v>
      </c>
      <c r="R66" s="41">
        <v>3659878.1060000001</v>
      </c>
      <c r="T66" s="71">
        <v>2008034</v>
      </c>
      <c r="U66" s="71" t="s">
        <v>870</v>
      </c>
      <c r="V66" s="71">
        <v>7.1179999999999993E-2</v>
      </c>
      <c r="W66" s="71">
        <v>0.39106999999999997</v>
      </c>
      <c r="X66" s="71">
        <v>2.5950000000000001E-2</v>
      </c>
      <c r="Y66" s="71">
        <v>1.2945500000000001</v>
      </c>
      <c r="Z66" s="71">
        <v>11.095560000000001</v>
      </c>
      <c r="AA66" s="71">
        <v>7.85806</v>
      </c>
      <c r="AB66" s="71">
        <v>-1.7182299999999999</v>
      </c>
    </row>
    <row r="67" spans="1:28" x14ac:dyDescent="0.25">
      <c r="A67" s="49">
        <v>219</v>
      </c>
      <c r="B67" s="48" t="s">
        <v>839</v>
      </c>
      <c r="C67" s="47">
        <v>50</v>
      </c>
      <c r="D67" s="46">
        <v>20</v>
      </c>
      <c r="E67" s="44">
        <v>22</v>
      </c>
      <c r="F67" s="44">
        <f>1.8*E67+32</f>
        <v>71.599999999999994</v>
      </c>
      <c r="G67" s="45">
        <v>15</v>
      </c>
      <c r="H67" s="44">
        <f>IF(F67&gt;68,G67+(F67-68)*0.2,Y98-(68-F67)*0.2)</f>
        <v>15.719999999999999</v>
      </c>
      <c r="I67" s="44">
        <v>22</v>
      </c>
      <c r="J67" s="44">
        <f>1.8*I67+32</f>
        <v>71.599999999999994</v>
      </c>
      <c r="K67" s="45">
        <v>9</v>
      </c>
      <c r="L67" s="44">
        <f>IF(J67&gt;68,K67+(J67-68)*0.2,K67-(68-J67)*0.2)</f>
        <v>9.7199999999999989</v>
      </c>
      <c r="M67" s="43">
        <f>(C67-H67)/C67*100</f>
        <v>68.56</v>
      </c>
      <c r="N67" s="43">
        <f>100-(M67+O67)</f>
        <v>12</v>
      </c>
      <c r="O67" s="43">
        <f>L67/C67*100</f>
        <v>19.439999999999998</v>
      </c>
      <c r="P67" s="42" t="s">
        <v>0</v>
      </c>
      <c r="Q67" s="41">
        <v>407580.75099999999</v>
      </c>
      <c r="R67" s="41">
        <v>3659878.1060000001</v>
      </c>
      <c r="T67" s="71">
        <v>2008034</v>
      </c>
      <c r="U67" s="71" t="s">
        <v>869</v>
      </c>
      <c r="V67" s="71">
        <v>5.8909999999999997E-2</v>
      </c>
      <c r="W67" s="71">
        <v>0.37476999999999999</v>
      </c>
      <c r="X67" s="71">
        <v>2.9000000000000001E-2</v>
      </c>
      <c r="Y67" s="71">
        <v>1.3775500000000001</v>
      </c>
      <c r="Z67" s="71">
        <v>24.688600000000001</v>
      </c>
      <c r="AA67" s="71">
        <v>11.28382</v>
      </c>
      <c r="AB67" s="71">
        <v>-1.3483000000000001</v>
      </c>
    </row>
    <row r="68" spans="1:28" x14ac:dyDescent="0.25">
      <c r="A68" s="61"/>
      <c r="B68" s="58"/>
      <c r="C68" s="58"/>
      <c r="D68" s="58"/>
      <c r="E68" s="58"/>
      <c r="F68" s="58"/>
      <c r="G68" s="60"/>
      <c r="H68" s="58"/>
      <c r="I68" s="58"/>
      <c r="J68" s="58"/>
      <c r="K68" s="60"/>
      <c r="L68" s="58"/>
      <c r="M68" s="59"/>
      <c r="N68" s="59"/>
      <c r="O68" s="59"/>
      <c r="P68" s="58"/>
      <c r="T68" s="71">
        <v>2008034</v>
      </c>
      <c r="U68" s="71" t="s">
        <v>868</v>
      </c>
      <c r="V68" s="71">
        <v>5.5019999999999999E-2</v>
      </c>
      <c r="W68" s="71">
        <v>0.37866</v>
      </c>
      <c r="X68" s="71">
        <v>3.0759999999999999E-2</v>
      </c>
      <c r="Y68" s="71">
        <v>1.3833800000000001</v>
      </c>
      <c r="Z68" s="71">
        <v>29.235969999999998</v>
      </c>
      <c r="AA68" s="71">
        <v>13.191380000000001</v>
      </c>
      <c r="AB68" s="71">
        <v>-1.31772</v>
      </c>
    </row>
    <row r="69" spans="1:28" x14ac:dyDescent="0.25">
      <c r="A69" s="57"/>
      <c r="B69" s="56"/>
      <c r="C69" s="55"/>
      <c r="D69" s="54"/>
      <c r="E69" s="52"/>
      <c r="F69" s="52"/>
      <c r="G69" s="53"/>
      <c r="H69" s="52"/>
      <c r="I69" s="52"/>
      <c r="J69" s="52"/>
      <c r="K69" s="53"/>
      <c r="L69" s="52"/>
      <c r="M69" s="51"/>
      <c r="N69" s="51"/>
      <c r="O69" s="51"/>
      <c r="P69" s="56"/>
      <c r="Q69" s="5" t="s">
        <v>4</v>
      </c>
      <c r="R69" s="5" t="s">
        <v>3</v>
      </c>
      <c r="T69" s="71">
        <v>2008034</v>
      </c>
      <c r="U69" s="71" t="s">
        <v>867</v>
      </c>
      <c r="V69" s="71">
        <v>4.6899999999999997E-2</v>
      </c>
      <c r="W69" s="71">
        <v>0.38574000000000003</v>
      </c>
      <c r="X69" s="71">
        <v>2.7959999999999999E-2</v>
      </c>
      <c r="Y69" s="71">
        <v>1.3914899999999999</v>
      </c>
      <c r="Z69" s="71">
        <v>31.803349999999998</v>
      </c>
      <c r="AA69" s="71">
        <v>13.68505</v>
      </c>
      <c r="AB69" s="71">
        <v>-1.10927</v>
      </c>
    </row>
    <row r="70" spans="1:28" x14ac:dyDescent="0.25">
      <c r="A70" s="49" t="s">
        <v>865</v>
      </c>
      <c r="B70" s="48" t="s">
        <v>845</v>
      </c>
      <c r="C70" s="47">
        <v>50</v>
      </c>
      <c r="D70" s="46">
        <v>20</v>
      </c>
      <c r="E70" s="44">
        <v>22</v>
      </c>
      <c r="F70" s="44">
        <f>1.8*E70+32</f>
        <v>71.599999999999994</v>
      </c>
      <c r="G70" s="45">
        <v>15</v>
      </c>
      <c r="H70" s="44">
        <f>IF(F70&gt;68,G70+(F70-68)*0.2,#REF!-(68-F70)*0.2)</f>
        <v>15.719999999999999</v>
      </c>
      <c r="I70" s="44">
        <v>22</v>
      </c>
      <c r="J70" s="44">
        <f>1.8*I70+32</f>
        <v>71.599999999999994</v>
      </c>
      <c r="K70" s="45">
        <v>6</v>
      </c>
      <c r="L70" s="44">
        <f>IF(J70&gt;68,K70+(J70-68)*0.2,K70-(68-J70)*0.2)</f>
        <v>6.7199999999999989</v>
      </c>
      <c r="M70" s="43">
        <f>(C70-H70)/C70*100</f>
        <v>68.56</v>
      </c>
      <c r="N70" s="43">
        <f>100-(M70+O70)</f>
        <v>18</v>
      </c>
      <c r="O70" s="43">
        <f>L70/C70*100</f>
        <v>13.439999999999996</v>
      </c>
      <c r="P70" s="42" t="s">
        <v>0</v>
      </c>
      <c r="Q70" s="41">
        <v>407580.75099999999</v>
      </c>
      <c r="R70" s="41">
        <v>3659878.1060000001</v>
      </c>
      <c r="T70" s="71">
        <v>2008034</v>
      </c>
      <c r="U70" s="71" t="s">
        <v>866</v>
      </c>
      <c r="V70" s="71">
        <v>6.318E-2</v>
      </c>
      <c r="W70" s="71">
        <v>0.38034000000000001</v>
      </c>
      <c r="X70" s="71">
        <v>2.801E-2</v>
      </c>
      <c r="Y70" s="71">
        <v>1.32429</v>
      </c>
      <c r="Z70" s="71">
        <v>16.78473</v>
      </c>
      <c r="AA70" s="71">
        <v>9.7258499999999994</v>
      </c>
      <c r="AB70" s="71">
        <v>-1.56108</v>
      </c>
    </row>
    <row r="71" spans="1:28" x14ac:dyDescent="0.25">
      <c r="A71" s="49" t="s">
        <v>865</v>
      </c>
      <c r="B71" s="48" t="s">
        <v>844</v>
      </c>
      <c r="C71" s="47">
        <v>50</v>
      </c>
      <c r="D71" s="46">
        <v>20</v>
      </c>
      <c r="E71" s="44">
        <v>22</v>
      </c>
      <c r="F71" s="44">
        <f>1.8*E71+32</f>
        <v>71.599999999999994</v>
      </c>
      <c r="G71" s="45">
        <v>15</v>
      </c>
      <c r="H71" s="44">
        <f>IF(F71&gt;68,G71+(F71-68)*0.2,Y102-(68-F71)*0.2)</f>
        <v>15.719999999999999</v>
      </c>
      <c r="I71" s="44">
        <v>22</v>
      </c>
      <c r="J71" s="44">
        <f>1.8*I71+32</f>
        <v>71.599999999999994</v>
      </c>
      <c r="K71" s="45">
        <v>6</v>
      </c>
      <c r="L71" s="44">
        <f>IF(J71&gt;68,K71+(J71-68)*0.2,K71-(68-J71)*0.2)</f>
        <v>6.7199999999999989</v>
      </c>
      <c r="M71" s="43">
        <f>(C71-H71)/C71*100</f>
        <v>68.56</v>
      </c>
      <c r="N71" s="43">
        <f>100-(M71+O71)</f>
        <v>18</v>
      </c>
      <c r="O71" s="43">
        <f>L71/C71*100</f>
        <v>13.439999999999996</v>
      </c>
      <c r="P71" s="42" t="s">
        <v>0</v>
      </c>
      <c r="Q71" s="41">
        <v>407580.75099999999</v>
      </c>
      <c r="R71" s="41">
        <v>3659878.1060000001</v>
      </c>
    </row>
    <row r="72" spans="1:28" x14ac:dyDescent="0.25">
      <c r="A72" s="49" t="s">
        <v>865</v>
      </c>
      <c r="B72" s="48" t="s">
        <v>843</v>
      </c>
      <c r="C72" s="47">
        <v>50</v>
      </c>
      <c r="D72" s="46">
        <v>20</v>
      </c>
      <c r="E72" s="44">
        <v>22</v>
      </c>
      <c r="F72" s="44">
        <f>1.8*E72+32</f>
        <v>71.599999999999994</v>
      </c>
      <c r="G72" s="45">
        <v>22</v>
      </c>
      <c r="H72" s="44">
        <f>IF(F72&gt;68,G72+(F72-68)*0.2,Y103-(68-F72)*0.2)</f>
        <v>22.72</v>
      </c>
      <c r="I72" s="44">
        <v>22</v>
      </c>
      <c r="J72" s="44">
        <f>1.8*I72+32</f>
        <v>71.599999999999994</v>
      </c>
      <c r="K72" s="45">
        <v>10</v>
      </c>
      <c r="L72" s="44">
        <f>IF(J72&gt;68,K72+(J72-68)*0.2,K72-(68-J72)*0.2)</f>
        <v>10.719999999999999</v>
      </c>
      <c r="M72" s="43">
        <f>(C72-H72)/C72*100</f>
        <v>54.559999999999995</v>
      </c>
      <c r="N72" s="43">
        <f>100-(M72+O72)</f>
        <v>24</v>
      </c>
      <c r="O72" s="43">
        <f>L72/C72*100</f>
        <v>21.439999999999998</v>
      </c>
      <c r="P72" s="42" t="s">
        <v>2</v>
      </c>
      <c r="Q72" s="41">
        <v>407580.75099999999</v>
      </c>
      <c r="R72" s="41">
        <v>3659878.1060000001</v>
      </c>
    </row>
    <row r="73" spans="1:28" x14ac:dyDescent="0.25">
      <c r="A73" s="49" t="s">
        <v>865</v>
      </c>
      <c r="B73" s="48" t="s">
        <v>842</v>
      </c>
      <c r="C73" s="47">
        <v>50</v>
      </c>
      <c r="D73" s="46">
        <v>20</v>
      </c>
      <c r="E73" s="44">
        <v>22</v>
      </c>
      <c r="F73" s="44">
        <f>1.8*E73+32</f>
        <v>71.599999999999994</v>
      </c>
      <c r="G73" s="45">
        <v>24</v>
      </c>
      <c r="H73" s="44">
        <f>IF(F73&gt;68,G73+(F73-68)*0.2,Y104-(68-F73)*0.2)</f>
        <v>24.72</v>
      </c>
      <c r="I73" s="44">
        <v>22</v>
      </c>
      <c r="J73" s="44">
        <f>1.8*I73+32</f>
        <v>71.599999999999994</v>
      </c>
      <c r="K73" s="45">
        <v>13</v>
      </c>
      <c r="L73" s="44">
        <f>IF(J73&gt;68,K73+(J73-68)*0.2,K73-(68-J73)*0.2)</f>
        <v>13.719999999999999</v>
      </c>
      <c r="M73" s="43">
        <f>(C73-H73)/C73*100</f>
        <v>50.56</v>
      </c>
      <c r="N73" s="43">
        <f>100-(M73+O73)</f>
        <v>22</v>
      </c>
      <c r="O73" s="43">
        <f>L73/C73*100</f>
        <v>27.439999999999998</v>
      </c>
      <c r="P73" s="42" t="s">
        <v>2</v>
      </c>
      <c r="Q73" s="41">
        <v>407580.75099999999</v>
      </c>
      <c r="R73" s="41">
        <v>3659878.1060000001</v>
      </c>
    </row>
    <row r="74" spans="1:28" x14ac:dyDescent="0.25">
      <c r="A74" s="49" t="s">
        <v>865</v>
      </c>
      <c r="B74" s="48" t="s">
        <v>841</v>
      </c>
      <c r="C74" s="47">
        <v>50</v>
      </c>
      <c r="D74" s="46">
        <v>20</v>
      </c>
      <c r="E74" s="44">
        <v>22</v>
      </c>
      <c r="F74" s="44">
        <f>1.8*E74+32</f>
        <v>71.599999999999994</v>
      </c>
      <c r="G74" s="45">
        <v>16</v>
      </c>
      <c r="H74" s="44">
        <f>IF(F74&gt;68,G74+(F74-68)*0.2,Y105-(68-F74)*0.2)</f>
        <v>16.72</v>
      </c>
      <c r="I74" s="44">
        <v>22</v>
      </c>
      <c r="J74" s="44">
        <f>1.8*I74+32</f>
        <v>71.599999999999994</v>
      </c>
      <c r="K74" s="45">
        <v>7</v>
      </c>
      <c r="L74" s="44">
        <f>IF(J74&gt;68,K74+(J74-68)*0.2,K74-(68-J74)*0.2)</f>
        <v>7.7199999999999989</v>
      </c>
      <c r="M74" s="43">
        <f>(C74-H74)/C74*100</f>
        <v>66.56</v>
      </c>
      <c r="N74" s="43">
        <f>100-(M74+O74)</f>
        <v>18</v>
      </c>
      <c r="O74" s="43">
        <f>L74/C74*100</f>
        <v>15.439999999999998</v>
      </c>
      <c r="P74" s="42" t="s">
        <v>0</v>
      </c>
      <c r="Q74" s="41">
        <v>407580.75099999999</v>
      </c>
      <c r="R74" s="41">
        <v>3659878.1060000001</v>
      </c>
    </row>
    <row r="75" spans="1:28" x14ac:dyDescent="0.25">
      <c r="A75" s="49" t="s">
        <v>865</v>
      </c>
      <c r="B75" s="48" t="s">
        <v>839</v>
      </c>
      <c r="C75" s="47">
        <v>50</v>
      </c>
      <c r="D75" s="46">
        <v>20</v>
      </c>
      <c r="E75" s="44">
        <v>22</v>
      </c>
      <c r="F75" s="44">
        <f>1.8*E75+32</f>
        <v>71.599999999999994</v>
      </c>
      <c r="G75" s="45">
        <v>17</v>
      </c>
      <c r="H75" s="44">
        <f>IF(F75&gt;68,G75+(F75-68)*0.2,Y106-(68-F75)*0.2)</f>
        <v>17.72</v>
      </c>
      <c r="I75" s="44">
        <v>22</v>
      </c>
      <c r="J75" s="44">
        <f>1.8*I75+32</f>
        <v>71.599999999999994</v>
      </c>
      <c r="K75" s="45">
        <v>7</v>
      </c>
      <c r="L75" s="44">
        <f>IF(J75&gt;68,K75+(J75-68)*0.2,K75-(68-J75)*0.2)</f>
        <v>7.7199999999999989</v>
      </c>
      <c r="M75" s="43">
        <f>(C75-H75)/C75*100</f>
        <v>64.56</v>
      </c>
      <c r="N75" s="43">
        <f>100-(M75+O75)</f>
        <v>20</v>
      </c>
      <c r="O75" s="43">
        <f>L75/C75*100</f>
        <v>15.439999999999998</v>
      </c>
      <c r="P75" s="42" t="s">
        <v>0</v>
      </c>
      <c r="Q75" s="41">
        <v>407580.75099999999</v>
      </c>
      <c r="R75" s="41">
        <v>3659878.1060000001</v>
      </c>
    </row>
    <row r="76" spans="1:28" x14ac:dyDescent="0.25">
      <c r="A76" s="61"/>
      <c r="B76" s="58"/>
      <c r="C76" s="58"/>
      <c r="D76" s="58"/>
      <c r="E76" s="58"/>
      <c r="F76" s="58"/>
      <c r="G76" s="60"/>
      <c r="H76" s="58"/>
      <c r="I76" s="58"/>
      <c r="J76" s="58"/>
      <c r="K76" s="60"/>
      <c r="L76" s="58"/>
      <c r="M76" s="59"/>
      <c r="N76" s="59"/>
      <c r="O76" s="59"/>
      <c r="P76" s="58"/>
      <c r="Q76" s="18"/>
      <c r="R76" s="18"/>
    </row>
    <row r="77" spans="1:28" x14ac:dyDescent="0.25">
      <c r="A77" s="57"/>
      <c r="B77" s="56"/>
      <c r="C77" s="55"/>
      <c r="D77" s="54"/>
      <c r="E77" s="52"/>
      <c r="F77" s="52"/>
      <c r="G77" s="53"/>
      <c r="H77" s="52"/>
      <c r="I77" s="52"/>
      <c r="J77" s="52"/>
      <c r="K77" s="53"/>
      <c r="L77" s="52"/>
      <c r="M77" s="51"/>
      <c r="N77" s="51"/>
      <c r="O77" s="51"/>
      <c r="P77" s="56"/>
      <c r="Q77" s="5" t="s">
        <v>4</v>
      </c>
      <c r="R77" s="5" t="s">
        <v>3</v>
      </c>
    </row>
    <row r="78" spans="1:28" x14ac:dyDescent="0.25">
      <c r="A78" s="49">
        <v>237</v>
      </c>
      <c r="B78" s="48" t="s">
        <v>845</v>
      </c>
      <c r="C78" s="47">
        <v>50</v>
      </c>
      <c r="D78" s="46">
        <v>20</v>
      </c>
      <c r="E78" s="44">
        <v>22</v>
      </c>
      <c r="F78" s="44">
        <f>1.8*E78+32</f>
        <v>71.599999999999994</v>
      </c>
      <c r="G78" s="45">
        <v>17</v>
      </c>
      <c r="H78" s="44">
        <f>IF(F78&gt;68,G78+(F78-68)*0.2,#REF!-(68-F78)*0.2)</f>
        <v>17.72</v>
      </c>
      <c r="I78" s="44">
        <v>22</v>
      </c>
      <c r="J78" s="44">
        <f>1.8*I78+32</f>
        <v>71.599999999999994</v>
      </c>
      <c r="K78" s="45">
        <v>10</v>
      </c>
      <c r="L78" s="44">
        <f>IF(J78&gt;68,K78+(J78-68)*0.2,K78-(68-J78)*0.2)</f>
        <v>10.719999999999999</v>
      </c>
      <c r="M78" s="43">
        <f>(C78-H78)/C78*100</f>
        <v>64.56</v>
      </c>
      <c r="N78" s="43">
        <f>100-(M78+O78)</f>
        <v>14</v>
      </c>
      <c r="O78" s="43">
        <f>L78/C78*100</f>
        <v>21.439999999999998</v>
      </c>
      <c r="P78" s="42" t="s">
        <v>2</v>
      </c>
      <c r="Q78" s="41">
        <v>407581.864</v>
      </c>
      <c r="R78" s="41">
        <v>3659940.3289999999</v>
      </c>
    </row>
    <row r="79" spans="1:28" x14ac:dyDescent="0.25">
      <c r="A79" s="49">
        <v>237</v>
      </c>
      <c r="B79" s="48" t="s">
        <v>844</v>
      </c>
      <c r="C79" s="47">
        <v>50</v>
      </c>
      <c r="D79" s="46">
        <v>20</v>
      </c>
      <c r="E79" s="44">
        <v>22</v>
      </c>
      <c r="F79" s="44">
        <f>1.8*E79+32</f>
        <v>71.599999999999994</v>
      </c>
      <c r="G79" s="45">
        <v>16</v>
      </c>
      <c r="H79" s="44">
        <f>IF(F79&gt;68,G79+(F79-68)*0.2,Y110-(68-F79)*0.2)</f>
        <v>16.72</v>
      </c>
      <c r="I79" s="44">
        <v>22</v>
      </c>
      <c r="J79" s="44">
        <f>1.8*I79+32</f>
        <v>71.599999999999994</v>
      </c>
      <c r="K79" s="45">
        <v>10</v>
      </c>
      <c r="L79" s="44">
        <f>IF(J79&gt;68,K79+(J79-68)*0.2,K79-(68-J79)*0.2)</f>
        <v>10.719999999999999</v>
      </c>
      <c r="M79" s="43">
        <f>(C79-H79)/C79*100</f>
        <v>66.56</v>
      </c>
      <c r="N79" s="43">
        <f>100-(M79+O79)</f>
        <v>12</v>
      </c>
      <c r="O79" s="43">
        <f>L79/C79*100</f>
        <v>21.439999999999998</v>
      </c>
      <c r="P79" s="42" t="s">
        <v>2</v>
      </c>
      <c r="Q79" s="41">
        <v>407581.864</v>
      </c>
      <c r="R79" s="41">
        <v>3659940.3289999999</v>
      </c>
    </row>
    <row r="80" spans="1:28" x14ac:dyDescent="0.25">
      <c r="A80" s="49">
        <v>237</v>
      </c>
      <c r="B80" s="48" t="s">
        <v>843</v>
      </c>
      <c r="C80" s="47">
        <v>50</v>
      </c>
      <c r="D80" s="46">
        <v>20</v>
      </c>
      <c r="E80" s="44">
        <v>22</v>
      </c>
      <c r="F80" s="44">
        <f>1.8*E80+32</f>
        <v>71.599999999999994</v>
      </c>
      <c r="G80" s="45">
        <v>16</v>
      </c>
      <c r="H80" s="44">
        <f>IF(F80&gt;68,G80+(F80-68)*0.2,Y111-(68-F80)*0.2)</f>
        <v>16.72</v>
      </c>
      <c r="I80" s="44">
        <v>22</v>
      </c>
      <c r="J80" s="44">
        <f>1.8*I80+32</f>
        <v>71.599999999999994</v>
      </c>
      <c r="K80" s="45">
        <v>7</v>
      </c>
      <c r="L80" s="44">
        <f>IF(J80&gt;68,K80+(J80-68)*0.2,K80-(68-J80)*0.2)</f>
        <v>7.7199999999999989</v>
      </c>
      <c r="M80" s="43">
        <f>(C80-H80)/C80*100</f>
        <v>66.56</v>
      </c>
      <c r="N80" s="43">
        <f>100-(M80+O80)</f>
        <v>18</v>
      </c>
      <c r="O80" s="43">
        <f>L80/C80*100</f>
        <v>15.439999999999998</v>
      </c>
      <c r="P80" s="42" t="s">
        <v>0</v>
      </c>
      <c r="Q80" s="41">
        <v>407581.864</v>
      </c>
      <c r="R80" s="41">
        <v>3659940.3289999999</v>
      </c>
    </row>
    <row r="81" spans="1:18" x14ac:dyDescent="0.25">
      <c r="A81" s="49">
        <v>237</v>
      </c>
      <c r="B81" s="48" t="s">
        <v>842</v>
      </c>
      <c r="C81" s="47">
        <v>50</v>
      </c>
      <c r="D81" s="46">
        <v>20</v>
      </c>
      <c r="E81" s="44">
        <v>22</v>
      </c>
      <c r="F81" s="44">
        <f>1.8*E81+32</f>
        <v>71.599999999999994</v>
      </c>
      <c r="G81" s="45">
        <v>22</v>
      </c>
      <c r="H81" s="44">
        <f>IF(F81&gt;68,G81+(F81-68)*0.2,Y112-(68-F81)*0.2)</f>
        <v>22.72</v>
      </c>
      <c r="I81" s="44">
        <v>22</v>
      </c>
      <c r="J81" s="44">
        <f>1.8*I81+32</f>
        <v>71.599999999999994</v>
      </c>
      <c r="K81" s="45">
        <v>12</v>
      </c>
      <c r="L81" s="44">
        <f>IF(J81&gt;68,K81+(J81-68)*0.2,K81-(68-J81)*0.2)</f>
        <v>12.719999999999999</v>
      </c>
      <c r="M81" s="43">
        <f>(C81-H81)/C81*100</f>
        <v>54.559999999999995</v>
      </c>
      <c r="N81" s="43">
        <f>100-(M81+O81)</f>
        <v>20</v>
      </c>
      <c r="O81" s="43">
        <f>L81/C81*100</f>
        <v>25.439999999999998</v>
      </c>
      <c r="P81" s="42" t="s">
        <v>2</v>
      </c>
      <c r="Q81" s="41">
        <v>407581.864</v>
      </c>
      <c r="R81" s="41">
        <v>3659940.3289999999</v>
      </c>
    </row>
    <row r="82" spans="1:18" x14ac:dyDescent="0.25">
      <c r="A82" s="49">
        <v>237</v>
      </c>
      <c r="B82" s="48" t="s">
        <v>841</v>
      </c>
      <c r="C82" s="47">
        <v>50</v>
      </c>
      <c r="D82" s="46">
        <v>20</v>
      </c>
      <c r="E82" s="44">
        <v>22</v>
      </c>
      <c r="F82" s="44">
        <f>1.8*E82+32</f>
        <v>71.599999999999994</v>
      </c>
      <c r="G82" s="45">
        <v>20</v>
      </c>
      <c r="H82" s="44">
        <f>IF(F82&gt;68,G82+(F82-68)*0.2,Y113-(68-F82)*0.2)</f>
        <v>20.72</v>
      </c>
      <c r="I82" s="44">
        <v>22</v>
      </c>
      <c r="J82" s="44">
        <f>1.8*I82+32</f>
        <v>71.599999999999994</v>
      </c>
      <c r="K82" s="45">
        <v>11</v>
      </c>
      <c r="L82" s="44">
        <f>IF(J82&gt;68,K82+(J82-68)*0.2,K82-(68-J82)*0.2)</f>
        <v>11.719999999999999</v>
      </c>
      <c r="M82" s="43">
        <f>(C82-H82)/C82*100</f>
        <v>58.56</v>
      </c>
      <c r="N82" s="43">
        <f>100-(M82+O82)</f>
        <v>18</v>
      </c>
      <c r="O82" s="43">
        <f>L82/C82*100</f>
        <v>23.439999999999998</v>
      </c>
      <c r="P82" s="42" t="s">
        <v>2</v>
      </c>
      <c r="Q82" s="41">
        <v>407581.864</v>
      </c>
      <c r="R82" s="41">
        <v>3659940.3289999999</v>
      </c>
    </row>
    <row r="83" spans="1:18" x14ac:dyDescent="0.25">
      <c r="A83" s="49">
        <v>237</v>
      </c>
      <c r="B83" s="48" t="s">
        <v>839</v>
      </c>
      <c r="C83" s="47">
        <v>50</v>
      </c>
      <c r="D83" s="46">
        <v>20</v>
      </c>
      <c r="E83" s="44">
        <v>22</v>
      </c>
      <c r="F83" s="44">
        <f>1.8*E83+32</f>
        <v>71.599999999999994</v>
      </c>
      <c r="G83" s="45">
        <v>21</v>
      </c>
      <c r="H83" s="44">
        <f>IF(F83&gt;68,G83+(F83-68)*0.2,Y114-(68-F83)*0.2)</f>
        <v>21.72</v>
      </c>
      <c r="I83" s="44">
        <v>22</v>
      </c>
      <c r="J83" s="44">
        <f>1.8*I83+32</f>
        <v>71.599999999999994</v>
      </c>
      <c r="K83" s="45">
        <v>10</v>
      </c>
      <c r="L83" s="44">
        <f>IF(J83&gt;68,K83+(J83-68)*0.2,K83-(68-J83)*0.2)</f>
        <v>10.719999999999999</v>
      </c>
      <c r="M83" s="43">
        <f>(C83-H83)/C83*100</f>
        <v>56.56</v>
      </c>
      <c r="N83" s="43">
        <f>100-(M83+O83)</f>
        <v>22</v>
      </c>
      <c r="O83" s="43">
        <f>L83/C83*100</f>
        <v>21.439999999999998</v>
      </c>
      <c r="P83" s="42" t="s">
        <v>2</v>
      </c>
      <c r="Q83" s="41">
        <v>407581.864</v>
      </c>
      <c r="R83" s="41">
        <v>3659940.3289999999</v>
      </c>
    </row>
    <row r="84" spans="1:18" x14ac:dyDescent="0.25">
      <c r="A84" s="61"/>
      <c r="B84" s="58"/>
      <c r="C84" s="58"/>
      <c r="D84" s="58"/>
      <c r="E84" s="58"/>
      <c r="F84" s="58"/>
      <c r="G84" s="60"/>
      <c r="H84" s="58"/>
      <c r="I84" s="58"/>
      <c r="J84" s="58"/>
      <c r="K84" s="60"/>
      <c r="L84" s="58"/>
      <c r="M84" s="59"/>
      <c r="N84" s="59"/>
      <c r="O84" s="59"/>
      <c r="P84" s="58"/>
      <c r="Q84" s="18"/>
      <c r="R84" s="18"/>
    </row>
    <row r="85" spans="1:18" x14ac:dyDescent="0.25">
      <c r="A85" s="57"/>
      <c r="B85" s="56"/>
      <c r="C85" s="55"/>
      <c r="D85" s="54"/>
      <c r="E85" s="52"/>
      <c r="F85" s="52"/>
      <c r="G85" s="53"/>
      <c r="H85" s="52"/>
      <c r="I85" s="52"/>
      <c r="J85" s="52"/>
      <c r="K85" s="53"/>
      <c r="L85" s="52"/>
      <c r="M85" s="51"/>
      <c r="N85" s="51"/>
      <c r="O85" s="51"/>
      <c r="P85" s="56"/>
      <c r="Q85" s="5" t="s">
        <v>4</v>
      </c>
      <c r="R85" s="5" t="s">
        <v>3</v>
      </c>
    </row>
    <row r="86" spans="1:18" x14ac:dyDescent="0.25">
      <c r="A86" s="49">
        <v>365</v>
      </c>
      <c r="B86" s="48" t="s">
        <v>845</v>
      </c>
      <c r="C86" s="47">
        <v>50</v>
      </c>
      <c r="D86" s="46">
        <v>20</v>
      </c>
      <c r="E86" s="44">
        <v>22</v>
      </c>
      <c r="F86" s="44">
        <f>1.8*E86+32</f>
        <v>71.599999999999994</v>
      </c>
      <c r="G86" s="45">
        <v>15</v>
      </c>
      <c r="H86" s="44">
        <f>IF(F86&gt;68,G86+(F86-68)*0.2,#REF!-(68-F86)*0.2)</f>
        <v>15.719999999999999</v>
      </c>
      <c r="I86" s="44">
        <v>22</v>
      </c>
      <c r="J86" s="44">
        <f>1.8*I86+32</f>
        <v>71.599999999999994</v>
      </c>
      <c r="K86" s="45">
        <v>6</v>
      </c>
      <c r="L86" s="44">
        <f>IF(J86&gt;68,K86+(J86-68)*0.2,K86-(68-J86)*0.2)</f>
        <v>6.7199999999999989</v>
      </c>
      <c r="M86" s="43">
        <f>(C86-H86)/C86*100</f>
        <v>68.56</v>
      </c>
      <c r="N86" s="43">
        <f>100-(M86+O86)</f>
        <v>18</v>
      </c>
      <c r="O86" s="43">
        <f>L86/C86*100</f>
        <v>13.439999999999996</v>
      </c>
      <c r="P86" s="42" t="s">
        <v>0</v>
      </c>
      <c r="Q86" s="41">
        <v>407566.38299999997</v>
      </c>
      <c r="R86" s="41">
        <v>3659889.139</v>
      </c>
    </row>
    <row r="87" spans="1:18" x14ac:dyDescent="0.25">
      <c r="A87" s="49">
        <v>365</v>
      </c>
      <c r="B87" s="48" t="s">
        <v>844</v>
      </c>
      <c r="C87" s="47">
        <v>50</v>
      </c>
      <c r="D87" s="46">
        <v>20</v>
      </c>
      <c r="E87" s="44">
        <v>22</v>
      </c>
      <c r="F87" s="44">
        <f>1.8*E87+32</f>
        <v>71.599999999999994</v>
      </c>
      <c r="G87" s="45">
        <v>11</v>
      </c>
      <c r="H87" s="44">
        <f>IF(F87&gt;68,G87+(F87-68)*0.2,Y118-(68-F87)*0.2)</f>
        <v>11.719999999999999</v>
      </c>
      <c r="I87" s="44">
        <v>22</v>
      </c>
      <c r="J87" s="44">
        <f>1.8*I87+32</f>
        <v>71.599999999999994</v>
      </c>
      <c r="K87" s="45">
        <v>5</v>
      </c>
      <c r="L87" s="44">
        <f>IF(J87&gt;68,K87+(J87-68)*0.2,K87-(68-J87)*0.2)</f>
        <v>5.7199999999999989</v>
      </c>
      <c r="M87" s="43">
        <f>(C87-H87)/C87*100</f>
        <v>76.56</v>
      </c>
      <c r="N87" s="43">
        <f>100-(M87+O87)</f>
        <v>12</v>
      </c>
      <c r="O87" s="43">
        <f>L87/C87*100</f>
        <v>11.439999999999998</v>
      </c>
      <c r="P87" s="42" t="s">
        <v>0</v>
      </c>
      <c r="Q87" s="41">
        <v>407566.38299999997</v>
      </c>
      <c r="R87" s="41">
        <v>3659889.139</v>
      </c>
    </row>
    <row r="88" spans="1:18" x14ac:dyDescent="0.25">
      <c r="A88" s="49">
        <v>365</v>
      </c>
      <c r="B88" s="48" t="s">
        <v>843</v>
      </c>
      <c r="C88" s="47">
        <v>50</v>
      </c>
      <c r="D88" s="46">
        <v>20</v>
      </c>
      <c r="E88" s="44">
        <v>22</v>
      </c>
      <c r="F88" s="44">
        <f>1.8*E88+32</f>
        <v>71.599999999999994</v>
      </c>
      <c r="G88" s="45">
        <v>16</v>
      </c>
      <c r="H88" s="44">
        <f>IF(F88&gt;68,G88+(F88-68)*0.2,Y119-(68-F88)*0.2)</f>
        <v>16.72</v>
      </c>
      <c r="I88" s="44">
        <v>22</v>
      </c>
      <c r="J88" s="44">
        <f>1.8*I88+32</f>
        <v>71.599999999999994</v>
      </c>
      <c r="K88" s="45">
        <v>8</v>
      </c>
      <c r="L88" s="44">
        <f>IF(J88&gt;68,K88+(J88-68)*0.2,K88-(68-J88)*0.2)</f>
        <v>8.7199999999999989</v>
      </c>
      <c r="M88" s="43">
        <f>(C88-H88)/C88*100</f>
        <v>66.56</v>
      </c>
      <c r="N88" s="43">
        <f>100-(M88+O88)</f>
        <v>16</v>
      </c>
      <c r="O88" s="43">
        <f>L88/C88*100</f>
        <v>17.439999999999998</v>
      </c>
      <c r="P88" s="42" t="s">
        <v>0</v>
      </c>
      <c r="Q88" s="41">
        <v>407566.38299999997</v>
      </c>
      <c r="R88" s="41">
        <v>3659889.139</v>
      </c>
    </row>
    <row r="89" spans="1:18" x14ac:dyDescent="0.25">
      <c r="A89" s="49">
        <v>365</v>
      </c>
      <c r="B89" s="48" t="s">
        <v>842</v>
      </c>
      <c r="C89" s="47">
        <v>50</v>
      </c>
      <c r="D89" s="46">
        <v>20</v>
      </c>
      <c r="E89" s="44">
        <v>22</v>
      </c>
      <c r="F89" s="44">
        <f>1.8*E89+32</f>
        <v>71.599999999999994</v>
      </c>
      <c r="G89" s="45">
        <v>21</v>
      </c>
      <c r="H89" s="44">
        <f>IF(F89&gt;68,G89+(F89-68)*0.2,Y120-(68-F89)*0.2)</f>
        <v>21.72</v>
      </c>
      <c r="I89" s="44">
        <v>22</v>
      </c>
      <c r="J89" s="44">
        <f>1.8*I89+32</f>
        <v>71.599999999999994</v>
      </c>
      <c r="K89" s="45">
        <v>11</v>
      </c>
      <c r="L89" s="44">
        <f>IF(J89&gt;68,K89+(J89-68)*0.2,K89-(68-J89)*0.2)</f>
        <v>11.719999999999999</v>
      </c>
      <c r="M89" s="43">
        <f>(C89-H89)/C89*100</f>
        <v>56.56</v>
      </c>
      <c r="N89" s="43">
        <f>100-(M89+O89)</f>
        <v>20</v>
      </c>
      <c r="O89" s="43">
        <f>L89/C89*100</f>
        <v>23.439999999999998</v>
      </c>
      <c r="P89" s="42" t="s">
        <v>2</v>
      </c>
      <c r="Q89" s="41">
        <v>407566.38299999997</v>
      </c>
      <c r="R89" s="41">
        <v>3659889.139</v>
      </c>
    </row>
    <row r="90" spans="1:18" x14ac:dyDescent="0.25">
      <c r="A90" s="49">
        <v>365</v>
      </c>
      <c r="B90" s="48" t="s">
        <v>841</v>
      </c>
      <c r="C90" s="47">
        <v>50</v>
      </c>
      <c r="D90" s="46">
        <v>20</v>
      </c>
      <c r="E90" s="44">
        <v>21</v>
      </c>
      <c r="F90" s="44">
        <f>1.8*E90+32</f>
        <v>69.800000000000011</v>
      </c>
      <c r="G90" s="45">
        <v>16</v>
      </c>
      <c r="H90" s="44">
        <f>IF(F90&gt;68,G90+(F90-68)*0.2,Y121-(68-F90)*0.2)</f>
        <v>16.360000000000003</v>
      </c>
      <c r="I90" s="44">
        <v>22</v>
      </c>
      <c r="J90" s="44">
        <f>1.8*I90+32</f>
        <v>71.599999999999994</v>
      </c>
      <c r="K90" s="45">
        <v>5</v>
      </c>
      <c r="L90" s="44">
        <f>IF(J90&gt;68,K90+(J90-68)*0.2,K90-(68-J90)*0.2)</f>
        <v>5.7199999999999989</v>
      </c>
      <c r="M90" s="43">
        <f>(C90-H90)/C90*100</f>
        <v>67.28</v>
      </c>
      <c r="N90" s="43">
        <f>100-(M90+O90)</f>
        <v>21.28</v>
      </c>
      <c r="O90" s="43">
        <f>L90/C90*100</f>
        <v>11.439999999999998</v>
      </c>
      <c r="P90" s="42" t="s">
        <v>0</v>
      </c>
      <c r="Q90" s="41">
        <v>407566.38299999997</v>
      </c>
      <c r="R90" s="41">
        <v>3659889.139</v>
      </c>
    </row>
    <row r="91" spans="1:18" x14ac:dyDescent="0.25">
      <c r="A91" s="49">
        <v>365</v>
      </c>
      <c r="B91" s="48" t="s">
        <v>839</v>
      </c>
      <c r="C91" s="47">
        <v>50</v>
      </c>
      <c r="D91" s="46">
        <v>20</v>
      </c>
      <c r="E91" s="44">
        <v>21</v>
      </c>
      <c r="F91" s="44">
        <f>1.8*E91+32</f>
        <v>69.800000000000011</v>
      </c>
      <c r="G91" s="45">
        <v>17</v>
      </c>
      <c r="H91" s="44">
        <f>IF(F91&gt;68,G91+(F91-68)*0.2,Y122-(68-F91)*0.2)</f>
        <v>17.360000000000003</v>
      </c>
      <c r="I91" s="44">
        <v>22</v>
      </c>
      <c r="J91" s="44">
        <f>1.8*I91+32</f>
        <v>71.599999999999994</v>
      </c>
      <c r="K91" s="45">
        <v>6</v>
      </c>
      <c r="L91" s="44">
        <f>IF(J91&gt;68,K91+(J91-68)*0.2,K91-(68-J91)*0.2)</f>
        <v>6.7199999999999989</v>
      </c>
      <c r="M91" s="43">
        <f>(C91-H91)/C91*100</f>
        <v>65.28</v>
      </c>
      <c r="N91" s="43">
        <f>100-(M91+O91)</f>
        <v>21.28</v>
      </c>
      <c r="O91" s="43">
        <f>L91/C91*100</f>
        <v>13.439999999999996</v>
      </c>
      <c r="P91" s="42" t="s">
        <v>0</v>
      </c>
      <c r="Q91" s="41">
        <v>407566.38299999997</v>
      </c>
      <c r="R91" s="41">
        <v>3659889.139</v>
      </c>
    </row>
    <row r="92" spans="1:18" x14ac:dyDescent="0.25">
      <c r="A92" s="61"/>
      <c r="B92" s="58"/>
      <c r="C92" s="58"/>
      <c r="D92" s="58"/>
      <c r="E92" s="58"/>
      <c r="F92" s="58"/>
      <c r="G92" s="60"/>
      <c r="H92" s="58"/>
      <c r="I92" s="58"/>
      <c r="J92" s="58"/>
      <c r="K92" s="60"/>
      <c r="L92" s="58"/>
      <c r="M92" s="59"/>
      <c r="N92" s="59"/>
      <c r="O92" s="59"/>
      <c r="P92" s="58"/>
      <c r="Q92" s="18"/>
      <c r="R92" s="18"/>
    </row>
    <row r="93" spans="1:18" x14ac:dyDescent="0.25">
      <c r="A93" s="57"/>
      <c r="B93" s="56"/>
      <c r="C93" s="55"/>
      <c r="D93" s="54"/>
      <c r="E93" s="52"/>
      <c r="F93" s="52"/>
      <c r="G93" s="53"/>
      <c r="H93" s="52"/>
      <c r="I93" s="52"/>
      <c r="J93" s="52"/>
      <c r="K93" s="53"/>
      <c r="L93" s="52"/>
      <c r="M93" s="51"/>
      <c r="N93" s="51"/>
      <c r="O93" s="51"/>
      <c r="P93" s="56"/>
      <c r="Q93" s="5" t="s">
        <v>4</v>
      </c>
      <c r="R93" s="5" t="s">
        <v>3</v>
      </c>
    </row>
    <row r="94" spans="1:18" x14ac:dyDescent="0.25">
      <c r="A94" s="49">
        <v>374</v>
      </c>
      <c r="B94" s="48" t="s">
        <v>845</v>
      </c>
      <c r="C94" s="47">
        <v>50</v>
      </c>
      <c r="D94" s="46">
        <v>20</v>
      </c>
      <c r="E94" s="44">
        <v>21</v>
      </c>
      <c r="F94" s="44">
        <f>1.8*E94+32</f>
        <v>69.800000000000011</v>
      </c>
      <c r="G94" s="45">
        <v>17</v>
      </c>
      <c r="H94" s="44">
        <f>IF(F94&gt;68,G94+(F94-68)*0.2,#REF!-(68-F94)*0.2)</f>
        <v>17.360000000000003</v>
      </c>
      <c r="I94" s="44">
        <v>22</v>
      </c>
      <c r="J94" s="44">
        <f>1.8*I94+32</f>
        <v>71.599999999999994</v>
      </c>
      <c r="K94" s="45">
        <v>10</v>
      </c>
      <c r="L94" s="44">
        <f>IF(J94&gt;68,K94+(J94-68)*0.2,K94-(68-J94)*0.2)</f>
        <v>10.719999999999999</v>
      </c>
      <c r="M94" s="43">
        <f>(C94-H94)/C94*100</f>
        <v>65.28</v>
      </c>
      <c r="N94" s="43">
        <f>100-(M94+O94)</f>
        <v>13.280000000000001</v>
      </c>
      <c r="O94" s="43">
        <f>L94/C94*100</f>
        <v>21.439999999999998</v>
      </c>
      <c r="P94" s="42" t="s">
        <v>2</v>
      </c>
      <c r="Q94" s="41">
        <v>407567.09600000002</v>
      </c>
      <c r="R94" s="41">
        <v>3659923.2259999998</v>
      </c>
    </row>
    <row r="95" spans="1:18" x14ac:dyDescent="0.25">
      <c r="A95" s="49">
        <v>374</v>
      </c>
      <c r="B95" s="48" t="s">
        <v>844</v>
      </c>
      <c r="C95" s="47">
        <v>50</v>
      </c>
      <c r="D95" s="46">
        <v>20</v>
      </c>
      <c r="E95" s="44">
        <v>21</v>
      </c>
      <c r="F95" s="44">
        <f>1.8*E95+32</f>
        <v>69.800000000000011</v>
      </c>
      <c r="G95" s="45">
        <v>15</v>
      </c>
      <c r="H95" s="44">
        <f>IF(F95&gt;68,G95+(F95-68)*0.2,Y126-(68-F95)*0.2)</f>
        <v>15.360000000000003</v>
      </c>
      <c r="I95" s="44">
        <v>22</v>
      </c>
      <c r="J95" s="44">
        <f>1.8*I95+32</f>
        <v>71.599999999999994</v>
      </c>
      <c r="K95" s="45">
        <v>9</v>
      </c>
      <c r="L95" s="44">
        <f>IF(J95&gt;68,K95+(J95-68)*0.2,K95-(68-J95)*0.2)</f>
        <v>9.7199999999999989</v>
      </c>
      <c r="M95" s="43">
        <f>(C95-H95)/C95*100</f>
        <v>69.28</v>
      </c>
      <c r="N95" s="43">
        <f>100-(M95+O95)</f>
        <v>11.280000000000001</v>
      </c>
      <c r="O95" s="43">
        <f>L95/C95*100</f>
        <v>19.439999999999998</v>
      </c>
      <c r="P95" s="42" t="s">
        <v>0</v>
      </c>
      <c r="Q95" s="41">
        <v>407567.09600000002</v>
      </c>
      <c r="R95" s="41">
        <v>3659923.2259999998</v>
      </c>
    </row>
    <row r="96" spans="1:18" x14ac:dyDescent="0.25">
      <c r="A96" s="49">
        <v>374</v>
      </c>
      <c r="B96" s="48" t="s">
        <v>843</v>
      </c>
      <c r="C96" s="47">
        <v>50</v>
      </c>
      <c r="D96" s="46">
        <v>20</v>
      </c>
      <c r="E96" s="44">
        <v>21</v>
      </c>
      <c r="F96" s="44">
        <f>1.8*E96+32</f>
        <v>69.800000000000011</v>
      </c>
      <c r="G96" s="45">
        <v>10</v>
      </c>
      <c r="H96" s="44">
        <f>IF(F96&gt;68,G96+(F96-68)*0.2,Y127-(68-F96)*0.2)</f>
        <v>10.360000000000003</v>
      </c>
      <c r="I96" s="44">
        <v>22</v>
      </c>
      <c r="J96" s="44">
        <f>1.8*I96+32</f>
        <v>71.599999999999994</v>
      </c>
      <c r="K96" s="45">
        <v>5</v>
      </c>
      <c r="L96" s="44">
        <f>IF(J96&gt;68,K96+(J96-68)*0.2,K96-(68-J96)*0.2)</f>
        <v>5.7199999999999989</v>
      </c>
      <c r="M96" s="43">
        <f>(C96-H96)/C96*100</f>
        <v>79.28</v>
      </c>
      <c r="N96" s="43">
        <f>100-(M96+O96)</f>
        <v>9.2800000000000011</v>
      </c>
      <c r="O96" s="43">
        <f>L96/C96*100</f>
        <v>11.439999999999998</v>
      </c>
      <c r="P96" s="42" t="s">
        <v>0</v>
      </c>
      <c r="Q96" s="41">
        <v>407567.09600000002</v>
      </c>
      <c r="R96" s="41">
        <v>3659923.2259999998</v>
      </c>
    </row>
    <row r="97" spans="1:18" x14ac:dyDescent="0.25">
      <c r="A97" s="49">
        <v>374</v>
      </c>
      <c r="B97" s="48" t="s">
        <v>842</v>
      </c>
      <c r="C97" s="47">
        <v>50</v>
      </c>
      <c r="D97" s="46">
        <v>20</v>
      </c>
      <c r="E97" s="44">
        <v>21</v>
      </c>
      <c r="F97" s="44">
        <f>1.8*E97+32</f>
        <v>69.800000000000011</v>
      </c>
      <c r="G97" s="45">
        <v>32</v>
      </c>
      <c r="H97" s="44">
        <f>IF(F97&gt;68,G97+(F97-68)*0.2,Y128-(68-F97)*0.2)</f>
        <v>32.36</v>
      </c>
      <c r="I97" s="44">
        <v>22</v>
      </c>
      <c r="J97" s="44">
        <f>1.8*I97+32</f>
        <v>71.599999999999994</v>
      </c>
      <c r="K97" s="45">
        <v>17</v>
      </c>
      <c r="L97" s="44">
        <f>IF(J97&gt;68,K97+(J97-68)*0.2,K97-(68-J97)*0.2)</f>
        <v>17.72</v>
      </c>
      <c r="M97" s="43">
        <f>(C97-H97)/C97*100</f>
        <v>35.28</v>
      </c>
      <c r="N97" s="43">
        <f>100-(M97+O97)</f>
        <v>29.28</v>
      </c>
      <c r="O97" s="43">
        <f>L97/C97*100</f>
        <v>35.44</v>
      </c>
      <c r="P97" s="42" t="s">
        <v>22</v>
      </c>
      <c r="Q97" s="41">
        <v>407567.09600000002</v>
      </c>
      <c r="R97" s="41">
        <v>3659923.2259999998</v>
      </c>
    </row>
    <row r="98" spans="1:18" x14ac:dyDescent="0.25">
      <c r="A98" s="49">
        <v>374</v>
      </c>
      <c r="B98" s="48" t="s">
        <v>841</v>
      </c>
      <c r="C98" s="47">
        <v>50</v>
      </c>
      <c r="D98" s="46">
        <v>20</v>
      </c>
      <c r="E98" s="44">
        <v>21</v>
      </c>
      <c r="F98" s="44">
        <f>1.8*E98+32</f>
        <v>69.800000000000011</v>
      </c>
      <c r="G98" s="45">
        <v>22</v>
      </c>
      <c r="H98" s="44">
        <f>IF(F98&gt;68,G98+(F98-68)*0.2,Y129-(68-F98)*0.2)</f>
        <v>22.360000000000003</v>
      </c>
      <c r="I98" s="44">
        <v>22</v>
      </c>
      <c r="J98" s="44">
        <f>1.8*I98+32</f>
        <v>71.599999999999994</v>
      </c>
      <c r="K98" s="45">
        <v>11</v>
      </c>
      <c r="L98" s="44">
        <f>IF(J98&gt;68,K98+(J98-68)*0.2,K98-(68-J98)*0.2)</f>
        <v>11.719999999999999</v>
      </c>
      <c r="M98" s="43">
        <f>(C98-H98)/C98*100</f>
        <v>55.279999999999994</v>
      </c>
      <c r="N98" s="43">
        <f>100-(M98+O98)</f>
        <v>21.28</v>
      </c>
      <c r="O98" s="43">
        <f>L98/C98*100</f>
        <v>23.439999999999998</v>
      </c>
      <c r="P98" s="42" t="s">
        <v>2</v>
      </c>
      <c r="Q98" s="41">
        <v>407567.09600000002</v>
      </c>
      <c r="R98" s="41">
        <v>3659923.2259999998</v>
      </c>
    </row>
    <row r="99" spans="1:18" x14ac:dyDescent="0.25">
      <c r="A99" s="49">
        <v>374</v>
      </c>
      <c r="B99" s="48" t="s">
        <v>839</v>
      </c>
      <c r="C99" s="47">
        <v>50</v>
      </c>
      <c r="D99" s="46">
        <v>20</v>
      </c>
      <c r="E99" s="44">
        <v>21</v>
      </c>
      <c r="F99" s="44">
        <f>1.8*E99+32</f>
        <v>69.800000000000011</v>
      </c>
      <c r="G99" s="45">
        <v>17</v>
      </c>
      <c r="H99" s="44">
        <f>IF(F99&gt;68,G99+(F99-68)*0.2,Y130-(68-F99)*0.2)</f>
        <v>17.360000000000003</v>
      </c>
      <c r="I99" s="44">
        <v>22</v>
      </c>
      <c r="J99" s="44">
        <f>1.8*I99+32</f>
        <v>71.599999999999994</v>
      </c>
      <c r="K99" s="45">
        <v>8</v>
      </c>
      <c r="L99" s="44">
        <f>IF(J99&gt;68,K99+(J99-68)*0.2,K99-(68-J99)*0.2)</f>
        <v>8.7199999999999989</v>
      </c>
      <c r="M99" s="43">
        <f>(C99-H99)/C99*100</f>
        <v>65.28</v>
      </c>
      <c r="N99" s="43">
        <f>100-(M99+O99)</f>
        <v>17.28</v>
      </c>
      <c r="O99" s="43">
        <f>L99/C99*100</f>
        <v>17.439999999999998</v>
      </c>
      <c r="P99" s="42" t="s">
        <v>0</v>
      </c>
      <c r="Q99" s="41">
        <v>407567.09600000002</v>
      </c>
      <c r="R99" s="41">
        <v>3659923.2259999998</v>
      </c>
    </row>
    <row r="100" spans="1:18" x14ac:dyDescent="0.25">
      <c r="A100" s="61"/>
      <c r="B100" s="58"/>
      <c r="C100" s="58"/>
      <c r="D100" s="58"/>
      <c r="E100" s="58"/>
      <c r="F100" s="58"/>
      <c r="G100" s="60"/>
      <c r="H100" s="58"/>
      <c r="I100" s="58"/>
      <c r="J100" s="58"/>
      <c r="K100" s="60"/>
      <c r="L100" s="58"/>
      <c r="M100" s="59"/>
      <c r="N100" s="59"/>
      <c r="O100" s="59"/>
      <c r="P100" s="58"/>
      <c r="Q100" s="18"/>
      <c r="R100" s="18"/>
    </row>
    <row r="101" spans="1:18" x14ac:dyDescent="0.25">
      <c r="A101" s="57"/>
      <c r="B101" s="56"/>
      <c r="C101" s="55"/>
      <c r="D101" s="54"/>
      <c r="E101" s="52"/>
      <c r="F101" s="52"/>
      <c r="G101" s="53"/>
      <c r="H101" s="52"/>
      <c r="I101" s="52"/>
      <c r="J101" s="52"/>
      <c r="K101" s="53"/>
      <c r="L101" s="52"/>
      <c r="M101" s="51"/>
      <c r="N101" s="51"/>
      <c r="O101" s="51"/>
      <c r="P101" s="56"/>
      <c r="Q101" s="5" t="s">
        <v>4</v>
      </c>
      <c r="R101" s="5" t="s">
        <v>3</v>
      </c>
    </row>
    <row r="102" spans="1:18" x14ac:dyDescent="0.25">
      <c r="A102" s="49">
        <v>399</v>
      </c>
      <c r="B102" s="48" t="s">
        <v>845</v>
      </c>
      <c r="C102" s="47">
        <v>50</v>
      </c>
      <c r="D102" s="46">
        <v>20</v>
      </c>
      <c r="E102" s="44">
        <v>22</v>
      </c>
      <c r="F102" s="44">
        <f>1.8*E102+32</f>
        <v>71.599999999999994</v>
      </c>
      <c r="G102" s="45">
        <v>21</v>
      </c>
      <c r="H102" s="44">
        <f>IF(F102&gt;68,G102+(F102-68)*0.2,#REF!-(68-F102)*0.2)</f>
        <v>21.72</v>
      </c>
      <c r="I102" s="44">
        <v>22</v>
      </c>
      <c r="J102" s="44">
        <f>1.8*I102+32</f>
        <v>71.599999999999994</v>
      </c>
      <c r="K102" s="45">
        <v>12</v>
      </c>
      <c r="L102" s="44">
        <f>IF(J102&gt;68,K102+(J102-68)*0.2,K102-(68-J102)*0.2)</f>
        <v>12.719999999999999</v>
      </c>
      <c r="M102" s="43">
        <f>(C102-H102)/C102*100</f>
        <v>56.56</v>
      </c>
      <c r="N102" s="43">
        <f>100-(M102+O102)</f>
        <v>18</v>
      </c>
      <c r="O102" s="43">
        <f>L102/C102*100</f>
        <v>25.439999999999998</v>
      </c>
      <c r="P102" s="42" t="s">
        <v>2</v>
      </c>
      <c r="Q102" s="41">
        <v>407568.66700000002</v>
      </c>
      <c r="R102" s="41">
        <v>3660017.1519999998</v>
      </c>
    </row>
    <row r="103" spans="1:18" x14ac:dyDescent="0.25">
      <c r="A103" s="49">
        <v>399</v>
      </c>
      <c r="B103" s="48" t="s">
        <v>844</v>
      </c>
      <c r="C103" s="47">
        <v>50</v>
      </c>
      <c r="D103" s="46">
        <v>20</v>
      </c>
      <c r="E103" s="44">
        <v>22</v>
      </c>
      <c r="F103" s="44">
        <f>1.8*E103+32</f>
        <v>71.599999999999994</v>
      </c>
      <c r="G103" s="45">
        <v>14</v>
      </c>
      <c r="H103" s="44">
        <f>IF(F103&gt;68,G103+(F103-68)*0.2,Y134-(68-F103)*0.2)</f>
        <v>14.719999999999999</v>
      </c>
      <c r="I103" s="44">
        <v>22</v>
      </c>
      <c r="J103" s="44">
        <f>1.8*I103+32</f>
        <v>71.599999999999994</v>
      </c>
      <c r="K103" s="45">
        <v>13</v>
      </c>
      <c r="L103" s="44">
        <f>IF(J103&gt;68,K103+(J103-68)*0.2,K103-(68-J103)*0.2)</f>
        <v>13.719999999999999</v>
      </c>
      <c r="M103" s="43">
        <f>(C103-H103)/C103*100</f>
        <v>70.56</v>
      </c>
      <c r="N103" s="43">
        <f>100-(M103+O103)</f>
        <v>2</v>
      </c>
      <c r="O103" s="43">
        <f>L103/C103*100</f>
        <v>27.439999999999998</v>
      </c>
      <c r="P103" s="42" t="s">
        <v>2</v>
      </c>
      <c r="Q103" s="41">
        <v>407568.66700000002</v>
      </c>
      <c r="R103" s="41">
        <v>3660017.1519999998</v>
      </c>
    </row>
    <row r="104" spans="1:18" x14ac:dyDescent="0.25">
      <c r="A104" s="49">
        <v>399</v>
      </c>
      <c r="B104" s="48" t="s">
        <v>843</v>
      </c>
      <c r="C104" s="47">
        <v>50</v>
      </c>
      <c r="D104" s="46">
        <v>20</v>
      </c>
      <c r="E104" s="44">
        <v>22</v>
      </c>
      <c r="F104" s="44">
        <f>1.8*E104+32</f>
        <v>71.599999999999994</v>
      </c>
      <c r="G104" s="45">
        <v>25</v>
      </c>
      <c r="H104" s="44">
        <f>IF(F104&gt;68,G104+(F104-68)*0.2,Y135-(68-F104)*0.2)</f>
        <v>25.72</v>
      </c>
      <c r="I104" s="44">
        <v>22</v>
      </c>
      <c r="J104" s="44">
        <f>1.8*I104+32</f>
        <v>71.599999999999994</v>
      </c>
      <c r="K104" s="45">
        <v>11</v>
      </c>
      <c r="L104" s="44">
        <f>IF(J104&gt;68,K104+(J104-68)*0.2,K104-(68-J104)*0.2)</f>
        <v>11.719999999999999</v>
      </c>
      <c r="M104" s="43">
        <f>(C104-H104)/C104*100</f>
        <v>48.56</v>
      </c>
      <c r="N104" s="43">
        <f>100-(M104+O104)</f>
        <v>28</v>
      </c>
      <c r="O104" s="43">
        <f>L104/C104*100</f>
        <v>23.439999999999998</v>
      </c>
      <c r="P104" s="42" t="s">
        <v>2</v>
      </c>
      <c r="Q104" s="41">
        <v>407568.66700000002</v>
      </c>
      <c r="R104" s="41">
        <v>3660017.1519999998</v>
      </c>
    </row>
    <row r="105" spans="1:18" x14ac:dyDescent="0.25">
      <c r="A105" s="49">
        <v>399</v>
      </c>
      <c r="B105" s="48" t="s">
        <v>842</v>
      </c>
      <c r="C105" s="47">
        <v>50</v>
      </c>
      <c r="D105" s="46">
        <v>20</v>
      </c>
      <c r="E105" s="44">
        <v>22</v>
      </c>
      <c r="F105" s="44">
        <f>1.8*E105+32</f>
        <v>71.599999999999994</v>
      </c>
      <c r="G105" s="45">
        <v>24</v>
      </c>
      <c r="H105" s="44">
        <f>IF(F105&gt;68,G105+(F105-68)*0.2,Y136-(68-F105)*0.2)</f>
        <v>24.72</v>
      </c>
      <c r="I105" s="44">
        <v>22</v>
      </c>
      <c r="J105" s="44">
        <f>1.8*I105+32</f>
        <v>71.599999999999994</v>
      </c>
      <c r="K105" s="45">
        <v>11</v>
      </c>
      <c r="L105" s="44">
        <f>IF(J105&gt;68,K105+(J105-68)*0.2,K105-(68-J105)*0.2)</f>
        <v>11.719999999999999</v>
      </c>
      <c r="M105" s="43">
        <f>(C105-H105)/C105*100</f>
        <v>50.56</v>
      </c>
      <c r="N105" s="43">
        <f>100-(M105+O105)</f>
        <v>26</v>
      </c>
      <c r="O105" s="43">
        <f>L105/C105*100</f>
        <v>23.439999999999998</v>
      </c>
      <c r="P105" s="42" t="s">
        <v>2</v>
      </c>
      <c r="Q105" s="41">
        <v>407568.66700000002</v>
      </c>
      <c r="R105" s="41">
        <v>3660017.1519999998</v>
      </c>
    </row>
    <row r="106" spans="1:18" x14ac:dyDescent="0.25">
      <c r="A106" s="49">
        <v>399</v>
      </c>
      <c r="B106" s="48" t="s">
        <v>841</v>
      </c>
      <c r="C106" s="47">
        <v>50</v>
      </c>
      <c r="D106" s="46">
        <v>20</v>
      </c>
      <c r="E106" s="44">
        <v>22</v>
      </c>
      <c r="F106" s="44">
        <f>1.8*E106+32</f>
        <v>71.599999999999994</v>
      </c>
      <c r="G106" s="45">
        <v>22</v>
      </c>
      <c r="H106" s="44">
        <f>IF(F106&gt;68,G106+(F106-68)*0.2,Y137-(68-F106)*0.2)</f>
        <v>22.72</v>
      </c>
      <c r="I106" s="44">
        <v>22</v>
      </c>
      <c r="J106" s="44">
        <f>1.8*I106+32</f>
        <v>71.599999999999994</v>
      </c>
      <c r="K106" s="45">
        <v>10</v>
      </c>
      <c r="L106" s="44">
        <f>IF(J106&gt;68,K106+(J106-68)*0.2,K106-(68-J106)*0.2)</f>
        <v>10.719999999999999</v>
      </c>
      <c r="M106" s="43">
        <f>(C106-H106)/C106*100</f>
        <v>54.559999999999995</v>
      </c>
      <c r="N106" s="43">
        <f>100-(M106+O106)</f>
        <v>24</v>
      </c>
      <c r="O106" s="43">
        <f>L106/C106*100</f>
        <v>21.439999999999998</v>
      </c>
      <c r="P106" s="42" t="s">
        <v>2</v>
      </c>
      <c r="Q106" s="41">
        <v>407568.66700000002</v>
      </c>
      <c r="R106" s="41">
        <v>3660017.1519999998</v>
      </c>
    </row>
    <row r="107" spans="1:18" x14ac:dyDescent="0.25">
      <c r="A107" s="49">
        <v>399</v>
      </c>
      <c r="B107" s="48" t="s">
        <v>839</v>
      </c>
      <c r="C107" s="47">
        <v>50</v>
      </c>
      <c r="D107" s="46">
        <v>20</v>
      </c>
      <c r="E107" s="44">
        <v>22</v>
      </c>
      <c r="F107" s="44">
        <f>1.8*E107+32</f>
        <v>71.599999999999994</v>
      </c>
      <c r="G107" s="45">
        <v>20</v>
      </c>
      <c r="H107" s="44">
        <f>IF(F107&gt;68,G107+(F107-68)*0.2,Y138-(68-F107)*0.2)</f>
        <v>20.72</v>
      </c>
      <c r="I107" s="44">
        <v>22</v>
      </c>
      <c r="J107" s="44">
        <f>1.8*I107+32</f>
        <v>71.599999999999994</v>
      </c>
      <c r="K107" s="45">
        <v>10</v>
      </c>
      <c r="L107" s="44">
        <f>IF(J107&gt;68,K107+(J107-68)*0.2,K107-(68-J107)*0.2)</f>
        <v>10.719999999999999</v>
      </c>
      <c r="M107" s="43">
        <f>(C107-H107)/C107*100</f>
        <v>58.56</v>
      </c>
      <c r="N107" s="43">
        <f>100-(M107+O107)</f>
        <v>20</v>
      </c>
      <c r="O107" s="43">
        <f>L107/C107*100</f>
        <v>21.439999999999998</v>
      </c>
      <c r="P107" s="42" t="s">
        <v>2</v>
      </c>
      <c r="Q107" s="41">
        <v>407568.66700000002</v>
      </c>
      <c r="R107" s="41">
        <v>3660017.1519999998</v>
      </c>
    </row>
    <row r="108" spans="1:18" x14ac:dyDescent="0.25">
      <c r="A108" s="61"/>
      <c r="B108" s="58"/>
      <c r="C108" s="58"/>
      <c r="D108" s="58"/>
      <c r="E108" s="58"/>
      <c r="F108" s="58"/>
      <c r="G108" s="60"/>
      <c r="H108" s="58"/>
      <c r="I108" s="58"/>
      <c r="J108" s="58"/>
      <c r="K108" s="60"/>
      <c r="L108" s="58"/>
      <c r="M108" s="59"/>
      <c r="N108" s="59"/>
      <c r="O108" s="59"/>
      <c r="P108" s="58"/>
      <c r="Q108" s="18"/>
      <c r="R108" s="18"/>
    </row>
    <row r="109" spans="1:18" x14ac:dyDescent="0.25">
      <c r="A109" s="57"/>
      <c r="B109" s="56"/>
      <c r="C109" s="55"/>
      <c r="D109" s="54"/>
      <c r="E109" s="52"/>
      <c r="F109" s="52"/>
      <c r="G109" s="53"/>
      <c r="H109" s="52"/>
      <c r="I109" s="52"/>
      <c r="J109" s="52"/>
      <c r="K109" s="53"/>
      <c r="L109" s="52"/>
      <c r="M109" s="51"/>
      <c r="N109" s="51"/>
      <c r="O109" s="51"/>
      <c r="P109" s="56"/>
      <c r="Q109" s="5" t="s">
        <v>4</v>
      </c>
      <c r="R109" s="5" t="s">
        <v>3</v>
      </c>
    </row>
    <row r="110" spans="1:18" x14ac:dyDescent="0.25">
      <c r="A110" s="49">
        <v>408</v>
      </c>
      <c r="B110" s="48" t="s">
        <v>845</v>
      </c>
      <c r="C110" s="47">
        <v>50</v>
      </c>
      <c r="D110" s="46">
        <v>20</v>
      </c>
      <c r="E110" s="44">
        <v>22</v>
      </c>
      <c r="F110" s="44">
        <f>1.8*E110+32</f>
        <v>71.599999999999994</v>
      </c>
      <c r="G110" s="45">
        <v>21</v>
      </c>
      <c r="H110" s="44">
        <f>IF(F110&gt;68,G110+(F110-68)*0.2,#REF!-(68-F110)*0.2)</f>
        <v>21.72</v>
      </c>
      <c r="I110" s="44">
        <v>22</v>
      </c>
      <c r="J110" s="44">
        <f>1.8*I110+32</f>
        <v>71.599999999999994</v>
      </c>
      <c r="K110" s="45">
        <v>11</v>
      </c>
      <c r="L110" s="44">
        <f>IF(J110&gt;68,K110+(J110-68)*0.2,K110-(68-J110)*0.2)</f>
        <v>11.719999999999999</v>
      </c>
      <c r="M110" s="43">
        <f>(C110-H110)/C110*100</f>
        <v>56.56</v>
      </c>
      <c r="N110" s="43">
        <f>100-(M110+O110)</f>
        <v>20</v>
      </c>
      <c r="O110" s="43">
        <f>L110/C110*100</f>
        <v>23.439999999999998</v>
      </c>
      <c r="P110" s="42" t="s">
        <v>2</v>
      </c>
      <c r="Q110" s="41">
        <v>407565.02600000001</v>
      </c>
      <c r="R110" s="41">
        <v>3660001.148</v>
      </c>
    </row>
    <row r="111" spans="1:18" x14ac:dyDescent="0.25">
      <c r="A111" s="49">
        <v>408</v>
      </c>
      <c r="B111" s="48" t="s">
        <v>844</v>
      </c>
      <c r="C111" s="47">
        <v>50</v>
      </c>
      <c r="D111" s="46">
        <v>20</v>
      </c>
      <c r="E111" s="44">
        <v>22</v>
      </c>
      <c r="F111" s="44">
        <f>1.8*E111+32</f>
        <v>71.599999999999994</v>
      </c>
      <c r="G111" s="45">
        <v>22</v>
      </c>
      <c r="H111" s="44">
        <f>IF(F111&gt;68,G111+(F111-68)*0.2,Y142-(68-F111)*0.2)</f>
        <v>22.72</v>
      </c>
      <c r="I111" s="44">
        <v>22</v>
      </c>
      <c r="J111" s="44">
        <f>1.8*I111+32</f>
        <v>71.599999999999994</v>
      </c>
      <c r="K111" s="45">
        <v>13</v>
      </c>
      <c r="L111" s="44">
        <f>IF(J111&gt;68,K111+(J111-68)*0.2,K111-(68-J111)*0.2)</f>
        <v>13.719999999999999</v>
      </c>
      <c r="M111" s="43">
        <f>(C111-H111)/C111*100</f>
        <v>54.559999999999995</v>
      </c>
      <c r="N111" s="43">
        <f>100-(M111+O111)</f>
        <v>18</v>
      </c>
      <c r="O111" s="43">
        <f>L111/C111*100</f>
        <v>27.439999999999998</v>
      </c>
      <c r="P111" s="42" t="s">
        <v>2</v>
      </c>
      <c r="Q111" s="41">
        <v>407565.02600000001</v>
      </c>
      <c r="R111" s="41">
        <v>3660001.148</v>
      </c>
    </row>
    <row r="112" spans="1:18" x14ac:dyDescent="0.25">
      <c r="A112" s="49">
        <v>408</v>
      </c>
      <c r="B112" s="48" t="s">
        <v>843</v>
      </c>
      <c r="C112" s="47">
        <v>50</v>
      </c>
      <c r="D112" s="46">
        <v>20</v>
      </c>
      <c r="E112" s="44">
        <v>22</v>
      </c>
      <c r="F112" s="44">
        <f>1.8*E112+32</f>
        <v>71.599999999999994</v>
      </c>
      <c r="G112" s="45">
        <v>14</v>
      </c>
      <c r="H112" s="44">
        <f>IF(F112&gt;68,G112+(F112-68)*0.2,Y143-(68-F112)*0.2)</f>
        <v>14.719999999999999</v>
      </c>
      <c r="I112" s="44">
        <v>21</v>
      </c>
      <c r="J112" s="44">
        <f>1.8*I112+32</f>
        <v>69.800000000000011</v>
      </c>
      <c r="K112" s="45">
        <v>5</v>
      </c>
      <c r="L112" s="44">
        <f>IF(J112&gt;68,K112+(J112-68)*0.2,K112-(68-J112)*0.2)</f>
        <v>5.3600000000000021</v>
      </c>
      <c r="M112" s="43">
        <f>(C112-H112)/C112*100</f>
        <v>70.56</v>
      </c>
      <c r="N112" s="43">
        <f>100-(M112+O112)</f>
        <v>18.72</v>
      </c>
      <c r="O112" s="43">
        <f>L112/C112*100</f>
        <v>10.720000000000004</v>
      </c>
      <c r="P112" s="42" t="s">
        <v>0</v>
      </c>
      <c r="Q112" s="41">
        <v>407565.02600000001</v>
      </c>
      <c r="R112" s="41">
        <v>3660001.148</v>
      </c>
    </row>
    <row r="113" spans="1:18" x14ac:dyDescent="0.25">
      <c r="A113" s="49">
        <v>408</v>
      </c>
      <c r="B113" s="48" t="s">
        <v>842</v>
      </c>
      <c r="C113" s="47">
        <v>50</v>
      </c>
      <c r="D113" s="46">
        <v>20</v>
      </c>
      <c r="E113" s="44">
        <v>22</v>
      </c>
      <c r="F113" s="44">
        <f>1.8*E113+32</f>
        <v>71.599999999999994</v>
      </c>
      <c r="G113" s="45">
        <v>31</v>
      </c>
      <c r="H113" s="44">
        <f>IF(F113&gt;68,G113+(F113-68)*0.2,Y144-(68-F113)*0.2)</f>
        <v>31.72</v>
      </c>
      <c r="I113" s="44">
        <v>21</v>
      </c>
      <c r="J113" s="44">
        <f>1.8*I113+32</f>
        <v>69.800000000000011</v>
      </c>
      <c r="K113" s="45">
        <v>16</v>
      </c>
      <c r="L113" s="44">
        <f>IF(J113&gt;68,K113+(J113-68)*0.2,K113-(68-J113)*0.2)</f>
        <v>16.360000000000003</v>
      </c>
      <c r="M113" s="43">
        <f>(C113-H113)/C113*100</f>
        <v>36.56</v>
      </c>
      <c r="N113" s="43">
        <f>100-(M113+O113)</f>
        <v>30.72</v>
      </c>
      <c r="O113" s="43">
        <f>L113/C113*100</f>
        <v>32.720000000000006</v>
      </c>
      <c r="P113" s="42" t="s">
        <v>22</v>
      </c>
      <c r="Q113" s="41">
        <v>407565.02600000001</v>
      </c>
      <c r="R113" s="41">
        <v>3660001.148</v>
      </c>
    </row>
    <row r="114" spans="1:18" x14ac:dyDescent="0.25">
      <c r="A114" s="49">
        <v>408</v>
      </c>
      <c r="B114" s="48" t="s">
        <v>841</v>
      </c>
      <c r="C114" s="47">
        <v>50</v>
      </c>
      <c r="D114" s="46">
        <v>20</v>
      </c>
      <c r="E114" s="44">
        <v>22</v>
      </c>
      <c r="F114" s="44">
        <f>1.8*E114+32</f>
        <v>71.599999999999994</v>
      </c>
      <c r="G114" s="45">
        <v>30</v>
      </c>
      <c r="H114" s="44">
        <f>IF(F114&gt;68,G114+(F114-68)*0.2,Y145-(68-F114)*0.2)</f>
        <v>30.72</v>
      </c>
      <c r="I114" s="44">
        <v>21</v>
      </c>
      <c r="J114" s="44">
        <f>1.8*I114+32</f>
        <v>69.800000000000011</v>
      </c>
      <c r="K114" s="45">
        <v>11</v>
      </c>
      <c r="L114" s="44">
        <f>IF(J114&gt;68,K114+(J114-68)*0.2,K114-(68-J114)*0.2)</f>
        <v>11.360000000000003</v>
      </c>
      <c r="M114" s="43">
        <f>(C114-H114)/C114*100</f>
        <v>38.56</v>
      </c>
      <c r="N114" s="43">
        <f>100-(M114+O114)</f>
        <v>38.719999999999992</v>
      </c>
      <c r="O114" s="43">
        <f>L114/C114*100</f>
        <v>22.720000000000006</v>
      </c>
      <c r="P114" s="42" t="s">
        <v>22</v>
      </c>
      <c r="Q114" s="41">
        <v>407565.02600000001</v>
      </c>
      <c r="R114" s="41">
        <v>3660001.148</v>
      </c>
    </row>
    <row r="115" spans="1:18" x14ac:dyDescent="0.25">
      <c r="A115" s="49">
        <v>408</v>
      </c>
      <c r="B115" s="48" t="s">
        <v>839</v>
      </c>
      <c r="C115" s="47">
        <v>50</v>
      </c>
      <c r="D115" s="46">
        <v>20</v>
      </c>
      <c r="E115" s="44">
        <v>22</v>
      </c>
      <c r="F115" s="44">
        <f>1.8*E115+32</f>
        <v>71.599999999999994</v>
      </c>
      <c r="G115" s="45">
        <v>23</v>
      </c>
      <c r="H115" s="44">
        <f>IF(F115&gt;68,G115+(F115-68)*0.2,Y146-(68-F115)*0.2)</f>
        <v>23.72</v>
      </c>
      <c r="I115" s="44">
        <v>21</v>
      </c>
      <c r="J115" s="44">
        <f>1.8*I115+32</f>
        <v>69.800000000000011</v>
      </c>
      <c r="K115" s="45">
        <v>11</v>
      </c>
      <c r="L115" s="44">
        <f>IF(J115&gt;68,K115+(J115-68)*0.2,K115-(68-J115)*0.2)</f>
        <v>11.360000000000003</v>
      </c>
      <c r="M115" s="43">
        <f>(C115-H115)/C115*100</f>
        <v>52.560000000000009</v>
      </c>
      <c r="N115" s="43">
        <f>100-(M115+O115)</f>
        <v>24.719999999999985</v>
      </c>
      <c r="O115" s="43">
        <f>L115/C115*100</f>
        <v>22.720000000000006</v>
      </c>
      <c r="P115" s="42" t="s">
        <v>2</v>
      </c>
      <c r="Q115" s="41">
        <v>407565.02600000001</v>
      </c>
      <c r="R115" s="41">
        <v>3660001.148</v>
      </c>
    </row>
    <row r="116" spans="1:18" x14ac:dyDescent="0.25">
      <c r="A116" s="61"/>
      <c r="B116" s="58"/>
      <c r="C116" s="58"/>
      <c r="D116" s="58"/>
      <c r="E116" s="58"/>
      <c r="F116" s="58"/>
      <c r="G116" s="60"/>
      <c r="H116" s="58"/>
      <c r="I116" s="58"/>
      <c r="J116" s="58"/>
      <c r="K116" s="60"/>
      <c r="L116" s="58"/>
      <c r="M116" s="59"/>
      <c r="N116" s="59"/>
      <c r="O116" s="59"/>
      <c r="P116" s="58"/>
      <c r="Q116" s="18"/>
      <c r="R116" s="18"/>
    </row>
    <row r="117" spans="1:18" x14ac:dyDescent="0.25">
      <c r="A117" s="57"/>
      <c r="B117" s="56"/>
      <c r="C117" s="55"/>
      <c r="D117" s="54"/>
      <c r="E117" s="52"/>
      <c r="F117" s="52"/>
      <c r="G117" s="53"/>
      <c r="H117" s="52"/>
      <c r="I117" s="52"/>
      <c r="J117" s="52"/>
      <c r="K117" s="53"/>
      <c r="L117" s="52"/>
      <c r="M117" s="51"/>
      <c r="N117" s="51"/>
      <c r="O117" s="51"/>
      <c r="P117" s="56"/>
      <c r="Q117" s="5" t="s">
        <v>4</v>
      </c>
      <c r="R117" s="5" t="s">
        <v>3</v>
      </c>
    </row>
    <row r="118" spans="1:18" x14ac:dyDescent="0.25">
      <c r="A118" s="49">
        <v>481</v>
      </c>
      <c r="B118" s="48" t="s">
        <v>845</v>
      </c>
      <c r="C118" s="47">
        <v>50</v>
      </c>
      <c r="D118" s="46">
        <v>20</v>
      </c>
      <c r="E118" s="44">
        <v>22</v>
      </c>
      <c r="F118" s="44">
        <f>1.8*E118+32</f>
        <v>71.599999999999994</v>
      </c>
      <c r="G118" s="45">
        <v>20</v>
      </c>
      <c r="H118" s="44">
        <f>IF(F118&gt;68,G118+(F118-68)*0.2,#REF!-(68-F118)*0.2)</f>
        <v>20.72</v>
      </c>
      <c r="I118" s="44">
        <v>22</v>
      </c>
      <c r="J118" s="44">
        <f>1.8*I118+32</f>
        <v>71.599999999999994</v>
      </c>
      <c r="K118" s="45">
        <v>11</v>
      </c>
      <c r="L118" s="44">
        <f>IF(J118&gt;68,K118+(J118-68)*0.2,K118-(68-J118)*0.2)</f>
        <v>11.719999999999999</v>
      </c>
      <c r="M118" s="43">
        <f>(C118-H118)/C118*100</f>
        <v>58.56</v>
      </c>
      <c r="N118" s="43">
        <f>100-(M118+O118)</f>
        <v>18</v>
      </c>
      <c r="O118" s="43">
        <f>L118/C118*100</f>
        <v>23.439999999999998</v>
      </c>
      <c r="P118" s="42" t="s">
        <v>2</v>
      </c>
      <c r="Q118" s="41">
        <v>407562.212</v>
      </c>
      <c r="R118" s="62">
        <v>3659985.49</v>
      </c>
    </row>
    <row r="119" spans="1:18" x14ac:dyDescent="0.25">
      <c r="A119" s="49">
        <v>481</v>
      </c>
      <c r="B119" s="48" t="s">
        <v>844</v>
      </c>
      <c r="C119" s="47">
        <v>50</v>
      </c>
      <c r="D119" s="46">
        <v>20</v>
      </c>
      <c r="E119" s="44">
        <v>22</v>
      </c>
      <c r="F119" s="44">
        <f>1.8*E119+32</f>
        <v>71.599999999999994</v>
      </c>
      <c r="G119" s="45">
        <v>19</v>
      </c>
      <c r="H119" s="44">
        <f>IF(F119&gt;68,G119+(F119-68)*0.2,Y150-(68-F119)*0.2)</f>
        <v>19.72</v>
      </c>
      <c r="I119" s="44">
        <v>22</v>
      </c>
      <c r="J119" s="44">
        <f>1.8*I119+32</f>
        <v>71.599999999999994</v>
      </c>
      <c r="K119" s="45">
        <v>10</v>
      </c>
      <c r="L119" s="44">
        <f>IF(J119&gt;68,K119+(J119-68)*0.2,K119-(68-J119)*0.2)</f>
        <v>10.719999999999999</v>
      </c>
      <c r="M119" s="43">
        <f>(C119-H119)/C119*100</f>
        <v>60.56</v>
      </c>
      <c r="N119" s="43">
        <f>100-(M119+O119)</f>
        <v>18</v>
      </c>
      <c r="O119" s="43">
        <f>L119/C119*100</f>
        <v>21.439999999999998</v>
      </c>
      <c r="P119" s="42" t="s">
        <v>2</v>
      </c>
      <c r="Q119" s="41">
        <v>407562.212</v>
      </c>
      <c r="R119" s="62">
        <v>3659985.49</v>
      </c>
    </row>
    <row r="120" spans="1:18" x14ac:dyDescent="0.25">
      <c r="A120" s="49">
        <v>481</v>
      </c>
      <c r="B120" s="48" t="s">
        <v>843</v>
      </c>
      <c r="C120" s="47">
        <v>50</v>
      </c>
      <c r="D120" s="46">
        <v>20</v>
      </c>
      <c r="E120" s="44">
        <v>22</v>
      </c>
      <c r="F120" s="44">
        <f>1.8*E120+32</f>
        <v>71.599999999999994</v>
      </c>
      <c r="G120" s="45">
        <v>12</v>
      </c>
      <c r="H120" s="44">
        <f>IF(F120&gt;68,G120+(F120-68)*0.2,Y151-(68-F120)*0.2)</f>
        <v>12.719999999999999</v>
      </c>
      <c r="I120" s="44">
        <v>22</v>
      </c>
      <c r="J120" s="44">
        <f>1.8*I120+32</f>
        <v>71.599999999999994</v>
      </c>
      <c r="K120" s="45">
        <v>6</v>
      </c>
      <c r="L120" s="44">
        <f>IF(J120&gt;68,K120+(J120-68)*0.2,K120-(68-J120)*0.2)</f>
        <v>6.7199999999999989</v>
      </c>
      <c r="M120" s="43">
        <f>(C120-H120)/C120*100</f>
        <v>74.56</v>
      </c>
      <c r="N120" s="43">
        <f>100-(M120+O120)</f>
        <v>12</v>
      </c>
      <c r="O120" s="43">
        <f>L120/C120*100</f>
        <v>13.439999999999996</v>
      </c>
      <c r="P120" s="42" t="s">
        <v>0</v>
      </c>
      <c r="Q120" s="41">
        <v>407562.212</v>
      </c>
      <c r="R120" s="62">
        <v>3659985.49</v>
      </c>
    </row>
    <row r="121" spans="1:18" x14ac:dyDescent="0.25">
      <c r="A121" s="49">
        <v>481</v>
      </c>
      <c r="B121" s="48" t="s">
        <v>842</v>
      </c>
      <c r="C121" s="47">
        <v>50</v>
      </c>
      <c r="D121" s="46">
        <v>20</v>
      </c>
      <c r="E121" s="44">
        <v>22</v>
      </c>
      <c r="F121" s="44">
        <f>1.8*E121+32</f>
        <v>71.599999999999994</v>
      </c>
      <c r="G121" s="45">
        <v>20</v>
      </c>
      <c r="H121" s="44">
        <f>IF(F121&gt;68,G121+(F121-68)*0.2,Y152-(68-F121)*0.2)</f>
        <v>20.72</v>
      </c>
      <c r="I121" s="44">
        <v>22</v>
      </c>
      <c r="J121" s="44">
        <f>1.8*I121+32</f>
        <v>71.599999999999994</v>
      </c>
      <c r="K121" s="45">
        <v>11</v>
      </c>
      <c r="L121" s="44">
        <f>IF(J121&gt;68,K121+(J121-68)*0.2,K121-(68-J121)*0.2)</f>
        <v>11.719999999999999</v>
      </c>
      <c r="M121" s="43">
        <f>(C121-H121)/C121*100</f>
        <v>58.56</v>
      </c>
      <c r="N121" s="43">
        <f>100-(M121+O121)</f>
        <v>18</v>
      </c>
      <c r="O121" s="43">
        <f>L121/C121*100</f>
        <v>23.439999999999998</v>
      </c>
      <c r="P121" s="42" t="s">
        <v>2</v>
      </c>
      <c r="Q121" s="41">
        <v>407562.212</v>
      </c>
      <c r="R121" s="62">
        <v>3659985.49</v>
      </c>
    </row>
    <row r="122" spans="1:18" x14ac:dyDescent="0.25">
      <c r="A122" s="49">
        <v>481</v>
      </c>
      <c r="B122" s="48" t="s">
        <v>841</v>
      </c>
      <c r="C122" s="47">
        <v>50</v>
      </c>
      <c r="D122" s="46">
        <v>20</v>
      </c>
      <c r="E122" s="44">
        <v>22</v>
      </c>
      <c r="F122" s="44">
        <f>1.8*E122+32</f>
        <v>71.599999999999994</v>
      </c>
      <c r="G122" s="45">
        <v>22</v>
      </c>
      <c r="H122" s="44">
        <f>IF(F122&gt;68,G122+(F122-68)*0.2,Y153-(68-F122)*0.2)</f>
        <v>22.72</v>
      </c>
      <c r="I122" s="44">
        <v>22</v>
      </c>
      <c r="J122" s="44">
        <f>1.8*I122+32</f>
        <v>71.599999999999994</v>
      </c>
      <c r="K122" s="45">
        <v>10</v>
      </c>
      <c r="L122" s="44">
        <f>IF(J122&gt;68,K122+(J122-68)*0.2,K122-(68-J122)*0.2)</f>
        <v>10.719999999999999</v>
      </c>
      <c r="M122" s="43">
        <f>(C122-H122)/C122*100</f>
        <v>54.559999999999995</v>
      </c>
      <c r="N122" s="43">
        <f>100-(M122+O122)</f>
        <v>24</v>
      </c>
      <c r="O122" s="43">
        <f>L122/C122*100</f>
        <v>21.439999999999998</v>
      </c>
      <c r="P122" s="42" t="s">
        <v>2</v>
      </c>
      <c r="Q122" s="41">
        <v>407562.212</v>
      </c>
      <c r="R122" s="62">
        <v>3659985.49</v>
      </c>
    </row>
    <row r="123" spans="1:18" x14ac:dyDescent="0.25">
      <c r="A123" s="49">
        <v>481</v>
      </c>
      <c r="B123" s="48" t="s">
        <v>839</v>
      </c>
      <c r="C123" s="47">
        <v>50</v>
      </c>
      <c r="D123" s="46">
        <v>20</v>
      </c>
      <c r="E123" s="44">
        <v>22</v>
      </c>
      <c r="F123" s="44">
        <f>1.8*E123+32</f>
        <v>71.599999999999994</v>
      </c>
      <c r="G123" s="45">
        <v>14</v>
      </c>
      <c r="H123" s="44">
        <f>IF(F123&gt;68,G123+(F123-68)*0.2,Y154-(68-F123)*0.2)</f>
        <v>14.719999999999999</v>
      </c>
      <c r="I123" s="44">
        <v>22</v>
      </c>
      <c r="J123" s="44">
        <f>1.8*I123+32</f>
        <v>71.599999999999994</v>
      </c>
      <c r="K123" s="45">
        <v>5</v>
      </c>
      <c r="L123" s="44">
        <f>IF(J123&gt;68,K123+(J123-68)*0.2,K123-(68-J123)*0.2)</f>
        <v>5.7199999999999989</v>
      </c>
      <c r="M123" s="43">
        <f>(C123-H123)/C123*100</f>
        <v>70.56</v>
      </c>
      <c r="N123" s="43">
        <f>100-(M123+O123)</f>
        <v>18</v>
      </c>
      <c r="O123" s="43">
        <f>L123/C123*100</f>
        <v>11.439999999999998</v>
      </c>
      <c r="P123" s="42" t="s">
        <v>0</v>
      </c>
      <c r="Q123" s="41">
        <v>407562.212</v>
      </c>
      <c r="R123" s="62">
        <v>3659985.49</v>
      </c>
    </row>
    <row r="124" spans="1:18" x14ac:dyDescent="0.25">
      <c r="A124" s="61"/>
      <c r="B124" s="58"/>
      <c r="C124" s="58"/>
      <c r="D124" s="58"/>
      <c r="E124" s="58"/>
      <c r="F124" s="58"/>
      <c r="G124" s="60"/>
      <c r="H124" s="58"/>
      <c r="I124" s="58"/>
      <c r="J124" s="58"/>
      <c r="K124" s="60"/>
      <c r="L124" s="58"/>
      <c r="M124" s="59"/>
      <c r="N124" s="59"/>
      <c r="O124" s="59"/>
      <c r="P124" s="58"/>
      <c r="Q124" s="18"/>
      <c r="R124" s="18"/>
    </row>
    <row r="125" spans="1:18" x14ac:dyDescent="0.25">
      <c r="A125" s="57"/>
      <c r="B125" s="56"/>
      <c r="C125" s="55"/>
      <c r="D125" s="54"/>
      <c r="E125" s="52"/>
      <c r="F125" s="52"/>
      <c r="G125" s="53"/>
      <c r="H125" s="52"/>
      <c r="I125" s="52"/>
      <c r="J125" s="52"/>
      <c r="K125" s="53"/>
      <c r="L125" s="52"/>
      <c r="M125" s="51"/>
      <c r="N125" s="51"/>
      <c r="O125" s="51"/>
      <c r="P125" s="56"/>
      <c r="Q125" s="5" t="s">
        <v>4</v>
      </c>
      <c r="R125" s="5" t="s">
        <v>3</v>
      </c>
    </row>
    <row r="126" spans="1:18" x14ac:dyDescent="0.25">
      <c r="A126" s="49">
        <v>517</v>
      </c>
      <c r="B126" s="48" t="s">
        <v>845</v>
      </c>
      <c r="C126" s="47">
        <v>50</v>
      </c>
      <c r="D126" s="46">
        <v>20</v>
      </c>
      <c r="E126" s="44">
        <v>22</v>
      </c>
      <c r="F126" s="44">
        <f>1.8*E126+32</f>
        <v>71.599999999999994</v>
      </c>
      <c r="G126" s="45">
        <v>15</v>
      </c>
      <c r="H126" s="44">
        <f>IF(F126&gt;68,G126+(F126-68)*0.2,#REF!-(68-F126)*0.2)</f>
        <v>15.719999999999999</v>
      </c>
      <c r="I126" s="44">
        <v>22</v>
      </c>
      <c r="J126" s="44">
        <f>1.8*I126+32</f>
        <v>71.599999999999994</v>
      </c>
      <c r="K126" s="45">
        <v>10</v>
      </c>
      <c r="L126" s="44">
        <f>IF(J126&gt;68,K126+(J126-68)*0.2,K126-(68-J126)*0.2)</f>
        <v>10.719999999999999</v>
      </c>
      <c r="M126" s="43">
        <f>(C126-H126)/C126*100</f>
        <v>68.56</v>
      </c>
      <c r="N126" s="43">
        <f>100-(M126+O126)</f>
        <v>10</v>
      </c>
      <c r="O126" s="43">
        <f>L126/C126*100</f>
        <v>21.439999999999998</v>
      </c>
      <c r="P126" s="42" t="s">
        <v>2</v>
      </c>
      <c r="Q126" s="41">
        <v>407557.68900000001</v>
      </c>
      <c r="R126" s="41">
        <v>3659946.071</v>
      </c>
    </row>
    <row r="127" spans="1:18" x14ac:dyDescent="0.25">
      <c r="A127" s="49">
        <v>517</v>
      </c>
      <c r="B127" s="48" t="s">
        <v>844</v>
      </c>
      <c r="C127" s="47">
        <v>50</v>
      </c>
      <c r="D127" s="46">
        <v>20</v>
      </c>
      <c r="E127" s="44">
        <v>22</v>
      </c>
      <c r="F127" s="44">
        <f>1.8*E127+32</f>
        <v>71.599999999999994</v>
      </c>
      <c r="G127" s="45">
        <v>19</v>
      </c>
      <c r="H127" s="44">
        <f>IF(F127&gt;68,G127+(F127-68)*0.2,Y158-(68-F127)*0.2)</f>
        <v>19.72</v>
      </c>
      <c r="I127" s="44">
        <v>22</v>
      </c>
      <c r="J127" s="44">
        <f>1.8*I127+32</f>
        <v>71.599999999999994</v>
      </c>
      <c r="K127" s="45">
        <v>10</v>
      </c>
      <c r="L127" s="44">
        <f>IF(J127&gt;68,K127+(J127-68)*0.2,K127-(68-J127)*0.2)</f>
        <v>10.719999999999999</v>
      </c>
      <c r="M127" s="43">
        <f>(C127-H127)/C127*100</f>
        <v>60.56</v>
      </c>
      <c r="N127" s="43">
        <f>100-(M127+O127)</f>
        <v>18</v>
      </c>
      <c r="O127" s="43">
        <f>L127/C127*100</f>
        <v>21.439999999999998</v>
      </c>
      <c r="P127" s="42" t="s">
        <v>2</v>
      </c>
      <c r="Q127" s="41">
        <v>407557.68900000001</v>
      </c>
      <c r="R127" s="41">
        <v>3659946.071</v>
      </c>
    </row>
    <row r="128" spans="1:18" x14ac:dyDescent="0.25">
      <c r="A128" s="49">
        <v>517</v>
      </c>
      <c r="B128" s="48" t="s">
        <v>843</v>
      </c>
      <c r="C128" s="47">
        <v>50</v>
      </c>
      <c r="D128" s="46">
        <v>20</v>
      </c>
      <c r="E128" s="44">
        <v>22</v>
      </c>
      <c r="F128" s="44">
        <f>1.8*E128+32</f>
        <v>71.599999999999994</v>
      </c>
      <c r="G128" s="45">
        <v>11</v>
      </c>
      <c r="H128" s="44">
        <f>IF(F128&gt;68,G128+(F128-68)*0.2,Y159-(68-F128)*0.2)</f>
        <v>11.719999999999999</v>
      </c>
      <c r="I128" s="44">
        <v>22</v>
      </c>
      <c r="J128" s="44">
        <f>1.8*I128+32</f>
        <v>71.599999999999994</v>
      </c>
      <c r="K128" s="45">
        <v>5</v>
      </c>
      <c r="L128" s="44">
        <f>IF(J128&gt;68,K128+(J128-68)*0.2,K128-(68-J128)*0.2)</f>
        <v>5.7199999999999989</v>
      </c>
      <c r="M128" s="43">
        <f>(C128-H128)/C128*100</f>
        <v>76.56</v>
      </c>
      <c r="N128" s="43">
        <f>100-(M128+O128)</f>
        <v>12</v>
      </c>
      <c r="O128" s="43">
        <f>L128/C128*100</f>
        <v>11.439999999999998</v>
      </c>
      <c r="P128" s="42" t="s">
        <v>0</v>
      </c>
      <c r="Q128" s="41">
        <v>407557.68900000001</v>
      </c>
      <c r="R128" s="41">
        <v>3659946.071</v>
      </c>
    </row>
    <row r="129" spans="1:18" x14ac:dyDescent="0.25">
      <c r="A129" s="49">
        <v>517</v>
      </c>
      <c r="B129" s="48" t="s">
        <v>842</v>
      </c>
      <c r="C129" s="47">
        <v>50</v>
      </c>
      <c r="D129" s="46">
        <v>20</v>
      </c>
      <c r="E129" s="44">
        <v>22</v>
      </c>
      <c r="F129" s="44">
        <f>1.8*E129+32</f>
        <v>71.599999999999994</v>
      </c>
      <c r="G129" s="45">
        <v>33</v>
      </c>
      <c r="H129" s="44">
        <f>IF(F129&gt;68,G129+(F129-68)*0.2,Y160-(68-F129)*0.2)</f>
        <v>33.72</v>
      </c>
      <c r="I129" s="44">
        <v>22</v>
      </c>
      <c r="J129" s="44">
        <f>1.8*I129+32</f>
        <v>71.599999999999994</v>
      </c>
      <c r="K129" s="45">
        <v>21</v>
      </c>
      <c r="L129" s="44">
        <f>IF(J129&gt;68,K129+(J129-68)*0.2,K129-(68-J129)*0.2)</f>
        <v>21.72</v>
      </c>
      <c r="M129" s="43">
        <f>(C129-H129)/C129*100</f>
        <v>32.56</v>
      </c>
      <c r="N129" s="43">
        <f>100-(M129+O129)</f>
        <v>24</v>
      </c>
      <c r="O129" s="43">
        <f>L129/C129*100</f>
        <v>43.44</v>
      </c>
      <c r="P129" s="42" t="s">
        <v>22</v>
      </c>
      <c r="Q129" s="41">
        <v>407557.68900000001</v>
      </c>
      <c r="R129" s="41">
        <v>3659946.071</v>
      </c>
    </row>
    <row r="130" spans="1:18" x14ac:dyDescent="0.25">
      <c r="A130" s="49">
        <v>517</v>
      </c>
      <c r="B130" s="48" t="s">
        <v>841</v>
      </c>
      <c r="C130" s="47">
        <v>50</v>
      </c>
      <c r="D130" s="46">
        <v>20</v>
      </c>
      <c r="E130" s="44">
        <v>22</v>
      </c>
      <c r="F130" s="44">
        <f>1.8*E130+32</f>
        <v>71.599999999999994</v>
      </c>
      <c r="G130" s="45">
        <v>29</v>
      </c>
      <c r="H130" s="44">
        <f>IF(F130&gt;68,G130+(F130-68)*0.2,Y161-(68-F130)*0.2)</f>
        <v>29.72</v>
      </c>
      <c r="I130" s="44">
        <v>22</v>
      </c>
      <c r="J130" s="44">
        <f>1.8*I130+32</f>
        <v>71.599999999999994</v>
      </c>
      <c r="K130" s="45">
        <v>17</v>
      </c>
      <c r="L130" s="44">
        <f>IF(J130&gt;68,K130+(J130-68)*0.2,K130-(68-J130)*0.2)</f>
        <v>17.72</v>
      </c>
      <c r="M130" s="43">
        <f>(C130-H130)/C130*100</f>
        <v>40.56</v>
      </c>
      <c r="N130" s="43">
        <f>100-(M130+O130)</f>
        <v>24</v>
      </c>
      <c r="O130" s="43">
        <f>L130/C130*100</f>
        <v>35.44</v>
      </c>
      <c r="P130" s="42" t="s">
        <v>22</v>
      </c>
      <c r="Q130" s="41">
        <v>407557.68900000001</v>
      </c>
      <c r="R130" s="41">
        <v>3659946.071</v>
      </c>
    </row>
    <row r="131" spans="1:18" x14ac:dyDescent="0.25">
      <c r="A131" s="49">
        <v>517</v>
      </c>
      <c r="B131" s="48" t="s">
        <v>839</v>
      </c>
      <c r="C131" s="47">
        <v>50</v>
      </c>
      <c r="D131" s="46">
        <v>20</v>
      </c>
      <c r="E131" s="44">
        <v>22</v>
      </c>
      <c r="F131" s="44">
        <f>1.8*E131+32</f>
        <v>71.599999999999994</v>
      </c>
      <c r="G131" s="45">
        <v>16</v>
      </c>
      <c r="H131" s="44">
        <f>IF(F131&gt;68,G131+(F131-68)*0.2,Y162-(68-F131)*0.2)</f>
        <v>16.72</v>
      </c>
      <c r="I131" s="44">
        <v>22</v>
      </c>
      <c r="J131" s="44">
        <f>1.8*I131+32</f>
        <v>71.599999999999994</v>
      </c>
      <c r="K131" s="45">
        <v>8</v>
      </c>
      <c r="L131" s="44">
        <f>IF(J131&gt;68,K131+(J131-68)*0.2,K131-(68-J131)*0.2)</f>
        <v>8.7199999999999989</v>
      </c>
      <c r="M131" s="43">
        <f>(C131-H131)/C131*100</f>
        <v>66.56</v>
      </c>
      <c r="N131" s="43">
        <f>100-(M131+O131)</f>
        <v>16</v>
      </c>
      <c r="O131" s="43">
        <f>L131/C131*100</f>
        <v>17.439999999999998</v>
      </c>
      <c r="P131" s="42" t="s">
        <v>0</v>
      </c>
      <c r="Q131" s="41">
        <v>407557.68900000001</v>
      </c>
      <c r="R131" s="41">
        <v>3659946.071</v>
      </c>
    </row>
    <row r="132" spans="1:18" x14ac:dyDescent="0.25">
      <c r="A132" s="61"/>
      <c r="B132" s="58"/>
      <c r="C132" s="58"/>
      <c r="D132" s="58"/>
      <c r="E132" s="58"/>
      <c r="F132" s="58"/>
      <c r="G132" s="60"/>
      <c r="H132" s="58"/>
      <c r="I132" s="58"/>
      <c r="J132" s="58"/>
      <c r="K132" s="60"/>
      <c r="L132" s="58"/>
      <c r="M132" s="59"/>
      <c r="N132" s="59"/>
      <c r="O132" s="59"/>
      <c r="P132" s="58"/>
      <c r="Q132" s="18"/>
      <c r="R132" s="18"/>
    </row>
    <row r="133" spans="1:18" x14ac:dyDescent="0.25">
      <c r="A133" s="57"/>
      <c r="B133" s="56"/>
      <c r="C133" s="55"/>
      <c r="D133" s="54"/>
      <c r="E133" s="52"/>
      <c r="F133" s="52"/>
      <c r="G133" s="53"/>
      <c r="H133" s="52"/>
      <c r="I133" s="52"/>
      <c r="J133" s="52"/>
      <c r="K133" s="53"/>
      <c r="L133" s="52"/>
      <c r="M133" s="51"/>
      <c r="N133" s="51"/>
      <c r="O133" s="51"/>
      <c r="P133" s="56"/>
      <c r="Q133" s="5" t="s">
        <v>4</v>
      </c>
      <c r="R133" s="5" t="s">
        <v>3</v>
      </c>
    </row>
    <row r="134" spans="1:18" x14ac:dyDescent="0.25">
      <c r="A134" s="49" t="s">
        <v>864</v>
      </c>
      <c r="B134" s="48" t="s">
        <v>845</v>
      </c>
      <c r="C134" s="47">
        <v>50</v>
      </c>
      <c r="D134" s="46">
        <v>20</v>
      </c>
      <c r="E134" s="44">
        <v>22</v>
      </c>
      <c r="F134" s="44">
        <f>1.8*E134+32</f>
        <v>71.599999999999994</v>
      </c>
      <c r="G134" s="45">
        <v>23</v>
      </c>
      <c r="H134" s="44">
        <f>IF(F134&gt;68,G134+(F134-68)*0.2,#REF!-(68-F134)*0.2)</f>
        <v>23.72</v>
      </c>
      <c r="I134" s="44">
        <v>22</v>
      </c>
      <c r="J134" s="44">
        <f>1.8*I134+32</f>
        <v>71.599999999999994</v>
      </c>
      <c r="K134" s="45">
        <v>10</v>
      </c>
      <c r="L134" s="44">
        <f>IF(J134&gt;68,K134+(J134-68)*0.2,K134-(68-J134)*0.2)</f>
        <v>10.719999999999999</v>
      </c>
      <c r="M134" s="43">
        <f>(C134-H134)/C134*100</f>
        <v>52.560000000000009</v>
      </c>
      <c r="N134" s="43">
        <f>100-(M134+O134)</f>
        <v>26</v>
      </c>
      <c r="O134" s="43">
        <f>L134/C134*100</f>
        <v>21.439999999999998</v>
      </c>
      <c r="P134" s="42" t="s">
        <v>2</v>
      </c>
      <c r="Q134" s="41">
        <v>407557.68900000001</v>
      </c>
      <c r="R134" s="41">
        <v>3659946.071</v>
      </c>
    </row>
    <row r="135" spans="1:18" x14ac:dyDescent="0.25">
      <c r="A135" s="49" t="s">
        <v>864</v>
      </c>
      <c r="B135" s="48" t="s">
        <v>844</v>
      </c>
      <c r="C135" s="47">
        <v>50</v>
      </c>
      <c r="D135" s="46">
        <v>20</v>
      </c>
      <c r="E135" s="44">
        <v>22</v>
      </c>
      <c r="F135" s="44">
        <f>1.8*E135+32</f>
        <v>71.599999999999994</v>
      </c>
      <c r="G135" s="45">
        <v>18</v>
      </c>
      <c r="H135" s="44">
        <f>IF(F135&gt;68,G135+(F135-68)*0.2,Y166-(68-F135)*0.2)</f>
        <v>18.72</v>
      </c>
      <c r="I135" s="44">
        <v>22</v>
      </c>
      <c r="J135" s="44">
        <f>1.8*I135+32</f>
        <v>71.599999999999994</v>
      </c>
      <c r="K135" s="45">
        <v>8</v>
      </c>
      <c r="L135" s="44">
        <f>IF(J135&gt;68,K135+(J135-68)*0.2,K135-(68-J135)*0.2)</f>
        <v>8.7199999999999989</v>
      </c>
      <c r="M135" s="43">
        <f>(C135-H135)/C135*100</f>
        <v>62.56</v>
      </c>
      <c r="N135" s="43">
        <f>100-(M135+O135)</f>
        <v>20</v>
      </c>
      <c r="O135" s="43">
        <f>L135/C135*100</f>
        <v>17.439999999999998</v>
      </c>
      <c r="P135" s="42" t="s">
        <v>0</v>
      </c>
      <c r="Q135" s="41">
        <v>407557.68900000001</v>
      </c>
      <c r="R135" s="41">
        <v>3659946.071</v>
      </c>
    </row>
    <row r="136" spans="1:18" x14ac:dyDescent="0.25">
      <c r="A136" s="49" t="s">
        <v>864</v>
      </c>
      <c r="B136" s="48" t="s">
        <v>843</v>
      </c>
      <c r="C136" s="47">
        <v>50</v>
      </c>
      <c r="D136" s="46">
        <v>20</v>
      </c>
      <c r="E136" s="44">
        <v>22</v>
      </c>
      <c r="F136" s="44">
        <f>1.8*E136+32</f>
        <v>71.599999999999994</v>
      </c>
      <c r="G136" s="45">
        <v>14</v>
      </c>
      <c r="H136" s="44">
        <f>IF(F136&gt;68,G136+(F136-68)*0.2,Y167-(68-F136)*0.2)</f>
        <v>14.719999999999999</v>
      </c>
      <c r="I136" s="44">
        <v>22</v>
      </c>
      <c r="J136" s="44">
        <f>1.8*I136+32</f>
        <v>71.599999999999994</v>
      </c>
      <c r="K136" s="45">
        <v>6</v>
      </c>
      <c r="L136" s="44">
        <f>IF(J136&gt;68,K136+(J136-68)*0.2,K136-(68-J136)*0.2)</f>
        <v>6.7199999999999989</v>
      </c>
      <c r="M136" s="43">
        <f>(C136-H136)/C136*100</f>
        <v>70.56</v>
      </c>
      <c r="N136" s="43">
        <f>100-(M136+O136)</f>
        <v>16</v>
      </c>
      <c r="O136" s="43">
        <f>L136/C136*100</f>
        <v>13.439999999999996</v>
      </c>
      <c r="P136" s="42" t="s">
        <v>0</v>
      </c>
      <c r="Q136" s="41">
        <v>407557.68900000001</v>
      </c>
      <c r="R136" s="41">
        <v>3659946.071</v>
      </c>
    </row>
    <row r="137" spans="1:18" x14ac:dyDescent="0.25">
      <c r="A137" s="49" t="s">
        <v>864</v>
      </c>
      <c r="B137" s="48" t="s">
        <v>842</v>
      </c>
      <c r="C137" s="47">
        <v>50</v>
      </c>
      <c r="D137" s="46">
        <v>20</v>
      </c>
      <c r="E137" s="44">
        <v>22</v>
      </c>
      <c r="F137" s="44">
        <f>1.8*E137+32</f>
        <v>71.599999999999994</v>
      </c>
      <c r="G137" s="45">
        <v>32</v>
      </c>
      <c r="H137" s="44">
        <f>IF(F137&gt;68,G137+(F137-68)*0.2,Y168-(68-F137)*0.2)</f>
        <v>32.72</v>
      </c>
      <c r="I137" s="44">
        <v>22</v>
      </c>
      <c r="J137" s="44">
        <f>1.8*I137+32</f>
        <v>71.599999999999994</v>
      </c>
      <c r="K137" s="45">
        <v>20</v>
      </c>
      <c r="L137" s="44">
        <f>IF(J137&gt;68,K137+(J137-68)*0.2,K137-(68-J137)*0.2)</f>
        <v>20.72</v>
      </c>
      <c r="M137" s="43">
        <f>(C137-H137)/C137*100</f>
        <v>34.56</v>
      </c>
      <c r="N137" s="43">
        <f>100-(M137+O137)</f>
        <v>24</v>
      </c>
      <c r="O137" s="43">
        <f>L137/C137*100</f>
        <v>41.44</v>
      </c>
      <c r="P137" s="42" t="s">
        <v>22</v>
      </c>
      <c r="Q137" s="41">
        <v>407557.68900000001</v>
      </c>
      <c r="R137" s="41">
        <v>3659946.071</v>
      </c>
    </row>
    <row r="138" spans="1:18" x14ac:dyDescent="0.25">
      <c r="A138" s="49" t="s">
        <v>864</v>
      </c>
      <c r="B138" s="48" t="s">
        <v>841</v>
      </c>
      <c r="C138" s="47">
        <v>50</v>
      </c>
      <c r="D138" s="46">
        <v>20</v>
      </c>
      <c r="E138" s="44">
        <v>22</v>
      </c>
      <c r="F138" s="44">
        <f>1.8*E138+32</f>
        <v>71.599999999999994</v>
      </c>
      <c r="G138" s="45">
        <v>32</v>
      </c>
      <c r="H138" s="44">
        <f>IF(F138&gt;68,G138+(F138-68)*0.2,Y169-(68-F138)*0.2)</f>
        <v>32.72</v>
      </c>
      <c r="I138" s="44">
        <v>22</v>
      </c>
      <c r="J138" s="44">
        <f>1.8*I138+32</f>
        <v>71.599999999999994</v>
      </c>
      <c r="K138" s="45">
        <v>16</v>
      </c>
      <c r="L138" s="44">
        <f>IF(J138&gt;68,K138+(J138-68)*0.2,K138-(68-J138)*0.2)</f>
        <v>16.72</v>
      </c>
      <c r="M138" s="43">
        <f>(C138-H138)/C138*100</f>
        <v>34.56</v>
      </c>
      <c r="N138" s="43">
        <f>100-(M138+O138)</f>
        <v>32</v>
      </c>
      <c r="O138" s="43">
        <f>L138/C138*100</f>
        <v>33.44</v>
      </c>
      <c r="P138" s="42" t="s">
        <v>22</v>
      </c>
      <c r="Q138" s="41">
        <v>407557.68900000001</v>
      </c>
      <c r="R138" s="41">
        <v>3659946.071</v>
      </c>
    </row>
    <row r="139" spans="1:18" x14ac:dyDescent="0.25">
      <c r="A139" s="49" t="s">
        <v>864</v>
      </c>
      <c r="B139" s="48" t="s">
        <v>839</v>
      </c>
      <c r="C139" s="47">
        <v>50</v>
      </c>
      <c r="D139" s="46">
        <v>20</v>
      </c>
      <c r="E139" s="44">
        <v>22</v>
      </c>
      <c r="F139" s="44">
        <f>1.8*E139+32</f>
        <v>71.599999999999994</v>
      </c>
      <c r="G139" s="45">
        <v>17</v>
      </c>
      <c r="H139" s="44">
        <f>IF(F139&gt;68,G139+(F139-68)*0.2,Y170-(68-F139)*0.2)</f>
        <v>17.72</v>
      </c>
      <c r="I139" s="44">
        <v>22</v>
      </c>
      <c r="J139" s="44">
        <f>1.8*I139+32</f>
        <v>71.599999999999994</v>
      </c>
      <c r="K139" s="45">
        <v>6</v>
      </c>
      <c r="L139" s="44">
        <f>IF(J139&gt;68,K139+(J139-68)*0.2,K139-(68-J139)*0.2)</f>
        <v>6.7199999999999989</v>
      </c>
      <c r="M139" s="43">
        <f>(C139-H139)/C139*100</f>
        <v>64.56</v>
      </c>
      <c r="N139" s="43">
        <f>100-(M139+O139)</f>
        <v>22</v>
      </c>
      <c r="O139" s="43">
        <f>L139/C139*100</f>
        <v>13.439999999999996</v>
      </c>
      <c r="P139" s="42" t="s">
        <v>0</v>
      </c>
      <c r="Q139" s="41">
        <v>407557.68900000001</v>
      </c>
      <c r="R139" s="41">
        <v>3659946.071</v>
      </c>
    </row>
    <row r="140" spans="1:18" x14ac:dyDescent="0.25">
      <c r="A140" s="61"/>
      <c r="B140" s="58"/>
      <c r="C140" s="58"/>
      <c r="D140" s="58"/>
      <c r="E140" s="58"/>
      <c r="F140" s="58"/>
      <c r="G140" s="60"/>
      <c r="H140" s="58"/>
      <c r="I140" s="58"/>
      <c r="J140" s="58"/>
      <c r="K140" s="60"/>
      <c r="L140" s="58"/>
      <c r="M140" s="59"/>
      <c r="N140" s="59"/>
      <c r="O140" s="59"/>
      <c r="P140" s="58"/>
      <c r="Q140" s="18"/>
      <c r="R140" s="18"/>
    </row>
    <row r="141" spans="1:18" x14ac:dyDescent="0.25">
      <c r="A141" s="57"/>
      <c r="B141" s="56"/>
      <c r="C141" s="55"/>
      <c r="D141" s="54"/>
      <c r="E141" s="52"/>
      <c r="F141" s="52"/>
      <c r="G141" s="53"/>
      <c r="H141" s="52"/>
      <c r="I141" s="52"/>
      <c r="J141" s="52"/>
      <c r="K141" s="53"/>
      <c r="L141" s="52"/>
      <c r="M141" s="51"/>
      <c r="N141" s="51"/>
      <c r="O141" s="51"/>
      <c r="P141" s="56"/>
      <c r="Q141" s="5" t="s">
        <v>4</v>
      </c>
      <c r="R141" s="5" t="s">
        <v>3</v>
      </c>
    </row>
    <row r="142" spans="1:18" x14ac:dyDescent="0.25">
      <c r="A142" s="49">
        <v>557</v>
      </c>
      <c r="B142" s="48" t="s">
        <v>845</v>
      </c>
      <c r="C142" s="47">
        <v>50</v>
      </c>
      <c r="D142" s="46">
        <v>20</v>
      </c>
      <c r="E142" s="44">
        <v>22</v>
      </c>
      <c r="F142" s="44">
        <f>1.8*E142+32</f>
        <v>71.599999999999994</v>
      </c>
      <c r="G142" s="45">
        <v>17</v>
      </c>
      <c r="H142" s="44">
        <f>IF(F142&gt;68,G142+(F142-68)*0.2,#REF!-(68-F142)*0.2)</f>
        <v>17.72</v>
      </c>
      <c r="I142" s="44">
        <v>22</v>
      </c>
      <c r="J142" s="44">
        <f>1.8*I142+32</f>
        <v>71.599999999999994</v>
      </c>
      <c r="K142" s="45">
        <v>9</v>
      </c>
      <c r="L142" s="44">
        <f>IF(J142&gt;68,K142+(J142-68)*0.2,K142-(68-J142)*0.2)</f>
        <v>9.7199999999999989</v>
      </c>
      <c r="M142" s="43">
        <f>(C142-H142)/C142*100</f>
        <v>64.56</v>
      </c>
      <c r="N142" s="43">
        <f>100-(M142+O142)</f>
        <v>16</v>
      </c>
      <c r="O142" s="43">
        <f>L142/C142*100</f>
        <v>19.439999999999998</v>
      </c>
      <c r="P142" s="42" t="s">
        <v>0</v>
      </c>
      <c r="Q142" s="41">
        <v>407554.59299999999</v>
      </c>
      <c r="R142" s="62">
        <v>3659900.53</v>
      </c>
    </row>
    <row r="143" spans="1:18" x14ac:dyDescent="0.25">
      <c r="A143" s="49">
        <v>557</v>
      </c>
      <c r="B143" s="48" t="s">
        <v>844</v>
      </c>
      <c r="C143" s="47">
        <v>50</v>
      </c>
      <c r="D143" s="46">
        <v>20</v>
      </c>
      <c r="E143" s="44">
        <v>22</v>
      </c>
      <c r="F143" s="44">
        <f>1.8*E143+32</f>
        <v>71.599999999999994</v>
      </c>
      <c r="G143" s="45">
        <v>22</v>
      </c>
      <c r="H143" s="44">
        <f>IF(F143&gt;68,G143+(F143-68)*0.2,Y174-(68-F143)*0.2)</f>
        <v>22.72</v>
      </c>
      <c r="I143" s="44">
        <v>22</v>
      </c>
      <c r="J143" s="44">
        <f>1.8*I143+32</f>
        <v>71.599999999999994</v>
      </c>
      <c r="K143" s="45">
        <v>10</v>
      </c>
      <c r="L143" s="44">
        <f>IF(J143&gt;68,K143+(J143-68)*0.2,K143-(68-J143)*0.2)</f>
        <v>10.719999999999999</v>
      </c>
      <c r="M143" s="43">
        <f>(C143-H143)/C143*100</f>
        <v>54.559999999999995</v>
      </c>
      <c r="N143" s="43">
        <f>100-(M143+O143)</f>
        <v>24</v>
      </c>
      <c r="O143" s="43">
        <f>L143/C143*100</f>
        <v>21.439999999999998</v>
      </c>
      <c r="P143" s="42" t="s">
        <v>2</v>
      </c>
      <c r="Q143" s="41">
        <v>407554.59299999999</v>
      </c>
      <c r="R143" s="62">
        <v>3659900.53</v>
      </c>
    </row>
    <row r="144" spans="1:18" x14ac:dyDescent="0.25">
      <c r="A144" s="49">
        <v>557</v>
      </c>
      <c r="B144" s="48" t="s">
        <v>843</v>
      </c>
      <c r="C144" s="47">
        <v>50</v>
      </c>
      <c r="D144" s="46">
        <v>20</v>
      </c>
      <c r="E144" s="44">
        <v>22</v>
      </c>
      <c r="F144" s="44">
        <f>1.8*E144+32</f>
        <v>71.599999999999994</v>
      </c>
      <c r="G144" s="45">
        <v>32</v>
      </c>
      <c r="H144" s="44">
        <f>IF(F144&gt;68,G144+(F144-68)*0.2,Y175-(68-F144)*0.2)</f>
        <v>32.72</v>
      </c>
      <c r="I144" s="44">
        <v>22</v>
      </c>
      <c r="J144" s="44">
        <f>1.8*I144+32</f>
        <v>71.599999999999994</v>
      </c>
      <c r="K144" s="45">
        <v>7</v>
      </c>
      <c r="L144" s="44">
        <f>IF(J144&gt;68,K144+(J144-68)*0.2,K144-(68-J144)*0.2)</f>
        <v>7.7199999999999989</v>
      </c>
      <c r="M144" s="43">
        <f>(C144-H144)/C144*100</f>
        <v>34.56</v>
      </c>
      <c r="N144" s="43">
        <f>100-(M144+O144)</f>
        <v>50</v>
      </c>
      <c r="O144" s="43">
        <f>L144/C144*100</f>
        <v>15.439999999999998</v>
      </c>
      <c r="P144" s="42" t="s">
        <v>847</v>
      </c>
      <c r="Q144" s="41">
        <v>407554.59299999999</v>
      </c>
      <c r="R144" s="62">
        <v>3659900.53</v>
      </c>
    </row>
    <row r="145" spans="1:18" x14ac:dyDescent="0.25">
      <c r="A145" s="49">
        <v>557</v>
      </c>
      <c r="B145" s="48" t="s">
        <v>842</v>
      </c>
      <c r="C145" s="47">
        <v>50</v>
      </c>
      <c r="D145" s="46">
        <v>20</v>
      </c>
      <c r="E145" s="44">
        <v>22</v>
      </c>
      <c r="F145" s="44">
        <f>1.8*E145+32</f>
        <v>71.599999999999994</v>
      </c>
      <c r="G145" s="45">
        <v>26</v>
      </c>
      <c r="H145" s="44">
        <f>IF(F145&gt;68,G145+(F145-68)*0.2,Y176-(68-F145)*0.2)</f>
        <v>26.72</v>
      </c>
      <c r="I145" s="44">
        <v>22</v>
      </c>
      <c r="J145" s="44">
        <f>1.8*I145+32</f>
        <v>71.599999999999994</v>
      </c>
      <c r="K145" s="45">
        <v>10</v>
      </c>
      <c r="L145" s="44">
        <f>IF(J145&gt;68,K145+(J145-68)*0.2,K145-(68-J145)*0.2)</f>
        <v>10.719999999999999</v>
      </c>
      <c r="M145" s="43">
        <f>(C145-H145)/C145*100</f>
        <v>46.56</v>
      </c>
      <c r="N145" s="43">
        <f>100-(M145+O145)</f>
        <v>32</v>
      </c>
      <c r="O145" s="43">
        <f>L145/C145*100</f>
        <v>21.439999999999998</v>
      </c>
      <c r="P145" s="42" t="s">
        <v>847</v>
      </c>
      <c r="Q145" s="41">
        <v>407554.59299999999</v>
      </c>
      <c r="R145" s="62">
        <v>3659900.53</v>
      </c>
    </row>
    <row r="146" spans="1:18" x14ac:dyDescent="0.25">
      <c r="A146" s="49">
        <v>557</v>
      </c>
      <c r="B146" s="48" t="s">
        <v>841</v>
      </c>
      <c r="C146" s="47">
        <v>50</v>
      </c>
      <c r="D146" s="46">
        <v>20</v>
      </c>
      <c r="E146" s="44">
        <v>22</v>
      </c>
      <c r="F146" s="44">
        <f>1.8*E146+32</f>
        <v>71.599999999999994</v>
      </c>
      <c r="G146" s="45">
        <v>20</v>
      </c>
      <c r="H146" s="44">
        <f>IF(F146&gt;68,G146+(F146-68)*0.2,Y177-(68-F146)*0.2)</f>
        <v>20.72</v>
      </c>
      <c r="I146" s="44">
        <v>22</v>
      </c>
      <c r="J146" s="44">
        <f>1.8*I146+32</f>
        <v>71.599999999999994</v>
      </c>
      <c r="K146" s="45">
        <v>10</v>
      </c>
      <c r="L146" s="44">
        <f>IF(J146&gt;68,K146+(J146-68)*0.2,K146-(68-J146)*0.2)</f>
        <v>10.719999999999999</v>
      </c>
      <c r="M146" s="43">
        <f>(C146-H146)/C146*100</f>
        <v>58.56</v>
      </c>
      <c r="N146" s="43">
        <f>100-(M146+O146)</f>
        <v>20</v>
      </c>
      <c r="O146" s="43">
        <f>L146/C146*100</f>
        <v>21.439999999999998</v>
      </c>
      <c r="P146" s="42" t="s">
        <v>2</v>
      </c>
      <c r="Q146" s="41">
        <v>407554.59299999999</v>
      </c>
      <c r="R146" s="62">
        <v>3659900.53</v>
      </c>
    </row>
    <row r="147" spans="1:18" x14ac:dyDescent="0.25">
      <c r="A147" s="49">
        <v>557</v>
      </c>
      <c r="B147" s="48" t="s">
        <v>839</v>
      </c>
      <c r="C147" s="47">
        <v>50</v>
      </c>
      <c r="D147" s="46">
        <v>20</v>
      </c>
      <c r="E147" s="44">
        <v>22</v>
      </c>
      <c r="F147" s="44">
        <f>1.8*E147+32</f>
        <v>71.599999999999994</v>
      </c>
      <c r="G147" s="45">
        <v>20</v>
      </c>
      <c r="H147" s="44">
        <f>IF(F147&gt;68,G147+(F147-68)*0.2,Y178-(68-F147)*0.2)</f>
        <v>20.72</v>
      </c>
      <c r="I147" s="44">
        <v>22</v>
      </c>
      <c r="J147" s="44">
        <f>1.8*I147+32</f>
        <v>71.599999999999994</v>
      </c>
      <c r="K147" s="45">
        <v>7</v>
      </c>
      <c r="L147" s="44">
        <f>IF(J147&gt;68,K147+(J147-68)*0.2,K147-(68-J147)*0.2)</f>
        <v>7.7199999999999989</v>
      </c>
      <c r="M147" s="43">
        <f>(C147-H147)/C147*100</f>
        <v>58.56</v>
      </c>
      <c r="N147" s="43">
        <f>100-(M147+O147)</f>
        <v>26</v>
      </c>
      <c r="O147" s="43">
        <f>L147/C147*100</f>
        <v>15.439999999999998</v>
      </c>
      <c r="P147" s="42" t="s">
        <v>0</v>
      </c>
      <c r="Q147" s="41">
        <v>407554.59299999999</v>
      </c>
      <c r="R147" s="62">
        <v>3659900.53</v>
      </c>
    </row>
    <row r="148" spans="1:18" x14ac:dyDescent="0.25">
      <c r="A148" s="61"/>
      <c r="B148" s="58"/>
      <c r="C148" s="58"/>
      <c r="D148" s="58"/>
      <c r="E148" s="58"/>
      <c r="F148" s="58"/>
      <c r="G148" s="60"/>
      <c r="H148" s="58"/>
      <c r="I148" s="58"/>
      <c r="J148" s="58"/>
      <c r="K148" s="60"/>
      <c r="L148" s="58"/>
      <c r="M148" s="59"/>
      <c r="N148" s="59"/>
      <c r="O148" s="59"/>
      <c r="P148" s="58"/>
      <c r="Q148" s="18"/>
      <c r="R148" s="18"/>
    </row>
    <row r="149" spans="1:18" x14ac:dyDescent="0.25">
      <c r="A149" s="57"/>
      <c r="B149" s="56"/>
      <c r="C149" s="55"/>
      <c r="D149" s="54"/>
      <c r="E149" s="52"/>
      <c r="F149" s="52"/>
      <c r="G149" s="53"/>
      <c r="H149" s="52"/>
      <c r="I149" s="52"/>
      <c r="J149" s="52"/>
      <c r="K149" s="53"/>
      <c r="L149" s="52"/>
      <c r="M149" s="51"/>
      <c r="N149" s="51"/>
      <c r="O149" s="51"/>
      <c r="P149" s="56"/>
      <c r="Q149" s="5" t="s">
        <v>4</v>
      </c>
      <c r="R149" s="5" t="s">
        <v>3</v>
      </c>
    </row>
    <row r="150" spans="1:18" x14ac:dyDescent="0.25">
      <c r="A150" s="49" t="s">
        <v>862</v>
      </c>
      <c r="B150" s="48" t="s">
        <v>845</v>
      </c>
      <c r="C150" s="47">
        <v>50</v>
      </c>
      <c r="D150" s="46">
        <v>20</v>
      </c>
      <c r="E150" s="44">
        <v>22</v>
      </c>
      <c r="F150" s="44">
        <f>1.8*E150+32</f>
        <v>71.599999999999994</v>
      </c>
      <c r="G150" s="45">
        <v>18</v>
      </c>
      <c r="H150" s="44">
        <f>IF(F150&gt;68,G150+(F150-68)*0.2,#REF!-(68-F150)*0.2)</f>
        <v>18.72</v>
      </c>
      <c r="I150" s="44">
        <v>22</v>
      </c>
      <c r="J150" s="44">
        <f>1.8*I150+32</f>
        <v>71.599999999999994</v>
      </c>
      <c r="K150" s="45">
        <v>7</v>
      </c>
      <c r="L150" s="44">
        <f>IF(J150&gt;68,K150+(J150-68)*0.2,K150-(68-J150)*0.2)</f>
        <v>7.7199999999999989</v>
      </c>
      <c r="M150" s="43">
        <f>(C150-H150)/C150*100</f>
        <v>62.56</v>
      </c>
      <c r="N150" s="43">
        <f>100-(M150+O150)</f>
        <v>22</v>
      </c>
      <c r="O150" s="43">
        <f>L150/C150*100</f>
        <v>15.439999999999998</v>
      </c>
      <c r="P150" s="42" t="s">
        <v>0</v>
      </c>
      <c r="Q150" s="41">
        <v>407554.59299999999</v>
      </c>
      <c r="R150" s="62">
        <v>3659900.53</v>
      </c>
    </row>
    <row r="151" spans="1:18" x14ac:dyDescent="0.25">
      <c r="A151" s="49" t="s">
        <v>862</v>
      </c>
      <c r="B151" s="48" t="s">
        <v>844</v>
      </c>
      <c r="C151" s="47">
        <v>50</v>
      </c>
      <c r="D151" s="46">
        <v>20</v>
      </c>
      <c r="E151" s="44">
        <v>22</v>
      </c>
      <c r="F151" s="44">
        <f>1.8*E151+32</f>
        <v>71.599999999999994</v>
      </c>
      <c r="G151" s="45">
        <v>40</v>
      </c>
      <c r="H151" s="44">
        <f>IF(F151&gt;68,G151+(F151-68)*0.2,Y182-(68-F151)*0.2)</f>
        <v>40.72</v>
      </c>
      <c r="I151" s="44">
        <v>22</v>
      </c>
      <c r="J151" s="44">
        <f>1.8*I151+32</f>
        <v>71.599999999999994</v>
      </c>
      <c r="K151" s="45">
        <v>12</v>
      </c>
      <c r="L151" s="44">
        <f>IF(J151&gt;68,K151+(J151-68)*0.2,K151-(68-J151)*0.2)</f>
        <v>12.719999999999999</v>
      </c>
      <c r="M151" s="43">
        <f>(C151-H151)/C151*100</f>
        <v>18.560000000000002</v>
      </c>
      <c r="N151" s="43">
        <f>100-(M151+O151)</f>
        <v>56</v>
      </c>
      <c r="O151" s="43">
        <f>L151/C151*100</f>
        <v>25.439999999999998</v>
      </c>
      <c r="P151" s="42" t="s">
        <v>863</v>
      </c>
      <c r="Q151" s="41">
        <v>407554.59299999999</v>
      </c>
      <c r="R151" s="62">
        <v>3659900.53</v>
      </c>
    </row>
    <row r="152" spans="1:18" x14ac:dyDescent="0.25">
      <c r="A152" s="49" t="s">
        <v>862</v>
      </c>
      <c r="B152" s="48" t="s">
        <v>843</v>
      </c>
      <c r="C152" s="47">
        <v>50</v>
      </c>
      <c r="D152" s="46">
        <v>20</v>
      </c>
      <c r="E152" s="44">
        <v>22</v>
      </c>
      <c r="F152" s="44">
        <f>1.8*E152+32</f>
        <v>71.599999999999994</v>
      </c>
      <c r="G152" s="45">
        <v>18</v>
      </c>
      <c r="H152" s="44">
        <f>IF(F152&gt;68,G152+(F152-68)*0.2,Y183-(68-F152)*0.2)</f>
        <v>18.72</v>
      </c>
      <c r="I152" s="44">
        <v>22</v>
      </c>
      <c r="J152" s="44">
        <f>1.8*I152+32</f>
        <v>71.599999999999994</v>
      </c>
      <c r="K152" s="45">
        <v>9</v>
      </c>
      <c r="L152" s="44">
        <f>IF(J152&gt;68,K152+(J152-68)*0.2,K152-(68-J152)*0.2)</f>
        <v>9.7199999999999989</v>
      </c>
      <c r="M152" s="43">
        <f>(C152-H152)/C152*100</f>
        <v>62.56</v>
      </c>
      <c r="N152" s="43">
        <f>100-(M152+O152)</f>
        <v>18</v>
      </c>
      <c r="O152" s="43">
        <f>L152/C152*100</f>
        <v>19.439999999999998</v>
      </c>
      <c r="P152" s="42" t="s">
        <v>0</v>
      </c>
      <c r="Q152" s="41">
        <v>407554.59299999999</v>
      </c>
      <c r="R152" s="62">
        <v>3659900.53</v>
      </c>
    </row>
    <row r="153" spans="1:18" x14ac:dyDescent="0.25">
      <c r="A153" s="49" t="s">
        <v>862</v>
      </c>
      <c r="B153" s="48" t="s">
        <v>842</v>
      </c>
      <c r="C153" s="47">
        <v>50</v>
      </c>
      <c r="D153" s="46">
        <v>20</v>
      </c>
      <c r="E153" s="44">
        <v>22</v>
      </c>
      <c r="F153" s="44">
        <f>1.8*E153+32</f>
        <v>71.599999999999994</v>
      </c>
      <c r="G153" s="45">
        <v>20</v>
      </c>
      <c r="H153" s="44">
        <f>IF(F153&gt;68,G153+(F153-68)*0.2,Y184-(68-F153)*0.2)</f>
        <v>20.72</v>
      </c>
      <c r="I153" s="44">
        <v>22</v>
      </c>
      <c r="J153" s="44">
        <f>1.8*I153+32</f>
        <v>71.599999999999994</v>
      </c>
      <c r="K153" s="45">
        <v>11</v>
      </c>
      <c r="L153" s="44">
        <f>IF(J153&gt;68,K153+(J153-68)*0.2,K153-(68-J153)*0.2)</f>
        <v>11.719999999999999</v>
      </c>
      <c r="M153" s="43">
        <f>(C153-H153)/C153*100</f>
        <v>58.56</v>
      </c>
      <c r="N153" s="43">
        <f>100-(M153+O153)</f>
        <v>18</v>
      </c>
      <c r="O153" s="43">
        <f>L153/C153*100</f>
        <v>23.439999999999998</v>
      </c>
      <c r="P153" s="42" t="s">
        <v>2</v>
      </c>
      <c r="Q153" s="41">
        <v>407554.59299999999</v>
      </c>
      <c r="R153" s="62">
        <v>3659900.53</v>
      </c>
    </row>
    <row r="154" spans="1:18" x14ac:dyDescent="0.25">
      <c r="A154" s="49" t="s">
        <v>862</v>
      </c>
      <c r="B154" s="48" t="s">
        <v>841</v>
      </c>
      <c r="C154" s="47">
        <v>50</v>
      </c>
      <c r="D154" s="46">
        <v>20</v>
      </c>
      <c r="E154" s="44">
        <v>22</v>
      </c>
      <c r="F154" s="44">
        <f>1.8*E154+32</f>
        <v>71.599999999999994</v>
      </c>
      <c r="G154" s="45">
        <v>16</v>
      </c>
      <c r="H154" s="44">
        <f>IF(F154&gt;68,G154+(F154-68)*0.2,Y185-(68-F154)*0.2)</f>
        <v>16.72</v>
      </c>
      <c r="I154" s="44">
        <v>22</v>
      </c>
      <c r="J154" s="44">
        <f>1.8*I154+32</f>
        <v>71.599999999999994</v>
      </c>
      <c r="K154" s="45">
        <v>8</v>
      </c>
      <c r="L154" s="44">
        <f>IF(J154&gt;68,K154+(J154-68)*0.2,K154-(68-J154)*0.2)</f>
        <v>8.7199999999999989</v>
      </c>
      <c r="M154" s="43">
        <f>(C154-H154)/C154*100</f>
        <v>66.56</v>
      </c>
      <c r="N154" s="43">
        <f>100-(M154+O154)</f>
        <v>16</v>
      </c>
      <c r="O154" s="43">
        <f>L154/C154*100</f>
        <v>17.439999999999998</v>
      </c>
      <c r="P154" s="42" t="s">
        <v>0</v>
      </c>
      <c r="Q154" s="41">
        <v>407554.59299999999</v>
      </c>
      <c r="R154" s="62">
        <v>3659900.53</v>
      </c>
    </row>
    <row r="155" spans="1:18" x14ac:dyDescent="0.25">
      <c r="A155" s="49" t="s">
        <v>862</v>
      </c>
      <c r="B155" s="48" t="s">
        <v>839</v>
      </c>
      <c r="C155" s="47">
        <v>50</v>
      </c>
      <c r="D155" s="46">
        <v>20</v>
      </c>
      <c r="E155" s="44">
        <v>22</v>
      </c>
      <c r="F155" s="44">
        <f>1.8*E155+32</f>
        <v>71.599999999999994</v>
      </c>
      <c r="G155" s="45">
        <v>20</v>
      </c>
      <c r="H155" s="44">
        <f>IF(F155&gt;68,G155+(F155-68)*0.2,Y186-(68-F155)*0.2)</f>
        <v>20.72</v>
      </c>
      <c r="I155" s="44">
        <v>22</v>
      </c>
      <c r="J155" s="44">
        <f>1.8*I155+32</f>
        <v>71.599999999999994</v>
      </c>
      <c r="K155" s="45">
        <v>8</v>
      </c>
      <c r="L155" s="44">
        <f>IF(J155&gt;68,K155+(J155-68)*0.2,K155-(68-J155)*0.2)</f>
        <v>8.7199999999999989</v>
      </c>
      <c r="M155" s="43">
        <f>(C155-H155)/C155*100</f>
        <v>58.56</v>
      </c>
      <c r="N155" s="43">
        <f>100-(M155+O155)</f>
        <v>24</v>
      </c>
      <c r="O155" s="43">
        <f>L155/C155*100</f>
        <v>17.439999999999998</v>
      </c>
      <c r="P155" s="42" t="s">
        <v>0</v>
      </c>
      <c r="Q155" s="41">
        <v>407554.59299999999</v>
      </c>
      <c r="R155" s="62">
        <v>3659900.53</v>
      </c>
    </row>
    <row r="156" spans="1:18" x14ac:dyDescent="0.25">
      <c r="A156" s="61"/>
      <c r="B156" s="58"/>
      <c r="C156" s="58"/>
      <c r="D156" s="58"/>
      <c r="E156" s="58"/>
      <c r="F156" s="58"/>
      <c r="G156" s="60"/>
      <c r="H156" s="58"/>
      <c r="I156" s="58"/>
      <c r="J156" s="58"/>
      <c r="K156" s="60"/>
      <c r="L156" s="58"/>
      <c r="M156" s="59"/>
      <c r="N156" s="59"/>
      <c r="O156" s="59"/>
      <c r="P156" s="58"/>
    </row>
    <row r="157" spans="1:18" x14ac:dyDescent="0.25">
      <c r="A157" s="57"/>
      <c r="B157" s="56"/>
      <c r="C157" s="55"/>
      <c r="D157" s="54"/>
      <c r="E157" s="52"/>
      <c r="F157" s="52"/>
      <c r="G157" s="53"/>
      <c r="H157" s="52"/>
      <c r="I157" s="52"/>
      <c r="J157" s="52"/>
      <c r="K157" s="53"/>
      <c r="L157" s="52"/>
      <c r="M157" s="51"/>
      <c r="N157" s="51"/>
      <c r="O157" s="51"/>
      <c r="P157" s="56"/>
      <c r="Q157" s="5" t="s">
        <v>4</v>
      </c>
      <c r="R157" s="5" t="s">
        <v>3</v>
      </c>
    </row>
    <row r="158" spans="1:18" x14ac:dyDescent="0.25">
      <c r="A158" s="49">
        <v>575</v>
      </c>
      <c r="B158" s="48" t="s">
        <v>845</v>
      </c>
      <c r="C158" s="47">
        <v>50</v>
      </c>
      <c r="D158" s="46">
        <v>20</v>
      </c>
      <c r="E158" s="44">
        <v>22</v>
      </c>
      <c r="F158" s="44">
        <f>1.8*E158+32</f>
        <v>71.599999999999994</v>
      </c>
      <c r="G158" s="45">
        <v>20</v>
      </c>
      <c r="H158" s="44">
        <f>IF(F158&gt;68,G158+(F158-68)*0.2,#REF!-(68-F158)*0.2)</f>
        <v>20.72</v>
      </c>
      <c r="I158" s="44">
        <v>22</v>
      </c>
      <c r="J158" s="44">
        <f>1.8*I158+32</f>
        <v>71.599999999999994</v>
      </c>
      <c r="K158" s="45">
        <v>11</v>
      </c>
      <c r="L158" s="44">
        <f>IF(J158&gt;68,K158+(J158-68)*0.2,K158-(68-J158)*0.2)</f>
        <v>11.719999999999999</v>
      </c>
      <c r="M158" s="43">
        <f>(C158-H158)/C158*100</f>
        <v>58.56</v>
      </c>
      <c r="N158" s="43">
        <f>100-(M158+O158)</f>
        <v>18</v>
      </c>
      <c r="O158" s="43">
        <f>L158/C158*100</f>
        <v>23.439999999999998</v>
      </c>
      <c r="P158" s="42" t="s">
        <v>2</v>
      </c>
      <c r="Q158" s="41">
        <v>407555.74699999997</v>
      </c>
      <c r="R158" s="41">
        <v>3659966.5389999999</v>
      </c>
    </row>
    <row r="159" spans="1:18" x14ac:dyDescent="0.25">
      <c r="A159" s="49">
        <v>575</v>
      </c>
      <c r="B159" s="48" t="s">
        <v>844</v>
      </c>
      <c r="C159" s="47">
        <v>50</v>
      </c>
      <c r="D159" s="46">
        <v>20</v>
      </c>
      <c r="E159" s="44">
        <v>22</v>
      </c>
      <c r="F159" s="44">
        <f>1.8*E159+32</f>
        <v>71.599999999999994</v>
      </c>
      <c r="G159" s="45">
        <v>17</v>
      </c>
      <c r="H159" s="44">
        <f>IF(F159&gt;68,G159+(F159-68)*0.2,Y190-(68-F159)*0.2)</f>
        <v>17.72</v>
      </c>
      <c r="I159" s="44">
        <v>22</v>
      </c>
      <c r="J159" s="44">
        <f>1.8*I159+32</f>
        <v>71.599999999999994</v>
      </c>
      <c r="K159" s="45">
        <v>11</v>
      </c>
      <c r="L159" s="44">
        <f>IF(J159&gt;68,K159+(J159-68)*0.2,K159-(68-J159)*0.2)</f>
        <v>11.719999999999999</v>
      </c>
      <c r="M159" s="43">
        <f>(C159-H159)/C159*100</f>
        <v>64.56</v>
      </c>
      <c r="N159" s="43">
        <f>100-(M159+O159)</f>
        <v>12</v>
      </c>
      <c r="O159" s="43">
        <f>L159/C159*100</f>
        <v>23.439999999999998</v>
      </c>
      <c r="P159" s="42" t="s">
        <v>2</v>
      </c>
      <c r="Q159" s="41">
        <v>407555.74699999997</v>
      </c>
      <c r="R159" s="41">
        <v>3659966.5389999999</v>
      </c>
    </row>
    <row r="160" spans="1:18" x14ac:dyDescent="0.25">
      <c r="A160" s="49">
        <v>575</v>
      </c>
      <c r="B160" s="48" t="s">
        <v>843</v>
      </c>
      <c r="C160" s="47">
        <v>50</v>
      </c>
      <c r="D160" s="46">
        <v>20</v>
      </c>
      <c r="E160" s="44">
        <v>22</v>
      </c>
      <c r="F160" s="44">
        <f>1.8*E160+32</f>
        <v>71.599999999999994</v>
      </c>
      <c r="G160" s="45">
        <v>12</v>
      </c>
      <c r="H160" s="44">
        <f>IF(F160&gt;68,G160+(F160-68)*0.2,Y191-(68-F160)*0.2)</f>
        <v>12.719999999999999</v>
      </c>
      <c r="I160" s="44">
        <v>12</v>
      </c>
      <c r="J160" s="44">
        <f>1.8*I160+32</f>
        <v>53.6</v>
      </c>
      <c r="K160" s="45">
        <v>6</v>
      </c>
      <c r="L160" s="44">
        <f>IF(J160&gt;68,K160+(J160-68)*0.2,K160-(68-J160)*0.2)</f>
        <v>3.12</v>
      </c>
      <c r="M160" s="43">
        <f>(C160-H160)/C160*100</f>
        <v>74.56</v>
      </c>
      <c r="N160" s="43">
        <f>100-(M160+O160)</f>
        <v>19.200000000000003</v>
      </c>
      <c r="O160" s="43">
        <f>L160/C160*100</f>
        <v>6.24</v>
      </c>
      <c r="P160" s="42" t="s">
        <v>0</v>
      </c>
      <c r="Q160" s="41">
        <v>407555.74699999997</v>
      </c>
      <c r="R160" s="41">
        <v>3659966.5389999999</v>
      </c>
    </row>
    <row r="161" spans="1:18" x14ac:dyDescent="0.25">
      <c r="A161" s="49">
        <v>575</v>
      </c>
      <c r="B161" s="48" t="s">
        <v>842</v>
      </c>
      <c r="C161" s="47">
        <v>50</v>
      </c>
      <c r="D161" s="46">
        <v>20</v>
      </c>
      <c r="E161" s="44">
        <v>22</v>
      </c>
      <c r="F161" s="44">
        <f>1.8*E161+32</f>
        <v>71.599999999999994</v>
      </c>
      <c r="G161" s="45">
        <v>26</v>
      </c>
      <c r="H161" s="44">
        <f>IF(F161&gt;68,G161+(F161-68)*0.2,Y192-(68-F161)*0.2)</f>
        <v>26.72</v>
      </c>
      <c r="I161" s="44">
        <v>23</v>
      </c>
      <c r="J161" s="44">
        <f>1.8*I161+32</f>
        <v>73.400000000000006</v>
      </c>
      <c r="K161" s="45">
        <v>13</v>
      </c>
      <c r="L161" s="44">
        <f>IF(J161&gt;68,K161+(J161-68)*0.2,K161-(68-J161)*0.2)</f>
        <v>14.080000000000002</v>
      </c>
      <c r="M161" s="43">
        <f>(C161-H161)/C161*100</f>
        <v>46.56</v>
      </c>
      <c r="N161" s="43">
        <f>100-(M161+O161)</f>
        <v>25.28</v>
      </c>
      <c r="O161" s="43">
        <f>L161/C161*100</f>
        <v>28.16</v>
      </c>
      <c r="P161" s="42" t="s">
        <v>2</v>
      </c>
      <c r="Q161" s="41">
        <v>407555.74699999997</v>
      </c>
      <c r="R161" s="41">
        <v>3659966.5389999999</v>
      </c>
    </row>
    <row r="162" spans="1:18" x14ac:dyDescent="0.25">
      <c r="A162" s="49">
        <v>575</v>
      </c>
      <c r="B162" s="48" t="s">
        <v>841</v>
      </c>
      <c r="C162" s="47">
        <v>50</v>
      </c>
      <c r="D162" s="46">
        <v>20</v>
      </c>
      <c r="E162" s="44">
        <v>22</v>
      </c>
      <c r="F162" s="44">
        <f>1.8*E162+32</f>
        <v>71.599999999999994</v>
      </c>
      <c r="G162" s="45">
        <v>33</v>
      </c>
      <c r="H162" s="44">
        <f>IF(F162&gt;68,G162+(F162-68)*0.2,Y193-(68-F162)*0.2)</f>
        <v>33.72</v>
      </c>
      <c r="I162" s="44">
        <v>23</v>
      </c>
      <c r="J162" s="44">
        <f>1.8*I162+32</f>
        <v>73.400000000000006</v>
      </c>
      <c r="K162" s="45">
        <v>13</v>
      </c>
      <c r="L162" s="44">
        <f>IF(J162&gt;68,K162+(J162-68)*0.2,K162-(68-J162)*0.2)</f>
        <v>14.080000000000002</v>
      </c>
      <c r="M162" s="43">
        <f>(C162-H162)/C162*100</f>
        <v>32.56</v>
      </c>
      <c r="N162" s="43">
        <f>100-(M162+O162)</f>
        <v>39.28</v>
      </c>
      <c r="O162" s="43">
        <f>L162/C162*100</f>
        <v>28.16</v>
      </c>
      <c r="P162" s="42" t="s">
        <v>22</v>
      </c>
      <c r="Q162" s="41">
        <v>407555.74699999997</v>
      </c>
      <c r="R162" s="41">
        <v>3659966.5389999999</v>
      </c>
    </row>
    <row r="163" spans="1:18" x14ac:dyDescent="0.25">
      <c r="A163" s="49">
        <v>575</v>
      </c>
      <c r="B163" s="48" t="s">
        <v>839</v>
      </c>
      <c r="C163" s="47">
        <v>50</v>
      </c>
      <c r="D163" s="46">
        <v>20</v>
      </c>
      <c r="E163" s="44">
        <v>22</v>
      </c>
      <c r="F163" s="44">
        <f>1.8*E163+32</f>
        <v>71.599999999999994</v>
      </c>
      <c r="G163" s="45">
        <v>20</v>
      </c>
      <c r="H163" s="44">
        <f>IF(F163&gt;68,G163+(F163-68)*0.2,Y194-(68-F163)*0.2)</f>
        <v>20.72</v>
      </c>
      <c r="I163" s="44">
        <v>23</v>
      </c>
      <c r="J163" s="44">
        <f>1.8*I163+32</f>
        <v>73.400000000000006</v>
      </c>
      <c r="K163" s="45">
        <v>10</v>
      </c>
      <c r="L163" s="44">
        <f>IF(J163&gt;68,K163+(J163-68)*0.2,K163-(68-J163)*0.2)</f>
        <v>11.080000000000002</v>
      </c>
      <c r="M163" s="43">
        <f>(C163-H163)/C163*100</f>
        <v>58.56</v>
      </c>
      <c r="N163" s="43">
        <f>100-(M163+O163)</f>
        <v>19.28</v>
      </c>
      <c r="O163" s="43">
        <f>L163/C163*100</f>
        <v>22.160000000000004</v>
      </c>
      <c r="P163" s="42" t="s">
        <v>2</v>
      </c>
      <c r="Q163" s="41">
        <v>407555.74699999997</v>
      </c>
      <c r="R163" s="41">
        <v>3659966.5389999999</v>
      </c>
    </row>
    <row r="164" spans="1:18" x14ac:dyDescent="0.25">
      <c r="A164" s="61"/>
      <c r="B164" s="58"/>
      <c r="C164" s="58"/>
      <c r="D164" s="58"/>
      <c r="E164" s="58"/>
      <c r="F164" s="58"/>
      <c r="G164" s="60"/>
      <c r="H164" s="58"/>
      <c r="I164" s="58"/>
      <c r="J164" s="58"/>
      <c r="K164" s="60"/>
      <c r="L164" s="58"/>
      <c r="M164" s="59"/>
      <c r="N164" s="59"/>
      <c r="O164" s="59"/>
      <c r="P164" s="58"/>
    </row>
    <row r="165" spans="1:18" x14ac:dyDescent="0.25">
      <c r="A165" s="57"/>
      <c r="B165" s="56"/>
      <c r="C165" s="55"/>
      <c r="D165" s="54"/>
      <c r="E165" s="52"/>
      <c r="F165" s="52"/>
      <c r="G165" s="53"/>
      <c r="H165" s="52"/>
      <c r="I165" s="52"/>
      <c r="J165" s="52"/>
      <c r="K165" s="53"/>
      <c r="L165" s="52"/>
      <c r="M165" s="51"/>
      <c r="N165" s="51"/>
      <c r="O165" s="51"/>
      <c r="P165" s="56"/>
      <c r="Q165" s="5" t="s">
        <v>4</v>
      </c>
      <c r="R165" s="5" t="s">
        <v>3</v>
      </c>
    </row>
    <row r="166" spans="1:18" x14ac:dyDescent="0.25">
      <c r="A166" s="49">
        <v>692</v>
      </c>
      <c r="B166" s="48" t="s">
        <v>845</v>
      </c>
      <c r="C166" s="47">
        <v>50</v>
      </c>
      <c r="D166" s="46">
        <v>20</v>
      </c>
      <c r="E166" s="44">
        <v>22</v>
      </c>
      <c r="F166" s="44">
        <f>1.8*E166+32</f>
        <v>71.599999999999994</v>
      </c>
      <c r="G166" s="45">
        <v>16</v>
      </c>
      <c r="H166" s="44">
        <f>IF(F166&gt;68,G166+(F166-68)*0.2,#REF!-(68-F166)*0.2)</f>
        <v>16.72</v>
      </c>
      <c r="I166" s="44">
        <v>23</v>
      </c>
      <c r="J166" s="44">
        <f>1.8*I166+32</f>
        <v>73.400000000000006</v>
      </c>
      <c r="K166" s="45">
        <v>7</v>
      </c>
      <c r="L166" s="44">
        <f>IF(J166&gt;68,K166+(J166-68)*0.2,K166-(68-J166)*0.2)</f>
        <v>8.0800000000000018</v>
      </c>
      <c r="M166" s="43">
        <f>(C166-H166)/C166*100</f>
        <v>66.56</v>
      </c>
      <c r="N166" s="43">
        <f>100-(M166+O166)</f>
        <v>17.28</v>
      </c>
      <c r="O166" s="43">
        <f>L166/C166*100</f>
        <v>16.160000000000004</v>
      </c>
      <c r="P166" s="42" t="s">
        <v>0</v>
      </c>
      <c r="Q166" s="41">
        <v>407537.39500000002</v>
      </c>
      <c r="R166" s="41">
        <v>3659872.2280000001</v>
      </c>
    </row>
    <row r="167" spans="1:18" x14ac:dyDescent="0.25">
      <c r="A167" s="49">
        <v>692</v>
      </c>
      <c r="B167" s="48" t="s">
        <v>844</v>
      </c>
      <c r="C167" s="47">
        <v>50</v>
      </c>
      <c r="D167" s="46">
        <v>20</v>
      </c>
      <c r="E167" s="44">
        <v>22</v>
      </c>
      <c r="F167" s="44">
        <f>1.8*E167+32</f>
        <v>71.599999999999994</v>
      </c>
      <c r="G167" s="45">
        <v>19</v>
      </c>
      <c r="H167" s="44">
        <f>IF(F167&gt;68,G167+(F167-68)*0.2,Y198-(68-F167)*0.2)</f>
        <v>19.72</v>
      </c>
      <c r="I167" s="44">
        <v>23</v>
      </c>
      <c r="J167" s="44">
        <f>1.8*I167+32</f>
        <v>73.400000000000006</v>
      </c>
      <c r="K167" s="45">
        <v>8</v>
      </c>
      <c r="L167" s="44">
        <f>IF(J167&gt;68,K167+(J167-68)*0.2,K167-(68-J167)*0.2)</f>
        <v>9.0800000000000018</v>
      </c>
      <c r="M167" s="43">
        <f>(C167-H167)/C167*100</f>
        <v>60.56</v>
      </c>
      <c r="N167" s="43">
        <f>100-(M167+O167)</f>
        <v>21.28</v>
      </c>
      <c r="O167" s="43">
        <f>L167/C167*100</f>
        <v>18.160000000000004</v>
      </c>
      <c r="P167" s="42" t="s">
        <v>2</v>
      </c>
      <c r="Q167" s="41">
        <v>407537.39500000002</v>
      </c>
      <c r="R167" s="41">
        <v>3659872.2280000001</v>
      </c>
    </row>
    <row r="168" spans="1:18" x14ac:dyDescent="0.25">
      <c r="A168" s="49">
        <v>692</v>
      </c>
      <c r="B168" s="48" t="s">
        <v>843</v>
      </c>
      <c r="C168" s="47">
        <v>50</v>
      </c>
      <c r="D168" s="46">
        <v>20</v>
      </c>
      <c r="E168" s="44">
        <v>22</v>
      </c>
      <c r="F168" s="44">
        <f>1.8*E168+32</f>
        <v>71.599999999999994</v>
      </c>
      <c r="G168" s="45">
        <v>22</v>
      </c>
      <c r="H168" s="44">
        <f>IF(F168&gt;68,G168+(F168-68)*0.2,Y199-(68-F168)*0.2)</f>
        <v>22.72</v>
      </c>
      <c r="I168" s="44">
        <v>23</v>
      </c>
      <c r="J168" s="44">
        <f>1.8*I168+32</f>
        <v>73.400000000000006</v>
      </c>
      <c r="K168" s="45">
        <v>11</v>
      </c>
      <c r="L168" s="44">
        <f>IF(J168&gt;68,K168+(J168-68)*0.2,K168-(68-J168)*0.2)</f>
        <v>12.080000000000002</v>
      </c>
      <c r="M168" s="43">
        <f>(C168-H168)/C168*100</f>
        <v>54.559999999999995</v>
      </c>
      <c r="N168" s="43">
        <f>100-(M168+O168)</f>
        <v>21.28</v>
      </c>
      <c r="O168" s="43">
        <f>L168/C168*100</f>
        <v>24.160000000000004</v>
      </c>
      <c r="P168" s="42" t="s">
        <v>2</v>
      </c>
      <c r="Q168" s="41">
        <v>407537.39500000002</v>
      </c>
      <c r="R168" s="41">
        <v>3659872.2280000001</v>
      </c>
    </row>
    <row r="169" spans="1:18" x14ac:dyDescent="0.25">
      <c r="A169" s="49">
        <v>692</v>
      </c>
      <c r="B169" s="48" t="s">
        <v>842</v>
      </c>
      <c r="C169" s="47">
        <v>50</v>
      </c>
      <c r="D169" s="46">
        <v>20</v>
      </c>
      <c r="E169" s="44">
        <v>22</v>
      </c>
      <c r="F169" s="44">
        <f>1.8*E169+32</f>
        <v>71.599999999999994</v>
      </c>
      <c r="G169" s="45">
        <v>21</v>
      </c>
      <c r="H169" s="44">
        <f>IF(F169&gt;68,G169+(F169-68)*0.2,Y200-(68-F169)*0.2)</f>
        <v>21.72</v>
      </c>
      <c r="I169" s="44">
        <v>23</v>
      </c>
      <c r="J169" s="44">
        <f>1.8*I169+32</f>
        <v>73.400000000000006</v>
      </c>
      <c r="K169" s="45">
        <v>11</v>
      </c>
      <c r="L169" s="44">
        <f>IF(J169&gt;68,K169+(J169-68)*0.2,K169-(68-J169)*0.2)</f>
        <v>12.080000000000002</v>
      </c>
      <c r="M169" s="43">
        <f>(C169-H169)/C169*100</f>
        <v>56.56</v>
      </c>
      <c r="N169" s="43">
        <f>100-(M169+O169)</f>
        <v>19.28</v>
      </c>
      <c r="O169" s="43">
        <f>L169/C169*100</f>
        <v>24.160000000000004</v>
      </c>
      <c r="P169" s="42" t="s">
        <v>2</v>
      </c>
      <c r="Q169" s="41">
        <v>407537.39500000002</v>
      </c>
      <c r="R169" s="41">
        <v>3659872.2280000001</v>
      </c>
    </row>
    <row r="170" spans="1:18" x14ac:dyDescent="0.25">
      <c r="A170" s="49">
        <v>692</v>
      </c>
      <c r="B170" s="48" t="s">
        <v>841</v>
      </c>
      <c r="C170" s="47">
        <v>50</v>
      </c>
      <c r="D170" s="46">
        <v>20</v>
      </c>
      <c r="E170" s="44">
        <v>23</v>
      </c>
      <c r="F170" s="44">
        <f>1.8*E170+32</f>
        <v>73.400000000000006</v>
      </c>
      <c r="G170" s="45">
        <v>15</v>
      </c>
      <c r="H170" s="44">
        <f>IF(F170&gt;68,G170+(F170-68)*0.2,Y201-(68-F170)*0.2)</f>
        <v>16.080000000000002</v>
      </c>
      <c r="I170" s="44">
        <v>23</v>
      </c>
      <c r="J170" s="44">
        <f>1.8*I170+32</f>
        <v>73.400000000000006</v>
      </c>
      <c r="K170" s="45">
        <v>7</v>
      </c>
      <c r="L170" s="44">
        <f>IF(J170&gt;68,K170+(J170-68)*0.2,K170-(68-J170)*0.2)</f>
        <v>8.0800000000000018</v>
      </c>
      <c r="M170" s="43">
        <f>(C170-H170)/C170*100</f>
        <v>67.84</v>
      </c>
      <c r="N170" s="43">
        <f>100-(M170+O170)</f>
        <v>16</v>
      </c>
      <c r="O170" s="43">
        <f>L170/C170*100</f>
        <v>16.160000000000004</v>
      </c>
      <c r="P170" s="42" t="s">
        <v>0</v>
      </c>
      <c r="Q170" s="41">
        <v>407537.39500000002</v>
      </c>
      <c r="R170" s="41">
        <v>3659872.2280000001</v>
      </c>
    </row>
    <row r="171" spans="1:18" x14ac:dyDescent="0.25">
      <c r="A171" s="49">
        <v>692</v>
      </c>
      <c r="B171" s="48" t="s">
        <v>839</v>
      </c>
      <c r="C171" s="47">
        <v>50</v>
      </c>
      <c r="D171" s="46">
        <v>20</v>
      </c>
      <c r="E171" s="44">
        <v>23</v>
      </c>
      <c r="F171" s="44">
        <f>1.8*E171+32</f>
        <v>73.400000000000006</v>
      </c>
      <c r="G171" s="45">
        <v>16</v>
      </c>
      <c r="H171" s="44">
        <f>IF(F171&gt;68,G171+(F171-68)*0.2,Y202-(68-F171)*0.2)</f>
        <v>17.080000000000002</v>
      </c>
      <c r="I171" s="44">
        <v>23</v>
      </c>
      <c r="J171" s="44">
        <f>1.8*I171+32</f>
        <v>73.400000000000006</v>
      </c>
      <c r="K171" s="45">
        <v>5</v>
      </c>
      <c r="L171" s="44">
        <f>IF(J171&gt;68,K171+(J171-68)*0.2,K171-(68-J171)*0.2)</f>
        <v>6.080000000000001</v>
      </c>
      <c r="M171" s="43">
        <f>(C171-H171)/C171*100</f>
        <v>65.84</v>
      </c>
      <c r="N171" s="43">
        <f>100-(M171+O171)</f>
        <v>22</v>
      </c>
      <c r="O171" s="43">
        <f>L171/C171*100</f>
        <v>12.160000000000002</v>
      </c>
      <c r="P171" s="42" t="s">
        <v>0</v>
      </c>
      <c r="Q171" s="41">
        <v>407537.39500000002</v>
      </c>
      <c r="R171" s="41">
        <v>3659872.2280000001</v>
      </c>
    </row>
    <row r="172" spans="1:18" x14ac:dyDescent="0.25">
      <c r="A172" s="61"/>
      <c r="B172" s="58"/>
      <c r="C172" s="58"/>
      <c r="D172" s="58"/>
      <c r="E172" s="58"/>
      <c r="F172" s="58"/>
      <c r="G172" s="60"/>
      <c r="H172" s="58"/>
      <c r="I172" s="58"/>
      <c r="J172" s="58"/>
      <c r="K172" s="60"/>
      <c r="L172" s="58"/>
      <c r="M172" s="59"/>
      <c r="N172" s="59"/>
      <c r="O172" s="59"/>
      <c r="P172" s="58"/>
    </row>
    <row r="173" spans="1:18" x14ac:dyDescent="0.25">
      <c r="A173" s="57"/>
      <c r="B173" s="56"/>
      <c r="C173" s="55"/>
      <c r="D173" s="54"/>
      <c r="E173" s="52"/>
      <c r="F173" s="52"/>
      <c r="G173" s="53"/>
      <c r="H173" s="52"/>
      <c r="I173" s="52"/>
      <c r="J173" s="52"/>
      <c r="K173" s="53"/>
      <c r="L173" s="52"/>
      <c r="M173" s="51"/>
      <c r="N173" s="51"/>
      <c r="O173" s="51"/>
      <c r="P173" s="56"/>
      <c r="Q173" s="5" t="s">
        <v>4</v>
      </c>
      <c r="R173" s="5" t="s">
        <v>3</v>
      </c>
    </row>
    <row r="174" spans="1:18" x14ac:dyDescent="0.25">
      <c r="A174" s="49" t="s">
        <v>861</v>
      </c>
      <c r="B174" s="48" t="s">
        <v>845</v>
      </c>
      <c r="C174" s="47">
        <v>50</v>
      </c>
      <c r="D174" s="46">
        <v>20</v>
      </c>
      <c r="E174" s="44">
        <v>23</v>
      </c>
      <c r="F174" s="44">
        <f>1.8*E174+32</f>
        <v>73.400000000000006</v>
      </c>
      <c r="G174" s="45">
        <v>18</v>
      </c>
      <c r="H174" s="44">
        <f>IF(F174&gt;68,G174+(F174-68)*0.2,#REF!-(68-F174)*0.2)</f>
        <v>19.080000000000002</v>
      </c>
      <c r="I174" s="44">
        <v>23</v>
      </c>
      <c r="J174" s="44">
        <f>1.8*I174+32</f>
        <v>73.400000000000006</v>
      </c>
      <c r="K174" s="45">
        <v>8</v>
      </c>
      <c r="L174" s="44">
        <f>IF(J174&gt;68,K174+(J174-68)*0.2,K174-(68-J174)*0.2)</f>
        <v>9.0800000000000018</v>
      </c>
      <c r="M174" s="43">
        <f>(C174-H174)/C174*100</f>
        <v>61.839999999999996</v>
      </c>
      <c r="N174" s="43">
        <f>100-(M174+O174)</f>
        <v>20</v>
      </c>
      <c r="O174" s="43">
        <f>L174/C174*100</f>
        <v>18.160000000000004</v>
      </c>
      <c r="P174" s="42" t="s">
        <v>0</v>
      </c>
      <c r="Q174" s="41">
        <v>407537.39500000002</v>
      </c>
      <c r="R174" s="41">
        <v>3659872.2280000001</v>
      </c>
    </row>
    <row r="175" spans="1:18" x14ac:dyDescent="0.25">
      <c r="A175" s="49" t="s">
        <v>861</v>
      </c>
      <c r="B175" s="48" t="s">
        <v>844</v>
      </c>
      <c r="C175" s="47">
        <v>50</v>
      </c>
      <c r="D175" s="46">
        <v>20</v>
      </c>
      <c r="E175" s="44">
        <v>23</v>
      </c>
      <c r="F175" s="44">
        <f>1.8*E175+32</f>
        <v>73.400000000000006</v>
      </c>
      <c r="G175" s="45">
        <v>27</v>
      </c>
      <c r="H175" s="44">
        <f>IF(F175&gt;68,G175+(F175-68)*0.2,Y206-(68-F175)*0.2)</f>
        <v>28.080000000000002</v>
      </c>
      <c r="I175" s="44">
        <v>23</v>
      </c>
      <c r="J175" s="44">
        <f>1.8*I175+32</f>
        <v>73.400000000000006</v>
      </c>
      <c r="K175" s="45">
        <v>11</v>
      </c>
      <c r="L175" s="44">
        <f>IF(J175&gt;68,K175+(J175-68)*0.2,K175-(68-J175)*0.2)</f>
        <v>12.080000000000002</v>
      </c>
      <c r="M175" s="43">
        <f>(C175-H175)/C175*100</f>
        <v>43.839999999999996</v>
      </c>
      <c r="N175" s="43">
        <f>100-(M175+O175)</f>
        <v>32</v>
      </c>
      <c r="O175" s="43">
        <f>L175/C175*100</f>
        <v>24.160000000000004</v>
      </c>
      <c r="P175" s="42" t="s">
        <v>847</v>
      </c>
      <c r="Q175" s="41">
        <v>407537.39500000002</v>
      </c>
      <c r="R175" s="41">
        <v>3659872.2280000001</v>
      </c>
    </row>
    <row r="176" spans="1:18" x14ac:dyDescent="0.25">
      <c r="A176" s="49" t="s">
        <v>861</v>
      </c>
      <c r="B176" s="48" t="s">
        <v>843</v>
      </c>
      <c r="C176" s="47">
        <v>50</v>
      </c>
      <c r="D176" s="46">
        <v>20</v>
      </c>
      <c r="E176" s="44">
        <v>23</v>
      </c>
      <c r="F176" s="44">
        <f>1.8*E176+32</f>
        <v>73.400000000000006</v>
      </c>
      <c r="G176" s="45">
        <v>26</v>
      </c>
      <c r="H176" s="44">
        <f>IF(F176&gt;68,G176+(F176-68)*0.2,Y207-(68-F176)*0.2)</f>
        <v>27.080000000000002</v>
      </c>
      <c r="I176" s="44">
        <v>23</v>
      </c>
      <c r="J176" s="44">
        <f>1.8*I176+32</f>
        <v>73.400000000000006</v>
      </c>
      <c r="K176" s="45">
        <v>10</v>
      </c>
      <c r="L176" s="44">
        <f>IF(J176&gt;68,K176+(J176-68)*0.2,K176-(68-J176)*0.2)</f>
        <v>11.080000000000002</v>
      </c>
      <c r="M176" s="43">
        <f>(C176-H176)/C176*100</f>
        <v>45.839999999999996</v>
      </c>
      <c r="N176" s="43">
        <f>100-(M176+O176)</f>
        <v>32</v>
      </c>
      <c r="O176" s="43">
        <f>L176/C176*100</f>
        <v>22.160000000000004</v>
      </c>
      <c r="P176" s="42" t="s">
        <v>847</v>
      </c>
      <c r="Q176" s="41">
        <v>407537.39500000002</v>
      </c>
      <c r="R176" s="41">
        <v>3659872.2280000001</v>
      </c>
    </row>
    <row r="177" spans="1:18" x14ac:dyDescent="0.25">
      <c r="A177" s="49" t="s">
        <v>861</v>
      </c>
      <c r="B177" s="48" t="s">
        <v>842</v>
      </c>
      <c r="C177" s="47">
        <v>50</v>
      </c>
      <c r="D177" s="46">
        <v>20</v>
      </c>
      <c r="E177" s="44">
        <v>23</v>
      </c>
      <c r="F177" s="44">
        <f>1.8*E177+32</f>
        <v>73.400000000000006</v>
      </c>
      <c r="G177" s="45">
        <v>21</v>
      </c>
      <c r="H177" s="44">
        <f>IF(F177&gt;68,G177+(F177-68)*0.2,Y208-(68-F177)*0.2)</f>
        <v>22.080000000000002</v>
      </c>
      <c r="I177" s="44">
        <v>23</v>
      </c>
      <c r="J177" s="44">
        <f>1.8*I177+32</f>
        <v>73.400000000000006</v>
      </c>
      <c r="K177" s="45">
        <v>10</v>
      </c>
      <c r="L177" s="44">
        <f>IF(J177&gt;68,K177+(J177-68)*0.2,K177-(68-J177)*0.2)</f>
        <v>11.080000000000002</v>
      </c>
      <c r="M177" s="43">
        <f>(C177-H177)/C177*100</f>
        <v>55.84</v>
      </c>
      <c r="N177" s="43">
        <f>100-(M177+O177)</f>
        <v>22</v>
      </c>
      <c r="O177" s="43">
        <f>L177/C177*100</f>
        <v>22.160000000000004</v>
      </c>
      <c r="P177" s="42" t="s">
        <v>2</v>
      </c>
      <c r="Q177" s="41">
        <v>407537.39500000002</v>
      </c>
      <c r="R177" s="41">
        <v>3659872.2280000001</v>
      </c>
    </row>
    <row r="178" spans="1:18" x14ac:dyDescent="0.25">
      <c r="A178" s="49" t="s">
        <v>861</v>
      </c>
      <c r="B178" s="48" t="s">
        <v>841</v>
      </c>
      <c r="C178" s="47">
        <v>50</v>
      </c>
      <c r="D178" s="46">
        <v>20</v>
      </c>
      <c r="E178" s="44">
        <v>23</v>
      </c>
      <c r="F178" s="44">
        <f>1.8*E178+32</f>
        <v>73.400000000000006</v>
      </c>
      <c r="G178" s="45">
        <v>19</v>
      </c>
      <c r="H178" s="44">
        <f>IF(F178&gt;68,G178+(F178-68)*0.2,Y209-(68-F178)*0.2)</f>
        <v>20.080000000000002</v>
      </c>
      <c r="I178" s="44">
        <v>23</v>
      </c>
      <c r="J178" s="44">
        <f>1.8*I178+32</f>
        <v>73.400000000000006</v>
      </c>
      <c r="K178" s="45">
        <v>10</v>
      </c>
      <c r="L178" s="44">
        <f>IF(J178&gt;68,K178+(J178-68)*0.2,K178-(68-J178)*0.2)</f>
        <v>11.080000000000002</v>
      </c>
      <c r="M178" s="43">
        <f>(C178-H178)/C178*100</f>
        <v>59.839999999999996</v>
      </c>
      <c r="N178" s="43">
        <f>100-(M178+O178)</f>
        <v>18</v>
      </c>
      <c r="O178" s="43">
        <f>L178/C178*100</f>
        <v>22.160000000000004</v>
      </c>
      <c r="P178" s="42" t="s">
        <v>2</v>
      </c>
      <c r="Q178" s="41">
        <v>407537.39500000002</v>
      </c>
      <c r="R178" s="41">
        <v>3659872.2280000001</v>
      </c>
    </row>
    <row r="179" spans="1:18" x14ac:dyDescent="0.25">
      <c r="A179" s="49" t="s">
        <v>861</v>
      </c>
      <c r="B179" s="48" t="s">
        <v>839</v>
      </c>
      <c r="C179" s="47">
        <v>50</v>
      </c>
      <c r="D179" s="46">
        <v>20</v>
      </c>
      <c r="E179" s="44">
        <v>23</v>
      </c>
      <c r="F179" s="44">
        <f>1.8*E179+32</f>
        <v>73.400000000000006</v>
      </c>
      <c r="G179" s="45">
        <v>19</v>
      </c>
      <c r="H179" s="44">
        <f>IF(F179&gt;68,G179+(F179-68)*0.2,Y210-(68-F179)*0.2)</f>
        <v>20.080000000000002</v>
      </c>
      <c r="I179" s="44">
        <v>23</v>
      </c>
      <c r="J179" s="44">
        <f>1.8*I179+32</f>
        <v>73.400000000000006</v>
      </c>
      <c r="K179" s="45">
        <v>8</v>
      </c>
      <c r="L179" s="44">
        <f>IF(J179&gt;68,K179+(J179-68)*0.2,K179-(68-J179)*0.2)</f>
        <v>9.0800000000000018</v>
      </c>
      <c r="M179" s="43">
        <f>(C179-H179)/C179*100</f>
        <v>59.839999999999996</v>
      </c>
      <c r="N179" s="43">
        <f>100-(M179+O179)</f>
        <v>22</v>
      </c>
      <c r="O179" s="43">
        <f>L179/C179*100</f>
        <v>18.160000000000004</v>
      </c>
      <c r="P179" s="42" t="s">
        <v>0</v>
      </c>
      <c r="Q179" s="41">
        <v>407537.39500000002</v>
      </c>
      <c r="R179" s="41">
        <v>3659872.2280000001</v>
      </c>
    </row>
    <row r="180" spans="1:18" x14ac:dyDescent="0.25">
      <c r="A180" s="61"/>
      <c r="B180" s="58"/>
      <c r="C180" s="58"/>
      <c r="D180" s="58"/>
      <c r="E180" s="58"/>
      <c r="F180" s="58"/>
      <c r="G180" s="60"/>
      <c r="H180" s="58"/>
      <c r="I180" s="58"/>
      <c r="J180" s="58"/>
      <c r="K180" s="60"/>
      <c r="L180" s="58"/>
      <c r="M180" s="59"/>
      <c r="N180" s="59"/>
      <c r="O180" s="59"/>
      <c r="P180" s="58"/>
    </row>
    <row r="181" spans="1:18" x14ac:dyDescent="0.25">
      <c r="A181" s="57"/>
      <c r="B181" s="56"/>
      <c r="C181" s="55"/>
      <c r="D181" s="54"/>
      <c r="E181" s="52"/>
      <c r="F181" s="52"/>
      <c r="G181" s="53"/>
      <c r="H181" s="52"/>
      <c r="I181" s="52"/>
      <c r="J181" s="52"/>
      <c r="K181" s="53"/>
      <c r="L181" s="52"/>
      <c r="M181" s="51"/>
      <c r="N181" s="51"/>
      <c r="O181" s="51"/>
      <c r="P181" s="56"/>
      <c r="Q181" s="5" t="s">
        <v>4</v>
      </c>
      <c r="R181" s="5" t="s">
        <v>3</v>
      </c>
    </row>
    <row r="182" spans="1:18" x14ac:dyDescent="0.25">
      <c r="A182" s="49">
        <v>699</v>
      </c>
      <c r="B182" s="48" t="s">
        <v>845</v>
      </c>
      <c r="C182" s="47">
        <v>50</v>
      </c>
      <c r="D182" s="46">
        <v>20</v>
      </c>
      <c r="E182" s="44">
        <v>21</v>
      </c>
      <c r="F182" s="44">
        <f>1.8*E182+32</f>
        <v>69.800000000000011</v>
      </c>
      <c r="G182" s="45">
        <v>19</v>
      </c>
      <c r="H182" s="44">
        <f>IF(F182&gt;68,G182+(F182-68)*0.2,#REF!-(68-F182)*0.2)</f>
        <v>19.360000000000003</v>
      </c>
      <c r="I182" s="44">
        <v>23</v>
      </c>
      <c r="J182" s="44">
        <f>1.8*I182+32</f>
        <v>73.400000000000006</v>
      </c>
      <c r="K182" s="45">
        <v>8</v>
      </c>
      <c r="L182" s="44">
        <f>IF(J182&gt;68,K182+(J182-68)*0.2,K182-(68-J182)*0.2)</f>
        <v>9.0800000000000018</v>
      </c>
      <c r="M182" s="43">
        <f>(C182-H182)/C182*100</f>
        <v>61.279999999999987</v>
      </c>
      <c r="N182" s="43">
        <f>100-(M182+O182)</f>
        <v>20.560000000000002</v>
      </c>
      <c r="O182" s="43">
        <f>L182/C182*100</f>
        <v>18.160000000000004</v>
      </c>
      <c r="P182" s="42" t="s">
        <v>0</v>
      </c>
      <c r="Q182" s="41">
        <v>407538.01699999999</v>
      </c>
      <c r="R182" s="41">
        <v>3659898.622</v>
      </c>
    </row>
    <row r="183" spans="1:18" x14ac:dyDescent="0.25">
      <c r="A183" s="49">
        <v>699</v>
      </c>
      <c r="B183" s="48" t="s">
        <v>844</v>
      </c>
      <c r="C183" s="47">
        <v>50</v>
      </c>
      <c r="D183" s="46">
        <v>20</v>
      </c>
      <c r="E183" s="44">
        <v>21</v>
      </c>
      <c r="F183" s="44">
        <f>1.8*E183+32</f>
        <v>69.800000000000011</v>
      </c>
      <c r="G183" s="45">
        <v>20</v>
      </c>
      <c r="H183" s="44">
        <f>IF(F183&gt;68,G183+(F183-68)*0.2,Y214-(68-F183)*0.2)</f>
        <v>20.360000000000003</v>
      </c>
      <c r="I183" s="44">
        <v>23</v>
      </c>
      <c r="J183" s="44">
        <f>1.8*I183+32</f>
        <v>73.400000000000006</v>
      </c>
      <c r="K183" s="45">
        <v>10</v>
      </c>
      <c r="L183" s="44">
        <f>IF(J183&gt;68,K183+(J183-68)*0.2,K183-(68-J183)*0.2)</f>
        <v>11.080000000000002</v>
      </c>
      <c r="M183" s="43">
        <f>(C183-H183)/C183*100</f>
        <v>59.28</v>
      </c>
      <c r="N183" s="43">
        <f>100-(M183+O183)</f>
        <v>18.560000000000002</v>
      </c>
      <c r="O183" s="43">
        <f>L183/C183*100</f>
        <v>22.160000000000004</v>
      </c>
      <c r="P183" s="42" t="s">
        <v>2</v>
      </c>
      <c r="Q183" s="41">
        <v>407538.01699999999</v>
      </c>
      <c r="R183" s="41">
        <v>3659898.622</v>
      </c>
    </row>
    <row r="184" spans="1:18" x14ac:dyDescent="0.25">
      <c r="A184" s="49">
        <v>699</v>
      </c>
      <c r="B184" s="48" t="s">
        <v>843</v>
      </c>
      <c r="C184" s="47">
        <v>50</v>
      </c>
      <c r="D184" s="46">
        <v>20</v>
      </c>
      <c r="E184" s="44">
        <v>21</v>
      </c>
      <c r="F184" s="44">
        <f>1.8*E184+32</f>
        <v>69.800000000000011</v>
      </c>
      <c r="G184" s="45">
        <v>17</v>
      </c>
      <c r="H184" s="44">
        <f>IF(F184&gt;68,G184+(F184-68)*0.2,Y215-(68-F184)*0.2)</f>
        <v>17.360000000000003</v>
      </c>
      <c r="I184" s="44">
        <v>23</v>
      </c>
      <c r="J184" s="44">
        <f>1.8*I184+32</f>
        <v>73.400000000000006</v>
      </c>
      <c r="K184" s="45">
        <v>10</v>
      </c>
      <c r="L184" s="44">
        <f>IF(J184&gt;68,K184+(J184-68)*0.2,K184-(68-J184)*0.2)</f>
        <v>11.080000000000002</v>
      </c>
      <c r="M184" s="43">
        <f>(C184-H184)/C184*100</f>
        <v>65.28</v>
      </c>
      <c r="N184" s="43">
        <f>100-(M184+O184)</f>
        <v>12.560000000000002</v>
      </c>
      <c r="O184" s="43">
        <f>L184/C184*100</f>
        <v>22.160000000000004</v>
      </c>
      <c r="P184" s="42" t="s">
        <v>2</v>
      </c>
      <c r="Q184" s="41">
        <v>407538.01699999999</v>
      </c>
      <c r="R184" s="41">
        <v>3659898.622</v>
      </c>
    </row>
    <row r="185" spans="1:18" x14ac:dyDescent="0.25">
      <c r="A185" s="49">
        <v>699</v>
      </c>
      <c r="B185" s="48" t="s">
        <v>842</v>
      </c>
      <c r="C185" s="47">
        <v>50</v>
      </c>
      <c r="D185" s="46">
        <v>20</v>
      </c>
      <c r="E185" s="44">
        <v>21</v>
      </c>
      <c r="F185" s="44">
        <f>1.8*E185+32</f>
        <v>69.800000000000011</v>
      </c>
      <c r="G185" s="45">
        <v>34</v>
      </c>
      <c r="H185" s="44">
        <f>IF(F185&gt;68,G185+(F185-68)*0.2,Y216-(68-F185)*0.2)</f>
        <v>34.36</v>
      </c>
      <c r="I185" s="44">
        <v>23</v>
      </c>
      <c r="J185" s="44">
        <f>1.8*I185+32</f>
        <v>73.400000000000006</v>
      </c>
      <c r="K185" s="45">
        <v>16</v>
      </c>
      <c r="L185" s="44">
        <f>IF(J185&gt;68,K185+(J185-68)*0.2,K185-(68-J185)*0.2)</f>
        <v>17.080000000000002</v>
      </c>
      <c r="M185" s="43">
        <f>(C185-H185)/C185*100</f>
        <v>31.28</v>
      </c>
      <c r="N185" s="43">
        <f>100-(M185+O185)</f>
        <v>34.56</v>
      </c>
      <c r="O185" s="43">
        <f>L185/C185*100</f>
        <v>34.160000000000004</v>
      </c>
      <c r="P185" s="42" t="s">
        <v>22</v>
      </c>
      <c r="Q185" s="41">
        <v>407538.01699999999</v>
      </c>
      <c r="R185" s="41">
        <v>3659898.622</v>
      </c>
    </row>
    <row r="186" spans="1:18" x14ac:dyDescent="0.25">
      <c r="A186" s="49">
        <v>699</v>
      </c>
      <c r="B186" s="48" t="s">
        <v>841</v>
      </c>
      <c r="C186" s="47">
        <v>50</v>
      </c>
      <c r="D186" s="46">
        <v>20</v>
      </c>
      <c r="E186" s="44">
        <v>22</v>
      </c>
      <c r="F186" s="44">
        <f>1.8*E186+32</f>
        <v>71.599999999999994</v>
      </c>
      <c r="G186" s="45">
        <v>17</v>
      </c>
      <c r="H186" s="44">
        <f>IF(F186&gt;68,G186+(F186-68)*0.2,Y217-(68-F186)*0.2)</f>
        <v>17.72</v>
      </c>
      <c r="I186" s="44">
        <v>22</v>
      </c>
      <c r="J186" s="44">
        <f>1.8*I186+32</f>
        <v>71.599999999999994</v>
      </c>
      <c r="K186" s="45">
        <v>7</v>
      </c>
      <c r="L186" s="44">
        <f>IF(J186&gt;68,K186+(J186-68)*0.2,K186-(68-J186)*0.2)</f>
        <v>7.7199999999999989</v>
      </c>
      <c r="M186" s="43">
        <f>(C186-H186)/C186*100</f>
        <v>64.56</v>
      </c>
      <c r="N186" s="43">
        <f>100-(M186+O186)</f>
        <v>20</v>
      </c>
      <c r="O186" s="43">
        <f>L186/C186*100</f>
        <v>15.439999999999998</v>
      </c>
      <c r="P186" s="42" t="s">
        <v>0</v>
      </c>
      <c r="Q186" s="41">
        <v>407538.01699999999</v>
      </c>
      <c r="R186" s="41">
        <v>3659898.622</v>
      </c>
    </row>
    <row r="187" spans="1:18" x14ac:dyDescent="0.25">
      <c r="A187" s="49">
        <v>699</v>
      </c>
      <c r="B187" s="48" t="s">
        <v>839</v>
      </c>
      <c r="C187" s="47">
        <v>50</v>
      </c>
      <c r="D187" s="46">
        <v>20</v>
      </c>
      <c r="E187" s="44">
        <v>22</v>
      </c>
      <c r="F187" s="44">
        <f>1.8*E187+32</f>
        <v>71.599999999999994</v>
      </c>
      <c r="G187" s="45">
        <v>16</v>
      </c>
      <c r="H187" s="44">
        <f>IF(F187&gt;68,G187+(F187-68)*0.2,Y218-(68-F187)*0.2)</f>
        <v>16.72</v>
      </c>
      <c r="I187" s="44">
        <v>22</v>
      </c>
      <c r="J187" s="44">
        <f>1.8*I187+32</f>
        <v>71.599999999999994</v>
      </c>
      <c r="K187" s="45">
        <v>6</v>
      </c>
      <c r="L187" s="44">
        <f>IF(J187&gt;68,K187+(J187-68)*0.2,K187-(68-J187)*0.2)</f>
        <v>6.7199999999999989</v>
      </c>
      <c r="M187" s="43">
        <f>(C187-H187)/C187*100</f>
        <v>66.56</v>
      </c>
      <c r="N187" s="43">
        <f>100-(M187+O187)</f>
        <v>20</v>
      </c>
      <c r="O187" s="43">
        <f>L187/C187*100</f>
        <v>13.439999999999996</v>
      </c>
      <c r="P187" s="42" t="s">
        <v>0</v>
      </c>
      <c r="Q187" s="41">
        <v>407538.01699999999</v>
      </c>
      <c r="R187" s="41">
        <v>3659898.622</v>
      </c>
    </row>
    <row r="188" spans="1:18" x14ac:dyDescent="0.25">
      <c r="A188" s="61"/>
      <c r="B188" s="58"/>
      <c r="C188" s="58"/>
      <c r="D188" s="58"/>
      <c r="E188" s="58"/>
      <c r="F188" s="58"/>
      <c r="G188" s="60"/>
      <c r="H188" s="58"/>
      <c r="I188" s="58"/>
      <c r="J188" s="58"/>
      <c r="K188" s="60"/>
      <c r="L188" s="58"/>
      <c r="M188" s="59"/>
      <c r="N188" s="59"/>
      <c r="O188" s="59"/>
      <c r="P188" s="58"/>
    </row>
    <row r="189" spans="1:18" x14ac:dyDescent="0.25">
      <c r="A189" s="57"/>
      <c r="B189" s="56"/>
      <c r="C189" s="55"/>
      <c r="D189" s="54"/>
      <c r="E189" s="52"/>
      <c r="F189" s="52"/>
      <c r="G189" s="53"/>
      <c r="H189" s="52"/>
      <c r="I189" s="52"/>
      <c r="J189" s="52"/>
      <c r="K189" s="53"/>
      <c r="L189" s="52"/>
      <c r="M189" s="51"/>
      <c r="N189" s="51"/>
      <c r="O189" s="51"/>
      <c r="P189" s="56"/>
      <c r="Q189" s="5" t="s">
        <v>4</v>
      </c>
      <c r="R189" s="5" t="s">
        <v>3</v>
      </c>
    </row>
    <row r="190" spans="1:18" x14ac:dyDescent="0.25">
      <c r="A190" s="49">
        <v>723</v>
      </c>
      <c r="B190" s="48" t="s">
        <v>845</v>
      </c>
      <c r="C190" s="47">
        <v>50</v>
      </c>
      <c r="D190" s="46">
        <v>20</v>
      </c>
      <c r="E190" s="44">
        <v>22</v>
      </c>
      <c r="F190" s="44">
        <f>1.8*E190+32</f>
        <v>71.599999999999994</v>
      </c>
      <c r="G190" s="45">
        <v>20</v>
      </c>
      <c r="H190" s="44">
        <f>IF(F190&gt;68,G190+(F190-68)*0.2,#REF!-(68-F190)*0.2)</f>
        <v>20.72</v>
      </c>
      <c r="I190" s="44">
        <v>22</v>
      </c>
      <c r="J190" s="44">
        <f>1.8*I190+32</f>
        <v>71.599999999999994</v>
      </c>
      <c r="K190" s="45">
        <v>10</v>
      </c>
      <c r="L190" s="44">
        <f>IF(J190&gt;68,K190+(J190-68)*0.2,K190-(68-J190)*0.2)</f>
        <v>10.719999999999999</v>
      </c>
      <c r="M190" s="43">
        <f>(C190-H190)/C190*100</f>
        <v>58.56</v>
      </c>
      <c r="N190" s="43">
        <f>100-(M190+O190)</f>
        <v>20</v>
      </c>
      <c r="O190" s="43">
        <f>L190/C190*100</f>
        <v>21.439999999999998</v>
      </c>
      <c r="P190" s="42" t="s">
        <v>2</v>
      </c>
      <c r="Q190" s="41">
        <v>407539.663</v>
      </c>
      <c r="R190" s="41">
        <v>3659985.1869999999</v>
      </c>
    </row>
    <row r="191" spans="1:18" x14ac:dyDescent="0.25">
      <c r="A191" s="49">
        <v>723</v>
      </c>
      <c r="B191" s="48" t="s">
        <v>844</v>
      </c>
      <c r="C191" s="47">
        <v>50</v>
      </c>
      <c r="D191" s="46">
        <v>20</v>
      </c>
      <c r="E191" s="44">
        <v>22</v>
      </c>
      <c r="F191" s="44">
        <f>1.8*E191+32</f>
        <v>71.599999999999994</v>
      </c>
      <c r="G191" s="45">
        <v>20</v>
      </c>
      <c r="H191" s="44">
        <f>IF(F191&gt;68,G191+(F191-68)*0.2,Y222-(68-F191)*0.2)</f>
        <v>20.72</v>
      </c>
      <c r="I191" s="44">
        <v>22</v>
      </c>
      <c r="J191" s="44">
        <f>1.8*I191+32</f>
        <v>71.599999999999994</v>
      </c>
      <c r="K191" s="45">
        <v>10</v>
      </c>
      <c r="L191" s="44">
        <f>IF(J191&gt;68,K191+(J191-68)*0.2,K191-(68-J191)*0.2)</f>
        <v>10.719999999999999</v>
      </c>
      <c r="M191" s="43">
        <f>(C191-H191)/C191*100</f>
        <v>58.56</v>
      </c>
      <c r="N191" s="43">
        <f>100-(M191+O191)</f>
        <v>20</v>
      </c>
      <c r="O191" s="43">
        <f>L191/C191*100</f>
        <v>21.439999999999998</v>
      </c>
      <c r="P191" s="42" t="s">
        <v>2</v>
      </c>
      <c r="Q191" s="41">
        <v>407539.663</v>
      </c>
      <c r="R191" s="41">
        <v>3659985.1869999999</v>
      </c>
    </row>
    <row r="192" spans="1:18" x14ac:dyDescent="0.25">
      <c r="A192" s="49">
        <v>723</v>
      </c>
      <c r="B192" s="48" t="s">
        <v>843</v>
      </c>
      <c r="C192" s="47">
        <v>50</v>
      </c>
      <c r="D192" s="46">
        <v>20</v>
      </c>
      <c r="E192" s="44">
        <v>23</v>
      </c>
      <c r="F192" s="44">
        <f>1.8*E192+32</f>
        <v>73.400000000000006</v>
      </c>
      <c r="G192" s="45">
        <v>16</v>
      </c>
      <c r="H192" s="44">
        <f>IF(F192&gt;68,G192+(F192-68)*0.2,Y223-(68-F192)*0.2)</f>
        <v>17.080000000000002</v>
      </c>
      <c r="I192" s="44">
        <v>23</v>
      </c>
      <c r="J192" s="44">
        <f>1.8*I192+32</f>
        <v>73.400000000000006</v>
      </c>
      <c r="K192" s="45">
        <v>7</v>
      </c>
      <c r="L192" s="44">
        <f>IF(J192&gt;68,K192+(J192-68)*0.2,K192-(68-J192)*0.2)</f>
        <v>8.0800000000000018</v>
      </c>
      <c r="M192" s="43">
        <f>(C192-H192)/C192*100</f>
        <v>65.84</v>
      </c>
      <c r="N192" s="43">
        <f>100-(M192+O192)</f>
        <v>18</v>
      </c>
      <c r="O192" s="43">
        <f>L192/C192*100</f>
        <v>16.160000000000004</v>
      </c>
      <c r="P192" s="42" t="s">
        <v>0</v>
      </c>
      <c r="Q192" s="41">
        <v>407539.663</v>
      </c>
      <c r="R192" s="41">
        <v>3659985.1869999999</v>
      </c>
    </row>
    <row r="193" spans="1:18" x14ac:dyDescent="0.25">
      <c r="A193" s="49">
        <v>723</v>
      </c>
      <c r="B193" s="48" t="s">
        <v>842</v>
      </c>
      <c r="C193" s="47">
        <v>50</v>
      </c>
      <c r="D193" s="46">
        <v>20</v>
      </c>
      <c r="E193" s="44">
        <v>23</v>
      </c>
      <c r="F193" s="44">
        <f>1.8*E193+32</f>
        <v>73.400000000000006</v>
      </c>
      <c r="G193" s="45">
        <v>19</v>
      </c>
      <c r="H193" s="44">
        <f>IF(F193&gt;68,G193+(F193-68)*0.2,Y224-(68-F193)*0.2)</f>
        <v>20.080000000000002</v>
      </c>
      <c r="I193" s="44">
        <v>23</v>
      </c>
      <c r="J193" s="44">
        <f>1.8*I193+32</f>
        <v>73.400000000000006</v>
      </c>
      <c r="K193" s="45">
        <v>10</v>
      </c>
      <c r="L193" s="44">
        <f>IF(J193&gt;68,K193+(J193-68)*0.2,K193-(68-J193)*0.2)</f>
        <v>11.080000000000002</v>
      </c>
      <c r="M193" s="43">
        <f>(C193-H193)/C193*100</f>
        <v>59.839999999999996</v>
      </c>
      <c r="N193" s="43">
        <f>100-(M193+O193)</f>
        <v>18</v>
      </c>
      <c r="O193" s="43">
        <f>L193/C193*100</f>
        <v>22.160000000000004</v>
      </c>
      <c r="P193" s="42" t="s">
        <v>2</v>
      </c>
      <c r="Q193" s="41">
        <v>407539.663</v>
      </c>
      <c r="R193" s="41">
        <v>3659985.1869999999</v>
      </c>
    </row>
    <row r="194" spans="1:18" x14ac:dyDescent="0.25">
      <c r="A194" s="49">
        <v>723</v>
      </c>
      <c r="B194" s="48" t="s">
        <v>841</v>
      </c>
      <c r="C194" s="47">
        <v>50</v>
      </c>
      <c r="D194" s="46">
        <v>20</v>
      </c>
      <c r="E194" s="44">
        <v>23</v>
      </c>
      <c r="F194" s="44">
        <f>1.8*E194+32</f>
        <v>73.400000000000006</v>
      </c>
      <c r="G194" s="45">
        <v>19</v>
      </c>
      <c r="H194" s="44">
        <f>IF(F194&gt;68,G194+(F194-68)*0.2,Y225-(68-F194)*0.2)</f>
        <v>20.080000000000002</v>
      </c>
      <c r="I194" s="44">
        <v>23</v>
      </c>
      <c r="J194" s="44">
        <f>1.8*I194+32</f>
        <v>73.400000000000006</v>
      </c>
      <c r="K194" s="45">
        <v>10</v>
      </c>
      <c r="L194" s="44">
        <f>IF(J194&gt;68,K194+(J194-68)*0.2,K194-(68-J194)*0.2)</f>
        <v>11.080000000000002</v>
      </c>
      <c r="M194" s="43">
        <f>(C194-H194)/C194*100</f>
        <v>59.839999999999996</v>
      </c>
      <c r="N194" s="43">
        <f>100-(M194+O194)</f>
        <v>18</v>
      </c>
      <c r="O194" s="43">
        <f>L194/C194*100</f>
        <v>22.160000000000004</v>
      </c>
      <c r="P194" s="42" t="s">
        <v>2</v>
      </c>
      <c r="Q194" s="41">
        <v>407539.663</v>
      </c>
      <c r="R194" s="41">
        <v>3659985.1869999999</v>
      </c>
    </row>
    <row r="195" spans="1:18" x14ac:dyDescent="0.25">
      <c r="A195" s="49">
        <v>723</v>
      </c>
      <c r="B195" s="48" t="s">
        <v>839</v>
      </c>
      <c r="C195" s="47">
        <v>50</v>
      </c>
      <c r="D195" s="46">
        <v>20</v>
      </c>
      <c r="E195" s="44">
        <v>23</v>
      </c>
      <c r="F195" s="44">
        <f>1.8*E195+32</f>
        <v>73.400000000000006</v>
      </c>
      <c r="G195" s="45">
        <v>19</v>
      </c>
      <c r="H195" s="44">
        <f>IF(F195&gt;68,G195+(F195-68)*0.2,Y226-(68-F195)*0.2)</f>
        <v>20.080000000000002</v>
      </c>
      <c r="I195" s="44">
        <v>23</v>
      </c>
      <c r="J195" s="44">
        <f>1.8*I195+32</f>
        <v>73.400000000000006</v>
      </c>
      <c r="K195" s="45">
        <v>10</v>
      </c>
      <c r="L195" s="44">
        <f>IF(J195&gt;68,K195+(J195-68)*0.2,K195-(68-J195)*0.2)</f>
        <v>11.080000000000002</v>
      </c>
      <c r="M195" s="43">
        <f>(C195-H195)/C195*100</f>
        <v>59.839999999999996</v>
      </c>
      <c r="N195" s="43">
        <f>100-(M195+O195)</f>
        <v>18</v>
      </c>
      <c r="O195" s="43">
        <f>L195/C195*100</f>
        <v>22.160000000000004</v>
      </c>
      <c r="P195" s="42" t="s">
        <v>2</v>
      </c>
      <c r="Q195" s="41">
        <v>407539.663</v>
      </c>
      <c r="R195" s="41">
        <v>3659985.1869999999</v>
      </c>
    </row>
    <row r="196" spans="1:18" x14ac:dyDescent="0.25">
      <c r="A196" s="61"/>
      <c r="B196" s="58"/>
      <c r="C196" s="58"/>
      <c r="D196" s="58"/>
      <c r="E196" s="58"/>
      <c r="F196" s="58"/>
      <c r="G196" s="60"/>
      <c r="H196" s="58"/>
      <c r="I196" s="58"/>
      <c r="J196" s="58"/>
      <c r="K196" s="60"/>
      <c r="L196" s="58"/>
      <c r="M196" s="59"/>
      <c r="N196" s="59"/>
      <c r="O196" s="59"/>
      <c r="P196" s="58"/>
    </row>
    <row r="197" spans="1:18" x14ac:dyDescent="0.25">
      <c r="A197" s="57"/>
      <c r="B197" s="56"/>
      <c r="C197" s="55"/>
      <c r="D197" s="54"/>
      <c r="E197" s="52"/>
      <c r="F197" s="52"/>
      <c r="G197" s="53"/>
      <c r="H197" s="52"/>
      <c r="I197" s="52"/>
      <c r="J197" s="52"/>
      <c r="K197" s="53"/>
      <c r="L197" s="52"/>
      <c r="M197" s="51"/>
      <c r="N197" s="51"/>
      <c r="O197" s="51"/>
      <c r="P197" s="56"/>
      <c r="Q197" s="5" t="s">
        <v>4</v>
      </c>
      <c r="R197" s="5" t="s">
        <v>3</v>
      </c>
    </row>
    <row r="198" spans="1:18" x14ac:dyDescent="0.25">
      <c r="A198" s="49" t="s">
        <v>860</v>
      </c>
      <c r="B198" s="48" t="s">
        <v>845</v>
      </c>
      <c r="C198" s="47">
        <v>50</v>
      </c>
      <c r="D198" s="46">
        <v>20</v>
      </c>
      <c r="E198" s="44">
        <v>23</v>
      </c>
      <c r="F198" s="44">
        <f>1.8*E198+32</f>
        <v>73.400000000000006</v>
      </c>
      <c r="G198" s="45">
        <v>20</v>
      </c>
      <c r="H198" s="44">
        <f>IF(F198&gt;68,G198+(F198-68)*0.2,#REF!-(68-F198)*0.2)</f>
        <v>21.080000000000002</v>
      </c>
      <c r="I198" s="44">
        <v>22</v>
      </c>
      <c r="J198" s="44">
        <f>1.8*I198+32</f>
        <v>71.599999999999994</v>
      </c>
      <c r="K198" s="45">
        <v>9</v>
      </c>
      <c r="L198" s="44">
        <f>IF(J198&gt;68,K198+(J198-68)*0.2,K198-(68-J198)*0.2)</f>
        <v>9.7199999999999989</v>
      </c>
      <c r="M198" s="43">
        <f>(C198-H198)/C198*100</f>
        <v>57.839999999999989</v>
      </c>
      <c r="N198" s="43">
        <f>100-(M198+O198)</f>
        <v>22.720000000000013</v>
      </c>
      <c r="O198" s="43">
        <f>L198/C198*100</f>
        <v>19.439999999999998</v>
      </c>
      <c r="P198" s="42" t="s">
        <v>0</v>
      </c>
      <c r="Q198" s="41">
        <v>407539.663</v>
      </c>
      <c r="R198" s="41">
        <v>3659985.1869999999</v>
      </c>
    </row>
    <row r="199" spans="1:18" x14ac:dyDescent="0.25">
      <c r="A199" s="49" t="s">
        <v>860</v>
      </c>
      <c r="B199" s="48" t="s">
        <v>844</v>
      </c>
      <c r="C199" s="47">
        <v>50</v>
      </c>
      <c r="D199" s="46">
        <v>20</v>
      </c>
      <c r="E199" s="44">
        <v>23</v>
      </c>
      <c r="F199" s="44">
        <f>1.8*E199+32</f>
        <v>73.400000000000006</v>
      </c>
      <c r="G199" s="45">
        <v>17</v>
      </c>
      <c r="H199" s="44">
        <f>IF(F199&gt;68,G199+(F199-68)*0.2,Y230-(68-F199)*0.2)</f>
        <v>18.080000000000002</v>
      </c>
      <c r="I199" s="44">
        <v>22</v>
      </c>
      <c r="J199" s="44">
        <f>1.8*I199+32</f>
        <v>71.599999999999994</v>
      </c>
      <c r="K199" s="45">
        <v>8</v>
      </c>
      <c r="L199" s="44">
        <f>IF(J199&gt;68,K199+(J199-68)*0.2,K199-(68-J199)*0.2)</f>
        <v>8.7199999999999989</v>
      </c>
      <c r="M199" s="43">
        <f>(C199-H199)/C199*100</f>
        <v>63.839999999999996</v>
      </c>
      <c r="N199" s="43">
        <f>100-(M199+O199)</f>
        <v>18.72</v>
      </c>
      <c r="O199" s="43">
        <f>L199/C199*100</f>
        <v>17.439999999999998</v>
      </c>
      <c r="P199" s="42" t="s">
        <v>0</v>
      </c>
      <c r="Q199" s="41">
        <v>407539.663</v>
      </c>
      <c r="R199" s="41">
        <v>3659985.1869999999</v>
      </c>
    </row>
    <row r="200" spans="1:18" x14ac:dyDescent="0.25">
      <c r="A200" s="49" t="s">
        <v>860</v>
      </c>
      <c r="B200" s="48" t="s">
        <v>843</v>
      </c>
      <c r="C200" s="47">
        <v>50</v>
      </c>
      <c r="D200" s="46">
        <v>20</v>
      </c>
      <c r="E200" s="44">
        <v>23</v>
      </c>
      <c r="F200" s="44">
        <f>1.8*E200+32</f>
        <v>73.400000000000006</v>
      </c>
      <c r="G200" s="45">
        <v>12</v>
      </c>
      <c r="H200" s="44">
        <f>IF(F200&gt;68,G200+(F200-68)*0.2,Y231-(68-F200)*0.2)</f>
        <v>13.080000000000002</v>
      </c>
      <c r="I200" s="44">
        <v>22</v>
      </c>
      <c r="J200" s="44">
        <f>1.8*I200+32</f>
        <v>71.599999999999994</v>
      </c>
      <c r="K200" s="45">
        <v>5</v>
      </c>
      <c r="L200" s="44">
        <f>IF(J200&gt;68,K200+(J200-68)*0.2,K200-(68-J200)*0.2)</f>
        <v>5.7199999999999989</v>
      </c>
      <c r="M200" s="43">
        <f>(C200-H200)/C200*100</f>
        <v>73.84</v>
      </c>
      <c r="N200" s="43">
        <f>100-(M200+O200)</f>
        <v>14.719999999999999</v>
      </c>
      <c r="O200" s="43">
        <f>L200/C200*100</f>
        <v>11.439999999999998</v>
      </c>
      <c r="P200" s="42" t="s">
        <v>0</v>
      </c>
      <c r="Q200" s="41">
        <v>407539.663</v>
      </c>
      <c r="R200" s="41">
        <v>3659985.1869999999</v>
      </c>
    </row>
    <row r="201" spans="1:18" x14ac:dyDescent="0.25">
      <c r="A201" s="49" t="s">
        <v>860</v>
      </c>
      <c r="B201" s="48" t="s">
        <v>842</v>
      </c>
      <c r="C201" s="47">
        <v>50</v>
      </c>
      <c r="D201" s="46">
        <v>20</v>
      </c>
      <c r="E201" s="44">
        <v>23</v>
      </c>
      <c r="F201" s="44">
        <f>1.8*E201+32</f>
        <v>73.400000000000006</v>
      </c>
      <c r="G201" s="45">
        <v>18</v>
      </c>
      <c r="H201" s="44">
        <f>IF(F201&gt;68,G201+(F201-68)*0.2,Y232-(68-F201)*0.2)</f>
        <v>19.080000000000002</v>
      </c>
      <c r="I201" s="44">
        <v>22</v>
      </c>
      <c r="J201" s="44">
        <f>1.8*I201+32</f>
        <v>71.599999999999994</v>
      </c>
      <c r="K201" s="45">
        <v>9</v>
      </c>
      <c r="L201" s="44">
        <f>IF(J201&gt;68,K201+(J201-68)*0.2,K201-(68-J201)*0.2)</f>
        <v>9.7199999999999989</v>
      </c>
      <c r="M201" s="43">
        <f>(C201-H201)/C201*100</f>
        <v>61.839999999999996</v>
      </c>
      <c r="N201" s="43">
        <f>100-(M201+O201)</f>
        <v>18.72</v>
      </c>
      <c r="O201" s="43">
        <f>L201/C201*100</f>
        <v>19.439999999999998</v>
      </c>
      <c r="P201" s="42" t="s">
        <v>0</v>
      </c>
      <c r="Q201" s="41">
        <v>407539.663</v>
      </c>
      <c r="R201" s="41">
        <v>3659985.1869999999</v>
      </c>
    </row>
    <row r="202" spans="1:18" x14ac:dyDescent="0.25">
      <c r="A202" s="49" t="s">
        <v>860</v>
      </c>
      <c r="B202" s="48" t="s">
        <v>841</v>
      </c>
      <c r="C202" s="47">
        <v>50</v>
      </c>
      <c r="D202" s="46">
        <v>20</v>
      </c>
      <c r="E202" s="44">
        <v>23</v>
      </c>
      <c r="F202" s="44">
        <f>1.8*E202+32</f>
        <v>73.400000000000006</v>
      </c>
      <c r="G202" s="45">
        <v>16</v>
      </c>
      <c r="H202" s="44">
        <f>IF(F202&gt;68,G202+(F202-68)*0.2,Y233-(68-F202)*0.2)</f>
        <v>17.080000000000002</v>
      </c>
      <c r="I202" s="44">
        <v>22</v>
      </c>
      <c r="J202" s="44">
        <f>1.8*I202+32</f>
        <v>71.599999999999994</v>
      </c>
      <c r="K202" s="45">
        <v>7</v>
      </c>
      <c r="L202" s="44">
        <f>IF(J202&gt;68,K202+(J202-68)*0.2,K202-(68-J202)*0.2)</f>
        <v>7.7199999999999989</v>
      </c>
      <c r="M202" s="43">
        <f>(C202-H202)/C202*100</f>
        <v>65.84</v>
      </c>
      <c r="N202" s="43">
        <f>100-(M202+O202)</f>
        <v>18.72</v>
      </c>
      <c r="O202" s="43">
        <f>L202/C202*100</f>
        <v>15.439999999999998</v>
      </c>
      <c r="P202" s="42" t="s">
        <v>0</v>
      </c>
      <c r="Q202" s="41">
        <v>407539.663</v>
      </c>
      <c r="R202" s="41">
        <v>3659985.1869999999</v>
      </c>
    </row>
    <row r="203" spans="1:18" x14ac:dyDescent="0.25">
      <c r="A203" s="49" t="s">
        <v>860</v>
      </c>
      <c r="B203" s="48" t="s">
        <v>839</v>
      </c>
      <c r="C203" s="47">
        <v>50</v>
      </c>
      <c r="D203" s="46">
        <v>20</v>
      </c>
      <c r="E203" s="44">
        <v>23</v>
      </c>
      <c r="F203" s="44">
        <f>1.8*E203+32</f>
        <v>73.400000000000006</v>
      </c>
      <c r="G203" s="45">
        <v>16</v>
      </c>
      <c r="H203" s="44">
        <f>IF(F203&gt;68,G203+(F203-68)*0.2,Y234-(68-F203)*0.2)</f>
        <v>17.080000000000002</v>
      </c>
      <c r="I203" s="44">
        <v>22</v>
      </c>
      <c r="J203" s="44">
        <f>1.8*I203+32</f>
        <v>71.599999999999994</v>
      </c>
      <c r="K203" s="45">
        <v>7</v>
      </c>
      <c r="L203" s="44">
        <f>IF(J203&gt;68,K203+(J203-68)*0.2,K203-(68-J203)*0.2)</f>
        <v>7.7199999999999989</v>
      </c>
      <c r="M203" s="43">
        <f>(C203-H203)/C203*100</f>
        <v>65.84</v>
      </c>
      <c r="N203" s="43">
        <f>100-(M203+O203)</f>
        <v>18.72</v>
      </c>
      <c r="O203" s="43">
        <f>L203/C203*100</f>
        <v>15.439999999999998</v>
      </c>
      <c r="P203" s="42" t="s">
        <v>0</v>
      </c>
      <c r="Q203" s="41">
        <v>407539.663</v>
      </c>
      <c r="R203" s="41">
        <v>3659985.1869999999</v>
      </c>
    </row>
    <row r="204" spans="1:18" x14ac:dyDescent="0.25">
      <c r="A204" s="61"/>
      <c r="B204" s="58"/>
      <c r="C204" s="58"/>
      <c r="D204" s="58"/>
      <c r="E204" s="58"/>
      <c r="F204" s="58"/>
      <c r="G204" s="60"/>
      <c r="H204" s="58"/>
      <c r="I204" s="58"/>
      <c r="J204" s="58"/>
      <c r="K204" s="60"/>
      <c r="L204" s="58"/>
      <c r="M204" s="59"/>
      <c r="N204" s="59"/>
      <c r="O204" s="59"/>
      <c r="P204" s="58"/>
    </row>
    <row r="205" spans="1:18" x14ac:dyDescent="0.25">
      <c r="A205" s="57"/>
      <c r="B205" s="56"/>
      <c r="C205" s="55"/>
      <c r="D205" s="54"/>
      <c r="E205" s="52"/>
      <c r="F205" s="52"/>
      <c r="G205" s="53"/>
      <c r="H205" s="52"/>
      <c r="I205" s="52"/>
      <c r="J205" s="52"/>
      <c r="K205" s="53"/>
      <c r="L205" s="52"/>
      <c r="M205" s="51"/>
      <c r="N205" s="51"/>
      <c r="O205" s="51"/>
      <c r="P205" s="56"/>
      <c r="Q205" s="5" t="s">
        <v>4</v>
      </c>
      <c r="R205" s="5" t="s">
        <v>3</v>
      </c>
    </row>
    <row r="206" spans="1:18" x14ac:dyDescent="0.25">
      <c r="A206" s="49">
        <v>729</v>
      </c>
      <c r="B206" s="48" t="s">
        <v>845</v>
      </c>
      <c r="C206" s="47">
        <v>50</v>
      </c>
      <c r="D206" s="46">
        <v>20</v>
      </c>
      <c r="E206" s="44">
        <v>23</v>
      </c>
      <c r="F206" s="44">
        <f>1.8*E206+32</f>
        <v>73.400000000000006</v>
      </c>
      <c r="G206" s="45">
        <v>20</v>
      </c>
      <c r="H206" s="44">
        <f>IF(F206&gt;68,G206+(F206-68)*0.2,#REF!-(68-F206)*0.2)</f>
        <v>21.080000000000002</v>
      </c>
      <c r="I206" s="44">
        <v>22</v>
      </c>
      <c r="J206" s="44">
        <f>1.8*I206+32</f>
        <v>71.599999999999994</v>
      </c>
      <c r="K206" s="45">
        <v>10</v>
      </c>
      <c r="L206" s="44">
        <f>IF(J206&gt;68,K206+(J206-68)*0.2,K206-(68-J206)*0.2)</f>
        <v>10.719999999999999</v>
      </c>
      <c r="M206" s="43">
        <f>(C206-H206)/C206*100</f>
        <v>57.839999999999989</v>
      </c>
      <c r="N206" s="43">
        <f>100-(M206+O206)</f>
        <v>20.720000000000013</v>
      </c>
      <c r="O206" s="43">
        <f>L206/C206*100</f>
        <v>21.439999999999998</v>
      </c>
      <c r="P206" s="42" t="s">
        <v>2</v>
      </c>
      <c r="Q206" s="41">
        <v>407540.23800000001</v>
      </c>
      <c r="R206" s="62">
        <v>3660006.38</v>
      </c>
    </row>
    <row r="207" spans="1:18" x14ac:dyDescent="0.25">
      <c r="A207" s="49">
        <v>729</v>
      </c>
      <c r="B207" s="48" t="s">
        <v>844</v>
      </c>
      <c r="C207" s="47">
        <v>50</v>
      </c>
      <c r="D207" s="46">
        <v>20</v>
      </c>
      <c r="E207" s="44">
        <v>23</v>
      </c>
      <c r="F207" s="44">
        <f>1.8*E207+32</f>
        <v>73.400000000000006</v>
      </c>
      <c r="G207" s="45">
        <v>19</v>
      </c>
      <c r="H207" s="44">
        <f>IF(F207&gt;68,G207+(F207-68)*0.2,Y238-(68-F207)*0.2)</f>
        <v>20.080000000000002</v>
      </c>
      <c r="I207" s="44">
        <v>22</v>
      </c>
      <c r="J207" s="44">
        <f>1.8*I207+32</f>
        <v>71.599999999999994</v>
      </c>
      <c r="K207" s="45">
        <v>10</v>
      </c>
      <c r="L207" s="44">
        <f>IF(J207&gt;68,K207+(J207-68)*0.2,K207-(68-J207)*0.2)</f>
        <v>10.719999999999999</v>
      </c>
      <c r="M207" s="43">
        <f>(C207-H207)/C207*100</f>
        <v>59.839999999999996</v>
      </c>
      <c r="N207" s="43">
        <f>100-(M207+O207)</f>
        <v>18.72</v>
      </c>
      <c r="O207" s="43">
        <f>L207/C207*100</f>
        <v>21.439999999999998</v>
      </c>
      <c r="P207" s="42" t="s">
        <v>2</v>
      </c>
      <c r="Q207" s="41">
        <v>407540.23800000001</v>
      </c>
      <c r="R207" s="62">
        <v>3660006.38</v>
      </c>
    </row>
    <row r="208" spans="1:18" x14ac:dyDescent="0.25">
      <c r="A208" s="49">
        <v>729</v>
      </c>
      <c r="B208" s="48" t="s">
        <v>843</v>
      </c>
      <c r="C208" s="47">
        <v>50</v>
      </c>
      <c r="D208" s="46">
        <v>20</v>
      </c>
      <c r="E208" s="44">
        <v>23</v>
      </c>
      <c r="F208" s="44">
        <f>1.8*E208+32</f>
        <v>73.400000000000006</v>
      </c>
      <c r="G208" s="45">
        <v>15</v>
      </c>
      <c r="H208" s="44">
        <f>IF(F208&gt;68,G208+(F208-68)*0.2,Y239-(68-F208)*0.2)</f>
        <v>16.080000000000002</v>
      </c>
      <c r="I208" s="44">
        <v>23</v>
      </c>
      <c r="J208" s="44">
        <f>1.8*I208+32</f>
        <v>73.400000000000006</v>
      </c>
      <c r="K208" s="45">
        <v>6</v>
      </c>
      <c r="L208" s="44">
        <f>IF(J208&gt;68,K208+(J208-68)*0.2,K208-(68-J208)*0.2)</f>
        <v>7.080000000000001</v>
      </c>
      <c r="M208" s="43">
        <f>(C208-H208)/C208*100</f>
        <v>67.84</v>
      </c>
      <c r="N208" s="43">
        <f>100-(M208+O208)</f>
        <v>18</v>
      </c>
      <c r="O208" s="43">
        <f>L208/C208*100</f>
        <v>14.160000000000004</v>
      </c>
      <c r="P208" s="42" t="s">
        <v>0</v>
      </c>
      <c r="Q208" s="41">
        <v>407540.23800000001</v>
      </c>
      <c r="R208" s="62">
        <v>3660006.38</v>
      </c>
    </row>
    <row r="209" spans="1:18" x14ac:dyDescent="0.25">
      <c r="A209" s="49">
        <v>729</v>
      </c>
      <c r="B209" s="48" t="s">
        <v>842</v>
      </c>
      <c r="C209" s="47">
        <v>50</v>
      </c>
      <c r="D209" s="46">
        <v>20</v>
      </c>
      <c r="E209" s="44">
        <v>23</v>
      </c>
      <c r="F209" s="44">
        <f>1.8*E209+32</f>
        <v>73.400000000000006</v>
      </c>
      <c r="G209" s="45">
        <v>16</v>
      </c>
      <c r="H209" s="44">
        <f>IF(F209&gt;68,G209+(F209-68)*0.2,Y240-(68-F209)*0.2)</f>
        <v>17.080000000000002</v>
      </c>
      <c r="I209" s="44">
        <v>23</v>
      </c>
      <c r="J209" s="44">
        <f>1.8*I209+32</f>
        <v>73.400000000000006</v>
      </c>
      <c r="K209" s="45">
        <v>6</v>
      </c>
      <c r="L209" s="44">
        <f>IF(J209&gt;68,K209+(J209-68)*0.2,K209-(68-J209)*0.2)</f>
        <v>7.080000000000001</v>
      </c>
      <c r="M209" s="43">
        <f>(C209-H209)/C209*100</f>
        <v>65.84</v>
      </c>
      <c r="N209" s="43">
        <f>100-(M209+O209)</f>
        <v>20</v>
      </c>
      <c r="O209" s="43">
        <f>L209/C209*100</f>
        <v>14.160000000000004</v>
      </c>
      <c r="P209" s="42" t="s">
        <v>0</v>
      </c>
      <c r="Q209" s="41">
        <v>407540.23800000001</v>
      </c>
      <c r="R209" s="62">
        <v>3660006.38</v>
      </c>
    </row>
    <row r="210" spans="1:18" x14ac:dyDescent="0.25">
      <c r="A210" s="49">
        <v>729</v>
      </c>
      <c r="B210" s="48" t="s">
        <v>841</v>
      </c>
      <c r="C210" s="47">
        <v>50</v>
      </c>
      <c r="D210" s="46">
        <v>20</v>
      </c>
      <c r="E210" s="44">
        <v>23</v>
      </c>
      <c r="F210" s="44">
        <f>1.8*E210+32</f>
        <v>73.400000000000006</v>
      </c>
      <c r="G210" s="45">
        <v>11</v>
      </c>
      <c r="H210" s="44">
        <f>IF(F210&gt;68,G210+(F210-68)*0.2,Y241-(68-F210)*0.2)</f>
        <v>12.080000000000002</v>
      </c>
      <c r="I210" s="44">
        <v>23</v>
      </c>
      <c r="J210" s="44">
        <f>1.8*I210+32</f>
        <v>73.400000000000006</v>
      </c>
      <c r="K210" s="45">
        <v>6</v>
      </c>
      <c r="L210" s="44">
        <f>IF(J210&gt;68,K210+(J210-68)*0.2,K210-(68-J210)*0.2)</f>
        <v>7.080000000000001</v>
      </c>
      <c r="M210" s="43">
        <f>(C210-H210)/C210*100</f>
        <v>75.84</v>
      </c>
      <c r="N210" s="43">
        <f>100-(M210+O210)</f>
        <v>10</v>
      </c>
      <c r="O210" s="43">
        <f>L210/C210*100</f>
        <v>14.160000000000004</v>
      </c>
      <c r="P210" s="42" t="s">
        <v>0</v>
      </c>
      <c r="Q210" s="41">
        <v>407540.23800000001</v>
      </c>
      <c r="R210" s="62">
        <v>3660006.38</v>
      </c>
    </row>
    <row r="211" spans="1:18" x14ac:dyDescent="0.25">
      <c r="A211" s="49">
        <v>729</v>
      </c>
      <c r="B211" s="48" t="s">
        <v>839</v>
      </c>
      <c r="C211" s="47">
        <v>50</v>
      </c>
      <c r="D211" s="46">
        <v>20</v>
      </c>
      <c r="E211" s="44">
        <v>23</v>
      </c>
      <c r="F211" s="44">
        <f>1.8*E211+32</f>
        <v>73.400000000000006</v>
      </c>
      <c r="G211" s="45">
        <v>16</v>
      </c>
      <c r="H211" s="44">
        <f>IF(F211&gt;68,G211+(F211-68)*0.2,Y242-(68-F211)*0.2)</f>
        <v>17.080000000000002</v>
      </c>
      <c r="I211" s="44">
        <v>23</v>
      </c>
      <c r="J211" s="44">
        <f>1.8*I211+32</f>
        <v>73.400000000000006</v>
      </c>
      <c r="K211" s="45">
        <v>6</v>
      </c>
      <c r="L211" s="44">
        <f>IF(J211&gt;68,K211+(J211-68)*0.2,K211-(68-J211)*0.2)</f>
        <v>7.080000000000001</v>
      </c>
      <c r="M211" s="43">
        <f>(C211-H211)/C211*100</f>
        <v>65.84</v>
      </c>
      <c r="N211" s="43">
        <f>100-(M211+O211)</f>
        <v>20</v>
      </c>
      <c r="O211" s="43">
        <f>L211/C211*100</f>
        <v>14.160000000000004</v>
      </c>
      <c r="P211" s="42" t="s">
        <v>0</v>
      </c>
      <c r="Q211" s="41">
        <v>407540.23800000001</v>
      </c>
      <c r="R211" s="62">
        <v>3660006.38</v>
      </c>
    </row>
    <row r="212" spans="1:18" x14ac:dyDescent="0.25">
      <c r="A212" s="61"/>
      <c r="B212" s="58"/>
      <c r="C212" s="58"/>
      <c r="D212" s="58"/>
      <c r="E212" s="58"/>
      <c r="F212" s="58"/>
      <c r="G212" s="60"/>
      <c r="H212" s="58"/>
      <c r="I212" s="58"/>
      <c r="J212" s="58"/>
      <c r="K212" s="60"/>
      <c r="L212" s="58"/>
      <c r="M212" s="59"/>
      <c r="N212" s="59"/>
      <c r="O212" s="59"/>
      <c r="P212" s="58"/>
    </row>
    <row r="213" spans="1:18" x14ac:dyDescent="0.25">
      <c r="A213" s="57"/>
      <c r="B213" s="56"/>
      <c r="C213" s="55"/>
      <c r="D213" s="54"/>
      <c r="E213" s="52"/>
      <c r="F213" s="52"/>
      <c r="G213" s="53"/>
      <c r="H213" s="52"/>
      <c r="I213" s="52"/>
      <c r="J213" s="52"/>
      <c r="K213" s="53"/>
      <c r="L213" s="52"/>
      <c r="M213" s="51"/>
      <c r="N213" s="51"/>
      <c r="O213" s="51"/>
      <c r="P213" s="56"/>
      <c r="Q213" s="5" t="s">
        <v>4</v>
      </c>
      <c r="R213" s="5" t="s">
        <v>3</v>
      </c>
    </row>
    <row r="214" spans="1:18" x14ac:dyDescent="0.25">
      <c r="A214" s="49">
        <v>840</v>
      </c>
      <c r="B214" s="48" t="s">
        <v>845</v>
      </c>
      <c r="C214" s="47">
        <v>50</v>
      </c>
      <c r="D214" s="46">
        <v>20</v>
      </c>
      <c r="E214" s="44">
        <v>22</v>
      </c>
      <c r="F214" s="44">
        <f>1.8*E214+32</f>
        <v>71.599999999999994</v>
      </c>
      <c r="G214" s="45">
        <v>20</v>
      </c>
      <c r="H214" s="44">
        <f>IF(F214&gt;68,G214+(F214-68)*0.2,#REF!-(68-F214)*0.2)</f>
        <v>20.72</v>
      </c>
      <c r="I214" s="44">
        <v>23</v>
      </c>
      <c r="J214" s="44">
        <f>1.8*I214+32</f>
        <v>73.400000000000006</v>
      </c>
      <c r="K214" s="45">
        <v>10</v>
      </c>
      <c r="L214" s="44">
        <f>IF(J214&gt;68,K214+(J214-68)*0.2,K214-(68-J214)*0.2)</f>
        <v>11.080000000000002</v>
      </c>
      <c r="M214" s="43">
        <f>(C214-H214)/C214*100</f>
        <v>58.56</v>
      </c>
      <c r="N214" s="43">
        <f>100-(M214+O214)</f>
        <v>19.28</v>
      </c>
      <c r="O214" s="43">
        <f>L214/C214*100</f>
        <v>22.160000000000004</v>
      </c>
      <c r="P214" s="42" t="s">
        <v>2</v>
      </c>
      <c r="Q214" s="41">
        <v>407530.93400000001</v>
      </c>
      <c r="R214" s="41">
        <v>3660016.827</v>
      </c>
    </row>
    <row r="215" spans="1:18" x14ac:dyDescent="0.25">
      <c r="A215" s="49">
        <v>840</v>
      </c>
      <c r="B215" s="48" t="s">
        <v>844</v>
      </c>
      <c r="C215" s="47">
        <v>50</v>
      </c>
      <c r="D215" s="46">
        <v>20</v>
      </c>
      <c r="E215" s="44">
        <v>22</v>
      </c>
      <c r="F215" s="44">
        <f>1.8*E215+32</f>
        <v>71.599999999999994</v>
      </c>
      <c r="G215" s="45">
        <v>20</v>
      </c>
      <c r="H215" s="44">
        <f>IF(F215&gt;68,G215+(F215-68)*0.2,Y246-(68-F215)*0.2)</f>
        <v>20.72</v>
      </c>
      <c r="I215" s="44">
        <v>23</v>
      </c>
      <c r="J215" s="44">
        <f>1.8*I215+32</f>
        <v>73.400000000000006</v>
      </c>
      <c r="K215" s="45">
        <v>10</v>
      </c>
      <c r="L215" s="44">
        <f>IF(J215&gt;68,K215+(J215-68)*0.2,K215-(68-J215)*0.2)</f>
        <v>11.080000000000002</v>
      </c>
      <c r="M215" s="43">
        <f>(C215-H215)/C215*100</f>
        <v>58.56</v>
      </c>
      <c r="N215" s="43">
        <f>100-(M215+O215)</f>
        <v>19.28</v>
      </c>
      <c r="O215" s="43">
        <f>L215/C215*100</f>
        <v>22.160000000000004</v>
      </c>
      <c r="P215" s="42" t="s">
        <v>2</v>
      </c>
      <c r="Q215" s="41">
        <v>407530.93400000001</v>
      </c>
      <c r="R215" s="41">
        <v>3660016.827</v>
      </c>
    </row>
    <row r="216" spans="1:18" x14ac:dyDescent="0.25">
      <c r="A216" s="49">
        <v>840</v>
      </c>
      <c r="B216" s="48" t="s">
        <v>843</v>
      </c>
      <c r="C216" s="47">
        <v>50</v>
      </c>
      <c r="D216" s="46">
        <v>20</v>
      </c>
      <c r="E216" s="44">
        <v>22</v>
      </c>
      <c r="F216" s="44">
        <f>1.8*E216+32</f>
        <v>71.599999999999994</v>
      </c>
      <c r="G216" s="45">
        <v>18</v>
      </c>
      <c r="H216" s="44">
        <f>IF(F216&gt;68,G216+(F216-68)*0.2,Y247-(68-F216)*0.2)</f>
        <v>18.72</v>
      </c>
      <c r="I216" s="44">
        <v>23</v>
      </c>
      <c r="J216" s="44">
        <f>1.8*I216+32</f>
        <v>73.400000000000006</v>
      </c>
      <c r="K216" s="45">
        <v>9</v>
      </c>
      <c r="L216" s="44">
        <f>IF(J216&gt;68,K216+(J216-68)*0.2,K216-(68-J216)*0.2)</f>
        <v>10.080000000000002</v>
      </c>
      <c r="M216" s="43">
        <f>(C216-H216)/C216*100</f>
        <v>62.56</v>
      </c>
      <c r="N216" s="43">
        <f>100-(M216+O216)</f>
        <v>17.28</v>
      </c>
      <c r="O216" s="43">
        <f>L216/C216*100</f>
        <v>20.160000000000004</v>
      </c>
      <c r="P216" s="42" t="s">
        <v>2</v>
      </c>
      <c r="Q216" s="41">
        <v>407530.93400000001</v>
      </c>
      <c r="R216" s="41">
        <v>3660016.827</v>
      </c>
    </row>
    <row r="217" spans="1:18" x14ac:dyDescent="0.25">
      <c r="A217" s="49">
        <v>840</v>
      </c>
      <c r="B217" s="48" t="s">
        <v>842</v>
      </c>
      <c r="C217" s="47">
        <v>50</v>
      </c>
      <c r="D217" s="46">
        <v>20</v>
      </c>
      <c r="E217" s="44">
        <v>22</v>
      </c>
      <c r="F217" s="44">
        <f>1.8*E217+32</f>
        <v>71.599999999999994</v>
      </c>
      <c r="G217" s="45">
        <v>17</v>
      </c>
      <c r="H217" s="44">
        <f>IF(F217&gt;68,G217+(F217-68)*0.2,Y248-(68-F217)*0.2)</f>
        <v>17.72</v>
      </c>
      <c r="I217" s="44">
        <v>23</v>
      </c>
      <c r="J217" s="44">
        <f>1.8*I217+32</f>
        <v>73.400000000000006</v>
      </c>
      <c r="K217" s="45">
        <v>10</v>
      </c>
      <c r="L217" s="44">
        <f>IF(J217&gt;68,K217+(J217-68)*0.2,K217-(68-J217)*0.2)</f>
        <v>11.080000000000002</v>
      </c>
      <c r="M217" s="43">
        <f>(C217-H217)/C217*100</f>
        <v>64.56</v>
      </c>
      <c r="N217" s="43">
        <f>100-(M217+O217)</f>
        <v>13.280000000000001</v>
      </c>
      <c r="O217" s="43">
        <f>L217/C217*100</f>
        <v>22.160000000000004</v>
      </c>
      <c r="P217" s="42" t="s">
        <v>2</v>
      </c>
      <c r="Q217" s="41">
        <v>407530.93400000001</v>
      </c>
      <c r="R217" s="41">
        <v>3660016.827</v>
      </c>
    </row>
    <row r="218" spans="1:18" x14ac:dyDescent="0.25">
      <c r="A218" s="49">
        <v>840</v>
      </c>
      <c r="B218" s="48" t="s">
        <v>841</v>
      </c>
      <c r="C218" s="47">
        <v>50</v>
      </c>
      <c r="D218" s="46">
        <v>20</v>
      </c>
      <c r="E218" s="44">
        <v>23</v>
      </c>
      <c r="F218" s="44">
        <f>1.8*E218+32</f>
        <v>73.400000000000006</v>
      </c>
      <c r="G218" s="45">
        <v>12</v>
      </c>
      <c r="H218" s="44">
        <f>IF(F218&gt;68,G218+(F218-68)*0.2,Y249-(68-F218)*0.2)</f>
        <v>13.080000000000002</v>
      </c>
      <c r="I218" s="44">
        <v>23</v>
      </c>
      <c r="J218" s="44">
        <f>1.8*I218+32</f>
        <v>73.400000000000006</v>
      </c>
      <c r="K218" s="45">
        <v>6</v>
      </c>
      <c r="L218" s="44">
        <f>IF(J218&gt;68,K218+(J218-68)*0.2,K218-(68-J218)*0.2)</f>
        <v>7.080000000000001</v>
      </c>
      <c r="M218" s="43">
        <f>(C218-H218)/C218*100</f>
        <v>73.84</v>
      </c>
      <c r="N218" s="43">
        <f>100-(M218+O218)</f>
        <v>12</v>
      </c>
      <c r="O218" s="43">
        <f>L218/C218*100</f>
        <v>14.160000000000004</v>
      </c>
      <c r="P218" s="42" t="s">
        <v>0</v>
      </c>
      <c r="Q218" s="41">
        <v>407530.93400000001</v>
      </c>
      <c r="R218" s="41">
        <v>3660016.827</v>
      </c>
    </row>
    <row r="219" spans="1:18" x14ac:dyDescent="0.25">
      <c r="A219" s="49">
        <v>840</v>
      </c>
      <c r="B219" s="48" t="s">
        <v>839</v>
      </c>
      <c r="C219" s="47">
        <v>50</v>
      </c>
      <c r="D219" s="46">
        <v>20</v>
      </c>
      <c r="E219" s="44">
        <v>23</v>
      </c>
      <c r="F219" s="44">
        <f>1.8*E219+32</f>
        <v>73.400000000000006</v>
      </c>
      <c r="G219" s="45">
        <v>16</v>
      </c>
      <c r="H219" s="44">
        <f>IF(F219&gt;68,G219+(F219-68)*0.2,Y250-(68-F219)*0.2)</f>
        <v>17.080000000000002</v>
      </c>
      <c r="I219" s="44">
        <v>23</v>
      </c>
      <c r="J219" s="44">
        <f>1.8*I219+32</f>
        <v>73.400000000000006</v>
      </c>
      <c r="K219" s="45">
        <v>7</v>
      </c>
      <c r="L219" s="44">
        <f>IF(J219&gt;68,K219+(J219-68)*0.2,K219-(68-J219)*0.2)</f>
        <v>8.0800000000000018</v>
      </c>
      <c r="M219" s="43">
        <f>(C219-H219)/C219*100</f>
        <v>65.84</v>
      </c>
      <c r="N219" s="43">
        <f>100-(M219+O219)</f>
        <v>18</v>
      </c>
      <c r="O219" s="43">
        <f>L219/C219*100</f>
        <v>16.160000000000004</v>
      </c>
      <c r="P219" s="42" t="s">
        <v>0</v>
      </c>
      <c r="Q219" s="41">
        <v>407530.93400000001</v>
      </c>
      <c r="R219" s="41">
        <v>3660016.827</v>
      </c>
    </row>
    <row r="220" spans="1:18" x14ac:dyDescent="0.25">
      <c r="A220" s="61"/>
      <c r="B220" s="58"/>
      <c r="C220" s="58"/>
      <c r="D220" s="58"/>
      <c r="E220" s="58"/>
      <c r="F220" s="58"/>
      <c r="G220" s="60"/>
      <c r="H220" s="58"/>
      <c r="I220" s="58"/>
      <c r="J220" s="58"/>
      <c r="K220" s="60"/>
      <c r="L220" s="58"/>
      <c r="M220" s="59"/>
      <c r="N220" s="59"/>
      <c r="O220" s="59"/>
      <c r="P220" s="58"/>
    </row>
    <row r="221" spans="1:18" x14ac:dyDescent="0.25">
      <c r="A221" s="57"/>
      <c r="B221" s="56"/>
      <c r="C221" s="55"/>
      <c r="D221" s="54"/>
      <c r="E221" s="52"/>
      <c r="F221" s="52"/>
      <c r="G221" s="53"/>
      <c r="H221" s="52"/>
      <c r="I221" s="52"/>
      <c r="J221" s="52"/>
      <c r="K221" s="53"/>
      <c r="L221" s="52"/>
      <c r="M221" s="51"/>
      <c r="N221" s="51"/>
      <c r="O221" s="51"/>
      <c r="P221" s="56"/>
      <c r="Q221" s="5" t="s">
        <v>4</v>
      </c>
      <c r="R221" s="5" t="s">
        <v>3</v>
      </c>
    </row>
    <row r="222" spans="1:18" x14ac:dyDescent="0.25">
      <c r="A222" s="49">
        <v>859</v>
      </c>
      <c r="B222" s="48" t="s">
        <v>845</v>
      </c>
      <c r="C222" s="47">
        <v>50</v>
      </c>
      <c r="D222" s="46">
        <v>20</v>
      </c>
      <c r="E222" s="44">
        <v>23</v>
      </c>
      <c r="F222" s="44">
        <f>1.8*E222+32</f>
        <v>73.400000000000006</v>
      </c>
      <c r="G222" s="45">
        <v>15</v>
      </c>
      <c r="H222" s="44">
        <f>IF(F222&gt;68,G222+(F222-68)*0.2,#REF!-(68-F222)*0.2)</f>
        <v>16.080000000000002</v>
      </c>
      <c r="I222" s="44">
        <v>23</v>
      </c>
      <c r="J222" s="44">
        <f>1.8*I222+32</f>
        <v>73.400000000000006</v>
      </c>
      <c r="K222" s="45">
        <v>5</v>
      </c>
      <c r="L222" s="44">
        <f>IF(J222&gt;68,K222+(J222-68)*0.2,K222-(68-J222)*0.2)</f>
        <v>6.080000000000001</v>
      </c>
      <c r="M222" s="43">
        <f>(C222-H222)/C222*100</f>
        <v>67.84</v>
      </c>
      <c r="N222" s="43">
        <f>100-(M222+O222)</f>
        <v>20</v>
      </c>
      <c r="O222" s="43">
        <f>L222/C222*100</f>
        <v>12.160000000000002</v>
      </c>
      <c r="P222" s="42" t="s">
        <v>0</v>
      </c>
      <c r="Q222" s="41">
        <v>407529.60399999999</v>
      </c>
      <c r="R222" s="62">
        <v>3659948.99</v>
      </c>
    </row>
    <row r="223" spans="1:18" x14ac:dyDescent="0.25">
      <c r="A223" s="49">
        <v>859</v>
      </c>
      <c r="B223" s="48" t="s">
        <v>844</v>
      </c>
      <c r="C223" s="47">
        <v>50</v>
      </c>
      <c r="D223" s="46">
        <v>20</v>
      </c>
      <c r="E223" s="44">
        <v>23</v>
      </c>
      <c r="F223" s="44">
        <f>1.8*E223+32</f>
        <v>73.400000000000006</v>
      </c>
      <c r="G223" s="45">
        <v>15</v>
      </c>
      <c r="H223" s="44">
        <f>IF(F223&gt;68,G223+(F223-68)*0.2,Y254-(68-F223)*0.2)</f>
        <v>16.080000000000002</v>
      </c>
      <c r="I223" s="44">
        <v>23</v>
      </c>
      <c r="J223" s="44">
        <f>1.8*I223+32</f>
        <v>73.400000000000006</v>
      </c>
      <c r="K223" s="45">
        <v>8</v>
      </c>
      <c r="L223" s="44">
        <f>IF(J223&gt;68,K223+(J223-68)*0.2,K223-(68-J223)*0.2)</f>
        <v>9.0800000000000018</v>
      </c>
      <c r="M223" s="43">
        <f>(C223-H223)/C223*100</f>
        <v>67.84</v>
      </c>
      <c r="N223" s="43">
        <f>100-(M223+O223)</f>
        <v>14</v>
      </c>
      <c r="O223" s="43">
        <f>L223/C223*100</f>
        <v>18.160000000000004</v>
      </c>
      <c r="P223" s="42" t="s">
        <v>0</v>
      </c>
      <c r="Q223" s="41">
        <v>407529.60399999999</v>
      </c>
      <c r="R223" s="62">
        <v>3659948.99</v>
      </c>
    </row>
    <row r="224" spans="1:18" x14ac:dyDescent="0.25">
      <c r="A224" s="49">
        <v>859</v>
      </c>
      <c r="B224" s="48" t="s">
        <v>843</v>
      </c>
      <c r="C224" s="47">
        <v>50</v>
      </c>
      <c r="D224" s="46">
        <v>20</v>
      </c>
      <c r="E224" s="44">
        <v>23</v>
      </c>
      <c r="F224" s="44">
        <f>1.8*E224+32</f>
        <v>73.400000000000006</v>
      </c>
      <c r="G224" s="45">
        <v>15</v>
      </c>
      <c r="H224" s="44">
        <f>IF(F224&gt;68,G224+(F224-68)*0.2,Y255-(68-F224)*0.2)</f>
        <v>16.080000000000002</v>
      </c>
      <c r="I224" s="44">
        <v>23</v>
      </c>
      <c r="J224" s="44">
        <f>1.8*I224+32</f>
        <v>73.400000000000006</v>
      </c>
      <c r="K224" s="45">
        <v>7</v>
      </c>
      <c r="L224" s="44">
        <f>IF(J224&gt;68,K224+(J224-68)*0.2,K224-(68-J224)*0.2)</f>
        <v>8.0800000000000018</v>
      </c>
      <c r="M224" s="43">
        <f>(C224-H224)/C224*100</f>
        <v>67.84</v>
      </c>
      <c r="N224" s="43">
        <f>100-(M224+O224)</f>
        <v>16</v>
      </c>
      <c r="O224" s="43">
        <f>L224/C224*100</f>
        <v>16.160000000000004</v>
      </c>
      <c r="P224" s="42" t="s">
        <v>0</v>
      </c>
      <c r="Q224" s="41">
        <v>407529.60399999999</v>
      </c>
      <c r="R224" s="62">
        <v>3659948.99</v>
      </c>
    </row>
    <row r="225" spans="1:18" x14ac:dyDescent="0.25">
      <c r="A225" s="49">
        <v>859</v>
      </c>
      <c r="B225" s="48" t="s">
        <v>842</v>
      </c>
      <c r="C225" s="47">
        <v>50</v>
      </c>
      <c r="D225" s="46">
        <v>20</v>
      </c>
      <c r="E225" s="44">
        <v>23</v>
      </c>
      <c r="F225" s="44">
        <f>1.8*E225+32</f>
        <v>73.400000000000006</v>
      </c>
      <c r="G225" s="45">
        <v>17</v>
      </c>
      <c r="H225" s="44">
        <f>IF(F225&gt;68,G225+(F225-68)*0.2,Y256-(68-F225)*0.2)</f>
        <v>18.080000000000002</v>
      </c>
      <c r="I225" s="44">
        <v>23</v>
      </c>
      <c r="J225" s="44">
        <f>1.8*I225+32</f>
        <v>73.400000000000006</v>
      </c>
      <c r="K225" s="45">
        <v>9</v>
      </c>
      <c r="L225" s="44">
        <f>IF(J225&gt;68,K225+(J225-68)*0.2,K225-(68-J225)*0.2)</f>
        <v>10.080000000000002</v>
      </c>
      <c r="M225" s="43">
        <f>(C225-H225)/C225*100</f>
        <v>63.839999999999996</v>
      </c>
      <c r="N225" s="43">
        <f>100-(M225+O225)</f>
        <v>16</v>
      </c>
      <c r="O225" s="43">
        <f>L225/C225*100</f>
        <v>20.160000000000004</v>
      </c>
      <c r="P225" s="42" t="s">
        <v>2</v>
      </c>
      <c r="Q225" s="41">
        <v>407529.60399999999</v>
      </c>
      <c r="R225" s="62">
        <v>3659948.99</v>
      </c>
    </row>
    <row r="226" spans="1:18" x14ac:dyDescent="0.25">
      <c r="A226" s="49">
        <v>859</v>
      </c>
      <c r="B226" s="48" t="s">
        <v>841</v>
      </c>
      <c r="C226" s="47">
        <v>50</v>
      </c>
      <c r="D226" s="46">
        <v>20</v>
      </c>
      <c r="E226" s="44">
        <v>23</v>
      </c>
      <c r="F226" s="44">
        <f>1.8*E226+32</f>
        <v>73.400000000000006</v>
      </c>
      <c r="G226" s="45">
        <v>21</v>
      </c>
      <c r="H226" s="44">
        <f>IF(F226&gt;68,G226+(F226-68)*0.2,Y257-(68-F226)*0.2)</f>
        <v>22.080000000000002</v>
      </c>
      <c r="I226" s="44">
        <v>23</v>
      </c>
      <c r="J226" s="44">
        <f>1.8*I226+32</f>
        <v>73.400000000000006</v>
      </c>
      <c r="K226" s="45">
        <v>10</v>
      </c>
      <c r="L226" s="44">
        <f>IF(J226&gt;68,K226+(J226-68)*0.2,K226-(68-J226)*0.2)</f>
        <v>11.080000000000002</v>
      </c>
      <c r="M226" s="43">
        <f>(C226-H226)/C226*100</f>
        <v>55.84</v>
      </c>
      <c r="N226" s="43">
        <f>100-(M226+O226)</f>
        <v>22</v>
      </c>
      <c r="O226" s="43">
        <f>L226/C226*100</f>
        <v>22.160000000000004</v>
      </c>
      <c r="P226" s="42" t="s">
        <v>2</v>
      </c>
      <c r="Q226" s="41">
        <v>407529.60399999999</v>
      </c>
      <c r="R226" s="62">
        <v>3659948.99</v>
      </c>
    </row>
    <row r="227" spans="1:18" x14ac:dyDescent="0.25">
      <c r="A227" s="49">
        <v>859</v>
      </c>
      <c r="B227" s="48" t="s">
        <v>839</v>
      </c>
      <c r="C227" s="47">
        <v>50</v>
      </c>
      <c r="D227" s="46">
        <v>20</v>
      </c>
      <c r="E227" s="44">
        <v>23</v>
      </c>
      <c r="F227" s="44">
        <f>1.8*E227+32</f>
        <v>73.400000000000006</v>
      </c>
      <c r="G227" s="45">
        <v>22</v>
      </c>
      <c r="H227" s="44">
        <f>IF(F227&gt;68,G227+(F227-68)*0.2,Y258-(68-F227)*0.2)</f>
        <v>23.080000000000002</v>
      </c>
      <c r="I227" s="44">
        <v>23</v>
      </c>
      <c r="J227" s="44">
        <f>1.8*I227+32</f>
        <v>73.400000000000006</v>
      </c>
      <c r="K227" s="45">
        <v>10</v>
      </c>
      <c r="L227" s="44">
        <f>IF(J227&gt;68,K227+(J227-68)*0.2,K227-(68-J227)*0.2)</f>
        <v>11.080000000000002</v>
      </c>
      <c r="M227" s="43">
        <f>(C227-H227)/C227*100</f>
        <v>53.839999999999996</v>
      </c>
      <c r="N227" s="43">
        <f>100-(M227+O227)</f>
        <v>24</v>
      </c>
      <c r="O227" s="43">
        <f>L227/C227*100</f>
        <v>22.160000000000004</v>
      </c>
      <c r="P227" s="42" t="s">
        <v>2</v>
      </c>
      <c r="Q227" s="41">
        <v>407529.60399999999</v>
      </c>
      <c r="R227" s="62">
        <v>3659948.99</v>
      </c>
    </row>
    <row r="228" spans="1:18" x14ac:dyDescent="0.25">
      <c r="A228" s="61"/>
      <c r="B228" s="58"/>
      <c r="C228" s="58"/>
      <c r="D228" s="58"/>
      <c r="E228" s="58"/>
      <c r="F228" s="58"/>
      <c r="G228" s="60"/>
      <c r="H228" s="58"/>
      <c r="I228" s="58"/>
      <c r="J228" s="58"/>
      <c r="K228" s="60"/>
      <c r="L228" s="58"/>
      <c r="M228" s="59"/>
      <c r="N228" s="59"/>
      <c r="O228" s="59"/>
      <c r="P228" s="58"/>
    </row>
    <row r="229" spans="1:18" x14ac:dyDescent="0.25">
      <c r="A229" s="57"/>
      <c r="B229" s="56"/>
      <c r="C229" s="55"/>
      <c r="D229" s="54"/>
      <c r="E229" s="52"/>
      <c r="F229" s="52"/>
      <c r="G229" s="53"/>
      <c r="H229" s="52"/>
      <c r="I229" s="52"/>
      <c r="J229" s="52"/>
      <c r="K229" s="53"/>
      <c r="L229" s="52"/>
      <c r="M229" s="51"/>
      <c r="N229" s="51"/>
      <c r="O229" s="51"/>
      <c r="P229" s="56"/>
      <c r="Q229" s="5" t="s">
        <v>4</v>
      </c>
      <c r="R229" s="5" t="s">
        <v>3</v>
      </c>
    </row>
    <row r="230" spans="1:18" x14ac:dyDescent="0.25">
      <c r="A230" s="49">
        <v>900</v>
      </c>
      <c r="B230" s="48" t="s">
        <v>845</v>
      </c>
      <c r="C230" s="47">
        <v>50</v>
      </c>
      <c r="D230" s="46">
        <v>20</v>
      </c>
      <c r="E230" s="44">
        <v>23</v>
      </c>
      <c r="F230" s="44">
        <f>1.8*E230+32</f>
        <v>73.400000000000006</v>
      </c>
      <c r="G230" s="45">
        <v>19</v>
      </c>
      <c r="H230" s="44">
        <f>IF(F230&gt;68,G230+(F230-68)*0.2,#REF!-(68-F230)*0.2)</f>
        <v>20.080000000000002</v>
      </c>
      <c r="I230" s="44">
        <v>23</v>
      </c>
      <c r="J230" s="44">
        <f>1.8*I230+32</f>
        <v>73.400000000000006</v>
      </c>
      <c r="K230" s="45">
        <v>8</v>
      </c>
      <c r="L230" s="44">
        <f>IF(J230&gt;68,K230+(J230-68)*0.2,K230-(68-J230)*0.2)</f>
        <v>9.0800000000000018</v>
      </c>
      <c r="M230" s="43">
        <f>(C230-H230)/C230*100</f>
        <v>59.839999999999996</v>
      </c>
      <c r="N230" s="43">
        <f>100-(M230+O230)</f>
        <v>22</v>
      </c>
      <c r="O230" s="43">
        <f>L230/C230*100</f>
        <v>18.160000000000004</v>
      </c>
      <c r="P230" s="42" t="s">
        <v>0</v>
      </c>
      <c r="Q230" s="41">
        <v>407526.34100000001</v>
      </c>
      <c r="R230" s="41">
        <v>3659907.2919999999</v>
      </c>
    </row>
    <row r="231" spans="1:18" x14ac:dyDescent="0.25">
      <c r="A231" s="49">
        <v>900</v>
      </c>
      <c r="B231" s="48" t="s">
        <v>844</v>
      </c>
      <c r="C231" s="47">
        <v>50</v>
      </c>
      <c r="D231" s="46">
        <v>20</v>
      </c>
      <c r="E231" s="44">
        <v>23</v>
      </c>
      <c r="F231" s="44">
        <f>1.8*E231+32</f>
        <v>73.400000000000006</v>
      </c>
      <c r="G231" s="45">
        <v>25</v>
      </c>
      <c r="H231" s="44">
        <f>IF(F231&gt;68,G231+(F231-68)*0.2,Y262-(68-F231)*0.2)</f>
        <v>26.080000000000002</v>
      </c>
      <c r="I231" s="44">
        <v>23</v>
      </c>
      <c r="J231" s="44">
        <f>1.8*I231+32</f>
        <v>73.400000000000006</v>
      </c>
      <c r="K231" s="45">
        <v>11</v>
      </c>
      <c r="L231" s="44">
        <f>IF(J231&gt;68,K231+(J231-68)*0.2,K231-(68-J231)*0.2)</f>
        <v>12.080000000000002</v>
      </c>
      <c r="M231" s="43">
        <f>(C231-H231)/C231*100</f>
        <v>47.839999999999996</v>
      </c>
      <c r="N231" s="43">
        <f>100-(M231+O231)</f>
        <v>28</v>
      </c>
      <c r="O231" s="43">
        <f>L231/C231*100</f>
        <v>24.160000000000004</v>
      </c>
      <c r="P231" s="42" t="s">
        <v>2</v>
      </c>
      <c r="Q231" s="41">
        <v>407526.34100000001</v>
      </c>
      <c r="R231" s="41">
        <v>3659907.2919999999</v>
      </c>
    </row>
    <row r="232" spans="1:18" x14ac:dyDescent="0.25">
      <c r="A232" s="49">
        <v>900</v>
      </c>
      <c r="B232" s="48" t="s">
        <v>843</v>
      </c>
      <c r="C232" s="47">
        <v>50</v>
      </c>
      <c r="D232" s="46">
        <v>20</v>
      </c>
      <c r="E232" s="44">
        <v>23</v>
      </c>
      <c r="F232" s="44">
        <f>1.8*E232+32</f>
        <v>73.400000000000006</v>
      </c>
      <c r="G232" s="45">
        <v>32</v>
      </c>
      <c r="H232" s="44">
        <f>IF(F232&gt;68,G232+(F232-68)*0.2,Y263-(68-F232)*0.2)</f>
        <v>33.08</v>
      </c>
      <c r="I232" s="44">
        <v>23</v>
      </c>
      <c r="J232" s="44">
        <f>1.8*I232+32</f>
        <v>73.400000000000006</v>
      </c>
      <c r="K232" s="45">
        <v>12</v>
      </c>
      <c r="L232" s="44">
        <f>IF(J232&gt;68,K232+(J232-68)*0.2,K232-(68-J232)*0.2)</f>
        <v>13.080000000000002</v>
      </c>
      <c r="M232" s="43">
        <f>(C232-H232)/C232*100</f>
        <v>33.840000000000003</v>
      </c>
      <c r="N232" s="43">
        <f>100-(M232+O232)</f>
        <v>39.999999999999993</v>
      </c>
      <c r="O232" s="43">
        <f>L232/C232*100</f>
        <v>26.160000000000004</v>
      </c>
      <c r="P232" s="42" t="s">
        <v>22</v>
      </c>
      <c r="Q232" s="41">
        <v>407526.34100000001</v>
      </c>
      <c r="R232" s="41">
        <v>3659907.2919999999</v>
      </c>
    </row>
    <row r="233" spans="1:18" x14ac:dyDescent="0.25">
      <c r="A233" s="49">
        <v>900</v>
      </c>
      <c r="B233" s="48" t="s">
        <v>842</v>
      </c>
      <c r="C233" s="47">
        <v>50</v>
      </c>
      <c r="D233" s="46">
        <v>20</v>
      </c>
      <c r="E233" s="44">
        <v>23</v>
      </c>
      <c r="F233" s="44">
        <f>1.8*E233+32</f>
        <v>73.400000000000006</v>
      </c>
      <c r="G233" s="45">
        <v>26</v>
      </c>
      <c r="H233" s="44">
        <f>IF(F233&gt;68,G233+(F233-68)*0.2,Y264-(68-F233)*0.2)</f>
        <v>27.080000000000002</v>
      </c>
      <c r="I233" s="44">
        <v>23</v>
      </c>
      <c r="J233" s="44">
        <f>1.8*I233+32</f>
        <v>73.400000000000006</v>
      </c>
      <c r="K233" s="45">
        <v>12</v>
      </c>
      <c r="L233" s="44">
        <f>IF(J233&gt;68,K233+(J233-68)*0.2,K233-(68-J233)*0.2)</f>
        <v>13.080000000000002</v>
      </c>
      <c r="M233" s="43">
        <f>(C233-H233)/C233*100</f>
        <v>45.839999999999996</v>
      </c>
      <c r="N233" s="43">
        <f>100-(M233+O233)</f>
        <v>28</v>
      </c>
      <c r="O233" s="43">
        <f>L233/C233*100</f>
        <v>26.160000000000004</v>
      </c>
      <c r="P233" s="42" t="s">
        <v>2</v>
      </c>
      <c r="Q233" s="41">
        <v>407526.34100000001</v>
      </c>
      <c r="R233" s="41">
        <v>3659907.2919999999</v>
      </c>
    </row>
    <row r="234" spans="1:18" x14ac:dyDescent="0.25">
      <c r="A234" s="49">
        <v>900</v>
      </c>
      <c r="B234" s="48" t="s">
        <v>841</v>
      </c>
      <c r="C234" s="47">
        <v>50</v>
      </c>
      <c r="D234" s="46">
        <v>20</v>
      </c>
      <c r="E234" s="44">
        <v>23</v>
      </c>
      <c r="F234" s="44">
        <f>1.8*E234+32</f>
        <v>73.400000000000006</v>
      </c>
      <c r="G234" s="45">
        <v>20</v>
      </c>
      <c r="H234" s="44">
        <f>IF(F234&gt;68,G234+(F234-68)*0.2,Y265-(68-F234)*0.2)</f>
        <v>21.080000000000002</v>
      </c>
      <c r="I234" s="44">
        <v>23</v>
      </c>
      <c r="J234" s="44">
        <f>1.8*I234+32</f>
        <v>73.400000000000006</v>
      </c>
      <c r="K234" s="45">
        <v>7</v>
      </c>
      <c r="L234" s="44">
        <f>IF(J234&gt;68,K234+(J234-68)*0.2,K234-(68-J234)*0.2)</f>
        <v>8.0800000000000018</v>
      </c>
      <c r="M234" s="43">
        <f>(C234-H234)/C234*100</f>
        <v>57.839999999999989</v>
      </c>
      <c r="N234" s="43">
        <f>100-(M234+O234)</f>
        <v>26</v>
      </c>
      <c r="O234" s="43">
        <f>L234/C234*100</f>
        <v>16.160000000000004</v>
      </c>
      <c r="P234" s="42" t="s">
        <v>0</v>
      </c>
      <c r="Q234" s="41">
        <v>407526.34100000001</v>
      </c>
      <c r="R234" s="41">
        <v>3659907.2919999999</v>
      </c>
    </row>
    <row r="235" spans="1:18" x14ac:dyDescent="0.25">
      <c r="A235" s="49">
        <v>900</v>
      </c>
      <c r="B235" s="48" t="s">
        <v>839</v>
      </c>
      <c r="C235" s="47">
        <v>50</v>
      </c>
      <c r="D235" s="46">
        <v>20</v>
      </c>
      <c r="E235" s="44">
        <v>23</v>
      </c>
      <c r="F235" s="44">
        <f>1.8*E235+32</f>
        <v>73.400000000000006</v>
      </c>
      <c r="G235" s="45">
        <v>11</v>
      </c>
      <c r="H235" s="44">
        <f>IF(F235&gt;68,G235+(F235-68)*0.2,Y266-(68-F235)*0.2)</f>
        <v>12.080000000000002</v>
      </c>
      <c r="I235" s="44">
        <v>23</v>
      </c>
      <c r="J235" s="44">
        <f>1.8*I235+32</f>
        <v>73.400000000000006</v>
      </c>
      <c r="K235" s="45">
        <v>4</v>
      </c>
      <c r="L235" s="44">
        <f>IF(J235&gt;68,K235+(J235-68)*0.2,K235-(68-J235)*0.2)</f>
        <v>5.080000000000001</v>
      </c>
      <c r="M235" s="43">
        <f>(C235-H235)/C235*100</f>
        <v>75.84</v>
      </c>
      <c r="N235" s="43">
        <f>100-(M235+O235)</f>
        <v>14</v>
      </c>
      <c r="O235" s="43">
        <f>L235/C235*100</f>
        <v>10.160000000000002</v>
      </c>
      <c r="P235" s="42" t="s">
        <v>0</v>
      </c>
      <c r="Q235" s="41">
        <v>407526.34100000001</v>
      </c>
      <c r="R235" s="41">
        <v>3659907.2919999999</v>
      </c>
    </row>
    <row r="236" spans="1:18" x14ac:dyDescent="0.25">
      <c r="A236" s="61"/>
      <c r="B236" s="58"/>
      <c r="C236" s="58"/>
      <c r="D236" s="58"/>
      <c r="E236" s="58"/>
      <c r="F236" s="58"/>
      <c r="G236" s="60"/>
      <c r="H236" s="58"/>
      <c r="I236" s="58"/>
      <c r="J236" s="58"/>
      <c r="K236" s="60"/>
      <c r="L236" s="58"/>
      <c r="M236" s="59"/>
      <c r="N236" s="59"/>
      <c r="O236" s="59"/>
      <c r="P236" s="58"/>
    </row>
    <row r="237" spans="1:18" x14ac:dyDescent="0.25">
      <c r="A237" s="57"/>
      <c r="B237" s="56"/>
      <c r="C237" s="55"/>
      <c r="D237" s="54"/>
      <c r="E237" s="52"/>
      <c r="F237" s="52"/>
      <c r="G237" s="53"/>
      <c r="H237" s="52"/>
      <c r="I237" s="52"/>
      <c r="J237" s="52"/>
      <c r="K237" s="53"/>
      <c r="L237" s="52"/>
      <c r="M237" s="51"/>
      <c r="N237" s="51"/>
      <c r="O237" s="51"/>
      <c r="P237" s="56"/>
      <c r="Q237" s="5" t="s">
        <v>4</v>
      </c>
      <c r="R237" s="5" t="s">
        <v>3</v>
      </c>
    </row>
    <row r="238" spans="1:18" x14ac:dyDescent="0.25">
      <c r="A238" s="49">
        <v>918</v>
      </c>
      <c r="B238" s="48" t="s">
        <v>845</v>
      </c>
      <c r="C238" s="47">
        <v>50</v>
      </c>
      <c r="D238" s="46">
        <v>20</v>
      </c>
      <c r="E238" s="44">
        <v>22</v>
      </c>
      <c r="F238" s="44">
        <f>1.8*E238+32</f>
        <v>71.599999999999994</v>
      </c>
      <c r="G238" s="45">
        <v>14</v>
      </c>
      <c r="H238" s="44">
        <f>IF(F238&gt;68,G238+(F238-68)*0.2,#REF!-(68-F238)*0.2)</f>
        <v>14.719999999999999</v>
      </c>
      <c r="I238" s="44">
        <v>23</v>
      </c>
      <c r="J238" s="44">
        <f>1.8*I238+32</f>
        <v>73.400000000000006</v>
      </c>
      <c r="K238" s="45">
        <v>6</v>
      </c>
      <c r="L238" s="44">
        <f>IF(J238&gt;68,K238+(J238-68)*0.2,K238-(68-J238)*0.2)</f>
        <v>7.080000000000001</v>
      </c>
      <c r="M238" s="43">
        <f>(C238-H238)/C238*100</f>
        <v>70.56</v>
      </c>
      <c r="N238" s="43">
        <f>100-(M238+O238)</f>
        <v>15.280000000000001</v>
      </c>
      <c r="O238" s="43">
        <f>L238/C238*100</f>
        <v>14.160000000000004</v>
      </c>
      <c r="P238" s="42" t="s">
        <v>0</v>
      </c>
      <c r="Q238" s="41">
        <v>407527.45799999998</v>
      </c>
      <c r="R238" s="41">
        <v>3659969.4739999999</v>
      </c>
    </row>
    <row r="239" spans="1:18" x14ac:dyDescent="0.25">
      <c r="A239" s="49">
        <v>918</v>
      </c>
      <c r="B239" s="48" t="s">
        <v>844</v>
      </c>
      <c r="C239" s="47">
        <v>50</v>
      </c>
      <c r="D239" s="46">
        <v>20</v>
      </c>
      <c r="E239" s="44">
        <v>22</v>
      </c>
      <c r="F239" s="44">
        <f>1.8*E239+32</f>
        <v>71.599999999999994</v>
      </c>
      <c r="G239" s="45">
        <v>16</v>
      </c>
      <c r="H239" s="44">
        <f>IF(F239&gt;68,G239+(F239-68)*0.2,Y270-(68-F239)*0.2)</f>
        <v>16.72</v>
      </c>
      <c r="I239" s="44">
        <v>23</v>
      </c>
      <c r="J239" s="44">
        <f>1.8*I239+32</f>
        <v>73.400000000000006</v>
      </c>
      <c r="K239" s="45">
        <v>8</v>
      </c>
      <c r="L239" s="44">
        <f>IF(J239&gt;68,K239+(J239-68)*0.2,K239-(68-J239)*0.2)</f>
        <v>9.0800000000000018</v>
      </c>
      <c r="M239" s="43">
        <f>(C239-H239)/C239*100</f>
        <v>66.56</v>
      </c>
      <c r="N239" s="43">
        <f>100-(M239+O239)</f>
        <v>15.280000000000001</v>
      </c>
      <c r="O239" s="43">
        <f>L239/C239*100</f>
        <v>18.160000000000004</v>
      </c>
      <c r="P239" s="42" t="s">
        <v>0</v>
      </c>
      <c r="Q239" s="41">
        <v>407527.45799999998</v>
      </c>
      <c r="R239" s="41">
        <v>3659969.4739999999</v>
      </c>
    </row>
    <row r="240" spans="1:18" x14ac:dyDescent="0.25">
      <c r="A240" s="49">
        <v>918</v>
      </c>
      <c r="B240" s="48" t="s">
        <v>843</v>
      </c>
      <c r="C240" s="47">
        <v>50</v>
      </c>
      <c r="D240" s="46">
        <v>20</v>
      </c>
      <c r="E240" s="44">
        <v>23</v>
      </c>
      <c r="F240" s="44">
        <f>1.8*E240+32</f>
        <v>73.400000000000006</v>
      </c>
      <c r="G240" s="45">
        <v>12</v>
      </c>
      <c r="H240" s="44">
        <f>IF(F240&gt;68,G240+(F240-68)*0.2,Y271-(68-F240)*0.2)</f>
        <v>13.080000000000002</v>
      </c>
      <c r="I240" s="44">
        <v>23</v>
      </c>
      <c r="J240" s="44">
        <f>1.8*I240+32</f>
        <v>73.400000000000006</v>
      </c>
      <c r="K240" s="45">
        <v>5</v>
      </c>
      <c r="L240" s="44">
        <f>IF(J240&gt;68,K240+(J240-68)*0.2,K240-(68-J240)*0.2)</f>
        <v>6.080000000000001</v>
      </c>
      <c r="M240" s="43">
        <f>(C240-H240)/C240*100</f>
        <v>73.84</v>
      </c>
      <c r="N240" s="43">
        <f>100-(M240+O240)</f>
        <v>14</v>
      </c>
      <c r="O240" s="43">
        <f>L240/C240*100</f>
        <v>12.160000000000002</v>
      </c>
      <c r="P240" s="42" t="s">
        <v>0</v>
      </c>
      <c r="Q240" s="41">
        <v>407527.45799999998</v>
      </c>
      <c r="R240" s="41">
        <v>3659969.4739999999</v>
      </c>
    </row>
    <row r="241" spans="1:18" x14ac:dyDescent="0.25">
      <c r="A241" s="49">
        <v>918</v>
      </c>
      <c r="B241" s="48" t="s">
        <v>842</v>
      </c>
      <c r="C241" s="47">
        <v>50</v>
      </c>
      <c r="D241" s="46">
        <v>20</v>
      </c>
      <c r="E241" s="44">
        <v>23</v>
      </c>
      <c r="F241" s="44">
        <f>1.8*E241+32</f>
        <v>73.400000000000006</v>
      </c>
      <c r="G241" s="45">
        <v>16</v>
      </c>
      <c r="H241" s="44">
        <f>IF(F241&gt;68,G241+(F241-68)*0.2,Y272-(68-F241)*0.2)</f>
        <v>17.080000000000002</v>
      </c>
      <c r="I241" s="44">
        <v>23</v>
      </c>
      <c r="J241" s="44">
        <f>1.8*I241+32</f>
        <v>73.400000000000006</v>
      </c>
      <c r="K241" s="45">
        <v>7</v>
      </c>
      <c r="L241" s="44">
        <f>IF(J241&gt;68,K241+(J241-68)*0.2,K241-(68-J241)*0.2)</f>
        <v>8.0800000000000018</v>
      </c>
      <c r="M241" s="43">
        <f>(C241-H241)/C241*100</f>
        <v>65.84</v>
      </c>
      <c r="N241" s="43">
        <f>100-(M241+O241)</f>
        <v>18</v>
      </c>
      <c r="O241" s="43">
        <f>L241/C241*100</f>
        <v>16.160000000000004</v>
      </c>
      <c r="P241" s="42" t="s">
        <v>0</v>
      </c>
      <c r="Q241" s="41">
        <v>407527.45799999998</v>
      </c>
      <c r="R241" s="41">
        <v>3659969.4739999999</v>
      </c>
    </row>
    <row r="242" spans="1:18" x14ac:dyDescent="0.25">
      <c r="A242" s="49">
        <v>918</v>
      </c>
      <c r="B242" s="48" t="s">
        <v>841</v>
      </c>
      <c r="C242" s="47">
        <v>50</v>
      </c>
      <c r="D242" s="46">
        <v>20</v>
      </c>
      <c r="E242" s="44">
        <v>23</v>
      </c>
      <c r="F242" s="44">
        <f>1.8*E242+32</f>
        <v>73.400000000000006</v>
      </c>
      <c r="G242" s="45">
        <v>12</v>
      </c>
      <c r="H242" s="44">
        <f>IF(F242&gt;68,G242+(F242-68)*0.2,Y273-(68-F242)*0.2)</f>
        <v>13.080000000000002</v>
      </c>
      <c r="I242" s="44">
        <v>23</v>
      </c>
      <c r="J242" s="44">
        <f>1.8*I242+32</f>
        <v>73.400000000000006</v>
      </c>
      <c r="K242" s="45">
        <v>6</v>
      </c>
      <c r="L242" s="44">
        <f>IF(J242&gt;68,K242+(J242-68)*0.2,K242-(68-J242)*0.2)</f>
        <v>7.080000000000001</v>
      </c>
      <c r="M242" s="43">
        <f>(C242-H242)/C242*100</f>
        <v>73.84</v>
      </c>
      <c r="N242" s="43">
        <f>100-(M242+O242)</f>
        <v>12</v>
      </c>
      <c r="O242" s="43">
        <f>L242/C242*100</f>
        <v>14.160000000000004</v>
      </c>
      <c r="P242" s="42" t="s">
        <v>0</v>
      </c>
      <c r="Q242" s="41">
        <v>407527.45799999998</v>
      </c>
      <c r="R242" s="41">
        <v>3659969.4739999999</v>
      </c>
    </row>
    <row r="243" spans="1:18" x14ac:dyDescent="0.25">
      <c r="A243" s="49">
        <v>918</v>
      </c>
      <c r="B243" s="48" t="s">
        <v>839</v>
      </c>
      <c r="C243" s="47">
        <v>50</v>
      </c>
      <c r="D243" s="46">
        <v>20</v>
      </c>
      <c r="E243" s="44">
        <v>23</v>
      </c>
      <c r="F243" s="44">
        <f>1.8*E243+32</f>
        <v>73.400000000000006</v>
      </c>
      <c r="G243" s="45">
        <v>12</v>
      </c>
      <c r="H243" s="44">
        <f>IF(F243&gt;68,G243+(F243-68)*0.2,Y274-(68-F243)*0.2)</f>
        <v>13.080000000000002</v>
      </c>
      <c r="I243" s="44">
        <v>23</v>
      </c>
      <c r="J243" s="44">
        <f>1.8*I243+32</f>
        <v>73.400000000000006</v>
      </c>
      <c r="K243" s="45">
        <v>5</v>
      </c>
      <c r="L243" s="44">
        <f>IF(J243&gt;68,K243+(J243-68)*0.2,K243-(68-J243)*0.2)</f>
        <v>6.080000000000001</v>
      </c>
      <c r="M243" s="43">
        <f>(C243-H243)/C243*100</f>
        <v>73.84</v>
      </c>
      <c r="N243" s="43">
        <f>100-(M243+O243)</f>
        <v>14</v>
      </c>
      <c r="O243" s="43">
        <f>L243/C243*100</f>
        <v>12.160000000000002</v>
      </c>
      <c r="P243" s="42" t="s">
        <v>0</v>
      </c>
      <c r="Q243" s="41">
        <v>407527.45799999998</v>
      </c>
      <c r="R243" s="41">
        <v>3659969.4739999999</v>
      </c>
    </row>
    <row r="244" spans="1:18" x14ac:dyDescent="0.25">
      <c r="A244" s="61"/>
      <c r="B244" s="58"/>
      <c r="C244" s="58"/>
      <c r="D244" s="58"/>
      <c r="E244" s="58"/>
      <c r="F244" s="58"/>
      <c r="G244" s="60"/>
      <c r="H244" s="58"/>
      <c r="I244" s="58"/>
      <c r="J244" s="58"/>
      <c r="K244" s="60"/>
      <c r="L244" s="58"/>
      <c r="M244" s="59"/>
      <c r="N244" s="59"/>
      <c r="O244" s="59"/>
      <c r="P244" s="58"/>
    </row>
    <row r="245" spans="1:18" x14ac:dyDescent="0.25">
      <c r="A245" s="57"/>
      <c r="B245" s="56"/>
      <c r="C245" s="55"/>
      <c r="D245" s="54"/>
      <c r="E245" s="52"/>
      <c r="F245" s="52"/>
      <c r="G245" s="53"/>
      <c r="H245" s="52"/>
      <c r="I245" s="52"/>
      <c r="J245" s="52"/>
      <c r="K245" s="53"/>
      <c r="L245" s="52"/>
      <c r="M245" s="51"/>
      <c r="N245" s="51"/>
      <c r="O245" s="51"/>
      <c r="P245" s="56"/>
      <c r="Q245" s="5" t="s">
        <v>4</v>
      </c>
      <c r="R245" s="5" t="s">
        <v>3</v>
      </c>
    </row>
    <row r="246" spans="1:18" x14ac:dyDescent="0.25">
      <c r="A246" s="49">
        <v>1039</v>
      </c>
      <c r="B246" s="48" t="s">
        <v>845</v>
      </c>
      <c r="C246" s="47">
        <v>50</v>
      </c>
      <c r="D246" s="46">
        <v>20</v>
      </c>
      <c r="E246" s="44">
        <v>23</v>
      </c>
      <c r="F246" s="44">
        <f>1.8*E246+32</f>
        <v>73.400000000000006</v>
      </c>
      <c r="G246" s="45">
        <v>15</v>
      </c>
      <c r="H246" s="44">
        <f>IF(F246&gt;68,G246+(F246-68)*0.2,#REF!-(68-F246)*0.2)</f>
        <v>16.080000000000002</v>
      </c>
      <c r="I246" s="44">
        <v>23</v>
      </c>
      <c r="J246" s="44">
        <f>1.8*I246+32</f>
        <v>73.400000000000006</v>
      </c>
      <c r="K246" s="45">
        <v>7</v>
      </c>
      <c r="L246" s="44">
        <f>IF(J246&gt;68,K246+(J246-68)*0.2,K246-(68-J246)*0.2)</f>
        <v>8.0800000000000018</v>
      </c>
      <c r="M246" s="43">
        <f>(C246-H246)/C246*100</f>
        <v>67.84</v>
      </c>
      <c r="N246" s="43">
        <f>100-(M246+O246)</f>
        <v>16</v>
      </c>
      <c r="O246" s="43">
        <f>L246/C246*100</f>
        <v>16.160000000000004</v>
      </c>
      <c r="P246" s="42" t="s">
        <v>0</v>
      </c>
      <c r="Q246" s="41">
        <v>407509.98499999999</v>
      </c>
      <c r="R246" s="41">
        <v>3659907.483</v>
      </c>
    </row>
    <row r="247" spans="1:18" x14ac:dyDescent="0.25">
      <c r="A247" s="49">
        <v>1039</v>
      </c>
      <c r="B247" s="48" t="s">
        <v>844</v>
      </c>
      <c r="C247" s="47">
        <v>50</v>
      </c>
      <c r="D247" s="46">
        <v>20</v>
      </c>
      <c r="E247" s="44">
        <v>23</v>
      </c>
      <c r="F247" s="44">
        <f>1.8*E247+32</f>
        <v>73.400000000000006</v>
      </c>
      <c r="G247" s="45">
        <v>22</v>
      </c>
      <c r="H247" s="44">
        <f>IF(F247&gt;68,G247+(F247-68)*0.2,Y278-(68-F247)*0.2)</f>
        <v>23.080000000000002</v>
      </c>
      <c r="I247" s="44">
        <v>23</v>
      </c>
      <c r="J247" s="44">
        <f>1.8*I247+32</f>
        <v>73.400000000000006</v>
      </c>
      <c r="K247" s="45">
        <v>11</v>
      </c>
      <c r="L247" s="44">
        <f>IF(J247&gt;68,K247+(J247-68)*0.2,K247-(68-J247)*0.2)</f>
        <v>12.080000000000002</v>
      </c>
      <c r="M247" s="43">
        <f>(C247-H247)/C247*100</f>
        <v>53.839999999999996</v>
      </c>
      <c r="N247" s="43">
        <f>100-(M247+O247)</f>
        <v>22</v>
      </c>
      <c r="O247" s="43">
        <f>L247/C247*100</f>
        <v>24.160000000000004</v>
      </c>
      <c r="P247" s="42" t="s">
        <v>2</v>
      </c>
      <c r="Q247" s="41">
        <v>407509.98499999999</v>
      </c>
      <c r="R247" s="41">
        <v>3659907.483</v>
      </c>
    </row>
    <row r="248" spans="1:18" x14ac:dyDescent="0.25">
      <c r="A248" s="49">
        <v>1039</v>
      </c>
      <c r="B248" s="48" t="s">
        <v>843</v>
      </c>
      <c r="C248" s="47">
        <v>50</v>
      </c>
      <c r="D248" s="46">
        <v>20</v>
      </c>
      <c r="E248" s="44">
        <v>23</v>
      </c>
      <c r="F248" s="44">
        <f>1.8*E248+32</f>
        <v>73.400000000000006</v>
      </c>
      <c r="G248" s="45">
        <v>23</v>
      </c>
      <c r="H248" s="44">
        <f>IF(F248&gt;68,G248+(F248-68)*0.2,Y279-(68-F248)*0.2)</f>
        <v>24.080000000000002</v>
      </c>
      <c r="I248" s="44">
        <v>23</v>
      </c>
      <c r="J248" s="44">
        <f>1.8*I248+32</f>
        <v>73.400000000000006</v>
      </c>
      <c r="K248" s="45">
        <v>12</v>
      </c>
      <c r="L248" s="44">
        <f>IF(J248&gt;68,K248+(J248-68)*0.2,K248-(68-J248)*0.2)</f>
        <v>13.080000000000002</v>
      </c>
      <c r="M248" s="43">
        <f>(C248-H248)/C248*100</f>
        <v>51.839999999999996</v>
      </c>
      <c r="N248" s="43">
        <f>100-(M248+O248)</f>
        <v>22</v>
      </c>
      <c r="O248" s="43">
        <f>L248/C248*100</f>
        <v>26.160000000000004</v>
      </c>
      <c r="P248" s="42" t="s">
        <v>2</v>
      </c>
      <c r="Q248" s="41">
        <v>407509.98499999999</v>
      </c>
      <c r="R248" s="41">
        <v>3659907.483</v>
      </c>
    </row>
    <row r="249" spans="1:18" x14ac:dyDescent="0.25">
      <c r="A249" s="49">
        <v>1039</v>
      </c>
      <c r="B249" s="48" t="s">
        <v>842</v>
      </c>
      <c r="C249" s="47">
        <v>50</v>
      </c>
      <c r="D249" s="46">
        <v>20</v>
      </c>
      <c r="E249" s="44">
        <v>23</v>
      </c>
      <c r="F249" s="44">
        <f>1.8*E249+32</f>
        <v>73.400000000000006</v>
      </c>
      <c r="G249" s="45">
        <v>24</v>
      </c>
      <c r="H249" s="44">
        <f>IF(F249&gt;68,G249+(F249-68)*0.2,Y280-(68-F249)*0.2)</f>
        <v>25.080000000000002</v>
      </c>
      <c r="I249" s="44">
        <v>23</v>
      </c>
      <c r="J249" s="44">
        <f>1.8*I249+32</f>
        <v>73.400000000000006</v>
      </c>
      <c r="K249" s="45">
        <v>12</v>
      </c>
      <c r="L249" s="44">
        <f>IF(J249&gt;68,K249+(J249-68)*0.2,K249-(68-J249)*0.2)</f>
        <v>13.080000000000002</v>
      </c>
      <c r="M249" s="43">
        <f>(C249-H249)/C249*100</f>
        <v>49.839999999999996</v>
      </c>
      <c r="N249" s="43">
        <f>100-(M249+O249)</f>
        <v>24</v>
      </c>
      <c r="O249" s="43">
        <f>L249/C249*100</f>
        <v>26.160000000000004</v>
      </c>
      <c r="P249" s="42" t="s">
        <v>2</v>
      </c>
      <c r="Q249" s="41">
        <v>407509.98499999999</v>
      </c>
      <c r="R249" s="41">
        <v>3659907.483</v>
      </c>
    </row>
    <row r="250" spans="1:18" x14ac:dyDescent="0.25">
      <c r="A250" s="49">
        <v>1039</v>
      </c>
      <c r="B250" s="48" t="s">
        <v>841</v>
      </c>
      <c r="C250" s="47">
        <v>50</v>
      </c>
      <c r="D250" s="46">
        <v>20</v>
      </c>
      <c r="E250" s="44">
        <v>23</v>
      </c>
      <c r="F250" s="44">
        <f>1.8*E250+32</f>
        <v>73.400000000000006</v>
      </c>
      <c r="G250" s="45">
        <v>17</v>
      </c>
      <c r="H250" s="44">
        <f>IF(F250&gt;68,G250+(F250-68)*0.2,Y281-(68-F250)*0.2)</f>
        <v>18.080000000000002</v>
      </c>
      <c r="I250" s="44">
        <v>23</v>
      </c>
      <c r="J250" s="44">
        <f>1.8*I250+32</f>
        <v>73.400000000000006</v>
      </c>
      <c r="K250" s="45">
        <v>8</v>
      </c>
      <c r="L250" s="44">
        <f>IF(J250&gt;68,K250+(J250-68)*0.2,K250-(68-J250)*0.2)</f>
        <v>9.0800000000000018</v>
      </c>
      <c r="M250" s="43">
        <f>(C250-H250)/C250*100</f>
        <v>63.839999999999996</v>
      </c>
      <c r="N250" s="43">
        <f>100-(M250+O250)</f>
        <v>18</v>
      </c>
      <c r="O250" s="43">
        <f>L250/C250*100</f>
        <v>18.160000000000004</v>
      </c>
      <c r="P250" s="42" t="s">
        <v>0</v>
      </c>
      <c r="Q250" s="41">
        <v>407509.98499999999</v>
      </c>
      <c r="R250" s="41">
        <v>3659907.483</v>
      </c>
    </row>
    <row r="251" spans="1:18" x14ac:dyDescent="0.25">
      <c r="A251" s="49">
        <v>1039</v>
      </c>
      <c r="B251" s="48" t="s">
        <v>839</v>
      </c>
      <c r="C251" s="47">
        <v>50</v>
      </c>
      <c r="D251" s="46">
        <v>20</v>
      </c>
      <c r="E251" s="44">
        <v>23</v>
      </c>
      <c r="F251" s="44">
        <f>1.8*E251+32</f>
        <v>73.400000000000006</v>
      </c>
      <c r="G251" s="45">
        <v>15</v>
      </c>
      <c r="H251" s="44">
        <f>IF(F251&gt;68,G251+(F251-68)*0.2,Y282-(68-F251)*0.2)</f>
        <v>16.080000000000002</v>
      </c>
      <c r="I251" s="44">
        <v>23</v>
      </c>
      <c r="J251" s="44">
        <f>1.8*I251+32</f>
        <v>73.400000000000006</v>
      </c>
      <c r="K251" s="45">
        <v>6</v>
      </c>
      <c r="L251" s="44">
        <f>IF(J251&gt;68,K251+(J251-68)*0.2,K251-(68-J251)*0.2)</f>
        <v>7.080000000000001</v>
      </c>
      <c r="M251" s="43">
        <f>(C251-H251)/C251*100</f>
        <v>67.84</v>
      </c>
      <c r="N251" s="43">
        <f>100-(M251+O251)</f>
        <v>18</v>
      </c>
      <c r="O251" s="43">
        <f>L251/C251*100</f>
        <v>14.160000000000004</v>
      </c>
      <c r="P251" s="42" t="s">
        <v>0</v>
      </c>
      <c r="Q251" s="41">
        <v>407509.98499999999</v>
      </c>
      <c r="R251" s="41">
        <v>3659907.483</v>
      </c>
    </row>
    <row r="252" spans="1:18" x14ac:dyDescent="0.25">
      <c r="A252" s="61"/>
      <c r="B252" s="58"/>
      <c r="C252" s="58"/>
      <c r="D252" s="58"/>
      <c r="E252" s="58"/>
      <c r="F252" s="58"/>
      <c r="G252" s="60"/>
      <c r="H252" s="58"/>
      <c r="I252" s="58"/>
      <c r="J252" s="58"/>
      <c r="K252" s="60"/>
      <c r="L252" s="58"/>
      <c r="M252" s="59"/>
      <c r="N252" s="59"/>
      <c r="O252" s="59"/>
      <c r="P252" s="58"/>
    </row>
    <row r="253" spans="1:18" x14ac:dyDescent="0.25">
      <c r="A253" s="57"/>
      <c r="B253" s="56"/>
      <c r="C253" s="55"/>
      <c r="D253" s="54"/>
      <c r="E253" s="52"/>
      <c r="F253" s="52"/>
      <c r="G253" s="53"/>
      <c r="H253" s="52"/>
      <c r="I253" s="52"/>
      <c r="J253" s="52"/>
      <c r="K253" s="53"/>
      <c r="L253" s="52"/>
      <c r="M253" s="51"/>
      <c r="N253" s="51"/>
      <c r="O253" s="51"/>
      <c r="P253" s="56"/>
      <c r="Q253" s="5" t="s">
        <v>4</v>
      </c>
      <c r="R253" s="5" t="s">
        <v>3</v>
      </c>
    </row>
    <row r="254" spans="1:18" x14ac:dyDescent="0.25">
      <c r="A254" s="49">
        <v>1067</v>
      </c>
      <c r="B254" s="48" t="s">
        <v>845</v>
      </c>
      <c r="C254" s="47">
        <v>50</v>
      </c>
      <c r="D254" s="46">
        <v>20</v>
      </c>
      <c r="E254" s="44">
        <v>23</v>
      </c>
      <c r="F254" s="44">
        <f>1.8*E254+32</f>
        <v>73.400000000000006</v>
      </c>
      <c r="G254" s="45">
        <v>20</v>
      </c>
      <c r="H254" s="44">
        <f>IF(F254&gt;68,G254+(F254-68)*0.2,#REF!-(68-F254)*0.2)</f>
        <v>21.080000000000002</v>
      </c>
      <c r="I254" s="44">
        <v>23</v>
      </c>
      <c r="J254" s="44">
        <f>1.8*I254+32</f>
        <v>73.400000000000006</v>
      </c>
      <c r="K254" s="45">
        <v>10</v>
      </c>
      <c r="L254" s="44">
        <f>IF(J254&gt;68,K254+(J254-68)*0.2,K254-(68-J254)*0.2)</f>
        <v>11.080000000000002</v>
      </c>
      <c r="M254" s="43">
        <f>(C254-H254)/C254*100</f>
        <v>57.839999999999989</v>
      </c>
      <c r="N254" s="43">
        <f>100-(M254+O254)</f>
        <v>20</v>
      </c>
      <c r="O254" s="43">
        <f>L254/C254*100</f>
        <v>22.160000000000004</v>
      </c>
      <c r="P254" s="42" t="s">
        <v>2</v>
      </c>
      <c r="Q254" s="41">
        <v>407511.57500000001</v>
      </c>
      <c r="R254" s="62">
        <v>3660013.01</v>
      </c>
    </row>
    <row r="255" spans="1:18" x14ac:dyDescent="0.25">
      <c r="A255" s="49">
        <v>1067</v>
      </c>
      <c r="B255" s="48" t="s">
        <v>844</v>
      </c>
      <c r="C255" s="47">
        <v>50</v>
      </c>
      <c r="D255" s="46">
        <v>20</v>
      </c>
      <c r="E255" s="44">
        <v>23</v>
      </c>
      <c r="F255" s="44">
        <f>1.8*E255+32</f>
        <v>73.400000000000006</v>
      </c>
      <c r="G255" s="45">
        <v>19</v>
      </c>
      <c r="H255" s="44">
        <f>IF(F255&gt;68,G255+(F255-68)*0.2,Y286-(68-F255)*0.2)</f>
        <v>20.080000000000002</v>
      </c>
      <c r="I255" s="44">
        <v>23</v>
      </c>
      <c r="J255" s="44">
        <f>1.8*I255+32</f>
        <v>73.400000000000006</v>
      </c>
      <c r="K255" s="45">
        <v>10</v>
      </c>
      <c r="L255" s="44">
        <f>IF(J255&gt;68,K255+(J255-68)*0.2,K255-(68-J255)*0.2)</f>
        <v>11.080000000000002</v>
      </c>
      <c r="M255" s="43">
        <f>(C255-H255)/C255*100</f>
        <v>59.839999999999996</v>
      </c>
      <c r="N255" s="43">
        <f>100-(M255+O255)</f>
        <v>18</v>
      </c>
      <c r="O255" s="43">
        <f>L255/C255*100</f>
        <v>22.160000000000004</v>
      </c>
      <c r="P255" s="42" t="s">
        <v>2</v>
      </c>
      <c r="Q255" s="41">
        <v>407511.57500000001</v>
      </c>
      <c r="R255" s="62">
        <v>3660013.01</v>
      </c>
    </row>
    <row r="256" spans="1:18" x14ac:dyDescent="0.25">
      <c r="A256" s="49">
        <v>1067</v>
      </c>
      <c r="B256" s="48" t="s">
        <v>843</v>
      </c>
      <c r="C256" s="47">
        <v>50</v>
      </c>
      <c r="D256" s="46">
        <v>20</v>
      </c>
      <c r="E256" s="44">
        <v>23</v>
      </c>
      <c r="F256" s="44">
        <f>1.8*E256+32</f>
        <v>73.400000000000006</v>
      </c>
      <c r="G256" s="45">
        <v>15</v>
      </c>
      <c r="H256" s="44">
        <f>IF(F256&gt;68,G256+(F256-68)*0.2,Y287-(68-F256)*0.2)</f>
        <v>16.080000000000002</v>
      </c>
      <c r="I256" s="44">
        <v>23</v>
      </c>
      <c r="J256" s="44">
        <f>1.8*I256+32</f>
        <v>73.400000000000006</v>
      </c>
      <c r="K256" s="45">
        <v>6</v>
      </c>
      <c r="L256" s="44">
        <f>IF(J256&gt;68,K256+(J256-68)*0.2,K256-(68-J256)*0.2)</f>
        <v>7.080000000000001</v>
      </c>
      <c r="M256" s="43">
        <f>(C256-H256)/C256*100</f>
        <v>67.84</v>
      </c>
      <c r="N256" s="43">
        <f>100-(M256+O256)</f>
        <v>18</v>
      </c>
      <c r="O256" s="43">
        <f>L256/C256*100</f>
        <v>14.160000000000004</v>
      </c>
      <c r="P256" s="42" t="s">
        <v>0</v>
      </c>
      <c r="Q256" s="41">
        <v>407511.57500000001</v>
      </c>
      <c r="R256" s="62">
        <v>3660013.01</v>
      </c>
    </row>
    <row r="257" spans="1:18" x14ac:dyDescent="0.25">
      <c r="A257" s="49">
        <v>1067</v>
      </c>
      <c r="B257" s="48" t="s">
        <v>842</v>
      </c>
      <c r="C257" s="47">
        <v>50</v>
      </c>
      <c r="D257" s="46">
        <v>20</v>
      </c>
      <c r="E257" s="44">
        <v>23</v>
      </c>
      <c r="F257" s="44">
        <f>1.8*E257+32</f>
        <v>73.400000000000006</v>
      </c>
      <c r="G257" s="45">
        <v>14</v>
      </c>
      <c r="H257" s="44">
        <f>IF(F257&gt;68,G257+(F257-68)*0.2,Y288-(68-F257)*0.2)</f>
        <v>15.080000000000002</v>
      </c>
      <c r="I257" s="44">
        <v>23</v>
      </c>
      <c r="J257" s="44">
        <f>1.8*I257+32</f>
        <v>73.400000000000006</v>
      </c>
      <c r="K257" s="45">
        <v>6</v>
      </c>
      <c r="L257" s="44">
        <f>IF(J257&gt;68,K257+(J257-68)*0.2,K257-(68-J257)*0.2)</f>
        <v>7.080000000000001</v>
      </c>
      <c r="M257" s="43">
        <f>(C257-H257)/C257*100</f>
        <v>69.84</v>
      </c>
      <c r="N257" s="43">
        <f>100-(M257+O257)</f>
        <v>16</v>
      </c>
      <c r="O257" s="43">
        <f>L257/C257*100</f>
        <v>14.160000000000004</v>
      </c>
      <c r="P257" s="42" t="s">
        <v>0</v>
      </c>
      <c r="Q257" s="41">
        <v>407511.57500000001</v>
      </c>
      <c r="R257" s="62">
        <v>3660013.01</v>
      </c>
    </row>
    <row r="258" spans="1:18" x14ac:dyDescent="0.25">
      <c r="A258" s="49">
        <v>1067</v>
      </c>
      <c r="B258" s="48" t="s">
        <v>841</v>
      </c>
      <c r="C258" s="47">
        <v>50</v>
      </c>
      <c r="D258" s="46">
        <v>20</v>
      </c>
      <c r="E258" s="44">
        <v>23</v>
      </c>
      <c r="F258" s="44">
        <f>1.8*E258+32</f>
        <v>73.400000000000006</v>
      </c>
      <c r="G258" s="45">
        <v>16</v>
      </c>
      <c r="H258" s="44">
        <f>IF(F258&gt;68,G258+(F258-68)*0.2,Y289-(68-F258)*0.2)</f>
        <v>17.080000000000002</v>
      </c>
      <c r="I258" s="44">
        <v>23</v>
      </c>
      <c r="J258" s="44">
        <f>1.8*I258+32</f>
        <v>73.400000000000006</v>
      </c>
      <c r="K258" s="45">
        <v>7</v>
      </c>
      <c r="L258" s="44">
        <f>IF(J258&gt;68,K258+(J258-68)*0.2,K258-(68-J258)*0.2)</f>
        <v>8.0800000000000018</v>
      </c>
      <c r="M258" s="43">
        <f>(C258-H258)/C258*100</f>
        <v>65.84</v>
      </c>
      <c r="N258" s="43">
        <f>100-(M258+O258)</f>
        <v>18</v>
      </c>
      <c r="O258" s="43">
        <f>L258/C258*100</f>
        <v>16.160000000000004</v>
      </c>
      <c r="P258" s="42" t="s">
        <v>0</v>
      </c>
      <c r="Q258" s="41">
        <v>407511.57500000001</v>
      </c>
      <c r="R258" s="62">
        <v>3660013.01</v>
      </c>
    </row>
    <row r="259" spans="1:18" x14ac:dyDescent="0.25">
      <c r="A259" s="49">
        <v>1067</v>
      </c>
      <c r="B259" s="48" t="s">
        <v>839</v>
      </c>
      <c r="C259" s="47">
        <v>50</v>
      </c>
      <c r="D259" s="46">
        <v>20</v>
      </c>
      <c r="E259" s="44">
        <v>23</v>
      </c>
      <c r="F259" s="44">
        <f>1.8*E259+32</f>
        <v>73.400000000000006</v>
      </c>
      <c r="G259" s="45">
        <v>20</v>
      </c>
      <c r="H259" s="44">
        <f>IF(F259&gt;68,G259+(F259-68)*0.2,Y290-(68-F259)*0.2)</f>
        <v>21.080000000000002</v>
      </c>
      <c r="I259" s="44">
        <v>23</v>
      </c>
      <c r="J259" s="44">
        <f>1.8*I259+32</f>
        <v>73.400000000000006</v>
      </c>
      <c r="K259" s="45">
        <v>10</v>
      </c>
      <c r="L259" s="44">
        <f>IF(J259&gt;68,K259+(J259-68)*0.2,K259-(68-J259)*0.2)</f>
        <v>11.080000000000002</v>
      </c>
      <c r="M259" s="43">
        <f>(C259-H259)/C259*100</f>
        <v>57.839999999999989</v>
      </c>
      <c r="N259" s="43">
        <f>100-(M259+O259)</f>
        <v>20</v>
      </c>
      <c r="O259" s="43">
        <f>L259/C259*100</f>
        <v>22.160000000000004</v>
      </c>
      <c r="P259" s="42" t="s">
        <v>2</v>
      </c>
      <c r="Q259" s="41">
        <v>407511.57500000001</v>
      </c>
      <c r="R259" s="62">
        <v>3660013.01</v>
      </c>
    </row>
    <row r="260" spans="1:18" x14ac:dyDescent="0.25">
      <c r="A260" s="61"/>
      <c r="B260" s="58"/>
      <c r="C260" s="58"/>
      <c r="D260" s="58"/>
      <c r="E260" s="58"/>
      <c r="F260" s="58"/>
      <c r="G260" s="60"/>
      <c r="H260" s="58"/>
      <c r="I260" s="58"/>
      <c r="J260" s="58"/>
      <c r="K260" s="60"/>
      <c r="L260" s="58"/>
      <c r="M260" s="59"/>
      <c r="N260" s="59"/>
      <c r="O260" s="59"/>
      <c r="P260" s="58"/>
    </row>
    <row r="261" spans="1:18" x14ac:dyDescent="0.25">
      <c r="A261" s="57"/>
      <c r="B261" s="56"/>
      <c r="C261" s="55"/>
      <c r="D261" s="54"/>
      <c r="E261" s="52"/>
      <c r="F261" s="52"/>
      <c r="G261" s="53"/>
      <c r="H261" s="52"/>
      <c r="I261" s="52"/>
      <c r="J261" s="52"/>
      <c r="K261" s="53"/>
      <c r="L261" s="52"/>
      <c r="M261" s="51"/>
      <c r="N261" s="51"/>
      <c r="O261" s="51"/>
      <c r="P261" s="56"/>
      <c r="Q261" s="5" t="s">
        <v>4</v>
      </c>
      <c r="R261" s="5" t="s">
        <v>3</v>
      </c>
    </row>
    <row r="262" spans="1:18" x14ac:dyDescent="0.25">
      <c r="A262" s="49" t="s">
        <v>859</v>
      </c>
      <c r="B262" s="48" t="s">
        <v>845</v>
      </c>
      <c r="C262" s="47">
        <v>50</v>
      </c>
      <c r="D262" s="46">
        <v>20</v>
      </c>
      <c r="E262" s="44">
        <v>23</v>
      </c>
      <c r="F262" s="44">
        <f>1.8*E262+32</f>
        <v>73.400000000000006</v>
      </c>
      <c r="G262" s="45">
        <v>15</v>
      </c>
      <c r="H262" s="44">
        <f>IF(F262&gt;68,G262+(F262-68)*0.2,#REF!-(68-F262)*0.2)</f>
        <v>16.080000000000002</v>
      </c>
      <c r="I262" s="44">
        <v>23</v>
      </c>
      <c r="J262" s="44">
        <f>1.8*I262+32</f>
        <v>73.400000000000006</v>
      </c>
      <c r="K262" s="45">
        <v>6</v>
      </c>
      <c r="L262" s="44">
        <f>IF(J262&gt;68,K262+(J262-68)*0.2,K262-(68-J262)*0.2)</f>
        <v>7.080000000000001</v>
      </c>
      <c r="M262" s="43">
        <f>(C262-H262)/C262*100</f>
        <v>67.84</v>
      </c>
      <c r="N262" s="43">
        <f>100-(M262+O262)</f>
        <v>18</v>
      </c>
      <c r="O262" s="43">
        <f>L262/C262*100</f>
        <v>14.160000000000004</v>
      </c>
      <c r="P262" s="42" t="s">
        <v>0</v>
      </c>
      <c r="Q262" s="41">
        <v>407511.57500000001</v>
      </c>
      <c r="R262" s="62">
        <v>3660013.01</v>
      </c>
    </row>
    <row r="263" spans="1:18" x14ac:dyDescent="0.25">
      <c r="A263" s="49" t="s">
        <v>859</v>
      </c>
      <c r="B263" s="48" t="s">
        <v>844</v>
      </c>
      <c r="C263" s="47">
        <v>50</v>
      </c>
      <c r="D263" s="46">
        <v>20</v>
      </c>
      <c r="E263" s="44">
        <v>23</v>
      </c>
      <c r="F263" s="44">
        <f>1.8*E263+32</f>
        <v>73.400000000000006</v>
      </c>
      <c r="G263" s="45">
        <v>17</v>
      </c>
      <c r="H263" s="44">
        <f>IF(F263&gt;68,G263+(F263-68)*0.2,Y294-(68-F263)*0.2)</f>
        <v>18.080000000000002</v>
      </c>
      <c r="I263" s="44">
        <v>23</v>
      </c>
      <c r="J263" s="44">
        <f>1.8*I263+32</f>
        <v>73.400000000000006</v>
      </c>
      <c r="K263" s="45">
        <v>9</v>
      </c>
      <c r="L263" s="44">
        <f>IF(J263&gt;68,K263+(J263-68)*0.2,K263-(68-J263)*0.2)</f>
        <v>10.080000000000002</v>
      </c>
      <c r="M263" s="43">
        <f>(C263-H263)/C263*100</f>
        <v>63.839999999999996</v>
      </c>
      <c r="N263" s="43">
        <f>100-(M263+O263)</f>
        <v>16</v>
      </c>
      <c r="O263" s="43">
        <f>L263/C263*100</f>
        <v>20.160000000000004</v>
      </c>
      <c r="P263" s="42" t="s">
        <v>2</v>
      </c>
      <c r="Q263" s="41">
        <v>407511.57500000001</v>
      </c>
      <c r="R263" s="62">
        <v>3660013.01</v>
      </c>
    </row>
    <row r="264" spans="1:18" x14ac:dyDescent="0.25">
      <c r="A264" s="49" t="s">
        <v>859</v>
      </c>
      <c r="B264" s="48" t="s">
        <v>843</v>
      </c>
      <c r="C264" s="47">
        <v>50</v>
      </c>
      <c r="D264" s="46">
        <v>20</v>
      </c>
      <c r="E264" s="44">
        <v>23</v>
      </c>
      <c r="F264" s="44">
        <f>1.8*E264+32</f>
        <v>73.400000000000006</v>
      </c>
      <c r="G264" s="45">
        <v>20</v>
      </c>
      <c r="H264" s="44">
        <f>IF(F264&gt;68,G264+(F264-68)*0.2,Y295-(68-F264)*0.2)</f>
        <v>21.080000000000002</v>
      </c>
      <c r="I264" s="44">
        <v>23</v>
      </c>
      <c r="J264" s="44">
        <f>1.8*I264+32</f>
        <v>73.400000000000006</v>
      </c>
      <c r="K264" s="45">
        <v>10</v>
      </c>
      <c r="L264" s="44">
        <f>IF(J264&gt;68,K264+(J264-68)*0.2,K264-(68-J264)*0.2)</f>
        <v>11.080000000000002</v>
      </c>
      <c r="M264" s="43">
        <f>(C264-H264)/C264*100</f>
        <v>57.839999999999989</v>
      </c>
      <c r="N264" s="43">
        <f>100-(M264+O264)</f>
        <v>20</v>
      </c>
      <c r="O264" s="43">
        <f>L264/C264*100</f>
        <v>22.160000000000004</v>
      </c>
      <c r="P264" s="42" t="s">
        <v>2</v>
      </c>
      <c r="Q264" s="41">
        <v>407511.57500000001</v>
      </c>
      <c r="R264" s="62">
        <v>3660013.01</v>
      </c>
    </row>
    <row r="265" spans="1:18" x14ac:dyDescent="0.25">
      <c r="A265" s="49" t="s">
        <v>859</v>
      </c>
      <c r="B265" s="48" t="s">
        <v>842</v>
      </c>
      <c r="C265" s="47">
        <v>50</v>
      </c>
      <c r="D265" s="46">
        <v>20</v>
      </c>
      <c r="E265" s="44">
        <v>23</v>
      </c>
      <c r="F265" s="44">
        <f>1.8*E265+32</f>
        <v>73.400000000000006</v>
      </c>
      <c r="G265" s="45">
        <v>22</v>
      </c>
      <c r="H265" s="44">
        <f>IF(F265&gt;68,G265+(F265-68)*0.2,Y296-(68-F265)*0.2)</f>
        <v>23.080000000000002</v>
      </c>
      <c r="I265" s="44">
        <v>23</v>
      </c>
      <c r="J265" s="44">
        <f>1.8*I265+32</f>
        <v>73.400000000000006</v>
      </c>
      <c r="K265" s="45">
        <v>11</v>
      </c>
      <c r="L265" s="44">
        <f>IF(J265&gt;68,K265+(J265-68)*0.2,K265-(68-J265)*0.2)</f>
        <v>12.080000000000002</v>
      </c>
      <c r="M265" s="43">
        <f>(C265-H265)/C265*100</f>
        <v>53.839999999999996</v>
      </c>
      <c r="N265" s="43">
        <f>100-(M265+O265)</f>
        <v>22</v>
      </c>
      <c r="O265" s="43">
        <f>L265/C265*100</f>
        <v>24.160000000000004</v>
      </c>
      <c r="P265" s="42" t="s">
        <v>2</v>
      </c>
      <c r="Q265" s="41">
        <v>407511.57500000001</v>
      </c>
      <c r="R265" s="62">
        <v>3660013.01</v>
      </c>
    </row>
    <row r="266" spans="1:18" x14ac:dyDescent="0.25">
      <c r="A266" s="49" t="s">
        <v>859</v>
      </c>
      <c r="B266" s="48" t="s">
        <v>841</v>
      </c>
      <c r="C266" s="47">
        <v>50</v>
      </c>
      <c r="D266" s="46">
        <v>20</v>
      </c>
      <c r="E266" s="44">
        <v>23</v>
      </c>
      <c r="F266" s="44">
        <f>1.8*E266+32</f>
        <v>73.400000000000006</v>
      </c>
      <c r="G266" s="45">
        <v>19</v>
      </c>
      <c r="H266" s="44">
        <f>IF(F266&gt;68,G266+(F266-68)*0.2,Y297-(68-F266)*0.2)</f>
        <v>20.080000000000002</v>
      </c>
      <c r="I266" s="44">
        <v>23</v>
      </c>
      <c r="J266" s="44">
        <f>1.8*I266+32</f>
        <v>73.400000000000006</v>
      </c>
      <c r="K266" s="45">
        <v>7</v>
      </c>
      <c r="L266" s="44">
        <f>IF(J266&gt;68,K266+(J266-68)*0.2,K266-(68-J266)*0.2)</f>
        <v>8.0800000000000018</v>
      </c>
      <c r="M266" s="43">
        <f>(C266-H266)/C266*100</f>
        <v>59.839999999999996</v>
      </c>
      <c r="N266" s="43">
        <f>100-(M266+O266)</f>
        <v>24</v>
      </c>
      <c r="O266" s="43">
        <f>L266/C266*100</f>
        <v>16.160000000000004</v>
      </c>
      <c r="P266" s="42" t="s">
        <v>0</v>
      </c>
      <c r="Q266" s="41">
        <v>407511.57500000001</v>
      </c>
      <c r="R266" s="62">
        <v>3660013.01</v>
      </c>
    </row>
    <row r="267" spans="1:18" x14ac:dyDescent="0.25">
      <c r="A267" s="49" t="s">
        <v>859</v>
      </c>
      <c r="B267" s="48" t="s">
        <v>839</v>
      </c>
      <c r="C267" s="47">
        <v>50</v>
      </c>
      <c r="D267" s="46">
        <v>20</v>
      </c>
      <c r="E267" s="44">
        <v>23</v>
      </c>
      <c r="F267" s="44">
        <f>1.8*E267+32</f>
        <v>73.400000000000006</v>
      </c>
      <c r="G267" s="45">
        <v>20</v>
      </c>
      <c r="H267" s="44">
        <f>IF(F267&gt;68,G267+(F267-68)*0.2,Y298-(68-F267)*0.2)</f>
        <v>21.080000000000002</v>
      </c>
      <c r="I267" s="44">
        <v>23</v>
      </c>
      <c r="J267" s="44">
        <f>1.8*I267+32</f>
        <v>73.400000000000006</v>
      </c>
      <c r="K267" s="45">
        <v>9</v>
      </c>
      <c r="L267" s="44">
        <f>IF(J267&gt;68,K267+(J267-68)*0.2,K267-(68-J267)*0.2)</f>
        <v>10.080000000000002</v>
      </c>
      <c r="M267" s="43">
        <f>(C267-H267)/C267*100</f>
        <v>57.839999999999989</v>
      </c>
      <c r="N267" s="43">
        <f>100-(M267+O267)</f>
        <v>22</v>
      </c>
      <c r="O267" s="43">
        <f>L267/C267*100</f>
        <v>20.160000000000004</v>
      </c>
      <c r="P267" s="42" t="s">
        <v>2</v>
      </c>
      <c r="Q267" s="41">
        <v>407511.57500000001</v>
      </c>
      <c r="R267" s="62">
        <v>3660013.01</v>
      </c>
    </row>
    <row r="268" spans="1:18" x14ac:dyDescent="0.25">
      <c r="A268" s="61"/>
      <c r="B268" s="58"/>
      <c r="C268" s="58"/>
      <c r="D268" s="58"/>
      <c r="E268" s="58"/>
      <c r="F268" s="58"/>
      <c r="G268" s="60"/>
      <c r="H268" s="58"/>
      <c r="I268" s="58"/>
      <c r="J268" s="58"/>
      <c r="K268" s="60"/>
      <c r="L268" s="58"/>
      <c r="M268" s="59"/>
      <c r="N268" s="59"/>
      <c r="O268" s="59"/>
      <c r="P268" s="58"/>
    </row>
    <row r="269" spans="1:18" x14ac:dyDescent="0.25">
      <c r="A269" s="57"/>
      <c r="B269" s="56"/>
      <c r="C269" s="55"/>
      <c r="D269" s="54"/>
      <c r="E269" s="52"/>
      <c r="F269" s="52"/>
      <c r="G269" s="53"/>
      <c r="H269" s="52"/>
      <c r="I269" s="52"/>
      <c r="J269" s="52"/>
      <c r="K269" s="53"/>
      <c r="L269" s="52"/>
      <c r="M269" s="51"/>
      <c r="N269" s="51"/>
      <c r="O269" s="51"/>
      <c r="P269" s="56"/>
      <c r="Q269" s="5" t="s">
        <v>4</v>
      </c>
      <c r="R269" s="5" t="s">
        <v>3</v>
      </c>
    </row>
    <row r="270" spans="1:18" x14ac:dyDescent="0.25">
      <c r="A270" s="49">
        <v>1112</v>
      </c>
      <c r="B270" s="48" t="s">
        <v>845</v>
      </c>
      <c r="C270" s="47">
        <v>50</v>
      </c>
      <c r="D270" s="46">
        <v>20</v>
      </c>
      <c r="E270" s="44">
        <v>23</v>
      </c>
      <c r="F270" s="44">
        <f>1.8*E270+32</f>
        <v>73.400000000000006</v>
      </c>
      <c r="G270" s="45">
        <v>21</v>
      </c>
      <c r="H270" s="44">
        <f>IF(F270&gt;68,G270+(F270-68)*0.2,#REF!-(68-F270)*0.2)</f>
        <v>22.080000000000002</v>
      </c>
      <c r="I270" s="44">
        <v>23</v>
      </c>
      <c r="J270" s="44">
        <f>1.8*I270+32</f>
        <v>73.400000000000006</v>
      </c>
      <c r="K270" s="45">
        <v>10</v>
      </c>
      <c r="L270" s="44">
        <f>IF(J270&gt;68,K270+(J270-68)*0.2,K270-(68-J270)*0.2)</f>
        <v>11.080000000000002</v>
      </c>
      <c r="M270" s="43">
        <f>(C270-H270)/C270*100</f>
        <v>55.84</v>
      </c>
      <c r="N270" s="43">
        <f>100-(M270+O270)</f>
        <v>22</v>
      </c>
      <c r="O270" s="43">
        <f>L270/C270*100</f>
        <v>22.160000000000004</v>
      </c>
      <c r="P270" s="42" t="s">
        <v>2</v>
      </c>
      <c r="Q270" s="41">
        <v>407506.24900000001</v>
      </c>
      <c r="R270" s="41">
        <v>3659866.8190000001</v>
      </c>
    </row>
    <row r="271" spans="1:18" x14ac:dyDescent="0.25">
      <c r="A271" s="49">
        <v>1112</v>
      </c>
      <c r="B271" s="48" t="s">
        <v>844</v>
      </c>
      <c r="C271" s="47">
        <v>50</v>
      </c>
      <c r="D271" s="46">
        <v>20</v>
      </c>
      <c r="E271" s="44">
        <v>23</v>
      </c>
      <c r="F271" s="44">
        <f>1.8*E271+32</f>
        <v>73.400000000000006</v>
      </c>
      <c r="G271" s="45">
        <v>33</v>
      </c>
      <c r="H271" s="44">
        <f>IF(F271&gt;68,G271+(F271-68)*0.2,Y302-(68-F271)*0.2)</f>
        <v>34.08</v>
      </c>
      <c r="I271" s="44">
        <v>23</v>
      </c>
      <c r="J271" s="44">
        <f>1.8*I271+32</f>
        <v>73.400000000000006</v>
      </c>
      <c r="K271" s="45">
        <v>12</v>
      </c>
      <c r="L271" s="44">
        <f>IF(J271&gt;68,K271+(J271-68)*0.2,K271-(68-J271)*0.2)</f>
        <v>13.080000000000002</v>
      </c>
      <c r="M271" s="43">
        <f>(C271-H271)/C271*100</f>
        <v>31.840000000000003</v>
      </c>
      <c r="N271" s="43">
        <f>100-(M271+O271)</f>
        <v>41.999999999999993</v>
      </c>
      <c r="O271" s="43">
        <f>L271/C271*100</f>
        <v>26.160000000000004</v>
      </c>
      <c r="P271" s="42" t="s">
        <v>22</v>
      </c>
      <c r="Q271" s="41">
        <v>407506.24900000001</v>
      </c>
      <c r="R271" s="41">
        <v>3659866.8190000001</v>
      </c>
    </row>
    <row r="272" spans="1:18" x14ac:dyDescent="0.25">
      <c r="A272" s="49">
        <v>1112</v>
      </c>
      <c r="B272" s="48" t="s">
        <v>843</v>
      </c>
      <c r="C272" s="47">
        <v>50</v>
      </c>
      <c r="D272" s="46">
        <v>20</v>
      </c>
      <c r="E272" s="44">
        <v>23</v>
      </c>
      <c r="F272" s="44">
        <f>1.8*E272+32</f>
        <v>73.400000000000006</v>
      </c>
      <c r="G272" s="45">
        <v>26</v>
      </c>
      <c r="H272" s="44">
        <f>IF(F272&gt;68,G272+(F272-68)*0.2,Y303-(68-F272)*0.2)</f>
        <v>27.080000000000002</v>
      </c>
      <c r="I272" s="44">
        <v>23</v>
      </c>
      <c r="J272" s="44">
        <f>1.8*I272+32</f>
        <v>73.400000000000006</v>
      </c>
      <c r="K272" s="45">
        <v>10</v>
      </c>
      <c r="L272" s="44">
        <f>IF(J272&gt;68,K272+(J272-68)*0.2,K272-(68-J272)*0.2)</f>
        <v>11.080000000000002</v>
      </c>
      <c r="M272" s="43">
        <f>(C272-H272)/C272*100</f>
        <v>45.839999999999996</v>
      </c>
      <c r="N272" s="43">
        <f>100-(M272+O272)</f>
        <v>32</v>
      </c>
      <c r="O272" s="43">
        <f>L272/C272*100</f>
        <v>22.160000000000004</v>
      </c>
      <c r="P272" s="42" t="s">
        <v>847</v>
      </c>
      <c r="Q272" s="41">
        <v>407506.24900000001</v>
      </c>
      <c r="R272" s="41">
        <v>3659866.8190000001</v>
      </c>
    </row>
    <row r="273" spans="1:18" x14ac:dyDescent="0.25">
      <c r="A273" s="49">
        <v>1112</v>
      </c>
      <c r="B273" s="48" t="s">
        <v>842</v>
      </c>
      <c r="C273" s="47">
        <v>50</v>
      </c>
      <c r="D273" s="46">
        <v>20</v>
      </c>
      <c r="E273" s="44">
        <v>23</v>
      </c>
      <c r="F273" s="44">
        <f>1.8*E273+32</f>
        <v>73.400000000000006</v>
      </c>
      <c r="G273" s="45">
        <v>22</v>
      </c>
      <c r="H273" s="44">
        <f>IF(F273&gt;68,G273+(F273-68)*0.2,Y304-(68-F273)*0.2)</f>
        <v>23.080000000000002</v>
      </c>
      <c r="I273" s="44">
        <v>23</v>
      </c>
      <c r="J273" s="44">
        <f>1.8*I273+32</f>
        <v>73.400000000000006</v>
      </c>
      <c r="K273" s="45">
        <v>10</v>
      </c>
      <c r="L273" s="44">
        <f>IF(J273&gt;68,K273+(J273-68)*0.2,K273-(68-J273)*0.2)</f>
        <v>11.080000000000002</v>
      </c>
      <c r="M273" s="43">
        <f>(C273-H273)/C273*100</f>
        <v>53.839999999999996</v>
      </c>
      <c r="N273" s="43">
        <f>100-(M273+O273)</f>
        <v>24</v>
      </c>
      <c r="O273" s="43">
        <f>L273/C273*100</f>
        <v>22.160000000000004</v>
      </c>
      <c r="P273" s="42" t="s">
        <v>2</v>
      </c>
      <c r="Q273" s="41">
        <v>407506.24900000001</v>
      </c>
      <c r="R273" s="41">
        <v>3659866.8190000001</v>
      </c>
    </row>
    <row r="274" spans="1:18" x14ac:dyDescent="0.25">
      <c r="A274" s="49">
        <v>1112</v>
      </c>
      <c r="B274" s="48" t="s">
        <v>841</v>
      </c>
      <c r="C274" s="47">
        <v>50</v>
      </c>
      <c r="D274" s="46">
        <v>20</v>
      </c>
      <c r="E274" s="44">
        <v>23</v>
      </c>
      <c r="F274" s="44">
        <f>1.8*E274+32</f>
        <v>73.400000000000006</v>
      </c>
      <c r="G274" s="45">
        <v>17</v>
      </c>
      <c r="H274" s="44">
        <f>IF(F274&gt;68,G274+(F274-68)*0.2,Y305-(68-F274)*0.2)</f>
        <v>18.080000000000002</v>
      </c>
      <c r="I274" s="44">
        <v>23</v>
      </c>
      <c r="J274" s="44">
        <f>1.8*I274+32</f>
        <v>73.400000000000006</v>
      </c>
      <c r="K274" s="45">
        <v>8</v>
      </c>
      <c r="L274" s="44">
        <f>IF(J274&gt;68,K274+(J274-68)*0.2,K274-(68-J274)*0.2)</f>
        <v>9.0800000000000018</v>
      </c>
      <c r="M274" s="43">
        <f>(C274-H274)/C274*100</f>
        <v>63.839999999999996</v>
      </c>
      <c r="N274" s="43">
        <f>100-(M274+O274)</f>
        <v>18</v>
      </c>
      <c r="O274" s="43">
        <f>L274/C274*100</f>
        <v>18.160000000000004</v>
      </c>
      <c r="P274" s="42" t="s">
        <v>0</v>
      </c>
      <c r="Q274" s="41">
        <v>407506.24900000001</v>
      </c>
      <c r="R274" s="41">
        <v>3659866.8190000001</v>
      </c>
    </row>
    <row r="275" spans="1:18" x14ac:dyDescent="0.25">
      <c r="A275" s="49">
        <v>1112</v>
      </c>
      <c r="B275" s="48" t="s">
        <v>839</v>
      </c>
      <c r="C275" s="47">
        <v>50</v>
      </c>
      <c r="D275" s="46">
        <v>20</v>
      </c>
      <c r="E275" s="44">
        <v>23</v>
      </c>
      <c r="F275" s="44">
        <f>1.8*E275+32</f>
        <v>73.400000000000006</v>
      </c>
      <c r="G275" s="45">
        <v>22</v>
      </c>
      <c r="H275" s="44">
        <f>IF(F275&gt;68,G275+(F275-68)*0.2,Y306-(68-F275)*0.2)</f>
        <v>23.080000000000002</v>
      </c>
      <c r="I275" s="44">
        <v>23</v>
      </c>
      <c r="J275" s="44">
        <f>1.8*I275+32</f>
        <v>73.400000000000006</v>
      </c>
      <c r="K275" s="45">
        <v>9</v>
      </c>
      <c r="L275" s="44">
        <f>IF(J275&gt;68,K275+(J275-68)*0.2,K275-(68-J275)*0.2)</f>
        <v>10.080000000000002</v>
      </c>
      <c r="M275" s="43">
        <f>(C275-H275)/C275*100</f>
        <v>53.839999999999996</v>
      </c>
      <c r="N275" s="43">
        <f>100-(M275+O275)</f>
        <v>26</v>
      </c>
      <c r="O275" s="43">
        <f>L275/C275*100</f>
        <v>20.160000000000004</v>
      </c>
      <c r="P275" s="42" t="s">
        <v>2</v>
      </c>
      <c r="Q275" s="41">
        <v>407506.24900000001</v>
      </c>
      <c r="R275" s="41">
        <v>3659866.8190000001</v>
      </c>
    </row>
    <row r="276" spans="1:18" x14ac:dyDescent="0.25">
      <c r="A276" s="61"/>
      <c r="B276" s="58"/>
      <c r="C276" s="58"/>
      <c r="D276" s="58"/>
      <c r="E276" s="58"/>
      <c r="F276" s="58"/>
      <c r="G276" s="60"/>
      <c r="H276" s="58"/>
      <c r="I276" s="58"/>
      <c r="J276" s="58"/>
      <c r="K276" s="60"/>
      <c r="L276" s="58"/>
      <c r="M276" s="59"/>
      <c r="N276" s="59"/>
      <c r="O276" s="59"/>
      <c r="P276" s="58"/>
    </row>
    <row r="277" spans="1:18" x14ac:dyDescent="0.25">
      <c r="A277" s="57"/>
      <c r="B277" s="56"/>
      <c r="C277" s="55"/>
      <c r="D277" s="54"/>
      <c r="E277" s="52"/>
      <c r="F277" s="52"/>
      <c r="G277" s="53"/>
      <c r="H277" s="52"/>
      <c r="I277" s="52"/>
      <c r="J277" s="52"/>
      <c r="K277" s="53"/>
      <c r="L277" s="52"/>
      <c r="M277" s="51"/>
      <c r="N277" s="51"/>
      <c r="O277" s="51"/>
      <c r="P277" s="50"/>
      <c r="Q277" s="5" t="s">
        <v>4</v>
      </c>
      <c r="R277" s="5" t="s">
        <v>3</v>
      </c>
    </row>
    <row r="278" spans="1:18" x14ac:dyDescent="0.25">
      <c r="A278" s="49">
        <v>1189</v>
      </c>
      <c r="B278" s="48" t="s">
        <v>845</v>
      </c>
      <c r="C278" s="47">
        <v>50</v>
      </c>
      <c r="D278" s="46">
        <v>20</v>
      </c>
      <c r="E278" s="44">
        <v>23</v>
      </c>
      <c r="F278" s="44">
        <f>1.8*E278+32</f>
        <v>73.400000000000006</v>
      </c>
      <c r="G278" s="45">
        <v>20</v>
      </c>
      <c r="H278" s="44">
        <f>IF(F278&gt;68,G278+(F278-68)*0.2,#REF!-(68-F278)*0.2)</f>
        <v>21.080000000000002</v>
      </c>
      <c r="I278" s="44">
        <v>23</v>
      </c>
      <c r="J278" s="44">
        <f>1.8*I278+32</f>
        <v>73.400000000000006</v>
      </c>
      <c r="K278" s="45">
        <v>10</v>
      </c>
      <c r="L278" s="44">
        <f>IF(J278&gt;68,K278+(J278-68)*0.2,K278-(68-J278)*0.2)</f>
        <v>11.080000000000002</v>
      </c>
      <c r="M278" s="43">
        <f>(C278-H278)/C278*100</f>
        <v>57.839999999999989</v>
      </c>
      <c r="N278" s="43">
        <f>100-(M278+O278)</f>
        <v>20</v>
      </c>
      <c r="O278" s="43">
        <f>L278/C278*100</f>
        <v>22.160000000000004</v>
      </c>
      <c r="P278" s="42" t="s">
        <v>2</v>
      </c>
      <c r="Q278" s="41">
        <v>407501.57799999998</v>
      </c>
      <c r="R278" s="62">
        <v>3659943.18</v>
      </c>
    </row>
    <row r="279" spans="1:18" x14ac:dyDescent="0.25">
      <c r="A279" s="49">
        <v>1189</v>
      </c>
      <c r="B279" s="48" t="s">
        <v>844</v>
      </c>
      <c r="C279" s="47">
        <v>50</v>
      </c>
      <c r="D279" s="46">
        <v>20</v>
      </c>
      <c r="E279" s="44">
        <v>23</v>
      </c>
      <c r="F279" s="44">
        <f>1.8*E279+32</f>
        <v>73.400000000000006</v>
      </c>
      <c r="G279" s="45">
        <v>24</v>
      </c>
      <c r="H279" s="44">
        <f>IF(F279&gt;68,G279+(F279-68)*0.2,Y310-(68-F279)*0.2)</f>
        <v>25.080000000000002</v>
      </c>
      <c r="I279" s="44">
        <v>23</v>
      </c>
      <c r="J279" s="44">
        <f>1.8*I279+32</f>
        <v>73.400000000000006</v>
      </c>
      <c r="K279" s="45">
        <v>12</v>
      </c>
      <c r="L279" s="44">
        <f>IF(J279&gt;68,K279+(J279-68)*0.2,K279-(68-J279)*0.2)</f>
        <v>13.080000000000002</v>
      </c>
      <c r="M279" s="43">
        <f>(C279-H279)/C279*100</f>
        <v>49.839999999999996</v>
      </c>
      <c r="N279" s="43">
        <f>100-(M279+O279)</f>
        <v>24</v>
      </c>
      <c r="O279" s="43">
        <f>L279/C279*100</f>
        <v>26.160000000000004</v>
      </c>
      <c r="P279" s="42" t="s">
        <v>2</v>
      </c>
      <c r="Q279" s="41">
        <v>407501.57799999998</v>
      </c>
      <c r="R279" s="62">
        <v>3659943.18</v>
      </c>
    </row>
    <row r="280" spans="1:18" x14ac:dyDescent="0.25">
      <c r="A280" s="49">
        <v>1189</v>
      </c>
      <c r="B280" s="48" t="s">
        <v>843</v>
      </c>
      <c r="C280" s="47">
        <v>50</v>
      </c>
      <c r="D280" s="46">
        <v>20</v>
      </c>
      <c r="E280" s="44">
        <v>23</v>
      </c>
      <c r="F280" s="44">
        <f>1.8*E280+32</f>
        <v>73.400000000000006</v>
      </c>
      <c r="G280" s="45">
        <v>25</v>
      </c>
      <c r="H280" s="44">
        <f>IF(F280&gt;68,G280+(F280-68)*0.2,Y311-(68-F280)*0.2)</f>
        <v>26.080000000000002</v>
      </c>
      <c r="I280" s="44">
        <v>23</v>
      </c>
      <c r="J280" s="44">
        <f>1.8*I280+32</f>
        <v>73.400000000000006</v>
      </c>
      <c r="K280" s="45">
        <v>12</v>
      </c>
      <c r="L280" s="44">
        <f>IF(J280&gt;68,K280+(J280-68)*0.2,K280-(68-J280)*0.2)</f>
        <v>13.080000000000002</v>
      </c>
      <c r="M280" s="43">
        <f>(C280-H280)/C280*100</f>
        <v>47.839999999999996</v>
      </c>
      <c r="N280" s="43">
        <f>100-(M280+O280)</f>
        <v>26</v>
      </c>
      <c r="O280" s="43">
        <f>L280/C280*100</f>
        <v>26.160000000000004</v>
      </c>
      <c r="P280" s="42" t="s">
        <v>2</v>
      </c>
      <c r="Q280" s="41">
        <v>407501.57799999998</v>
      </c>
      <c r="R280" s="62">
        <v>3659943.18</v>
      </c>
    </row>
    <row r="281" spans="1:18" x14ac:dyDescent="0.25">
      <c r="A281" s="49">
        <v>1189</v>
      </c>
      <c r="B281" s="48" t="s">
        <v>842</v>
      </c>
      <c r="C281" s="47">
        <v>50</v>
      </c>
      <c r="D281" s="46">
        <v>20</v>
      </c>
      <c r="E281" s="44">
        <v>23</v>
      </c>
      <c r="F281" s="44">
        <f>1.8*E281+32</f>
        <v>73.400000000000006</v>
      </c>
      <c r="G281" s="45">
        <v>24</v>
      </c>
      <c r="H281" s="44">
        <f>IF(F281&gt;68,G281+(F281-68)*0.2,Y312-(68-F281)*0.2)</f>
        <v>25.080000000000002</v>
      </c>
      <c r="I281" s="44">
        <v>23</v>
      </c>
      <c r="J281" s="44">
        <f>1.8*I281+32</f>
        <v>73.400000000000006</v>
      </c>
      <c r="K281" s="45">
        <v>15</v>
      </c>
      <c r="L281" s="44">
        <f>IF(J281&gt;68,K281+(J281-68)*0.2,K281-(68-J281)*0.2)</f>
        <v>16.080000000000002</v>
      </c>
      <c r="M281" s="43">
        <f>(C281-H281)/C281*100</f>
        <v>49.839999999999996</v>
      </c>
      <c r="N281" s="43">
        <f>100-(M281+O281)</f>
        <v>18</v>
      </c>
      <c r="O281" s="43">
        <f>L281/C281*100</f>
        <v>32.160000000000004</v>
      </c>
      <c r="P281" s="42" t="s">
        <v>2</v>
      </c>
      <c r="Q281" s="41">
        <v>407501.57799999998</v>
      </c>
      <c r="R281" s="62">
        <v>3659943.18</v>
      </c>
    </row>
    <row r="282" spans="1:18" x14ac:dyDescent="0.25">
      <c r="A282" s="49">
        <v>1189</v>
      </c>
      <c r="B282" s="48" t="s">
        <v>841</v>
      </c>
      <c r="C282" s="47">
        <v>50</v>
      </c>
      <c r="D282" s="46">
        <v>20</v>
      </c>
      <c r="E282" s="44">
        <v>23</v>
      </c>
      <c r="F282" s="44">
        <f>1.8*E282+32</f>
        <v>73.400000000000006</v>
      </c>
      <c r="G282" s="45">
        <v>20</v>
      </c>
      <c r="H282" s="44">
        <f>IF(F282&gt;68,G282+(F282-68)*0.2,Y313-(68-F282)*0.2)</f>
        <v>21.080000000000002</v>
      </c>
      <c r="I282" s="44">
        <v>23</v>
      </c>
      <c r="J282" s="44">
        <f>1.8*I282+32</f>
        <v>73.400000000000006</v>
      </c>
      <c r="K282" s="45">
        <v>10</v>
      </c>
      <c r="L282" s="44">
        <f>IF(J282&gt;68,K282+(J282-68)*0.2,K282-(68-J282)*0.2)</f>
        <v>11.080000000000002</v>
      </c>
      <c r="M282" s="43">
        <f>(C282-H282)/C282*100</f>
        <v>57.839999999999989</v>
      </c>
      <c r="N282" s="43">
        <f>100-(M282+O282)</f>
        <v>20</v>
      </c>
      <c r="O282" s="43">
        <f>L282/C282*100</f>
        <v>22.160000000000004</v>
      </c>
      <c r="P282" s="42" t="s">
        <v>2</v>
      </c>
      <c r="Q282" s="41">
        <v>407501.57799999998</v>
      </c>
      <c r="R282" s="62">
        <v>3659943.18</v>
      </c>
    </row>
    <row r="283" spans="1:18" x14ac:dyDescent="0.25">
      <c r="A283" s="49">
        <v>1189</v>
      </c>
      <c r="B283" s="48" t="s">
        <v>839</v>
      </c>
      <c r="C283" s="47">
        <v>50</v>
      </c>
      <c r="D283" s="46">
        <v>20</v>
      </c>
      <c r="E283" s="44">
        <v>23</v>
      </c>
      <c r="F283" s="44">
        <f>1.8*E283+32</f>
        <v>73.400000000000006</v>
      </c>
      <c r="G283" s="45">
        <v>15</v>
      </c>
      <c r="H283" s="44">
        <f>IF(F283&gt;68,G283+(F283-68)*0.2,Y314-(68-F283)*0.2)</f>
        <v>16.080000000000002</v>
      </c>
      <c r="I283" s="44">
        <v>23</v>
      </c>
      <c r="J283" s="44">
        <f>1.8*I283+32</f>
        <v>73.400000000000006</v>
      </c>
      <c r="K283" s="45">
        <v>6</v>
      </c>
      <c r="L283" s="44">
        <f>IF(J283&gt;68,K283+(J283-68)*0.2,K283-(68-J283)*0.2)</f>
        <v>7.080000000000001</v>
      </c>
      <c r="M283" s="43">
        <f>(C283-H283)/C283*100</f>
        <v>67.84</v>
      </c>
      <c r="N283" s="43">
        <f>100-(M283+O283)</f>
        <v>18</v>
      </c>
      <c r="O283" s="43">
        <f>L283/C283*100</f>
        <v>14.160000000000004</v>
      </c>
      <c r="P283" s="42" t="s">
        <v>0</v>
      </c>
      <c r="Q283" s="41">
        <v>407501.57799999998</v>
      </c>
      <c r="R283" s="62">
        <v>3659943.18</v>
      </c>
    </row>
    <row r="284" spans="1:18" x14ac:dyDescent="0.25">
      <c r="A284" s="61"/>
      <c r="B284" s="58"/>
      <c r="C284" s="58"/>
      <c r="D284" s="58"/>
      <c r="E284" s="58"/>
      <c r="F284" s="58"/>
      <c r="G284" s="60"/>
      <c r="H284" s="58"/>
      <c r="I284" s="58"/>
      <c r="J284" s="58"/>
      <c r="K284" s="60"/>
      <c r="L284" s="58"/>
      <c r="M284" s="59"/>
      <c r="N284" s="59"/>
      <c r="O284" s="59"/>
      <c r="P284" s="58"/>
    </row>
    <row r="285" spans="1:18" x14ac:dyDescent="0.25">
      <c r="A285" s="57"/>
      <c r="B285" s="56"/>
      <c r="C285" s="55"/>
      <c r="D285" s="54"/>
      <c r="E285" s="52"/>
      <c r="F285" s="52"/>
      <c r="G285" s="53"/>
      <c r="H285" s="52"/>
      <c r="I285" s="52"/>
      <c r="J285" s="52"/>
      <c r="K285" s="53"/>
      <c r="L285" s="52"/>
      <c r="M285" s="51"/>
      <c r="N285" s="51"/>
      <c r="O285" s="51"/>
      <c r="P285" s="50"/>
      <c r="Q285" s="5" t="s">
        <v>4</v>
      </c>
      <c r="R285" s="5" t="s">
        <v>3</v>
      </c>
    </row>
    <row r="286" spans="1:18" x14ac:dyDescent="0.25">
      <c r="A286" s="49" t="s">
        <v>858</v>
      </c>
      <c r="B286" s="48" t="s">
        <v>845</v>
      </c>
      <c r="C286" s="47">
        <v>50</v>
      </c>
      <c r="D286" s="46">
        <v>20</v>
      </c>
      <c r="E286" s="44">
        <v>23</v>
      </c>
      <c r="F286" s="44">
        <f>1.8*E286+32</f>
        <v>73.400000000000006</v>
      </c>
      <c r="G286" s="45">
        <v>16</v>
      </c>
      <c r="H286" s="44">
        <f>IF(F286&gt;68,G286+(F286-68)*0.2,#REF!-(68-F286)*0.2)</f>
        <v>17.080000000000002</v>
      </c>
      <c r="I286" s="44">
        <v>23</v>
      </c>
      <c r="J286" s="44">
        <f>1.8*I286+32</f>
        <v>73.400000000000006</v>
      </c>
      <c r="K286" s="45">
        <v>8</v>
      </c>
      <c r="L286" s="44">
        <f>IF(J286&gt;68,K286+(J286-68)*0.2,K286-(68-J286)*0.2)</f>
        <v>9.0800000000000018</v>
      </c>
      <c r="M286" s="43">
        <f>(C286-H286)/C286*100</f>
        <v>65.84</v>
      </c>
      <c r="N286" s="43">
        <f>100-(M286+O286)</f>
        <v>16</v>
      </c>
      <c r="O286" s="43">
        <f>L286/C286*100</f>
        <v>18.160000000000004</v>
      </c>
      <c r="P286" s="42" t="s">
        <v>0</v>
      </c>
      <c r="Q286" s="41">
        <v>407501.57799999998</v>
      </c>
      <c r="R286" s="62">
        <v>3659943.18</v>
      </c>
    </row>
    <row r="287" spans="1:18" x14ac:dyDescent="0.25">
      <c r="A287" s="49" t="s">
        <v>858</v>
      </c>
      <c r="B287" s="48" t="s">
        <v>844</v>
      </c>
      <c r="C287" s="47">
        <v>50</v>
      </c>
      <c r="D287" s="46">
        <v>20</v>
      </c>
      <c r="E287" s="44">
        <v>23</v>
      </c>
      <c r="F287" s="44">
        <f>1.8*E287+32</f>
        <v>73.400000000000006</v>
      </c>
      <c r="G287" s="45">
        <v>20</v>
      </c>
      <c r="H287" s="44">
        <f>IF(F287&gt;68,G287+(F287-68)*0.2,Y318-(68-F287)*0.2)</f>
        <v>21.080000000000002</v>
      </c>
      <c r="I287" s="44">
        <v>23</v>
      </c>
      <c r="J287" s="44">
        <f>1.8*I287+32</f>
        <v>73.400000000000006</v>
      </c>
      <c r="K287" s="45">
        <v>10</v>
      </c>
      <c r="L287" s="44">
        <f>IF(J287&gt;68,K287+(J287-68)*0.2,K287-(68-J287)*0.2)</f>
        <v>11.080000000000002</v>
      </c>
      <c r="M287" s="43">
        <f>(C287-H287)/C287*100</f>
        <v>57.839999999999989</v>
      </c>
      <c r="N287" s="43">
        <f>100-(M287+O287)</f>
        <v>20</v>
      </c>
      <c r="O287" s="43">
        <f>L287/C287*100</f>
        <v>22.160000000000004</v>
      </c>
      <c r="P287" s="42" t="s">
        <v>2</v>
      </c>
      <c r="Q287" s="41">
        <v>407501.57799999998</v>
      </c>
      <c r="R287" s="62">
        <v>3659943.18</v>
      </c>
    </row>
    <row r="288" spans="1:18" x14ac:dyDescent="0.25">
      <c r="A288" s="49" t="s">
        <v>858</v>
      </c>
      <c r="B288" s="48" t="s">
        <v>843</v>
      </c>
      <c r="C288" s="47">
        <v>50</v>
      </c>
      <c r="D288" s="46">
        <v>20</v>
      </c>
      <c r="E288" s="44">
        <v>23</v>
      </c>
      <c r="F288" s="44">
        <f>1.8*E288+32</f>
        <v>73.400000000000006</v>
      </c>
      <c r="G288" s="45">
        <v>20</v>
      </c>
      <c r="H288" s="44">
        <f>IF(F288&gt;68,G288+(F288-68)*0.2,Y319-(68-F288)*0.2)</f>
        <v>21.080000000000002</v>
      </c>
      <c r="I288" s="44">
        <v>23</v>
      </c>
      <c r="J288" s="44">
        <f>1.8*I288+32</f>
        <v>73.400000000000006</v>
      </c>
      <c r="K288" s="45">
        <v>10</v>
      </c>
      <c r="L288" s="44">
        <f>IF(J288&gt;68,K288+(J288-68)*0.2,K288-(68-J288)*0.2)</f>
        <v>11.080000000000002</v>
      </c>
      <c r="M288" s="43">
        <f>(C288-H288)/C288*100</f>
        <v>57.839999999999989</v>
      </c>
      <c r="N288" s="43">
        <f>100-(M288+O288)</f>
        <v>20</v>
      </c>
      <c r="O288" s="43">
        <f>L288/C288*100</f>
        <v>22.160000000000004</v>
      </c>
      <c r="P288" s="42" t="s">
        <v>2</v>
      </c>
      <c r="Q288" s="41">
        <v>407501.57799999998</v>
      </c>
      <c r="R288" s="62">
        <v>3659943.18</v>
      </c>
    </row>
    <row r="289" spans="1:18" x14ac:dyDescent="0.25">
      <c r="A289" s="49" t="s">
        <v>858</v>
      </c>
      <c r="B289" s="48" t="s">
        <v>842</v>
      </c>
      <c r="C289" s="47">
        <v>50</v>
      </c>
      <c r="D289" s="46">
        <v>20</v>
      </c>
      <c r="E289" s="44">
        <v>23</v>
      </c>
      <c r="F289" s="44">
        <f>1.8*E289+32</f>
        <v>73.400000000000006</v>
      </c>
      <c r="G289" s="45">
        <v>25</v>
      </c>
      <c r="H289" s="44">
        <f>IF(F289&gt;68,G289+(F289-68)*0.2,Y320-(68-F289)*0.2)</f>
        <v>26.080000000000002</v>
      </c>
      <c r="I289" s="44">
        <v>23</v>
      </c>
      <c r="J289" s="44">
        <f>1.8*I289+32</f>
        <v>73.400000000000006</v>
      </c>
      <c r="K289" s="45">
        <v>12</v>
      </c>
      <c r="L289" s="44">
        <f>IF(J289&gt;68,K289+(J289-68)*0.2,K289-(68-J289)*0.2)</f>
        <v>13.080000000000002</v>
      </c>
      <c r="M289" s="43">
        <f>(C289-H289)/C289*100</f>
        <v>47.839999999999996</v>
      </c>
      <c r="N289" s="43">
        <f>100-(M289+O289)</f>
        <v>26</v>
      </c>
      <c r="O289" s="43">
        <f>L289/C289*100</f>
        <v>26.160000000000004</v>
      </c>
      <c r="P289" s="42" t="s">
        <v>2</v>
      </c>
      <c r="Q289" s="41">
        <v>407501.57799999998</v>
      </c>
      <c r="R289" s="62">
        <v>3659943.18</v>
      </c>
    </row>
    <row r="290" spans="1:18" x14ac:dyDescent="0.25">
      <c r="A290" s="49" t="s">
        <v>858</v>
      </c>
      <c r="B290" s="48" t="s">
        <v>841</v>
      </c>
      <c r="C290" s="47">
        <v>50</v>
      </c>
      <c r="D290" s="46">
        <v>20</v>
      </c>
      <c r="E290" s="44">
        <v>23</v>
      </c>
      <c r="F290" s="44">
        <f>1.8*E290+32</f>
        <v>73.400000000000006</v>
      </c>
      <c r="G290" s="45">
        <v>18</v>
      </c>
      <c r="H290" s="44">
        <f>IF(F290&gt;68,G290+(F290-68)*0.2,Y321-(68-F290)*0.2)</f>
        <v>19.080000000000002</v>
      </c>
      <c r="I290" s="44">
        <v>23</v>
      </c>
      <c r="J290" s="44">
        <f>1.8*I290+32</f>
        <v>73.400000000000006</v>
      </c>
      <c r="K290" s="45">
        <v>8</v>
      </c>
      <c r="L290" s="44">
        <f>IF(J290&gt;68,K290+(J290-68)*0.2,K290-(68-J290)*0.2)</f>
        <v>9.0800000000000018</v>
      </c>
      <c r="M290" s="43">
        <f>(C290-H290)/C290*100</f>
        <v>61.839999999999996</v>
      </c>
      <c r="N290" s="43">
        <f>100-(M290+O290)</f>
        <v>20</v>
      </c>
      <c r="O290" s="43">
        <f>L290/C290*100</f>
        <v>18.160000000000004</v>
      </c>
      <c r="P290" s="42" t="s">
        <v>0</v>
      </c>
      <c r="Q290" s="41">
        <v>407501.57799999998</v>
      </c>
      <c r="R290" s="62">
        <v>3659943.18</v>
      </c>
    </row>
    <row r="291" spans="1:18" x14ac:dyDescent="0.25">
      <c r="A291" s="49" t="s">
        <v>858</v>
      </c>
      <c r="B291" s="48" t="s">
        <v>839</v>
      </c>
      <c r="C291" s="47">
        <v>50</v>
      </c>
      <c r="D291" s="46">
        <v>20</v>
      </c>
      <c r="E291" s="44">
        <v>23</v>
      </c>
      <c r="F291" s="44">
        <f>1.8*E291+32</f>
        <v>73.400000000000006</v>
      </c>
      <c r="G291" s="45">
        <v>17</v>
      </c>
      <c r="H291" s="44">
        <f>IF(F291&gt;68,G291+(F291-68)*0.2,Y322-(68-F291)*0.2)</f>
        <v>18.080000000000002</v>
      </c>
      <c r="I291" s="44">
        <v>23</v>
      </c>
      <c r="J291" s="44">
        <f>1.8*I291+32</f>
        <v>73.400000000000006</v>
      </c>
      <c r="K291" s="45">
        <v>8</v>
      </c>
      <c r="L291" s="44">
        <f>IF(J291&gt;68,K291+(J291-68)*0.2,K291-(68-J291)*0.2)</f>
        <v>9.0800000000000018</v>
      </c>
      <c r="M291" s="43">
        <f>(C291-H291)/C291*100</f>
        <v>63.839999999999996</v>
      </c>
      <c r="N291" s="43">
        <f>100-(M291+O291)</f>
        <v>18</v>
      </c>
      <c r="O291" s="43">
        <f>L291/C291*100</f>
        <v>18.160000000000004</v>
      </c>
      <c r="P291" s="42" t="s">
        <v>0</v>
      </c>
      <c r="Q291" s="41">
        <v>407501.57799999998</v>
      </c>
      <c r="R291" s="62">
        <v>3659943.18</v>
      </c>
    </row>
    <row r="292" spans="1:18" x14ac:dyDescent="0.25">
      <c r="A292" s="61"/>
      <c r="B292" s="58"/>
      <c r="C292" s="58"/>
      <c r="D292" s="58"/>
      <c r="E292" s="58"/>
      <c r="F292" s="58"/>
      <c r="G292" s="60"/>
      <c r="H292" s="58"/>
      <c r="I292" s="58"/>
      <c r="J292" s="58"/>
      <c r="K292" s="60"/>
      <c r="L292" s="58"/>
      <c r="M292" s="59"/>
      <c r="N292" s="59"/>
      <c r="O292" s="59"/>
      <c r="P292" s="58"/>
    </row>
    <row r="293" spans="1:18" x14ac:dyDescent="0.25">
      <c r="A293" s="57"/>
      <c r="B293" s="56"/>
      <c r="C293" s="55"/>
      <c r="D293" s="54"/>
      <c r="E293" s="52"/>
      <c r="F293" s="52"/>
      <c r="G293" s="53"/>
      <c r="H293" s="52"/>
      <c r="I293" s="52"/>
      <c r="J293" s="52"/>
      <c r="K293" s="53"/>
      <c r="L293" s="52"/>
      <c r="M293" s="51"/>
      <c r="N293" s="51"/>
      <c r="O293" s="51"/>
      <c r="P293" s="50"/>
      <c r="Q293" s="5" t="s">
        <v>4</v>
      </c>
      <c r="R293" s="5" t="s">
        <v>3</v>
      </c>
    </row>
    <row r="294" spans="1:18" x14ac:dyDescent="0.25">
      <c r="A294" s="49">
        <v>1218</v>
      </c>
      <c r="B294" s="48" t="s">
        <v>845</v>
      </c>
      <c r="C294" s="47">
        <v>50</v>
      </c>
      <c r="D294" s="46">
        <v>20</v>
      </c>
      <c r="E294" s="44">
        <v>23</v>
      </c>
      <c r="F294" s="44">
        <f>1.8*E294+32</f>
        <v>73.400000000000006</v>
      </c>
      <c r="G294" s="45">
        <v>19</v>
      </c>
      <c r="H294" s="44">
        <f>IF(F294&gt;68,G294+(F294-68)*0.2,Y326-(68-F294)*0.2)</f>
        <v>20.080000000000002</v>
      </c>
      <c r="I294" s="44">
        <v>23</v>
      </c>
      <c r="J294" s="44">
        <f>1.8*I294+32</f>
        <v>73.400000000000006</v>
      </c>
      <c r="K294" s="45">
        <v>10</v>
      </c>
      <c r="L294" s="44">
        <f>IF(J294&gt;68,K294+(J294-68)*0.2,K294-(68-J294)*0.2)</f>
        <v>11.080000000000002</v>
      </c>
      <c r="M294" s="43">
        <f>(C294-H294)/C294*100</f>
        <v>59.839999999999996</v>
      </c>
      <c r="N294" s="43">
        <f>100-(M294+O294)</f>
        <v>18</v>
      </c>
      <c r="O294" s="43">
        <f>L294/C294*100</f>
        <v>22.160000000000004</v>
      </c>
      <c r="P294" s="42" t="s">
        <v>2</v>
      </c>
      <c r="Q294" s="41">
        <v>407499.359</v>
      </c>
      <c r="R294" s="41">
        <v>3660006.0729999999</v>
      </c>
    </row>
    <row r="295" spans="1:18" x14ac:dyDescent="0.25">
      <c r="A295" s="49">
        <v>1218</v>
      </c>
      <c r="B295" s="48" t="s">
        <v>844</v>
      </c>
      <c r="C295" s="47">
        <v>50</v>
      </c>
      <c r="D295" s="46">
        <v>20</v>
      </c>
      <c r="E295" s="44">
        <v>23</v>
      </c>
      <c r="F295" s="44">
        <f>1.8*E295+32</f>
        <v>73.400000000000006</v>
      </c>
      <c r="G295" s="45">
        <v>19</v>
      </c>
      <c r="H295" s="44">
        <f>IF(F295&gt;68,G295+(F295-68)*0.2,#REF!-(68-F295)*0.2)</f>
        <v>20.080000000000002</v>
      </c>
      <c r="I295" s="44">
        <v>23</v>
      </c>
      <c r="J295" s="44">
        <f>1.8*I295+32</f>
        <v>73.400000000000006</v>
      </c>
      <c r="K295" s="45">
        <v>10</v>
      </c>
      <c r="L295" s="44">
        <f>IF(J295&gt;68,K295+(J295-68)*0.2,K295-(68-J295)*0.2)</f>
        <v>11.080000000000002</v>
      </c>
      <c r="M295" s="43">
        <f>(C295-H295)/C295*100</f>
        <v>59.839999999999996</v>
      </c>
      <c r="N295" s="43">
        <f>100-(M295+O295)</f>
        <v>18</v>
      </c>
      <c r="O295" s="43">
        <f>L295/C295*100</f>
        <v>22.160000000000004</v>
      </c>
      <c r="P295" s="42" t="s">
        <v>2</v>
      </c>
      <c r="Q295" s="41">
        <v>407499.359</v>
      </c>
      <c r="R295" s="41">
        <v>3660006.0729999999</v>
      </c>
    </row>
    <row r="296" spans="1:18" x14ac:dyDescent="0.25">
      <c r="A296" s="49">
        <v>1218</v>
      </c>
      <c r="B296" s="48" t="s">
        <v>843</v>
      </c>
      <c r="C296" s="47">
        <v>50</v>
      </c>
      <c r="D296" s="46">
        <v>20</v>
      </c>
      <c r="E296" s="44">
        <v>23</v>
      </c>
      <c r="F296" s="44">
        <f>1.8*E296+32</f>
        <v>73.400000000000006</v>
      </c>
      <c r="G296" s="45">
        <v>17</v>
      </c>
      <c r="H296" s="44">
        <f>IF(F296&gt;68,G296+(F296-68)*0.2,Y327-(68-F296)*0.2)</f>
        <v>18.080000000000002</v>
      </c>
      <c r="I296" s="44">
        <v>23</v>
      </c>
      <c r="J296" s="44">
        <f>1.8*I296+32</f>
        <v>73.400000000000006</v>
      </c>
      <c r="K296" s="45">
        <v>8</v>
      </c>
      <c r="L296" s="44">
        <f>IF(J296&gt;68,K296+(J296-68)*0.2,K296-(68-J296)*0.2)</f>
        <v>9.0800000000000018</v>
      </c>
      <c r="M296" s="43">
        <f>(C296-H296)/C296*100</f>
        <v>63.839999999999996</v>
      </c>
      <c r="N296" s="43">
        <f>100-(M296+O296)</f>
        <v>18</v>
      </c>
      <c r="O296" s="43">
        <f>L296/C296*100</f>
        <v>18.160000000000004</v>
      </c>
      <c r="P296" s="42" t="s">
        <v>0</v>
      </c>
      <c r="Q296" s="41">
        <v>407499.359</v>
      </c>
      <c r="R296" s="41">
        <v>3660006.0729999999</v>
      </c>
    </row>
    <row r="297" spans="1:18" x14ac:dyDescent="0.25">
      <c r="A297" s="49">
        <v>1218</v>
      </c>
      <c r="B297" s="48" t="s">
        <v>842</v>
      </c>
      <c r="C297" s="47">
        <v>50</v>
      </c>
      <c r="D297" s="46">
        <v>20</v>
      </c>
      <c r="E297" s="44">
        <v>23</v>
      </c>
      <c r="F297" s="44">
        <f>1.8*E297+32</f>
        <v>73.400000000000006</v>
      </c>
      <c r="G297" s="45">
        <v>20</v>
      </c>
      <c r="H297" s="44">
        <f>IF(F297&gt;68,G297+(F297-68)*0.2,Y328-(68-F297)*0.2)</f>
        <v>21.080000000000002</v>
      </c>
      <c r="I297" s="44">
        <v>23</v>
      </c>
      <c r="J297" s="44">
        <f>1.8*I297+32</f>
        <v>73.400000000000006</v>
      </c>
      <c r="K297" s="45">
        <v>11</v>
      </c>
      <c r="L297" s="44">
        <f>IF(J297&gt;68,K297+(J297-68)*0.2,K297-(68-J297)*0.2)</f>
        <v>12.080000000000002</v>
      </c>
      <c r="M297" s="43">
        <f>(C297-H297)/C297*100</f>
        <v>57.839999999999989</v>
      </c>
      <c r="N297" s="43">
        <f>100-(M297+O297)</f>
        <v>18</v>
      </c>
      <c r="O297" s="43">
        <f>L297/C297*100</f>
        <v>24.160000000000004</v>
      </c>
      <c r="P297" s="42" t="s">
        <v>2</v>
      </c>
      <c r="Q297" s="41">
        <v>407499.359</v>
      </c>
      <c r="R297" s="41">
        <v>3660006.0729999999</v>
      </c>
    </row>
    <row r="298" spans="1:18" x14ac:dyDescent="0.25">
      <c r="A298" s="49">
        <v>1218</v>
      </c>
      <c r="B298" s="48" t="s">
        <v>841</v>
      </c>
      <c r="C298" s="47">
        <v>50</v>
      </c>
      <c r="D298" s="46">
        <v>20</v>
      </c>
      <c r="E298" s="44">
        <v>23</v>
      </c>
      <c r="F298" s="44">
        <f>1.8*E298+32</f>
        <v>73.400000000000006</v>
      </c>
      <c r="G298" s="45">
        <v>17</v>
      </c>
      <c r="H298" s="44">
        <f>IF(F298&gt;68,G298+(F298-68)*0.2,Y329-(68-F298)*0.2)</f>
        <v>18.080000000000002</v>
      </c>
      <c r="I298" s="44">
        <v>23</v>
      </c>
      <c r="J298" s="44">
        <f>1.8*I298+32</f>
        <v>73.400000000000006</v>
      </c>
      <c r="K298" s="45">
        <v>8</v>
      </c>
      <c r="L298" s="44">
        <f>IF(J298&gt;68,K298+(J298-68)*0.2,K298-(68-J298)*0.2)</f>
        <v>9.0800000000000018</v>
      </c>
      <c r="M298" s="43">
        <f>(C298-H298)/C298*100</f>
        <v>63.839999999999996</v>
      </c>
      <c r="N298" s="43">
        <f>100-(M298+O298)</f>
        <v>18</v>
      </c>
      <c r="O298" s="43">
        <f>L298/C298*100</f>
        <v>18.160000000000004</v>
      </c>
      <c r="P298" s="42" t="s">
        <v>0</v>
      </c>
      <c r="Q298" s="41">
        <v>407499.359</v>
      </c>
      <c r="R298" s="41">
        <v>3660006.0729999999</v>
      </c>
    </row>
    <row r="299" spans="1:18" x14ac:dyDescent="0.25">
      <c r="A299" s="49">
        <v>1218</v>
      </c>
      <c r="B299" s="48" t="s">
        <v>839</v>
      </c>
      <c r="C299" s="47">
        <v>50</v>
      </c>
      <c r="D299" s="46">
        <v>20</v>
      </c>
      <c r="E299" s="44">
        <v>23</v>
      </c>
      <c r="F299" s="44">
        <f>1.8*E299+32</f>
        <v>73.400000000000006</v>
      </c>
      <c r="G299" s="45">
        <v>17</v>
      </c>
      <c r="H299" s="44">
        <f>IF(F299&gt;68,G299+(F299-68)*0.2,Y330-(68-F299)*0.2)</f>
        <v>18.080000000000002</v>
      </c>
      <c r="I299" s="44">
        <v>23</v>
      </c>
      <c r="J299" s="44">
        <f>1.8*I299+32</f>
        <v>73.400000000000006</v>
      </c>
      <c r="K299" s="45">
        <v>7</v>
      </c>
      <c r="L299" s="44">
        <f>IF(J299&gt;68,K299+(J299-68)*0.2,K299-(68-J299)*0.2)</f>
        <v>8.0800000000000018</v>
      </c>
      <c r="M299" s="43">
        <f>(C299-H299)/C299*100</f>
        <v>63.839999999999996</v>
      </c>
      <c r="N299" s="43">
        <f>100-(M299+O299)</f>
        <v>20</v>
      </c>
      <c r="O299" s="43">
        <f>L299/C299*100</f>
        <v>16.160000000000004</v>
      </c>
      <c r="P299" s="42" t="s">
        <v>0</v>
      </c>
      <c r="Q299" s="41">
        <v>407499.359</v>
      </c>
      <c r="R299" s="41">
        <v>3660006.0729999999</v>
      </c>
    </row>
    <row r="300" spans="1:18" x14ac:dyDescent="0.25">
      <c r="A300" s="61"/>
      <c r="B300" s="58"/>
      <c r="C300" s="58"/>
      <c r="D300" s="58"/>
      <c r="E300" s="58"/>
      <c r="F300" s="58"/>
      <c r="G300" s="60"/>
      <c r="H300" s="58"/>
      <c r="I300" s="58"/>
      <c r="J300" s="58"/>
      <c r="K300" s="60"/>
      <c r="L300" s="58"/>
      <c r="M300" s="59"/>
      <c r="N300" s="59"/>
      <c r="O300" s="59"/>
      <c r="P300" s="58"/>
    </row>
    <row r="301" spans="1:18" x14ac:dyDescent="0.25">
      <c r="A301" s="57"/>
      <c r="B301" s="56"/>
      <c r="C301" s="55"/>
      <c r="D301" s="54"/>
      <c r="E301" s="52"/>
      <c r="F301" s="52"/>
      <c r="G301" s="53"/>
      <c r="H301" s="52"/>
      <c r="I301" s="52"/>
      <c r="J301" s="52"/>
      <c r="K301" s="53"/>
      <c r="L301" s="52"/>
      <c r="M301" s="51"/>
      <c r="N301" s="51"/>
      <c r="O301" s="51"/>
      <c r="P301" s="50"/>
      <c r="Q301" s="5" t="s">
        <v>4</v>
      </c>
      <c r="R301" s="5" t="s">
        <v>3</v>
      </c>
    </row>
    <row r="302" spans="1:18" x14ac:dyDescent="0.25">
      <c r="A302" s="49">
        <v>1225</v>
      </c>
      <c r="B302" s="48" t="s">
        <v>845</v>
      </c>
      <c r="C302" s="47">
        <v>50</v>
      </c>
      <c r="D302" s="46">
        <v>20</v>
      </c>
      <c r="E302" s="44">
        <v>23</v>
      </c>
      <c r="F302" s="44">
        <f>1.8*E302+32</f>
        <v>73.400000000000006</v>
      </c>
      <c r="G302" s="45">
        <v>18</v>
      </c>
      <c r="H302" s="44">
        <f>IF(F302&gt;68,G302+(F302-68)*0.2,#REF!-(68-F302)*0.2)</f>
        <v>19.080000000000002</v>
      </c>
      <c r="I302" s="44">
        <v>23</v>
      </c>
      <c r="J302" s="44">
        <f>1.8*I302+32</f>
        <v>73.400000000000006</v>
      </c>
      <c r="K302" s="45">
        <v>10</v>
      </c>
      <c r="L302" s="44">
        <f>IF(J302&gt;68,K302+(J302-68)*0.2,K302-(68-J302)*0.2)</f>
        <v>11.080000000000002</v>
      </c>
      <c r="M302" s="43">
        <f>(C302-H302)/C302*100</f>
        <v>61.839999999999996</v>
      </c>
      <c r="N302" s="43">
        <f>100-(M302+O302)</f>
        <v>16</v>
      </c>
      <c r="O302" s="43">
        <f>L302/C302*100</f>
        <v>22.160000000000004</v>
      </c>
      <c r="P302" s="42" t="s">
        <v>2</v>
      </c>
      <c r="Q302" s="41">
        <v>407498.74699999997</v>
      </c>
      <c r="R302" s="41">
        <v>3659976.486</v>
      </c>
    </row>
    <row r="303" spans="1:18" x14ac:dyDescent="0.25">
      <c r="A303" s="49">
        <v>1225</v>
      </c>
      <c r="B303" s="48" t="s">
        <v>844</v>
      </c>
      <c r="C303" s="47">
        <v>50</v>
      </c>
      <c r="D303" s="46">
        <v>20</v>
      </c>
      <c r="E303" s="44">
        <v>23</v>
      </c>
      <c r="F303" s="44">
        <f>1.8*E303+32</f>
        <v>73.400000000000006</v>
      </c>
      <c r="G303" s="45">
        <v>24</v>
      </c>
      <c r="H303" s="44">
        <f>IF(F303&gt;68,G303+(F303-68)*0.2,Y334-(68-F303)*0.2)</f>
        <v>25.080000000000002</v>
      </c>
      <c r="I303" s="44">
        <v>23</v>
      </c>
      <c r="J303" s="44">
        <f>1.8*I303+32</f>
        <v>73.400000000000006</v>
      </c>
      <c r="K303" s="45">
        <v>12</v>
      </c>
      <c r="L303" s="44">
        <f>IF(J303&gt;68,K303+(J303-68)*0.2,K303-(68-J303)*0.2)</f>
        <v>13.080000000000002</v>
      </c>
      <c r="M303" s="43">
        <f>(C303-H303)/C303*100</f>
        <v>49.839999999999996</v>
      </c>
      <c r="N303" s="43">
        <f>100-(M303+O303)</f>
        <v>24</v>
      </c>
      <c r="O303" s="43">
        <f>L303/C303*100</f>
        <v>26.160000000000004</v>
      </c>
      <c r="P303" s="42" t="s">
        <v>2</v>
      </c>
      <c r="Q303" s="41">
        <v>407498.74699999997</v>
      </c>
      <c r="R303" s="41">
        <v>3659976.486</v>
      </c>
    </row>
    <row r="304" spans="1:18" x14ac:dyDescent="0.25">
      <c r="A304" s="49">
        <v>1225</v>
      </c>
      <c r="B304" s="48" t="s">
        <v>843</v>
      </c>
      <c r="C304" s="47">
        <v>50</v>
      </c>
      <c r="D304" s="46">
        <v>20</v>
      </c>
      <c r="E304" s="44">
        <v>23</v>
      </c>
      <c r="F304" s="44">
        <f>1.8*E304+32</f>
        <v>73.400000000000006</v>
      </c>
      <c r="G304" s="45">
        <v>22</v>
      </c>
      <c r="H304" s="44">
        <f>IF(F304&gt;68,G304+(F304-68)*0.2,Y335-(68-F304)*0.2)</f>
        <v>23.080000000000002</v>
      </c>
      <c r="I304" s="44">
        <v>23</v>
      </c>
      <c r="J304" s="44">
        <f>1.8*I304+32</f>
        <v>73.400000000000006</v>
      </c>
      <c r="K304" s="45">
        <v>11</v>
      </c>
      <c r="L304" s="44">
        <f>IF(J304&gt;68,K304+(J304-68)*0.2,K304-(68-J304)*0.2)</f>
        <v>12.080000000000002</v>
      </c>
      <c r="M304" s="43">
        <f>(C304-H304)/C304*100</f>
        <v>53.839999999999996</v>
      </c>
      <c r="N304" s="43">
        <f>100-(M304+O304)</f>
        <v>22</v>
      </c>
      <c r="O304" s="43">
        <f>L304/C304*100</f>
        <v>24.160000000000004</v>
      </c>
      <c r="P304" s="42" t="s">
        <v>2</v>
      </c>
      <c r="Q304" s="41">
        <v>407498.74699999997</v>
      </c>
      <c r="R304" s="41">
        <v>3659976.486</v>
      </c>
    </row>
    <row r="305" spans="1:18" x14ac:dyDescent="0.25">
      <c r="A305" s="49">
        <v>1225</v>
      </c>
      <c r="B305" s="48" t="s">
        <v>842</v>
      </c>
      <c r="C305" s="47">
        <v>50</v>
      </c>
      <c r="D305" s="46">
        <v>20</v>
      </c>
      <c r="E305" s="44">
        <v>23</v>
      </c>
      <c r="F305" s="44">
        <f>1.8*E305+32</f>
        <v>73.400000000000006</v>
      </c>
      <c r="G305" s="45">
        <v>22</v>
      </c>
      <c r="H305" s="44">
        <f>IF(F305&gt;68,G305+(F305-68)*0.2,Y336-(68-F305)*0.2)</f>
        <v>23.080000000000002</v>
      </c>
      <c r="I305" s="44">
        <v>23</v>
      </c>
      <c r="J305" s="44">
        <f>1.8*I305+32</f>
        <v>73.400000000000006</v>
      </c>
      <c r="K305" s="45">
        <v>13</v>
      </c>
      <c r="L305" s="44">
        <f>IF(J305&gt;68,K305+(J305-68)*0.2,K305-(68-J305)*0.2)</f>
        <v>14.080000000000002</v>
      </c>
      <c r="M305" s="43">
        <f>(C305-H305)/C305*100</f>
        <v>53.839999999999996</v>
      </c>
      <c r="N305" s="43">
        <f>100-(M305+O305)</f>
        <v>18</v>
      </c>
      <c r="O305" s="43">
        <f>L305/C305*100</f>
        <v>28.16</v>
      </c>
      <c r="P305" s="42" t="s">
        <v>2</v>
      </c>
      <c r="Q305" s="41">
        <v>407498.74699999997</v>
      </c>
      <c r="R305" s="41">
        <v>3659976.486</v>
      </c>
    </row>
    <row r="306" spans="1:18" x14ac:dyDescent="0.25">
      <c r="A306" s="49">
        <v>1225</v>
      </c>
      <c r="B306" s="48" t="s">
        <v>841</v>
      </c>
      <c r="C306" s="47">
        <v>50</v>
      </c>
      <c r="D306" s="46">
        <v>20</v>
      </c>
      <c r="E306" s="44">
        <v>23</v>
      </c>
      <c r="F306" s="44">
        <f>1.8*E306+32</f>
        <v>73.400000000000006</v>
      </c>
      <c r="G306" s="45">
        <v>17</v>
      </c>
      <c r="H306" s="44">
        <f>IF(F306&gt;68,G306+(F306-68)*0.2,Y337-(68-F306)*0.2)</f>
        <v>18.080000000000002</v>
      </c>
      <c r="I306" s="44">
        <v>23</v>
      </c>
      <c r="J306" s="44">
        <f>1.8*I306+32</f>
        <v>73.400000000000006</v>
      </c>
      <c r="K306" s="45">
        <v>9</v>
      </c>
      <c r="L306" s="44">
        <f>IF(J306&gt;68,K306+(J306-68)*0.2,K306-(68-J306)*0.2)</f>
        <v>10.080000000000002</v>
      </c>
      <c r="M306" s="43">
        <f>(C306-H306)/C306*100</f>
        <v>63.839999999999996</v>
      </c>
      <c r="N306" s="43">
        <f>100-(M306+O306)</f>
        <v>16</v>
      </c>
      <c r="O306" s="43">
        <f>L306/C306*100</f>
        <v>20.160000000000004</v>
      </c>
      <c r="P306" s="42" t="s">
        <v>2</v>
      </c>
      <c r="Q306" s="41">
        <v>407498.74699999997</v>
      </c>
      <c r="R306" s="41">
        <v>3659976.486</v>
      </c>
    </row>
    <row r="307" spans="1:18" x14ac:dyDescent="0.25">
      <c r="A307" s="49">
        <v>1225</v>
      </c>
      <c r="B307" s="48" t="s">
        <v>839</v>
      </c>
      <c r="C307" s="47">
        <v>50</v>
      </c>
      <c r="D307" s="46">
        <v>20</v>
      </c>
      <c r="E307" s="44">
        <v>23</v>
      </c>
      <c r="F307" s="44">
        <f>1.8*E307+32</f>
        <v>73.400000000000006</v>
      </c>
      <c r="G307" s="45">
        <v>18</v>
      </c>
      <c r="H307" s="44">
        <f>IF(F307&gt;68,G307+(F307-68)*0.2,Y338-(68-F307)*0.2)</f>
        <v>19.080000000000002</v>
      </c>
      <c r="I307" s="44">
        <v>23</v>
      </c>
      <c r="J307" s="44">
        <f>1.8*I307+32</f>
        <v>73.400000000000006</v>
      </c>
      <c r="K307" s="45">
        <v>9</v>
      </c>
      <c r="L307" s="44">
        <f>IF(J307&gt;68,K307+(J307-68)*0.2,K307-(68-J307)*0.2)</f>
        <v>10.080000000000002</v>
      </c>
      <c r="M307" s="43">
        <f>(C307-H307)/C307*100</f>
        <v>61.839999999999996</v>
      </c>
      <c r="N307" s="43">
        <f>100-(M307+O307)</f>
        <v>18</v>
      </c>
      <c r="O307" s="43">
        <f>L307/C307*100</f>
        <v>20.160000000000004</v>
      </c>
      <c r="P307" s="42" t="s">
        <v>2</v>
      </c>
      <c r="Q307" s="41">
        <v>407498.74699999997</v>
      </c>
      <c r="R307" s="41">
        <v>3659976.486</v>
      </c>
    </row>
    <row r="308" spans="1:18" x14ac:dyDescent="0.25">
      <c r="A308" s="61"/>
      <c r="B308" s="58"/>
      <c r="C308" s="58"/>
      <c r="D308" s="58"/>
      <c r="E308" s="58"/>
      <c r="F308" s="58"/>
      <c r="G308" s="60"/>
      <c r="H308" s="58"/>
      <c r="I308" s="58"/>
      <c r="J308" s="58"/>
      <c r="K308" s="60"/>
      <c r="L308" s="58"/>
      <c r="M308" s="59"/>
      <c r="N308" s="59"/>
      <c r="O308" s="59"/>
      <c r="P308" s="58"/>
    </row>
    <row r="309" spans="1:18" x14ac:dyDescent="0.25">
      <c r="A309" s="57"/>
      <c r="B309" s="56"/>
      <c r="C309" s="55"/>
      <c r="D309" s="54"/>
      <c r="E309" s="52"/>
      <c r="F309" s="52"/>
      <c r="G309" s="53"/>
      <c r="H309" s="52"/>
      <c r="I309" s="52"/>
      <c r="J309" s="52"/>
      <c r="K309" s="53"/>
      <c r="L309" s="52"/>
      <c r="M309" s="51"/>
      <c r="N309" s="51"/>
      <c r="O309" s="51"/>
      <c r="P309" s="50"/>
      <c r="Q309" s="5" t="s">
        <v>4</v>
      </c>
      <c r="R309" s="5" t="s">
        <v>3</v>
      </c>
    </row>
    <row r="310" spans="1:18" x14ac:dyDescent="0.25">
      <c r="A310" s="49">
        <v>1239</v>
      </c>
      <c r="B310" s="48" t="s">
        <v>845</v>
      </c>
      <c r="C310" s="47">
        <v>50</v>
      </c>
      <c r="D310" s="46">
        <v>20</v>
      </c>
      <c r="E310" s="44">
        <v>23</v>
      </c>
      <c r="F310" s="44">
        <f>1.8*E310+32</f>
        <v>73.400000000000006</v>
      </c>
      <c r="G310" s="45">
        <v>15</v>
      </c>
      <c r="H310" s="44">
        <f>IF(F310&gt;68,G310+(F310-68)*0.2,#REF!-(68-F310)*0.2)</f>
        <v>16.080000000000002</v>
      </c>
      <c r="I310" s="44">
        <v>23</v>
      </c>
      <c r="J310" s="44">
        <f>1.8*I310+32</f>
        <v>73.400000000000006</v>
      </c>
      <c r="K310" s="45">
        <v>7</v>
      </c>
      <c r="L310" s="44">
        <f>IF(J310&gt;68,K310+(J310-68)*0.2,K310-(68-J310)*0.2)</f>
        <v>8.0800000000000018</v>
      </c>
      <c r="M310" s="43">
        <f>(C310-H310)/C310*100</f>
        <v>67.84</v>
      </c>
      <c r="N310" s="43">
        <f>100-(M310+O310)</f>
        <v>16</v>
      </c>
      <c r="O310" s="43">
        <f>L310/C310*100</f>
        <v>16.160000000000004</v>
      </c>
      <c r="P310" s="42" t="s">
        <v>0</v>
      </c>
      <c r="Q310" s="41">
        <v>407497.74800000002</v>
      </c>
      <c r="R310" s="41">
        <v>3659917.6120000002</v>
      </c>
    </row>
    <row r="311" spans="1:18" x14ac:dyDescent="0.25">
      <c r="A311" s="49">
        <v>1239</v>
      </c>
      <c r="B311" s="48" t="s">
        <v>844</v>
      </c>
      <c r="C311" s="47">
        <v>50</v>
      </c>
      <c r="D311" s="46">
        <v>20</v>
      </c>
      <c r="E311" s="44">
        <v>23</v>
      </c>
      <c r="F311" s="44">
        <f>1.8*E311+32</f>
        <v>73.400000000000006</v>
      </c>
      <c r="G311" s="45">
        <v>15</v>
      </c>
      <c r="H311" s="44">
        <f>IF(F311&gt;68,G311+(F311-68)*0.2,Y342-(68-F311)*0.2)</f>
        <v>16.080000000000002</v>
      </c>
      <c r="I311" s="44">
        <v>23</v>
      </c>
      <c r="J311" s="44">
        <f>1.8*I311+32</f>
        <v>73.400000000000006</v>
      </c>
      <c r="K311" s="45">
        <v>7</v>
      </c>
      <c r="L311" s="44">
        <f>IF(J311&gt;68,K311+(J311-68)*0.2,K311-(68-J311)*0.2)</f>
        <v>8.0800000000000018</v>
      </c>
      <c r="M311" s="43">
        <f>(C311-H311)/C311*100</f>
        <v>67.84</v>
      </c>
      <c r="N311" s="43">
        <f>100-(M311+O311)</f>
        <v>16</v>
      </c>
      <c r="O311" s="43">
        <f>L311/C311*100</f>
        <v>16.160000000000004</v>
      </c>
      <c r="P311" s="42" t="s">
        <v>0</v>
      </c>
      <c r="Q311" s="41">
        <v>407497.74800000002</v>
      </c>
      <c r="R311" s="41">
        <v>3659917.6120000002</v>
      </c>
    </row>
    <row r="312" spans="1:18" x14ac:dyDescent="0.25">
      <c r="A312" s="49">
        <v>1239</v>
      </c>
      <c r="B312" s="48" t="s">
        <v>843</v>
      </c>
      <c r="C312" s="47">
        <v>50</v>
      </c>
      <c r="D312" s="46">
        <v>20</v>
      </c>
      <c r="E312" s="44">
        <v>23</v>
      </c>
      <c r="F312" s="44">
        <f>1.8*E312+32</f>
        <v>73.400000000000006</v>
      </c>
      <c r="G312" s="45">
        <v>16</v>
      </c>
      <c r="H312" s="44">
        <f>IF(F312&gt;68,G312+(F312-68)*0.2,Y343-(68-F312)*0.2)</f>
        <v>17.080000000000002</v>
      </c>
      <c r="I312" s="44">
        <v>23</v>
      </c>
      <c r="J312" s="44">
        <f>1.8*I312+32</f>
        <v>73.400000000000006</v>
      </c>
      <c r="K312" s="45">
        <v>8</v>
      </c>
      <c r="L312" s="44">
        <f>IF(J312&gt;68,K312+(J312-68)*0.2,K312-(68-J312)*0.2)</f>
        <v>9.0800000000000018</v>
      </c>
      <c r="M312" s="43">
        <f>(C312-H312)/C312*100</f>
        <v>65.84</v>
      </c>
      <c r="N312" s="43">
        <f>100-(M312+O312)</f>
        <v>16</v>
      </c>
      <c r="O312" s="43">
        <f>L312/C312*100</f>
        <v>18.160000000000004</v>
      </c>
      <c r="P312" s="42" t="s">
        <v>0</v>
      </c>
      <c r="Q312" s="41">
        <v>407497.74800000002</v>
      </c>
      <c r="R312" s="41">
        <v>3659917.6120000002</v>
      </c>
    </row>
    <row r="313" spans="1:18" x14ac:dyDescent="0.25">
      <c r="A313" s="49">
        <v>1239</v>
      </c>
      <c r="B313" s="48" t="s">
        <v>842</v>
      </c>
      <c r="C313" s="47">
        <v>50</v>
      </c>
      <c r="D313" s="46">
        <v>20</v>
      </c>
      <c r="E313" s="44">
        <v>23</v>
      </c>
      <c r="F313" s="44">
        <f>1.8*E313+32</f>
        <v>73.400000000000006</v>
      </c>
      <c r="G313" s="45">
        <v>19</v>
      </c>
      <c r="H313" s="44">
        <f>IF(F313&gt;68,G313+(F313-68)*0.2,Y344-(68-F313)*0.2)</f>
        <v>20.080000000000002</v>
      </c>
      <c r="I313" s="44">
        <v>23</v>
      </c>
      <c r="J313" s="44">
        <f>1.8*I313+32</f>
        <v>73.400000000000006</v>
      </c>
      <c r="K313" s="45">
        <v>10</v>
      </c>
      <c r="L313" s="44">
        <f>IF(J313&gt;68,K313+(J313-68)*0.2,K313-(68-J313)*0.2)</f>
        <v>11.080000000000002</v>
      </c>
      <c r="M313" s="43">
        <f>(C313-H313)/C313*100</f>
        <v>59.839999999999996</v>
      </c>
      <c r="N313" s="43">
        <f>100-(M313+O313)</f>
        <v>18</v>
      </c>
      <c r="O313" s="43">
        <f>L313/C313*100</f>
        <v>22.160000000000004</v>
      </c>
      <c r="P313" s="42" t="s">
        <v>2</v>
      </c>
      <c r="Q313" s="41">
        <v>407497.74800000002</v>
      </c>
      <c r="R313" s="41">
        <v>3659917.6120000002</v>
      </c>
    </row>
    <row r="314" spans="1:18" x14ac:dyDescent="0.25">
      <c r="A314" s="49">
        <v>1239</v>
      </c>
      <c r="B314" s="48" t="s">
        <v>841</v>
      </c>
      <c r="C314" s="47">
        <v>50</v>
      </c>
      <c r="D314" s="46">
        <v>20</v>
      </c>
      <c r="E314" s="44">
        <v>23</v>
      </c>
      <c r="F314" s="44">
        <f>1.8*E314+32</f>
        <v>73.400000000000006</v>
      </c>
      <c r="G314" s="45">
        <v>13</v>
      </c>
      <c r="H314" s="44">
        <f>IF(F314&gt;68,G314+(F314-68)*0.2,Y345-(68-F314)*0.2)</f>
        <v>14.080000000000002</v>
      </c>
      <c r="I314" s="44">
        <v>23</v>
      </c>
      <c r="J314" s="44">
        <f>1.8*I314+32</f>
        <v>73.400000000000006</v>
      </c>
      <c r="K314" s="45">
        <v>5</v>
      </c>
      <c r="L314" s="44">
        <f>IF(J314&gt;68,K314+(J314-68)*0.2,K314-(68-J314)*0.2)</f>
        <v>6.080000000000001</v>
      </c>
      <c r="M314" s="43">
        <f>(C314-H314)/C314*100</f>
        <v>71.84</v>
      </c>
      <c r="N314" s="43">
        <f>100-(M314+O314)</f>
        <v>16</v>
      </c>
      <c r="O314" s="43">
        <f>L314/C314*100</f>
        <v>12.160000000000002</v>
      </c>
      <c r="P314" s="42" t="s">
        <v>0</v>
      </c>
      <c r="Q314" s="41">
        <v>407497.74800000002</v>
      </c>
      <c r="R314" s="41">
        <v>3659917.6120000002</v>
      </c>
    </row>
    <row r="315" spans="1:18" x14ac:dyDescent="0.25">
      <c r="A315" s="49">
        <v>1239</v>
      </c>
      <c r="B315" s="48" t="s">
        <v>839</v>
      </c>
      <c r="C315" s="47">
        <v>50</v>
      </c>
      <c r="D315" s="46">
        <v>20</v>
      </c>
      <c r="E315" s="44">
        <v>23</v>
      </c>
      <c r="F315" s="44">
        <f>1.8*E315+32</f>
        <v>73.400000000000006</v>
      </c>
      <c r="G315" s="45">
        <v>16</v>
      </c>
      <c r="H315" s="44">
        <f>IF(F315&gt;68,G315+(F315-68)*0.2,Y346-(68-F315)*0.2)</f>
        <v>17.080000000000002</v>
      </c>
      <c r="I315" s="44">
        <v>23</v>
      </c>
      <c r="J315" s="44">
        <f>1.8*I315+32</f>
        <v>73.400000000000006</v>
      </c>
      <c r="K315" s="45">
        <v>6</v>
      </c>
      <c r="L315" s="44">
        <f>IF(J315&gt;68,K315+(J315-68)*0.2,K315-(68-J315)*0.2)</f>
        <v>7.080000000000001</v>
      </c>
      <c r="M315" s="43">
        <f>(C315-H315)/C315*100</f>
        <v>65.84</v>
      </c>
      <c r="N315" s="43">
        <f>100-(M315+O315)</f>
        <v>20</v>
      </c>
      <c r="O315" s="43">
        <f>L315/C315*100</f>
        <v>14.160000000000004</v>
      </c>
      <c r="P315" s="42" t="s">
        <v>0</v>
      </c>
      <c r="Q315" s="41">
        <v>407497.74800000002</v>
      </c>
      <c r="R315" s="41">
        <v>3659917.6120000002</v>
      </c>
    </row>
    <row r="316" spans="1:18" x14ac:dyDescent="0.25">
      <c r="A316" s="61"/>
      <c r="B316" s="58"/>
      <c r="C316" s="58"/>
      <c r="D316" s="58"/>
      <c r="E316" s="58"/>
      <c r="F316" s="58"/>
      <c r="G316" s="60"/>
      <c r="H316" s="58"/>
      <c r="I316" s="58"/>
      <c r="J316" s="58"/>
      <c r="K316" s="60"/>
      <c r="L316" s="58"/>
      <c r="M316" s="59"/>
      <c r="N316" s="59"/>
      <c r="O316" s="59"/>
      <c r="P316" s="58"/>
    </row>
    <row r="317" spans="1:18" x14ac:dyDescent="0.25">
      <c r="A317" s="57"/>
      <c r="B317" s="56"/>
      <c r="C317" s="55"/>
      <c r="D317" s="54"/>
      <c r="E317" s="52"/>
      <c r="F317" s="52"/>
      <c r="G317" s="53"/>
      <c r="H317" s="52"/>
      <c r="I317" s="52"/>
      <c r="J317" s="52"/>
      <c r="K317" s="53"/>
      <c r="L317" s="52"/>
      <c r="M317" s="51"/>
      <c r="N317" s="51"/>
      <c r="O317" s="51"/>
      <c r="P317" s="50"/>
      <c r="Q317" s="5" t="s">
        <v>4</v>
      </c>
      <c r="R317" s="5" t="s">
        <v>3</v>
      </c>
    </row>
    <row r="318" spans="1:18" x14ac:dyDescent="0.25">
      <c r="A318" s="49">
        <v>1245</v>
      </c>
      <c r="B318" s="48" t="s">
        <v>845</v>
      </c>
      <c r="C318" s="47">
        <v>50</v>
      </c>
      <c r="D318" s="46">
        <v>20</v>
      </c>
      <c r="E318" s="44">
        <v>23</v>
      </c>
      <c r="F318" s="44">
        <f>1.8*E318+32</f>
        <v>73.400000000000006</v>
      </c>
      <c r="G318" s="45">
        <v>16</v>
      </c>
      <c r="H318" s="44">
        <f>IF(F318&gt;68,G318+(F318-68)*0.2,#REF!-(68-F318)*0.2)</f>
        <v>17.080000000000002</v>
      </c>
      <c r="I318" s="44">
        <v>23</v>
      </c>
      <c r="J318" s="44">
        <f>1.8*I318+32</f>
        <v>73.400000000000006</v>
      </c>
      <c r="K318" s="45">
        <v>7</v>
      </c>
      <c r="L318" s="44">
        <f>IF(J318&gt;68,K318+(J318-68)*0.2,K318-(68-J318)*0.2)</f>
        <v>8.0800000000000018</v>
      </c>
      <c r="M318" s="43">
        <f>(C318-H318)/C318*100</f>
        <v>65.84</v>
      </c>
      <c r="N318" s="43">
        <f>100-(M318+O318)</f>
        <v>18</v>
      </c>
      <c r="O318" s="43">
        <f>L318/C318*100</f>
        <v>16.160000000000004</v>
      </c>
      <c r="P318" s="42" t="s">
        <v>0</v>
      </c>
      <c r="Q318" s="41">
        <v>407497.321</v>
      </c>
      <c r="R318" s="41">
        <v>3659892.2969999998</v>
      </c>
    </row>
    <row r="319" spans="1:18" x14ac:dyDescent="0.25">
      <c r="A319" s="49">
        <v>1245</v>
      </c>
      <c r="B319" s="48" t="s">
        <v>844</v>
      </c>
      <c r="C319" s="47">
        <v>50</v>
      </c>
      <c r="D319" s="46">
        <v>20</v>
      </c>
      <c r="E319" s="44">
        <v>23</v>
      </c>
      <c r="F319" s="44">
        <f>1.8*E319+32</f>
        <v>73.400000000000006</v>
      </c>
      <c r="G319" s="45">
        <v>19</v>
      </c>
      <c r="H319" s="44">
        <f>IF(F319&gt;68,G319+(F319-68)*0.2,Y350-(68-F319)*0.2)</f>
        <v>20.080000000000002</v>
      </c>
      <c r="I319" s="44">
        <v>23</v>
      </c>
      <c r="J319" s="44">
        <f>1.8*I319+32</f>
        <v>73.400000000000006</v>
      </c>
      <c r="K319" s="45">
        <v>9</v>
      </c>
      <c r="L319" s="44">
        <f>IF(J319&gt;68,K319+(J319-68)*0.2,K319-(68-J319)*0.2)</f>
        <v>10.080000000000002</v>
      </c>
      <c r="M319" s="43">
        <f>(C319-H319)/C319*100</f>
        <v>59.839999999999996</v>
      </c>
      <c r="N319" s="43">
        <f>100-(M319+O319)</f>
        <v>20</v>
      </c>
      <c r="O319" s="43">
        <f>L319/C319*100</f>
        <v>20.160000000000004</v>
      </c>
      <c r="P319" s="42" t="s">
        <v>2</v>
      </c>
      <c r="Q319" s="41">
        <v>407497.321</v>
      </c>
      <c r="R319" s="41">
        <v>3659892.2969999998</v>
      </c>
    </row>
    <row r="320" spans="1:18" x14ac:dyDescent="0.25">
      <c r="A320" s="49">
        <v>1245</v>
      </c>
      <c r="B320" s="48" t="s">
        <v>843</v>
      </c>
      <c r="C320" s="47">
        <v>50</v>
      </c>
      <c r="D320" s="46">
        <v>20</v>
      </c>
      <c r="E320" s="44">
        <v>23</v>
      </c>
      <c r="F320" s="44">
        <f>1.8*E320+32</f>
        <v>73.400000000000006</v>
      </c>
      <c r="G320" s="45">
        <v>12</v>
      </c>
      <c r="H320" s="44">
        <f>IF(F320&gt;68,G320+(F320-68)*0.2,Y351-(68-F320)*0.2)</f>
        <v>13.080000000000002</v>
      </c>
      <c r="I320" s="44">
        <v>23</v>
      </c>
      <c r="J320" s="44">
        <f>1.8*I320+32</f>
        <v>73.400000000000006</v>
      </c>
      <c r="K320" s="45">
        <v>12</v>
      </c>
      <c r="L320" s="44">
        <f>IF(J320&gt;68,K320+(J320-68)*0.2,K320-(68-J320)*0.2)</f>
        <v>13.080000000000002</v>
      </c>
      <c r="M320" s="43">
        <f>(C320-H320)/C320*100</f>
        <v>73.84</v>
      </c>
      <c r="N320" s="43">
        <f>100-(M320+O320)</f>
        <v>0</v>
      </c>
      <c r="O320" s="43">
        <f>L320/C320*100</f>
        <v>26.160000000000004</v>
      </c>
      <c r="P320" s="42" t="s">
        <v>2</v>
      </c>
      <c r="Q320" s="41">
        <v>407497.321</v>
      </c>
      <c r="R320" s="41">
        <v>3659892.2969999998</v>
      </c>
    </row>
    <row r="321" spans="1:18" x14ac:dyDescent="0.25">
      <c r="A321" s="49">
        <v>1245</v>
      </c>
      <c r="B321" s="48" t="s">
        <v>842</v>
      </c>
      <c r="C321" s="47">
        <v>50</v>
      </c>
      <c r="D321" s="46">
        <v>20</v>
      </c>
      <c r="E321" s="44">
        <v>23</v>
      </c>
      <c r="F321" s="44">
        <f>1.8*E321+32</f>
        <v>73.400000000000006</v>
      </c>
      <c r="G321" s="45">
        <v>22</v>
      </c>
      <c r="H321" s="44">
        <f>IF(F321&gt;68,G321+(F321-68)*0.2,Y352-(68-F321)*0.2)</f>
        <v>23.080000000000002</v>
      </c>
      <c r="I321" s="44">
        <v>23</v>
      </c>
      <c r="J321" s="44">
        <f>1.8*I321+32</f>
        <v>73.400000000000006</v>
      </c>
      <c r="K321" s="45">
        <v>11</v>
      </c>
      <c r="L321" s="44">
        <f>IF(J321&gt;68,K321+(J321-68)*0.2,K321-(68-J321)*0.2)</f>
        <v>12.080000000000002</v>
      </c>
      <c r="M321" s="43">
        <f>(C321-H321)/C321*100</f>
        <v>53.839999999999996</v>
      </c>
      <c r="N321" s="43">
        <f>100-(M321+O321)</f>
        <v>22</v>
      </c>
      <c r="O321" s="43">
        <f>L321/C321*100</f>
        <v>24.160000000000004</v>
      </c>
      <c r="P321" s="42" t="s">
        <v>2</v>
      </c>
      <c r="Q321" s="41">
        <v>407497.321</v>
      </c>
      <c r="R321" s="41">
        <v>3659892.2969999998</v>
      </c>
    </row>
    <row r="322" spans="1:18" x14ac:dyDescent="0.25">
      <c r="A322" s="49">
        <v>1245</v>
      </c>
      <c r="B322" s="48" t="s">
        <v>841</v>
      </c>
      <c r="C322" s="47">
        <v>50</v>
      </c>
      <c r="D322" s="46">
        <v>20</v>
      </c>
      <c r="E322" s="44">
        <v>23</v>
      </c>
      <c r="F322" s="44">
        <f>1.8*E322+32</f>
        <v>73.400000000000006</v>
      </c>
      <c r="G322" s="45">
        <v>20</v>
      </c>
      <c r="H322" s="44">
        <f>IF(F322&gt;68,G322+(F322-68)*0.2,Y353-(68-F322)*0.2)</f>
        <v>21.080000000000002</v>
      </c>
      <c r="I322" s="44">
        <v>23</v>
      </c>
      <c r="J322" s="44">
        <f>1.8*I322+32</f>
        <v>73.400000000000006</v>
      </c>
      <c r="K322" s="45">
        <v>10</v>
      </c>
      <c r="L322" s="44">
        <f>IF(J322&gt;68,K322+(J322-68)*0.2,K322-(68-J322)*0.2)</f>
        <v>11.080000000000002</v>
      </c>
      <c r="M322" s="43">
        <f>(C322-H322)/C322*100</f>
        <v>57.839999999999989</v>
      </c>
      <c r="N322" s="43">
        <f>100-(M322+O322)</f>
        <v>20</v>
      </c>
      <c r="O322" s="43">
        <f>L322/C322*100</f>
        <v>22.160000000000004</v>
      </c>
      <c r="P322" s="42" t="s">
        <v>2</v>
      </c>
      <c r="Q322" s="41">
        <v>407497.321</v>
      </c>
      <c r="R322" s="41">
        <v>3659892.2969999998</v>
      </c>
    </row>
    <row r="323" spans="1:18" x14ac:dyDescent="0.25">
      <c r="A323" s="49">
        <v>1245</v>
      </c>
      <c r="B323" s="48" t="s">
        <v>839</v>
      </c>
      <c r="C323" s="47">
        <v>50</v>
      </c>
      <c r="D323" s="46">
        <v>20</v>
      </c>
      <c r="E323" s="44">
        <v>23</v>
      </c>
      <c r="F323" s="44">
        <f>1.8*E323+32</f>
        <v>73.400000000000006</v>
      </c>
      <c r="G323" s="45">
        <v>22</v>
      </c>
      <c r="H323" s="44">
        <f>IF(F323&gt;68,G323+(F323-68)*0.2,Y354-(68-F323)*0.2)</f>
        <v>23.080000000000002</v>
      </c>
      <c r="I323" s="44">
        <v>23</v>
      </c>
      <c r="J323" s="44">
        <f>1.8*I323+32</f>
        <v>73.400000000000006</v>
      </c>
      <c r="K323" s="45">
        <v>11</v>
      </c>
      <c r="L323" s="44">
        <f>IF(J323&gt;68,K323+(J323-68)*0.2,K323-(68-J323)*0.2)</f>
        <v>12.080000000000002</v>
      </c>
      <c r="M323" s="43">
        <f>(C323-H323)/C323*100</f>
        <v>53.839999999999996</v>
      </c>
      <c r="N323" s="43">
        <f>100-(M323+O323)</f>
        <v>22</v>
      </c>
      <c r="O323" s="43">
        <f>L323/C323*100</f>
        <v>24.160000000000004</v>
      </c>
      <c r="P323" s="42" t="s">
        <v>2</v>
      </c>
      <c r="Q323" s="41">
        <v>407497.321</v>
      </c>
      <c r="R323" s="41">
        <v>3659892.2969999998</v>
      </c>
    </row>
    <row r="324" spans="1:18" x14ac:dyDescent="0.25">
      <c r="A324" s="61"/>
      <c r="B324" s="58"/>
      <c r="C324" s="58"/>
      <c r="D324" s="58"/>
      <c r="E324" s="58"/>
      <c r="F324" s="58"/>
      <c r="G324" s="60"/>
      <c r="H324" s="58"/>
      <c r="I324" s="58"/>
      <c r="J324" s="58"/>
      <c r="K324" s="60"/>
      <c r="L324" s="58"/>
      <c r="M324" s="59"/>
      <c r="N324" s="59"/>
      <c r="O324" s="59"/>
      <c r="P324" s="58"/>
    </row>
    <row r="325" spans="1:18" x14ac:dyDescent="0.25">
      <c r="A325" s="57"/>
      <c r="B325" s="56"/>
      <c r="C325" s="55"/>
      <c r="D325" s="54"/>
      <c r="E325" s="52"/>
      <c r="F325" s="52"/>
      <c r="G325" s="53"/>
      <c r="H325" s="52"/>
      <c r="I325" s="52"/>
      <c r="J325" s="52"/>
      <c r="K325" s="53"/>
      <c r="L325" s="52"/>
      <c r="M325" s="51"/>
      <c r="N325" s="51"/>
      <c r="O325" s="51"/>
      <c r="P325" s="50"/>
      <c r="Q325" s="5" t="s">
        <v>4</v>
      </c>
      <c r="R325" s="5" t="s">
        <v>3</v>
      </c>
    </row>
    <row r="326" spans="1:18" x14ac:dyDescent="0.25">
      <c r="A326" s="49">
        <v>1347</v>
      </c>
      <c r="B326" s="48" t="s">
        <v>845</v>
      </c>
      <c r="C326" s="47">
        <v>50</v>
      </c>
      <c r="D326" s="46">
        <v>20</v>
      </c>
      <c r="E326" s="44">
        <v>23</v>
      </c>
      <c r="F326" s="44">
        <f>1.8*E326+32</f>
        <v>73.400000000000006</v>
      </c>
      <c r="G326" s="45">
        <v>19</v>
      </c>
      <c r="H326" s="44">
        <f>IF(F326&gt;68,G326+(F326-68)*0.2,Y361-(68-F326)*0.2)</f>
        <v>20.080000000000002</v>
      </c>
      <c r="I326" s="44">
        <v>23</v>
      </c>
      <c r="J326" s="44">
        <f>1.8*I326+32</f>
        <v>73.400000000000006</v>
      </c>
      <c r="K326" s="45">
        <v>10</v>
      </c>
      <c r="L326" s="44">
        <f>IF(J326&gt;68,K326+(J326-68)*0.2,K326-(68-J326)*0.2)</f>
        <v>11.080000000000002</v>
      </c>
      <c r="M326" s="43">
        <f>(C326-H326)/C326*100</f>
        <v>59.839999999999996</v>
      </c>
      <c r="N326" s="43">
        <f>100-(M326+O326)</f>
        <v>18</v>
      </c>
      <c r="O326" s="43">
        <f>L326/C326*100</f>
        <v>22.160000000000004</v>
      </c>
      <c r="P326" s="42" t="s">
        <v>2</v>
      </c>
      <c r="Q326" s="41">
        <v>407481.26799999998</v>
      </c>
      <c r="R326" s="62">
        <v>3659891.81</v>
      </c>
    </row>
    <row r="327" spans="1:18" x14ac:dyDescent="0.25">
      <c r="A327" s="49">
        <v>1347</v>
      </c>
      <c r="B327" s="48" t="s">
        <v>844</v>
      </c>
      <c r="C327" s="47">
        <v>50</v>
      </c>
      <c r="D327" s="46">
        <v>20</v>
      </c>
      <c r="E327" s="44">
        <v>23</v>
      </c>
      <c r="F327" s="44">
        <f>1.8*E327+32</f>
        <v>73.400000000000006</v>
      </c>
      <c r="G327" s="45">
        <v>18</v>
      </c>
      <c r="H327" s="44">
        <f>IF(F327&gt;68,G327+(F327-68)*0.2,Y358-(68-F327)*0.2)</f>
        <v>19.080000000000002</v>
      </c>
      <c r="I327" s="44">
        <v>23</v>
      </c>
      <c r="J327" s="44">
        <f>1.8*I327+32</f>
        <v>73.400000000000006</v>
      </c>
      <c r="K327" s="45">
        <v>8</v>
      </c>
      <c r="L327" s="44">
        <f>IF(J327&gt;68,K327+(J327-68)*0.2,K327-(68-J327)*0.2)</f>
        <v>9.0800000000000018</v>
      </c>
      <c r="M327" s="43">
        <f>(C327-H327)/C327*100</f>
        <v>61.839999999999996</v>
      </c>
      <c r="N327" s="43">
        <f>100-(M327+O327)</f>
        <v>20</v>
      </c>
      <c r="O327" s="43">
        <f>L327/C327*100</f>
        <v>18.160000000000004</v>
      </c>
      <c r="P327" s="42" t="s">
        <v>0</v>
      </c>
      <c r="Q327" s="41">
        <v>407481.26799999998</v>
      </c>
      <c r="R327" s="62">
        <v>3659891.81</v>
      </c>
    </row>
    <row r="328" spans="1:18" x14ac:dyDescent="0.25">
      <c r="A328" s="49">
        <v>1347</v>
      </c>
      <c r="B328" s="48" t="s">
        <v>843</v>
      </c>
      <c r="C328" s="47">
        <v>50</v>
      </c>
      <c r="D328" s="46">
        <v>20</v>
      </c>
      <c r="E328" s="44">
        <v>23</v>
      </c>
      <c r="F328" s="44">
        <f>1.8*E328+32</f>
        <v>73.400000000000006</v>
      </c>
      <c r="G328" s="45">
        <v>25</v>
      </c>
      <c r="H328" s="44">
        <f>IF(F328&gt;68,G328+(F328-68)*0.2,Y359-(68-F328)*0.2)</f>
        <v>26.080000000000002</v>
      </c>
      <c r="I328" s="44">
        <v>23</v>
      </c>
      <c r="J328" s="44">
        <f>1.8*I328+32</f>
        <v>73.400000000000006</v>
      </c>
      <c r="K328" s="45">
        <v>13</v>
      </c>
      <c r="L328" s="44">
        <f>IF(J328&gt;68,K328+(J328-68)*0.2,K328-(68-J328)*0.2)</f>
        <v>14.080000000000002</v>
      </c>
      <c r="M328" s="43">
        <f>(C328-H328)/C328*100</f>
        <v>47.839999999999996</v>
      </c>
      <c r="N328" s="43">
        <f>100-(M328+O328)</f>
        <v>24</v>
      </c>
      <c r="O328" s="43">
        <f>L328/C328*100</f>
        <v>28.16</v>
      </c>
      <c r="P328" s="42" t="s">
        <v>2</v>
      </c>
      <c r="Q328" s="41">
        <v>407481.26799999998</v>
      </c>
      <c r="R328" s="62">
        <v>3659891.81</v>
      </c>
    </row>
    <row r="329" spans="1:18" x14ac:dyDescent="0.25">
      <c r="A329" s="49">
        <v>1347</v>
      </c>
      <c r="B329" s="48" t="s">
        <v>842</v>
      </c>
      <c r="C329" s="47">
        <v>50</v>
      </c>
      <c r="D329" s="46">
        <v>20</v>
      </c>
      <c r="E329" s="44">
        <v>23</v>
      </c>
      <c r="F329" s="44">
        <f>1.8*E329+32</f>
        <v>73.400000000000006</v>
      </c>
      <c r="G329" s="45">
        <v>26</v>
      </c>
      <c r="H329" s="44">
        <f>IF(F329&gt;68,G329+(F329-68)*0.2,Y360-(68-F329)*0.2)</f>
        <v>27.080000000000002</v>
      </c>
      <c r="I329" s="44">
        <v>23</v>
      </c>
      <c r="J329" s="44">
        <f>1.8*I329+32</f>
        <v>73.400000000000006</v>
      </c>
      <c r="K329" s="45">
        <v>13</v>
      </c>
      <c r="L329" s="44">
        <f>IF(J329&gt;68,K329+(J329-68)*0.2,K329-(68-J329)*0.2)</f>
        <v>14.080000000000002</v>
      </c>
      <c r="M329" s="43">
        <f>(C329-H329)/C329*100</f>
        <v>45.839999999999996</v>
      </c>
      <c r="N329" s="43">
        <f>100-(M329+O329)</f>
        <v>26</v>
      </c>
      <c r="O329" s="43">
        <f>L329/C329*100</f>
        <v>28.16</v>
      </c>
      <c r="P329" s="42" t="s">
        <v>2</v>
      </c>
      <c r="Q329" s="41">
        <v>407481.26799999998</v>
      </c>
      <c r="R329" s="62">
        <v>3659891.81</v>
      </c>
    </row>
    <row r="330" spans="1:18" x14ac:dyDescent="0.25">
      <c r="A330" s="49">
        <v>1347</v>
      </c>
      <c r="B330" s="48" t="s">
        <v>841</v>
      </c>
      <c r="C330" s="47">
        <v>50</v>
      </c>
      <c r="D330" s="46">
        <v>20</v>
      </c>
      <c r="E330" s="44">
        <v>23</v>
      </c>
      <c r="F330" s="44">
        <f>1.8*E330+32</f>
        <v>73.400000000000006</v>
      </c>
      <c r="G330" s="45">
        <v>15</v>
      </c>
      <c r="H330" s="44">
        <f>IF(F330&gt;68,G330+(F330-68)*0.2,Y361-(68-F330)*0.2)</f>
        <v>16.080000000000002</v>
      </c>
      <c r="I330" s="44">
        <v>23</v>
      </c>
      <c r="J330" s="44">
        <f>1.8*I330+32</f>
        <v>73.400000000000006</v>
      </c>
      <c r="K330" s="45">
        <v>5</v>
      </c>
      <c r="L330" s="44">
        <f>IF(J330&gt;68,K330+(J330-68)*0.2,K330-(68-J330)*0.2)</f>
        <v>6.080000000000001</v>
      </c>
      <c r="M330" s="43">
        <f>(C330-H330)/C330*100</f>
        <v>67.84</v>
      </c>
      <c r="N330" s="43">
        <f>100-(M330+O330)</f>
        <v>20</v>
      </c>
      <c r="O330" s="43">
        <f>L330/C330*100</f>
        <v>12.160000000000002</v>
      </c>
      <c r="P330" s="42" t="s">
        <v>0</v>
      </c>
      <c r="Q330" s="41">
        <v>407481.26799999998</v>
      </c>
      <c r="R330" s="62">
        <v>3659891.81</v>
      </c>
    </row>
    <row r="331" spans="1:18" x14ac:dyDescent="0.25">
      <c r="A331" s="49">
        <v>1347</v>
      </c>
      <c r="B331" s="48" t="s">
        <v>839</v>
      </c>
      <c r="C331" s="47">
        <v>50</v>
      </c>
      <c r="D331" s="46">
        <v>20</v>
      </c>
      <c r="E331" s="44">
        <v>23</v>
      </c>
      <c r="F331" s="44">
        <f>1.8*E331+32</f>
        <v>73.400000000000006</v>
      </c>
      <c r="G331" s="45">
        <v>15</v>
      </c>
      <c r="H331" s="44">
        <f>IF(F331&gt;68,G331+(F331-68)*0.2,Y362-(68-F331)*0.2)</f>
        <v>16.080000000000002</v>
      </c>
      <c r="I331" s="44">
        <v>23</v>
      </c>
      <c r="J331" s="44">
        <f>1.8*I331+32</f>
        <v>73.400000000000006</v>
      </c>
      <c r="K331" s="45">
        <v>5</v>
      </c>
      <c r="L331" s="44">
        <f>IF(J331&gt;68,K331+(J331-68)*0.2,K331-(68-J331)*0.2)</f>
        <v>6.080000000000001</v>
      </c>
      <c r="M331" s="43">
        <f>(C331-H331)/C331*100</f>
        <v>67.84</v>
      </c>
      <c r="N331" s="43">
        <f>100-(M331+O331)</f>
        <v>20</v>
      </c>
      <c r="O331" s="43">
        <f>L331/C331*100</f>
        <v>12.160000000000002</v>
      </c>
      <c r="P331" s="42" t="s">
        <v>0</v>
      </c>
      <c r="Q331" s="41">
        <v>407481.26799999998</v>
      </c>
      <c r="R331" s="62">
        <v>3659891.81</v>
      </c>
    </row>
    <row r="332" spans="1:18" x14ac:dyDescent="0.25">
      <c r="A332" s="61"/>
      <c r="B332" s="58"/>
      <c r="C332" s="58"/>
      <c r="D332" s="58"/>
      <c r="E332" s="58"/>
      <c r="F332" s="58"/>
      <c r="G332" s="60"/>
      <c r="H332" s="58"/>
      <c r="I332" s="58"/>
      <c r="J332" s="58"/>
      <c r="K332" s="60"/>
      <c r="L332" s="58"/>
      <c r="M332" s="59"/>
      <c r="N332" s="59"/>
      <c r="O332" s="59"/>
      <c r="P332" s="58"/>
    </row>
    <row r="333" spans="1:18" x14ac:dyDescent="0.25">
      <c r="A333" s="57"/>
      <c r="B333" s="56"/>
      <c r="C333" s="55"/>
      <c r="D333" s="54"/>
      <c r="E333" s="52"/>
      <c r="F333" s="52"/>
      <c r="G333" s="53"/>
      <c r="H333" s="52"/>
      <c r="I333" s="52"/>
      <c r="J333" s="52"/>
      <c r="K333" s="53"/>
      <c r="L333" s="52"/>
      <c r="M333" s="51"/>
      <c r="N333" s="51"/>
      <c r="O333" s="51"/>
      <c r="P333" s="50"/>
      <c r="Q333" s="5" t="s">
        <v>4</v>
      </c>
      <c r="R333" s="5" t="s">
        <v>3</v>
      </c>
    </row>
    <row r="334" spans="1:18" x14ac:dyDescent="0.25">
      <c r="A334" s="49" t="s">
        <v>857</v>
      </c>
      <c r="B334" s="48" t="s">
        <v>845</v>
      </c>
      <c r="C334" s="47">
        <v>50</v>
      </c>
      <c r="D334" s="46">
        <v>20</v>
      </c>
      <c r="E334" s="44">
        <v>23</v>
      </c>
      <c r="F334" s="44">
        <f>1.8*E334+32</f>
        <v>73.400000000000006</v>
      </c>
      <c r="G334" s="45">
        <v>18</v>
      </c>
      <c r="H334" s="44">
        <f>IF(F334&gt;68,G334+(F334-68)*0.2,#REF!-(68-F334)*0.2)</f>
        <v>19.080000000000002</v>
      </c>
      <c r="I334" s="44">
        <v>23</v>
      </c>
      <c r="J334" s="44">
        <f>1.8*I334+32</f>
        <v>73.400000000000006</v>
      </c>
      <c r="K334" s="45">
        <v>9</v>
      </c>
      <c r="L334" s="44">
        <f>IF(J334&gt;68,K334+(J334-68)*0.2,K334-(68-J334)*0.2)</f>
        <v>10.080000000000002</v>
      </c>
      <c r="M334" s="43">
        <f>(C334-H334)/C334*100</f>
        <v>61.839999999999996</v>
      </c>
      <c r="N334" s="43">
        <f>100-(M334+O334)</f>
        <v>18</v>
      </c>
      <c r="O334" s="43">
        <f>L334/C334*100</f>
        <v>20.160000000000004</v>
      </c>
      <c r="P334" s="42" t="s">
        <v>2</v>
      </c>
      <c r="Q334" s="41">
        <v>407481.26799999998</v>
      </c>
      <c r="R334" s="62">
        <v>3659891.81</v>
      </c>
    </row>
    <row r="335" spans="1:18" x14ac:dyDescent="0.25">
      <c r="A335" s="49" t="s">
        <v>857</v>
      </c>
      <c r="B335" s="48" t="s">
        <v>844</v>
      </c>
      <c r="C335" s="47">
        <v>50</v>
      </c>
      <c r="D335" s="46">
        <v>20</v>
      </c>
      <c r="E335" s="44">
        <v>23</v>
      </c>
      <c r="F335" s="44">
        <f>1.8*E335+32</f>
        <v>73.400000000000006</v>
      </c>
      <c r="G335" s="45">
        <v>16</v>
      </c>
      <c r="H335" s="44">
        <f>IF(F335&gt;68,G335+(F335-68)*0.2,Y366-(68-F335)*0.2)</f>
        <v>17.080000000000002</v>
      </c>
      <c r="I335" s="44">
        <v>23</v>
      </c>
      <c r="J335" s="44">
        <f>1.8*I335+32</f>
        <v>73.400000000000006</v>
      </c>
      <c r="K335" s="45">
        <v>9</v>
      </c>
      <c r="L335" s="44">
        <f>IF(J335&gt;68,K335+(J335-68)*0.2,K335-(68-J335)*0.2)</f>
        <v>10.080000000000002</v>
      </c>
      <c r="M335" s="43">
        <f>(C335-H335)/C335*100</f>
        <v>65.84</v>
      </c>
      <c r="N335" s="43">
        <f>100-(M335+O335)</f>
        <v>14</v>
      </c>
      <c r="O335" s="43">
        <f>L335/C335*100</f>
        <v>20.160000000000004</v>
      </c>
      <c r="P335" s="42" t="s">
        <v>2</v>
      </c>
      <c r="Q335" s="41">
        <v>407481.26799999998</v>
      </c>
      <c r="R335" s="62">
        <v>3659891.81</v>
      </c>
    </row>
    <row r="336" spans="1:18" x14ac:dyDescent="0.25">
      <c r="A336" s="49" t="s">
        <v>857</v>
      </c>
      <c r="B336" s="48" t="s">
        <v>843</v>
      </c>
      <c r="C336" s="47">
        <v>50</v>
      </c>
      <c r="D336" s="46">
        <v>20</v>
      </c>
      <c r="E336" s="44">
        <v>23</v>
      </c>
      <c r="F336" s="44">
        <f>1.8*E336+32</f>
        <v>73.400000000000006</v>
      </c>
      <c r="G336" s="45">
        <v>15</v>
      </c>
      <c r="H336" s="44">
        <f>IF(F336&gt;68,G336+(F336-68)*0.2,Y367-(68-F336)*0.2)</f>
        <v>16.080000000000002</v>
      </c>
      <c r="I336" s="44">
        <v>23</v>
      </c>
      <c r="J336" s="44">
        <f>1.8*I336+32</f>
        <v>73.400000000000006</v>
      </c>
      <c r="K336" s="45">
        <v>7</v>
      </c>
      <c r="L336" s="44">
        <f>IF(J336&gt;68,K336+(J336-68)*0.2,K336-(68-J336)*0.2)</f>
        <v>8.0800000000000018</v>
      </c>
      <c r="M336" s="43">
        <f>(C336-H336)/C336*100</f>
        <v>67.84</v>
      </c>
      <c r="N336" s="43">
        <f>100-(M336+O336)</f>
        <v>16</v>
      </c>
      <c r="O336" s="43">
        <f>L336/C336*100</f>
        <v>16.160000000000004</v>
      </c>
      <c r="P336" s="42" t="s">
        <v>0</v>
      </c>
      <c r="Q336" s="41">
        <v>407481.26799999998</v>
      </c>
      <c r="R336" s="62">
        <v>3659891.81</v>
      </c>
    </row>
    <row r="337" spans="1:18" x14ac:dyDescent="0.25">
      <c r="A337" s="49" t="s">
        <v>857</v>
      </c>
      <c r="B337" s="48" t="s">
        <v>842</v>
      </c>
      <c r="C337" s="47">
        <v>50</v>
      </c>
      <c r="D337" s="46">
        <v>20</v>
      </c>
      <c r="E337" s="44">
        <v>23</v>
      </c>
      <c r="F337" s="44">
        <f>1.8*E337+32</f>
        <v>73.400000000000006</v>
      </c>
      <c r="G337" s="45">
        <v>16</v>
      </c>
      <c r="H337" s="44">
        <f>IF(F337&gt;68,G337+(F337-68)*0.2,Y368-(68-F337)*0.2)</f>
        <v>17.080000000000002</v>
      </c>
      <c r="I337" s="44">
        <v>23</v>
      </c>
      <c r="J337" s="44">
        <f>1.8*I337+32</f>
        <v>73.400000000000006</v>
      </c>
      <c r="K337" s="45">
        <v>7</v>
      </c>
      <c r="L337" s="44">
        <f>IF(J337&gt;68,K337+(J337-68)*0.2,K337-(68-J337)*0.2)</f>
        <v>8.0800000000000018</v>
      </c>
      <c r="M337" s="43">
        <f>(C337-H337)/C337*100</f>
        <v>65.84</v>
      </c>
      <c r="N337" s="43">
        <f>100-(M337+O337)</f>
        <v>18</v>
      </c>
      <c r="O337" s="43">
        <f>L337/C337*100</f>
        <v>16.160000000000004</v>
      </c>
      <c r="P337" s="42" t="s">
        <v>0</v>
      </c>
      <c r="Q337" s="41">
        <v>407481.26799999998</v>
      </c>
      <c r="R337" s="62">
        <v>3659891.81</v>
      </c>
    </row>
    <row r="338" spans="1:18" x14ac:dyDescent="0.25">
      <c r="A338" s="49" t="s">
        <v>857</v>
      </c>
      <c r="B338" s="48" t="s">
        <v>841</v>
      </c>
      <c r="C338" s="47">
        <v>50</v>
      </c>
      <c r="D338" s="46">
        <v>20</v>
      </c>
      <c r="E338" s="44">
        <v>23</v>
      </c>
      <c r="F338" s="44">
        <f>1.8*E338+32</f>
        <v>73.400000000000006</v>
      </c>
      <c r="G338" s="45">
        <v>16</v>
      </c>
      <c r="H338" s="44">
        <f>IF(F338&gt;68,G338+(F338-68)*0.2,Y369-(68-F338)*0.2)</f>
        <v>17.080000000000002</v>
      </c>
      <c r="I338" s="44">
        <v>23</v>
      </c>
      <c r="J338" s="44">
        <f>1.8*I338+32</f>
        <v>73.400000000000006</v>
      </c>
      <c r="K338" s="45">
        <v>7</v>
      </c>
      <c r="L338" s="44">
        <f>IF(J338&gt;68,K338+(J338-68)*0.2,K338-(68-J338)*0.2)</f>
        <v>8.0800000000000018</v>
      </c>
      <c r="M338" s="43">
        <f>(C338-H338)/C338*100</f>
        <v>65.84</v>
      </c>
      <c r="N338" s="43">
        <f>100-(M338+O338)</f>
        <v>18</v>
      </c>
      <c r="O338" s="43">
        <f>L338/C338*100</f>
        <v>16.160000000000004</v>
      </c>
      <c r="P338" s="42" t="s">
        <v>0</v>
      </c>
      <c r="Q338" s="41">
        <v>407481.26799999998</v>
      </c>
      <c r="R338" s="62">
        <v>3659891.81</v>
      </c>
    </row>
    <row r="339" spans="1:18" x14ac:dyDescent="0.25">
      <c r="A339" s="49" t="s">
        <v>857</v>
      </c>
      <c r="B339" s="48" t="s">
        <v>839</v>
      </c>
      <c r="C339" s="47">
        <v>50</v>
      </c>
      <c r="D339" s="46">
        <v>20</v>
      </c>
      <c r="E339" s="44">
        <v>23</v>
      </c>
      <c r="F339" s="44">
        <f>1.8*E339+32</f>
        <v>73.400000000000006</v>
      </c>
      <c r="G339" s="45">
        <v>13</v>
      </c>
      <c r="H339" s="44">
        <f>IF(F339&gt;68,G339+(F339-68)*0.2,Y370-(68-F339)*0.2)</f>
        <v>14.080000000000002</v>
      </c>
      <c r="I339" s="44">
        <v>23</v>
      </c>
      <c r="J339" s="44">
        <f>1.8*I339+32</f>
        <v>73.400000000000006</v>
      </c>
      <c r="K339" s="45">
        <v>6</v>
      </c>
      <c r="L339" s="44">
        <f>IF(J339&gt;68,K339+(J339-68)*0.2,K339-(68-J339)*0.2)</f>
        <v>7.080000000000001</v>
      </c>
      <c r="M339" s="43">
        <f>(C339-H339)/C339*100</f>
        <v>71.84</v>
      </c>
      <c r="N339" s="43">
        <f>100-(M339+O339)</f>
        <v>14</v>
      </c>
      <c r="O339" s="43">
        <f>L339/C339*100</f>
        <v>14.160000000000004</v>
      </c>
      <c r="P339" s="42" t="s">
        <v>0</v>
      </c>
      <c r="Q339" s="41">
        <v>407481.26799999998</v>
      </c>
      <c r="R339" s="62">
        <v>3659891.81</v>
      </c>
    </row>
    <row r="340" spans="1:18" x14ac:dyDescent="0.25">
      <c r="A340" s="61"/>
      <c r="B340" s="58"/>
      <c r="C340" s="58"/>
      <c r="D340" s="58"/>
      <c r="E340" s="58"/>
      <c r="F340" s="58"/>
      <c r="G340" s="60"/>
      <c r="H340" s="58"/>
      <c r="I340" s="58"/>
      <c r="J340" s="58"/>
      <c r="K340" s="60"/>
      <c r="L340" s="58"/>
      <c r="M340" s="59"/>
      <c r="N340" s="59"/>
      <c r="O340" s="59"/>
      <c r="P340" s="58"/>
    </row>
    <row r="341" spans="1:18" x14ac:dyDescent="0.25">
      <c r="A341" s="57"/>
      <c r="B341" s="56"/>
      <c r="C341" s="55"/>
      <c r="D341" s="54"/>
      <c r="E341" s="52"/>
      <c r="F341" s="52"/>
      <c r="G341" s="53"/>
      <c r="H341" s="52"/>
      <c r="I341" s="52"/>
      <c r="J341" s="52"/>
      <c r="K341" s="53"/>
      <c r="L341" s="52"/>
      <c r="M341" s="51"/>
      <c r="N341" s="51"/>
      <c r="O341" s="51"/>
      <c r="P341" s="50"/>
      <c r="Q341" s="5" t="s">
        <v>4</v>
      </c>
      <c r="R341" s="5" t="s">
        <v>3</v>
      </c>
    </row>
    <row r="342" spans="1:18" x14ac:dyDescent="0.25">
      <c r="A342" s="49">
        <v>1370</v>
      </c>
      <c r="B342" s="48" t="s">
        <v>845</v>
      </c>
      <c r="C342" s="47">
        <v>50</v>
      </c>
      <c r="D342" s="46">
        <v>20</v>
      </c>
      <c r="E342" s="44">
        <v>23</v>
      </c>
      <c r="F342" s="44">
        <f>1.8*E342+32</f>
        <v>73.400000000000006</v>
      </c>
      <c r="G342" s="45">
        <v>17</v>
      </c>
      <c r="H342" s="44">
        <f>IF(F342&gt;68,G342+(F342-68)*0.2,#REF!-(68-F342)*0.2)</f>
        <v>18.080000000000002</v>
      </c>
      <c r="I342" s="44">
        <v>23</v>
      </c>
      <c r="J342" s="44">
        <f>1.8*I342+32</f>
        <v>73.400000000000006</v>
      </c>
      <c r="K342" s="45">
        <v>7</v>
      </c>
      <c r="L342" s="44">
        <f>IF(J342&gt;68,K342+(J342-68)*0.2,K342-(68-J342)*0.2)</f>
        <v>8.0800000000000018</v>
      </c>
      <c r="M342" s="43">
        <f>(C342-H342)/C342*100</f>
        <v>63.839999999999996</v>
      </c>
      <c r="N342" s="43">
        <f>100-(M342+O342)</f>
        <v>20</v>
      </c>
      <c r="O342" s="43">
        <f>L342/C342*100</f>
        <v>16.160000000000004</v>
      </c>
      <c r="P342" s="42" t="s">
        <v>0</v>
      </c>
      <c r="Q342" s="41">
        <v>407483.00699999998</v>
      </c>
      <c r="R342" s="41">
        <v>3659977.0989999999</v>
      </c>
    </row>
    <row r="343" spans="1:18" x14ac:dyDescent="0.25">
      <c r="A343" s="49">
        <v>1370</v>
      </c>
      <c r="B343" s="48" t="s">
        <v>844</v>
      </c>
      <c r="C343" s="47">
        <v>50</v>
      </c>
      <c r="D343" s="46">
        <v>20</v>
      </c>
      <c r="E343" s="44">
        <v>23</v>
      </c>
      <c r="F343" s="44">
        <f>1.8*E343+32</f>
        <v>73.400000000000006</v>
      </c>
      <c r="G343" s="45">
        <v>17</v>
      </c>
      <c r="H343" s="44">
        <f>IF(F343&gt;68,G343+(F343-68)*0.2,Y374-(68-F343)*0.2)</f>
        <v>18.080000000000002</v>
      </c>
      <c r="I343" s="44">
        <v>23</v>
      </c>
      <c r="J343" s="44">
        <f>1.8*I343+32</f>
        <v>73.400000000000006</v>
      </c>
      <c r="K343" s="45">
        <v>8</v>
      </c>
      <c r="L343" s="44">
        <f>IF(J343&gt;68,K343+(J343-68)*0.2,K343-(68-J343)*0.2)</f>
        <v>9.0800000000000018</v>
      </c>
      <c r="M343" s="43">
        <f>(C343-H343)/C343*100</f>
        <v>63.839999999999996</v>
      </c>
      <c r="N343" s="43">
        <f>100-(M343+O343)</f>
        <v>18</v>
      </c>
      <c r="O343" s="43">
        <f>L343/C343*100</f>
        <v>18.160000000000004</v>
      </c>
      <c r="P343" s="42" t="s">
        <v>0</v>
      </c>
      <c r="Q343" s="41">
        <v>407483.00699999998</v>
      </c>
      <c r="R343" s="41">
        <v>3659977.0989999999</v>
      </c>
    </row>
    <row r="344" spans="1:18" x14ac:dyDescent="0.25">
      <c r="A344" s="49">
        <v>1370</v>
      </c>
      <c r="B344" s="48" t="s">
        <v>843</v>
      </c>
      <c r="C344" s="47">
        <v>50</v>
      </c>
      <c r="D344" s="46">
        <v>20</v>
      </c>
      <c r="E344" s="44">
        <v>23</v>
      </c>
      <c r="F344" s="44">
        <f>1.8*E344+32</f>
        <v>73.400000000000006</v>
      </c>
      <c r="G344" s="45">
        <v>22</v>
      </c>
      <c r="H344" s="44">
        <f>IF(F344&gt;68,G344+(F344-68)*0.2,Y375-(68-F344)*0.2)</f>
        <v>23.080000000000002</v>
      </c>
      <c r="I344" s="44">
        <v>23</v>
      </c>
      <c r="J344" s="44">
        <f>1.8*I344+32</f>
        <v>73.400000000000006</v>
      </c>
      <c r="K344" s="45">
        <v>11</v>
      </c>
      <c r="L344" s="44">
        <f>IF(J344&gt;68,K344+(J344-68)*0.2,K344-(68-J344)*0.2)</f>
        <v>12.080000000000002</v>
      </c>
      <c r="M344" s="43">
        <f>(C344-H344)/C344*100</f>
        <v>53.839999999999996</v>
      </c>
      <c r="N344" s="43">
        <f>100-(M344+O344)</f>
        <v>22</v>
      </c>
      <c r="O344" s="43">
        <f>L344/C344*100</f>
        <v>24.160000000000004</v>
      </c>
      <c r="P344" s="42" t="s">
        <v>2</v>
      </c>
      <c r="Q344" s="41">
        <v>407483.00699999998</v>
      </c>
      <c r="R344" s="41">
        <v>3659977.0989999999</v>
      </c>
    </row>
    <row r="345" spans="1:18" x14ac:dyDescent="0.25">
      <c r="A345" s="49">
        <v>1370</v>
      </c>
      <c r="B345" s="48" t="s">
        <v>842</v>
      </c>
      <c r="C345" s="47">
        <v>50</v>
      </c>
      <c r="D345" s="46">
        <v>20</v>
      </c>
      <c r="E345" s="44">
        <v>23</v>
      </c>
      <c r="F345" s="44">
        <f>1.8*E345+32</f>
        <v>73.400000000000006</v>
      </c>
      <c r="G345" s="45">
        <v>22</v>
      </c>
      <c r="H345" s="44">
        <f>IF(F345&gt;68,G345+(F345-68)*0.2,Y376-(68-F345)*0.2)</f>
        <v>23.080000000000002</v>
      </c>
      <c r="I345" s="44">
        <v>23</v>
      </c>
      <c r="J345" s="44">
        <f>1.8*I345+32</f>
        <v>73.400000000000006</v>
      </c>
      <c r="K345" s="45">
        <v>11</v>
      </c>
      <c r="L345" s="44">
        <f>IF(J345&gt;68,K345+(J345-68)*0.2,K345-(68-J345)*0.2)</f>
        <v>12.080000000000002</v>
      </c>
      <c r="M345" s="43">
        <f>(C345-H345)/C345*100</f>
        <v>53.839999999999996</v>
      </c>
      <c r="N345" s="43">
        <f>100-(M345+O345)</f>
        <v>22</v>
      </c>
      <c r="O345" s="43">
        <f>L345/C345*100</f>
        <v>24.160000000000004</v>
      </c>
      <c r="P345" s="42" t="s">
        <v>2</v>
      </c>
      <c r="Q345" s="41">
        <v>407483.00699999998</v>
      </c>
      <c r="R345" s="41">
        <v>3659977.0989999999</v>
      </c>
    </row>
    <row r="346" spans="1:18" x14ac:dyDescent="0.25">
      <c r="A346" s="49">
        <v>1370</v>
      </c>
      <c r="B346" s="48" t="s">
        <v>841</v>
      </c>
      <c r="C346" s="47">
        <v>50</v>
      </c>
      <c r="D346" s="46">
        <v>20</v>
      </c>
      <c r="E346" s="44">
        <v>23</v>
      </c>
      <c r="F346" s="44">
        <f>1.8*E346+32</f>
        <v>73.400000000000006</v>
      </c>
      <c r="G346" s="45">
        <v>15</v>
      </c>
      <c r="H346" s="44">
        <f>IF(F346&gt;68,G346+(F346-68)*0.2,Y377-(68-F346)*0.2)</f>
        <v>16.080000000000002</v>
      </c>
      <c r="I346" s="44">
        <v>23</v>
      </c>
      <c r="J346" s="44">
        <f>1.8*I346+32</f>
        <v>73.400000000000006</v>
      </c>
      <c r="K346" s="45">
        <v>7</v>
      </c>
      <c r="L346" s="44">
        <f>IF(J346&gt;68,K346+(J346-68)*0.2,K346-(68-J346)*0.2)</f>
        <v>8.0800000000000018</v>
      </c>
      <c r="M346" s="43">
        <f>(C346-H346)/C346*100</f>
        <v>67.84</v>
      </c>
      <c r="N346" s="43">
        <f>100-(M346+O346)</f>
        <v>16</v>
      </c>
      <c r="O346" s="43">
        <f>L346/C346*100</f>
        <v>16.160000000000004</v>
      </c>
      <c r="P346" s="42" t="s">
        <v>0</v>
      </c>
      <c r="Q346" s="41">
        <v>407483.00699999998</v>
      </c>
      <c r="R346" s="41">
        <v>3659977.0989999999</v>
      </c>
    </row>
    <row r="347" spans="1:18" x14ac:dyDescent="0.25">
      <c r="A347" s="49">
        <v>1370</v>
      </c>
      <c r="B347" s="48" t="s">
        <v>839</v>
      </c>
      <c r="C347" s="47">
        <v>50</v>
      </c>
      <c r="D347" s="46">
        <v>20</v>
      </c>
      <c r="E347" s="44">
        <v>23</v>
      </c>
      <c r="F347" s="44">
        <f>1.8*E347+32</f>
        <v>73.400000000000006</v>
      </c>
      <c r="G347" s="45">
        <v>14</v>
      </c>
      <c r="H347" s="44">
        <f>IF(F347&gt;68,G347+(F347-68)*0.2,Y378-(68-F347)*0.2)</f>
        <v>15.080000000000002</v>
      </c>
      <c r="I347" s="44">
        <v>23</v>
      </c>
      <c r="J347" s="44">
        <f>1.8*I347+32</f>
        <v>73.400000000000006</v>
      </c>
      <c r="K347" s="45">
        <v>6</v>
      </c>
      <c r="L347" s="44">
        <f>IF(J347&gt;68,K347+(J347-68)*0.2,K347-(68-J347)*0.2)</f>
        <v>7.080000000000001</v>
      </c>
      <c r="M347" s="43">
        <f>(C347-H347)/C347*100</f>
        <v>69.84</v>
      </c>
      <c r="N347" s="43">
        <f>100-(M347+O347)</f>
        <v>16</v>
      </c>
      <c r="O347" s="43">
        <f>L347/C347*100</f>
        <v>14.160000000000004</v>
      </c>
      <c r="P347" s="42" t="s">
        <v>0</v>
      </c>
      <c r="Q347" s="41">
        <v>407483.00699999998</v>
      </c>
      <c r="R347" s="41">
        <v>3659977.0989999999</v>
      </c>
    </row>
    <row r="348" spans="1:18" x14ac:dyDescent="0.25">
      <c r="A348" s="61"/>
      <c r="B348" s="58"/>
      <c r="C348" s="58"/>
      <c r="D348" s="58"/>
      <c r="E348" s="58"/>
      <c r="F348" s="58"/>
      <c r="G348" s="60"/>
      <c r="H348" s="58"/>
      <c r="I348" s="58"/>
      <c r="J348" s="58"/>
      <c r="K348" s="60"/>
      <c r="L348" s="58"/>
      <c r="M348" s="59"/>
      <c r="N348" s="59"/>
      <c r="O348" s="59"/>
      <c r="P348" s="58"/>
    </row>
    <row r="349" spans="1:18" x14ac:dyDescent="0.25">
      <c r="A349" s="57"/>
      <c r="B349" s="56"/>
      <c r="C349" s="55"/>
      <c r="D349" s="54"/>
      <c r="E349" s="52"/>
      <c r="F349" s="52"/>
      <c r="G349" s="53"/>
      <c r="H349" s="52"/>
      <c r="I349" s="52"/>
      <c r="J349" s="52"/>
      <c r="K349" s="53"/>
      <c r="L349" s="52"/>
      <c r="M349" s="51"/>
      <c r="N349" s="51"/>
      <c r="O349" s="51"/>
      <c r="P349" s="50"/>
      <c r="Q349" s="5" t="s">
        <v>4</v>
      </c>
      <c r="R349" s="5" t="s">
        <v>3</v>
      </c>
    </row>
    <row r="350" spans="1:18" x14ac:dyDescent="0.25">
      <c r="A350" s="49">
        <v>1390</v>
      </c>
      <c r="B350" s="48" t="s">
        <v>845</v>
      </c>
      <c r="C350" s="47">
        <v>50</v>
      </c>
      <c r="D350" s="46">
        <v>20</v>
      </c>
      <c r="E350" s="44">
        <v>23</v>
      </c>
      <c r="F350" s="44">
        <f>1.8*E350+32</f>
        <v>73.400000000000006</v>
      </c>
      <c r="G350" s="45">
        <v>16</v>
      </c>
      <c r="H350" s="44">
        <f>IF(F350&gt;68,G350+(F350-68)*0.2,#REF!-(68-F350)*0.2)</f>
        <v>17.080000000000002</v>
      </c>
      <c r="I350" s="44">
        <v>23</v>
      </c>
      <c r="J350" s="44">
        <f>1.8*I350+32</f>
        <v>73.400000000000006</v>
      </c>
      <c r="K350" s="45">
        <v>8</v>
      </c>
      <c r="L350" s="44">
        <f>IF(J350&gt;68,K350+(J350-68)*0.2,K350-(68-J350)*0.2)</f>
        <v>9.0800000000000018</v>
      </c>
      <c r="M350" s="43">
        <f>(C350-H350)/C350*100</f>
        <v>65.84</v>
      </c>
      <c r="N350" s="43">
        <f>100-(M350+O350)</f>
        <v>16</v>
      </c>
      <c r="O350" s="43">
        <f>L350/C350*100</f>
        <v>18.160000000000004</v>
      </c>
      <c r="P350" s="42" t="s">
        <v>0</v>
      </c>
      <c r="Q350" s="41">
        <v>407479.80699999997</v>
      </c>
      <c r="R350" s="41">
        <v>3659995.9709999999</v>
      </c>
    </row>
    <row r="351" spans="1:18" x14ac:dyDescent="0.25">
      <c r="A351" s="49">
        <v>1390</v>
      </c>
      <c r="B351" s="48" t="s">
        <v>844</v>
      </c>
      <c r="C351" s="47">
        <v>50</v>
      </c>
      <c r="D351" s="46">
        <v>20</v>
      </c>
      <c r="E351" s="44">
        <v>23</v>
      </c>
      <c r="F351" s="44">
        <f>1.8*E351+32</f>
        <v>73.400000000000006</v>
      </c>
      <c r="G351" s="45">
        <v>16</v>
      </c>
      <c r="H351" s="44">
        <f>IF(F351&gt;68,G351+(F351-68)*0.2,Y382-(68-F351)*0.2)</f>
        <v>17.080000000000002</v>
      </c>
      <c r="I351" s="44">
        <v>23</v>
      </c>
      <c r="J351" s="44">
        <f>1.8*I351+32</f>
        <v>73.400000000000006</v>
      </c>
      <c r="K351" s="45">
        <v>8</v>
      </c>
      <c r="L351" s="44">
        <f>IF(J351&gt;68,K351+(J351-68)*0.2,K351-(68-J351)*0.2)</f>
        <v>9.0800000000000018</v>
      </c>
      <c r="M351" s="43">
        <f>(C351-H351)/C351*100</f>
        <v>65.84</v>
      </c>
      <c r="N351" s="43">
        <f>100-(M351+O351)</f>
        <v>16</v>
      </c>
      <c r="O351" s="43">
        <f>L351/C351*100</f>
        <v>18.160000000000004</v>
      </c>
      <c r="P351" s="42" t="s">
        <v>0</v>
      </c>
      <c r="Q351" s="41">
        <v>407479.80699999997</v>
      </c>
      <c r="R351" s="41">
        <v>3659995.9709999999</v>
      </c>
    </row>
    <row r="352" spans="1:18" x14ac:dyDescent="0.25">
      <c r="A352" s="49">
        <v>1390</v>
      </c>
      <c r="B352" s="48" t="s">
        <v>843</v>
      </c>
      <c r="C352" s="47">
        <v>50</v>
      </c>
      <c r="D352" s="46">
        <v>20</v>
      </c>
      <c r="E352" s="44">
        <v>23</v>
      </c>
      <c r="F352" s="44">
        <f>1.8*E352+32</f>
        <v>73.400000000000006</v>
      </c>
      <c r="G352" s="45">
        <v>15</v>
      </c>
      <c r="H352" s="44">
        <f>IF(F352&gt;68,G352+(F352-68)*0.2,Y383-(68-F352)*0.2)</f>
        <v>16.080000000000002</v>
      </c>
      <c r="I352" s="44">
        <v>23</v>
      </c>
      <c r="J352" s="44">
        <f>1.8*I352+32</f>
        <v>73.400000000000006</v>
      </c>
      <c r="K352" s="45">
        <v>7</v>
      </c>
      <c r="L352" s="44">
        <f>IF(J352&gt;68,K352+(J352-68)*0.2,K352-(68-J352)*0.2)</f>
        <v>8.0800000000000018</v>
      </c>
      <c r="M352" s="43">
        <f>(C352-H352)/C352*100</f>
        <v>67.84</v>
      </c>
      <c r="N352" s="43">
        <f>100-(M352+O352)</f>
        <v>16</v>
      </c>
      <c r="O352" s="43">
        <f>L352/C352*100</f>
        <v>16.160000000000004</v>
      </c>
      <c r="P352" s="42" t="s">
        <v>0</v>
      </c>
      <c r="Q352" s="41">
        <v>407479.80699999997</v>
      </c>
      <c r="R352" s="41">
        <v>3659995.9709999999</v>
      </c>
    </row>
    <row r="353" spans="1:18" x14ac:dyDescent="0.25">
      <c r="A353" s="49">
        <v>1390</v>
      </c>
      <c r="B353" s="48" t="s">
        <v>842</v>
      </c>
      <c r="C353" s="47">
        <v>50</v>
      </c>
      <c r="D353" s="46">
        <v>20</v>
      </c>
      <c r="E353" s="44">
        <v>23</v>
      </c>
      <c r="F353" s="44">
        <f>1.8*E353+32</f>
        <v>73.400000000000006</v>
      </c>
      <c r="G353" s="45">
        <v>17</v>
      </c>
      <c r="H353" s="44">
        <f>IF(F353&gt;68,G353+(F353-68)*0.2,Y384-(68-F353)*0.2)</f>
        <v>18.080000000000002</v>
      </c>
      <c r="I353" s="44">
        <v>23</v>
      </c>
      <c r="J353" s="44">
        <f>1.8*I353+32</f>
        <v>73.400000000000006</v>
      </c>
      <c r="K353" s="45">
        <v>7</v>
      </c>
      <c r="L353" s="44">
        <f>IF(J353&gt;68,K353+(J353-68)*0.2,K353-(68-J353)*0.2)</f>
        <v>8.0800000000000018</v>
      </c>
      <c r="M353" s="43">
        <f>(C353-H353)/C353*100</f>
        <v>63.839999999999996</v>
      </c>
      <c r="N353" s="43">
        <f>100-(M353+O353)</f>
        <v>20</v>
      </c>
      <c r="O353" s="43">
        <f>L353/C353*100</f>
        <v>16.160000000000004</v>
      </c>
      <c r="P353" s="42" t="s">
        <v>0</v>
      </c>
      <c r="Q353" s="41">
        <v>407479.80699999997</v>
      </c>
      <c r="R353" s="41">
        <v>3659995.9709999999</v>
      </c>
    </row>
    <row r="354" spans="1:18" x14ac:dyDescent="0.25">
      <c r="A354" s="49">
        <v>1390</v>
      </c>
      <c r="B354" s="48" t="s">
        <v>841</v>
      </c>
      <c r="C354" s="47">
        <v>50</v>
      </c>
      <c r="D354" s="46">
        <v>20</v>
      </c>
      <c r="E354" s="44">
        <v>23</v>
      </c>
      <c r="F354" s="44">
        <f>1.8*E354+32</f>
        <v>73.400000000000006</v>
      </c>
      <c r="G354" s="45">
        <v>17</v>
      </c>
      <c r="H354" s="44">
        <f>IF(F354&gt;68,G354+(F354-68)*0.2,Y385-(68-F354)*0.2)</f>
        <v>18.080000000000002</v>
      </c>
      <c r="I354" s="44">
        <v>23</v>
      </c>
      <c r="J354" s="44">
        <f>1.8*I354+32</f>
        <v>73.400000000000006</v>
      </c>
      <c r="K354" s="45">
        <v>8</v>
      </c>
      <c r="L354" s="44">
        <f>IF(J354&gt;68,K354+(J354-68)*0.2,K354-(68-J354)*0.2)</f>
        <v>9.0800000000000018</v>
      </c>
      <c r="M354" s="43">
        <f>(C354-H354)/C354*100</f>
        <v>63.839999999999996</v>
      </c>
      <c r="N354" s="43">
        <f>100-(M354+O354)</f>
        <v>18</v>
      </c>
      <c r="O354" s="43">
        <f>L354/C354*100</f>
        <v>18.160000000000004</v>
      </c>
      <c r="P354" s="42" t="s">
        <v>0</v>
      </c>
      <c r="Q354" s="41">
        <v>407479.80699999997</v>
      </c>
      <c r="R354" s="41">
        <v>3659995.9709999999</v>
      </c>
    </row>
    <row r="355" spans="1:18" x14ac:dyDescent="0.25">
      <c r="A355" s="49">
        <v>1390</v>
      </c>
      <c r="B355" s="48" t="s">
        <v>839</v>
      </c>
      <c r="C355" s="47">
        <v>50</v>
      </c>
      <c r="D355" s="46">
        <v>20</v>
      </c>
      <c r="E355" s="44">
        <v>23</v>
      </c>
      <c r="F355" s="44">
        <f>1.8*E355+32</f>
        <v>73.400000000000006</v>
      </c>
      <c r="G355" s="45">
        <v>14</v>
      </c>
      <c r="H355" s="44">
        <f>IF(F355&gt;68,G355+(F355-68)*0.2,Y386-(68-F355)*0.2)</f>
        <v>15.080000000000002</v>
      </c>
      <c r="I355" s="44">
        <v>23</v>
      </c>
      <c r="J355" s="44">
        <f>1.8*I355+32</f>
        <v>73.400000000000006</v>
      </c>
      <c r="K355" s="45">
        <v>6</v>
      </c>
      <c r="L355" s="44">
        <f>IF(J355&gt;68,K355+(J355-68)*0.2,K355-(68-J355)*0.2)</f>
        <v>7.080000000000001</v>
      </c>
      <c r="M355" s="43">
        <f>(C355-H355)/C355*100</f>
        <v>69.84</v>
      </c>
      <c r="N355" s="43">
        <f>100-(M355+O355)</f>
        <v>16</v>
      </c>
      <c r="O355" s="43">
        <f>L355/C355*100</f>
        <v>14.160000000000004</v>
      </c>
      <c r="P355" s="42" t="s">
        <v>0</v>
      </c>
      <c r="Q355" s="41">
        <v>407479.80699999997</v>
      </c>
      <c r="R355" s="41">
        <v>3659995.9709999999</v>
      </c>
    </row>
    <row r="356" spans="1:18" x14ac:dyDescent="0.25">
      <c r="A356" s="61"/>
      <c r="B356" s="58"/>
      <c r="C356" s="58"/>
      <c r="D356" s="58"/>
      <c r="E356" s="58"/>
      <c r="F356" s="58"/>
      <c r="G356" s="60"/>
      <c r="H356" s="58"/>
      <c r="I356" s="58"/>
      <c r="J356" s="58"/>
      <c r="K356" s="60"/>
      <c r="L356" s="58"/>
      <c r="M356" s="59"/>
      <c r="N356" s="59"/>
      <c r="O356" s="59"/>
      <c r="P356" s="58"/>
    </row>
    <row r="357" spans="1:18" x14ac:dyDescent="0.25">
      <c r="A357" s="57"/>
      <c r="B357" s="56"/>
      <c r="C357" s="55"/>
      <c r="D357" s="54"/>
      <c r="E357" s="52"/>
      <c r="F357" s="52"/>
      <c r="G357" s="53"/>
      <c r="H357" s="52"/>
      <c r="I357" s="52"/>
      <c r="J357" s="52"/>
      <c r="K357" s="53"/>
      <c r="L357" s="52"/>
      <c r="M357" s="51"/>
      <c r="N357" s="51"/>
      <c r="O357" s="51"/>
      <c r="P357" s="50"/>
      <c r="Q357" s="5" t="s">
        <v>4</v>
      </c>
      <c r="R357" s="5" t="s">
        <v>3</v>
      </c>
    </row>
    <row r="358" spans="1:18" x14ac:dyDescent="0.25">
      <c r="A358" s="49">
        <v>1403</v>
      </c>
      <c r="B358" s="48" t="s">
        <v>845</v>
      </c>
      <c r="C358" s="47">
        <v>50</v>
      </c>
      <c r="D358" s="46">
        <v>20</v>
      </c>
      <c r="E358" s="44">
        <v>23</v>
      </c>
      <c r="F358" s="44">
        <f>1.8*E358+32</f>
        <v>73.400000000000006</v>
      </c>
      <c r="G358" s="45">
        <v>15</v>
      </c>
      <c r="H358" s="44">
        <f>IF(F358&gt;68,G358+(F358-68)*0.2,#REF!-(68-F358)*0.2)</f>
        <v>16.080000000000002</v>
      </c>
      <c r="I358" s="44">
        <v>23</v>
      </c>
      <c r="J358" s="44">
        <f>1.8*I358+32</f>
        <v>73.400000000000006</v>
      </c>
      <c r="K358" s="45">
        <v>7</v>
      </c>
      <c r="L358" s="44">
        <f>IF(J358&gt;68,K358+(J358-68)*0.2,K358-(68-J358)*0.2)</f>
        <v>8.0800000000000018</v>
      </c>
      <c r="M358" s="43">
        <f>(C358-H358)/C358*100</f>
        <v>67.84</v>
      </c>
      <c r="N358" s="43">
        <f>100-(M358+O358)</f>
        <v>16</v>
      </c>
      <c r="O358" s="43">
        <f>L358/C358*100</f>
        <v>16.160000000000004</v>
      </c>
      <c r="P358" s="42" t="s">
        <v>0</v>
      </c>
      <c r="Q358" s="62">
        <v>407474.77</v>
      </c>
      <c r="R358" s="41">
        <v>3659869.892</v>
      </c>
    </row>
    <row r="359" spans="1:18" x14ac:dyDescent="0.25">
      <c r="A359" s="49">
        <v>1403</v>
      </c>
      <c r="B359" s="48" t="s">
        <v>844</v>
      </c>
      <c r="C359" s="47">
        <v>50</v>
      </c>
      <c r="D359" s="46">
        <v>20</v>
      </c>
      <c r="E359" s="44">
        <v>23</v>
      </c>
      <c r="F359" s="44">
        <f>1.8*E359+32</f>
        <v>73.400000000000006</v>
      </c>
      <c r="G359" s="45">
        <v>15</v>
      </c>
      <c r="H359" s="44">
        <f>IF(F359&gt;68,G359+(F359-68)*0.2,Y390-(68-F359)*0.2)</f>
        <v>16.080000000000002</v>
      </c>
      <c r="I359" s="44">
        <v>23</v>
      </c>
      <c r="J359" s="44">
        <f>1.8*I359+32</f>
        <v>73.400000000000006</v>
      </c>
      <c r="K359" s="45">
        <v>7</v>
      </c>
      <c r="L359" s="44">
        <f>IF(J359&gt;68,K359+(J359-68)*0.2,K359-(68-J359)*0.2)</f>
        <v>8.0800000000000018</v>
      </c>
      <c r="M359" s="43">
        <f>(C359-H359)/C359*100</f>
        <v>67.84</v>
      </c>
      <c r="N359" s="43">
        <f>100-(M359+O359)</f>
        <v>16</v>
      </c>
      <c r="O359" s="43">
        <f>L359/C359*100</f>
        <v>16.160000000000004</v>
      </c>
      <c r="P359" s="42" t="s">
        <v>0</v>
      </c>
      <c r="Q359" s="62">
        <v>407474.77</v>
      </c>
      <c r="R359" s="41">
        <v>3659869.892</v>
      </c>
    </row>
    <row r="360" spans="1:18" x14ac:dyDescent="0.25">
      <c r="A360" s="49">
        <v>1403</v>
      </c>
      <c r="B360" s="48" t="s">
        <v>843</v>
      </c>
      <c r="C360" s="47">
        <v>50</v>
      </c>
      <c r="D360" s="46">
        <v>20</v>
      </c>
      <c r="E360" s="44">
        <v>23</v>
      </c>
      <c r="F360" s="44">
        <f>1.8*E360+32</f>
        <v>73.400000000000006</v>
      </c>
      <c r="G360" s="45">
        <v>23</v>
      </c>
      <c r="H360" s="44">
        <f>IF(F360&gt;68,G360+(F360-68)*0.2,Y391-(68-F360)*0.2)</f>
        <v>24.080000000000002</v>
      </c>
      <c r="I360" s="44">
        <v>23</v>
      </c>
      <c r="J360" s="44">
        <f>1.8*I360+32</f>
        <v>73.400000000000006</v>
      </c>
      <c r="K360" s="45">
        <v>12</v>
      </c>
      <c r="L360" s="44">
        <f>IF(J360&gt;68,K360+(J360-68)*0.2,K360-(68-J360)*0.2)</f>
        <v>13.080000000000002</v>
      </c>
      <c r="M360" s="43">
        <f>(C360-H360)/C360*100</f>
        <v>51.839999999999996</v>
      </c>
      <c r="N360" s="43">
        <f>100-(M360+O360)</f>
        <v>22</v>
      </c>
      <c r="O360" s="43">
        <f>L360/C360*100</f>
        <v>26.160000000000004</v>
      </c>
      <c r="P360" s="42" t="s">
        <v>2</v>
      </c>
      <c r="Q360" s="62">
        <v>407474.77</v>
      </c>
      <c r="R360" s="41">
        <v>3659869.892</v>
      </c>
    </row>
    <row r="361" spans="1:18" x14ac:dyDescent="0.25">
      <c r="A361" s="49">
        <v>1403</v>
      </c>
      <c r="B361" s="48" t="s">
        <v>842</v>
      </c>
      <c r="C361" s="47">
        <v>50</v>
      </c>
      <c r="D361" s="46">
        <v>20</v>
      </c>
      <c r="E361" s="44">
        <v>23</v>
      </c>
      <c r="F361" s="44">
        <f>1.8*E361+32</f>
        <v>73.400000000000006</v>
      </c>
      <c r="G361" s="45">
        <v>26</v>
      </c>
      <c r="H361" s="44">
        <f>IF(F361&gt;68,G361+(F361-68)*0.2,Y392-(68-F361)*0.2)</f>
        <v>27.080000000000002</v>
      </c>
      <c r="I361" s="44">
        <v>23</v>
      </c>
      <c r="J361" s="44">
        <f>1.8*I361+32</f>
        <v>73.400000000000006</v>
      </c>
      <c r="K361" s="45">
        <v>13</v>
      </c>
      <c r="L361" s="44">
        <f>IF(J361&gt;68,K361+(J361-68)*0.2,K361-(68-J361)*0.2)</f>
        <v>14.080000000000002</v>
      </c>
      <c r="M361" s="43">
        <f>(C361-H361)/C361*100</f>
        <v>45.839999999999996</v>
      </c>
      <c r="N361" s="43">
        <f>100-(M361+O361)</f>
        <v>26</v>
      </c>
      <c r="O361" s="43">
        <f>L361/C361*100</f>
        <v>28.16</v>
      </c>
      <c r="P361" s="42" t="s">
        <v>2</v>
      </c>
      <c r="Q361" s="62">
        <v>407474.77</v>
      </c>
      <c r="R361" s="41">
        <v>3659869.892</v>
      </c>
    </row>
    <row r="362" spans="1:18" x14ac:dyDescent="0.25">
      <c r="A362" s="49">
        <v>1403</v>
      </c>
      <c r="B362" s="48" t="s">
        <v>841</v>
      </c>
      <c r="C362" s="47">
        <v>50</v>
      </c>
      <c r="D362" s="46">
        <v>20</v>
      </c>
      <c r="E362" s="44">
        <v>23</v>
      </c>
      <c r="F362" s="44">
        <f>1.8*E362+32</f>
        <v>73.400000000000006</v>
      </c>
      <c r="G362" s="45">
        <v>12</v>
      </c>
      <c r="H362" s="44">
        <f>IF(F362&gt;68,G362+(F362-68)*0.2,Y393-(68-F362)*0.2)</f>
        <v>13.080000000000002</v>
      </c>
      <c r="I362" s="44">
        <v>23</v>
      </c>
      <c r="J362" s="44">
        <f>1.8*I362+32</f>
        <v>73.400000000000006</v>
      </c>
      <c r="K362" s="45">
        <v>4</v>
      </c>
      <c r="L362" s="44">
        <f>IF(J362&gt;68,K362+(J362-68)*0.2,K362-(68-J362)*0.2)</f>
        <v>5.080000000000001</v>
      </c>
      <c r="M362" s="43">
        <f>(C362-H362)/C362*100</f>
        <v>73.84</v>
      </c>
      <c r="N362" s="43">
        <f>100-(M362+O362)</f>
        <v>16</v>
      </c>
      <c r="O362" s="43">
        <f>L362/C362*100</f>
        <v>10.160000000000002</v>
      </c>
      <c r="P362" s="42" t="s">
        <v>0</v>
      </c>
      <c r="Q362" s="62">
        <v>407474.77</v>
      </c>
      <c r="R362" s="41">
        <v>3659869.892</v>
      </c>
    </row>
    <row r="363" spans="1:18" x14ac:dyDescent="0.25">
      <c r="A363" s="49">
        <v>1403</v>
      </c>
      <c r="B363" s="48" t="s">
        <v>839</v>
      </c>
      <c r="C363" s="47">
        <v>50</v>
      </c>
      <c r="D363" s="46">
        <v>20</v>
      </c>
      <c r="E363" s="44">
        <v>23</v>
      </c>
      <c r="F363" s="44">
        <f>1.8*E363+32</f>
        <v>73.400000000000006</v>
      </c>
      <c r="G363" s="45">
        <v>15</v>
      </c>
      <c r="H363" s="44">
        <f>IF(F363&gt;68,G363+(F363-68)*0.2,Y394-(68-F363)*0.2)</f>
        <v>16.080000000000002</v>
      </c>
      <c r="I363" s="44">
        <v>23</v>
      </c>
      <c r="J363" s="44">
        <f>1.8*I363+32</f>
        <v>73.400000000000006</v>
      </c>
      <c r="K363" s="45">
        <v>5</v>
      </c>
      <c r="L363" s="44">
        <f>IF(J363&gt;68,K363+(J363-68)*0.2,K363-(68-J363)*0.2)</f>
        <v>6.080000000000001</v>
      </c>
      <c r="M363" s="43">
        <f>(C363-H363)/C363*100</f>
        <v>67.84</v>
      </c>
      <c r="N363" s="43">
        <f>100-(M363+O363)</f>
        <v>20</v>
      </c>
      <c r="O363" s="43">
        <f>L363/C363*100</f>
        <v>12.160000000000002</v>
      </c>
      <c r="P363" s="42" t="s">
        <v>0</v>
      </c>
      <c r="Q363" s="62">
        <v>407474.77</v>
      </c>
      <c r="R363" s="41">
        <v>3659869.892</v>
      </c>
    </row>
    <row r="364" spans="1:18" x14ac:dyDescent="0.25">
      <c r="A364" s="61"/>
      <c r="B364" s="58"/>
      <c r="C364" s="58"/>
      <c r="D364" s="58"/>
      <c r="E364" s="58"/>
      <c r="F364" s="58"/>
      <c r="G364" s="60"/>
      <c r="H364" s="58"/>
      <c r="I364" s="58"/>
      <c r="J364" s="58"/>
      <c r="K364" s="60"/>
      <c r="L364" s="58"/>
      <c r="M364" s="59"/>
      <c r="N364" s="59"/>
      <c r="O364" s="59"/>
      <c r="P364" s="58"/>
    </row>
    <row r="365" spans="1:18" x14ac:dyDescent="0.25">
      <c r="A365" s="57"/>
      <c r="B365" s="56"/>
      <c r="C365" s="55"/>
      <c r="D365" s="54"/>
      <c r="E365" s="52"/>
      <c r="F365" s="52"/>
      <c r="G365" s="53"/>
      <c r="H365" s="52"/>
      <c r="I365" s="52"/>
      <c r="J365" s="52"/>
      <c r="K365" s="53"/>
      <c r="L365" s="52"/>
      <c r="M365" s="51"/>
      <c r="N365" s="51"/>
      <c r="O365" s="51"/>
      <c r="P365" s="50"/>
      <c r="Q365" s="5" t="s">
        <v>4</v>
      </c>
      <c r="R365" s="5" t="s">
        <v>3</v>
      </c>
    </row>
    <row r="366" spans="1:18" x14ac:dyDescent="0.25">
      <c r="A366" s="49">
        <v>1428</v>
      </c>
      <c r="B366" s="48" t="s">
        <v>845</v>
      </c>
      <c r="C366" s="47">
        <v>50</v>
      </c>
      <c r="D366" s="46">
        <v>20</v>
      </c>
      <c r="E366" s="44">
        <v>23</v>
      </c>
      <c r="F366" s="44">
        <f>1.8*E366+32</f>
        <v>73.400000000000006</v>
      </c>
      <c r="G366" s="45">
        <v>17</v>
      </c>
      <c r="H366" s="44">
        <f>IF(F366&gt;68,G366+(F366-68)*0.2,#REF!-(68-F366)*0.2)</f>
        <v>18.080000000000002</v>
      </c>
      <c r="I366" s="44">
        <v>23</v>
      </c>
      <c r="J366" s="44">
        <f>1.8*I366+32</f>
        <v>73.400000000000006</v>
      </c>
      <c r="K366" s="45">
        <v>8</v>
      </c>
      <c r="L366" s="44">
        <f>IF(J366&gt;68,K366+(J366-68)*0.2,K366-(68-J366)*0.2)</f>
        <v>9.0800000000000018</v>
      </c>
      <c r="M366" s="43">
        <f>(C366-H366)/C366*100</f>
        <v>63.839999999999996</v>
      </c>
      <c r="N366" s="43">
        <f>100-(M366+O366)</f>
        <v>18</v>
      </c>
      <c r="O366" s="43">
        <f>L366/C366*100</f>
        <v>18.160000000000004</v>
      </c>
      <c r="P366" s="42" t="s">
        <v>0</v>
      </c>
      <c r="Q366" s="41">
        <v>407476.50300000003</v>
      </c>
      <c r="R366" s="41">
        <v>3659960.9010000001</v>
      </c>
    </row>
    <row r="367" spans="1:18" x14ac:dyDescent="0.25">
      <c r="A367" s="49">
        <v>1428</v>
      </c>
      <c r="B367" s="48" t="s">
        <v>844</v>
      </c>
      <c r="C367" s="47">
        <v>50</v>
      </c>
      <c r="D367" s="46">
        <v>20</v>
      </c>
      <c r="E367" s="44">
        <v>23</v>
      </c>
      <c r="F367" s="44">
        <f>1.8*E367+32</f>
        <v>73.400000000000006</v>
      </c>
      <c r="G367" s="45">
        <v>17</v>
      </c>
      <c r="H367" s="44">
        <f>IF(F367&gt;68,G367+(F367-68)*0.2,Y398-(68-F367)*0.2)</f>
        <v>18.080000000000002</v>
      </c>
      <c r="I367" s="44">
        <v>23</v>
      </c>
      <c r="J367" s="44">
        <f>1.8*I367+32</f>
        <v>73.400000000000006</v>
      </c>
      <c r="K367" s="45">
        <v>9</v>
      </c>
      <c r="L367" s="44">
        <f>IF(J367&gt;68,K367+(J367-68)*0.2,K367-(68-J367)*0.2)</f>
        <v>10.080000000000002</v>
      </c>
      <c r="M367" s="43">
        <f>(C367-H367)/C367*100</f>
        <v>63.839999999999996</v>
      </c>
      <c r="N367" s="43">
        <f>100-(M367+O367)</f>
        <v>16</v>
      </c>
      <c r="O367" s="43">
        <f>L367/C367*100</f>
        <v>20.160000000000004</v>
      </c>
      <c r="P367" s="42" t="s">
        <v>2</v>
      </c>
      <c r="Q367" s="41">
        <v>407476.50300000003</v>
      </c>
      <c r="R367" s="41">
        <v>3659960.9010000001</v>
      </c>
    </row>
    <row r="368" spans="1:18" x14ac:dyDescent="0.25">
      <c r="A368" s="49">
        <v>1428</v>
      </c>
      <c r="B368" s="48" t="s">
        <v>843</v>
      </c>
      <c r="C368" s="47">
        <v>50</v>
      </c>
      <c r="D368" s="46">
        <v>20</v>
      </c>
      <c r="E368" s="44">
        <v>23</v>
      </c>
      <c r="F368" s="44">
        <f>1.8*E368+32</f>
        <v>73.400000000000006</v>
      </c>
      <c r="G368" s="45">
        <v>18</v>
      </c>
      <c r="H368" s="44">
        <f>IF(F368&gt;68,G368+(F368-68)*0.2,Y399-(68-F368)*0.2)</f>
        <v>19.080000000000002</v>
      </c>
      <c r="I368" s="44">
        <v>23</v>
      </c>
      <c r="J368" s="44">
        <f>1.8*I368+32</f>
        <v>73.400000000000006</v>
      </c>
      <c r="K368" s="45">
        <v>9</v>
      </c>
      <c r="L368" s="44">
        <f>IF(J368&gt;68,K368+(J368-68)*0.2,K368-(68-J368)*0.2)</f>
        <v>10.080000000000002</v>
      </c>
      <c r="M368" s="43">
        <f>(C368-H368)/C368*100</f>
        <v>61.839999999999996</v>
      </c>
      <c r="N368" s="43">
        <f>100-(M368+O368)</f>
        <v>18</v>
      </c>
      <c r="O368" s="43">
        <f>L368/C368*100</f>
        <v>20.160000000000004</v>
      </c>
      <c r="P368" s="42" t="s">
        <v>2</v>
      </c>
      <c r="Q368" s="41">
        <v>407476.50300000003</v>
      </c>
      <c r="R368" s="41">
        <v>3659960.9010000001</v>
      </c>
    </row>
    <row r="369" spans="1:18" x14ac:dyDescent="0.25">
      <c r="A369" s="49">
        <v>1428</v>
      </c>
      <c r="B369" s="48" t="s">
        <v>842</v>
      </c>
      <c r="C369" s="47">
        <v>50</v>
      </c>
      <c r="D369" s="46">
        <v>20</v>
      </c>
      <c r="E369" s="44">
        <v>23</v>
      </c>
      <c r="F369" s="44">
        <f>1.8*E369+32</f>
        <v>73.400000000000006</v>
      </c>
      <c r="G369" s="45">
        <v>24</v>
      </c>
      <c r="H369" s="44">
        <f>IF(F369&gt;68,G369+(F369-68)*0.2,Y400-(68-F369)*0.2)</f>
        <v>25.080000000000002</v>
      </c>
      <c r="I369" s="44">
        <v>23</v>
      </c>
      <c r="J369" s="44">
        <f>1.8*I369+32</f>
        <v>73.400000000000006</v>
      </c>
      <c r="K369" s="45">
        <v>13</v>
      </c>
      <c r="L369" s="44">
        <f>IF(J369&gt;68,K369+(J369-68)*0.2,K369-(68-J369)*0.2)</f>
        <v>14.080000000000002</v>
      </c>
      <c r="M369" s="43">
        <f>(C369-H369)/C369*100</f>
        <v>49.839999999999996</v>
      </c>
      <c r="N369" s="43">
        <f>100-(M369+O369)</f>
        <v>22</v>
      </c>
      <c r="O369" s="43">
        <f>L369/C369*100</f>
        <v>28.16</v>
      </c>
      <c r="P369" s="42" t="s">
        <v>2</v>
      </c>
      <c r="Q369" s="41">
        <v>407476.50300000003</v>
      </c>
      <c r="R369" s="41">
        <v>3659960.9010000001</v>
      </c>
    </row>
    <row r="370" spans="1:18" x14ac:dyDescent="0.25">
      <c r="A370" s="49">
        <v>1428</v>
      </c>
      <c r="B370" s="48" t="s">
        <v>841</v>
      </c>
      <c r="C370" s="47">
        <v>50</v>
      </c>
      <c r="D370" s="46">
        <v>20</v>
      </c>
      <c r="E370" s="44">
        <v>23</v>
      </c>
      <c r="F370" s="44">
        <f>1.8*E370+32</f>
        <v>73.400000000000006</v>
      </c>
      <c r="G370" s="45">
        <v>16</v>
      </c>
      <c r="H370" s="44">
        <f>IF(F370&gt;68,G370+(F370-68)*0.2,Y401-(68-F370)*0.2)</f>
        <v>17.080000000000002</v>
      </c>
      <c r="I370" s="44">
        <v>23</v>
      </c>
      <c r="J370" s="44">
        <f>1.8*I370+32</f>
        <v>73.400000000000006</v>
      </c>
      <c r="K370" s="45">
        <v>6</v>
      </c>
      <c r="L370" s="44">
        <f>IF(J370&gt;68,K370+(J370-68)*0.2,K370-(68-J370)*0.2)</f>
        <v>7.080000000000001</v>
      </c>
      <c r="M370" s="43">
        <f>(C370-H370)/C370*100</f>
        <v>65.84</v>
      </c>
      <c r="N370" s="43">
        <f>100-(M370+O370)</f>
        <v>20</v>
      </c>
      <c r="O370" s="43">
        <f>L370/C370*100</f>
        <v>14.160000000000004</v>
      </c>
      <c r="P370" s="42" t="s">
        <v>0</v>
      </c>
      <c r="Q370" s="41">
        <v>407476.50300000003</v>
      </c>
      <c r="R370" s="41">
        <v>3659960.9010000001</v>
      </c>
    </row>
    <row r="371" spans="1:18" x14ac:dyDescent="0.25">
      <c r="A371" s="49">
        <v>1428</v>
      </c>
      <c r="B371" s="48" t="s">
        <v>839</v>
      </c>
      <c r="C371" s="47">
        <v>50</v>
      </c>
      <c r="D371" s="46">
        <v>20</v>
      </c>
      <c r="E371" s="44">
        <v>23</v>
      </c>
      <c r="F371" s="44">
        <f>1.8*E371+32</f>
        <v>73.400000000000006</v>
      </c>
      <c r="G371" s="45">
        <v>20</v>
      </c>
      <c r="H371" s="44">
        <f>IF(F371&gt;68,G371+(F371-68)*0.2,Y402-(68-F371)*0.2)</f>
        <v>21.080000000000002</v>
      </c>
      <c r="I371" s="44">
        <v>23</v>
      </c>
      <c r="J371" s="44">
        <f>1.8*I371+32</f>
        <v>73.400000000000006</v>
      </c>
      <c r="K371" s="45">
        <v>10</v>
      </c>
      <c r="L371" s="44">
        <f>IF(J371&gt;68,K371+(J371-68)*0.2,K371-(68-J371)*0.2)</f>
        <v>11.080000000000002</v>
      </c>
      <c r="M371" s="43">
        <f>(C371-H371)/C371*100</f>
        <v>57.839999999999989</v>
      </c>
      <c r="N371" s="43">
        <f>100-(M371+O371)</f>
        <v>20</v>
      </c>
      <c r="O371" s="43">
        <f>L371/C371*100</f>
        <v>22.160000000000004</v>
      </c>
      <c r="P371" s="42" t="s">
        <v>2</v>
      </c>
      <c r="Q371" s="41">
        <v>407476.50300000003</v>
      </c>
      <c r="R371" s="41">
        <v>3659960.9010000001</v>
      </c>
    </row>
    <row r="372" spans="1:18" x14ac:dyDescent="0.25">
      <c r="A372" s="61"/>
      <c r="B372" s="58"/>
      <c r="C372" s="58"/>
      <c r="D372" s="58"/>
      <c r="E372" s="58"/>
      <c r="F372" s="58"/>
      <c r="G372" s="60"/>
      <c r="H372" s="58"/>
      <c r="I372" s="58"/>
      <c r="J372" s="58"/>
      <c r="K372" s="60"/>
      <c r="L372" s="58"/>
      <c r="M372" s="59"/>
      <c r="N372" s="59"/>
      <c r="O372" s="59"/>
      <c r="P372" s="58"/>
    </row>
    <row r="373" spans="1:18" x14ac:dyDescent="0.25">
      <c r="A373" s="57"/>
      <c r="B373" s="56"/>
      <c r="C373" s="55"/>
      <c r="D373" s="54"/>
      <c r="E373" s="52"/>
      <c r="F373" s="52"/>
      <c r="G373" s="53"/>
      <c r="H373" s="52"/>
      <c r="I373" s="52"/>
      <c r="J373" s="52"/>
      <c r="K373" s="53"/>
      <c r="L373" s="52"/>
      <c r="M373" s="51"/>
      <c r="N373" s="51"/>
      <c r="O373" s="51"/>
      <c r="P373" s="50"/>
      <c r="Q373" s="5" t="s">
        <v>4</v>
      </c>
      <c r="R373" s="5" t="s">
        <v>3</v>
      </c>
    </row>
    <row r="374" spans="1:18" x14ac:dyDescent="0.25">
      <c r="A374" s="49">
        <v>1469</v>
      </c>
      <c r="B374" s="48" t="s">
        <v>845</v>
      </c>
      <c r="C374" s="47">
        <v>50</v>
      </c>
      <c r="D374" s="46">
        <v>20</v>
      </c>
      <c r="E374" s="44">
        <v>23</v>
      </c>
      <c r="F374" s="44">
        <f>1.8*E374+32</f>
        <v>73.400000000000006</v>
      </c>
      <c r="G374" s="45">
        <v>15</v>
      </c>
      <c r="H374" s="44">
        <f>IF(F374&gt;68,G374+(F374-68)*0.2,#REF!-(68-F374)*0.2)</f>
        <v>16.080000000000002</v>
      </c>
      <c r="I374" s="44">
        <v>23</v>
      </c>
      <c r="J374" s="44">
        <f>1.8*I374+32</f>
        <v>73.400000000000006</v>
      </c>
      <c r="K374" s="45">
        <v>7</v>
      </c>
      <c r="L374" s="44">
        <f>IF(J374&gt;68,K374+(J374-68)*0.2,K374-(68-J374)*0.2)</f>
        <v>8.0800000000000018</v>
      </c>
      <c r="M374" s="43">
        <f>(C374-H374)/C374*100</f>
        <v>67.84</v>
      </c>
      <c r="N374" s="43">
        <f>100-(M374+O374)</f>
        <v>16</v>
      </c>
      <c r="O374" s="43">
        <f>L374/C374*100</f>
        <v>16.160000000000004</v>
      </c>
      <c r="P374" s="42" t="s">
        <v>0</v>
      </c>
      <c r="Q374" s="41">
        <v>407472.92300000001</v>
      </c>
      <c r="R374" s="41">
        <v>3659933.335</v>
      </c>
    </row>
    <row r="375" spans="1:18" x14ac:dyDescent="0.25">
      <c r="A375" s="49">
        <v>1469</v>
      </c>
      <c r="B375" s="48" t="s">
        <v>844</v>
      </c>
      <c r="C375" s="47">
        <v>50</v>
      </c>
      <c r="D375" s="46">
        <v>20</v>
      </c>
      <c r="E375" s="44">
        <v>23</v>
      </c>
      <c r="F375" s="44">
        <f>1.8*E375+32</f>
        <v>73.400000000000006</v>
      </c>
      <c r="G375" s="45">
        <v>17</v>
      </c>
      <c r="H375" s="44">
        <f>IF(F375&gt;68,G375+(F375-68)*0.2,Y406-(68-F375)*0.2)</f>
        <v>18.080000000000002</v>
      </c>
      <c r="I375" s="44">
        <v>23</v>
      </c>
      <c r="J375" s="44">
        <f>1.8*I375+32</f>
        <v>73.400000000000006</v>
      </c>
      <c r="K375" s="45">
        <v>8</v>
      </c>
      <c r="L375" s="44">
        <f>IF(J375&gt;68,K375+(J375-68)*0.2,K375-(68-J375)*0.2)</f>
        <v>9.0800000000000018</v>
      </c>
      <c r="M375" s="43">
        <f>(C375-H375)/C375*100</f>
        <v>63.839999999999996</v>
      </c>
      <c r="N375" s="43">
        <f>100-(M375+O375)</f>
        <v>18</v>
      </c>
      <c r="O375" s="43">
        <f>L375/C375*100</f>
        <v>18.160000000000004</v>
      </c>
      <c r="P375" s="42" t="s">
        <v>0</v>
      </c>
      <c r="Q375" s="41">
        <v>407472.92300000001</v>
      </c>
      <c r="R375" s="41">
        <v>3659933.335</v>
      </c>
    </row>
    <row r="376" spans="1:18" x14ac:dyDescent="0.25">
      <c r="A376" s="49">
        <v>1469</v>
      </c>
      <c r="B376" s="48" t="s">
        <v>843</v>
      </c>
      <c r="C376" s="47">
        <v>50</v>
      </c>
      <c r="D376" s="46">
        <v>20</v>
      </c>
      <c r="E376" s="44">
        <v>23</v>
      </c>
      <c r="F376" s="44">
        <f>1.8*E376+32</f>
        <v>73.400000000000006</v>
      </c>
      <c r="G376" s="45">
        <v>20</v>
      </c>
      <c r="H376" s="44">
        <f>IF(F376&gt;68,G376+(F376-68)*0.2,Y407-(68-F376)*0.2)</f>
        <v>21.080000000000002</v>
      </c>
      <c r="I376" s="44">
        <v>23</v>
      </c>
      <c r="J376" s="44">
        <f>1.8*I376+32</f>
        <v>73.400000000000006</v>
      </c>
      <c r="K376" s="45">
        <v>11</v>
      </c>
      <c r="L376" s="44">
        <f>IF(J376&gt;68,K376+(J376-68)*0.2,K376-(68-J376)*0.2)</f>
        <v>12.080000000000002</v>
      </c>
      <c r="M376" s="43">
        <f>(C376-H376)/C376*100</f>
        <v>57.839999999999989</v>
      </c>
      <c r="N376" s="43">
        <f>100-(M376+O376)</f>
        <v>18</v>
      </c>
      <c r="O376" s="43">
        <f>L376/C376*100</f>
        <v>24.160000000000004</v>
      </c>
      <c r="P376" s="42" t="s">
        <v>2</v>
      </c>
      <c r="Q376" s="41">
        <v>407472.92300000001</v>
      </c>
      <c r="R376" s="41">
        <v>3659933.335</v>
      </c>
    </row>
    <row r="377" spans="1:18" x14ac:dyDescent="0.25">
      <c r="A377" s="49">
        <v>1469</v>
      </c>
      <c r="B377" s="48" t="s">
        <v>842</v>
      </c>
      <c r="C377" s="47">
        <v>50</v>
      </c>
      <c r="D377" s="46">
        <v>20</v>
      </c>
      <c r="E377" s="44">
        <v>23</v>
      </c>
      <c r="F377" s="44">
        <f>1.8*E377+32</f>
        <v>73.400000000000006</v>
      </c>
      <c r="G377" s="45">
        <v>22</v>
      </c>
      <c r="H377" s="44">
        <f>IF(F377&gt;68,G377+(F377-68)*0.2,Y408-(68-F377)*0.2)</f>
        <v>23.080000000000002</v>
      </c>
      <c r="I377" s="44">
        <v>23</v>
      </c>
      <c r="J377" s="44">
        <f>1.8*I377+32</f>
        <v>73.400000000000006</v>
      </c>
      <c r="K377" s="45">
        <v>12</v>
      </c>
      <c r="L377" s="44">
        <f>IF(J377&gt;68,K377+(J377-68)*0.2,K377-(68-J377)*0.2)</f>
        <v>13.080000000000002</v>
      </c>
      <c r="M377" s="43">
        <f>(C377-H377)/C377*100</f>
        <v>53.839999999999996</v>
      </c>
      <c r="N377" s="43">
        <f>100-(M377+O377)</f>
        <v>20</v>
      </c>
      <c r="O377" s="43">
        <f>L377/C377*100</f>
        <v>26.160000000000004</v>
      </c>
      <c r="P377" s="42" t="s">
        <v>2</v>
      </c>
      <c r="Q377" s="41">
        <v>407472.92300000001</v>
      </c>
      <c r="R377" s="41">
        <v>3659933.335</v>
      </c>
    </row>
    <row r="378" spans="1:18" x14ac:dyDescent="0.25">
      <c r="A378" s="49">
        <v>1469</v>
      </c>
      <c r="B378" s="48" t="s">
        <v>841</v>
      </c>
      <c r="C378" s="47">
        <v>50</v>
      </c>
      <c r="D378" s="46">
        <v>20</v>
      </c>
      <c r="E378" s="44">
        <v>23</v>
      </c>
      <c r="F378" s="44">
        <f>1.8*E378+32</f>
        <v>73.400000000000006</v>
      </c>
      <c r="G378" s="45">
        <v>21</v>
      </c>
      <c r="H378" s="44">
        <f>IF(F378&gt;68,G378+(F378-68)*0.2,Y409-(68-F378)*0.2)</f>
        <v>22.080000000000002</v>
      </c>
      <c r="I378" s="44">
        <v>23</v>
      </c>
      <c r="J378" s="44">
        <f>1.8*I378+32</f>
        <v>73.400000000000006</v>
      </c>
      <c r="K378" s="45">
        <v>9</v>
      </c>
      <c r="L378" s="44">
        <f>IF(J378&gt;68,K378+(J378-68)*0.2,K378-(68-J378)*0.2)</f>
        <v>10.080000000000002</v>
      </c>
      <c r="M378" s="43">
        <f>(C378-H378)/C378*100</f>
        <v>55.84</v>
      </c>
      <c r="N378" s="43">
        <f>100-(M378+O378)</f>
        <v>24</v>
      </c>
      <c r="O378" s="43">
        <f>L378/C378*100</f>
        <v>20.160000000000004</v>
      </c>
      <c r="P378" s="42" t="s">
        <v>2</v>
      </c>
      <c r="Q378" s="41">
        <v>407472.92300000001</v>
      </c>
      <c r="R378" s="41">
        <v>3659933.335</v>
      </c>
    </row>
    <row r="379" spans="1:18" x14ac:dyDescent="0.25">
      <c r="A379" s="49">
        <v>1469</v>
      </c>
      <c r="B379" s="48" t="s">
        <v>839</v>
      </c>
      <c r="C379" s="47">
        <v>50</v>
      </c>
      <c r="D379" s="46">
        <v>20</v>
      </c>
      <c r="E379" s="44">
        <v>23</v>
      </c>
      <c r="F379" s="44">
        <f>1.8*E379+32</f>
        <v>73.400000000000006</v>
      </c>
      <c r="G379" s="45">
        <v>12</v>
      </c>
      <c r="H379" s="44">
        <f>IF(F379&gt;68,G379+(F379-68)*0.2,Y410-(68-F379)*0.2)</f>
        <v>13.080000000000002</v>
      </c>
      <c r="I379" s="44">
        <v>23</v>
      </c>
      <c r="J379" s="44">
        <f>1.8*I379+32</f>
        <v>73.400000000000006</v>
      </c>
      <c r="K379" s="45">
        <v>4</v>
      </c>
      <c r="L379" s="44">
        <f>IF(J379&gt;68,K379+(J379-68)*0.2,K379-(68-J379)*0.2)</f>
        <v>5.080000000000001</v>
      </c>
      <c r="M379" s="43">
        <f>(C379-H379)/C379*100</f>
        <v>73.84</v>
      </c>
      <c r="N379" s="43">
        <f>100-(M379+O379)</f>
        <v>16</v>
      </c>
      <c r="O379" s="43">
        <f>L379/C379*100</f>
        <v>10.160000000000002</v>
      </c>
      <c r="P379" s="42" t="s">
        <v>0</v>
      </c>
      <c r="Q379" s="41">
        <v>407472.92300000001</v>
      </c>
      <c r="R379" s="41">
        <v>3659933.335</v>
      </c>
    </row>
    <row r="380" spans="1:18" x14ac:dyDescent="0.25">
      <c r="A380" s="61"/>
      <c r="B380" s="58"/>
      <c r="C380" s="58"/>
      <c r="D380" s="58"/>
      <c r="E380" s="58"/>
      <c r="F380" s="58"/>
      <c r="G380" s="60"/>
      <c r="H380" s="58"/>
      <c r="I380" s="58"/>
      <c r="J380" s="58"/>
      <c r="K380" s="60"/>
      <c r="L380" s="58"/>
      <c r="M380" s="59"/>
      <c r="N380" s="59"/>
      <c r="O380" s="59"/>
      <c r="P380" s="58"/>
    </row>
    <row r="381" spans="1:18" x14ac:dyDescent="0.25">
      <c r="A381" s="57"/>
      <c r="B381" s="56"/>
      <c r="C381" s="55"/>
      <c r="D381" s="54"/>
      <c r="E381" s="52"/>
      <c r="F381" s="52"/>
      <c r="G381" s="53"/>
      <c r="H381" s="52"/>
      <c r="I381" s="52"/>
      <c r="J381" s="52"/>
      <c r="K381" s="53"/>
      <c r="L381" s="52"/>
      <c r="M381" s="51"/>
      <c r="N381" s="51"/>
      <c r="O381" s="51"/>
      <c r="P381" s="50"/>
      <c r="Q381" s="5" t="s">
        <v>4</v>
      </c>
      <c r="R381" s="5" t="s">
        <v>3</v>
      </c>
    </row>
    <row r="382" spans="1:18" x14ac:dyDescent="0.25">
      <c r="A382" s="49">
        <v>1496</v>
      </c>
      <c r="B382" s="48" t="s">
        <v>845</v>
      </c>
      <c r="C382" s="47">
        <v>50</v>
      </c>
      <c r="D382" s="46">
        <v>20</v>
      </c>
      <c r="E382" s="44">
        <v>23</v>
      </c>
      <c r="F382" s="44">
        <f>1.8*E382+32</f>
        <v>73.400000000000006</v>
      </c>
      <c r="G382" s="45">
        <v>15</v>
      </c>
      <c r="H382" s="44">
        <f>IF(F382&gt;68,G382+(F382-68)*0.2,#REF!-(68-F382)*0.2)</f>
        <v>16.080000000000002</v>
      </c>
      <c r="I382" s="44">
        <v>23</v>
      </c>
      <c r="J382" s="44">
        <f>1.8*I382+32</f>
        <v>73.400000000000006</v>
      </c>
      <c r="K382" s="45">
        <v>7</v>
      </c>
      <c r="L382" s="44">
        <f>IF(J382&gt;68,K382+(J382-68)*0.2,K382-(68-J382)*0.2)</f>
        <v>8.0800000000000018</v>
      </c>
      <c r="M382" s="43">
        <f>(C382-H382)/C382*100</f>
        <v>67.84</v>
      </c>
      <c r="N382" s="43">
        <f>100-(M382+O382)</f>
        <v>16</v>
      </c>
      <c r="O382" s="43">
        <f>L382/C382*100</f>
        <v>16.160000000000004</v>
      </c>
      <c r="P382" s="42" t="s">
        <v>0</v>
      </c>
      <c r="Q382" s="41">
        <v>407469.37699999998</v>
      </c>
      <c r="R382" s="41">
        <v>3659897.9709999999</v>
      </c>
    </row>
    <row r="383" spans="1:18" x14ac:dyDescent="0.25">
      <c r="A383" s="49">
        <v>1496</v>
      </c>
      <c r="B383" s="48" t="s">
        <v>844</v>
      </c>
      <c r="C383" s="47">
        <v>50</v>
      </c>
      <c r="D383" s="46">
        <v>20</v>
      </c>
      <c r="E383" s="44">
        <v>23</v>
      </c>
      <c r="F383" s="44">
        <f>1.8*E383+32</f>
        <v>73.400000000000006</v>
      </c>
      <c r="G383" s="45">
        <v>14</v>
      </c>
      <c r="H383" s="44">
        <f>IF(F383&gt;68,G383+(F383-68)*0.2,Y414-(68-F383)*0.2)</f>
        <v>15.080000000000002</v>
      </c>
      <c r="I383" s="44">
        <v>23</v>
      </c>
      <c r="J383" s="44">
        <f>1.8*I383+32</f>
        <v>73.400000000000006</v>
      </c>
      <c r="K383" s="45">
        <v>6</v>
      </c>
      <c r="L383" s="44">
        <f>IF(J383&gt;68,K383+(J383-68)*0.2,K383-(68-J383)*0.2)</f>
        <v>7.080000000000001</v>
      </c>
      <c r="M383" s="43">
        <f>(C383-H383)/C383*100</f>
        <v>69.84</v>
      </c>
      <c r="N383" s="43">
        <f>100-(M383+O383)</f>
        <v>16</v>
      </c>
      <c r="O383" s="43">
        <f>L383/C383*100</f>
        <v>14.160000000000004</v>
      </c>
      <c r="P383" s="42" t="s">
        <v>0</v>
      </c>
      <c r="Q383" s="41">
        <v>407469.37699999998</v>
      </c>
      <c r="R383" s="41">
        <v>3659897.9709999999</v>
      </c>
    </row>
    <row r="384" spans="1:18" x14ac:dyDescent="0.25">
      <c r="A384" s="49">
        <v>1496</v>
      </c>
      <c r="B384" s="48" t="s">
        <v>843</v>
      </c>
      <c r="C384" s="47">
        <v>50</v>
      </c>
      <c r="D384" s="46">
        <v>20</v>
      </c>
      <c r="E384" s="44">
        <v>23</v>
      </c>
      <c r="F384" s="44">
        <f>1.8*E384+32</f>
        <v>73.400000000000006</v>
      </c>
      <c r="G384" s="45">
        <v>15</v>
      </c>
      <c r="H384" s="44">
        <f>IF(F384&gt;68,G384+(F384-68)*0.2,Y415-(68-F384)*0.2)</f>
        <v>16.080000000000002</v>
      </c>
      <c r="I384" s="44">
        <v>23</v>
      </c>
      <c r="J384" s="44">
        <f>1.8*I384+32</f>
        <v>73.400000000000006</v>
      </c>
      <c r="K384" s="45">
        <v>7</v>
      </c>
      <c r="L384" s="44">
        <f>IF(J384&gt;68,K384+(J384-68)*0.2,K384-(68-J384)*0.2)</f>
        <v>8.0800000000000018</v>
      </c>
      <c r="M384" s="43">
        <f>(C384-H384)/C384*100</f>
        <v>67.84</v>
      </c>
      <c r="N384" s="43">
        <f>100-(M384+O384)</f>
        <v>16</v>
      </c>
      <c r="O384" s="43">
        <f>L384/C384*100</f>
        <v>16.160000000000004</v>
      </c>
      <c r="P384" s="42" t="s">
        <v>0</v>
      </c>
      <c r="Q384" s="41">
        <v>407469.37699999998</v>
      </c>
      <c r="R384" s="41">
        <v>3659897.9709999999</v>
      </c>
    </row>
    <row r="385" spans="1:18" x14ac:dyDescent="0.25">
      <c r="A385" s="49">
        <v>1496</v>
      </c>
      <c r="B385" s="48" t="s">
        <v>842</v>
      </c>
      <c r="C385" s="47">
        <v>50</v>
      </c>
      <c r="D385" s="46">
        <v>20</v>
      </c>
      <c r="E385" s="44">
        <v>23</v>
      </c>
      <c r="F385" s="44">
        <f>1.8*E385+32</f>
        <v>73.400000000000006</v>
      </c>
      <c r="G385" s="45">
        <v>20</v>
      </c>
      <c r="H385" s="44">
        <f>IF(F385&gt;68,G385+(F385-68)*0.2,Y416-(68-F385)*0.2)</f>
        <v>21.080000000000002</v>
      </c>
      <c r="I385" s="44">
        <v>23</v>
      </c>
      <c r="J385" s="44">
        <f>1.8*I385+32</f>
        <v>73.400000000000006</v>
      </c>
      <c r="K385" s="45">
        <v>10</v>
      </c>
      <c r="L385" s="44">
        <f>IF(J385&gt;68,K385+(J385-68)*0.2,K385-(68-J385)*0.2)</f>
        <v>11.080000000000002</v>
      </c>
      <c r="M385" s="43">
        <f>(C385-H385)/C385*100</f>
        <v>57.839999999999989</v>
      </c>
      <c r="N385" s="43">
        <f>100-(M385+O385)</f>
        <v>20</v>
      </c>
      <c r="O385" s="43">
        <f>L385/C385*100</f>
        <v>22.160000000000004</v>
      </c>
      <c r="P385" s="42" t="s">
        <v>2</v>
      </c>
      <c r="Q385" s="41">
        <v>407469.37699999998</v>
      </c>
      <c r="R385" s="41">
        <v>3659897.9709999999</v>
      </c>
    </row>
    <row r="386" spans="1:18" x14ac:dyDescent="0.25">
      <c r="A386" s="49">
        <v>1496</v>
      </c>
      <c r="B386" s="48" t="s">
        <v>841</v>
      </c>
      <c r="C386" s="47">
        <v>50</v>
      </c>
      <c r="D386" s="46">
        <v>20</v>
      </c>
      <c r="E386" s="44">
        <v>23</v>
      </c>
      <c r="F386" s="44">
        <f>1.8*E386+32</f>
        <v>73.400000000000006</v>
      </c>
      <c r="G386" s="45">
        <v>20</v>
      </c>
      <c r="H386" s="44">
        <f>IF(F386&gt;68,G386+(F386-68)*0.2,Y417-(68-F386)*0.2)</f>
        <v>21.080000000000002</v>
      </c>
      <c r="I386" s="44">
        <v>23</v>
      </c>
      <c r="J386" s="44">
        <f>1.8*I386+32</f>
        <v>73.400000000000006</v>
      </c>
      <c r="K386" s="45">
        <v>8</v>
      </c>
      <c r="L386" s="44">
        <f>IF(J386&gt;68,K386+(J386-68)*0.2,K386-(68-J386)*0.2)</f>
        <v>9.0800000000000018</v>
      </c>
      <c r="M386" s="43">
        <f>(C386-H386)/C386*100</f>
        <v>57.839999999999989</v>
      </c>
      <c r="N386" s="43">
        <f>100-(M386+O386)</f>
        <v>24</v>
      </c>
      <c r="O386" s="43">
        <f>L386/C386*100</f>
        <v>18.160000000000004</v>
      </c>
      <c r="P386" s="42" t="s">
        <v>0</v>
      </c>
      <c r="Q386" s="41">
        <v>407469.37699999998</v>
      </c>
      <c r="R386" s="41">
        <v>3659897.9709999999</v>
      </c>
    </row>
    <row r="387" spans="1:18" x14ac:dyDescent="0.25">
      <c r="A387" s="49">
        <v>1496</v>
      </c>
      <c r="B387" s="48" t="s">
        <v>839</v>
      </c>
      <c r="C387" s="47">
        <v>50</v>
      </c>
      <c r="D387" s="46">
        <v>20</v>
      </c>
      <c r="E387" s="44">
        <v>23</v>
      </c>
      <c r="F387" s="44">
        <f>1.8*E387+32</f>
        <v>73.400000000000006</v>
      </c>
      <c r="G387" s="45">
        <v>20</v>
      </c>
      <c r="H387" s="44">
        <f>IF(F387&gt;68,G387+(F387-68)*0.2,Y418-(68-F387)*0.2)</f>
        <v>21.080000000000002</v>
      </c>
      <c r="I387" s="44">
        <v>23</v>
      </c>
      <c r="J387" s="44">
        <f>1.8*I387+32</f>
        <v>73.400000000000006</v>
      </c>
      <c r="K387" s="45">
        <v>6</v>
      </c>
      <c r="L387" s="44">
        <f>IF(J387&gt;68,K387+(J387-68)*0.2,K387-(68-J387)*0.2)</f>
        <v>7.080000000000001</v>
      </c>
      <c r="M387" s="43">
        <f>(C387-H387)/C387*100</f>
        <v>57.839999999999989</v>
      </c>
      <c r="N387" s="43">
        <f>100-(M387+O387)</f>
        <v>28</v>
      </c>
      <c r="O387" s="43">
        <f>L387/C387*100</f>
        <v>14.160000000000004</v>
      </c>
      <c r="P387" s="42" t="s">
        <v>0</v>
      </c>
      <c r="Q387" s="41">
        <v>407469.37699999998</v>
      </c>
      <c r="R387" s="41">
        <v>3659897.9709999999</v>
      </c>
    </row>
    <row r="388" spans="1:18" x14ac:dyDescent="0.25">
      <c r="A388" s="61"/>
      <c r="B388" s="58"/>
      <c r="C388" s="58"/>
      <c r="D388" s="58"/>
      <c r="E388" s="58"/>
      <c r="F388" s="58"/>
      <c r="G388" s="60"/>
      <c r="H388" s="58"/>
      <c r="I388" s="58"/>
      <c r="J388" s="58"/>
      <c r="K388" s="60"/>
      <c r="L388" s="58"/>
      <c r="M388" s="59"/>
      <c r="N388" s="59"/>
      <c r="O388" s="59"/>
      <c r="P388" s="58"/>
    </row>
    <row r="389" spans="1:18" x14ac:dyDescent="0.25">
      <c r="A389" s="57"/>
      <c r="B389" s="56"/>
      <c r="C389" s="55"/>
      <c r="D389" s="54"/>
      <c r="E389" s="52"/>
      <c r="F389" s="52"/>
      <c r="G389" s="53"/>
      <c r="H389" s="52"/>
      <c r="I389" s="52"/>
      <c r="J389" s="52"/>
      <c r="K389" s="53"/>
      <c r="L389" s="52"/>
      <c r="M389" s="51"/>
      <c r="N389" s="51"/>
      <c r="O389" s="51"/>
      <c r="P389" s="50"/>
      <c r="Q389" s="5" t="s">
        <v>4</v>
      </c>
      <c r="R389" s="5" t="s">
        <v>3</v>
      </c>
    </row>
    <row r="390" spans="1:18" x14ac:dyDescent="0.25">
      <c r="A390" s="49">
        <v>1522</v>
      </c>
      <c r="B390" s="48" t="s">
        <v>845</v>
      </c>
      <c r="C390" s="47">
        <v>50</v>
      </c>
      <c r="D390" s="46">
        <v>20</v>
      </c>
      <c r="E390" s="44">
        <v>23</v>
      </c>
      <c r="F390" s="44">
        <f>1.8*E390+32</f>
        <v>73.400000000000006</v>
      </c>
      <c r="G390" s="45">
        <v>16</v>
      </c>
      <c r="H390" s="44">
        <f>IF(F390&gt;68,G390+(F390-68)*0.2,#REF!-(68-F390)*0.2)</f>
        <v>17.080000000000002</v>
      </c>
      <c r="I390" s="44">
        <v>23</v>
      </c>
      <c r="J390" s="44">
        <f>1.8*I390+32</f>
        <v>73.400000000000006</v>
      </c>
      <c r="K390" s="45">
        <v>9</v>
      </c>
      <c r="L390" s="44">
        <f>IF(J390&gt;68,K390+(J390-68)*0.2,K390-(68-J390)*0.2)</f>
        <v>10.080000000000002</v>
      </c>
      <c r="M390" s="43">
        <f>(C390-H390)/C390*100</f>
        <v>65.84</v>
      </c>
      <c r="N390" s="43">
        <f>100-(M390+O390)</f>
        <v>14</v>
      </c>
      <c r="O390" s="43">
        <f>L390/C390*100</f>
        <v>20.160000000000004</v>
      </c>
      <c r="P390" s="42" t="s">
        <v>2</v>
      </c>
      <c r="Q390" s="41">
        <v>407471.152</v>
      </c>
      <c r="R390" s="41">
        <v>3660007.1779999998</v>
      </c>
    </row>
    <row r="391" spans="1:18" x14ac:dyDescent="0.25">
      <c r="A391" s="49">
        <v>1522</v>
      </c>
      <c r="B391" s="48" t="s">
        <v>844</v>
      </c>
      <c r="C391" s="47">
        <v>50</v>
      </c>
      <c r="D391" s="46">
        <v>20</v>
      </c>
      <c r="E391" s="44">
        <v>23</v>
      </c>
      <c r="F391" s="44">
        <f>1.8*E391+32</f>
        <v>73.400000000000006</v>
      </c>
      <c r="G391" s="45">
        <v>19</v>
      </c>
      <c r="H391" s="44">
        <f>IF(F391&gt;68,G391+(F391-68)*0.2,Y422-(68-F391)*0.2)</f>
        <v>20.080000000000002</v>
      </c>
      <c r="I391" s="44">
        <v>23</v>
      </c>
      <c r="J391" s="44">
        <f>1.8*I391+32</f>
        <v>73.400000000000006</v>
      </c>
      <c r="K391" s="45">
        <v>8</v>
      </c>
      <c r="L391" s="44">
        <f>IF(J391&gt;68,K391+(J391-68)*0.2,K391-(68-J391)*0.2)</f>
        <v>9.0800000000000018</v>
      </c>
      <c r="M391" s="43">
        <f>(C391-H391)/C391*100</f>
        <v>59.839999999999996</v>
      </c>
      <c r="N391" s="43">
        <f>100-(M391+O391)</f>
        <v>22</v>
      </c>
      <c r="O391" s="43">
        <f>L391/C391*100</f>
        <v>18.160000000000004</v>
      </c>
      <c r="P391" s="42" t="s">
        <v>0</v>
      </c>
      <c r="Q391" s="41">
        <v>407471.152</v>
      </c>
      <c r="R391" s="41">
        <v>3660007.1779999998</v>
      </c>
    </row>
    <row r="392" spans="1:18" x14ac:dyDescent="0.25">
      <c r="A392" s="49">
        <v>1522</v>
      </c>
      <c r="B392" s="48" t="s">
        <v>843</v>
      </c>
      <c r="C392" s="47">
        <v>50</v>
      </c>
      <c r="D392" s="46">
        <v>20</v>
      </c>
      <c r="E392" s="44">
        <v>23</v>
      </c>
      <c r="F392" s="44">
        <f>1.8*E392+32</f>
        <v>73.400000000000006</v>
      </c>
      <c r="G392" s="45">
        <v>20</v>
      </c>
      <c r="H392" s="44">
        <f>IF(F392&gt;68,G392+(F392-68)*0.2,Y423-(68-F392)*0.2)</f>
        <v>21.080000000000002</v>
      </c>
      <c r="I392" s="44">
        <v>23</v>
      </c>
      <c r="J392" s="44">
        <f>1.8*I392+32</f>
        <v>73.400000000000006</v>
      </c>
      <c r="K392" s="45">
        <v>9</v>
      </c>
      <c r="L392" s="44">
        <f>IF(J392&gt;68,K392+(J392-68)*0.2,K392-(68-J392)*0.2)</f>
        <v>10.080000000000002</v>
      </c>
      <c r="M392" s="43">
        <f>(C392-H392)/C392*100</f>
        <v>57.839999999999989</v>
      </c>
      <c r="N392" s="43">
        <f>100-(M392+O392)</f>
        <v>22</v>
      </c>
      <c r="O392" s="43">
        <f>L392/C392*100</f>
        <v>20.160000000000004</v>
      </c>
      <c r="P392" s="42" t="s">
        <v>2</v>
      </c>
      <c r="Q392" s="41">
        <v>407471.152</v>
      </c>
      <c r="R392" s="41">
        <v>3660007.1779999998</v>
      </c>
    </row>
    <row r="393" spans="1:18" x14ac:dyDescent="0.25">
      <c r="A393" s="49">
        <v>1522</v>
      </c>
      <c r="B393" s="48" t="s">
        <v>842</v>
      </c>
      <c r="C393" s="47">
        <v>50</v>
      </c>
      <c r="D393" s="46">
        <v>20</v>
      </c>
      <c r="E393" s="44">
        <v>23</v>
      </c>
      <c r="F393" s="44">
        <f>1.8*E393+32</f>
        <v>73.400000000000006</v>
      </c>
      <c r="G393" s="45">
        <v>16</v>
      </c>
      <c r="H393" s="44">
        <f>IF(F393&gt;68,G393+(F393-68)*0.2,Y424-(68-F393)*0.2)</f>
        <v>17.080000000000002</v>
      </c>
      <c r="I393" s="44">
        <v>23</v>
      </c>
      <c r="J393" s="44">
        <f>1.8*I393+32</f>
        <v>73.400000000000006</v>
      </c>
      <c r="K393" s="45">
        <v>8</v>
      </c>
      <c r="L393" s="44">
        <f>IF(J393&gt;68,K393+(J393-68)*0.2,K393-(68-J393)*0.2)</f>
        <v>9.0800000000000018</v>
      </c>
      <c r="M393" s="43">
        <f>(C393-H393)/C393*100</f>
        <v>65.84</v>
      </c>
      <c r="N393" s="43">
        <f>100-(M393+O393)</f>
        <v>16</v>
      </c>
      <c r="O393" s="43">
        <f>L393/C393*100</f>
        <v>18.160000000000004</v>
      </c>
      <c r="P393" s="42" t="s">
        <v>0</v>
      </c>
      <c r="Q393" s="41">
        <v>407471.152</v>
      </c>
      <c r="R393" s="41">
        <v>3660007.1779999998</v>
      </c>
    </row>
    <row r="394" spans="1:18" x14ac:dyDescent="0.25">
      <c r="A394" s="49">
        <v>1522</v>
      </c>
      <c r="B394" s="48" t="s">
        <v>841</v>
      </c>
      <c r="C394" s="47">
        <v>50</v>
      </c>
      <c r="D394" s="46">
        <v>20</v>
      </c>
      <c r="E394" s="44">
        <v>23</v>
      </c>
      <c r="F394" s="44">
        <f>1.8*E394+32</f>
        <v>73.400000000000006</v>
      </c>
      <c r="G394" s="45">
        <v>20</v>
      </c>
      <c r="H394" s="44">
        <f>IF(F394&gt;68,G394+(F394-68)*0.2,Y425-(68-F394)*0.2)</f>
        <v>21.080000000000002</v>
      </c>
      <c r="I394" s="44">
        <v>23</v>
      </c>
      <c r="J394" s="44">
        <f>1.8*I394+32</f>
        <v>73.400000000000006</v>
      </c>
      <c r="K394" s="45">
        <v>8</v>
      </c>
      <c r="L394" s="44">
        <f>IF(J394&gt;68,K394+(J394-68)*0.2,K394-(68-J394)*0.2)</f>
        <v>9.0800000000000018</v>
      </c>
      <c r="M394" s="43">
        <f>(C394-H394)/C394*100</f>
        <v>57.839999999999989</v>
      </c>
      <c r="N394" s="43">
        <f>100-(M394+O394)</f>
        <v>24</v>
      </c>
      <c r="O394" s="43">
        <f>L394/C394*100</f>
        <v>18.160000000000004</v>
      </c>
      <c r="P394" s="42" t="s">
        <v>0</v>
      </c>
      <c r="Q394" s="41">
        <v>407471.152</v>
      </c>
      <c r="R394" s="41">
        <v>3660007.1779999998</v>
      </c>
    </row>
    <row r="395" spans="1:18" x14ac:dyDescent="0.25">
      <c r="A395" s="49">
        <v>1522</v>
      </c>
      <c r="B395" s="48" t="s">
        <v>839</v>
      </c>
      <c r="C395" s="47">
        <v>50</v>
      </c>
      <c r="D395" s="46">
        <v>20</v>
      </c>
      <c r="E395" s="44">
        <v>23</v>
      </c>
      <c r="F395" s="44">
        <f>1.8*E395+32</f>
        <v>73.400000000000006</v>
      </c>
      <c r="G395" s="45">
        <v>22</v>
      </c>
      <c r="H395" s="44">
        <f>IF(F395&gt;68,G395+(F395-68)*0.2,Y426-(68-F395)*0.2)</f>
        <v>23.080000000000002</v>
      </c>
      <c r="I395" s="44">
        <v>23</v>
      </c>
      <c r="J395" s="44">
        <f>1.8*I395+32</f>
        <v>73.400000000000006</v>
      </c>
      <c r="K395" s="45">
        <v>9</v>
      </c>
      <c r="L395" s="44">
        <f>IF(J395&gt;68,K395+(J395-68)*0.2,K395-(68-J395)*0.2)</f>
        <v>10.080000000000002</v>
      </c>
      <c r="M395" s="43">
        <f>(C395-H395)/C395*100</f>
        <v>53.839999999999996</v>
      </c>
      <c r="N395" s="43">
        <f>100-(M395+O395)</f>
        <v>26</v>
      </c>
      <c r="O395" s="43">
        <f>L395/C395*100</f>
        <v>20.160000000000004</v>
      </c>
      <c r="P395" s="42" t="s">
        <v>2</v>
      </c>
      <c r="Q395" s="41">
        <v>407471.152</v>
      </c>
      <c r="R395" s="41">
        <v>3660007.1779999998</v>
      </c>
    </row>
    <row r="396" spans="1:18" x14ac:dyDescent="0.25">
      <c r="A396" s="61"/>
      <c r="B396" s="58"/>
      <c r="C396" s="58"/>
      <c r="D396" s="58"/>
      <c r="E396" s="58"/>
      <c r="F396" s="58"/>
      <c r="G396" s="60"/>
      <c r="H396" s="58"/>
      <c r="I396" s="58"/>
      <c r="J396" s="58"/>
      <c r="K396" s="60"/>
      <c r="L396" s="58"/>
      <c r="M396" s="59"/>
      <c r="N396" s="59"/>
      <c r="O396" s="59"/>
      <c r="P396" s="58"/>
    </row>
    <row r="397" spans="1:18" x14ac:dyDescent="0.25">
      <c r="A397" s="57"/>
      <c r="B397" s="56"/>
      <c r="C397" s="55"/>
      <c r="D397" s="54"/>
      <c r="E397" s="52"/>
      <c r="F397" s="52"/>
      <c r="G397" s="53"/>
      <c r="H397" s="52"/>
      <c r="I397" s="52"/>
      <c r="J397" s="52"/>
      <c r="K397" s="53"/>
      <c r="L397" s="52"/>
      <c r="M397" s="51"/>
      <c r="N397" s="51"/>
      <c r="O397" s="51"/>
      <c r="P397" s="50"/>
      <c r="Q397" s="5" t="s">
        <v>4</v>
      </c>
      <c r="R397" s="5" t="s">
        <v>3</v>
      </c>
    </row>
    <row r="398" spans="1:18" x14ac:dyDescent="0.25">
      <c r="A398" s="49" t="s">
        <v>856</v>
      </c>
      <c r="B398" s="48" t="s">
        <v>845</v>
      </c>
      <c r="C398" s="47">
        <v>50</v>
      </c>
      <c r="D398" s="46">
        <v>20</v>
      </c>
      <c r="E398" s="44">
        <v>23</v>
      </c>
      <c r="F398" s="44">
        <f>1.8*E398+32</f>
        <v>73.400000000000006</v>
      </c>
      <c r="G398" s="45">
        <v>17</v>
      </c>
      <c r="H398" s="44">
        <f>IF(F398&gt;68,G398+(F398-68)*0.2,#REF!-(68-F398)*0.2)</f>
        <v>18.080000000000002</v>
      </c>
      <c r="I398" s="44">
        <v>23</v>
      </c>
      <c r="J398" s="44">
        <f>1.8*I398+32</f>
        <v>73.400000000000006</v>
      </c>
      <c r="K398" s="45">
        <v>8</v>
      </c>
      <c r="L398" s="44">
        <f>IF(J398&gt;68,K398+(J398-68)*0.2,K398-(68-J398)*0.2)</f>
        <v>9.0800000000000018</v>
      </c>
      <c r="M398" s="43">
        <f>(C398-H398)/C398*100</f>
        <v>63.839999999999996</v>
      </c>
      <c r="N398" s="43">
        <f>100-(M398+O398)</f>
        <v>18</v>
      </c>
      <c r="O398" s="43">
        <f>L398/C398*100</f>
        <v>18.160000000000004</v>
      </c>
      <c r="P398" s="42" t="s">
        <v>0</v>
      </c>
      <c r="Q398" s="41">
        <v>407471.152</v>
      </c>
      <c r="R398" s="41">
        <v>3660007.1779999998</v>
      </c>
    </row>
    <row r="399" spans="1:18" x14ac:dyDescent="0.25">
      <c r="A399" s="49" t="s">
        <v>856</v>
      </c>
      <c r="B399" s="48" t="s">
        <v>844</v>
      </c>
      <c r="C399" s="47">
        <v>50</v>
      </c>
      <c r="D399" s="46">
        <v>20</v>
      </c>
      <c r="E399" s="44">
        <v>23</v>
      </c>
      <c r="F399" s="44">
        <f>1.8*E399+32</f>
        <v>73.400000000000006</v>
      </c>
      <c r="G399" s="45">
        <v>17</v>
      </c>
      <c r="H399" s="44">
        <f>IF(F399&gt;68,G399+(F399-68)*0.2,Y430-(68-F399)*0.2)</f>
        <v>18.080000000000002</v>
      </c>
      <c r="I399" s="44">
        <v>23</v>
      </c>
      <c r="J399" s="44">
        <f>1.8*I399+32</f>
        <v>73.400000000000006</v>
      </c>
      <c r="K399" s="45">
        <v>8</v>
      </c>
      <c r="L399" s="44">
        <f>IF(J399&gt;68,K399+(J399-68)*0.2,K399-(68-J399)*0.2)</f>
        <v>9.0800000000000018</v>
      </c>
      <c r="M399" s="43">
        <f>(C399-H399)/C399*100</f>
        <v>63.839999999999996</v>
      </c>
      <c r="N399" s="43">
        <f>100-(M399+O399)</f>
        <v>18</v>
      </c>
      <c r="O399" s="43">
        <f>L399/C399*100</f>
        <v>18.160000000000004</v>
      </c>
      <c r="P399" s="42" t="s">
        <v>0</v>
      </c>
      <c r="Q399" s="41">
        <v>407471.152</v>
      </c>
      <c r="R399" s="41">
        <v>3660007.1779999998</v>
      </c>
    </row>
    <row r="400" spans="1:18" x14ac:dyDescent="0.25">
      <c r="A400" s="49" t="s">
        <v>856</v>
      </c>
      <c r="B400" s="48" t="s">
        <v>843</v>
      </c>
      <c r="C400" s="47">
        <v>50</v>
      </c>
      <c r="D400" s="46">
        <v>20</v>
      </c>
      <c r="E400" s="44">
        <v>23</v>
      </c>
      <c r="F400" s="44">
        <f>1.8*E400+32</f>
        <v>73.400000000000006</v>
      </c>
      <c r="G400" s="45">
        <v>15</v>
      </c>
      <c r="H400" s="44">
        <f>IF(F400&gt;68,G400+(F400-68)*0.2,Y431-(68-F400)*0.2)</f>
        <v>16.080000000000002</v>
      </c>
      <c r="I400" s="44">
        <v>23</v>
      </c>
      <c r="J400" s="44">
        <f>1.8*I400+32</f>
        <v>73.400000000000006</v>
      </c>
      <c r="K400" s="45">
        <v>7</v>
      </c>
      <c r="L400" s="44">
        <f>IF(J400&gt;68,K400+(J400-68)*0.2,K400-(68-J400)*0.2)</f>
        <v>8.0800000000000018</v>
      </c>
      <c r="M400" s="43">
        <f>(C400-H400)/C400*100</f>
        <v>67.84</v>
      </c>
      <c r="N400" s="43">
        <f>100-(M400+O400)</f>
        <v>16</v>
      </c>
      <c r="O400" s="43">
        <f>L400/C400*100</f>
        <v>16.160000000000004</v>
      </c>
      <c r="P400" s="42" t="s">
        <v>0</v>
      </c>
      <c r="Q400" s="41">
        <v>407471.152</v>
      </c>
      <c r="R400" s="41">
        <v>3660007.1779999998</v>
      </c>
    </row>
    <row r="401" spans="1:18" x14ac:dyDescent="0.25">
      <c r="A401" s="49" t="s">
        <v>856</v>
      </c>
      <c r="B401" s="48" t="s">
        <v>842</v>
      </c>
      <c r="C401" s="47">
        <v>50</v>
      </c>
      <c r="D401" s="46">
        <v>20</v>
      </c>
      <c r="E401" s="44">
        <v>23</v>
      </c>
      <c r="F401" s="44">
        <f>1.8*E401+32</f>
        <v>73.400000000000006</v>
      </c>
      <c r="G401" s="45">
        <v>18</v>
      </c>
      <c r="H401" s="44">
        <f>IF(F401&gt;68,G401+(F401-68)*0.2,Y432-(68-F401)*0.2)</f>
        <v>19.080000000000002</v>
      </c>
      <c r="I401" s="44">
        <v>23</v>
      </c>
      <c r="J401" s="44">
        <f>1.8*I401+32</f>
        <v>73.400000000000006</v>
      </c>
      <c r="K401" s="45">
        <v>9</v>
      </c>
      <c r="L401" s="44">
        <f>IF(J401&gt;68,K401+(J401-68)*0.2,K401-(68-J401)*0.2)</f>
        <v>10.080000000000002</v>
      </c>
      <c r="M401" s="43">
        <f>(C401-H401)/C401*100</f>
        <v>61.839999999999996</v>
      </c>
      <c r="N401" s="43">
        <f>100-(M401+O401)</f>
        <v>18</v>
      </c>
      <c r="O401" s="43">
        <f>L401/C401*100</f>
        <v>20.160000000000004</v>
      </c>
      <c r="P401" s="42" t="s">
        <v>2</v>
      </c>
      <c r="Q401" s="41">
        <v>407471.152</v>
      </c>
      <c r="R401" s="41">
        <v>3660007.1779999998</v>
      </c>
    </row>
    <row r="402" spans="1:18" x14ac:dyDescent="0.25">
      <c r="A402" s="49" t="s">
        <v>856</v>
      </c>
      <c r="B402" s="48" t="s">
        <v>841</v>
      </c>
      <c r="C402" s="47">
        <v>50</v>
      </c>
      <c r="D402" s="46">
        <v>20</v>
      </c>
      <c r="E402" s="44">
        <v>23</v>
      </c>
      <c r="F402" s="44">
        <f>1.8*E402+32</f>
        <v>73.400000000000006</v>
      </c>
      <c r="G402" s="45">
        <v>20</v>
      </c>
      <c r="H402" s="44">
        <f>IF(F402&gt;68,G402+(F402-68)*0.2,Y433-(68-F402)*0.2)</f>
        <v>21.080000000000002</v>
      </c>
      <c r="I402" s="44">
        <v>23</v>
      </c>
      <c r="J402" s="44">
        <f>1.8*I402+32</f>
        <v>73.400000000000006</v>
      </c>
      <c r="K402" s="45">
        <v>10</v>
      </c>
      <c r="L402" s="44">
        <f>IF(J402&gt;68,K402+(J402-68)*0.2,K402-(68-J402)*0.2)</f>
        <v>11.080000000000002</v>
      </c>
      <c r="M402" s="43">
        <f>(C402-H402)/C402*100</f>
        <v>57.839999999999989</v>
      </c>
      <c r="N402" s="43">
        <f>100-(M402+O402)</f>
        <v>20</v>
      </c>
      <c r="O402" s="43">
        <f>L402/C402*100</f>
        <v>22.160000000000004</v>
      </c>
      <c r="P402" s="42" t="s">
        <v>2</v>
      </c>
      <c r="Q402" s="41">
        <v>407471.152</v>
      </c>
      <c r="R402" s="41">
        <v>3660007.1779999998</v>
      </c>
    </row>
    <row r="403" spans="1:18" x14ac:dyDescent="0.25">
      <c r="A403" s="49" t="s">
        <v>856</v>
      </c>
      <c r="B403" s="48" t="s">
        <v>839</v>
      </c>
      <c r="C403" s="47">
        <v>50</v>
      </c>
      <c r="D403" s="46">
        <v>20</v>
      </c>
      <c r="E403" s="44">
        <v>23</v>
      </c>
      <c r="F403" s="44">
        <f>1.8*E403+32</f>
        <v>73.400000000000006</v>
      </c>
      <c r="G403" s="45">
        <v>17</v>
      </c>
      <c r="H403" s="44">
        <f>IF(F403&gt;68,G403+(F403-68)*0.2,Y434-(68-F403)*0.2)</f>
        <v>18.080000000000002</v>
      </c>
      <c r="I403" s="44">
        <v>23</v>
      </c>
      <c r="J403" s="44">
        <f>1.8*I403+32</f>
        <v>73.400000000000006</v>
      </c>
      <c r="K403" s="45">
        <v>8</v>
      </c>
      <c r="L403" s="44">
        <f>IF(J403&gt;68,K403+(J403-68)*0.2,K403-(68-J403)*0.2)</f>
        <v>9.0800000000000018</v>
      </c>
      <c r="M403" s="43">
        <f>(C403-H403)/C403*100</f>
        <v>63.839999999999996</v>
      </c>
      <c r="N403" s="43">
        <f>100-(M403+O403)</f>
        <v>18</v>
      </c>
      <c r="O403" s="43">
        <f>L403/C403*100</f>
        <v>18.160000000000004</v>
      </c>
      <c r="P403" s="42" t="s">
        <v>0</v>
      </c>
      <c r="Q403" s="41">
        <v>407471.152</v>
      </c>
      <c r="R403" s="41">
        <v>3660007.1779999998</v>
      </c>
    </row>
    <row r="404" spans="1:18" x14ac:dyDescent="0.25">
      <c r="A404" s="61"/>
      <c r="B404" s="58"/>
      <c r="C404" s="58"/>
      <c r="D404" s="58"/>
      <c r="E404" s="58"/>
      <c r="F404" s="58"/>
      <c r="G404" s="60"/>
      <c r="H404" s="58"/>
      <c r="I404" s="58"/>
      <c r="J404" s="58"/>
      <c r="K404" s="60"/>
      <c r="L404" s="58"/>
      <c r="M404" s="59"/>
      <c r="N404" s="59"/>
      <c r="O404" s="59"/>
      <c r="P404" s="58"/>
    </row>
    <row r="405" spans="1:18" x14ac:dyDescent="0.25">
      <c r="A405" s="57"/>
      <c r="B405" s="56"/>
      <c r="C405" s="55"/>
      <c r="D405" s="54"/>
      <c r="E405" s="52"/>
      <c r="F405" s="52"/>
      <c r="G405" s="53"/>
      <c r="H405" s="52"/>
      <c r="I405" s="52"/>
      <c r="J405" s="52"/>
      <c r="K405" s="53"/>
      <c r="L405" s="52"/>
      <c r="M405" s="51"/>
      <c r="N405" s="51"/>
      <c r="O405" s="51"/>
      <c r="P405" s="50"/>
      <c r="Q405" s="5" t="s">
        <v>4</v>
      </c>
      <c r="R405" s="5" t="s">
        <v>3</v>
      </c>
    </row>
    <row r="406" spans="1:18" x14ac:dyDescent="0.25">
      <c r="A406" s="49">
        <v>1616</v>
      </c>
      <c r="B406" s="48" t="s">
        <v>845</v>
      </c>
      <c r="C406" s="47">
        <v>50</v>
      </c>
      <c r="D406" s="46">
        <v>20</v>
      </c>
      <c r="E406" s="44">
        <v>23</v>
      </c>
      <c r="F406" s="44">
        <f>1.8*E406+32</f>
        <v>73.400000000000006</v>
      </c>
      <c r="G406" s="45">
        <v>16</v>
      </c>
      <c r="H406" s="44">
        <f>IF(F406&gt;68,G406+(F406-68)*0.2,#REF!-(68-F406)*0.2)</f>
        <v>17.080000000000002</v>
      </c>
      <c r="I406" s="44">
        <v>23</v>
      </c>
      <c r="J406" s="44">
        <f>1.8*I406+32</f>
        <v>73.400000000000006</v>
      </c>
      <c r="K406" s="45">
        <v>9</v>
      </c>
      <c r="L406" s="44">
        <f>IF(J406&gt;68,K406+(J406-68)*0.2,K406-(68-J406)*0.2)</f>
        <v>10.080000000000002</v>
      </c>
      <c r="M406" s="43">
        <f>(C406-H406)/C406*100</f>
        <v>65.84</v>
      </c>
      <c r="N406" s="43">
        <f>100-(M406+O406)</f>
        <v>14</v>
      </c>
      <c r="O406" s="43">
        <f>L406/C406*100</f>
        <v>20.160000000000004</v>
      </c>
      <c r="P406" s="42" t="s">
        <v>2</v>
      </c>
      <c r="Q406" s="41">
        <v>407452.94799999997</v>
      </c>
      <c r="R406" s="41">
        <v>3659895.594</v>
      </c>
    </row>
    <row r="407" spans="1:18" x14ac:dyDescent="0.25">
      <c r="A407" s="49">
        <v>1616</v>
      </c>
      <c r="B407" s="48" t="s">
        <v>844</v>
      </c>
      <c r="C407" s="47">
        <v>50</v>
      </c>
      <c r="D407" s="46">
        <v>20</v>
      </c>
      <c r="E407" s="44">
        <v>23</v>
      </c>
      <c r="F407" s="44">
        <f>1.8*E407+32</f>
        <v>73.400000000000006</v>
      </c>
      <c r="G407" s="45">
        <v>19</v>
      </c>
      <c r="H407" s="44">
        <f>IF(F407&gt;68,G407+(F407-68)*0.2,Y438-(68-F407)*0.2)</f>
        <v>20.080000000000002</v>
      </c>
      <c r="I407" s="44">
        <v>23</v>
      </c>
      <c r="J407" s="44">
        <f>1.8*I407+32</f>
        <v>73.400000000000006</v>
      </c>
      <c r="K407" s="45">
        <v>8</v>
      </c>
      <c r="L407" s="44">
        <f>IF(J407&gt;68,K407+(J407-68)*0.2,K407-(68-J407)*0.2)</f>
        <v>9.0800000000000018</v>
      </c>
      <c r="M407" s="43">
        <f>(C407-H407)/C407*100</f>
        <v>59.839999999999996</v>
      </c>
      <c r="N407" s="43">
        <f>100-(M407+O407)</f>
        <v>22</v>
      </c>
      <c r="O407" s="43">
        <f>L407/C407*100</f>
        <v>18.160000000000004</v>
      </c>
      <c r="P407" s="42" t="s">
        <v>0</v>
      </c>
      <c r="Q407" s="41">
        <v>407452.94799999997</v>
      </c>
      <c r="R407" s="41">
        <v>3659895.594</v>
      </c>
    </row>
    <row r="408" spans="1:18" x14ac:dyDescent="0.25">
      <c r="A408" s="49">
        <v>1616</v>
      </c>
      <c r="B408" s="48" t="s">
        <v>843</v>
      </c>
      <c r="C408" s="47">
        <v>50</v>
      </c>
      <c r="D408" s="46">
        <v>20</v>
      </c>
      <c r="E408" s="44">
        <v>23</v>
      </c>
      <c r="F408" s="44">
        <f>1.8*E408+32</f>
        <v>73.400000000000006</v>
      </c>
      <c r="G408" s="45">
        <v>12</v>
      </c>
      <c r="H408" s="44">
        <f>IF(F408&gt;68,G408+(F408-68)*0.2,Y439-(68-F408)*0.2)</f>
        <v>13.080000000000002</v>
      </c>
      <c r="I408" s="44">
        <v>23</v>
      </c>
      <c r="J408" s="44">
        <f>1.8*I408+32</f>
        <v>73.400000000000006</v>
      </c>
      <c r="K408" s="45">
        <v>5</v>
      </c>
      <c r="L408" s="44">
        <f>IF(J408&gt;68,K408+(J408-68)*0.2,K408-(68-J408)*0.2)</f>
        <v>6.080000000000001</v>
      </c>
      <c r="M408" s="43">
        <f>(C408-H408)/C408*100</f>
        <v>73.84</v>
      </c>
      <c r="N408" s="43">
        <f>100-(M408+O408)</f>
        <v>14</v>
      </c>
      <c r="O408" s="43">
        <f>L408/C408*100</f>
        <v>12.160000000000002</v>
      </c>
      <c r="P408" s="42" t="s">
        <v>0</v>
      </c>
      <c r="Q408" s="41">
        <v>407452.94799999997</v>
      </c>
      <c r="R408" s="41">
        <v>3659895.594</v>
      </c>
    </row>
    <row r="409" spans="1:18" x14ac:dyDescent="0.25">
      <c r="A409" s="49">
        <v>1616</v>
      </c>
      <c r="B409" s="48" t="s">
        <v>842</v>
      </c>
      <c r="C409" s="47">
        <v>50</v>
      </c>
      <c r="D409" s="46">
        <v>20</v>
      </c>
      <c r="E409" s="44">
        <v>23</v>
      </c>
      <c r="F409" s="44">
        <f>1.8*E409+32</f>
        <v>73.400000000000006</v>
      </c>
      <c r="G409" s="45">
        <v>14</v>
      </c>
      <c r="H409" s="44">
        <f>IF(F409&gt;68,G409+(F409-68)*0.2,Y440-(68-F409)*0.2)</f>
        <v>15.080000000000002</v>
      </c>
      <c r="I409" s="44">
        <v>23</v>
      </c>
      <c r="J409" s="44">
        <f>1.8*I409+32</f>
        <v>73.400000000000006</v>
      </c>
      <c r="K409" s="45">
        <v>6</v>
      </c>
      <c r="L409" s="44">
        <f>IF(J409&gt;68,K409+(J409-68)*0.2,K409-(68-J409)*0.2)</f>
        <v>7.080000000000001</v>
      </c>
      <c r="M409" s="43">
        <f>(C409-H409)/C409*100</f>
        <v>69.84</v>
      </c>
      <c r="N409" s="43">
        <f>100-(M409+O409)</f>
        <v>16</v>
      </c>
      <c r="O409" s="43">
        <f>L409/C409*100</f>
        <v>14.160000000000004</v>
      </c>
      <c r="P409" s="42" t="s">
        <v>0</v>
      </c>
      <c r="Q409" s="41">
        <v>407452.94799999997</v>
      </c>
      <c r="R409" s="41">
        <v>3659895.594</v>
      </c>
    </row>
    <row r="410" spans="1:18" x14ac:dyDescent="0.25">
      <c r="A410" s="49">
        <v>1616</v>
      </c>
      <c r="B410" s="48" t="s">
        <v>841</v>
      </c>
      <c r="C410" s="47">
        <v>50</v>
      </c>
      <c r="D410" s="46">
        <v>20</v>
      </c>
      <c r="E410" s="44">
        <v>23</v>
      </c>
      <c r="F410" s="44">
        <f>1.8*E410+32</f>
        <v>73.400000000000006</v>
      </c>
      <c r="G410" s="45">
        <v>15</v>
      </c>
      <c r="H410" s="44">
        <f>IF(F410&gt;68,G410+(F410-68)*0.2,Y441-(68-F410)*0.2)</f>
        <v>16.080000000000002</v>
      </c>
      <c r="I410" s="44">
        <v>23</v>
      </c>
      <c r="J410" s="44">
        <f>1.8*I410+32</f>
        <v>73.400000000000006</v>
      </c>
      <c r="K410" s="45">
        <v>6</v>
      </c>
      <c r="L410" s="44">
        <f>IF(J410&gt;68,K410+(J410-68)*0.2,K410-(68-J410)*0.2)</f>
        <v>7.080000000000001</v>
      </c>
      <c r="M410" s="43">
        <f>(C410-H410)/C410*100</f>
        <v>67.84</v>
      </c>
      <c r="N410" s="43">
        <f>100-(M410+O410)</f>
        <v>18</v>
      </c>
      <c r="O410" s="43">
        <f>L410/C410*100</f>
        <v>14.160000000000004</v>
      </c>
      <c r="P410" s="42" t="s">
        <v>0</v>
      </c>
      <c r="Q410" s="41">
        <v>407452.94799999997</v>
      </c>
      <c r="R410" s="41">
        <v>3659895.594</v>
      </c>
    </row>
    <row r="411" spans="1:18" x14ac:dyDescent="0.25">
      <c r="A411" s="49">
        <v>1616</v>
      </c>
      <c r="B411" s="48" t="s">
        <v>839</v>
      </c>
      <c r="C411" s="47">
        <v>50</v>
      </c>
      <c r="D411" s="46">
        <v>20</v>
      </c>
      <c r="E411" s="44">
        <v>23</v>
      </c>
      <c r="F411" s="44">
        <f>1.8*E411+32</f>
        <v>73.400000000000006</v>
      </c>
      <c r="G411" s="45">
        <v>19</v>
      </c>
      <c r="H411" s="44">
        <f>IF(F411&gt;68,G411+(F411-68)*0.2,Y442-(68-F411)*0.2)</f>
        <v>20.080000000000002</v>
      </c>
      <c r="I411" s="44">
        <v>23</v>
      </c>
      <c r="J411" s="44">
        <f>1.8*I411+32</f>
        <v>73.400000000000006</v>
      </c>
      <c r="K411" s="45">
        <v>5</v>
      </c>
      <c r="L411" s="44">
        <f>IF(J411&gt;68,K411+(J411-68)*0.2,K411-(68-J411)*0.2)</f>
        <v>6.080000000000001</v>
      </c>
      <c r="M411" s="43">
        <f>(C411-H411)/C411*100</f>
        <v>59.839999999999996</v>
      </c>
      <c r="N411" s="43">
        <f>100-(M411+O411)</f>
        <v>28</v>
      </c>
      <c r="O411" s="43">
        <f>L411/C411*100</f>
        <v>12.160000000000002</v>
      </c>
      <c r="P411" s="42" t="s">
        <v>0</v>
      </c>
      <c r="Q411" s="41">
        <v>407452.94799999997</v>
      </c>
      <c r="R411" s="41">
        <v>3659895.594</v>
      </c>
    </row>
    <row r="412" spans="1:18" x14ac:dyDescent="0.25">
      <c r="A412" s="61"/>
      <c r="B412" s="58"/>
      <c r="C412" s="58"/>
      <c r="D412" s="58"/>
      <c r="E412" s="58"/>
      <c r="F412" s="58"/>
      <c r="G412" s="60"/>
      <c r="H412" s="58"/>
      <c r="I412" s="58"/>
      <c r="J412" s="58"/>
      <c r="K412" s="60"/>
      <c r="L412" s="58"/>
      <c r="M412" s="59"/>
      <c r="N412" s="59"/>
      <c r="O412" s="59"/>
      <c r="P412" s="58"/>
    </row>
    <row r="413" spans="1:18" x14ac:dyDescent="0.25">
      <c r="A413" s="57"/>
      <c r="B413" s="56"/>
      <c r="C413" s="55"/>
      <c r="D413" s="54"/>
      <c r="E413" s="52"/>
      <c r="F413" s="52"/>
      <c r="G413" s="53"/>
      <c r="H413" s="52"/>
      <c r="I413" s="52"/>
      <c r="J413" s="52"/>
      <c r="K413" s="53"/>
      <c r="L413" s="52"/>
      <c r="M413" s="51"/>
      <c r="N413" s="51"/>
      <c r="O413" s="51"/>
      <c r="P413" s="50"/>
      <c r="Q413" s="5" t="s">
        <v>4</v>
      </c>
      <c r="R413" s="5" t="s">
        <v>3</v>
      </c>
    </row>
    <row r="414" spans="1:18" x14ac:dyDescent="0.25">
      <c r="A414" s="49">
        <v>1638</v>
      </c>
      <c r="B414" s="48" t="s">
        <v>845</v>
      </c>
      <c r="C414" s="47">
        <v>50</v>
      </c>
      <c r="D414" s="46">
        <v>20</v>
      </c>
      <c r="E414" s="44">
        <v>23</v>
      </c>
      <c r="F414" s="44">
        <f>1.8*E414+32</f>
        <v>73.400000000000006</v>
      </c>
      <c r="G414" s="45">
        <v>16</v>
      </c>
      <c r="H414" s="44">
        <f>IF(F414&gt;68,G414+(F414-68)*0.2,#REF!-(68-F414)*0.2)</f>
        <v>17.080000000000002</v>
      </c>
      <c r="I414" s="44">
        <v>23</v>
      </c>
      <c r="J414" s="44">
        <f>1.8*I414+32</f>
        <v>73.400000000000006</v>
      </c>
      <c r="K414" s="45">
        <v>8</v>
      </c>
      <c r="L414" s="44">
        <f>IF(J414&gt;68,K414+(J414-68)*0.2,K414-(68-J414)*0.2)</f>
        <v>9.0800000000000018</v>
      </c>
      <c r="M414" s="43">
        <f>(C414-H414)/C414*100</f>
        <v>65.84</v>
      </c>
      <c r="N414" s="43">
        <f>100-(M414+O414)</f>
        <v>16</v>
      </c>
      <c r="O414" s="43">
        <f>L414/C414*100</f>
        <v>18.160000000000004</v>
      </c>
      <c r="P414" s="42" t="s">
        <v>0</v>
      </c>
      <c r="Q414" s="41">
        <v>407454.35200000001</v>
      </c>
      <c r="R414" s="41">
        <v>3659973.5649999999</v>
      </c>
    </row>
    <row r="415" spans="1:18" x14ac:dyDescent="0.25">
      <c r="A415" s="49">
        <v>1638</v>
      </c>
      <c r="B415" s="48" t="s">
        <v>844</v>
      </c>
      <c r="C415" s="47">
        <v>50</v>
      </c>
      <c r="D415" s="46">
        <v>20</v>
      </c>
      <c r="E415" s="44">
        <v>23</v>
      </c>
      <c r="F415" s="44">
        <f>1.8*E415+32</f>
        <v>73.400000000000006</v>
      </c>
      <c r="G415" s="45">
        <v>18</v>
      </c>
      <c r="H415" s="44">
        <f>IF(F415&gt;68,G415+(F415-68)*0.2,Y446-(68-F415)*0.2)</f>
        <v>19.080000000000002</v>
      </c>
      <c r="I415" s="44">
        <v>23</v>
      </c>
      <c r="J415" s="44">
        <f>1.8*I415+32</f>
        <v>73.400000000000006</v>
      </c>
      <c r="K415" s="45">
        <v>9</v>
      </c>
      <c r="L415" s="44">
        <f>IF(J415&gt;68,K415+(J415-68)*0.2,K415-(68-J415)*0.2)</f>
        <v>10.080000000000002</v>
      </c>
      <c r="M415" s="43">
        <f>(C415-H415)/C415*100</f>
        <v>61.839999999999996</v>
      </c>
      <c r="N415" s="43">
        <f>100-(M415+O415)</f>
        <v>18</v>
      </c>
      <c r="O415" s="43">
        <f>L415/C415*100</f>
        <v>20.160000000000004</v>
      </c>
      <c r="P415" s="42" t="s">
        <v>2</v>
      </c>
      <c r="Q415" s="41">
        <v>407454.35200000001</v>
      </c>
      <c r="R415" s="41">
        <v>3659973.5649999999</v>
      </c>
    </row>
    <row r="416" spans="1:18" x14ac:dyDescent="0.25">
      <c r="A416" s="49">
        <v>1638</v>
      </c>
      <c r="B416" s="48" t="s">
        <v>843</v>
      </c>
      <c r="C416" s="47">
        <v>50</v>
      </c>
      <c r="D416" s="46">
        <v>20</v>
      </c>
      <c r="E416" s="44">
        <v>23</v>
      </c>
      <c r="F416" s="44">
        <f>1.8*E416+32</f>
        <v>73.400000000000006</v>
      </c>
      <c r="G416" s="45">
        <v>15</v>
      </c>
      <c r="H416" s="44">
        <f>IF(F416&gt;68,G416+(F416-68)*0.2,Y447-(68-F416)*0.2)</f>
        <v>16.080000000000002</v>
      </c>
      <c r="I416" s="44">
        <v>23</v>
      </c>
      <c r="J416" s="44">
        <f>1.8*I416+32</f>
        <v>73.400000000000006</v>
      </c>
      <c r="K416" s="45">
        <v>6</v>
      </c>
      <c r="L416" s="44">
        <f>IF(J416&gt;68,K416+(J416-68)*0.2,K416-(68-J416)*0.2)</f>
        <v>7.080000000000001</v>
      </c>
      <c r="M416" s="43">
        <f>(C416-H416)/C416*100</f>
        <v>67.84</v>
      </c>
      <c r="N416" s="43">
        <f>100-(M416+O416)</f>
        <v>18</v>
      </c>
      <c r="O416" s="43">
        <f>L416/C416*100</f>
        <v>14.160000000000004</v>
      </c>
      <c r="P416" s="42" t="s">
        <v>0</v>
      </c>
      <c r="Q416" s="41">
        <v>407454.35200000001</v>
      </c>
      <c r="R416" s="41">
        <v>3659973.5649999999</v>
      </c>
    </row>
    <row r="417" spans="1:18" x14ac:dyDescent="0.25">
      <c r="A417" s="49">
        <v>1638</v>
      </c>
      <c r="B417" s="48" t="s">
        <v>842</v>
      </c>
      <c r="C417" s="47">
        <v>50</v>
      </c>
      <c r="D417" s="46">
        <v>20</v>
      </c>
      <c r="E417" s="44">
        <v>23</v>
      </c>
      <c r="F417" s="44">
        <f>1.8*E417+32</f>
        <v>73.400000000000006</v>
      </c>
      <c r="G417" s="45">
        <v>21</v>
      </c>
      <c r="H417" s="44">
        <f>IF(F417&gt;68,G417+(F417-68)*0.2,Y448-(68-F417)*0.2)</f>
        <v>22.080000000000002</v>
      </c>
      <c r="I417" s="44">
        <v>23</v>
      </c>
      <c r="J417" s="44">
        <f>1.8*I417+32</f>
        <v>73.400000000000006</v>
      </c>
      <c r="K417" s="45">
        <v>11</v>
      </c>
      <c r="L417" s="44">
        <f>IF(J417&gt;68,K417+(J417-68)*0.2,K417-(68-J417)*0.2)</f>
        <v>12.080000000000002</v>
      </c>
      <c r="M417" s="43">
        <f>(C417-H417)/C417*100</f>
        <v>55.84</v>
      </c>
      <c r="N417" s="43">
        <f>100-(M417+O417)</f>
        <v>20</v>
      </c>
      <c r="O417" s="43">
        <f>L417/C417*100</f>
        <v>24.160000000000004</v>
      </c>
      <c r="P417" s="42" t="s">
        <v>2</v>
      </c>
      <c r="Q417" s="41">
        <v>407454.35200000001</v>
      </c>
      <c r="R417" s="41">
        <v>3659973.5649999999</v>
      </c>
    </row>
    <row r="418" spans="1:18" x14ac:dyDescent="0.25">
      <c r="A418" s="49">
        <v>1638</v>
      </c>
      <c r="B418" s="48" t="s">
        <v>841</v>
      </c>
      <c r="C418" s="47">
        <v>50</v>
      </c>
      <c r="D418" s="46">
        <v>20</v>
      </c>
      <c r="E418" s="44">
        <v>23</v>
      </c>
      <c r="F418" s="44">
        <f>1.8*E418+32</f>
        <v>73.400000000000006</v>
      </c>
      <c r="G418" s="45">
        <v>17</v>
      </c>
      <c r="H418" s="44">
        <f>IF(F418&gt;68,G418+(F418-68)*0.2,Y449-(68-F418)*0.2)</f>
        <v>18.080000000000002</v>
      </c>
      <c r="I418" s="44">
        <v>23</v>
      </c>
      <c r="J418" s="44">
        <f>1.8*I418+32</f>
        <v>73.400000000000006</v>
      </c>
      <c r="K418" s="45">
        <v>8</v>
      </c>
      <c r="L418" s="44">
        <f>IF(J418&gt;68,K418+(J418-68)*0.2,K418-(68-J418)*0.2)</f>
        <v>9.0800000000000018</v>
      </c>
      <c r="M418" s="43">
        <f>(C418-H418)/C418*100</f>
        <v>63.839999999999996</v>
      </c>
      <c r="N418" s="43">
        <f>100-(M418+O418)</f>
        <v>18</v>
      </c>
      <c r="O418" s="43">
        <f>L418/C418*100</f>
        <v>18.160000000000004</v>
      </c>
      <c r="P418" s="42" t="s">
        <v>0</v>
      </c>
      <c r="Q418" s="41">
        <v>407454.35200000001</v>
      </c>
      <c r="R418" s="41">
        <v>3659973.5649999999</v>
      </c>
    </row>
    <row r="419" spans="1:18" x14ac:dyDescent="0.25">
      <c r="A419" s="49">
        <v>1638</v>
      </c>
      <c r="B419" s="48" t="s">
        <v>839</v>
      </c>
      <c r="C419" s="47">
        <v>50</v>
      </c>
      <c r="D419" s="46">
        <v>20</v>
      </c>
      <c r="E419" s="44">
        <v>23</v>
      </c>
      <c r="F419" s="44">
        <f>1.8*E419+32</f>
        <v>73.400000000000006</v>
      </c>
      <c r="G419" s="45">
        <v>13</v>
      </c>
      <c r="H419" s="44">
        <f>IF(F419&gt;68,G419+(F419-68)*0.2,Y450-(68-F419)*0.2)</f>
        <v>14.080000000000002</v>
      </c>
      <c r="I419" s="44">
        <v>23</v>
      </c>
      <c r="J419" s="44">
        <f>1.8*I419+32</f>
        <v>73.400000000000006</v>
      </c>
      <c r="K419" s="45">
        <v>5</v>
      </c>
      <c r="L419" s="44">
        <f>IF(J419&gt;68,K419+(J419-68)*0.2,K419-(68-J419)*0.2)</f>
        <v>6.080000000000001</v>
      </c>
      <c r="M419" s="43">
        <f>(C419-H419)/C419*100</f>
        <v>71.84</v>
      </c>
      <c r="N419" s="43">
        <f>100-(M419+O419)</f>
        <v>16</v>
      </c>
      <c r="O419" s="43">
        <f>L419/C419*100</f>
        <v>12.160000000000002</v>
      </c>
      <c r="P419" s="42" t="s">
        <v>0</v>
      </c>
      <c r="Q419" s="41">
        <v>407454.35200000001</v>
      </c>
      <c r="R419" s="41">
        <v>3659973.5649999999</v>
      </c>
    </row>
    <row r="420" spans="1:18" x14ac:dyDescent="0.25">
      <c r="A420" s="61"/>
      <c r="B420" s="58"/>
      <c r="C420" s="58"/>
      <c r="D420" s="58"/>
      <c r="E420" s="58"/>
      <c r="F420" s="58"/>
      <c r="G420" s="60"/>
      <c r="H420" s="58"/>
      <c r="I420" s="58"/>
      <c r="J420" s="58"/>
      <c r="K420" s="60"/>
      <c r="L420" s="58"/>
      <c r="M420" s="59"/>
      <c r="N420" s="59"/>
      <c r="O420" s="59"/>
      <c r="P420" s="58"/>
    </row>
    <row r="421" spans="1:18" x14ac:dyDescent="0.25">
      <c r="A421" s="57"/>
      <c r="B421" s="56"/>
      <c r="C421" s="55"/>
      <c r="D421" s="54"/>
      <c r="E421" s="52"/>
      <c r="F421" s="52"/>
      <c r="G421" s="53"/>
      <c r="H421" s="52"/>
      <c r="I421" s="52"/>
      <c r="J421" s="52"/>
      <c r="K421" s="53"/>
      <c r="L421" s="52"/>
      <c r="M421" s="51"/>
      <c r="N421" s="51"/>
      <c r="O421" s="51"/>
      <c r="P421" s="50"/>
      <c r="Q421" s="5" t="s">
        <v>4</v>
      </c>
      <c r="R421" s="5" t="s">
        <v>3</v>
      </c>
    </row>
    <row r="422" spans="1:18" x14ac:dyDescent="0.25">
      <c r="A422" s="49" t="s">
        <v>855</v>
      </c>
      <c r="B422" s="48" t="s">
        <v>845</v>
      </c>
      <c r="C422" s="47">
        <v>50</v>
      </c>
      <c r="D422" s="46">
        <v>20</v>
      </c>
      <c r="E422" s="44">
        <v>23</v>
      </c>
      <c r="F422" s="44">
        <f>1.8*E422+32</f>
        <v>73.400000000000006</v>
      </c>
      <c r="G422" s="45">
        <v>16</v>
      </c>
      <c r="H422" s="44">
        <f>IF(F422&gt;68,G422+(F422-68)*0.2,Y454-(68-F422)*0.2)</f>
        <v>17.080000000000002</v>
      </c>
      <c r="I422" s="44">
        <v>23</v>
      </c>
      <c r="J422" s="44">
        <f>1.8*I422+32</f>
        <v>73.400000000000006</v>
      </c>
      <c r="K422" s="45">
        <v>8</v>
      </c>
      <c r="L422" s="44">
        <f>IF(J422&gt;68,K422+(J422-68)*0.2,K422-(68-J422)*0.2)</f>
        <v>9.0800000000000018</v>
      </c>
      <c r="M422" s="43">
        <f>(C422-H422)/C422*100</f>
        <v>65.84</v>
      </c>
      <c r="N422" s="43">
        <f>100-(M422+O422)</f>
        <v>16</v>
      </c>
      <c r="O422" s="43">
        <f>L422/C422*100</f>
        <v>18.160000000000004</v>
      </c>
      <c r="P422" s="42" t="s">
        <v>0</v>
      </c>
      <c r="Q422" s="41">
        <v>407454.35200000001</v>
      </c>
      <c r="R422" s="41">
        <v>3659973.5649999999</v>
      </c>
    </row>
    <row r="423" spans="1:18" x14ac:dyDescent="0.25">
      <c r="A423" s="49" t="s">
        <v>855</v>
      </c>
      <c r="B423" s="48" t="s">
        <v>844</v>
      </c>
      <c r="C423" s="47">
        <v>50</v>
      </c>
      <c r="D423" s="46">
        <v>20</v>
      </c>
      <c r="E423" s="44">
        <v>23</v>
      </c>
      <c r="F423" s="44">
        <f>1.8*E423+32</f>
        <v>73.400000000000006</v>
      </c>
      <c r="G423" s="45">
        <v>16</v>
      </c>
      <c r="H423" s="44">
        <f>IF(F423&gt;68,G423+(F423-68)*0.2,#REF!-(68-F423)*0.2)</f>
        <v>17.080000000000002</v>
      </c>
      <c r="I423" s="44">
        <v>23</v>
      </c>
      <c r="J423" s="44">
        <f>1.8*I423+32</f>
        <v>73.400000000000006</v>
      </c>
      <c r="K423" s="45">
        <v>8</v>
      </c>
      <c r="L423" s="44">
        <f>IF(J423&gt;68,K423+(J423-68)*0.2,K423-(68-J423)*0.2)</f>
        <v>9.0800000000000018</v>
      </c>
      <c r="M423" s="43">
        <f>(C423-H423)/C423*100</f>
        <v>65.84</v>
      </c>
      <c r="N423" s="43">
        <f>100-(M423+O423)</f>
        <v>16</v>
      </c>
      <c r="O423" s="43">
        <f>L423/C423*100</f>
        <v>18.160000000000004</v>
      </c>
      <c r="P423" s="42" t="s">
        <v>0</v>
      </c>
      <c r="Q423" s="41">
        <v>407454.35200000001</v>
      </c>
      <c r="R423" s="41">
        <v>3659973.5649999999</v>
      </c>
    </row>
    <row r="424" spans="1:18" x14ac:dyDescent="0.25">
      <c r="A424" s="49" t="s">
        <v>855</v>
      </c>
      <c r="B424" s="48" t="s">
        <v>843</v>
      </c>
      <c r="C424" s="47">
        <v>50</v>
      </c>
      <c r="D424" s="46">
        <v>20</v>
      </c>
      <c r="E424" s="44">
        <v>23</v>
      </c>
      <c r="F424" s="44">
        <f>1.8*E424+32</f>
        <v>73.400000000000006</v>
      </c>
      <c r="G424" s="45">
        <v>11</v>
      </c>
      <c r="H424" s="44">
        <f>IF(F424&gt;68,G424+(F424-68)*0.2,Y455-(68-F424)*0.2)</f>
        <v>12.080000000000002</v>
      </c>
      <c r="I424" s="44">
        <v>23</v>
      </c>
      <c r="J424" s="44">
        <f>1.8*I424+32</f>
        <v>73.400000000000006</v>
      </c>
      <c r="K424" s="45">
        <v>4</v>
      </c>
      <c r="L424" s="44">
        <f>IF(J424&gt;68,K424+(J424-68)*0.2,K424-(68-J424)*0.2)</f>
        <v>5.080000000000001</v>
      </c>
      <c r="M424" s="43">
        <f>(C424-H424)/C424*100</f>
        <v>75.84</v>
      </c>
      <c r="N424" s="43">
        <f>100-(M424+O424)</f>
        <v>14</v>
      </c>
      <c r="O424" s="43">
        <f>L424/C424*100</f>
        <v>10.160000000000002</v>
      </c>
      <c r="P424" s="42" t="s">
        <v>0</v>
      </c>
      <c r="Q424" s="41">
        <v>407454.35200000001</v>
      </c>
      <c r="R424" s="41">
        <v>3659973.5649999999</v>
      </c>
    </row>
    <row r="425" spans="1:18" x14ac:dyDescent="0.25">
      <c r="A425" s="49" t="s">
        <v>855</v>
      </c>
      <c r="B425" s="48" t="s">
        <v>842</v>
      </c>
      <c r="C425" s="47">
        <v>50</v>
      </c>
      <c r="D425" s="46">
        <v>20</v>
      </c>
      <c r="E425" s="44">
        <v>23</v>
      </c>
      <c r="F425" s="44">
        <f>1.8*E425+32</f>
        <v>73.400000000000006</v>
      </c>
      <c r="G425" s="45">
        <v>16</v>
      </c>
      <c r="H425" s="44">
        <f>IF(F425&gt;68,G425+(F425-68)*0.2,Y456-(68-F425)*0.2)</f>
        <v>17.080000000000002</v>
      </c>
      <c r="I425" s="44">
        <v>23</v>
      </c>
      <c r="J425" s="44">
        <f>1.8*I425+32</f>
        <v>73.400000000000006</v>
      </c>
      <c r="K425" s="45">
        <v>7</v>
      </c>
      <c r="L425" s="44">
        <f>IF(J425&gt;68,K425+(J425-68)*0.2,K425-(68-J425)*0.2)</f>
        <v>8.0800000000000018</v>
      </c>
      <c r="M425" s="43">
        <f>(C425-H425)/C425*100</f>
        <v>65.84</v>
      </c>
      <c r="N425" s="43">
        <f>100-(M425+O425)</f>
        <v>18</v>
      </c>
      <c r="O425" s="43">
        <f>L425/C425*100</f>
        <v>16.160000000000004</v>
      </c>
      <c r="P425" s="42" t="s">
        <v>0</v>
      </c>
      <c r="Q425" s="41">
        <v>407454.35200000001</v>
      </c>
      <c r="R425" s="41">
        <v>3659973.5649999999</v>
      </c>
    </row>
    <row r="426" spans="1:18" x14ac:dyDescent="0.25">
      <c r="A426" s="49" t="s">
        <v>855</v>
      </c>
      <c r="B426" s="48" t="s">
        <v>841</v>
      </c>
      <c r="C426" s="47">
        <v>50</v>
      </c>
      <c r="D426" s="46">
        <v>20</v>
      </c>
      <c r="E426" s="44">
        <v>23</v>
      </c>
      <c r="F426" s="44">
        <f>1.8*E426+32</f>
        <v>73.400000000000006</v>
      </c>
      <c r="G426" s="45">
        <v>17</v>
      </c>
      <c r="H426" s="44">
        <f>IF(F426&gt;68,G426+(F426-68)*0.2,Y457-(68-F426)*0.2)</f>
        <v>18.080000000000002</v>
      </c>
      <c r="I426" s="44">
        <v>23</v>
      </c>
      <c r="J426" s="44">
        <f>1.8*I426+32</f>
        <v>73.400000000000006</v>
      </c>
      <c r="K426" s="45">
        <v>8</v>
      </c>
      <c r="L426" s="44">
        <f>IF(J426&gt;68,K426+(J426-68)*0.2,K426-(68-J426)*0.2)</f>
        <v>9.0800000000000018</v>
      </c>
      <c r="M426" s="43">
        <f>(C426-H426)/C426*100</f>
        <v>63.839999999999996</v>
      </c>
      <c r="N426" s="43">
        <f>100-(M426+O426)</f>
        <v>18</v>
      </c>
      <c r="O426" s="43">
        <f>L426/C426*100</f>
        <v>18.160000000000004</v>
      </c>
      <c r="P426" s="42" t="s">
        <v>0</v>
      </c>
      <c r="Q426" s="41">
        <v>407454.35200000001</v>
      </c>
      <c r="R426" s="41">
        <v>3659973.5649999999</v>
      </c>
    </row>
    <row r="427" spans="1:18" x14ac:dyDescent="0.25">
      <c r="A427" s="49" t="s">
        <v>855</v>
      </c>
      <c r="B427" s="48" t="s">
        <v>839</v>
      </c>
      <c r="C427" s="47">
        <v>50</v>
      </c>
      <c r="D427" s="46">
        <v>20</v>
      </c>
      <c r="E427" s="44">
        <v>23</v>
      </c>
      <c r="F427" s="44">
        <f>1.8*E427+32</f>
        <v>73.400000000000006</v>
      </c>
      <c r="G427" s="45">
        <v>17</v>
      </c>
      <c r="H427" s="44">
        <f>IF(F427&gt;68,G427+(F427-68)*0.2,Y458-(68-F427)*0.2)</f>
        <v>18.080000000000002</v>
      </c>
      <c r="I427" s="44">
        <v>23</v>
      </c>
      <c r="J427" s="44">
        <f>1.8*I427+32</f>
        <v>73.400000000000006</v>
      </c>
      <c r="K427" s="45">
        <v>7</v>
      </c>
      <c r="L427" s="44">
        <f>IF(J427&gt;68,K427+(J427-68)*0.2,K427-(68-J427)*0.2)</f>
        <v>8.0800000000000018</v>
      </c>
      <c r="M427" s="43">
        <f>(C427-H427)/C427*100</f>
        <v>63.839999999999996</v>
      </c>
      <c r="N427" s="43">
        <f>100-(M427+O427)</f>
        <v>20</v>
      </c>
      <c r="O427" s="43">
        <f>L427/C427*100</f>
        <v>16.160000000000004</v>
      </c>
      <c r="P427" s="42" t="s">
        <v>0</v>
      </c>
      <c r="Q427" s="41">
        <v>407454.35200000001</v>
      </c>
      <c r="R427" s="41">
        <v>3659973.5649999999</v>
      </c>
    </row>
    <row r="428" spans="1:18" x14ac:dyDescent="0.25">
      <c r="A428" s="61"/>
      <c r="B428" s="58"/>
      <c r="C428" s="58"/>
      <c r="D428" s="58"/>
      <c r="E428" s="58"/>
      <c r="F428" s="58"/>
      <c r="G428" s="60"/>
      <c r="H428" s="58"/>
      <c r="I428" s="58"/>
      <c r="J428" s="58"/>
      <c r="K428" s="60"/>
      <c r="L428" s="58"/>
      <c r="M428" s="59"/>
      <c r="N428" s="59"/>
      <c r="O428" s="59"/>
      <c r="P428" s="58"/>
    </row>
    <row r="429" spans="1:18" x14ac:dyDescent="0.25">
      <c r="A429" s="57"/>
      <c r="B429" s="56"/>
      <c r="C429" s="55"/>
      <c r="D429" s="54"/>
      <c r="E429" s="52"/>
      <c r="F429" s="52"/>
      <c r="G429" s="53"/>
      <c r="H429" s="52"/>
      <c r="I429" s="52"/>
      <c r="J429" s="52"/>
      <c r="K429" s="53"/>
      <c r="L429" s="52"/>
      <c r="M429" s="51"/>
      <c r="N429" s="51"/>
      <c r="O429" s="51"/>
      <c r="P429" s="50"/>
      <c r="Q429" s="5" t="s">
        <v>4</v>
      </c>
      <c r="R429" s="5" t="s">
        <v>3</v>
      </c>
    </row>
    <row r="430" spans="1:18" x14ac:dyDescent="0.25">
      <c r="A430" s="49">
        <v>1649</v>
      </c>
      <c r="B430" s="48" t="s">
        <v>845</v>
      </c>
      <c r="C430" s="47">
        <v>50</v>
      </c>
      <c r="D430" s="46">
        <v>20</v>
      </c>
      <c r="E430" s="44">
        <v>23</v>
      </c>
      <c r="F430" s="44">
        <f>1.8*E430+32</f>
        <v>73.400000000000006</v>
      </c>
      <c r="G430" s="45">
        <v>18</v>
      </c>
      <c r="H430" s="44">
        <f>IF(F430&gt;68,G430+(F430-68)*0.2,#REF!-(68-F430)*0.2)</f>
        <v>19.080000000000002</v>
      </c>
      <c r="I430" s="44">
        <v>23</v>
      </c>
      <c r="J430" s="44">
        <f>1.8*I430+32</f>
        <v>73.400000000000006</v>
      </c>
      <c r="K430" s="45">
        <v>8</v>
      </c>
      <c r="L430" s="44">
        <f>IF(J430&gt;68,K430+(J430-68)*0.2,K430-(68-J430)*0.2)</f>
        <v>9.0800000000000018</v>
      </c>
      <c r="M430" s="43">
        <f>(C430-H430)/C430*100</f>
        <v>61.839999999999996</v>
      </c>
      <c r="N430" s="43">
        <f>100-(M430+O430)</f>
        <v>20</v>
      </c>
      <c r="O430" s="43">
        <f>L430/C430*100</f>
        <v>18.160000000000004</v>
      </c>
      <c r="P430" s="42" t="s">
        <v>0</v>
      </c>
      <c r="Q430" s="41">
        <v>407454.70500000002</v>
      </c>
      <c r="R430" s="41">
        <v>3660013.0079999999</v>
      </c>
    </row>
    <row r="431" spans="1:18" x14ac:dyDescent="0.25">
      <c r="A431" s="49">
        <v>1649</v>
      </c>
      <c r="B431" s="48" t="s">
        <v>844</v>
      </c>
      <c r="C431" s="47">
        <v>50</v>
      </c>
      <c r="D431" s="46">
        <v>20</v>
      </c>
      <c r="E431" s="44">
        <v>23</v>
      </c>
      <c r="F431" s="44">
        <f>1.8*E431+32</f>
        <v>73.400000000000006</v>
      </c>
      <c r="G431" s="45">
        <v>18</v>
      </c>
      <c r="H431" s="44">
        <f>IF(F431&gt;68,G431+(F431-68)*0.2,Y462-(68-F431)*0.2)</f>
        <v>19.080000000000002</v>
      </c>
      <c r="I431" s="44">
        <v>23</v>
      </c>
      <c r="J431" s="44">
        <f>1.8*I431+32</f>
        <v>73.400000000000006</v>
      </c>
      <c r="K431" s="45">
        <v>9</v>
      </c>
      <c r="L431" s="44">
        <f>IF(J431&gt;68,K431+(J431-68)*0.2,K431-(68-J431)*0.2)</f>
        <v>10.080000000000002</v>
      </c>
      <c r="M431" s="43">
        <f>(C431-H431)/C431*100</f>
        <v>61.839999999999996</v>
      </c>
      <c r="N431" s="43">
        <f>100-(M431+O431)</f>
        <v>18</v>
      </c>
      <c r="O431" s="43">
        <f>L431/C431*100</f>
        <v>20.160000000000004</v>
      </c>
      <c r="P431" s="42" t="s">
        <v>2</v>
      </c>
      <c r="Q431" s="41">
        <v>407454.70500000002</v>
      </c>
      <c r="R431" s="41">
        <v>3660013.0079999999</v>
      </c>
    </row>
    <row r="432" spans="1:18" x14ac:dyDescent="0.25">
      <c r="A432" s="49">
        <v>1649</v>
      </c>
      <c r="B432" s="48" t="s">
        <v>843</v>
      </c>
      <c r="C432" s="47">
        <v>50</v>
      </c>
      <c r="D432" s="46">
        <v>20</v>
      </c>
      <c r="E432" s="44">
        <v>23</v>
      </c>
      <c r="F432" s="44">
        <f>1.8*E432+32</f>
        <v>73.400000000000006</v>
      </c>
      <c r="G432" s="45">
        <v>16</v>
      </c>
      <c r="H432" s="44">
        <f>IF(F432&gt;68,G432+(F432-68)*0.2,Y463-(68-F432)*0.2)</f>
        <v>17.080000000000002</v>
      </c>
      <c r="I432" s="44">
        <v>23</v>
      </c>
      <c r="J432" s="44">
        <f>1.8*I432+32</f>
        <v>73.400000000000006</v>
      </c>
      <c r="K432" s="45">
        <v>8</v>
      </c>
      <c r="L432" s="44">
        <f>IF(J432&gt;68,K432+(J432-68)*0.2,K432-(68-J432)*0.2)</f>
        <v>9.0800000000000018</v>
      </c>
      <c r="M432" s="43">
        <f>(C432-H432)/C432*100</f>
        <v>65.84</v>
      </c>
      <c r="N432" s="43">
        <f>100-(M432+O432)</f>
        <v>16</v>
      </c>
      <c r="O432" s="43">
        <f>L432/C432*100</f>
        <v>18.160000000000004</v>
      </c>
      <c r="P432" s="42" t="s">
        <v>0</v>
      </c>
      <c r="Q432" s="41">
        <v>407454.70500000002</v>
      </c>
      <c r="R432" s="41">
        <v>3660013.0079999999</v>
      </c>
    </row>
    <row r="433" spans="1:18" x14ac:dyDescent="0.25">
      <c r="A433" s="49">
        <v>1649</v>
      </c>
      <c r="B433" s="48" t="s">
        <v>842</v>
      </c>
      <c r="C433" s="47">
        <v>50</v>
      </c>
      <c r="D433" s="46">
        <v>20</v>
      </c>
      <c r="E433" s="44">
        <v>23</v>
      </c>
      <c r="F433" s="44">
        <f>1.8*E433+32</f>
        <v>73.400000000000006</v>
      </c>
      <c r="G433" s="45">
        <v>16</v>
      </c>
      <c r="H433" s="44">
        <f>IF(F433&gt;68,G433+(F433-68)*0.2,Y464-(68-F433)*0.2)</f>
        <v>17.080000000000002</v>
      </c>
      <c r="I433" s="44">
        <v>23</v>
      </c>
      <c r="J433" s="44">
        <f>1.8*I433+32</f>
        <v>73.400000000000006</v>
      </c>
      <c r="K433" s="45">
        <v>8</v>
      </c>
      <c r="L433" s="44">
        <f>IF(J433&gt;68,K433+(J433-68)*0.2,K433-(68-J433)*0.2)</f>
        <v>9.0800000000000018</v>
      </c>
      <c r="M433" s="43">
        <f>(C433-H433)/C433*100</f>
        <v>65.84</v>
      </c>
      <c r="N433" s="43">
        <f>100-(M433+O433)</f>
        <v>16</v>
      </c>
      <c r="O433" s="43">
        <f>L433/C433*100</f>
        <v>18.160000000000004</v>
      </c>
      <c r="P433" s="42" t="s">
        <v>0</v>
      </c>
      <c r="Q433" s="41">
        <v>407454.70500000002</v>
      </c>
      <c r="R433" s="41">
        <v>3660013.0079999999</v>
      </c>
    </row>
    <row r="434" spans="1:18" x14ac:dyDescent="0.25">
      <c r="A434" s="49">
        <v>1649</v>
      </c>
      <c r="B434" s="48" t="s">
        <v>841</v>
      </c>
      <c r="C434" s="47">
        <v>50</v>
      </c>
      <c r="D434" s="46">
        <v>20</v>
      </c>
      <c r="E434" s="44">
        <v>23</v>
      </c>
      <c r="F434" s="44">
        <f>1.8*E434+32</f>
        <v>73.400000000000006</v>
      </c>
      <c r="G434" s="45">
        <v>15</v>
      </c>
      <c r="H434" s="44">
        <f>IF(F434&gt;68,G434+(F434-68)*0.2,Y465-(68-F434)*0.2)</f>
        <v>16.080000000000002</v>
      </c>
      <c r="I434" s="44">
        <v>24</v>
      </c>
      <c r="J434" s="44">
        <f>1.8*I434+32</f>
        <v>75.2</v>
      </c>
      <c r="K434" s="45">
        <v>6</v>
      </c>
      <c r="L434" s="44">
        <f>IF(J434&gt;68,K434+(J434-68)*0.2,K434-(68-J434)*0.2)</f>
        <v>7.44</v>
      </c>
      <c r="M434" s="43">
        <f>(C434-H434)/C434*100</f>
        <v>67.84</v>
      </c>
      <c r="N434" s="43">
        <f>100-(M434+O434)</f>
        <v>17.28</v>
      </c>
      <c r="O434" s="43">
        <f>L434/C434*100</f>
        <v>14.88</v>
      </c>
      <c r="P434" s="42" t="s">
        <v>0</v>
      </c>
      <c r="Q434" s="41">
        <v>407454.70500000002</v>
      </c>
      <c r="R434" s="41">
        <v>3660013.0079999999</v>
      </c>
    </row>
    <row r="435" spans="1:18" x14ac:dyDescent="0.25">
      <c r="A435" s="49">
        <v>1649</v>
      </c>
      <c r="B435" s="48" t="s">
        <v>839</v>
      </c>
      <c r="C435" s="47">
        <v>50</v>
      </c>
      <c r="D435" s="46">
        <v>20</v>
      </c>
      <c r="E435" s="44">
        <v>23</v>
      </c>
      <c r="F435" s="44">
        <f>1.8*E435+32</f>
        <v>73.400000000000006</v>
      </c>
      <c r="G435" s="45">
        <v>15</v>
      </c>
      <c r="H435" s="44">
        <f>IF(F435&gt;68,G435+(F435-68)*0.2,Y466-(68-F435)*0.2)</f>
        <v>16.080000000000002</v>
      </c>
      <c r="I435" s="44">
        <v>24</v>
      </c>
      <c r="J435" s="44">
        <f>1.8*I435+32</f>
        <v>75.2</v>
      </c>
      <c r="K435" s="45">
        <v>6</v>
      </c>
      <c r="L435" s="44">
        <f>IF(J435&gt;68,K435+(J435-68)*0.2,K435-(68-J435)*0.2)</f>
        <v>7.44</v>
      </c>
      <c r="M435" s="43">
        <f>(C435-H435)/C435*100</f>
        <v>67.84</v>
      </c>
      <c r="N435" s="43">
        <f>100-(M435+O435)</f>
        <v>17.28</v>
      </c>
      <c r="O435" s="43">
        <f>L435/C435*100</f>
        <v>14.88</v>
      </c>
      <c r="P435" s="42" t="s">
        <v>0</v>
      </c>
      <c r="Q435" s="41">
        <v>407454.70500000002</v>
      </c>
      <c r="R435" s="41">
        <v>3660013.0079999999</v>
      </c>
    </row>
    <row r="436" spans="1:18" x14ac:dyDescent="0.25">
      <c r="A436" s="61"/>
      <c r="B436" s="58"/>
      <c r="C436" s="58"/>
      <c r="D436" s="58"/>
      <c r="E436" s="58"/>
      <c r="F436" s="58"/>
      <c r="G436" s="60"/>
      <c r="H436" s="58"/>
      <c r="I436" s="58"/>
      <c r="J436" s="58"/>
      <c r="K436" s="60"/>
      <c r="L436" s="58"/>
      <c r="M436" s="59"/>
      <c r="N436" s="59"/>
      <c r="O436" s="59"/>
      <c r="P436" s="58"/>
    </row>
    <row r="437" spans="1:18" x14ac:dyDescent="0.25">
      <c r="A437" s="57"/>
      <c r="B437" s="56"/>
      <c r="C437" s="55"/>
      <c r="D437" s="54"/>
      <c r="E437" s="52"/>
      <c r="F437" s="52"/>
      <c r="G437" s="53"/>
      <c r="H437" s="52"/>
      <c r="I437" s="52"/>
      <c r="J437" s="52"/>
      <c r="K437" s="53"/>
      <c r="L437" s="52"/>
      <c r="M437" s="51"/>
      <c r="N437" s="51"/>
      <c r="O437" s="51"/>
      <c r="P437" s="50"/>
      <c r="Q437" s="5" t="s">
        <v>4</v>
      </c>
      <c r="R437" s="5" t="s">
        <v>3</v>
      </c>
    </row>
    <row r="438" spans="1:18" x14ac:dyDescent="0.25">
      <c r="A438" s="49">
        <v>1719</v>
      </c>
      <c r="B438" s="48" t="s">
        <v>845</v>
      </c>
      <c r="C438" s="47">
        <v>50</v>
      </c>
      <c r="D438" s="46">
        <v>20</v>
      </c>
      <c r="E438" s="44">
        <v>23</v>
      </c>
      <c r="F438" s="44">
        <f>1.8*E438+32</f>
        <v>73.400000000000006</v>
      </c>
      <c r="G438" s="45">
        <v>19</v>
      </c>
      <c r="H438" s="44">
        <f>IF(F438&gt;68,G438+(F438-68)*0.2,#REF!-(68-F438)*0.2)</f>
        <v>20.080000000000002</v>
      </c>
      <c r="I438" s="44">
        <v>24</v>
      </c>
      <c r="J438" s="44">
        <f>1.8*I438+32</f>
        <v>75.2</v>
      </c>
      <c r="K438" s="45">
        <v>10</v>
      </c>
      <c r="L438" s="44">
        <f>IF(J438&gt;68,K438+(J438-68)*0.2,K438-(68-J438)*0.2)</f>
        <v>11.440000000000001</v>
      </c>
      <c r="M438" s="43">
        <f>(C438-H438)/C438*100</f>
        <v>59.839999999999996</v>
      </c>
      <c r="N438" s="43">
        <f>100-(M438+O438)</f>
        <v>17.28</v>
      </c>
      <c r="O438" s="43">
        <f>L438/C438*100</f>
        <v>22.880000000000003</v>
      </c>
      <c r="P438" s="42" t="s">
        <v>2</v>
      </c>
      <c r="Q438" s="41">
        <v>407447.31800000003</v>
      </c>
      <c r="R438" s="41">
        <v>3659927.162</v>
      </c>
    </row>
    <row r="439" spans="1:18" x14ac:dyDescent="0.25">
      <c r="A439" s="49">
        <v>1719</v>
      </c>
      <c r="B439" s="48" t="s">
        <v>844</v>
      </c>
      <c r="C439" s="47">
        <v>50</v>
      </c>
      <c r="D439" s="46">
        <v>20</v>
      </c>
      <c r="E439" s="44">
        <v>23</v>
      </c>
      <c r="F439" s="44">
        <f>1.8*E439+32</f>
        <v>73.400000000000006</v>
      </c>
      <c r="G439" s="45">
        <v>21</v>
      </c>
      <c r="H439" s="44">
        <f>IF(F439&gt;68,G439+(F439-68)*0.2,Y470-(68-F439)*0.2)</f>
        <v>22.080000000000002</v>
      </c>
      <c r="I439" s="44">
        <v>24</v>
      </c>
      <c r="J439" s="44">
        <f>1.8*I439+32</f>
        <v>75.2</v>
      </c>
      <c r="K439" s="45">
        <v>11</v>
      </c>
      <c r="L439" s="44">
        <f>IF(J439&gt;68,K439+(J439-68)*0.2,K439-(68-J439)*0.2)</f>
        <v>12.440000000000001</v>
      </c>
      <c r="M439" s="43">
        <f>(C439-H439)/C439*100</f>
        <v>55.84</v>
      </c>
      <c r="N439" s="43">
        <f>100-(M439+O439)</f>
        <v>19.28</v>
      </c>
      <c r="O439" s="43">
        <f>L439/C439*100</f>
        <v>24.880000000000003</v>
      </c>
      <c r="P439" s="42" t="s">
        <v>2</v>
      </c>
      <c r="Q439" s="41">
        <v>407447.31800000003</v>
      </c>
      <c r="R439" s="41">
        <v>3659927.162</v>
      </c>
    </row>
    <row r="440" spans="1:18" x14ac:dyDescent="0.25">
      <c r="A440" s="49">
        <v>1719</v>
      </c>
      <c r="B440" s="48" t="s">
        <v>843</v>
      </c>
      <c r="C440" s="47">
        <v>50</v>
      </c>
      <c r="D440" s="46">
        <v>20</v>
      </c>
      <c r="E440" s="44">
        <v>23</v>
      </c>
      <c r="F440" s="44">
        <f>1.8*E440+32</f>
        <v>73.400000000000006</v>
      </c>
      <c r="G440" s="45">
        <v>26</v>
      </c>
      <c r="H440" s="44">
        <f>IF(F440&gt;68,G440+(F440-68)*0.2,Y471-(68-F440)*0.2)</f>
        <v>27.080000000000002</v>
      </c>
      <c r="I440" s="44">
        <v>24</v>
      </c>
      <c r="J440" s="44">
        <f>1.8*I440+32</f>
        <v>75.2</v>
      </c>
      <c r="K440" s="45">
        <v>8</v>
      </c>
      <c r="L440" s="44">
        <f>IF(J440&gt;68,K440+(J440-68)*0.2,K440-(68-J440)*0.2)</f>
        <v>9.4400000000000013</v>
      </c>
      <c r="M440" s="43">
        <f>(C440-H440)/C440*100</f>
        <v>45.839999999999996</v>
      </c>
      <c r="N440" s="43">
        <f>100-(M440+O440)</f>
        <v>35.28</v>
      </c>
      <c r="O440" s="43">
        <f>L440/C440*100</f>
        <v>18.880000000000003</v>
      </c>
      <c r="P440" s="42" t="s">
        <v>847</v>
      </c>
      <c r="Q440" s="41">
        <v>407447.31800000003</v>
      </c>
      <c r="R440" s="41">
        <v>3659927.162</v>
      </c>
    </row>
    <row r="441" spans="1:18" x14ac:dyDescent="0.25">
      <c r="A441" s="49">
        <v>1719</v>
      </c>
      <c r="B441" s="48" t="s">
        <v>842</v>
      </c>
      <c r="C441" s="47">
        <v>50</v>
      </c>
      <c r="D441" s="46">
        <v>20</v>
      </c>
      <c r="E441" s="44">
        <v>23</v>
      </c>
      <c r="F441" s="44">
        <f>1.8*E441+32</f>
        <v>73.400000000000006</v>
      </c>
      <c r="G441" s="45">
        <v>24</v>
      </c>
      <c r="H441" s="44">
        <f>IF(F441&gt;68,G441+(F441-68)*0.2,Y472-(68-F441)*0.2)</f>
        <v>25.080000000000002</v>
      </c>
      <c r="I441" s="44">
        <v>24</v>
      </c>
      <c r="J441" s="44">
        <f>1.8*I441+32</f>
        <v>75.2</v>
      </c>
      <c r="K441" s="45">
        <v>10</v>
      </c>
      <c r="L441" s="44">
        <f>IF(J441&gt;68,K441+(J441-68)*0.2,K441-(68-J441)*0.2)</f>
        <v>11.440000000000001</v>
      </c>
      <c r="M441" s="43">
        <f>(C441-H441)/C441*100</f>
        <v>49.839999999999996</v>
      </c>
      <c r="N441" s="43">
        <f>100-(M441+O441)</f>
        <v>27.28</v>
      </c>
      <c r="O441" s="43">
        <f>L441/C441*100</f>
        <v>22.880000000000003</v>
      </c>
      <c r="P441" s="42" t="s">
        <v>2</v>
      </c>
      <c r="Q441" s="41">
        <v>407447.31800000003</v>
      </c>
      <c r="R441" s="41">
        <v>3659927.162</v>
      </c>
    </row>
    <row r="442" spans="1:18" x14ac:dyDescent="0.25">
      <c r="A442" s="49">
        <v>1719</v>
      </c>
      <c r="B442" s="48" t="s">
        <v>841</v>
      </c>
      <c r="C442" s="47">
        <v>50</v>
      </c>
      <c r="D442" s="46">
        <v>20</v>
      </c>
      <c r="E442" s="44">
        <v>23</v>
      </c>
      <c r="F442" s="44">
        <f>1.8*E442+32</f>
        <v>73.400000000000006</v>
      </c>
      <c r="G442" s="45">
        <v>20</v>
      </c>
      <c r="H442" s="44">
        <f>IF(F442&gt;68,G442+(F442-68)*0.2,Y473-(68-F442)*0.2)</f>
        <v>21.080000000000002</v>
      </c>
      <c r="I442" s="44">
        <v>24</v>
      </c>
      <c r="J442" s="44">
        <f>1.8*I442+32</f>
        <v>75.2</v>
      </c>
      <c r="K442" s="45">
        <v>9</v>
      </c>
      <c r="L442" s="44">
        <f>IF(J442&gt;68,K442+(J442-68)*0.2,K442-(68-J442)*0.2)</f>
        <v>10.440000000000001</v>
      </c>
      <c r="M442" s="43">
        <f>(C442-H442)/C442*100</f>
        <v>57.839999999999989</v>
      </c>
      <c r="N442" s="43">
        <f>100-(M442+O442)</f>
        <v>21.28</v>
      </c>
      <c r="O442" s="43">
        <f>L442/C442*100</f>
        <v>20.880000000000003</v>
      </c>
      <c r="P442" s="42" t="s">
        <v>2</v>
      </c>
      <c r="Q442" s="41">
        <v>407447.31800000003</v>
      </c>
      <c r="R442" s="41">
        <v>3659927.162</v>
      </c>
    </row>
    <row r="443" spans="1:18" x14ac:dyDescent="0.25">
      <c r="A443" s="49">
        <v>1719</v>
      </c>
      <c r="B443" s="48" t="s">
        <v>839</v>
      </c>
      <c r="C443" s="47">
        <v>50</v>
      </c>
      <c r="D443" s="46">
        <v>20</v>
      </c>
      <c r="E443" s="44">
        <v>23</v>
      </c>
      <c r="F443" s="44">
        <f>1.8*E443+32</f>
        <v>73.400000000000006</v>
      </c>
      <c r="G443" s="45">
        <v>12</v>
      </c>
      <c r="H443" s="44">
        <f>IF(F443&gt;68,G443+(F443-68)*0.2,Y474-(68-F443)*0.2)</f>
        <v>13.080000000000002</v>
      </c>
      <c r="I443" s="44">
        <v>24</v>
      </c>
      <c r="J443" s="44">
        <f>1.8*I443+32</f>
        <v>75.2</v>
      </c>
      <c r="K443" s="45">
        <v>6</v>
      </c>
      <c r="L443" s="44">
        <f>IF(J443&gt;68,K443+(J443-68)*0.2,K443-(68-J443)*0.2)</f>
        <v>7.44</v>
      </c>
      <c r="M443" s="43">
        <f>(C443-H443)/C443*100</f>
        <v>73.84</v>
      </c>
      <c r="N443" s="43">
        <f>100-(M443+O443)</f>
        <v>11.280000000000001</v>
      </c>
      <c r="O443" s="43">
        <f>L443/C443*100</f>
        <v>14.88</v>
      </c>
      <c r="P443" s="42" t="s">
        <v>0</v>
      </c>
      <c r="Q443" s="41">
        <v>407447.31800000003</v>
      </c>
      <c r="R443" s="41">
        <v>3659927.162</v>
      </c>
    </row>
    <row r="444" spans="1:18" x14ac:dyDescent="0.25">
      <c r="A444" s="61"/>
      <c r="B444" s="58"/>
      <c r="C444" s="58"/>
      <c r="D444" s="58"/>
      <c r="E444" s="58"/>
      <c r="F444" s="58"/>
      <c r="G444" s="60"/>
      <c r="H444" s="58"/>
      <c r="I444" s="58"/>
      <c r="J444" s="58"/>
      <c r="K444" s="60"/>
      <c r="L444" s="58"/>
      <c r="M444" s="59"/>
      <c r="N444" s="59"/>
      <c r="O444" s="59"/>
      <c r="P444" s="58"/>
    </row>
    <row r="445" spans="1:18" x14ac:dyDescent="0.25">
      <c r="A445" s="57"/>
      <c r="B445" s="56"/>
      <c r="C445" s="55"/>
      <c r="D445" s="54"/>
      <c r="E445" s="52"/>
      <c r="F445" s="52"/>
      <c r="G445" s="53"/>
      <c r="H445" s="52"/>
      <c r="I445" s="52"/>
      <c r="J445" s="52"/>
      <c r="K445" s="53"/>
      <c r="L445" s="52"/>
      <c r="M445" s="51"/>
      <c r="N445" s="51"/>
      <c r="O445" s="51"/>
      <c r="P445" s="50"/>
      <c r="Q445" s="5" t="s">
        <v>4</v>
      </c>
      <c r="R445" s="5" t="s">
        <v>3</v>
      </c>
    </row>
    <row r="446" spans="1:18" x14ac:dyDescent="0.25">
      <c r="A446" s="49" t="s">
        <v>854</v>
      </c>
      <c r="B446" s="48" t="s">
        <v>845</v>
      </c>
      <c r="C446" s="47">
        <v>50</v>
      </c>
      <c r="D446" s="46">
        <v>20</v>
      </c>
      <c r="E446" s="44">
        <v>23</v>
      </c>
      <c r="F446" s="44">
        <f>1.8*E446+32</f>
        <v>73.400000000000006</v>
      </c>
      <c r="G446" s="45">
        <v>20</v>
      </c>
      <c r="H446" s="44">
        <f>IF(F446&gt;68,G446+(F446-68)*0.2,#REF!-(68-F446)*0.2)</f>
        <v>21.080000000000002</v>
      </c>
      <c r="I446" s="44">
        <v>24</v>
      </c>
      <c r="J446" s="44">
        <f>1.8*I446+32</f>
        <v>75.2</v>
      </c>
      <c r="K446" s="45">
        <v>9</v>
      </c>
      <c r="L446" s="44">
        <f>IF(J446&gt;68,K446+(J446-68)*0.2,K446-(68-J446)*0.2)</f>
        <v>10.440000000000001</v>
      </c>
      <c r="M446" s="43">
        <f>(C446-H446)/C446*100</f>
        <v>57.839999999999989</v>
      </c>
      <c r="N446" s="43">
        <f>100-(M446+O446)</f>
        <v>21.28</v>
      </c>
      <c r="O446" s="43">
        <f>L446/C446*100</f>
        <v>20.880000000000003</v>
      </c>
      <c r="P446" s="42" t="s">
        <v>2</v>
      </c>
      <c r="Q446" s="41">
        <v>407447.31800000003</v>
      </c>
      <c r="R446" s="41">
        <v>3659927.162</v>
      </c>
    </row>
    <row r="447" spans="1:18" x14ac:dyDescent="0.25">
      <c r="A447" s="49" t="s">
        <v>854</v>
      </c>
      <c r="B447" s="48" t="s">
        <v>844</v>
      </c>
      <c r="C447" s="47">
        <v>50</v>
      </c>
      <c r="D447" s="46">
        <v>20</v>
      </c>
      <c r="E447" s="44">
        <v>23</v>
      </c>
      <c r="F447" s="44">
        <f>1.8*E447+32</f>
        <v>73.400000000000006</v>
      </c>
      <c r="G447" s="45">
        <v>21</v>
      </c>
      <c r="H447" s="44">
        <f>IF(F447&gt;68,G447+(F447-68)*0.2,Y478-(68-F447)*0.2)</f>
        <v>22.080000000000002</v>
      </c>
      <c r="I447" s="44">
        <v>24</v>
      </c>
      <c r="J447" s="44">
        <f>1.8*I447+32</f>
        <v>75.2</v>
      </c>
      <c r="K447" s="45">
        <v>10</v>
      </c>
      <c r="L447" s="44">
        <f>IF(J447&gt;68,K447+(J447-68)*0.2,K447-(68-J447)*0.2)</f>
        <v>11.440000000000001</v>
      </c>
      <c r="M447" s="43">
        <f>(C447-H447)/C447*100</f>
        <v>55.84</v>
      </c>
      <c r="N447" s="43">
        <f>100-(M447+O447)</f>
        <v>21.28</v>
      </c>
      <c r="O447" s="43">
        <f>L447/C447*100</f>
        <v>22.880000000000003</v>
      </c>
      <c r="P447" s="42" t="s">
        <v>2</v>
      </c>
      <c r="Q447" s="41">
        <v>407447.31800000003</v>
      </c>
      <c r="R447" s="41">
        <v>3659927.162</v>
      </c>
    </row>
    <row r="448" spans="1:18" x14ac:dyDescent="0.25">
      <c r="A448" s="49" t="s">
        <v>854</v>
      </c>
      <c r="B448" s="48" t="s">
        <v>843</v>
      </c>
      <c r="C448" s="47">
        <v>50</v>
      </c>
      <c r="D448" s="46">
        <v>20</v>
      </c>
      <c r="E448" s="44">
        <v>23</v>
      </c>
      <c r="F448" s="44">
        <f>1.8*E448+32</f>
        <v>73.400000000000006</v>
      </c>
      <c r="G448" s="45">
        <v>26</v>
      </c>
      <c r="H448" s="44">
        <f>IF(F448&gt;68,G448+(F448-68)*0.2,Y479-(68-F448)*0.2)</f>
        <v>27.080000000000002</v>
      </c>
      <c r="I448" s="44">
        <v>24</v>
      </c>
      <c r="J448" s="44">
        <f>1.8*I448+32</f>
        <v>75.2</v>
      </c>
      <c r="K448" s="45">
        <v>11</v>
      </c>
      <c r="L448" s="44">
        <f>IF(J448&gt;68,K448+(J448-68)*0.2,K448-(68-J448)*0.2)</f>
        <v>12.440000000000001</v>
      </c>
      <c r="M448" s="43">
        <f>(C448-H448)/C448*100</f>
        <v>45.839999999999996</v>
      </c>
      <c r="N448" s="43">
        <f>100-(M448+O448)</f>
        <v>29.28</v>
      </c>
      <c r="O448" s="43">
        <f>L448/C448*100</f>
        <v>24.880000000000003</v>
      </c>
      <c r="P448" s="42" t="s">
        <v>847</v>
      </c>
      <c r="Q448" s="41">
        <v>407447.31800000003</v>
      </c>
      <c r="R448" s="41">
        <v>3659927.162</v>
      </c>
    </row>
    <row r="449" spans="1:18" x14ac:dyDescent="0.25">
      <c r="A449" s="49" t="s">
        <v>854</v>
      </c>
      <c r="B449" s="48" t="s">
        <v>842</v>
      </c>
      <c r="C449" s="47">
        <v>50</v>
      </c>
      <c r="D449" s="46">
        <v>20</v>
      </c>
      <c r="E449" s="44">
        <v>23</v>
      </c>
      <c r="F449" s="44">
        <f>1.8*E449+32</f>
        <v>73.400000000000006</v>
      </c>
      <c r="G449" s="45">
        <v>27</v>
      </c>
      <c r="H449" s="44">
        <f>IF(F449&gt;68,G449+(F449-68)*0.2,Y480-(68-F449)*0.2)</f>
        <v>28.080000000000002</v>
      </c>
      <c r="I449" s="44">
        <v>24</v>
      </c>
      <c r="J449" s="44">
        <f>1.8*I449+32</f>
        <v>75.2</v>
      </c>
      <c r="K449" s="45">
        <v>11</v>
      </c>
      <c r="L449" s="44">
        <f>IF(J449&gt;68,K449+(J449-68)*0.2,K449-(68-J449)*0.2)</f>
        <v>12.440000000000001</v>
      </c>
      <c r="M449" s="43">
        <f>(C449-H449)/C449*100</f>
        <v>43.839999999999996</v>
      </c>
      <c r="N449" s="43">
        <f>100-(M449+O449)</f>
        <v>31.28</v>
      </c>
      <c r="O449" s="43">
        <f>L449/C449*100</f>
        <v>24.880000000000003</v>
      </c>
      <c r="P449" s="42" t="s">
        <v>847</v>
      </c>
      <c r="Q449" s="41">
        <v>407447.31800000003</v>
      </c>
      <c r="R449" s="41">
        <v>3659927.162</v>
      </c>
    </row>
    <row r="450" spans="1:18" x14ac:dyDescent="0.25">
      <c r="A450" s="49" t="s">
        <v>854</v>
      </c>
      <c r="B450" s="48" t="s">
        <v>841</v>
      </c>
      <c r="C450" s="47">
        <v>50</v>
      </c>
      <c r="D450" s="46">
        <v>20</v>
      </c>
      <c r="E450" s="44">
        <v>23</v>
      </c>
      <c r="F450" s="44">
        <f>1.8*E450+32</f>
        <v>73.400000000000006</v>
      </c>
      <c r="G450" s="45">
        <v>15</v>
      </c>
      <c r="H450" s="44">
        <f>IF(F450&gt;68,G450+(F450-68)*0.2,Y481-(68-F450)*0.2)</f>
        <v>16.080000000000002</v>
      </c>
      <c r="I450" s="44">
        <v>23</v>
      </c>
      <c r="J450" s="44">
        <f>1.8*I450+32</f>
        <v>73.400000000000006</v>
      </c>
      <c r="K450" s="45">
        <v>6</v>
      </c>
      <c r="L450" s="44">
        <f>IF(J450&gt;68,K450+(J450-68)*0.2,K450-(68-J450)*0.2)</f>
        <v>7.080000000000001</v>
      </c>
      <c r="M450" s="43">
        <f>(C450-H450)/C450*100</f>
        <v>67.84</v>
      </c>
      <c r="N450" s="43">
        <f>100-(M450+O450)</f>
        <v>18</v>
      </c>
      <c r="O450" s="43">
        <f>L450/C450*100</f>
        <v>14.160000000000004</v>
      </c>
      <c r="P450" s="42" t="s">
        <v>0</v>
      </c>
      <c r="Q450" s="41">
        <v>407447.31800000003</v>
      </c>
      <c r="R450" s="41">
        <v>3659927.162</v>
      </c>
    </row>
    <row r="451" spans="1:18" x14ac:dyDescent="0.25">
      <c r="A451" s="49" t="s">
        <v>854</v>
      </c>
      <c r="B451" s="48" t="s">
        <v>839</v>
      </c>
      <c r="C451" s="47">
        <v>50</v>
      </c>
      <c r="D451" s="46">
        <v>20</v>
      </c>
      <c r="E451" s="44">
        <v>23</v>
      </c>
      <c r="F451" s="44">
        <f>1.8*E451+32</f>
        <v>73.400000000000006</v>
      </c>
      <c r="G451" s="45">
        <v>24</v>
      </c>
      <c r="H451" s="44">
        <f>IF(F451&gt;68,G451+(F451-68)*0.2,Y482-(68-F451)*0.2)</f>
        <v>25.080000000000002</v>
      </c>
      <c r="I451" s="44">
        <v>23</v>
      </c>
      <c r="J451" s="44">
        <f>1.8*I451+32</f>
        <v>73.400000000000006</v>
      </c>
      <c r="K451" s="45">
        <v>5</v>
      </c>
      <c r="L451" s="44">
        <f>IF(J451&gt;68,K451+(J451-68)*0.2,K451-(68-J451)*0.2)</f>
        <v>6.080000000000001</v>
      </c>
      <c r="M451" s="43">
        <f>(C451-H451)/C451*100</f>
        <v>49.839999999999996</v>
      </c>
      <c r="N451" s="43">
        <f>100-(M451+O451)</f>
        <v>38</v>
      </c>
      <c r="O451" s="43">
        <f>L451/C451*100</f>
        <v>12.160000000000002</v>
      </c>
      <c r="P451" s="42" t="s">
        <v>847</v>
      </c>
      <c r="Q451" s="41">
        <v>407447.31800000003</v>
      </c>
      <c r="R451" s="41">
        <v>3659927.162</v>
      </c>
    </row>
    <row r="452" spans="1:18" x14ac:dyDescent="0.25">
      <c r="A452" s="61"/>
      <c r="B452" s="58"/>
      <c r="C452" s="58"/>
      <c r="D452" s="58"/>
      <c r="E452" s="58"/>
      <c r="F452" s="58"/>
      <c r="G452" s="60"/>
      <c r="H452" s="58"/>
      <c r="I452" s="58"/>
      <c r="J452" s="58"/>
      <c r="K452" s="60"/>
      <c r="L452" s="58"/>
      <c r="M452" s="59"/>
      <c r="N452" s="59"/>
      <c r="O452" s="59"/>
      <c r="P452" s="58"/>
    </row>
    <row r="453" spans="1:18" x14ac:dyDescent="0.25">
      <c r="A453" s="57"/>
      <c r="B453" s="56"/>
      <c r="C453" s="55"/>
      <c r="D453" s="54"/>
      <c r="E453" s="52"/>
      <c r="F453" s="52"/>
      <c r="G453" s="53"/>
      <c r="H453" s="52"/>
      <c r="I453" s="52"/>
      <c r="J453" s="52"/>
      <c r="K453" s="53"/>
      <c r="L453" s="52"/>
      <c r="M453" s="51"/>
      <c r="N453" s="51"/>
      <c r="O453" s="51"/>
      <c r="P453" s="50"/>
      <c r="Q453" s="5" t="s">
        <v>4</v>
      </c>
      <c r="R453" s="5" t="s">
        <v>3</v>
      </c>
    </row>
    <row r="454" spans="1:18" x14ac:dyDescent="0.25">
      <c r="A454" s="49">
        <v>1762</v>
      </c>
      <c r="B454" s="48" t="s">
        <v>845</v>
      </c>
      <c r="C454" s="47">
        <v>50</v>
      </c>
      <c r="D454" s="46">
        <v>20</v>
      </c>
      <c r="E454" s="44">
        <v>23</v>
      </c>
      <c r="F454" s="44">
        <f>1.8*E454+32</f>
        <v>73.400000000000006</v>
      </c>
      <c r="G454" s="45">
        <v>17</v>
      </c>
      <c r="H454" s="44">
        <f>IF(F454&gt;68,G454+(F454-68)*0.2,Y489-(68-F454)*0.2)</f>
        <v>18.080000000000002</v>
      </c>
      <c r="I454" s="44">
        <v>23</v>
      </c>
      <c r="J454" s="44">
        <f>1.8*I454+32</f>
        <v>73.400000000000006</v>
      </c>
      <c r="K454" s="45">
        <v>10</v>
      </c>
      <c r="L454" s="44">
        <f>IF(J454&gt;68,K454+(J454-68)*0.2,K454-(68-J454)*0.2)</f>
        <v>11.080000000000002</v>
      </c>
      <c r="M454" s="43">
        <f>(C454-H454)/C454*100</f>
        <v>63.839999999999996</v>
      </c>
      <c r="N454" s="43">
        <f>100-(M454+O454)</f>
        <v>14</v>
      </c>
      <c r="O454" s="43">
        <f>L454/C454*100</f>
        <v>22.160000000000004</v>
      </c>
      <c r="P454" s="42" t="s">
        <v>2</v>
      </c>
      <c r="Q454" s="41">
        <v>407444.91700000002</v>
      </c>
      <c r="R454" s="41">
        <v>3659979.3470000001</v>
      </c>
    </row>
    <row r="455" spans="1:18" x14ac:dyDescent="0.25">
      <c r="A455" s="49">
        <v>1762</v>
      </c>
      <c r="B455" s="48" t="s">
        <v>844</v>
      </c>
      <c r="C455" s="47">
        <v>50</v>
      </c>
      <c r="D455" s="46">
        <v>20</v>
      </c>
      <c r="E455" s="44">
        <v>23</v>
      </c>
      <c r="F455" s="44">
        <f>1.8*E455+32</f>
        <v>73.400000000000006</v>
      </c>
      <c r="G455" s="45">
        <v>16</v>
      </c>
      <c r="H455" s="44">
        <f>IF(F455&gt;68,G455+(F455-68)*0.2,Y486-(68-F455)*0.2)</f>
        <v>17.080000000000002</v>
      </c>
      <c r="I455" s="44">
        <v>23</v>
      </c>
      <c r="J455" s="44">
        <f>1.8*I455+32</f>
        <v>73.400000000000006</v>
      </c>
      <c r="K455" s="45">
        <v>8</v>
      </c>
      <c r="L455" s="44">
        <f>IF(J455&gt;68,K455+(J455-68)*0.2,K455-(68-J455)*0.2)</f>
        <v>9.0800000000000018</v>
      </c>
      <c r="M455" s="43">
        <f>(C455-H455)/C455*100</f>
        <v>65.84</v>
      </c>
      <c r="N455" s="43">
        <f>100-(M455+O455)</f>
        <v>16</v>
      </c>
      <c r="O455" s="43">
        <f>L455/C455*100</f>
        <v>18.160000000000004</v>
      </c>
      <c r="P455" s="42" t="s">
        <v>0</v>
      </c>
      <c r="Q455" s="41">
        <v>407444.91700000002</v>
      </c>
      <c r="R455" s="41">
        <v>3659979.3470000001</v>
      </c>
    </row>
    <row r="456" spans="1:18" x14ac:dyDescent="0.25">
      <c r="A456" s="49">
        <v>1762</v>
      </c>
      <c r="B456" s="48" t="s">
        <v>843</v>
      </c>
      <c r="C456" s="47">
        <v>50</v>
      </c>
      <c r="D456" s="46">
        <v>20</v>
      </c>
      <c r="E456" s="44">
        <v>23</v>
      </c>
      <c r="F456" s="44">
        <f>1.8*E456+32</f>
        <v>73.400000000000006</v>
      </c>
      <c r="G456" s="45">
        <v>14</v>
      </c>
      <c r="H456" s="44">
        <f>IF(F456&gt;68,G456+(F456-68)*0.2,Y487-(68-F456)*0.2)</f>
        <v>15.080000000000002</v>
      </c>
      <c r="I456" s="44">
        <v>23</v>
      </c>
      <c r="J456" s="44">
        <f>1.8*I456+32</f>
        <v>73.400000000000006</v>
      </c>
      <c r="K456" s="45">
        <v>5</v>
      </c>
      <c r="L456" s="44">
        <f>IF(J456&gt;68,K456+(J456-68)*0.2,K456-(68-J456)*0.2)</f>
        <v>6.080000000000001</v>
      </c>
      <c r="M456" s="43">
        <f>(C456-H456)/C456*100</f>
        <v>69.84</v>
      </c>
      <c r="N456" s="43">
        <f>100-(M456+O456)</f>
        <v>18</v>
      </c>
      <c r="O456" s="43">
        <f>L456/C456*100</f>
        <v>12.160000000000002</v>
      </c>
      <c r="P456" s="42" t="s">
        <v>0</v>
      </c>
      <c r="Q456" s="41">
        <v>407444.91700000002</v>
      </c>
      <c r="R456" s="41">
        <v>3659979.3470000001</v>
      </c>
    </row>
    <row r="457" spans="1:18" x14ac:dyDescent="0.25">
      <c r="A457" s="49">
        <v>1762</v>
      </c>
      <c r="B457" s="48" t="s">
        <v>842</v>
      </c>
      <c r="C457" s="47">
        <v>50</v>
      </c>
      <c r="D457" s="46">
        <v>20</v>
      </c>
      <c r="E457" s="44">
        <v>23</v>
      </c>
      <c r="F457" s="44">
        <f>1.8*E457+32</f>
        <v>73.400000000000006</v>
      </c>
      <c r="G457" s="45">
        <v>14</v>
      </c>
      <c r="H457" s="44">
        <f>IF(F457&gt;68,G457+(F457-68)*0.2,Y488-(68-F457)*0.2)</f>
        <v>15.080000000000002</v>
      </c>
      <c r="I457" s="44">
        <v>23</v>
      </c>
      <c r="J457" s="44">
        <f>1.8*I457+32</f>
        <v>73.400000000000006</v>
      </c>
      <c r="K457" s="45">
        <v>5</v>
      </c>
      <c r="L457" s="44">
        <f>IF(J457&gt;68,K457+(J457-68)*0.2,K457-(68-J457)*0.2)</f>
        <v>6.080000000000001</v>
      </c>
      <c r="M457" s="43">
        <f>(C457-H457)/C457*100</f>
        <v>69.84</v>
      </c>
      <c r="N457" s="43">
        <f>100-(M457+O457)</f>
        <v>18</v>
      </c>
      <c r="O457" s="43">
        <f>L457/C457*100</f>
        <v>12.160000000000002</v>
      </c>
      <c r="P457" s="42" t="s">
        <v>0</v>
      </c>
      <c r="Q457" s="41">
        <v>407444.91700000002</v>
      </c>
      <c r="R457" s="41">
        <v>3659979.3470000001</v>
      </c>
    </row>
    <row r="458" spans="1:18" x14ac:dyDescent="0.25">
      <c r="A458" s="49">
        <v>1762</v>
      </c>
      <c r="B458" s="48" t="s">
        <v>841</v>
      </c>
      <c r="C458" s="47">
        <v>50</v>
      </c>
      <c r="D458" s="46">
        <v>20</v>
      </c>
      <c r="E458" s="44">
        <v>23</v>
      </c>
      <c r="F458" s="44">
        <f>1.8*E458+32</f>
        <v>73.400000000000006</v>
      </c>
      <c r="G458" s="45">
        <v>11</v>
      </c>
      <c r="H458" s="44">
        <f>IF(F458&gt;68,G458+(F458-68)*0.2,Y489-(68-F458)*0.2)</f>
        <v>12.080000000000002</v>
      </c>
      <c r="I458" s="44">
        <v>23</v>
      </c>
      <c r="J458" s="44">
        <f>1.8*I458+32</f>
        <v>73.400000000000006</v>
      </c>
      <c r="K458" s="45">
        <v>5</v>
      </c>
      <c r="L458" s="44">
        <f>IF(J458&gt;68,K458+(J458-68)*0.2,K458-(68-J458)*0.2)</f>
        <v>6.080000000000001</v>
      </c>
      <c r="M458" s="43">
        <f>(C458-H458)/C458*100</f>
        <v>75.84</v>
      </c>
      <c r="N458" s="43">
        <f>100-(M458+O458)</f>
        <v>12</v>
      </c>
      <c r="O458" s="43">
        <f>L458/C458*100</f>
        <v>12.160000000000002</v>
      </c>
      <c r="P458" s="42" t="s">
        <v>0</v>
      </c>
      <c r="Q458" s="41">
        <v>407444.91700000002</v>
      </c>
      <c r="R458" s="41">
        <v>3659979.3470000001</v>
      </c>
    </row>
    <row r="459" spans="1:18" x14ac:dyDescent="0.25">
      <c r="A459" s="49">
        <v>1762</v>
      </c>
      <c r="B459" s="48" t="s">
        <v>839</v>
      </c>
      <c r="C459" s="47">
        <v>50</v>
      </c>
      <c r="D459" s="46">
        <v>20</v>
      </c>
      <c r="E459" s="44">
        <v>23</v>
      </c>
      <c r="F459" s="44">
        <f>1.8*E459+32</f>
        <v>73.400000000000006</v>
      </c>
      <c r="G459" s="45">
        <v>17</v>
      </c>
      <c r="H459" s="44">
        <f>IF(F459&gt;68,G459+(F459-68)*0.2,Y490-(68-F459)*0.2)</f>
        <v>18.080000000000002</v>
      </c>
      <c r="I459" s="44">
        <v>23</v>
      </c>
      <c r="J459" s="44">
        <f>1.8*I459+32</f>
        <v>73.400000000000006</v>
      </c>
      <c r="K459" s="45">
        <v>9</v>
      </c>
      <c r="L459" s="44">
        <f>IF(J459&gt;68,K459+(J459-68)*0.2,K459-(68-J459)*0.2)</f>
        <v>10.080000000000002</v>
      </c>
      <c r="M459" s="43">
        <f>(C459-H459)/C459*100</f>
        <v>63.839999999999996</v>
      </c>
      <c r="N459" s="43">
        <f>100-(M459+O459)</f>
        <v>16</v>
      </c>
      <c r="O459" s="43">
        <f>L459/C459*100</f>
        <v>20.160000000000004</v>
      </c>
      <c r="P459" s="42" t="s">
        <v>2</v>
      </c>
      <c r="Q459" s="41">
        <v>407444.91700000002</v>
      </c>
      <c r="R459" s="41">
        <v>3659979.3470000001</v>
      </c>
    </row>
    <row r="460" spans="1:18" x14ac:dyDescent="0.25">
      <c r="A460" s="61"/>
      <c r="B460" s="58"/>
      <c r="C460" s="58"/>
      <c r="D460" s="58"/>
      <c r="E460" s="58"/>
      <c r="F460" s="58"/>
      <c r="G460" s="60"/>
      <c r="H460" s="58"/>
      <c r="I460" s="58"/>
      <c r="J460" s="58"/>
      <c r="K460" s="60"/>
      <c r="L460" s="58"/>
      <c r="M460" s="59"/>
      <c r="N460" s="59"/>
      <c r="O460" s="59"/>
      <c r="P460" s="58"/>
    </row>
    <row r="461" spans="1:18" x14ac:dyDescent="0.25">
      <c r="A461" s="57"/>
      <c r="B461" s="56"/>
      <c r="C461" s="55"/>
      <c r="D461" s="54"/>
      <c r="E461" s="52"/>
      <c r="F461" s="52"/>
      <c r="G461" s="53"/>
      <c r="H461" s="52"/>
      <c r="I461" s="52"/>
      <c r="J461" s="52"/>
      <c r="K461" s="53"/>
      <c r="L461" s="52"/>
      <c r="M461" s="51"/>
      <c r="N461" s="51"/>
      <c r="O461" s="51"/>
      <c r="P461" s="50"/>
      <c r="Q461" s="5" t="s">
        <v>4</v>
      </c>
      <c r="R461" s="5" t="s">
        <v>3</v>
      </c>
    </row>
    <row r="462" spans="1:18" x14ac:dyDescent="0.25">
      <c r="A462" s="49">
        <v>1768</v>
      </c>
      <c r="B462" s="48" t="s">
        <v>845</v>
      </c>
      <c r="C462" s="47">
        <v>50</v>
      </c>
      <c r="D462" s="46">
        <v>20</v>
      </c>
      <c r="E462" s="44">
        <v>23</v>
      </c>
      <c r="F462" s="44">
        <f>1.8*E462+32</f>
        <v>73.400000000000006</v>
      </c>
      <c r="G462" s="45">
        <v>22</v>
      </c>
      <c r="H462" s="44">
        <f>IF(F462&gt;68,G462+(F462-68)*0.2,#REF!-(68-F462)*0.2)</f>
        <v>23.080000000000002</v>
      </c>
      <c r="I462" s="44">
        <v>23</v>
      </c>
      <c r="J462" s="44">
        <f>1.8*I462+32</f>
        <v>73.400000000000006</v>
      </c>
      <c r="K462" s="45">
        <v>11</v>
      </c>
      <c r="L462" s="44">
        <f>IF(J462&gt;68,K462+(J462-68)*0.2,K462-(68-J462)*0.2)</f>
        <v>12.080000000000002</v>
      </c>
      <c r="M462" s="43">
        <f>(C462-H462)/C462*100</f>
        <v>53.839999999999996</v>
      </c>
      <c r="N462" s="43">
        <f>100-(M462+O462)</f>
        <v>22</v>
      </c>
      <c r="O462" s="43">
        <f>L462/C462*100</f>
        <v>24.160000000000004</v>
      </c>
      <c r="P462" s="42" t="s">
        <v>2</v>
      </c>
      <c r="Q462" s="41">
        <v>407444.53600000002</v>
      </c>
      <c r="R462" s="62">
        <v>3659955.31</v>
      </c>
    </row>
    <row r="463" spans="1:18" x14ac:dyDescent="0.25">
      <c r="A463" s="49">
        <v>1768</v>
      </c>
      <c r="B463" s="48" t="s">
        <v>844</v>
      </c>
      <c r="C463" s="47">
        <v>50</v>
      </c>
      <c r="D463" s="46">
        <v>20</v>
      </c>
      <c r="E463" s="44">
        <v>23</v>
      </c>
      <c r="F463" s="44">
        <f>1.8*E463+32</f>
        <v>73.400000000000006</v>
      </c>
      <c r="G463" s="45">
        <v>22</v>
      </c>
      <c r="H463" s="44">
        <f>IF(F463&gt;68,G463+(F463-68)*0.2,#REF!-(68-F463)*0.2)</f>
        <v>23.080000000000002</v>
      </c>
      <c r="I463" s="44">
        <v>23</v>
      </c>
      <c r="J463" s="44">
        <f>1.8*I463+32</f>
        <v>73.400000000000006</v>
      </c>
      <c r="K463" s="45">
        <v>11</v>
      </c>
      <c r="L463" s="44">
        <f>IF(J463&gt;68,K463+(J463-68)*0.2,K463-(68-J463)*0.2)</f>
        <v>12.080000000000002</v>
      </c>
      <c r="M463" s="43">
        <f>(C463-H463)/C463*100</f>
        <v>53.839999999999996</v>
      </c>
      <c r="N463" s="43">
        <f>100-(M463+O463)</f>
        <v>22</v>
      </c>
      <c r="O463" s="43">
        <f>L463/C463*100</f>
        <v>24.160000000000004</v>
      </c>
      <c r="P463" s="42" t="s">
        <v>2</v>
      </c>
      <c r="Q463" s="41">
        <v>407444.53600000002</v>
      </c>
      <c r="R463" s="62">
        <v>3659955.31</v>
      </c>
    </row>
    <row r="464" spans="1:18" x14ac:dyDescent="0.25">
      <c r="A464" s="49">
        <v>1768</v>
      </c>
      <c r="B464" s="48" t="s">
        <v>843</v>
      </c>
      <c r="C464" s="47">
        <v>50</v>
      </c>
      <c r="D464" s="46">
        <v>20</v>
      </c>
      <c r="E464" s="44">
        <v>23</v>
      </c>
      <c r="F464" s="44">
        <f>1.8*E464+32</f>
        <v>73.400000000000006</v>
      </c>
      <c r="G464" s="45">
        <v>20</v>
      </c>
      <c r="H464" s="44">
        <f>IF(F464&gt;68,G464+(F464-68)*0.2,Y494-(68-F464)*0.2)</f>
        <v>21.080000000000002</v>
      </c>
      <c r="I464" s="44">
        <v>23</v>
      </c>
      <c r="J464" s="44">
        <f>1.8*I464+32</f>
        <v>73.400000000000006</v>
      </c>
      <c r="K464" s="45">
        <v>10</v>
      </c>
      <c r="L464" s="44">
        <f>IF(J464&gt;68,K464+(J464-68)*0.2,K464-(68-J464)*0.2)</f>
        <v>11.080000000000002</v>
      </c>
      <c r="M464" s="43">
        <f>(C464-H464)/C464*100</f>
        <v>57.839999999999989</v>
      </c>
      <c r="N464" s="43">
        <f>100-(M464+O464)</f>
        <v>20</v>
      </c>
      <c r="O464" s="43">
        <f>L464/C464*100</f>
        <v>22.160000000000004</v>
      </c>
      <c r="P464" s="42" t="s">
        <v>2</v>
      </c>
      <c r="Q464" s="41">
        <v>407444.53600000002</v>
      </c>
      <c r="R464" s="62">
        <v>3659955.31</v>
      </c>
    </row>
    <row r="465" spans="1:18" x14ac:dyDescent="0.25">
      <c r="A465" s="49">
        <v>1768</v>
      </c>
      <c r="B465" s="48" t="s">
        <v>842</v>
      </c>
      <c r="C465" s="47">
        <v>50</v>
      </c>
      <c r="D465" s="46">
        <v>20</v>
      </c>
      <c r="E465" s="44">
        <v>23</v>
      </c>
      <c r="F465" s="44">
        <f>1.8*E465+32</f>
        <v>73.400000000000006</v>
      </c>
      <c r="G465" s="45">
        <v>20</v>
      </c>
      <c r="H465" s="44">
        <f>IF(F465&gt;68,G465+(F465-68)*0.2,Y495-(68-F465)*0.2)</f>
        <v>21.080000000000002</v>
      </c>
      <c r="I465" s="44">
        <v>23</v>
      </c>
      <c r="J465" s="44">
        <f>1.8*I465+32</f>
        <v>73.400000000000006</v>
      </c>
      <c r="K465" s="45">
        <v>10</v>
      </c>
      <c r="L465" s="44">
        <f>IF(J465&gt;68,K465+(J465-68)*0.2,K465-(68-J465)*0.2)</f>
        <v>11.080000000000002</v>
      </c>
      <c r="M465" s="43">
        <f>(C465-H465)/C465*100</f>
        <v>57.839999999999989</v>
      </c>
      <c r="N465" s="43">
        <f>100-(M465+O465)</f>
        <v>20</v>
      </c>
      <c r="O465" s="43">
        <f>L465/C465*100</f>
        <v>22.160000000000004</v>
      </c>
      <c r="P465" s="42" t="s">
        <v>2</v>
      </c>
      <c r="Q465" s="41">
        <v>407444.53600000002</v>
      </c>
      <c r="R465" s="62">
        <v>3659955.31</v>
      </c>
    </row>
    <row r="466" spans="1:18" x14ac:dyDescent="0.25">
      <c r="A466" s="49">
        <v>1768</v>
      </c>
      <c r="B466" s="48" t="s">
        <v>841</v>
      </c>
      <c r="C466" s="47">
        <v>50</v>
      </c>
      <c r="D466" s="46">
        <v>20</v>
      </c>
      <c r="E466" s="44">
        <v>23</v>
      </c>
      <c r="F466" s="44">
        <f>1.8*E466+32</f>
        <v>73.400000000000006</v>
      </c>
      <c r="G466" s="45">
        <v>17</v>
      </c>
      <c r="H466" s="44">
        <f>IF(F466&gt;68,G466+(F466-68)*0.2,Y496-(68-F466)*0.2)</f>
        <v>18.080000000000002</v>
      </c>
      <c r="I466" s="44">
        <v>23</v>
      </c>
      <c r="J466" s="44">
        <f>1.8*I466+32</f>
        <v>73.400000000000006</v>
      </c>
      <c r="K466" s="45">
        <v>10</v>
      </c>
      <c r="L466" s="44">
        <f>IF(J466&gt;68,K466+(J466-68)*0.2,K466-(68-J466)*0.2)</f>
        <v>11.080000000000002</v>
      </c>
      <c r="M466" s="43">
        <f>(C466-H466)/C466*100</f>
        <v>63.839999999999996</v>
      </c>
      <c r="N466" s="43">
        <f>100-(M466+O466)</f>
        <v>14</v>
      </c>
      <c r="O466" s="43">
        <f>L466/C466*100</f>
        <v>22.160000000000004</v>
      </c>
      <c r="P466" s="42" t="s">
        <v>2</v>
      </c>
      <c r="Q466" s="41">
        <v>407444.53600000002</v>
      </c>
      <c r="R466" s="62">
        <v>3659955.31</v>
      </c>
    </row>
    <row r="467" spans="1:18" x14ac:dyDescent="0.25">
      <c r="A467" s="49">
        <v>1768</v>
      </c>
      <c r="B467" s="48" t="s">
        <v>839</v>
      </c>
      <c r="C467" s="47">
        <v>50</v>
      </c>
      <c r="D467" s="46">
        <v>20</v>
      </c>
      <c r="E467" s="44">
        <v>23</v>
      </c>
      <c r="F467" s="44">
        <f>1.8*E467+32</f>
        <v>73.400000000000006</v>
      </c>
      <c r="G467" s="45">
        <v>15</v>
      </c>
      <c r="H467" s="44">
        <f>IF(F467&gt;68,G467+(F467-68)*0.2,Y497-(68-F467)*0.2)</f>
        <v>16.080000000000002</v>
      </c>
      <c r="I467" s="44">
        <v>23</v>
      </c>
      <c r="J467" s="44">
        <f>1.8*I467+32</f>
        <v>73.400000000000006</v>
      </c>
      <c r="K467" s="45">
        <v>6</v>
      </c>
      <c r="L467" s="44">
        <f>IF(J467&gt;68,K467+(J467-68)*0.2,K467-(68-J467)*0.2)</f>
        <v>7.080000000000001</v>
      </c>
      <c r="M467" s="43">
        <f>(C467-H467)/C467*100</f>
        <v>67.84</v>
      </c>
      <c r="N467" s="43">
        <f>100-(M467+O467)</f>
        <v>18</v>
      </c>
      <c r="O467" s="43">
        <f>L467/C467*100</f>
        <v>14.160000000000004</v>
      </c>
      <c r="P467" s="42" t="s">
        <v>0</v>
      </c>
      <c r="Q467" s="41">
        <v>407444.53600000002</v>
      </c>
      <c r="R467" s="62">
        <v>3659955.31</v>
      </c>
    </row>
    <row r="468" spans="1:18" x14ac:dyDescent="0.25">
      <c r="A468" s="61"/>
      <c r="B468" s="58"/>
      <c r="C468" s="58"/>
      <c r="D468" s="58"/>
      <c r="E468" s="58"/>
      <c r="F468" s="58"/>
      <c r="G468" s="60"/>
      <c r="H468" s="58"/>
      <c r="I468" s="58"/>
      <c r="J468" s="58"/>
      <c r="K468" s="60"/>
      <c r="L468" s="58"/>
      <c r="M468" s="59"/>
      <c r="N468" s="59"/>
      <c r="O468" s="59"/>
      <c r="P468" s="58"/>
    </row>
    <row r="469" spans="1:18" x14ac:dyDescent="0.25">
      <c r="A469" s="57"/>
      <c r="B469" s="56"/>
      <c r="C469" s="55"/>
      <c r="D469" s="54"/>
      <c r="E469" s="52"/>
      <c r="F469" s="52"/>
      <c r="G469" s="53"/>
      <c r="H469" s="52"/>
      <c r="I469" s="52"/>
      <c r="J469" s="52"/>
      <c r="K469" s="53"/>
      <c r="L469" s="52"/>
      <c r="M469" s="51"/>
      <c r="N469" s="51"/>
      <c r="O469" s="51"/>
      <c r="P469" s="50"/>
      <c r="Q469" s="5" t="s">
        <v>4</v>
      </c>
      <c r="R469" s="5" t="s">
        <v>3</v>
      </c>
    </row>
    <row r="470" spans="1:18" x14ac:dyDescent="0.25">
      <c r="A470" s="49">
        <v>1789</v>
      </c>
      <c r="B470" s="48" t="s">
        <v>845</v>
      </c>
      <c r="C470" s="47">
        <v>50</v>
      </c>
      <c r="D470" s="46">
        <v>20</v>
      </c>
      <c r="E470" s="44">
        <v>23</v>
      </c>
      <c r="F470" s="44">
        <f>1.8*E470+32</f>
        <v>73.400000000000006</v>
      </c>
      <c r="G470" s="45">
        <v>20</v>
      </c>
      <c r="H470" s="44">
        <f>IF(F470&gt;68,G470+(F470-68)*0.2,#REF!-(68-F470)*0.2)</f>
        <v>21.080000000000002</v>
      </c>
      <c r="I470" s="44">
        <v>23</v>
      </c>
      <c r="J470" s="44">
        <f>1.8*I470+32</f>
        <v>73.400000000000006</v>
      </c>
      <c r="K470" s="45">
        <v>10</v>
      </c>
      <c r="L470" s="44">
        <f>IF(J470&gt;68,K470+(J470-68)*0.2,K470-(68-J470)*0.2)</f>
        <v>11.080000000000002</v>
      </c>
      <c r="M470" s="43">
        <f>(C470-H470)/C470*100</f>
        <v>57.839999999999989</v>
      </c>
      <c r="N470" s="43">
        <f>100-(M470+O470)</f>
        <v>20</v>
      </c>
      <c r="O470" s="43">
        <f>L470/C470*100</f>
        <v>22.160000000000004</v>
      </c>
      <c r="P470" s="42" t="s">
        <v>2</v>
      </c>
      <c r="Q470" s="41">
        <v>407443.01500000001</v>
      </c>
      <c r="R470" s="41">
        <v>3659871.1290000002</v>
      </c>
    </row>
    <row r="471" spans="1:18" x14ac:dyDescent="0.25">
      <c r="A471" s="49">
        <v>1789</v>
      </c>
      <c r="B471" s="48" t="s">
        <v>844</v>
      </c>
      <c r="C471" s="47">
        <v>50</v>
      </c>
      <c r="D471" s="46">
        <v>20</v>
      </c>
      <c r="E471" s="44">
        <v>23</v>
      </c>
      <c r="F471" s="44">
        <f>1.8*E471+32</f>
        <v>73.400000000000006</v>
      </c>
      <c r="G471" s="45">
        <v>22</v>
      </c>
      <c r="H471" s="44">
        <f>IF(F471&gt;68,G471+(F471-68)*0.2,Y501-(68-F471)*0.2)</f>
        <v>23.080000000000002</v>
      </c>
      <c r="I471" s="44">
        <v>23</v>
      </c>
      <c r="J471" s="44">
        <f>1.8*I471+32</f>
        <v>73.400000000000006</v>
      </c>
      <c r="K471" s="45">
        <v>12</v>
      </c>
      <c r="L471" s="44">
        <f>IF(J471&gt;68,K471+(J471-68)*0.2,K471-(68-J471)*0.2)</f>
        <v>13.080000000000002</v>
      </c>
      <c r="M471" s="43">
        <f>(C471-H471)/C471*100</f>
        <v>53.839999999999996</v>
      </c>
      <c r="N471" s="43">
        <f>100-(M471+O471)</f>
        <v>20</v>
      </c>
      <c r="O471" s="43">
        <f>L471/C471*100</f>
        <v>26.160000000000004</v>
      </c>
      <c r="P471" s="42" t="s">
        <v>2</v>
      </c>
      <c r="Q471" s="41">
        <v>407443.01500000001</v>
      </c>
      <c r="R471" s="41">
        <v>3659871.1290000002</v>
      </c>
    </row>
    <row r="472" spans="1:18" x14ac:dyDescent="0.25">
      <c r="A472" s="49">
        <v>1789</v>
      </c>
      <c r="B472" s="48" t="s">
        <v>843</v>
      </c>
      <c r="C472" s="47">
        <v>50</v>
      </c>
      <c r="D472" s="46">
        <v>20</v>
      </c>
      <c r="E472" s="44">
        <v>23</v>
      </c>
      <c r="F472" s="44">
        <f>1.8*E472+32</f>
        <v>73.400000000000006</v>
      </c>
      <c r="G472" s="45">
        <v>21</v>
      </c>
      <c r="H472" s="44">
        <f>IF(F472&gt;68,G472+(F472-68)*0.2,#REF!-(68-F472)*0.2)</f>
        <v>22.080000000000002</v>
      </c>
      <c r="I472" s="44">
        <v>23</v>
      </c>
      <c r="J472" s="44">
        <f>1.8*I472+32</f>
        <v>73.400000000000006</v>
      </c>
      <c r="K472" s="45">
        <v>9</v>
      </c>
      <c r="L472" s="44">
        <f>IF(J472&gt;68,K472+(J472-68)*0.2,K472-(68-J472)*0.2)</f>
        <v>10.080000000000002</v>
      </c>
      <c r="M472" s="43">
        <f>(C472-H472)/C472*100</f>
        <v>55.84</v>
      </c>
      <c r="N472" s="43">
        <f>100-(M472+O472)</f>
        <v>24</v>
      </c>
      <c r="O472" s="43">
        <f>L472/C472*100</f>
        <v>20.160000000000004</v>
      </c>
      <c r="P472" s="42" t="s">
        <v>2</v>
      </c>
      <c r="Q472" s="41">
        <v>407443.01500000001</v>
      </c>
      <c r="R472" s="41">
        <v>3659871.1290000002</v>
      </c>
    </row>
    <row r="473" spans="1:18" x14ac:dyDescent="0.25">
      <c r="A473" s="49">
        <v>1789</v>
      </c>
      <c r="B473" s="48" t="s">
        <v>842</v>
      </c>
      <c r="C473" s="47">
        <v>50</v>
      </c>
      <c r="D473" s="46">
        <v>20</v>
      </c>
      <c r="E473" s="44">
        <v>23</v>
      </c>
      <c r="F473" s="44">
        <f>1.8*E473+32</f>
        <v>73.400000000000006</v>
      </c>
      <c r="G473" s="45">
        <v>21</v>
      </c>
      <c r="H473" s="44">
        <f>IF(F473&gt;68,G473+(F473-68)*0.2,Y502-(68-F473)*0.2)</f>
        <v>22.080000000000002</v>
      </c>
      <c r="I473" s="44">
        <v>23</v>
      </c>
      <c r="J473" s="44">
        <f>1.8*I473+32</f>
        <v>73.400000000000006</v>
      </c>
      <c r="K473" s="45">
        <v>10</v>
      </c>
      <c r="L473" s="44">
        <f>IF(J473&gt;68,K473+(J473-68)*0.2,K473-(68-J473)*0.2)</f>
        <v>11.080000000000002</v>
      </c>
      <c r="M473" s="43">
        <f>(C473-H473)/C473*100</f>
        <v>55.84</v>
      </c>
      <c r="N473" s="43">
        <f>100-(M473+O473)</f>
        <v>22</v>
      </c>
      <c r="O473" s="43">
        <f>L473/C473*100</f>
        <v>22.160000000000004</v>
      </c>
      <c r="P473" s="42" t="s">
        <v>2</v>
      </c>
      <c r="Q473" s="41">
        <v>407443.01500000001</v>
      </c>
      <c r="R473" s="41">
        <v>3659871.1290000002</v>
      </c>
    </row>
    <row r="474" spans="1:18" x14ac:dyDescent="0.25">
      <c r="A474" s="49">
        <v>1789</v>
      </c>
      <c r="B474" s="48" t="s">
        <v>841</v>
      </c>
      <c r="C474" s="47">
        <v>50</v>
      </c>
      <c r="D474" s="46">
        <v>20</v>
      </c>
      <c r="E474" s="44">
        <v>23</v>
      </c>
      <c r="F474" s="44">
        <f>1.8*E474+32</f>
        <v>73.400000000000006</v>
      </c>
      <c r="G474" s="45">
        <v>18</v>
      </c>
      <c r="H474" s="44">
        <f>IF(F474&gt;68,G474+(F474-68)*0.2,Y503-(68-F474)*0.2)</f>
        <v>19.080000000000002</v>
      </c>
      <c r="I474" s="44">
        <v>23</v>
      </c>
      <c r="J474" s="44">
        <f>1.8*I474+32</f>
        <v>73.400000000000006</v>
      </c>
      <c r="K474" s="45">
        <v>8</v>
      </c>
      <c r="L474" s="44">
        <f>IF(J474&gt;68,K474+(J474-68)*0.2,K474-(68-J474)*0.2)</f>
        <v>9.0800000000000018</v>
      </c>
      <c r="M474" s="43">
        <f>(C474-H474)/C474*100</f>
        <v>61.839999999999996</v>
      </c>
      <c r="N474" s="43">
        <f>100-(M474+O474)</f>
        <v>20</v>
      </c>
      <c r="O474" s="43">
        <f>L474/C474*100</f>
        <v>18.160000000000004</v>
      </c>
      <c r="P474" s="42" t="s">
        <v>0</v>
      </c>
      <c r="Q474" s="41">
        <v>407443.01500000001</v>
      </c>
      <c r="R474" s="41">
        <v>3659871.1290000002</v>
      </c>
    </row>
    <row r="475" spans="1:18" x14ac:dyDescent="0.25">
      <c r="A475" s="49">
        <v>1789</v>
      </c>
      <c r="B475" s="48" t="s">
        <v>839</v>
      </c>
      <c r="C475" s="47">
        <v>50</v>
      </c>
      <c r="D475" s="46">
        <v>20</v>
      </c>
      <c r="E475" s="44">
        <v>23</v>
      </c>
      <c r="F475" s="44">
        <f>1.8*E475+32</f>
        <v>73.400000000000006</v>
      </c>
      <c r="G475" s="45">
        <v>17</v>
      </c>
      <c r="H475" s="44">
        <f>IF(F475&gt;68,G475+(F475-68)*0.2,Y504-(68-F475)*0.2)</f>
        <v>18.080000000000002</v>
      </c>
      <c r="I475" s="44">
        <v>23</v>
      </c>
      <c r="J475" s="44">
        <f>1.8*I475+32</f>
        <v>73.400000000000006</v>
      </c>
      <c r="K475" s="45">
        <v>7</v>
      </c>
      <c r="L475" s="44">
        <f>IF(J475&gt;68,K475+(J475-68)*0.2,K475-(68-J475)*0.2)</f>
        <v>8.0800000000000018</v>
      </c>
      <c r="M475" s="43">
        <f>(C475-H475)/C475*100</f>
        <v>63.839999999999996</v>
      </c>
      <c r="N475" s="43">
        <f>100-(M475+O475)</f>
        <v>20</v>
      </c>
      <c r="O475" s="43">
        <f>L475/C475*100</f>
        <v>16.160000000000004</v>
      </c>
      <c r="P475" s="42" t="s">
        <v>0</v>
      </c>
      <c r="Q475" s="41">
        <v>407443.01500000001</v>
      </c>
      <c r="R475" s="41">
        <v>3659871.1290000002</v>
      </c>
    </row>
    <row r="476" spans="1:18" x14ac:dyDescent="0.25">
      <c r="A476" s="61"/>
      <c r="B476" s="58"/>
      <c r="C476" s="58"/>
      <c r="D476" s="58"/>
      <c r="E476" s="58"/>
      <c r="F476" s="58"/>
      <c r="G476" s="60"/>
      <c r="H476" s="58"/>
      <c r="I476" s="58"/>
      <c r="J476" s="58"/>
      <c r="K476" s="60"/>
      <c r="L476" s="58"/>
      <c r="M476" s="59"/>
      <c r="N476" s="59"/>
      <c r="O476" s="59"/>
      <c r="P476" s="58"/>
    </row>
    <row r="477" spans="1:18" x14ac:dyDescent="0.25">
      <c r="A477" s="57"/>
      <c r="B477" s="56"/>
      <c r="C477" s="55"/>
      <c r="D477" s="54"/>
      <c r="E477" s="52"/>
      <c r="F477" s="52"/>
      <c r="G477" s="53"/>
      <c r="H477" s="52"/>
      <c r="I477" s="52"/>
      <c r="J477" s="52"/>
      <c r="K477" s="53"/>
      <c r="L477" s="52"/>
      <c r="M477" s="51"/>
      <c r="N477" s="51"/>
      <c r="O477" s="51"/>
      <c r="P477" s="50"/>
      <c r="Q477" s="5" t="s">
        <v>4</v>
      </c>
      <c r="R477" s="5" t="s">
        <v>3</v>
      </c>
    </row>
    <row r="478" spans="1:18" x14ac:dyDescent="0.25">
      <c r="A478" s="49">
        <v>1799</v>
      </c>
      <c r="B478" s="48" t="s">
        <v>845</v>
      </c>
      <c r="C478" s="47">
        <v>50</v>
      </c>
      <c r="D478" s="46">
        <v>20</v>
      </c>
      <c r="E478" s="44">
        <v>23</v>
      </c>
      <c r="F478" s="44">
        <f>1.8*E478+32</f>
        <v>73.400000000000006</v>
      </c>
      <c r="G478" s="45">
        <v>21</v>
      </c>
      <c r="H478" s="44">
        <f>IF(F478&gt;68,G478+(F478-68)*0.2,#REF!-(68-F478)*0.2)</f>
        <v>22.080000000000002</v>
      </c>
      <c r="I478" s="44">
        <v>23</v>
      </c>
      <c r="J478" s="44">
        <f>1.8*I478+32</f>
        <v>73.400000000000006</v>
      </c>
      <c r="K478" s="45">
        <v>10</v>
      </c>
      <c r="L478" s="44">
        <f>IF(J478&gt;68,K478+(J478-68)*0.2,K478-(68-J478)*0.2)</f>
        <v>11.080000000000002</v>
      </c>
      <c r="M478" s="43">
        <f>(C478-H478)/C478*100</f>
        <v>55.84</v>
      </c>
      <c r="N478" s="43">
        <f>100-(M478+O478)</f>
        <v>22</v>
      </c>
      <c r="O478" s="43">
        <f>L478/C478*100</f>
        <v>22.160000000000004</v>
      </c>
      <c r="P478" s="42" t="s">
        <v>2</v>
      </c>
      <c r="Q478" s="41">
        <v>407440.51899999997</v>
      </c>
      <c r="R478" s="62">
        <v>3659890.27</v>
      </c>
    </row>
    <row r="479" spans="1:18" x14ac:dyDescent="0.25">
      <c r="A479" s="49">
        <v>1799</v>
      </c>
      <c r="B479" s="48" t="s">
        <v>844</v>
      </c>
      <c r="C479" s="47">
        <v>50</v>
      </c>
      <c r="D479" s="46">
        <v>20</v>
      </c>
      <c r="E479" s="44">
        <v>23</v>
      </c>
      <c r="F479" s="44">
        <f>1.8*E479+32</f>
        <v>73.400000000000006</v>
      </c>
      <c r="G479" s="45">
        <v>20</v>
      </c>
      <c r="H479" s="44">
        <f>IF(F479&gt;68,G479+(F479-68)*0.2,Y508-(68-F479)*0.2)</f>
        <v>21.080000000000002</v>
      </c>
      <c r="I479" s="44">
        <v>23</v>
      </c>
      <c r="J479" s="44">
        <f>1.8*I479+32</f>
        <v>73.400000000000006</v>
      </c>
      <c r="K479" s="45">
        <v>9</v>
      </c>
      <c r="L479" s="44">
        <f>IF(J479&gt;68,K479+(J479-68)*0.2,K479-(68-J479)*0.2)</f>
        <v>10.080000000000002</v>
      </c>
      <c r="M479" s="43">
        <f>(C479-H479)/C479*100</f>
        <v>57.839999999999989</v>
      </c>
      <c r="N479" s="43">
        <f>100-(M479+O479)</f>
        <v>22</v>
      </c>
      <c r="O479" s="43">
        <f>L479/C479*100</f>
        <v>20.160000000000004</v>
      </c>
      <c r="P479" s="42" t="s">
        <v>2</v>
      </c>
      <c r="Q479" s="41">
        <v>407440.51899999997</v>
      </c>
      <c r="R479" s="62">
        <v>3659890.27</v>
      </c>
    </row>
    <row r="480" spans="1:18" x14ac:dyDescent="0.25">
      <c r="A480" s="49">
        <v>1799</v>
      </c>
      <c r="B480" s="48" t="s">
        <v>843</v>
      </c>
      <c r="C480" s="47">
        <v>50</v>
      </c>
      <c r="D480" s="46">
        <v>20</v>
      </c>
      <c r="E480" s="44">
        <v>23</v>
      </c>
      <c r="F480" s="44">
        <f>1.8*E480+32</f>
        <v>73.400000000000006</v>
      </c>
      <c r="G480" s="45">
        <v>30</v>
      </c>
      <c r="H480" s="44">
        <f>IF(F480&gt;68,G480+(F480-68)*0.2,Y509-(68-F480)*0.2)</f>
        <v>31.080000000000002</v>
      </c>
      <c r="I480" s="44">
        <v>23</v>
      </c>
      <c r="J480" s="44">
        <f>1.8*I480+32</f>
        <v>73.400000000000006</v>
      </c>
      <c r="K480" s="45">
        <v>13</v>
      </c>
      <c r="L480" s="44">
        <f>IF(J480&gt;68,K480+(J480-68)*0.2,K480-(68-J480)*0.2)</f>
        <v>14.080000000000002</v>
      </c>
      <c r="M480" s="43">
        <f>(C480-H480)/C480*100</f>
        <v>37.839999999999996</v>
      </c>
      <c r="N480" s="43">
        <f>100-(M480+O480)</f>
        <v>34</v>
      </c>
      <c r="O480" s="43">
        <f>L480/C480*100</f>
        <v>28.16</v>
      </c>
      <c r="P480" s="42" t="s">
        <v>22</v>
      </c>
      <c r="Q480" s="41">
        <v>407440.51899999997</v>
      </c>
      <c r="R480" s="62">
        <v>3659890.27</v>
      </c>
    </row>
    <row r="481" spans="1:18" x14ac:dyDescent="0.25">
      <c r="A481" s="49">
        <v>1799</v>
      </c>
      <c r="B481" s="48" t="s">
        <v>842</v>
      </c>
      <c r="C481" s="47">
        <v>50</v>
      </c>
      <c r="D481" s="46">
        <v>20</v>
      </c>
      <c r="E481" s="44">
        <v>23</v>
      </c>
      <c r="F481" s="44">
        <f>1.8*E481+32</f>
        <v>73.400000000000006</v>
      </c>
      <c r="G481" s="45">
        <v>24</v>
      </c>
      <c r="H481" s="44">
        <f>IF(F481&gt;68,G481+(F481-68)*0.2,#REF!-(68-F481)*0.2)</f>
        <v>25.080000000000002</v>
      </c>
      <c r="I481" s="44">
        <v>23</v>
      </c>
      <c r="J481" s="44">
        <f>1.8*I481+32</f>
        <v>73.400000000000006</v>
      </c>
      <c r="K481" s="45">
        <v>12</v>
      </c>
      <c r="L481" s="44">
        <f>IF(J481&gt;68,K481+(J481-68)*0.2,K481-(68-J481)*0.2)</f>
        <v>13.080000000000002</v>
      </c>
      <c r="M481" s="43">
        <f>(C481-H481)/C481*100</f>
        <v>49.839999999999996</v>
      </c>
      <c r="N481" s="43">
        <f>100-(M481+O481)</f>
        <v>24</v>
      </c>
      <c r="O481" s="43">
        <f>L481/C481*100</f>
        <v>26.160000000000004</v>
      </c>
      <c r="P481" s="42" t="s">
        <v>2</v>
      </c>
      <c r="Q481" s="41">
        <v>407440.51899999997</v>
      </c>
      <c r="R481" s="62">
        <v>3659890.27</v>
      </c>
    </row>
    <row r="482" spans="1:18" x14ac:dyDescent="0.25">
      <c r="A482" s="49">
        <v>1799</v>
      </c>
      <c r="B482" s="48" t="s">
        <v>841</v>
      </c>
      <c r="C482" s="47">
        <v>50</v>
      </c>
      <c r="D482" s="46">
        <v>20</v>
      </c>
      <c r="E482" s="44">
        <v>23</v>
      </c>
      <c r="F482" s="44">
        <f>1.8*E482+32</f>
        <v>73.400000000000006</v>
      </c>
      <c r="G482" s="45">
        <v>15</v>
      </c>
      <c r="H482" s="44">
        <f>IF(F482&gt;68,G482+(F482-68)*0.2,Y510-(68-F482)*0.2)</f>
        <v>16.080000000000002</v>
      </c>
      <c r="I482" s="44">
        <v>23</v>
      </c>
      <c r="J482" s="44">
        <f>1.8*I482+32</f>
        <v>73.400000000000006</v>
      </c>
      <c r="K482" s="45">
        <v>6</v>
      </c>
      <c r="L482" s="44">
        <f>IF(J482&gt;68,K482+(J482-68)*0.2,K482-(68-J482)*0.2)</f>
        <v>7.080000000000001</v>
      </c>
      <c r="M482" s="43">
        <f>(C482-H482)/C482*100</f>
        <v>67.84</v>
      </c>
      <c r="N482" s="43">
        <f>100-(M482+O482)</f>
        <v>18</v>
      </c>
      <c r="O482" s="43">
        <f>L482/C482*100</f>
        <v>14.160000000000004</v>
      </c>
      <c r="P482" s="42" t="s">
        <v>0</v>
      </c>
      <c r="Q482" s="41">
        <v>407440.51899999997</v>
      </c>
      <c r="R482" s="62">
        <v>3659890.27</v>
      </c>
    </row>
    <row r="483" spans="1:18" x14ac:dyDescent="0.25">
      <c r="A483" s="49">
        <v>1799</v>
      </c>
      <c r="B483" s="48" t="s">
        <v>839</v>
      </c>
      <c r="C483" s="47">
        <v>50</v>
      </c>
      <c r="D483" s="46">
        <v>20</v>
      </c>
      <c r="E483" s="44">
        <v>23</v>
      </c>
      <c r="F483" s="44">
        <f>1.8*E483+32</f>
        <v>73.400000000000006</v>
      </c>
      <c r="G483" s="45">
        <v>12</v>
      </c>
      <c r="H483" s="44">
        <f>IF(F483&gt;68,G483+(F483-68)*0.2,Y511-(68-F483)*0.2)</f>
        <v>13.080000000000002</v>
      </c>
      <c r="I483" s="44">
        <v>23</v>
      </c>
      <c r="J483" s="44">
        <f>1.8*I483+32</f>
        <v>73.400000000000006</v>
      </c>
      <c r="K483" s="45">
        <v>6</v>
      </c>
      <c r="L483" s="44">
        <f>IF(J483&gt;68,K483+(J483-68)*0.2,K483-(68-J483)*0.2)</f>
        <v>7.080000000000001</v>
      </c>
      <c r="M483" s="43">
        <f>(C483-H483)/C483*100</f>
        <v>73.84</v>
      </c>
      <c r="N483" s="43">
        <f>100-(M483+O483)</f>
        <v>12</v>
      </c>
      <c r="O483" s="43">
        <f>L483/C483*100</f>
        <v>14.160000000000004</v>
      </c>
      <c r="P483" s="42" t="s">
        <v>0</v>
      </c>
      <c r="Q483" s="41">
        <v>407440.51899999997</v>
      </c>
      <c r="R483" s="62">
        <v>3659890.27</v>
      </c>
    </row>
    <row r="484" spans="1:18" x14ac:dyDescent="0.25">
      <c r="A484" s="61"/>
      <c r="B484" s="58"/>
      <c r="C484" s="58"/>
      <c r="D484" s="58"/>
      <c r="E484" s="58"/>
      <c r="F484" s="58"/>
      <c r="G484" s="60"/>
      <c r="H484" s="58"/>
      <c r="I484" s="58"/>
      <c r="J484" s="58"/>
      <c r="K484" s="60"/>
      <c r="L484" s="58"/>
      <c r="M484" s="59"/>
      <c r="N484" s="59"/>
      <c r="O484" s="59"/>
      <c r="P484" s="58"/>
    </row>
    <row r="485" spans="1:18" x14ac:dyDescent="0.25">
      <c r="A485" s="57"/>
      <c r="B485" s="56"/>
      <c r="C485" s="55"/>
      <c r="D485" s="54"/>
      <c r="E485" s="52"/>
      <c r="F485" s="52"/>
      <c r="G485" s="53"/>
      <c r="H485" s="52"/>
      <c r="I485" s="52"/>
      <c r="J485" s="52"/>
      <c r="K485" s="53"/>
      <c r="L485" s="52"/>
      <c r="M485" s="51"/>
      <c r="N485" s="51"/>
      <c r="O485" s="51"/>
      <c r="P485" s="50"/>
      <c r="Q485" s="5" t="s">
        <v>4</v>
      </c>
      <c r="R485" s="5" t="s">
        <v>3</v>
      </c>
    </row>
    <row r="486" spans="1:18" x14ac:dyDescent="0.25">
      <c r="A486" s="49">
        <v>1932</v>
      </c>
      <c r="B486" s="48" t="s">
        <v>845</v>
      </c>
      <c r="C486" s="47">
        <v>50</v>
      </c>
      <c r="D486" s="46">
        <v>20</v>
      </c>
      <c r="E486" s="44">
        <v>23</v>
      </c>
      <c r="F486" s="44">
        <f>1.8*E486+32</f>
        <v>73.400000000000006</v>
      </c>
      <c r="G486" s="45">
        <v>22</v>
      </c>
      <c r="H486" s="44">
        <f>IF(F486&gt;68,G486+(F486-68)*0.2,#REF!-(68-F486)*0.2)</f>
        <v>23.080000000000002</v>
      </c>
      <c r="I486" s="44">
        <v>23</v>
      </c>
      <c r="J486" s="44">
        <f>1.8*I486+32</f>
        <v>73.400000000000006</v>
      </c>
      <c r="K486" s="45">
        <v>12</v>
      </c>
      <c r="L486" s="44">
        <f>IF(J486&gt;68,K486+(J486-68)*0.2,K486-(68-J486)*0.2)</f>
        <v>13.080000000000002</v>
      </c>
      <c r="M486" s="43">
        <f>(C486-H486)/C486*100</f>
        <v>53.839999999999996</v>
      </c>
      <c r="N486" s="43">
        <f>100-(M486+O486)</f>
        <v>20</v>
      </c>
      <c r="O486" s="43">
        <f>L486/C486*100</f>
        <v>26.160000000000004</v>
      </c>
      <c r="P486" s="42" t="s">
        <v>2</v>
      </c>
      <c r="Q486" s="41">
        <v>407424.848</v>
      </c>
      <c r="R486" s="41">
        <v>3659891.2620000001</v>
      </c>
    </row>
    <row r="487" spans="1:18" x14ac:dyDescent="0.25">
      <c r="A487" s="49">
        <v>1932</v>
      </c>
      <c r="B487" s="48" t="s">
        <v>844</v>
      </c>
      <c r="C487" s="47">
        <v>50</v>
      </c>
      <c r="D487" s="46">
        <v>20</v>
      </c>
      <c r="E487" s="44">
        <v>23</v>
      </c>
      <c r="F487" s="44">
        <f>1.8*E487+32</f>
        <v>73.400000000000006</v>
      </c>
      <c r="G487" s="45">
        <v>22</v>
      </c>
      <c r="H487" s="44">
        <f>IF(F487&gt;68,G487+(F487-68)*0.2,Y515-(68-F487)*0.2)</f>
        <v>23.080000000000002</v>
      </c>
      <c r="I487" s="44">
        <v>23</v>
      </c>
      <c r="J487" s="44">
        <f>1.8*I487+32</f>
        <v>73.400000000000006</v>
      </c>
      <c r="K487" s="45">
        <v>12</v>
      </c>
      <c r="L487" s="44">
        <f>IF(J487&gt;68,K487+(J487-68)*0.2,K487-(68-J487)*0.2)</f>
        <v>13.080000000000002</v>
      </c>
      <c r="M487" s="43">
        <f>(C487-H487)/C487*100</f>
        <v>53.839999999999996</v>
      </c>
      <c r="N487" s="43">
        <f>100-(M487+O487)</f>
        <v>20</v>
      </c>
      <c r="O487" s="43">
        <f>L487/C487*100</f>
        <v>26.160000000000004</v>
      </c>
      <c r="P487" s="42" t="s">
        <v>2</v>
      </c>
      <c r="Q487" s="41">
        <v>407424.848</v>
      </c>
      <c r="R487" s="41">
        <v>3659891.2620000001</v>
      </c>
    </row>
    <row r="488" spans="1:18" x14ac:dyDescent="0.25">
      <c r="A488" s="49">
        <v>1932</v>
      </c>
      <c r="B488" s="48" t="s">
        <v>843</v>
      </c>
      <c r="C488" s="47">
        <v>50</v>
      </c>
      <c r="D488" s="46">
        <v>20</v>
      </c>
      <c r="E488" s="44">
        <v>23</v>
      </c>
      <c r="F488" s="44">
        <f>1.8*E488+32</f>
        <v>73.400000000000006</v>
      </c>
      <c r="G488" s="45">
        <v>20</v>
      </c>
      <c r="H488" s="44">
        <f>IF(F488&gt;68,G488+(F488-68)*0.2,Y516-(68-F488)*0.2)</f>
        <v>21.080000000000002</v>
      </c>
      <c r="I488" s="44">
        <v>23</v>
      </c>
      <c r="J488" s="44">
        <f>1.8*I488+32</f>
        <v>73.400000000000006</v>
      </c>
      <c r="K488" s="45">
        <v>9</v>
      </c>
      <c r="L488" s="44">
        <f>IF(J488&gt;68,K488+(J488-68)*0.2,K488-(68-J488)*0.2)</f>
        <v>10.080000000000002</v>
      </c>
      <c r="M488" s="43">
        <f>(C488-H488)/C488*100</f>
        <v>57.839999999999989</v>
      </c>
      <c r="N488" s="43">
        <f>100-(M488+O488)</f>
        <v>22</v>
      </c>
      <c r="O488" s="43">
        <f>L488/C488*100</f>
        <v>20.160000000000004</v>
      </c>
      <c r="P488" s="42" t="s">
        <v>2</v>
      </c>
      <c r="Q488" s="41">
        <v>407424.848</v>
      </c>
      <c r="R488" s="41">
        <v>3659891.2620000001</v>
      </c>
    </row>
    <row r="489" spans="1:18" x14ac:dyDescent="0.25">
      <c r="A489" s="49">
        <v>1932</v>
      </c>
      <c r="B489" s="48" t="s">
        <v>842</v>
      </c>
      <c r="C489" s="47">
        <v>50</v>
      </c>
      <c r="D489" s="46">
        <v>20</v>
      </c>
      <c r="E489" s="44">
        <v>23</v>
      </c>
      <c r="F489" s="44">
        <f>1.8*E489+32</f>
        <v>73.400000000000006</v>
      </c>
      <c r="G489" s="45">
        <v>16</v>
      </c>
      <c r="H489" s="44">
        <f>IF(F489&gt;68,G489+(F489-68)*0.2,Y517-(68-F489)*0.2)</f>
        <v>17.080000000000002</v>
      </c>
      <c r="I489" s="44">
        <v>23</v>
      </c>
      <c r="J489" s="44">
        <f>1.8*I489+32</f>
        <v>73.400000000000006</v>
      </c>
      <c r="K489" s="45">
        <v>9</v>
      </c>
      <c r="L489" s="44">
        <f>IF(J489&gt;68,K489+(J489-68)*0.2,K489-(68-J489)*0.2)</f>
        <v>10.080000000000002</v>
      </c>
      <c r="M489" s="43">
        <f>(C489-H489)/C489*100</f>
        <v>65.84</v>
      </c>
      <c r="N489" s="43">
        <f>100-(M489+O489)</f>
        <v>14</v>
      </c>
      <c r="O489" s="43">
        <f>L489/C489*100</f>
        <v>20.160000000000004</v>
      </c>
      <c r="P489" s="42" t="s">
        <v>2</v>
      </c>
      <c r="Q489" s="41">
        <v>407424.848</v>
      </c>
      <c r="R489" s="41">
        <v>3659891.2620000001</v>
      </c>
    </row>
    <row r="490" spans="1:18" x14ac:dyDescent="0.25">
      <c r="A490" s="49">
        <v>1932</v>
      </c>
      <c r="B490" s="48" t="s">
        <v>841</v>
      </c>
      <c r="C490" s="47">
        <v>50</v>
      </c>
      <c r="D490" s="46">
        <v>20</v>
      </c>
      <c r="E490" s="44">
        <v>23</v>
      </c>
      <c r="F490" s="44">
        <f>1.8*E490+32</f>
        <v>73.400000000000006</v>
      </c>
      <c r="G490" s="45">
        <v>16</v>
      </c>
      <c r="H490" s="44">
        <f>IF(F490&gt;68,G490+(F490-68)*0.2,#REF!-(68-F490)*0.2)</f>
        <v>17.080000000000002</v>
      </c>
      <c r="I490" s="44">
        <v>23</v>
      </c>
      <c r="J490" s="44">
        <f>1.8*I490+32</f>
        <v>73.400000000000006</v>
      </c>
      <c r="K490" s="45">
        <v>9</v>
      </c>
      <c r="L490" s="44">
        <f>IF(J490&gt;68,K490+(J490-68)*0.2,K490-(68-J490)*0.2)</f>
        <v>10.080000000000002</v>
      </c>
      <c r="M490" s="43">
        <f>(C490-H490)/C490*100</f>
        <v>65.84</v>
      </c>
      <c r="N490" s="43">
        <f>100-(M490+O490)</f>
        <v>14</v>
      </c>
      <c r="O490" s="43">
        <f>L490/C490*100</f>
        <v>20.160000000000004</v>
      </c>
      <c r="P490" s="42" t="s">
        <v>2</v>
      </c>
      <c r="Q490" s="41">
        <v>407424.848</v>
      </c>
      <c r="R490" s="41">
        <v>3659891.2620000001</v>
      </c>
    </row>
    <row r="491" spans="1:18" x14ac:dyDescent="0.25">
      <c r="A491" s="49">
        <v>1932</v>
      </c>
      <c r="B491" s="48" t="s">
        <v>839</v>
      </c>
      <c r="C491" s="47">
        <v>50</v>
      </c>
      <c r="D491" s="46">
        <v>20</v>
      </c>
      <c r="E491" s="44">
        <v>23</v>
      </c>
      <c r="F491" s="44">
        <f>1.8*E491+32</f>
        <v>73.400000000000006</v>
      </c>
      <c r="G491" s="45">
        <v>17</v>
      </c>
      <c r="H491" s="44">
        <f>IF(F491&gt;68,G491+(F491-68)*0.2,Y518-(68-F491)*0.2)</f>
        <v>18.080000000000002</v>
      </c>
      <c r="I491" s="44">
        <v>23</v>
      </c>
      <c r="J491" s="44">
        <f>1.8*I491+32</f>
        <v>73.400000000000006</v>
      </c>
      <c r="K491" s="45">
        <v>9</v>
      </c>
      <c r="L491" s="44">
        <f>IF(J491&gt;68,K491+(J491-68)*0.2,K491-(68-J491)*0.2)</f>
        <v>10.080000000000002</v>
      </c>
      <c r="M491" s="43">
        <f>(C491-H491)/C491*100</f>
        <v>63.839999999999996</v>
      </c>
      <c r="N491" s="43">
        <f>100-(M491+O491)</f>
        <v>16</v>
      </c>
      <c r="O491" s="43">
        <f>L491/C491*100</f>
        <v>20.160000000000004</v>
      </c>
      <c r="P491" s="42" t="s">
        <v>2</v>
      </c>
      <c r="Q491" s="41">
        <v>407424.848</v>
      </c>
      <c r="R491" s="41">
        <v>3659891.2620000001</v>
      </c>
    </row>
    <row r="492" spans="1:18" x14ac:dyDescent="0.25">
      <c r="A492" s="61"/>
      <c r="B492" s="58"/>
      <c r="C492" s="58"/>
      <c r="D492" s="58"/>
      <c r="E492" s="58"/>
      <c r="F492" s="58"/>
      <c r="G492" s="60"/>
      <c r="H492" s="58"/>
      <c r="I492" s="58"/>
      <c r="J492" s="58"/>
      <c r="K492" s="60"/>
      <c r="L492" s="58"/>
      <c r="M492" s="59"/>
      <c r="N492" s="59"/>
      <c r="O492" s="59"/>
      <c r="P492" s="58"/>
    </row>
    <row r="493" spans="1:18" x14ac:dyDescent="0.25">
      <c r="A493" s="57"/>
      <c r="B493" s="56"/>
      <c r="C493" s="55"/>
      <c r="D493" s="54"/>
      <c r="E493" s="52"/>
      <c r="F493" s="52"/>
      <c r="G493" s="53"/>
      <c r="H493" s="52"/>
      <c r="I493" s="52"/>
      <c r="J493" s="52"/>
      <c r="K493" s="53"/>
      <c r="L493" s="52"/>
      <c r="M493" s="51"/>
      <c r="N493" s="51"/>
      <c r="O493" s="51"/>
      <c r="P493" s="50"/>
      <c r="Q493" s="5" t="s">
        <v>4</v>
      </c>
      <c r="R493" s="5" t="s">
        <v>3</v>
      </c>
    </row>
    <row r="494" spans="1:18" x14ac:dyDescent="0.25">
      <c r="A494" s="49">
        <v>1938</v>
      </c>
      <c r="B494" s="48" t="s">
        <v>845</v>
      </c>
      <c r="C494" s="47">
        <v>50</v>
      </c>
      <c r="D494" s="46">
        <v>20</v>
      </c>
      <c r="E494" s="44">
        <v>23</v>
      </c>
      <c r="F494" s="44">
        <f>1.8*E494+32</f>
        <v>73.400000000000006</v>
      </c>
      <c r="G494" s="45">
        <v>20</v>
      </c>
      <c r="H494" s="44">
        <f>IF(F494&gt;68,G494+(F494-68)*0.2,Y529-(68-F494)*0.2)</f>
        <v>21.080000000000002</v>
      </c>
      <c r="I494" s="44">
        <v>23</v>
      </c>
      <c r="J494" s="44">
        <f>1.8*I494+32</f>
        <v>73.400000000000006</v>
      </c>
      <c r="K494" s="45">
        <v>10</v>
      </c>
      <c r="L494" s="44">
        <f>IF(J494&gt;68,K494+(J494-68)*0.2,K494-(68-J494)*0.2)</f>
        <v>11.080000000000002</v>
      </c>
      <c r="M494" s="43">
        <f>(C494-H494)/C494*100</f>
        <v>57.839999999999989</v>
      </c>
      <c r="N494" s="43">
        <f>100-(M494+O494)</f>
        <v>20</v>
      </c>
      <c r="O494" s="43">
        <f>L494/C494*100</f>
        <v>22.160000000000004</v>
      </c>
      <c r="P494" s="42" t="s">
        <v>2</v>
      </c>
      <c r="Q494" s="41">
        <v>407425.26500000001</v>
      </c>
      <c r="R494" s="41">
        <v>3659915.037</v>
      </c>
    </row>
    <row r="495" spans="1:18" x14ac:dyDescent="0.25">
      <c r="A495" s="49">
        <v>1938</v>
      </c>
      <c r="B495" s="48" t="s">
        <v>844</v>
      </c>
      <c r="C495" s="47">
        <v>50</v>
      </c>
      <c r="D495" s="46">
        <v>20</v>
      </c>
      <c r="E495" s="44">
        <v>23</v>
      </c>
      <c r="F495" s="44">
        <f>1.8*E495+32</f>
        <v>73.400000000000006</v>
      </c>
      <c r="G495" s="45">
        <v>20</v>
      </c>
      <c r="H495" s="44">
        <f>IF(F495&gt;68,G495+(F495-68)*0.2,Y522-(68-F495)*0.2)</f>
        <v>21.080000000000002</v>
      </c>
      <c r="I495" s="44">
        <v>23</v>
      </c>
      <c r="J495" s="44">
        <f>1.8*I495+32</f>
        <v>73.400000000000006</v>
      </c>
      <c r="K495" s="45">
        <v>10</v>
      </c>
      <c r="L495" s="44">
        <f>IF(J495&gt;68,K495+(J495-68)*0.2,K495-(68-J495)*0.2)</f>
        <v>11.080000000000002</v>
      </c>
      <c r="M495" s="43">
        <f>(C495-H495)/C495*100</f>
        <v>57.839999999999989</v>
      </c>
      <c r="N495" s="43">
        <f>100-(M495+O495)</f>
        <v>20</v>
      </c>
      <c r="O495" s="43">
        <f>L495/C495*100</f>
        <v>22.160000000000004</v>
      </c>
      <c r="P495" s="42" t="s">
        <v>2</v>
      </c>
      <c r="Q495" s="41">
        <v>407425.26500000001</v>
      </c>
      <c r="R495" s="41">
        <v>3659915.037</v>
      </c>
    </row>
    <row r="496" spans="1:18" x14ac:dyDescent="0.25">
      <c r="A496" s="49">
        <v>1938</v>
      </c>
      <c r="B496" s="48" t="s">
        <v>843</v>
      </c>
      <c r="C496" s="47">
        <v>50</v>
      </c>
      <c r="D496" s="46">
        <v>20</v>
      </c>
      <c r="E496" s="44">
        <v>23</v>
      </c>
      <c r="F496" s="44">
        <f>1.8*E496+32</f>
        <v>73.400000000000006</v>
      </c>
      <c r="G496" s="45">
        <v>14</v>
      </c>
      <c r="H496" s="44">
        <f>IF(F496&gt;68,G496+(F496-68)*0.2,Y523-(68-F496)*0.2)</f>
        <v>15.080000000000002</v>
      </c>
      <c r="I496" s="44">
        <v>23</v>
      </c>
      <c r="J496" s="44">
        <f>1.8*I496+32</f>
        <v>73.400000000000006</v>
      </c>
      <c r="K496" s="45">
        <v>5</v>
      </c>
      <c r="L496" s="44">
        <f>IF(J496&gt;68,K496+(J496-68)*0.2,K496-(68-J496)*0.2)</f>
        <v>6.080000000000001</v>
      </c>
      <c r="M496" s="43">
        <f>(C496-H496)/C496*100</f>
        <v>69.84</v>
      </c>
      <c r="N496" s="43">
        <f>100-(M496+O496)</f>
        <v>18</v>
      </c>
      <c r="O496" s="43">
        <f>L496/C496*100</f>
        <v>12.160000000000002</v>
      </c>
      <c r="P496" s="42" t="s">
        <v>0</v>
      </c>
      <c r="Q496" s="41">
        <v>407425.26500000001</v>
      </c>
      <c r="R496" s="41">
        <v>3659915.037</v>
      </c>
    </row>
    <row r="497" spans="1:18" x14ac:dyDescent="0.25">
      <c r="A497" s="49">
        <v>1938</v>
      </c>
      <c r="B497" s="48" t="s">
        <v>842</v>
      </c>
      <c r="C497" s="47">
        <v>50</v>
      </c>
      <c r="D497" s="46">
        <v>20</v>
      </c>
      <c r="E497" s="44">
        <v>23</v>
      </c>
      <c r="F497" s="44">
        <f>1.8*E497+32</f>
        <v>73.400000000000006</v>
      </c>
      <c r="G497" s="45">
        <v>15</v>
      </c>
      <c r="H497" s="44">
        <f>IF(F497&gt;68,G497+(F497-68)*0.2,Y524-(68-F497)*0.2)</f>
        <v>16.080000000000002</v>
      </c>
      <c r="I497" s="44">
        <v>23</v>
      </c>
      <c r="J497" s="44">
        <f>1.8*I497+32</f>
        <v>73.400000000000006</v>
      </c>
      <c r="K497" s="45">
        <v>5</v>
      </c>
      <c r="L497" s="44">
        <f>IF(J497&gt;68,K497+(J497-68)*0.2,K497-(68-J497)*0.2)</f>
        <v>6.080000000000001</v>
      </c>
      <c r="M497" s="43">
        <f>(C497-H497)/C497*100</f>
        <v>67.84</v>
      </c>
      <c r="N497" s="43">
        <f>100-(M497+O497)</f>
        <v>20</v>
      </c>
      <c r="O497" s="43">
        <f>L497/C497*100</f>
        <v>12.160000000000002</v>
      </c>
      <c r="P497" s="42" t="s">
        <v>0</v>
      </c>
      <c r="Q497" s="41">
        <v>407425.26500000001</v>
      </c>
      <c r="R497" s="41">
        <v>3659915.037</v>
      </c>
    </row>
    <row r="498" spans="1:18" x14ac:dyDescent="0.25">
      <c r="A498" s="49">
        <v>1938</v>
      </c>
      <c r="B498" s="48" t="s">
        <v>841</v>
      </c>
      <c r="C498" s="47">
        <v>50</v>
      </c>
      <c r="D498" s="46">
        <v>20</v>
      </c>
      <c r="E498" s="44">
        <v>23</v>
      </c>
      <c r="F498" s="44">
        <f>1.8*E498+32</f>
        <v>73.400000000000006</v>
      </c>
      <c r="G498" s="45">
        <v>15</v>
      </c>
      <c r="H498" s="44">
        <f>IF(F498&gt;68,G498+(F498-68)*0.2,Y525-(68-F498)*0.2)</f>
        <v>16.080000000000002</v>
      </c>
      <c r="I498" s="44">
        <v>23</v>
      </c>
      <c r="J498" s="44">
        <f>1.8*I498+32</f>
        <v>73.400000000000006</v>
      </c>
      <c r="K498" s="45">
        <v>7</v>
      </c>
      <c r="L498" s="44">
        <f>IF(J498&gt;68,K498+(J498-68)*0.2,K498-(68-J498)*0.2)</f>
        <v>8.0800000000000018</v>
      </c>
      <c r="M498" s="43">
        <f>(C498-H498)/C498*100</f>
        <v>67.84</v>
      </c>
      <c r="N498" s="43">
        <f>100-(M498+O498)</f>
        <v>16</v>
      </c>
      <c r="O498" s="43">
        <f>L498/C498*100</f>
        <v>16.160000000000004</v>
      </c>
      <c r="P498" s="42" t="s">
        <v>0</v>
      </c>
      <c r="Q498" s="41">
        <v>407425.26500000001</v>
      </c>
      <c r="R498" s="41">
        <v>3659915.037</v>
      </c>
    </row>
    <row r="499" spans="1:18" x14ac:dyDescent="0.25">
      <c r="A499" s="49">
        <v>1938</v>
      </c>
      <c r="B499" s="48" t="s">
        <v>839</v>
      </c>
      <c r="C499" s="47">
        <v>50</v>
      </c>
      <c r="D499" s="46">
        <v>20</v>
      </c>
      <c r="E499" s="44">
        <v>23</v>
      </c>
      <c r="F499" s="44">
        <f>1.8*E499+32</f>
        <v>73.400000000000006</v>
      </c>
      <c r="G499" s="45">
        <v>13</v>
      </c>
      <c r="H499" s="44">
        <f>IF(F499&gt;68,G499+(F499-68)*0.2,#REF!-(68-F499)*0.2)</f>
        <v>14.080000000000002</v>
      </c>
      <c r="I499" s="44">
        <v>23</v>
      </c>
      <c r="J499" s="44">
        <f>1.8*I499+32</f>
        <v>73.400000000000006</v>
      </c>
      <c r="K499" s="45">
        <v>5</v>
      </c>
      <c r="L499" s="44">
        <f>IF(J499&gt;68,K499+(J499-68)*0.2,K499-(68-J499)*0.2)</f>
        <v>6.080000000000001</v>
      </c>
      <c r="M499" s="43">
        <f>(C499-H499)/C499*100</f>
        <v>71.84</v>
      </c>
      <c r="N499" s="43">
        <f>100-(M499+O499)</f>
        <v>16</v>
      </c>
      <c r="O499" s="43">
        <f>L499/C499*100</f>
        <v>12.160000000000002</v>
      </c>
      <c r="P499" s="42" t="s">
        <v>0</v>
      </c>
      <c r="Q499" s="41">
        <v>407425.26500000001</v>
      </c>
      <c r="R499" s="41">
        <v>3659915.037</v>
      </c>
    </row>
    <row r="500" spans="1:18" x14ac:dyDescent="0.25">
      <c r="A500" s="61"/>
      <c r="B500" s="58"/>
      <c r="C500" s="58"/>
      <c r="D500" s="58"/>
      <c r="E500" s="58"/>
      <c r="F500" s="58"/>
      <c r="G500" s="60"/>
      <c r="H500" s="58"/>
      <c r="I500" s="58"/>
      <c r="J500" s="58"/>
      <c r="K500" s="60"/>
      <c r="L500" s="58"/>
      <c r="M500" s="59"/>
      <c r="N500" s="59"/>
      <c r="O500" s="59"/>
      <c r="P500" s="58"/>
    </row>
    <row r="501" spans="1:18" x14ac:dyDescent="0.25">
      <c r="A501" s="57"/>
      <c r="B501" s="56"/>
      <c r="C501" s="55"/>
      <c r="D501" s="54"/>
      <c r="E501" s="52"/>
      <c r="F501" s="52"/>
      <c r="G501" s="53"/>
      <c r="H501" s="52"/>
      <c r="I501" s="52"/>
      <c r="J501" s="52"/>
      <c r="K501" s="53"/>
      <c r="L501" s="52"/>
      <c r="M501" s="51"/>
      <c r="N501" s="51"/>
      <c r="O501" s="51"/>
      <c r="P501" s="50"/>
      <c r="Q501" s="5" t="s">
        <v>4</v>
      </c>
      <c r="R501" s="5" t="s">
        <v>3</v>
      </c>
    </row>
    <row r="502" spans="1:18" x14ac:dyDescent="0.25">
      <c r="A502" s="49" t="s">
        <v>853</v>
      </c>
      <c r="B502" s="48" t="s">
        <v>845</v>
      </c>
      <c r="C502" s="47">
        <v>50</v>
      </c>
      <c r="D502" s="46">
        <v>20</v>
      </c>
      <c r="E502" s="44">
        <v>23</v>
      </c>
      <c r="F502" s="44">
        <f>1.8*E502+32</f>
        <v>73.400000000000006</v>
      </c>
      <c r="G502" s="45">
        <v>21</v>
      </c>
      <c r="H502" s="44">
        <f>IF(F502&gt;68,G502+(F502-68)*0.2,#REF!-(68-F502)*0.2)</f>
        <v>22.080000000000002</v>
      </c>
      <c r="I502" s="44">
        <v>23</v>
      </c>
      <c r="J502" s="44">
        <f>1.8*I502+32</f>
        <v>73.400000000000006</v>
      </c>
      <c r="K502" s="45">
        <v>10</v>
      </c>
      <c r="L502" s="44">
        <f>IF(J502&gt;68,K502+(J502-68)*0.2,K502-(68-J502)*0.2)</f>
        <v>11.080000000000002</v>
      </c>
      <c r="M502" s="43">
        <f>(C502-H502)/C502*100</f>
        <v>55.84</v>
      </c>
      <c r="N502" s="43">
        <f>100-(M502+O502)</f>
        <v>22</v>
      </c>
      <c r="O502" s="43">
        <f>L502/C502*100</f>
        <v>22.160000000000004</v>
      </c>
      <c r="P502" s="42" t="s">
        <v>2</v>
      </c>
      <c r="Q502" s="41">
        <v>407425.26500000001</v>
      </c>
      <c r="R502" s="41">
        <v>3659915.037</v>
      </c>
    </row>
    <row r="503" spans="1:18" x14ac:dyDescent="0.25">
      <c r="A503" s="49" t="s">
        <v>853</v>
      </c>
      <c r="B503" s="48" t="s">
        <v>844</v>
      </c>
      <c r="C503" s="47">
        <v>50</v>
      </c>
      <c r="D503" s="46">
        <v>20</v>
      </c>
      <c r="E503" s="44">
        <v>23</v>
      </c>
      <c r="F503" s="44">
        <f>1.8*E503+32</f>
        <v>73.400000000000006</v>
      </c>
      <c r="G503" s="45">
        <v>18</v>
      </c>
      <c r="H503" s="44">
        <f>IF(F503&gt;68,G503+(F503-68)*0.2,Y538-(68-F503)*0.2)</f>
        <v>19.080000000000002</v>
      </c>
      <c r="I503" s="44">
        <v>23</v>
      </c>
      <c r="J503" s="44">
        <f>1.8*I503+32</f>
        <v>73.400000000000006</v>
      </c>
      <c r="K503" s="45">
        <v>9</v>
      </c>
      <c r="L503" s="44">
        <f>IF(J503&gt;68,K503+(J503-68)*0.2,K503-(68-J503)*0.2)</f>
        <v>10.080000000000002</v>
      </c>
      <c r="M503" s="43">
        <f>(C503-H503)/C503*100</f>
        <v>61.839999999999996</v>
      </c>
      <c r="N503" s="43">
        <f>100-(M503+O503)</f>
        <v>18</v>
      </c>
      <c r="O503" s="43">
        <f>L503/C503*100</f>
        <v>20.160000000000004</v>
      </c>
      <c r="P503" s="42" t="s">
        <v>2</v>
      </c>
      <c r="Q503" s="41">
        <v>407425.26500000001</v>
      </c>
      <c r="R503" s="41">
        <v>3659915.037</v>
      </c>
    </row>
    <row r="504" spans="1:18" x14ac:dyDescent="0.25">
      <c r="A504" s="49" t="s">
        <v>853</v>
      </c>
      <c r="B504" s="48" t="s">
        <v>843</v>
      </c>
      <c r="C504" s="47">
        <v>50</v>
      </c>
      <c r="D504" s="46">
        <v>20</v>
      </c>
      <c r="E504" s="44">
        <v>23</v>
      </c>
      <c r="F504" s="44">
        <f>1.8*E504+32</f>
        <v>73.400000000000006</v>
      </c>
      <c r="G504" s="45">
        <v>14</v>
      </c>
      <c r="H504" s="44">
        <f>IF(F504&gt;68,G504+(F504-68)*0.2,Y530-(68-F504)*0.2)</f>
        <v>15.080000000000002</v>
      </c>
      <c r="I504" s="44">
        <v>23</v>
      </c>
      <c r="J504" s="44">
        <f>1.8*I504+32</f>
        <v>73.400000000000006</v>
      </c>
      <c r="K504" s="45">
        <v>7</v>
      </c>
      <c r="L504" s="44">
        <f>IF(J504&gt;68,K504+(J504-68)*0.2,K504-(68-J504)*0.2)</f>
        <v>8.0800000000000018</v>
      </c>
      <c r="M504" s="43">
        <f>(C504-H504)/C504*100</f>
        <v>69.84</v>
      </c>
      <c r="N504" s="43">
        <f>100-(M504+O504)</f>
        <v>14</v>
      </c>
      <c r="O504" s="43">
        <f>L504/C504*100</f>
        <v>16.160000000000004</v>
      </c>
      <c r="P504" s="42" t="s">
        <v>0</v>
      </c>
      <c r="Q504" s="41">
        <v>407425.26500000001</v>
      </c>
      <c r="R504" s="41">
        <v>3659915.037</v>
      </c>
    </row>
    <row r="505" spans="1:18" x14ac:dyDescent="0.25">
      <c r="A505" s="49" t="s">
        <v>853</v>
      </c>
      <c r="B505" s="48" t="s">
        <v>842</v>
      </c>
      <c r="C505" s="47">
        <v>50</v>
      </c>
      <c r="D505" s="46">
        <v>20</v>
      </c>
      <c r="E505" s="44">
        <v>23</v>
      </c>
      <c r="F505" s="44">
        <f>1.8*E505+32</f>
        <v>73.400000000000006</v>
      </c>
      <c r="G505" s="45">
        <v>12</v>
      </c>
      <c r="H505" s="44">
        <f>IF(F505&gt;68,G505+(F505-68)*0.2,Y531-(68-F505)*0.2)</f>
        <v>13.080000000000002</v>
      </c>
      <c r="I505" s="44">
        <v>23</v>
      </c>
      <c r="J505" s="44">
        <f>1.8*I505+32</f>
        <v>73.400000000000006</v>
      </c>
      <c r="K505" s="45">
        <v>5</v>
      </c>
      <c r="L505" s="44">
        <f>IF(J505&gt;68,K505+(J505-68)*0.2,K505-(68-J505)*0.2)</f>
        <v>6.080000000000001</v>
      </c>
      <c r="M505" s="43">
        <f>(C505-H505)/C505*100</f>
        <v>73.84</v>
      </c>
      <c r="N505" s="43">
        <f>100-(M505+O505)</f>
        <v>14</v>
      </c>
      <c r="O505" s="43">
        <f>L505/C505*100</f>
        <v>12.160000000000002</v>
      </c>
      <c r="P505" s="42" t="s">
        <v>0</v>
      </c>
      <c r="Q505" s="41">
        <v>407425.26500000001</v>
      </c>
      <c r="R505" s="41">
        <v>3659915.037</v>
      </c>
    </row>
    <row r="506" spans="1:18" x14ac:dyDescent="0.25">
      <c r="A506" s="49" t="s">
        <v>853</v>
      </c>
      <c r="B506" s="48" t="s">
        <v>841</v>
      </c>
      <c r="C506" s="47">
        <v>50</v>
      </c>
      <c r="D506" s="46">
        <v>20</v>
      </c>
      <c r="E506" s="44">
        <v>23</v>
      </c>
      <c r="F506" s="44">
        <f>1.8*E506+32</f>
        <v>73.400000000000006</v>
      </c>
      <c r="G506" s="45">
        <v>16</v>
      </c>
      <c r="H506" s="44">
        <f>IF(F506&gt;68,G506+(F506-68)*0.2,Y532-(68-F506)*0.2)</f>
        <v>17.080000000000002</v>
      </c>
      <c r="I506" s="44">
        <v>23</v>
      </c>
      <c r="J506" s="44">
        <f>1.8*I506+32</f>
        <v>73.400000000000006</v>
      </c>
      <c r="K506" s="45">
        <v>6</v>
      </c>
      <c r="L506" s="44">
        <f>IF(J506&gt;68,K506+(J506-68)*0.2,K506-(68-J506)*0.2)</f>
        <v>7.080000000000001</v>
      </c>
      <c r="M506" s="43">
        <f>(C506-H506)/C506*100</f>
        <v>65.84</v>
      </c>
      <c r="N506" s="43">
        <f>100-(M506+O506)</f>
        <v>20</v>
      </c>
      <c r="O506" s="43">
        <f>L506/C506*100</f>
        <v>14.160000000000004</v>
      </c>
      <c r="P506" s="42" t="s">
        <v>0</v>
      </c>
      <c r="Q506" s="41">
        <v>407425.26500000001</v>
      </c>
      <c r="R506" s="41">
        <v>3659915.037</v>
      </c>
    </row>
    <row r="507" spans="1:18" x14ac:dyDescent="0.25">
      <c r="A507" s="49" t="s">
        <v>853</v>
      </c>
      <c r="B507" s="48" t="s">
        <v>839</v>
      </c>
      <c r="C507" s="47">
        <v>50</v>
      </c>
      <c r="D507" s="46">
        <v>20</v>
      </c>
      <c r="E507" s="44">
        <v>23</v>
      </c>
      <c r="F507" s="44">
        <f>1.8*E507+32</f>
        <v>73.400000000000006</v>
      </c>
      <c r="G507" s="45">
        <v>11</v>
      </c>
      <c r="H507" s="44">
        <f>IF(F507&gt;68,G507+(F507-68)*0.2,Y533-(68-F507)*0.2)</f>
        <v>12.080000000000002</v>
      </c>
      <c r="I507" s="44">
        <v>23</v>
      </c>
      <c r="J507" s="44">
        <f>1.8*I507+32</f>
        <v>73.400000000000006</v>
      </c>
      <c r="K507" s="45">
        <v>5</v>
      </c>
      <c r="L507" s="44">
        <f>IF(J507&gt;68,K507+(J507-68)*0.2,K507-(68-J507)*0.2)</f>
        <v>6.080000000000001</v>
      </c>
      <c r="M507" s="43">
        <f>(C507-H507)/C507*100</f>
        <v>75.84</v>
      </c>
      <c r="N507" s="43">
        <f>100-(M507+O507)</f>
        <v>12</v>
      </c>
      <c r="O507" s="43">
        <f>L507/C507*100</f>
        <v>12.160000000000002</v>
      </c>
      <c r="P507" s="42" t="s">
        <v>0</v>
      </c>
      <c r="Q507" s="41">
        <v>407425.26500000001</v>
      </c>
      <c r="R507" s="41">
        <v>3659915.037</v>
      </c>
    </row>
    <row r="508" spans="1:18" x14ac:dyDescent="0.25">
      <c r="A508" s="61"/>
      <c r="B508" s="58"/>
      <c r="C508" s="58"/>
      <c r="D508" s="58"/>
      <c r="E508" s="58"/>
      <c r="F508" s="58"/>
      <c r="G508" s="60"/>
      <c r="H508" s="58"/>
      <c r="I508" s="58"/>
      <c r="J508" s="58"/>
      <c r="K508" s="60"/>
      <c r="L508" s="58"/>
      <c r="M508" s="59"/>
      <c r="N508" s="59"/>
      <c r="O508" s="59"/>
      <c r="P508" s="58"/>
    </row>
    <row r="509" spans="1:18" x14ac:dyDescent="0.25">
      <c r="A509" s="57"/>
      <c r="B509" s="56"/>
      <c r="C509" s="55"/>
      <c r="D509" s="54"/>
      <c r="E509" s="52"/>
      <c r="F509" s="52"/>
      <c r="G509" s="53"/>
      <c r="H509" s="52"/>
      <c r="I509" s="52"/>
      <c r="J509" s="52"/>
      <c r="K509" s="53"/>
      <c r="L509" s="52"/>
      <c r="M509" s="51"/>
      <c r="N509" s="51"/>
      <c r="O509" s="51"/>
      <c r="P509" s="50"/>
      <c r="Q509" s="5" t="s">
        <v>4</v>
      </c>
      <c r="R509" s="5" t="s">
        <v>3</v>
      </c>
    </row>
    <row r="510" spans="1:18" x14ac:dyDescent="0.25">
      <c r="A510" s="49">
        <v>1960</v>
      </c>
      <c r="B510" s="48" t="s">
        <v>845</v>
      </c>
      <c r="C510" s="47">
        <v>50</v>
      </c>
      <c r="D510" s="46">
        <v>20</v>
      </c>
      <c r="E510" s="44">
        <v>23</v>
      </c>
      <c r="F510" s="44">
        <f>1.8*E510+32</f>
        <v>73.400000000000006</v>
      </c>
      <c r="G510" s="45">
        <v>17</v>
      </c>
      <c r="H510" s="44">
        <f>IF(F510&gt;68,G510+(F510-68)*0.2,#REF!-(68-F510)*0.2)</f>
        <v>18.080000000000002</v>
      </c>
      <c r="I510" s="44">
        <v>23</v>
      </c>
      <c r="J510" s="44">
        <f>1.8*I510+32</f>
        <v>73.400000000000006</v>
      </c>
      <c r="K510" s="45">
        <v>9</v>
      </c>
      <c r="L510" s="44">
        <f>IF(J510&gt;68,K510+(J510-68)*0.2,K510-(68-J510)*0.2)</f>
        <v>10.080000000000002</v>
      </c>
      <c r="M510" s="43">
        <f>(C510-H510)/C510*100</f>
        <v>63.839999999999996</v>
      </c>
      <c r="N510" s="43">
        <f>100-(M510+O510)</f>
        <v>16</v>
      </c>
      <c r="O510" s="43">
        <f>L510/C510*100</f>
        <v>20.160000000000004</v>
      </c>
      <c r="P510" s="42" t="s">
        <v>2</v>
      </c>
      <c r="Q510" s="62">
        <v>407427.25</v>
      </c>
      <c r="R510" s="41">
        <v>3660003.5049999999</v>
      </c>
    </row>
    <row r="511" spans="1:18" x14ac:dyDescent="0.25">
      <c r="A511" s="49">
        <v>1960</v>
      </c>
      <c r="B511" s="48" t="s">
        <v>844</v>
      </c>
      <c r="C511" s="47">
        <v>50</v>
      </c>
      <c r="D511" s="46">
        <v>20</v>
      </c>
      <c r="E511" s="44">
        <v>23</v>
      </c>
      <c r="F511" s="44">
        <f>1.8*E511+32</f>
        <v>73.400000000000006</v>
      </c>
      <c r="G511" s="45">
        <v>17</v>
      </c>
      <c r="H511" s="44">
        <f>IF(F511&gt;68,G511+(F511-68)*0.2,Y536-(68-F511)*0.2)</f>
        <v>18.080000000000002</v>
      </c>
      <c r="I511" s="44">
        <v>23</v>
      </c>
      <c r="J511" s="44">
        <f>1.8*I511+32</f>
        <v>73.400000000000006</v>
      </c>
      <c r="K511" s="45">
        <v>9</v>
      </c>
      <c r="L511" s="44">
        <f>IF(J511&gt;68,K511+(J511-68)*0.2,K511-(68-J511)*0.2)</f>
        <v>10.080000000000002</v>
      </c>
      <c r="M511" s="43">
        <f>(C511-H511)/C511*100</f>
        <v>63.839999999999996</v>
      </c>
      <c r="N511" s="43">
        <f>100-(M511+O511)</f>
        <v>16</v>
      </c>
      <c r="O511" s="43">
        <f>L511/C511*100</f>
        <v>20.160000000000004</v>
      </c>
      <c r="P511" s="42" t="s">
        <v>2</v>
      </c>
      <c r="Q511" s="62">
        <v>407427.25</v>
      </c>
      <c r="R511" s="41">
        <v>3660003.5049999999</v>
      </c>
    </row>
    <row r="512" spans="1:18" x14ac:dyDescent="0.25">
      <c r="A512" s="49">
        <v>1960</v>
      </c>
      <c r="B512" s="48" t="s">
        <v>843</v>
      </c>
      <c r="C512" s="47">
        <v>50</v>
      </c>
      <c r="D512" s="46">
        <v>20</v>
      </c>
      <c r="E512" s="44">
        <v>23</v>
      </c>
      <c r="F512" s="44">
        <f>1.8*E512+32</f>
        <v>73.400000000000006</v>
      </c>
      <c r="G512" s="45">
        <v>13</v>
      </c>
      <c r="H512" s="44">
        <f>IF(F512&gt;68,G512+(F512-68)*0.2,Y549-(68-F512)*0.2)</f>
        <v>14.080000000000002</v>
      </c>
      <c r="I512" s="44">
        <v>23</v>
      </c>
      <c r="J512" s="44">
        <f>1.8*I512+32</f>
        <v>73.400000000000006</v>
      </c>
      <c r="K512" s="45">
        <v>5</v>
      </c>
      <c r="L512" s="44">
        <f>IF(J512&gt;68,K512+(J512-68)*0.2,K512-(68-J512)*0.2)</f>
        <v>6.080000000000001</v>
      </c>
      <c r="M512" s="43">
        <f>(C512-H512)/C512*100</f>
        <v>71.84</v>
      </c>
      <c r="N512" s="43">
        <f>100-(M512+O512)</f>
        <v>16</v>
      </c>
      <c r="O512" s="43">
        <f>L512/C512*100</f>
        <v>12.160000000000002</v>
      </c>
      <c r="P512" s="42" t="s">
        <v>0</v>
      </c>
      <c r="Q512" s="62">
        <v>407427.25</v>
      </c>
      <c r="R512" s="41">
        <v>3660003.5049999999</v>
      </c>
    </row>
    <row r="513" spans="1:18" x14ac:dyDescent="0.25">
      <c r="A513" s="49">
        <v>1960</v>
      </c>
      <c r="B513" s="48" t="s">
        <v>842</v>
      </c>
      <c r="C513" s="47">
        <v>50</v>
      </c>
      <c r="D513" s="46">
        <v>20</v>
      </c>
      <c r="E513" s="44">
        <v>23</v>
      </c>
      <c r="F513" s="44">
        <f>1.8*E513+32</f>
        <v>73.400000000000006</v>
      </c>
      <c r="G513" s="45">
        <v>14</v>
      </c>
      <c r="H513" s="44">
        <f>IF(F513&gt;68,G513+(F513-68)*0.2,Y538-(68-F513)*0.2)</f>
        <v>15.080000000000002</v>
      </c>
      <c r="I513" s="44">
        <v>23</v>
      </c>
      <c r="J513" s="44">
        <f>1.8*I513+32</f>
        <v>73.400000000000006</v>
      </c>
      <c r="K513" s="45">
        <v>6</v>
      </c>
      <c r="L513" s="44">
        <f>IF(J513&gt;68,K513+(J513-68)*0.2,K513-(68-J513)*0.2)</f>
        <v>7.080000000000001</v>
      </c>
      <c r="M513" s="43">
        <f>(C513-H513)/C513*100</f>
        <v>69.84</v>
      </c>
      <c r="N513" s="43">
        <f>100-(M513+O513)</f>
        <v>16</v>
      </c>
      <c r="O513" s="43">
        <f>L513/C513*100</f>
        <v>14.160000000000004</v>
      </c>
      <c r="P513" s="42" t="s">
        <v>0</v>
      </c>
      <c r="Q513" s="62">
        <v>407427.25</v>
      </c>
      <c r="R513" s="41">
        <v>3660003.5049999999</v>
      </c>
    </row>
    <row r="514" spans="1:18" x14ac:dyDescent="0.25">
      <c r="A514" s="49">
        <v>1960</v>
      </c>
      <c r="B514" s="48" t="s">
        <v>841</v>
      </c>
      <c r="C514" s="47">
        <v>50</v>
      </c>
      <c r="D514" s="46">
        <v>20</v>
      </c>
      <c r="E514" s="44">
        <v>23</v>
      </c>
      <c r="F514" s="44">
        <f>1.8*E514+32</f>
        <v>73.400000000000006</v>
      </c>
      <c r="G514" s="45">
        <v>12</v>
      </c>
      <c r="H514" s="44">
        <f>IF(F514&gt;68,G514+(F514-68)*0.2,Y539-(68-F514)*0.2)</f>
        <v>13.080000000000002</v>
      </c>
      <c r="I514" s="44">
        <v>23</v>
      </c>
      <c r="J514" s="44">
        <f>1.8*I514+32</f>
        <v>73.400000000000006</v>
      </c>
      <c r="K514" s="45">
        <v>6</v>
      </c>
      <c r="L514" s="44">
        <f>IF(J514&gt;68,K514+(J514-68)*0.2,K514-(68-J514)*0.2)</f>
        <v>7.080000000000001</v>
      </c>
      <c r="M514" s="43">
        <f>(C514-H514)/C514*100</f>
        <v>73.84</v>
      </c>
      <c r="N514" s="43">
        <f>100-(M514+O514)</f>
        <v>12</v>
      </c>
      <c r="O514" s="43">
        <f>L514/C514*100</f>
        <v>14.160000000000004</v>
      </c>
      <c r="P514" s="42" t="s">
        <v>0</v>
      </c>
      <c r="Q514" s="62">
        <v>407427.25</v>
      </c>
      <c r="R514" s="41">
        <v>3660003.5049999999</v>
      </c>
    </row>
    <row r="515" spans="1:18" x14ac:dyDescent="0.25">
      <c r="A515" s="49">
        <v>1960</v>
      </c>
      <c r="B515" s="48" t="s">
        <v>839</v>
      </c>
      <c r="C515" s="47">
        <v>50</v>
      </c>
      <c r="D515" s="46">
        <v>20</v>
      </c>
      <c r="E515" s="44">
        <v>23</v>
      </c>
      <c r="F515" s="44">
        <f>1.8*E515+32</f>
        <v>73.400000000000006</v>
      </c>
      <c r="G515" s="45">
        <v>14</v>
      </c>
      <c r="H515" s="44">
        <f>IF(F515&gt;68,G515+(F515-68)*0.2,Y541-(68-F515)*0.2)</f>
        <v>15.080000000000002</v>
      </c>
      <c r="I515" s="44">
        <v>23</v>
      </c>
      <c r="J515" s="44">
        <f>1.8*I515+32</f>
        <v>73.400000000000006</v>
      </c>
      <c r="K515" s="45">
        <v>7</v>
      </c>
      <c r="L515" s="44">
        <f>IF(J515&gt;68,K515+(J515-68)*0.2,K515-(68-J515)*0.2)</f>
        <v>8.0800000000000018</v>
      </c>
      <c r="M515" s="43">
        <f>(C515-H515)/C515*100</f>
        <v>69.84</v>
      </c>
      <c r="N515" s="43">
        <f>100-(M515+O515)</f>
        <v>14</v>
      </c>
      <c r="O515" s="43">
        <f>L515/C515*100</f>
        <v>16.160000000000004</v>
      </c>
      <c r="P515" s="42" t="s">
        <v>0</v>
      </c>
      <c r="Q515" s="62">
        <v>407427.25</v>
      </c>
      <c r="R515" s="41">
        <v>3660003.5049999999</v>
      </c>
    </row>
    <row r="516" spans="1:18" x14ac:dyDescent="0.25">
      <c r="A516" s="61"/>
      <c r="B516" s="58"/>
      <c r="C516" s="58"/>
      <c r="D516" s="58"/>
      <c r="E516" s="58"/>
      <c r="F516" s="58"/>
      <c r="G516" s="60"/>
      <c r="H516" s="58"/>
      <c r="I516" s="58"/>
      <c r="J516" s="58"/>
      <c r="K516" s="60"/>
      <c r="L516" s="58"/>
      <c r="M516" s="59"/>
      <c r="N516" s="59"/>
      <c r="O516" s="59"/>
      <c r="P516" s="58"/>
    </row>
    <row r="517" spans="1:18" x14ac:dyDescent="0.25">
      <c r="A517" s="57"/>
      <c r="B517" s="56"/>
      <c r="C517" s="55"/>
      <c r="D517" s="54"/>
      <c r="E517" s="52"/>
      <c r="F517" s="52"/>
      <c r="G517" s="53"/>
      <c r="H517" s="52"/>
      <c r="I517" s="52"/>
      <c r="J517" s="52"/>
      <c r="K517" s="53"/>
      <c r="L517" s="52"/>
      <c r="M517" s="51"/>
      <c r="N517" s="51"/>
      <c r="O517" s="51"/>
      <c r="P517" s="50"/>
      <c r="Q517" s="5" t="s">
        <v>4</v>
      </c>
      <c r="R517" s="5" t="s">
        <v>3</v>
      </c>
    </row>
    <row r="518" spans="1:18" x14ac:dyDescent="0.25">
      <c r="A518" s="49">
        <v>1965</v>
      </c>
      <c r="B518" s="48" t="s">
        <v>845</v>
      </c>
      <c r="C518" s="47">
        <v>50</v>
      </c>
      <c r="D518" s="46">
        <v>20</v>
      </c>
      <c r="E518" s="44">
        <v>23</v>
      </c>
      <c r="F518" s="44">
        <f>1.8*E518+32</f>
        <v>73.400000000000006</v>
      </c>
      <c r="G518" s="45">
        <v>19</v>
      </c>
      <c r="H518" s="44">
        <f>IF(F518&gt;68,G518+(F518-68)*0.2,#REF!-(68-F518)*0.2)</f>
        <v>20.080000000000002</v>
      </c>
      <c r="I518" s="44">
        <v>23</v>
      </c>
      <c r="J518" s="44">
        <f>1.8*I518+32</f>
        <v>73.400000000000006</v>
      </c>
      <c r="K518" s="45">
        <v>9</v>
      </c>
      <c r="L518" s="44">
        <f>IF(J518&gt;68,K518+(J518-68)*0.2,K518-(68-J518)*0.2)</f>
        <v>10.080000000000002</v>
      </c>
      <c r="M518" s="43">
        <f>(C518-H518)/C518*100</f>
        <v>59.839999999999996</v>
      </c>
      <c r="N518" s="43">
        <f>100-(M518+O518)</f>
        <v>20</v>
      </c>
      <c r="O518" s="43">
        <f>L518/C518*100</f>
        <v>20.160000000000004</v>
      </c>
      <c r="P518" s="42" t="s">
        <v>2</v>
      </c>
      <c r="Q518" s="41">
        <v>407427.40100000001</v>
      </c>
      <c r="R518" s="41">
        <v>3660023.7370000002</v>
      </c>
    </row>
    <row r="519" spans="1:18" x14ac:dyDescent="0.25">
      <c r="A519" s="49">
        <v>1965</v>
      </c>
      <c r="B519" s="48" t="s">
        <v>844</v>
      </c>
      <c r="C519" s="47">
        <v>50</v>
      </c>
      <c r="D519" s="46">
        <v>20</v>
      </c>
      <c r="E519" s="44">
        <v>23</v>
      </c>
      <c r="F519" s="44">
        <f>1.8*E519+32</f>
        <v>73.400000000000006</v>
      </c>
      <c r="G519" s="45">
        <v>16</v>
      </c>
      <c r="H519" s="44">
        <f>IF(F519&gt;68,G519+(F519-68)*0.2,Y544-(68-F519)*0.2)</f>
        <v>17.080000000000002</v>
      </c>
      <c r="I519" s="44">
        <v>23</v>
      </c>
      <c r="J519" s="44">
        <f>1.8*I519+32</f>
        <v>73.400000000000006</v>
      </c>
      <c r="K519" s="45">
        <v>8</v>
      </c>
      <c r="L519" s="44">
        <f>IF(J519&gt;68,K519+(J519-68)*0.2,K519-(68-J519)*0.2)</f>
        <v>9.0800000000000018</v>
      </c>
      <c r="M519" s="43">
        <f>(C519-H519)/C519*100</f>
        <v>65.84</v>
      </c>
      <c r="N519" s="43">
        <f>100-(M519+O519)</f>
        <v>16</v>
      </c>
      <c r="O519" s="43">
        <f>L519/C519*100</f>
        <v>18.160000000000004</v>
      </c>
      <c r="P519" s="42" t="s">
        <v>0</v>
      </c>
      <c r="Q519" s="41">
        <v>407427.40100000001</v>
      </c>
      <c r="R519" s="41">
        <v>3660023.7370000002</v>
      </c>
    </row>
    <row r="520" spans="1:18" x14ac:dyDescent="0.25">
      <c r="A520" s="49">
        <v>1965</v>
      </c>
      <c r="B520" s="48" t="s">
        <v>843</v>
      </c>
      <c r="C520" s="47">
        <v>50</v>
      </c>
      <c r="D520" s="46">
        <v>20</v>
      </c>
      <c r="E520" s="44">
        <v>23</v>
      </c>
      <c r="F520" s="44">
        <f>1.8*E520+32</f>
        <v>73.400000000000006</v>
      </c>
      <c r="G520" s="45">
        <v>16</v>
      </c>
      <c r="H520" s="44">
        <f>IF(F520&gt;68,G520+(F520-68)*0.2,Y545-(68-F520)*0.2)</f>
        <v>17.080000000000002</v>
      </c>
      <c r="I520" s="44">
        <v>23</v>
      </c>
      <c r="J520" s="44">
        <f>1.8*I520+32</f>
        <v>73.400000000000006</v>
      </c>
      <c r="K520" s="45">
        <v>7</v>
      </c>
      <c r="L520" s="44">
        <f>IF(J520&gt;68,K520+(J520-68)*0.2,K520-(68-J520)*0.2)</f>
        <v>8.0800000000000018</v>
      </c>
      <c r="M520" s="43">
        <f>(C520-H520)/C520*100</f>
        <v>65.84</v>
      </c>
      <c r="N520" s="43">
        <f>100-(M520+O520)</f>
        <v>18</v>
      </c>
      <c r="O520" s="43">
        <f>L520/C520*100</f>
        <v>16.160000000000004</v>
      </c>
      <c r="P520" s="42" t="s">
        <v>0</v>
      </c>
      <c r="Q520" s="41">
        <v>407427.40100000001</v>
      </c>
      <c r="R520" s="41">
        <v>3660023.7370000002</v>
      </c>
    </row>
    <row r="521" spans="1:18" x14ac:dyDescent="0.25">
      <c r="A521" s="49">
        <v>1965</v>
      </c>
      <c r="B521" s="48" t="s">
        <v>842</v>
      </c>
      <c r="C521" s="47">
        <v>50</v>
      </c>
      <c r="D521" s="46">
        <v>20</v>
      </c>
      <c r="E521" s="44">
        <v>23</v>
      </c>
      <c r="F521" s="44">
        <f>1.8*E521+32</f>
        <v>73.400000000000006</v>
      </c>
      <c r="G521" s="45">
        <v>20</v>
      </c>
      <c r="H521" s="44">
        <f>IF(F521&gt;68,G521+(F521-68)*0.2,Y559-(68-F521)*0.2)</f>
        <v>21.080000000000002</v>
      </c>
      <c r="I521" s="44">
        <v>23</v>
      </c>
      <c r="J521" s="44">
        <f>1.8*I521+32</f>
        <v>73.400000000000006</v>
      </c>
      <c r="K521" s="45">
        <v>10</v>
      </c>
      <c r="L521" s="44">
        <f>IF(J521&gt;68,K521+(J521-68)*0.2,K521-(68-J521)*0.2)</f>
        <v>11.080000000000002</v>
      </c>
      <c r="M521" s="43">
        <f>(C521-H521)/C521*100</f>
        <v>57.839999999999989</v>
      </c>
      <c r="N521" s="43">
        <f>100-(M521+O521)</f>
        <v>20</v>
      </c>
      <c r="O521" s="43">
        <f>L521/C521*100</f>
        <v>22.160000000000004</v>
      </c>
      <c r="P521" s="42" t="s">
        <v>2</v>
      </c>
      <c r="Q521" s="41">
        <v>407427.40100000001</v>
      </c>
      <c r="R521" s="41">
        <v>3660023.7370000002</v>
      </c>
    </row>
    <row r="522" spans="1:18" x14ac:dyDescent="0.25">
      <c r="A522" s="49">
        <v>1965</v>
      </c>
      <c r="B522" s="48" t="s">
        <v>841</v>
      </c>
      <c r="C522" s="47">
        <v>50</v>
      </c>
      <c r="D522" s="46">
        <v>20</v>
      </c>
      <c r="E522" s="44">
        <v>23</v>
      </c>
      <c r="F522" s="44">
        <f>1.8*E522+32</f>
        <v>73.400000000000006</v>
      </c>
      <c r="G522" s="45">
        <v>12</v>
      </c>
      <c r="H522" s="44">
        <f>IF(F522&gt;68,G522+(F522-68)*0.2,Y547-(68-F522)*0.2)</f>
        <v>13.080000000000002</v>
      </c>
      <c r="I522" s="44">
        <v>23</v>
      </c>
      <c r="J522" s="44">
        <f>1.8*I522+32</f>
        <v>73.400000000000006</v>
      </c>
      <c r="K522" s="45">
        <v>5</v>
      </c>
      <c r="L522" s="44">
        <f>IF(J522&gt;68,K522+(J522-68)*0.2,K522-(68-J522)*0.2)</f>
        <v>6.080000000000001</v>
      </c>
      <c r="M522" s="43">
        <f>(C522-H522)/C522*100</f>
        <v>73.84</v>
      </c>
      <c r="N522" s="43">
        <f>100-(M522+O522)</f>
        <v>14</v>
      </c>
      <c r="O522" s="43">
        <f>L522/C522*100</f>
        <v>12.160000000000002</v>
      </c>
      <c r="P522" s="42" t="s">
        <v>0</v>
      </c>
      <c r="Q522" s="41">
        <v>407427.40100000001</v>
      </c>
      <c r="R522" s="41">
        <v>3660023.7370000002</v>
      </c>
    </row>
    <row r="523" spans="1:18" x14ac:dyDescent="0.25">
      <c r="A523" s="49">
        <v>1965</v>
      </c>
      <c r="B523" s="48" t="s">
        <v>839</v>
      </c>
      <c r="C523" s="47">
        <v>50</v>
      </c>
      <c r="D523" s="46">
        <v>20</v>
      </c>
      <c r="E523" s="44">
        <v>23</v>
      </c>
      <c r="F523" s="44">
        <f>1.8*E523+32</f>
        <v>73.400000000000006</v>
      </c>
      <c r="G523" s="45">
        <v>13</v>
      </c>
      <c r="H523" s="44">
        <f>IF(F523&gt;68,G523+(F523-68)*0.2,Y549-(68-F523)*0.2)</f>
        <v>14.080000000000002</v>
      </c>
      <c r="I523" s="44">
        <v>23</v>
      </c>
      <c r="J523" s="44">
        <f>1.8*I523+32</f>
        <v>73.400000000000006</v>
      </c>
      <c r="K523" s="45">
        <v>5</v>
      </c>
      <c r="L523" s="44">
        <f>IF(J523&gt;68,K523+(J523-68)*0.2,K523-(68-J523)*0.2)</f>
        <v>6.080000000000001</v>
      </c>
      <c r="M523" s="43">
        <f>(C523-H523)/C523*100</f>
        <v>71.84</v>
      </c>
      <c r="N523" s="43">
        <f>100-(M523+O523)</f>
        <v>16</v>
      </c>
      <c r="O523" s="43">
        <f>L523/C523*100</f>
        <v>12.160000000000002</v>
      </c>
      <c r="P523" s="42" t="s">
        <v>0</v>
      </c>
      <c r="Q523" s="41">
        <v>407427.40100000001</v>
      </c>
      <c r="R523" s="41">
        <v>3660023.7370000002</v>
      </c>
    </row>
    <row r="524" spans="1:18" x14ac:dyDescent="0.25">
      <c r="A524" s="61"/>
      <c r="B524" s="58"/>
      <c r="C524" s="58"/>
      <c r="D524" s="58"/>
      <c r="E524" s="58"/>
      <c r="F524" s="58"/>
      <c r="G524" s="60"/>
      <c r="H524" s="58"/>
      <c r="I524" s="58"/>
      <c r="J524" s="58"/>
      <c r="K524" s="60"/>
      <c r="L524" s="58"/>
      <c r="M524" s="59"/>
      <c r="N524" s="59"/>
      <c r="O524" s="59"/>
      <c r="P524" s="58"/>
    </row>
    <row r="525" spans="1:18" x14ac:dyDescent="0.25">
      <c r="A525" s="57"/>
      <c r="B525" s="56"/>
      <c r="C525" s="55"/>
      <c r="D525" s="54"/>
      <c r="E525" s="52"/>
      <c r="F525" s="52"/>
      <c r="G525" s="53"/>
      <c r="H525" s="52"/>
      <c r="I525" s="52"/>
      <c r="J525" s="52"/>
      <c r="K525" s="53"/>
      <c r="L525" s="52"/>
      <c r="M525" s="51"/>
      <c r="N525" s="51"/>
      <c r="O525" s="51"/>
      <c r="P525" s="50"/>
      <c r="Q525" s="5" t="s">
        <v>4</v>
      </c>
      <c r="R525" s="5" t="s">
        <v>3</v>
      </c>
    </row>
    <row r="526" spans="1:18" x14ac:dyDescent="0.25">
      <c r="A526" s="49" t="s">
        <v>852</v>
      </c>
      <c r="B526" s="48" t="s">
        <v>845</v>
      </c>
      <c r="C526" s="47">
        <v>50</v>
      </c>
      <c r="D526" s="46">
        <v>20</v>
      </c>
      <c r="E526" s="44">
        <v>23</v>
      </c>
      <c r="F526" s="44">
        <f>1.8*E526+32</f>
        <v>73.400000000000006</v>
      </c>
      <c r="G526" s="45">
        <v>20</v>
      </c>
      <c r="H526" s="44">
        <f>IF(F526&gt;68,G526+(F526-68)*0.2,#REF!-(68-F526)*0.2)</f>
        <v>21.080000000000002</v>
      </c>
      <c r="I526" s="44">
        <v>23</v>
      </c>
      <c r="J526" s="44">
        <f>1.8*I526+32</f>
        <v>73.400000000000006</v>
      </c>
      <c r="K526" s="45">
        <v>10</v>
      </c>
      <c r="L526" s="44">
        <f>IF(J526&gt;68,K526+(J526-68)*0.2,K526-(68-J526)*0.2)</f>
        <v>11.080000000000002</v>
      </c>
      <c r="M526" s="43">
        <f>(C526-H526)/C526*100</f>
        <v>57.839999999999989</v>
      </c>
      <c r="N526" s="43">
        <f>100-(M526+O526)</f>
        <v>20</v>
      </c>
      <c r="O526" s="43">
        <f>L526/C526*100</f>
        <v>22.160000000000004</v>
      </c>
      <c r="P526" s="42" t="s">
        <v>2</v>
      </c>
      <c r="Q526" s="41">
        <v>407427.40100000001</v>
      </c>
      <c r="R526" s="41">
        <v>3660023.7370000002</v>
      </c>
    </row>
    <row r="527" spans="1:18" x14ac:dyDescent="0.25">
      <c r="A527" s="49" t="s">
        <v>852</v>
      </c>
      <c r="B527" s="48" t="s">
        <v>844</v>
      </c>
      <c r="C527" s="47">
        <v>50</v>
      </c>
      <c r="D527" s="46">
        <v>20</v>
      </c>
      <c r="E527" s="44">
        <v>23</v>
      </c>
      <c r="F527" s="44">
        <f>1.8*E527+32</f>
        <v>73.400000000000006</v>
      </c>
      <c r="G527" s="45">
        <v>20</v>
      </c>
      <c r="H527" s="44">
        <f>IF(F527&gt;68,G527+(F527-68)*0.2,Y552-(68-F527)*0.2)</f>
        <v>21.080000000000002</v>
      </c>
      <c r="I527" s="44">
        <v>23</v>
      </c>
      <c r="J527" s="44">
        <f>1.8*I527+32</f>
        <v>73.400000000000006</v>
      </c>
      <c r="K527" s="45">
        <v>10</v>
      </c>
      <c r="L527" s="44">
        <f>IF(J527&gt;68,K527+(J527-68)*0.2,K527-(68-J527)*0.2)</f>
        <v>11.080000000000002</v>
      </c>
      <c r="M527" s="43">
        <f>(C527-H527)/C527*100</f>
        <v>57.839999999999989</v>
      </c>
      <c r="N527" s="43">
        <f>100-(M527+O527)</f>
        <v>20</v>
      </c>
      <c r="O527" s="43">
        <f>L527/C527*100</f>
        <v>22.160000000000004</v>
      </c>
      <c r="P527" s="42" t="s">
        <v>2</v>
      </c>
      <c r="Q527" s="41">
        <v>407427.40100000001</v>
      </c>
      <c r="R527" s="41">
        <v>3660023.7370000002</v>
      </c>
    </row>
    <row r="528" spans="1:18" x14ac:dyDescent="0.25">
      <c r="A528" s="49" t="s">
        <v>852</v>
      </c>
      <c r="B528" s="48" t="s">
        <v>843</v>
      </c>
      <c r="C528" s="47">
        <v>50</v>
      </c>
      <c r="D528" s="46">
        <v>20</v>
      </c>
      <c r="E528" s="44">
        <v>23</v>
      </c>
      <c r="F528" s="44">
        <f>1.8*E528+32</f>
        <v>73.400000000000006</v>
      </c>
      <c r="G528" s="45">
        <v>16</v>
      </c>
      <c r="H528" s="44">
        <f>IF(F528&gt;68,G528+(F528-68)*0.2,Y553-(68-F528)*0.2)</f>
        <v>17.080000000000002</v>
      </c>
      <c r="I528" s="44">
        <v>23</v>
      </c>
      <c r="J528" s="44">
        <f>1.8*I528+32</f>
        <v>73.400000000000006</v>
      </c>
      <c r="K528" s="45">
        <v>8</v>
      </c>
      <c r="L528" s="44">
        <f>IF(J528&gt;68,K528+(J528-68)*0.2,K528-(68-J528)*0.2)</f>
        <v>9.0800000000000018</v>
      </c>
      <c r="M528" s="43">
        <f>(C528-H528)/C528*100</f>
        <v>65.84</v>
      </c>
      <c r="N528" s="43">
        <f>100-(M528+O528)</f>
        <v>16</v>
      </c>
      <c r="O528" s="43">
        <f>L528/C528*100</f>
        <v>18.160000000000004</v>
      </c>
      <c r="P528" s="42" t="s">
        <v>0</v>
      </c>
      <c r="Q528" s="41">
        <v>407427.40100000001</v>
      </c>
      <c r="R528" s="41">
        <v>3660023.7370000002</v>
      </c>
    </row>
    <row r="529" spans="1:18" x14ac:dyDescent="0.25">
      <c r="A529" s="49" t="s">
        <v>852</v>
      </c>
      <c r="B529" s="48" t="s">
        <v>842</v>
      </c>
      <c r="C529" s="47">
        <v>50</v>
      </c>
      <c r="D529" s="46">
        <v>20</v>
      </c>
      <c r="E529" s="44">
        <v>23</v>
      </c>
      <c r="F529" s="44">
        <f>1.8*E529+32</f>
        <v>73.400000000000006</v>
      </c>
      <c r="G529" s="45">
        <v>15</v>
      </c>
      <c r="H529" s="44">
        <f>IF(F529&gt;68,G529+(F529-68)*0.2,Y554-(68-F529)*0.2)</f>
        <v>16.080000000000002</v>
      </c>
      <c r="I529" s="44">
        <v>23</v>
      </c>
      <c r="J529" s="44">
        <f>1.8*I529+32</f>
        <v>73.400000000000006</v>
      </c>
      <c r="K529" s="45">
        <v>6</v>
      </c>
      <c r="L529" s="44">
        <f>IF(J529&gt;68,K529+(J529-68)*0.2,K529-(68-J529)*0.2)</f>
        <v>7.080000000000001</v>
      </c>
      <c r="M529" s="43">
        <f>(C529-H529)/C529*100</f>
        <v>67.84</v>
      </c>
      <c r="N529" s="43">
        <f>100-(M529+O529)</f>
        <v>18</v>
      </c>
      <c r="O529" s="43">
        <f>L529/C529*100</f>
        <v>14.160000000000004</v>
      </c>
      <c r="P529" s="42" t="s">
        <v>0</v>
      </c>
      <c r="Q529" s="41">
        <v>407427.40100000001</v>
      </c>
      <c r="R529" s="41">
        <v>3660023.7370000002</v>
      </c>
    </row>
    <row r="530" spans="1:18" x14ac:dyDescent="0.25">
      <c r="A530" s="49" t="s">
        <v>852</v>
      </c>
      <c r="B530" s="48" t="s">
        <v>841</v>
      </c>
      <c r="C530" s="47">
        <v>50</v>
      </c>
      <c r="D530" s="46">
        <v>20</v>
      </c>
      <c r="E530" s="44">
        <v>23</v>
      </c>
      <c r="F530" s="44">
        <f>1.8*E530+32</f>
        <v>73.400000000000006</v>
      </c>
      <c r="G530" s="45">
        <v>14</v>
      </c>
      <c r="H530" s="44">
        <f>IF(F530&gt;68,G530+(F530-68)*0.2,Y568-(68-F530)*0.2)</f>
        <v>15.080000000000002</v>
      </c>
      <c r="I530" s="44">
        <v>23</v>
      </c>
      <c r="J530" s="44">
        <f>1.8*I530+32</f>
        <v>73.400000000000006</v>
      </c>
      <c r="K530" s="45">
        <v>7</v>
      </c>
      <c r="L530" s="44">
        <f>IF(J530&gt;68,K530+(J530-68)*0.2,K530-(68-J530)*0.2)</f>
        <v>8.0800000000000018</v>
      </c>
      <c r="M530" s="43">
        <f>(C530-H530)/C530*100</f>
        <v>69.84</v>
      </c>
      <c r="N530" s="43">
        <f>100-(M530+O530)</f>
        <v>14</v>
      </c>
      <c r="O530" s="43">
        <f>L530/C530*100</f>
        <v>16.160000000000004</v>
      </c>
      <c r="P530" s="42" t="s">
        <v>0</v>
      </c>
      <c r="Q530" s="41">
        <v>407427.40100000001</v>
      </c>
      <c r="R530" s="41">
        <v>3660023.7370000002</v>
      </c>
    </row>
    <row r="531" spans="1:18" x14ac:dyDescent="0.25">
      <c r="A531" s="49" t="s">
        <v>852</v>
      </c>
      <c r="B531" s="48" t="s">
        <v>839</v>
      </c>
      <c r="C531" s="47">
        <v>50</v>
      </c>
      <c r="D531" s="46">
        <v>20</v>
      </c>
      <c r="E531" s="44">
        <v>23</v>
      </c>
      <c r="F531" s="44">
        <f>1.8*E531+32</f>
        <v>73.400000000000006</v>
      </c>
      <c r="G531" s="45">
        <v>17</v>
      </c>
      <c r="H531" s="44">
        <f>IF(F531&gt;68,G531+(F531-68)*0.2,Y557-(68-F531)*0.2)</f>
        <v>18.080000000000002</v>
      </c>
      <c r="I531" s="44">
        <v>23</v>
      </c>
      <c r="J531" s="44">
        <f>1.8*I531+32</f>
        <v>73.400000000000006</v>
      </c>
      <c r="K531" s="45">
        <v>8</v>
      </c>
      <c r="L531" s="44">
        <f>IF(J531&gt;68,K531+(J531-68)*0.2,K531-(68-J531)*0.2)</f>
        <v>9.0800000000000018</v>
      </c>
      <c r="M531" s="43">
        <f>(C531-H531)/C531*100</f>
        <v>63.839999999999996</v>
      </c>
      <c r="N531" s="43">
        <f>100-(M531+O531)</f>
        <v>18</v>
      </c>
      <c r="O531" s="43">
        <f>L531/C531*100</f>
        <v>18.160000000000004</v>
      </c>
      <c r="P531" s="42" t="s">
        <v>0</v>
      </c>
      <c r="Q531" s="41">
        <v>407427.40100000001</v>
      </c>
      <c r="R531" s="41">
        <v>3660023.7370000002</v>
      </c>
    </row>
    <row r="532" spans="1:18" x14ac:dyDescent="0.25">
      <c r="A532" s="61"/>
      <c r="B532" s="58"/>
      <c r="C532" s="58"/>
      <c r="D532" s="58"/>
      <c r="E532" s="58"/>
      <c r="F532" s="58"/>
      <c r="G532" s="60"/>
      <c r="H532" s="58"/>
      <c r="I532" s="58"/>
      <c r="J532" s="58"/>
      <c r="K532" s="60"/>
      <c r="L532" s="58"/>
      <c r="M532" s="59"/>
      <c r="N532" s="59"/>
      <c r="O532" s="59"/>
      <c r="P532" s="58"/>
    </row>
    <row r="533" spans="1:18" x14ac:dyDescent="0.25">
      <c r="A533" s="57"/>
      <c r="B533" s="56"/>
      <c r="C533" s="55"/>
      <c r="D533" s="54"/>
      <c r="E533" s="52"/>
      <c r="F533" s="52"/>
      <c r="G533" s="53"/>
      <c r="H533" s="52"/>
      <c r="I533" s="52"/>
      <c r="J533" s="52"/>
      <c r="K533" s="53"/>
      <c r="L533" s="52"/>
      <c r="M533" s="51"/>
      <c r="N533" s="51"/>
      <c r="O533" s="51"/>
      <c r="P533" s="50"/>
      <c r="Q533" s="5" t="s">
        <v>4</v>
      </c>
      <c r="R533" s="5" t="s">
        <v>3</v>
      </c>
    </row>
    <row r="534" spans="1:18" x14ac:dyDescent="0.25">
      <c r="A534" s="49">
        <v>2009</v>
      </c>
      <c r="B534" s="48" t="s">
        <v>845</v>
      </c>
      <c r="C534" s="47">
        <v>50</v>
      </c>
      <c r="D534" s="46">
        <v>20</v>
      </c>
      <c r="E534" s="44">
        <v>23</v>
      </c>
      <c r="F534" s="44">
        <f>1.8*E534+32</f>
        <v>73.400000000000006</v>
      </c>
      <c r="G534" s="45">
        <v>22</v>
      </c>
      <c r="H534" s="44">
        <f>IF(F534&gt;68,G534+(F534-68)*0.2,#REF!-(68-F534)*0.2)</f>
        <v>23.080000000000002</v>
      </c>
      <c r="I534" s="44">
        <v>23</v>
      </c>
      <c r="J534" s="44">
        <f>1.8*I534+32</f>
        <v>73.400000000000006</v>
      </c>
      <c r="K534" s="45">
        <v>10</v>
      </c>
      <c r="L534" s="44">
        <f>IF(J534&gt;68,K534+(J534-68)*0.2,K534-(68-J534)*0.2)</f>
        <v>11.080000000000002</v>
      </c>
      <c r="M534" s="43">
        <f>(C534-H534)/C534*100</f>
        <v>53.839999999999996</v>
      </c>
      <c r="N534" s="43">
        <f>100-(M534+O534)</f>
        <v>24</v>
      </c>
      <c r="O534" s="43">
        <f>L534/C534*100</f>
        <v>22.160000000000004</v>
      </c>
      <c r="P534" s="42" t="s">
        <v>2</v>
      </c>
      <c r="Q534" s="41">
        <v>407418.59299999999</v>
      </c>
      <c r="R534" s="41">
        <v>3659870.5959999999</v>
      </c>
    </row>
    <row r="535" spans="1:18" x14ac:dyDescent="0.25">
      <c r="A535" s="49">
        <v>2009</v>
      </c>
      <c r="B535" s="48" t="s">
        <v>844</v>
      </c>
      <c r="C535" s="47">
        <v>50</v>
      </c>
      <c r="D535" s="46">
        <v>20</v>
      </c>
      <c r="E535" s="44">
        <v>23</v>
      </c>
      <c r="F535" s="44">
        <f>1.8*E535+32</f>
        <v>73.400000000000006</v>
      </c>
      <c r="G535" s="45">
        <v>22</v>
      </c>
      <c r="H535" s="44">
        <f>IF(F535&gt;68,G535+(F535-68)*0.2,#REF!-(68-F535)*0.2)</f>
        <v>23.080000000000002</v>
      </c>
      <c r="I535" s="44">
        <v>23</v>
      </c>
      <c r="J535" s="44">
        <f>1.8*I535+32</f>
        <v>73.400000000000006</v>
      </c>
      <c r="K535" s="45">
        <v>11</v>
      </c>
      <c r="L535" s="44">
        <f>IF(J535&gt;68,K535+(J535-68)*0.2,K535-(68-J535)*0.2)</f>
        <v>12.080000000000002</v>
      </c>
      <c r="M535" s="43">
        <f>(C535-H535)/C535*100</f>
        <v>53.839999999999996</v>
      </c>
      <c r="N535" s="43">
        <f>100-(M535+O535)</f>
        <v>22</v>
      </c>
      <c r="O535" s="43">
        <f>L535/C535*100</f>
        <v>24.160000000000004</v>
      </c>
      <c r="P535" s="42" t="s">
        <v>2</v>
      </c>
      <c r="Q535" s="41">
        <v>407418.59299999999</v>
      </c>
      <c r="R535" s="41">
        <v>3659870.5959999999</v>
      </c>
    </row>
    <row r="536" spans="1:18" x14ac:dyDescent="0.25">
      <c r="A536" s="49">
        <v>2009</v>
      </c>
      <c r="B536" s="48" t="s">
        <v>843</v>
      </c>
      <c r="C536" s="47">
        <v>50</v>
      </c>
      <c r="D536" s="46">
        <v>20</v>
      </c>
      <c r="E536" s="44">
        <v>23</v>
      </c>
      <c r="F536" s="44">
        <f>1.8*E536+32</f>
        <v>73.400000000000006</v>
      </c>
      <c r="G536" s="45">
        <v>15</v>
      </c>
      <c r="H536" s="44">
        <f>IF(F536&gt;68,G536+(F536-68)*0.2,Y561-(68-F536)*0.2)</f>
        <v>16.080000000000002</v>
      </c>
      <c r="I536" s="44">
        <v>23</v>
      </c>
      <c r="J536" s="44">
        <f>1.8*I536+32</f>
        <v>73.400000000000006</v>
      </c>
      <c r="K536" s="45">
        <v>7</v>
      </c>
      <c r="L536" s="44">
        <f>IF(J536&gt;68,K536+(J536-68)*0.2,K536-(68-J536)*0.2)</f>
        <v>8.0800000000000018</v>
      </c>
      <c r="M536" s="43">
        <f>(C536-H536)/C536*100</f>
        <v>67.84</v>
      </c>
      <c r="N536" s="43">
        <f>100-(M536+O536)</f>
        <v>16</v>
      </c>
      <c r="O536" s="43">
        <f>L536/C536*100</f>
        <v>16.160000000000004</v>
      </c>
      <c r="P536" s="42" t="s">
        <v>0</v>
      </c>
      <c r="Q536" s="41">
        <v>407418.59299999999</v>
      </c>
      <c r="R536" s="41">
        <v>3659870.5959999999</v>
      </c>
    </row>
    <row r="537" spans="1:18" x14ac:dyDescent="0.25">
      <c r="A537" s="49">
        <v>2009</v>
      </c>
      <c r="B537" s="48" t="s">
        <v>842</v>
      </c>
      <c r="C537" s="47">
        <v>50</v>
      </c>
      <c r="D537" s="46">
        <v>20</v>
      </c>
      <c r="E537" s="44">
        <v>23</v>
      </c>
      <c r="F537" s="44">
        <f>1.8*E537+32</f>
        <v>73.400000000000006</v>
      </c>
      <c r="G537" s="45">
        <v>13</v>
      </c>
      <c r="H537" s="44">
        <f>IF(F537&gt;68,G537+(F537-68)*0.2,Y562-(68-F537)*0.2)</f>
        <v>14.080000000000002</v>
      </c>
      <c r="I537" s="44">
        <v>23</v>
      </c>
      <c r="J537" s="44">
        <f>1.8*I537+32</f>
        <v>73.400000000000006</v>
      </c>
      <c r="K537" s="45">
        <v>6</v>
      </c>
      <c r="L537" s="44">
        <f>IF(J537&gt;68,K537+(J537-68)*0.2,K537-(68-J537)*0.2)</f>
        <v>7.080000000000001</v>
      </c>
      <c r="M537" s="43">
        <f>(C537-H537)/C537*100</f>
        <v>71.84</v>
      </c>
      <c r="N537" s="43">
        <f>100-(M537+O537)</f>
        <v>14</v>
      </c>
      <c r="O537" s="43">
        <f>L537/C537*100</f>
        <v>14.160000000000004</v>
      </c>
      <c r="P537" s="42" t="s">
        <v>0</v>
      </c>
      <c r="Q537" s="41">
        <v>407418.59299999999</v>
      </c>
      <c r="R537" s="41">
        <v>3659870.5959999999</v>
      </c>
    </row>
    <row r="538" spans="1:18" x14ac:dyDescent="0.25">
      <c r="A538" s="49">
        <v>2009</v>
      </c>
      <c r="B538" s="48" t="s">
        <v>841</v>
      </c>
      <c r="C538" s="47">
        <v>50</v>
      </c>
      <c r="D538" s="46">
        <v>20</v>
      </c>
      <c r="E538" s="44">
        <v>22</v>
      </c>
      <c r="F538" s="44">
        <f>1.8*E538+32</f>
        <v>71.599999999999994</v>
      </c>
      <c r="G538" s="45">
        <v>13</v>
      </c>
      <c r="H538" s="44">
        <f>IF(F538&gt;68,G538+(F538-68)*0.2,Y563-(68-F538)*0.2)</f>
        <v>13.719999999999999</v>
      </c>
      <c r="I538" s="44">
        <v>22</v>
      </c>
      <c r="J538" s="44">
        <f>1.8*I538+32</f>
        <v>71.599999999999994</v>
      </c>
      <c r="K538" s="45">
        <v>5</v>
      </c>
      <c r="L538" s="44">
        <f>IF(J538&gt;68,K538+(J538-68)*0.2,K538-(68-J538)*0.2)</f>
        <v>5.7199999999999989</v>
      </c>
      <c r="M538" s="43">
        <f>(C538-H538)/C538*100</f>
        <v>72.56</v>
      </c>
      <c r="N538" s="43">
        <f>100-(M538+O538)</f>
        <v>16</v>
      </c>
      <c r="O538" s="43">
        <f>L538/C538*100</f>
        <v>11.439999999999998</v>
      </c>
      <c r="P538" s="42" t="s">
        <v>0</v>
      </c>
      <c r="Q538" s="41">
        <v>407418.59299999999</v>
      </c>
      <c r="R538" s="41">
        <v>3659870.5959999999</v>
      </c>
    </row>
    <row r="539" spans="1:18" x14ac:dyDescent="0.25">
      <c r="A539" s="49">
        <v>2009</v>
      </c>
      <c r="B539" s="48" t="s">
        <v>839</v>
      </c>
      <c r="C539" s="47">
        <v>50</v>
      </c>
      <c r="D539" s="46">
        <v>20</v>
      </c>
      <c r="E539" s="44">
        <v>22</v>
      </c>
      <c r="F539" s="44">
        <f>1.8*E539+32</f>
        <v>71.599999999999994</v>
      </c>
      <c r="G539" s="45">
        <v>12</v>
      </c>
      <c r="H539" s="44">
        <f>IF(F539&gt;68,G539+(F539-68)*0.2,Y577-(68-F539)*0.2)</f>
        <v>12.719999999999999</v>
      </c>
      <c r="I539" s="44">
        <v>22</v>
      </c>
      <c r="J539" s="44">
        <f>1.8*I539+32</f>
        <v>71.599999999999994</v>
      </c>
      <c r="K539" s="45">
        <v>5</v>
      </c>
      <c r="L539" s="44">
        <f>IF(J539&gt;68,K539+(J539-68)*0.2,K539-(68-J539)*0.2)</f>
        <v>5.7199999999999989</v>
      </c>
      <c r="M539" s="43">
        <f>(C539-H539)/C539*100</f>
        <v>74.56</v>
      </c>
      <c r="N539" s="43">
        <f>100-(M539+O539)</f>
        <v>14</v>
      </c>
      <c r="O539" s="43">
        <f>L539/C539*100</f>
        <v>11.439999999999998</v>
      </c>
      <c r="P539" s="42" t="s">
        <v>0</v>
      </c>
      <c r="Q539" s="41">
        <v>407418.59299999999</v>
      </c>
      <c r="R539" s="41">
        <v>3659870.5959999999</v>
      </c>
    </row>
    <row r="540" spans="1:18" x14ac:dyDescent="0.25">
      <c r="A540" s="61"/>
      <c r="B540" s="70"/>
      <c r="C540" s="69"/>
      <c r="D540" s="58"/>
      <c r="E540" s="68"/>
      <c r="F540" s="68"/>
      <c r="G540" s="60"/>
      <c r="H540" s="68"/>
      <c r="I540" s="68"/>
      <c r="J540" s="68"/>
      <c r="K540" s="60"/>
      <c r="L540" s="68"/>
      <c r="M540" s="59"/>
      <c r="N540" s="59"/>
      <c r="O540" s="59"/>
      <c r="P540" s="67"/>
    </row>
    <row r="541" spans="1:18" x14ac:dyDescent="0.25">
      <c r="A541" s="57"/>
      <c r="B541" s="56"/>
      <c r="C541" s="55"/>
      <c r="D541" s="54"/>
      <c r="E541" s="52"/>
      <c r="F541" s="52"/>
      <c r="G541" s="53"/>
      <c r="H541" s="52"/>
      <c r="I541" s="52"/>
      <c r="J541" s="52"/>
      <c r="K541" s="53"/>
      <c r="L541" s="52"/>
      <c r="M541" s="51"/>
      <c r="N541" s="51"/>
      <c r="O541" s="51"/>
      <c r="P541" s="50"/>
      <c r="Q541" s="5" t="s">
        <v>4</v>
      </c>
      <c r="R541" s="5" t="s">
        <v>3</v>
      </c>
    </row>
    <row r="542" spans="1:18" x14ac:dyDescent="0.25">
      <c r="A542" s="49">
        <v>2027</v>
      </c>
      <c r="B542" s="48" t="s">
        <v>845</v>
      </c>
      <c r="C542" s="47">
        <v>50</v>
      </c>
      <c r="D542" s="46">
        <v>20</v>
      </c>
      <c r="E542" s="44">
        <v>22</v>
      </c>
      <c r="F542" s="44">
        <f>1.8*E542+32</f>
        <v>71.599999999999994</v>
      </c>
      <c r="G542" s="45">
        <v>18</v>
      </c>
      <c r="H542" s="44">
        <f>IF(F542&gt;68,G542+(F542-68)*0.2,#REF!-(68-F542)*0.2)</f>
        <v>18.72</v>
      </c>
      <c r="I542" s="44">
        <v>22</v>
      </c>
      <c r="J542" s="44">
        <f>1.8*I542+32</f>
        <v>71.599999999999994</v>
      </c>
      <c r="K542" s="45">
        <v>10</v>
      </c>
      <c r="L542" s="44">
        <f>IF(J542&gt;68,K542+(J542-68)*0.2,K542-(68-J542)*0.2)</f>
        <v>10.719999999999999</v>
      </c>
      <c r="M542" s="43">
        <f>(C542-H542)/C542*100</f>
        <v>62.56</v>
      </c>
      <c r="N542" s="43">
        <f>100-(M542+O542)</f>
        <v>16</v>
      </c>
      <c r="O542" s="43">
        <f>L542/C542*100</f>
        <v>21.439999999999998</v>
      </c>
      <c r="P542" s="42" t="s">
        <v>2</v>
      </c>
      <c r="Q542" s="41">
        <v>407419.67200000002</v>
      </c>
      <c r="R542" s="41">
        <v>3659940.466</v>
      </c>
    </row>
    <row r="543" spans="1:18" x14ac:dyDescent="0.25">
      <c r="A543" s="49">
        <v>2027</v>
      </c>
      <c r="B543" s="48" t="s">
        <v>844</v>
      </c>
      <c r="C543" s="47">
        <v>50</v>
      </c>
      <c r="D543" s="46">
        <v>20</v>
      </c>
      <c r="E543" s="44">
        <v>22</v>
      </c>
      <c r="F543" s="44">
        <f>1.8*E543+32</f>
        <v>71.599999999999994</v>
      </c>
      <c r="G543" s="45">
        <v>19</v>
      </c>
      <c r="H543" s="44">
        <f>IF(F543&gt;68,G543+(F543-68)*0.2,Y568-(68-F543)*0.2)</f>
        <v>19.72</v>
      </c>
      <c r="I543" s="44">
        <v>22</v>
      </c>
      <c r="J543" s="44">
        <f>1.8*I543+32</f>
        <v>71.599999999999994</v>
      </c>
      <c r="K543" s="45">
        <v>11</v>
      </c>
      <c r="L543" s="44">
        <f>IF(J543&gt;68,K543+(J543-68)*0.2,K543-(68-J543)*0.2)</f>
        <v>11.719999999999999</v>
      </c>
      <c r="M543" s="43">
        <f>(C543-H543)/C543*100</f>
        <v>60.56</v>
      </c>
      <c r="N543" s="43">
        <f>100-(M543+O543)</f>
        <v>16</v>
      </c>
      <c r="O543" s="43">
        <f>L543/C543*100</f>
        <v>23.439999999999998</v>
      </c>
      <c r="P543" s="42" t="s">
        <v>2</v>
      </c>
      <c r="Q543" s="41">
        <v>407419.67200000002</v>
      </c>
      <c r="R543" s="41">
        <v>3659940.466</v>
      </c>
    </row>
    <row r="544" spans="1:18" x14ac:dyDescent="0.25">
      <c r="A544" s="49">
        <v>2027</v>
      </c>
      <c r="B544" s="48" t="s">
        <v>843</v>
      </c>
      <c r="C544" s="47">
        <v>50</v>
      </c>
      <c r="D544" s="46">
        <v>20</v>
      </c>
      <c r="E544" s="44">
        <v>22</v>
      </c>
      <c r="F544" s="44">
        <f>1.8*E544+32</f>
        <v>71.599999999999994</v>
      </c>
      <c r="G544" s="45">
        <v>11</v>
      </c>
      <c r="H544" s="44">
        <f>IF(F544&gt;68,G544+(F544-68)*0.2,#REF!-(68-F544)*0.2)</f>
        <v>11.719999999999999</v>
      </c>
      <c r="I544" s="44">
        <v>22</v>
      </c>
      <c r="J544" s="44">
        <f>1.8*I544+32</f>
        <v>71.599999999999994</v>
      </c>
      <c r="K544" s="45">
        <v>6</v>
      </c>
      <c r="L544" s="44">
        <f>IF(J544&gt;68,K544+(J544-68)*0.2,K544-(68-J544)*0.2)</f>
        <v>6.7199999999999989</v>
      </c>
      <c r="M544" s="43">
        <f>(C544-H544)/C544*100</f>
        <v>76.56</v>
      </c>
      <c r="N544" s="43">
        <f>100-(M544+O544)</f>
        <v>10</v>
      </c>
      <c r="O544" s="43">
        <f>L544/C544*100</f>
        <v>13.439999999999996</v>
      </c>
      <c r="P544" s="42" t="s">
        <v>0</v>
      </c>
      <c r="Q544" s="41">
        <v>407419.67200000002</v>
      </c>
      <c r="R544" s="41">
        <v>3659940.466</v>
      </c>
    </row>
    <row r="545" spans="1:18" x14ac:dyDescent="0.25">
      <c r="A545" s="49">
        <v>2027</v>
      </c>
      <c r="B545" s="48" t="s">
        <v>842</v>
      </c>
      <c r="C545" s="47">
        <v>50</v>
      </c>
      <c r="D545" s="46">
        <v>20</v>
      </c>
      <c r="E545" s="44">
        <v>22</v>
      </c>
      <c r="F545" s="44">
        <f>1.8*E545+32</f>
        <v>71.599999999999994</v>
      </c>
      <c r="G545" s="45">
        <v>11</v>
      </c>
      <c r="H545" s="44">
        <f>IF(F545&gt;68,G545+(F545-68)*0.2,Y569-(68-F545)*0.2)</f>
        <v>11.719999999999999</v>
      </c>
      <c r="I545" s="44">
        <v>22</v>
      </c>
      <c r="J545" s="44">
        <f>1.8*I545+32</f>
        <v>71.599999999999994</v>
      </c>
      <c r="K545" s="45">
        <v>4</v>
      </c>
      <c r="L545" s="44">
        <f>IF(J545&gt;68,K545+(J545-68)*0.2,K545-(68-J545)*0.2)</f>
        <v>4.7199999999999989</v>
      </c>
      <c r="M545" s="43">
        <f>(C545-H545)/C545*100</f>
        <v>76.56</v>
      </c>
      <c r="N545" s="43">
        <f>100-(M545+O545)</f>
        <v>14</v>
      </c>
      <c r="O545" s="43">
        <f>L545/C545*100</f>
        <v>9.4399999999999977</v>
      </c>
      <c r="P545" s="42" t="s">
        <v>0</v>
      </c>
      <c r="Q545" s="41">
        <v>407419.67200000002</v>
      </c>
      <c r="R545" s="41">
        <v>3659940.466</v>
      </c>
    </row>
    <row r="546" spans="1:18" x14ac:dyDescent="0.25">
      <c r="A546" s="49">
        <v>2027</v>
      </c>
      <c r="B546" s="48" t="s">
        <v>841</v>
      </c>
      <c r="C546" s="47">
        <v>50</v>
      </c>
      <c r="D546" s="46">
        <v>20</v>
      </c>
      <c r="E546" s="44">
        <v>22</v>
      </c>
      <c r="F546" s="44">
        <f>1.8*E546+32</f>
        <v>71.599999999999994</v>
      </c>
      <c r="G546" s="45">
        <v>18</v>
      </c>
      <c r="H546" s="44">
        <f>IF(F546&gt;68,G546+(F546-68)*0.2,Y570-(68-F546)*0.2)</f>
        <v>18.72</v>
      </c>
      <c r="I546" s="44">
        <v>22</v>
      </c>
      <c r="J546" s="44">
        <f>1.8*I546+32</f>
        <v>71.599999999999994</v>
      </c>
      <c r="K546" s="45">
        <v>8</v>
      </c>
      <c r="L546" s="44">
        <f>IF(J546&gt;68,K546+(J546-68)*0.2,K546-(68-J546)*0.2)</f>
        <v>8.7199999999999989</v>
      </c>
      <c r="M546" s="43">
        <f>(C546-H546)/C546*100</f>
        <v>62.56</v>
      </c>
      <c r="N546" s="43">
        <f>100-(M546+O546)</f>
        <v>20</v>
      </c>
      <c r="O546" s="43">
        <f>L546/C546*100</f>
        <v>17.439999999999998</v>
      </c>
      <c r="P546" s="42" t="s">
        <v>0</v>
      </c>
      <c r="Q546" s="41">
        <v>407419.67200000002</v>
      </c>
      <c r="R546" s="41">
        <v>3659940.466</v>
      </c>
    </row>
    <row r="547" spans="1:18" x14ac:dyDescent="0.25">
      <c r="A547" s="49">
        <v>2027</v>
      </c>
      <c r="B547" s="48" t="s">
        <v>839</v>
      </c>
      <c r="C547" s="47">
        <v>50</v>
      </c>
      <c r="D547" s="46">
        <v>20</v>
      </c>
      <c r="E547" s="44">
        <v>22</v>
      </c>
      <c r="F547" s="44">
        <f>1.8*E547+32</f>
        <v>71.599999999999994</v>
      </c>
      <c r="G547" s="45">
        <v>14</v>
      </c>
      <c r="H547" s="44">
        <f>IF(F547&gt;68,G547+(F547-68)*0.2,Y571-(68-F547)*0.2)</f>
        <v>14.719999999999999</v>
      </c>
      <c r="I547" s="44">
        <v>22</v>
      </c>
      <c r="J547" s="44">
        <f>1.8*I547+32</f>
        <v>71.599999999999994</v>
      </c>
      <c r="K547" s="45">
        <v>7</v>
      </c>
      <c r="L547" s="44">
        <f>IF(J547&gt;68,K547+(J547-68)*0.2,K547-(68-J547)*0.2)</f>
        <v>7.7199999999999989</v>
      </c>
      <c r="M547" s="43">
        <f>(C547-H547)/C547*100</f>
        <v>70.56</v>
      </c>
      <c r="N547" s="43">
        <f>100-(M547+O547)</f>
        <v>14</v>
      </c>
      <c r="O547" s="43">
        <f>L547/C547*100</f>
        <v>15.439999999999998</v>
      </c>
      <c r="P547" s="42" t="s">
        <v>0</v>
      </c>
      <c r="Q547" s="41">
        <v>407419.67200000002</v>
      </c>
      <c r="R547" s="41">
        <v>3659940.466</v>
      </c>
    </row>
    <row r="548" spans="1:18" x14ac:dyDescent="0.25">
      <c r="A548" s="40"/>
      <c r="B548" s="66"/>
      <c r="C548" s="65"/>
      <c r="D548" s="37"/>
      <c r="E548" s="64"/>
      <c r="F548" s="64"/>
      <c r="G548" s="39"/>
      <c r="H548" s="64"/>
      <c r="I548" s="64"/>
      <c r="J548" s="64"/>
      <c r="K548" s="39"/>
      <c r="L548" s="64"/>
      <c r="M548" s="38"/>
      <c r="N548" s="38"/>
      <c r="O548" s="38"/>
      <c r="P548" s="63"/>
    </row>
    <row r="549" spans="1:18" x14ac:dyDescent="0.25">
      <c r="A549" s="57"/>
      <c r="B549" s="56"/>
      <c r="C549" s="55"/>
      <c r="D549" s="54"/>
      <c r="E549" s="52"/>
      <c r="F549" s="52"/>
      <c r="G549" s="53"/>
      <c r="H549" s="52"/>
      <c r="I549" s="52"/>
      <c r="J549" s="52"/>
      <c r="K549" s="53"/>
      <c r="L549" s="52"/>
      <c r="M549" s="51"/>
      <c r="N549" s="51"/>
      <c r="O549" s="51"/>
      <c r="P549" s="50"/>
      <c r="Q549" s="5" t="s">
        <v>4</v>
      </c>
      <c r="R549" s="5" t="s">
        <v>3</v>
      </c>
    </row>
    <row r="550" spans="1:18" x14ac:dyDescent="0.25">
      <c r="A550" s="49">
        <v>2036</v>
      </c>
      <c r="B550" s="48" t="s">
        <v>845</v>
      </c>
      <c r="C550" s="47">
        <v>50</v>
      </c>
      <c r="D550" s="46">
        <v>20</v>
      </c>
      <c r="E550" s="44">
        <v>22</v>
      </c>
      <c r="F550" s="44">
        <f>1.8*E550+32</f>
        <v>71.599999999999994</v>
      </c>
      <c r="G550" s="45">
        <v>17</v>
      </c>
      <c r="H550" s="44">
        <f>IF(F550&gt;68,G550+(F550-68)*0.2,#REF!-(68-F550)*0.2)</f>
        <v>17.72</v>
      </c>
      <c r="I550" s="44">
        <v>22</v>
      </c>
      <c r="J550" s="44">
        <f>1.8*I550+32</f>
        <v>71.599999999999994</v>
      </c>
      <c r="K550" s="45">
        <v>10</v>
      </c>
      <c r="L550" s="44">
        <f>IF(J550&gt;68,K550+(J550-68)*0.2,K550-(68-J550)*0.2)</f>
        <v>10.719999999999999</v>
      </c>
      <c r="M550" s="43">
        <f>(C550-H550)/C550*100</f>
        <v>64.56</v>
      </c>
      <c r="N550" s="43">
        <f>100-(M550+O550)</f>
        <v>14</v>
      </c>
      <c r="O550" s="43">
        <f>L550/C550*100</f>
        <v>21.439999999999998</v>
      </c>
      <c r="P550" s="42" t="s">
        <v>2</v>
      </c>
      <c r="Q550" s="41">
        <v>407420.402</v>
      </c>
      <c r="R550" s="41">
        <v>3659975.767</v>
      </c>
    </row>
    <row r="551" spans="1:18" x14ac:dyDescent="0.25">
      <c r="A551" s="49">
        <v>2036</v>
      </c>
      <c r="B551" s="48" t="s">
        <v>844</v>
      </c>
      <c r="C551" s="47">
        <v>50</v>
      </c>
      <c r="D551" s="46">
        <v>20</v>
      </c>
      <c r="E551" s="44">
        <v>22</v>
      </c>
      <c r="F551" s="44">
        <f>1.8*E551+32</f>
        <v>71.599999999999994</v>
      </c>
      <c r="G551" s="45">
        <v>17</v>
      </c>
      <c r="H551" s="44">
        <f>IF(F551&gt;68,G551+(F551-68)*0.2,Y575-(68-F551)*0.2)</f>
        <v>17.72</v>
      </c>
      <c r="I551" s="44">
        <v>22</v>
      </c>
      <c r="J551" s="44">
        <f>1.8*I551+32</f>
        <v>71.599999999999994</v>
      </c>
      <c r="K551" s="45">
        <v>9</v>
      </c>
      <c r="L551" s="44">
        <f>IF(J551&gt;68,K551+(J551-68)*0.2,K551-(68-J551)*0.2)</f>
        <v>9.7199999999999989</v>
      </c>
      <c r="M551" s="43">
        <f>(C551-H551)/C551*100</f>
        <v>64.56</v>
      </c>
      <c r="N551" s="43">
        <f>100-(M551+O551)</f>
        <v>16</v>
      </c>
      <c r="O551" s="43">
        <f>L551/C551*100</f>
        <v>19.439999999999998</v>
      </c>
      <c r="P551" s="42" t="s">
        <v>0</v>
      </c>
      <c r="Q551" s="41">
        <v>407420.402</v>
      </c>
      <c r="R551" s="41">
        <v>3659975.767</v>
      </c>
    </row>
    <row r="552" spans="1:18" x14ac:dyDescent="0.25">
      <c r="A552" s="49">
        <v>2036</v>
      </c>
      <c r="B552" s="48" t="s">
        <v>843</v>
      </c>
      <c r="C552" s="47">
        <v>50</v>
      </c>
      <c r="D552" s="46">
        <v>20</v>
      </c>
      <c r="E552" s="44">
        <v>22</v>
      </c>
      <c r="F552" s="44">
        <f>1.8*E552+32</f>
        <v>71.599999999999994</v>
      </c>
      <c r="G552" s="45">
        <v>16</v>
      </c>
      <c r="H552" s="44">
        <f>IF(F552&gt;68,G552+(F552-68)*0.2,#REF!-(68-F552)*0.2)</f>
        <v>16.72</v>
      </c>
      <c r="I552" s="44">
        <v>22</v>
      </c>
      <c r="J552" s="44">
        <f>1.8*I552+32</f>
        <v>71.599999999999994</v>
      </c>
      <c r="K552" s="45">
        <v>7</v>
      </c>
      <c r="L552" s="44">
        <f>IF(J552&gt;68,K552+(J552-68)*0.2,K552-(68-J552)*0.2)</f>
        <v>7.7199999999999989</v>
      </c>
      <c r="M552" s="43">
        <f>(C552-H552)/C552*100</f>
        <v>66.56</v>
      </c>
      <c r="N552" s="43">
        <f>100-(M552+O552)</f>
        <v>18</v>
      </c>
      <c r="O552" s="43">
        <f>L552/C552*100</f>
        <v>15.439999999999998</v>
      </c>
      <c r="P552" s="42" t="s">
        <v>0</v>
      </c>
      <c r="Q552" s="41">
        <v>407420.402</v>
      </c>
      <c r="R552" s="41">
        <v>3659975.767</v>
      </c>
    </row>
    <row r="553" spans="1:18" x14ac:dyDescent="0.25">
      <c r="A553" s="49">
        <v>2036</v>
      </c>
      <c r="B553" s="48" t="s">
        <v>842</v>
      </c>
      <c r="C553" s="47">
        <v>50</v>
      </c>
      <c r="D553" s="46">
        <v>20</v>
      </c>
      <c r="E553" s="44">
        <v>22</v>
      </c>
      <c r="F553" s="44">
        <f>1.8*E553+32</f>
        <v>71.599999999999994</v>
      </c>
      <c r="G553" s="45">
        <v>15</v>
      </c>
      <c r="H553" s="44">
        <f>IF(F553&gt;68,G553+(F553-68)*0.2,Y576-(68-F553)*0.2)</f>
        <v>15.719999999999999</v>
      </c>
      <c r="I553" s="44">
        <v>22</v>
      </c>
      <c r="J553" s="44">
        <f>1.8*I553+32</f>
        <v>71.599999999999994</v>
      </c>
      <c r="K553" s="45">
        <v>7</v>
      </c>
      <c r="L553" s="44">
        <f>IF(J553&gt;68,K553+(J553-68)*0.2,K553-(68-J553)*0.2)</f>
        <v>7.7199999999999989</v>
      </c>
      <c r="M553" s="43">
        <f>(C553-H553)/C553*100</f>
        <v>68.56</v>
      </c>
      <c r="N553" s="43">
        <f>100-(M553+O553)</f>
        <v>16</v>
      </c>
      <c r="O553" s="43">
        <f>L553/C553*100</f>
        <v>15.439999999999998</v>
      </c>
      <c r="P553" s="42" t="s">
        <v>0</v>
      </c>
      <c r="Q553" s="41">
        <v>407420.402</v>
      </c>
      <c r="R553" s="41">
        <v>3659975.767</v>
      </c>
    </row>
    <row r="554" spans="1:18" x14ac:dyDescent="0.25">
      <c r="A554" s="49">
        <v>2036</v>
      </c>
      <c r="B554" s="48" t="s">
        <v>841</v>
      </c>
      <c r="C554" s="47">
        <v>50</v>
      </c>
      <c r="D554" s="46">
        <v>20</v>
      </c>
      <c r="E554" s="44">
        <v>22</v>
      </c>
      <c r="F554" s="44">
        <f>1.8*E554+32</f>
        <v>71.599999999999994</v>
      </c>
      <c r="G554" s="45">
        <v>12</v>
      </c>
      <c r="H554" s="44">
        <f>IF(F554&gt;68,G554+(F554-68)*0.2,Y577-(68-F554)*0.2)</f>
        <v>12.719999999999999</v>
      </c>
      <c r="I554" s="44">
        <v>22</v>
      </c>
      <c r="J554" s="44">
        <f>1.8*I554+32</f>
        <v>71.599999999999994</v>
      </c>
      <c r="K554" s="45">
        <v>7</v>
      </c>
      <c r="L554" s="44">
        <f>IF(J554&gt;68,K554+(J554-68)*0.2,K554-(68-J554)*0.2)</f>
        <v>7.7199999999999989</v>
      </c>
      <c r="M554" s="43">
        <f>(C554-H554)/C554*100</f>
        <v>74.56</v>
      </c>
      <c r="N554" s="43">
        <f>100-(M554+O554)</f>
        <v>10</v>
      </c>
      <c r="O554" s="43">
        <f>L554/C554*100</f>
        <v>15.439999999999998</v>
      </c>
      <c r="P554" s="42" t="s">
        <v>0</v>
      </c>
      <c r="Q554" s="41">
        <v>407420.402</v>
      </c>
      <c r="R554" s="41">
        <v>3659975.767</v>
      </c>
    </row>
    <row r="555" spans="1:18" x14ac:dyDescent="0.25">
      <c r="A555" s="49">
        <v>2036</v>
      </c>
      <c r="B555" s="48" t="s">
        <v>839</v>
      </c>
      <c r="C555" s="47">
        <v>50</v>
      </c>
      <c r="D555" s="46">
        <v>20</v>
      </c>
      <c r="E555" s="44">
        <v>22</v>
      </c>
      <c r="F555" s="44">
        <f>1.8*E555+32</f>
        <v>71.599999999999994</v>
      </c>
      <c r="G555" s="45">
        <v>13</v>
      </c>
      <c r="H555" s="44">
        <f>IF(F555&gt;68,G555+(F555-68)*0.2,Y578-(68-F555)*0.2)</f>
        <v>13.719999999999999</v>
      </c>
      <c r="I555" s="44">
        <v>22</v>
      </c>
      <c r="J555" s="44">
        <f>1.8*I555+32</f>
        <v>71.599999999999994</v>
      </c>
      <c r="K555" s="45">
        <v>5</v>
      </c>
      <c r="L555" s="44">
        <f>IF(J555&gt;68,K555+(J555-68)*0.2,K555-(68-J555)*0.2)</f>
        <v>5.7199999999999989</v>
      </c>
      <c r="M555" s="43">
        <f>(C555-H555)/C555*100</f>
        <v>72.56</v>
      </c>
      <c r="N555" s="43">
        <f>100-(M555+O555)</f>
        <v>16</v>
      </c>
      <c r="O555" s="43">
        <f>L555/C555*100</f>
        <v>11.439999999999998</v>
      </c>
      <c r="P555" s="42" t="s">
        <v>0</v>
      </c>
      <c r="Q555" s="41">
        <v>407420.402</v>
      </c>
      <c r="R555" s="41">
        <v>3659975.767</v>
      </c>
    </row>
    <row r="556" spans="1:18" x14ac:dyDescent="0.25">
      <c r="A556" s="40"/>
      <c r="B556" s="66"/>
      <c r="C556" s="65"/>
      <c r="D556" s="37"/>
      <c r="E556" s="64"/>
      <c r="F556" s="64"/>
      <c r="G556" s="39"/>
      <c r="H556" s="64"/>
      <c r="I556" s="64"/>
      <c r="J556" s="64"/>
      <c r="K556" s="39"/>
      <c r="L556" s="64"/>
      <c r="M556" s="38"/>
      <c r="N556" s="38"/>
      <c r="O556" s="38"/>
      <c r="P556" s="63"/>
    </row>
    <row r="557" spans="1:18" x14ac:dyDescent="0.25">
      <c r="A557" s="61"/>
      <c r="B557" s="58"/>
      <c r="C557" s="58"/>
      <c r="D557" s="58"/>
      <c r="E557" s="58"/>
      <c r="F557" s="58"/>
      <c r="G557" s="60"/>
      <c r="H557" s="58"/>
      <c r="I557" s="58"/>
      <c r="J557" s="58"/>
      <c r="K557" s="60"/>
      <c r="L557" s="58"/>
      <c r="M557" s="59"/>
      <c r="N557" s="59"/>
      <c r="O557" s="59"/>
      <c r="P557" s="58"/>
      <c r="Q557" s="5" t="s">
        <v>4</v>
      </c>
      <c r="R557" s="5" t="s">
        <v>3</v>
      </c>
    </row>
    <row r="558" spans="1:18" x14ac:dyDescent="0.25">
      <c r="A558" s="49">
        <v>2044</v>
      </c>
      <c r="B558" s="48" t="s">
        <v>845</v>
      </c>
      <c r="C558" s="47">
        <v>50</v>
      </c>
      <c r="D558" s="46">
        <v>20</v>
      </c>
      <c r="E558" s="44">
        <v>22</v>
      </c>
      <c r="F558" s="44">
        <f>1.8*E558+32</f>
        <v>71.599999999999994</v>
      </c>
      <c r="G558" s="45">
        <v>20</v>
      </c>
      <c r="H558" s="44">
        <f>IF(F558&gt;68,G558+(F558-68)*0.2,#REF!-(68-F558)*0.2)</f>
        <v>20.72</v>
      </c>
      <c r="I558" s="44">
        <v>22</v>
      </c>
      <c r="J558" s="44">
        <f>1.8*I558+32</f>
        <v>71.599999999999994</v>
      </c>
      <c r="K558" s="45">
        <v>10</v>
      </c>
      <c r="L558" s="44">
        <f>IF(J558&gt;68,K558+(J558-68)*0.2,K558-(68-J558)*0.2)</f>
        <v>10.719999999999999</v>
      </c>
      <c r="M558" s="43">
        <f>(C558-H558)/C558*100</f>
        <v>58.56</v>
      </c>
      <c r="N558" s="43">
        <f>100-(M558+O558)</f>
        <v>20</v>
      </c>
      <c r="O558" s="43">
        <f>L558/C558*100</f>
        <v>21.439999999999998</v>
      </c>
      <c r="P558" s="42" t="s">
        <v>2</v>
      </c>
      <c r="Q558" s="41">
        <v>407420.78399999999</v>
      </c>
      <c r="R558" s="62">
        <v>3660007.19</v>
      </c>
    </row>
    <row r="559" spans="1:18" x14ac:dyDescent="0.25">
      <c r="A559" s="49">
        <v>2044</v>
      </c>
      <c r="B559" s="48" t="s">
        <v>844</v>
      </c>
      <c r="C559" s="47">
        <v>50</v>
      </c>
      <c r="D559" s="46">
        <v>20</v>
      </c>
      <c r="E559" s="44">
        <v>22</v>
      </c>
      <c r="F559" s="44">
        <f>1.8*E559+32</f>
        <v>71.599999999999994</v>
      </c>
      <c r="G559" s="45">
        <v>17</v>
      </c>
      <c r="H559" s="44">
        <f>IF(F559&gt;68,G559+(F559-68)*0.2,Y582-(68-F559)*0.2)</f>
        <v>17.72</v>
      </c>
      <c r="I559" s="44">
        <v>22</v>
      </c>
      <c r="J559" s="44">
        <f>1.8*I559+32</f>
        <v>71.599999999999994</v>
      </c>
      <c r="K559" s="45">
        <v>10</v>
      </c>
      <c r="L559" s="44">
        <f>IF(J559&gt;68,K559+(J559-68)*0.2,K559-(68-J559)*0.2)</f>
        <v>10.719999999999999</v>
      </c>
      <c r="M559" s="43">
        <f>(C559-H559)/C559*100</f>
        <v>64.56</v>
      </c>
      <c r="N559" s="43">
        <f>100-(M559+O559)</f>
        <v>14</v>
      </c>
      <c r="O559" s="43">
        <f>L559/C559*100</f>
        <v>21.439999999999998</v>
      </c>
      <c r="P559" s="42" t="s">
        <v>2</v>
      </c>
      <c r="Q559" s="41">
        <v>407420.78399999999</v>
      </c>
      <c r="R559" s="62">
        <v>3660007.19</v>
      </c>
    </row>
    <row r="560" spans="1:18" x14ac:dyDescent="0.25">
      <c r="A560" s="49">
        <v>2044</v>
      </c>
      <c r="B560" s="48" t="s">
        <v>843</v>
      </c>
      <c r="C560" s="47">
        <v>50</v>
      </c>
      <c r="D560" s="46">
        <v>20</v>
      </c>
      <c r="E560" s="44">
        <v>22</v>
      </c>
      <c r="F560" s="44">
        <f>1.8*E560+32</f>
        <v>71.599999999999994</v>
      </c>
      <c r="G560" s="45">
        <v>12</v>
      </c>
      <c r="H560" s="44">
        <f>IF(F560&gt;68,G560+(F560-68)*0.2,Y583-(68-F560)*0.2)</f>
        <v>12.719999999999999</v>
      </c>
      <c r="I560" s="44">
        <v>22</v>
      </c>
      <c r="J560" s="44">
        <f>1.8*I560+32</f>
        <v>71.599999999999994</v>
      </c>
      <c r="K560" s="45">
        <v>6</v>
      </c>
      <c r="L560" s="44">
        <f>IF(J560&gt;68,K560+(J560-68)*0.2,K560-(68-J560)*0.2)</f>
        <v>6.7199999999999989</v>
      </c>
      <c r="M560" s="43">
        <f>(C560-H560)/C560*100</f>
        <v>74.56</v>
      </c>
      <c r="N560" s="43">
        <f>100-(M560+O560)</f>
        <v>12</v>
      </c>
      <c r="O560" s="43">
        <f>L560/C560*100</f>
        <v>13.439999999999996</v>
      </c>
      <c r="P560" s="42" t="s">
        <v>0</v>
      </c>
      <c r="Q560" s="41">
        <v>407420.78399999999</v>
      </c>
      <c r="R560" s="62">
        <v>3660007.19</v>
      </c>
    </row>
    <row r="561" spans="1:18" x14ac:dyDescent="0.25">
      <c r="A561" s="49">
        <v>2044</v>
      </c>
      <c r="B561" s="48" t="s">
        <v>842</v>
      </c>
      <c r="C561" s="47">
        <v>50</v>
      </c>
      <c r="D561" s="46">
        <v>20</v>
      </c>
      <c r="E561" s="44">
        <v>22</v>
      </c>
      <c r="F561" s="44">
        <f>1.8*E561+32</f>
        <v>71.599999999999994</v>
      </c>
      <c r="G561" s="45">
        <v>10</v>
      </c>
      <c r="H561" s="44">
        <f>IF(F561&gt;68,G561+(F561-68)*0.2,Y584-(68-F561)*0.2)</f>
        <v>10.719999999999999</v>
      </c>
      <c r="I561" s="44">
        <v>22</v>
      </c>
      <c r="J561" s="44">
        <f>1.8*I561+32</f>
        <v>71.599999999999994</v>
      </c>
      <c r="K561" s="45">
        <v>4</v>
      </c>
      <c r="L561" s="44">
        <f>IF(J561&gt;68,K561+(J561-68)*0.2,K561-(68-J561)*0.2)</f>
        <v>4.7199999999999989</v>
      </c>
      <c r="M561" s="43">
        <f>(C561-H561)/C561*100</f>
        <v>78.56</v>
      </c>
      <c r="N561" s="43">
        <f>100-(M561+O561)</f>
        <v>12</v>
      </c>
      <c r="O561" s="43">
        <f>L561/C561*100</f>
        <v>9.4399999999999977</v>
      </c>
      <c r="P561" s="42" t="s">
        <v>0</v>
      </c>
      <c r="Q561" s="41">
        <v>407420.78399999999</v>
      </c>
      <c r="R561" s="62">
        <v>3660007.19</v>
      </c>
    </row>
    <row r="562" spans="1:18" x14ac:dyDescent="0.25">
      <c r="A562" s="49">
        <v>2044</v>
      </c>
      <c r="B562" s="48" t="s">
        <v>841</v>
      </c>
      <c r="C562" s="47">
        <v>50</v>
      </c>
      <c r="D562" s="46">
        <v>20</v>
      </c>
      <c r="E562" s="44">
        <v>22</v>
      </c>
      <c r="F562" s="44">
        <f>1.8*E562+32</f>
        <v>71.599999999999994</v>
      </c>
      <c r="G562" s="45">
        <v>13</v>
      </c>
      <c r="H562" s="44">
        <f>IF(F562&gt;68,G562+(F562-68)*0.2,Y585-(68-F562)*0.2)</f>
        <v>13.719999999999999</v>
      </c>
      <c r="I562" s="44">
        <v>22</v>
      </c>
      <c r="J562" s="44">
        <f>1.8*I562+32</f>
        <v>71.599999999999994</v>
      </c>
      <c r="K562" s="45">
        <v>8</v>
      </c>
      <c r="L562" s="44">
        <f>IF(J562&gt;68,K562+(J562-68)*0.2,K562-(68-J562)*0.2)</f>
        <v>8.7199999999999989</v>
      </c>
      <c r="M562" s="43">
        <f>(C562-H562)/C562*100</f>
        <v>72.56</v>
      </c>
      <c r="N562" s="43">
        <f>100-(M562+O562)</f>
        <v>10</v>
      </c>
      <c r="O562" s="43">
        <f>L562/C562*100</f>
        <v>17.439999999999998</v>
      </c>
      <c r="P562" s="42" t="s">
        <v>0</v>
      </c>
      <c r="Q562" s="41">
        <v>407420.78399999999</v>
      </c>
      <c r="R562" s="62">
        <v>3660007.19</v>
      </c>
    </row>
    <row r="563" spans="1:18" x14ac:dyDescent="0.25">
      <c r="A563" s="49">
        <v>2044</v>
      </c>
      <c r="B563" s="48" t="s">
        <v>839</v>
      </c>
      <c r="C563" s="47">
        <v>50</v>
      </c>
      <c r="D563" s="46">
        <v>20</v>
      </c>
      <c r="E563" s="44">
        <v>22</v>
      </c>
      <c r="F563" s="44">
        <f>1.8*E563+32</f>
        <v>71.599999999999994</v>
      </c>
      <c r="G563" s="45">
        <v>14</v>
      </c>
      <c r="H563" s="44">
        <f>IF(F563&gt;68,G563+(F563-68)*0.2,Y586-(68-F563)*0.2)</f>
        <v>14.719999999999999</v>
      </c>
      <c r="I563" s="44">
        <v>22</v>
      </c>
      <c r="J563" s="44">
        <f>1.8*I563+32</f>
        <v>71.599999999999994</v>
      </c>
      <c r="K563" s="45">
        <v>7</v>
      </c>
      <c r="L563" s="44">
        <f>IF(J563&gt;68,K563+(J563-68)*0.2,K563-(68-J563)*0.2)</f>
        <v>7.7199999999999989</v>
      </c>
      <c r="M563" s="43">
        <f>(C563-H563)/C563*100</f>
        <v>70.56</v>
      </c>
      <c r="N563" s="43">
        <f>100-(M563+O563)</f>
        <v>14</v>
      </c>
      <c r="O563" s="43">
        <f>L563/C563*100</f>
        <v>15.439999999999998</v>
      </c>
      <c r="P563" s="42" t="s">
        <v>0</v>
      </c>
      <c r="Q563" s="41">
        <v>407420.78399999999</v>
      </c>
      <c r="R563" s="62">
        <v>3660007.19</v>
      </c>
    </row>
    <row r="564" spans="1:18" x14ac:dyDescent="0.25">
      <c r="A564" s="61"/>
      <c r="B564" s="58"/>
      <c r="C564" s="58"/>
      <c r="D564" s="58"/>
      <c r="E564" s="58"/>
      <c r="F564" s="58"/>
      <c r="G564" s="60"/>
      <c r="H564" s="58"/>
      <c r="I564" s="58"/>
      <c r="J564" s="58"/>
      <c r="K564" s="60"/>
      <c r="L564" s="58"/>
      <c r="M564" s="59"/>
      <c r="N564" s="59"/>
      <c r="O564" s="59"/>
      <c r="P564" s="58"/>
    </row>
    <row r="565" spans="1:18" x14ac:dyDescent="0.25">
      <c r="A565" s="57"/>
      <c r="B565" s="56"/>
      <c r="C565" s="55"/>
      <c r="D565" s="54"/>
      <c r="E565" s="52"/>
      <c r="F565" s="52"/>
      <c r="G565" s="53"/>
      <c r="H565" s="52"/>
      <c r="I565" s="52"/>
      <c r="J565" s="52"/>
      <c r="K565" s="53"/>
      <c r="L565" s="52"/>
      <c r="M565" s="51"/>
      <c r="N565" s="51"/>
      <c r="O565" s="51"/>
      <c r="P565" s="50"/>
      <c r="Q565" s="5" t="s">
        <v>4</v>
      </c>
      <c r="R565" s="5" t="s">
        <v>3</v>
      </c>
    </row>
    <row r="566" spans="1:18" x14ac:dyDescent="0.25">
      <c r="A566" s="49">
        <v>2134</v>
      </c>
      <c r="B566" s="48" t="s">
        <v>845</v>
      </c>
      <c r="C566" s="47">
        <v>50</v>
      </c>
      <c r="D566" s="46">
        <v>20</v>
      </c>
      <c r="E566" s="44">
        <v>22</v>
      </c>
      <c r="F566" s="44">
        <f>1.8*E566+32</f>
        <v>71.599999999999994</v>
      </c>
      <c r="G566" s="45">
        <v>21</v>
      </c>
      <c r="H566" s="44">
        <f>IF(F566&gt;68,G566+(F566-68)*0.2,Y601-(68-F566)*0.2)</f>
        <v>21.72</v>
      </c>
      <c r="I566" s="44">
        <v>22</v>
      </c>
      <c r="J566" s="44">
        <f>1.8*I566+32</f>
        <v>71.599999999999994</v>
      </c>
      <c r="K566" s="45">
        <v>12</v>
      </c>
      <c r="L566" s="44">
        <f>IF(J566&gt;68,K566+(J566-68)*0.2,K566-(68-J566)*0.2)</f>
        <v>12.719999999999999</v>
      </c>
      <c r="M566" s="43">
        <f>(C566-H566)/C566*100</f>
        <v>56.56</v>
      </c>
      <c r="N566" s="43">
        <f>100-(M566+O566)</f>
        <v>18</v>
      </c>
      <c r="O566" s="43">
        <f>L566/C566*100</f>
        <v>25.439999999999998</v>
      </c>
      <c r="P566" s="42" t="s">
        <v>2</v>
      </c>
      <c r="Q566" s="41">
        <v>407404.36300000001</v>
      </c>
      <c r="R566" s="41">
        <v>3659885.912</v>
      </c>
    </row>
    <row r="567" spans="1:18" x14ac:dyDescent="0.25">
      <c r="A567" s="49">
        <v>2134</v>
      </c>
      <c r="B567" s="48" t="s">
        <v>844</v>
      </c>
      <c r="C567" s="47">
        <v>50</v>
      </c>
      <c r="D567" s="46">
        <v>20</v>
      </c>
      <c r="E567" s="44">
        <v>22</v>
      </c>
      <c r="F567" s="44">
        <f>1.8*E567+32</f>
        <v>71.599999999999994</v>
      </c>
      <c r="G567" s="45">
        <v>16</v>
      </c>
      <c r="H567" s="44">
        <f>IF(F567&gt;68,G567+(F567-68)*0.2,Y590-(68-F567)*0.2)</f>
        <v>16.72</v>
      </c>
      <c r="I567" s="44">
        <v>22</v>
      </c>
      <c r="J567" s="44">
        <f>1.8*I567+32</f>
        <v>71.599999999999994</v>
      </c>
      <c r="K567" s="45">
        <v>9</v>
      </c>
      <c r="L567" s="44">
        <f>IF(J567&gt;68,K567+(J567-68)*0.2,K567-(68-J567)*0.2)</f>
        <v>9.7199999999999989</v>
      </c>
      <c r="M567" s="43">
        <f>(C567-H567)/C567*100</f>
        <v>66.56</v>
      </c>
      <c r="N567" s="43">
        <f>100-(M567+O567)</f>
        <v>14</v>
      </c>
      <c r="O567" s="43">
        <f>L567/C567*100</f>
        <v>19.439999999999998</v>
      </c>
      <c r="P567" s="42" t="s">
        <v>0</v>
      </c>
      <c r="Q567" s="41">
        <v>407404.36300000001</v>
      </c>
      <c r="R567" s="41">
        <v>3659885.912</v>
      </c>
    </row>
    <row r="568" spans="1:18" x14ac:dyDescent="0.25">
      <c r="A568" s="49">
        <v>2134</v>
      </c>
      <c r="B568" s="48" t="s">
        <v>843</v>
      </c>
      <c r="C568" s="47">
        <v>50</v>
      </c>
      <c r="D568" s="46">
        <v>20</v>
      </c>
      <c r="E568" s="44">
        <v>22</v>
      </c>
      <c r="F568" s="44">
        <f>1.8*E568+32</f>
        <v>71.599999999999994</v>
      </c>
      <c r="G568" s="45">
        <v>11</v>
      </c>
      <c r="H568" s="44">
        <f>IF(F568&gt;68,G568+(F568-68)*0.2,Y591-(68-F568)*0.2)</f>
        <v>11.719999999999999</v>
      </c>
      <c r="I568" s="44">
        <v>22</v>
      </c>
      <c r="J568" s="44">
        <f>1.8*I568+32</f>
        <v>71.599999999999994</v>
      </c>
      <c r="K568" s="45">
        <v>5</v>
      </c>
      <c r="L568" s="44">
        <f>IF(J568&gt;68,K568+(J568-68)*0.2,K568-(68-J568)*0.2)</f>
        <v>5.7199999999999989</v>
      </c>
      <c r="M568" s="43">
        <f>(C568-H568)/C568*100</f>
        <v>76.56</v>
      </c>
      <c r="N568" s="43">
        <f>100-(M568+O568)</f>
        <v>12</v>
      </c>
      <c r="O568" s="43">
        <f>L568/C568*100</f>
        <v>11.439999999999998</v>
      </c>
      <c r="P568" s="42" t="s">
        <v>0</v>
      </c>
      <c r="Q568" s="41">
        <v>407404.36300000001</v>
      </c>
      <c r="R568" s="41">
        <v>3659885.912</v>
      </c>
    </row>
    <row r="569" spans="1:18" x14ac:dyDescent="0.25">
      <c r="A569" s="49">
        <v>2134</v>
      </c>
      <c r="B569" s="48" t="s">
        <v>842</v>
      </c>
      <c r="C569" s="47">
        <v>50</v>
      </c>
      <c r="D569" s="46">
        <v>20</v>
      </c>
      <c r="E569" s="44">
        <v>22</v>
      </c>
      <c r="F569" s="44">
        <f>1.8*E569+32</f>
        <v>71.599999999999994</v>
      </c>
      <c r="G569" s="45">
        <v>13</v>
      </c>
      <c r="H569" s="44">
        <f>IF(F569&gt;68,G569+(F569-68)*0.2,Y592-(68-F569)*0.2)</f>
        <v>13.719999999999999</v>
      </c>
      <c r="I569" s="44">
        <v>22</v>
      </c>
      <c r="J569" s="44">
        <f>1.8*I569+32</f>
        <v>71.599999999999994</v>
      </c>
      <c r="K569" s="45">
        <v>7</v>
      </c>
      <c r="L569" s="44">
        <f>IF(J569&gt;68,K569+(J569-68)*0.2,K569-(68-J569)*0.2)</f>
        <v>7.7199999999999989</v>
      </c>
      <c r="M569" s="43">
        <f>(C569-H569)/C569*100</f>
        <v>72.56</v>
      </c>
      <c r="N569" s="43">
        <f>100-(M569+O569)</f>
        <v>12</v>
      </c>
      <c r="O569" s="43">
        <f>L569/C569*100</f>
        <v>15.439999999999998</v>
      </c>
      <c r="P569" s="42" t="s">
        <v>0</v>
      </c>
      <c r="Q569" s="41">
        <v>407404.36300000001</v>
      </c>
      <c r="R569" s="41">
        <v>3659885.912</v>
      </c>
    </row>
    <row r="570" spans="1:18" x14ac:dyDescent="0.25">
      <c r="A570" s="49">
        <v>2134</v>
      </c>
      <c r="B570" s="48" t="s">
        <v>841</v>
      </c>
      <c r="C570" s="47">
        <v>50</v>
      </c>
      <c r="D570" s="46">
        <v>20</v>
      </c>
      <c r="E570" s="44">
        <v>22</v>
      </c>
      <c r="F570" s="44">
        <f>1.8*E570+32</f>
        <v>71.599999999999994</v>
      </c>
      <c r="G570" s="45">
        <v>12</v>
      </c>
      <c r="H570" s="44">
        <f>IF(F570&gt;68,G570+(F570-68)*0.2,Y593-(68-F570)*0.2)</f>
        <v>12.719999999999999</v>
      </c>
      <c r="I570" s="44">
        <v>22</v>
      </c>
      <c r="J570" s="44">
        <f>1.8*I570+32</f>
        <v>71.599999999999994</v>
      </c>
      <c r="K570" s="45">
        <v>9</v>
      </c>
      <c r="L570" s="44">
        <f>IF(J570&gt;68,K570+(J570-68)*0.2,K570-(68-J570)*0.2)</f>
        <v>9.7199999999999989</v>
      </c>
      <c r="M570" s="43">
        <f>(C570-H570)/C570*100</f>
        <v>74.56</v>
      </c>
      <c r="N570" s="43">
        <f>100-(M570+O570)</f>
        <v>6</v>
      </c>
      <c r="O570" s="43">
        <f>L570/C570*100</f>
        <v>19.439999999999998</v>
      </c>
      <c r="P570" s="42" t="s">
        <v>0</v>
      </c>
      <c r="Q570" s="41">
        <v>407404.36300000001</v>
      </c>
      <c r="R570" s="41">
        <v>3659885.912</v>
      </c>
    </row>
    <row r="571" spans="1:18" x14ac:dyDescent="0.25">
      <c r="A571" s="49">
        <v>2134</v>
      </c>
      <c r="B571" s="48" t="s">
        <v>839</v>
      </c>
      <c r="C571" s="47">
        <v>50</v>
      </c>
      <c r="D571" s="46">
        <v>20</v>
      </c>
      <c r="E571" s="44">
        <v>22</v>
      </c>
      <c r="F571" s="44">
        <f>1.8*E571+32</f>
        <v>71.599999999999994</v>
      </c>
      <c r="G571" s="45">
        <v>11</v>
      </c>
      <c r="H571" s="44">
        <f>IF(F571&gt;68,G571+(F571-68)*0.2,Y594-(68-F571)*0.2)</f>
        <v>11.719999999999999</v>
      </c>
      <c r="I571" s="44">
        <v>22</v>
      </c>
      <c r="J571" s="44">
        <f>1.8*I571+32</f>
        <v>71.599999999999994</v>
      </c>
      <c r="K571" s="45">
        <v>4</v>
      </c>
      <c r="L571" s="44">
        <f>IF(J571&gt;68,K571+(J571-68)*0.2,K571-(68-J571)*0.2)</f>
        <v>4.7199999999999989</v>
      </c>
      <c r="M571" s="43">
        <f>(C571-H571)/C571*100</f>
        <v>76.56</v>
      </c>
      <c r="N571" s="43">
        <f>100-(M571+O571)</f>
        <v>14</v>
      </c>
      <c r="O571" s="43">
        <f>L571/C571*100</f>
        <v>9.4399999999999977</v>
      </c>
      <c r="P571" s="42" t="s">
        <v>0</v>
      </c>
      <c r="Q571" s="41">
        <v>407404.36300000001</v>
      </c>
      <c r="R571" s="41">
        <v>3659885.912</v>
      </c>
    </row>
    <row r="572" spans="1:18" x14ac:dyDescent="0.25">
      <c r="A572" s="61"/>
      <c r="B572" s="58"/>
      <c r="C572" s="58"/>
      <c r="D572" s="58"/>
      <c r="E572" s="58"/>
      <c r="F572" s="58"/>
      <c r="G572" s="60"/>
      <c r="H572" s="58"/>
      <c r="I572" s="58"/>
      <c r="J572" s="58"/>
      <c r="K572" s="60"/>
      <c r="L572" s="58"/>
      <c r="M572" s="59"/>
      <c r="N572" s="59"/>
      <c r="O572" s="59"/>
      <c r="P572" s="58"/>
    </row>
    <row r="573" spans="1:18" x14ac:dyDescent="0.25">
      <c r="A573" s="57"/>
      <c r="B573" s="56"/>
      <c r="C573" s="55"/>
      <c r="D573" s="54"/>
      <c r="E573" s="52"/>
      <c r="F573" s="52"/>
      <c r="G573" s="53"/>
      <c r="H573" s="52"/>
      <c r="I573" s="52"/>
      <c r="J573" s="52"/>
      <c r="K573" s="53"/>
      <c r="L573" s="52"/>
      <c r="M573" s="51"/>
      <c r="N573" s="51"/>
      <c r="O573" s="51"/>
      <c r="P573" s="50"/>
      <c r="Q573" s="5" t="s">
        <v>4</v>
      </c>
      <c r="R573" s="5" t="s">
        <v>3</v>
      </c>
    </row>
    <row r="574" spans="1:18" x14ac:dyDescent="0.25">
      <c r="A574" s="49">
        <v>2147</v>
      </c>
      <c r="B574" s="48" t="s">
        <v>845</v>
      </c>
      <c r="C574" s="47">
        <v>50</v>
      </c>
      <c r="D574" s="46">
        <v>20</v>
      </c>
      <c r="E574" s="44">
        <v>22</v>
      </c>
      <c r="F574" s="44">
        <f>1.8*E574+32</f>
        <v>71.599999999999994</v>
      </c>
      <c r="G574" s="45">
        <v>22</v>
      </c>
      <c r="H574" s="44">
        <f>IF(F574&gt;68,G574+(F574-68)*0.2,#REF!-(68-F574)*0.2)</f>
        <v>22.72</v>
      </c>
      <c r="I574" s="44">
        <v>22</v>
      </c>
      <c r="J574" s="44">
        <f>1.8*I574+32</f>
        <v>71.599999999999994</v>
      </c>
      <c r="K574" s="45">
        <v>14</v>
      </c>
      <c r="L574" s="44">
        <f>IF(J574&gt;68,K574+(J574-68)*0.2,K574-(68-J574)*0.2)</f>
        <v>14.719999999999999</v>
      </c>
      <c r="M574" s="43">
        <f>(C574-H574)/C574*100</f>
        <v>54.559999999999995</v>
      </c>
      <c r="N574" s="43">
        <f>100-(M574+O574)</f>
        <v>16</v>
      </c>
      <c r="O574" s="43">
        <f>L574/C574*100</f>
        <v>29.439999999999998</v>
      </c>
      <c r="P574" s="42" t="s">
        <v>2</v>
      </c>
      <c r="Q574" s="17">
        <v>407404.995</v>
      </c>
      <c r="R574" s="41">
        <v>3659932.6230000001</v>
      </c>
    </row>
    <row r="575" spans="1:18" x14ac:dyDescent="0.25">
      <c r="A575" s="49">
        <v>2147</v>
      </c>
      <c r="B575" s="48" t="s">
        <v>844</v>
      </c>
      <c r="C575" s="47">
        <v>50</v>
      </c>
      <c r="D575" s="46">
        <v>20</v>
      </c>
      <c r="E575" s="44">
        <v>22</v>
      </c>
      <c r="F575" s="44">
        <f>1.8*E575+32</f>
        <v>71.599999999999994</v>
      </c>
      <c r="G575" s="45">
        <v>23</v>
      </c>
      <c r="H575" s="44">
        <f>IF(F575&gt;68,G575+(F575-68)*0.2,Y610-(68-F575)*0.2)</f>
        <v>23.72</v>
      </c>
      <c r="I575" s="44">
        <v>22</v>
      </c>
      <c r="J575" s="44">
        <f>1.8*I575+32</f>
        <v>71.599999999999994</v>
      </c>
      <c r="K575" s="45">
        <v>13</v>
      </c>
      <c r="L575" s="44">
        <f>IF(J575&gt;68,K575+(J575-68)*0.2,K575-(68-J575)*0.2)</f>
        <v>13.719999999999999</v>
      </c>
      <c r="M575" s="43">
        <f>(C575-H575)/C575*100</f>
        <v>52.560000000000009</v>
      </c>
      <c r="N575" s="43">
        <f>100-(M575+O575)</f>
        <v>20</v>
      </c>
      <c r="O575" s="43">
        <f>L575/C575*100</f>
        <v>27.439999999999998</v>
      </c>
      <c r="P575" s="42" t="s">
        <v>2</v>
      </c>
      <c r="Q575" s="41">
        <v>407404.995</v>
      </c>
      <c r="R575" s="41">
        <v>3659932.6230000001</v>
      </c>
    </row>
    <row r="576" spans="1:18" x14ac:dyDescent="0.25">
      <c r="A576" s="49">
        <v>2147</v>
      </c>
      <c r="B576" s="48" t="s">
        <v>843</v>
      </c>
      <c r="C576" s="47">
        <v>50</v>
      </c>
      <c r="D576" s="46">
        <v>20</v>
      </c>
      <c r="E576" s="44">
        <v>22</v>
      </c>
      <c r="F576" s="44">
        <f>1.8*E576+32</f>
        <v>71.599999999999994</v>
      </c>
      <c r="G576" s="45">
        <v>24</v>
      </c>
      <c r="H576" s="44">
        <f>IF(F576&gt;68,G576+(F576-68)*0.2,Y599-(68-F576)*0.2)</f>
        <v>24.72</v>
      </c>
      <c r="I576" s="44">
        <v>22</v>
      </c>
      <c r="J576" s="44">
        <f>1.8*I576+32</f>
        <v>71.599999999999994</v>
      </c>
      <c r="K576" s="45">
        <v>9</v>
      </c>
      <c r="L576" s="44">
        <f>IF(J576&gt;68,K576+(J576-68)*0.2,K576-(68-J576)*0.2)</f>
        <v>9.7199999999999989</v>
      </c>
      <c r="M576" s="43">
        <f>(C576-H576)/C576*100</f>
        <v>50.56</v>
      </c>
      <c r="N576" s="43">
        <f>100-(M576+O576)</f>
        <v>30</v>
      </c>
      <c r="O576" s="43">
        <f>L576/C576*100</f>
        <v>19.439999999999998</v>
      </c>
      <c r="P576" s="42" t="s">
        <v>2</v>
      </c>
      <c r="Q576" s="41">
        <v>407404.995</v>
      </c>
      <c r="R576" s="41">
        <v>3659932.6230000001</v>
      </c>
    </row>
    <row r="577" spans="1:18" x14ac:dyDescent="0.25">
      <c r="A577" s="49">
        <v>2147</v>
      </c>
      <c r="B577" s="48" t="s">
        <v>842</v>
      </c>
      <c r="C577" s="47">
        <v>50</v>
      </c>
      <c r="D577" s="46">
        <v>20</v>
      </c>
      <c r="E577" s="44">
        <v>22</v>
      </c>
      <c r="F577" s="44">
        <f>1.8*E577+32</f>
        <v>71.599999999999994</v>
      </c>
      <c r="G577" s="45">
        <v>21</v>
      </c>
      <c r="H577" s="44">
        <f>IF(F577&gt;68,G577+(F577-68)*0.2,Y600-(68-F577)*0.2)</f>
        <v>21.72</v>
      </c>
      <c r="I577" s="44">
        <v>22</v>
      </c>
      <c r="J577" s="44">
        <f>1.8*I577+32</f>
        <v>71.599999999999994</v>
      </c>
      <c r="K577" s="45">
        <v>13</v>
      </c>
      <c r="L577" s="44">
        <f>IF(J577&gt;68,K577+(J577-68)*0.2,K577-(68-J577)*0.2)</f>
        <v>13.719999999999999</v>
      </c>
      <c r="M577" s="43">
        <f>(C577-H577)/C577*100</f>
        <v>56.56</v>
      </c>
      <c r="N577" s="43">
        <f>100-(M577+O577)</f>
        <v>16</v>
      </c>
      <c r="O577" s="43">
        <f>L577/C577*100</f>
        <v>27.439999999999998</v>
      </c>
      <c r="P577" s="42" t="s">
        <v>2</v>
      </c>
      <c r="Q577" s="41">
        <v>407404.995</v>
      </c>
      <c r="R577" s="41">
        <v>3659932.6230000001</v>
      </c>
    </row>
    <row r="578" spans="1:18" x14ac:dyDescent="0.25">
      <c r="A578" s="49">
        <v>2147</v>
      </c>
      <c r="B578" s="48" t="s">
        <v>841</v>
      </c>
      <c r="C578" s="47">
        <v>50</v>
      </c>
      <c r="D578" s="46">
        <v>20</v>
      </c>
      <c r="E578" s="44">
        <v>22</v>
      </c>
      <c r="F578" s="44">
        <f>1.8*E578+32</f>
        <v>71.599999999999994</v>
      </c>
      <c r="G578" s="45">
        <v>19</v>
      </c>
      <c r="H578" s="44">
        <f>IF(F578&gt;68,G578+(F578-68)*0.2,Y601-(68-F578)*0.2)</f>
        <v>19.72</v>
      </c>
      <c r="I578" s="44">
        <v>22</v>
      </c>
      <c r="J578" s="44">
        <f>1.8*I578+32</f>
        <v>71.599999999999994</v>
      </c>
      <c r="K578" s="45">
        <v>12</v>
      </c>
      <c r="L578" s="44">
        <f>IF(J578&gt;68,K578+(J578-68)*0.2,K578-(68-J578)*0.2)</f>
        <v>12.719999999999999</v>
      </c>
      <c r="M578" s="43">
        <f>(C578-H578)/C578*100</f>
        <v>60.56</v>
      </c>
      <c r="N578" s="43">
        <f>100-(M578+O578)</f>
        <v>14</v>
      </c>
      <c r="O578" s="43">
        <f>L578/C578*100</f>
        <v>25.439999999999998</v>
      </c>
      <c r="P578" s="42" t="s">
        <v>2</v>
      </c>
      <c r="Q578" s="41">
        <v>407404.995</v>
      </c>
      <c r="R578" s="41">
        <v>3659932.6230000001</v>
      </c>
    </row>
    <row r="579" spans="1:18" x14ac:dyDescent="0.25">
      <c r="A579" s="49">
        <v>2147</v>
      </c>
      <c r="B579" s="48" t="s">
        <v>839</v>
      </c>
      <c r="C579" s="47">
        <v>50</v>
      </c>
      <c r="D579" s="46">
        <v>20</v>
      </c>
      <c r="E579" s="44">
        <v>22</v>
      </c>
      <c r="F579" s="44">
        <f>1.8*E579+32</f>
        <v>71.599999999999994</v>
      </c>
      <c r="G579" s="45">
        <v>9</v>
      </c>
      <c r="H579" s="44">
        <f>IF(F579&gt;68,G579+(F579-68)*0.2,Y602-(68-F579)*0.2)</f>
        <v>9.7199999999999989</v>
      </c>
      <c r="I579" s="44">
        <v>22</v>
      </c>
      <c r="J579" s="44">
        <f>1.8*I579+32</f>
        <v>71.599999999999994</v>
      </c>
      <c r="K579" s="45">
        <v>5</v>
      </c>
      <c r="L579" s="44">
        <f>IF(J579&gt;68,K579+(J579-68)*0.2,K579-(68-J579)*0.2)</f>
        <v>5.7199999999999989</v>
      </c>
      <c r="M579" s="43">
        <f>(C579-H579)/C579*100</f>
        <v>80.56</v>
      </c>
      <c r="N579" s="43">
        <f>100-(M579+O579)</f>
        <v>8</v>
      </c>
      <c r="O579" s="43">
        <f>L579/C579*100</f>
        <v>11.439999999999998</v>
      </c>
      <c r="P579" s="42" t="s">
        <v>0</v>
      </c>
      <c r="Q579" s="41">
        <v>407404.995</v>
      </c>
      <c r="R579" s="41">
        <v>3659932.6230000001</v>
      </c>
    </row>
    <row r="580" spans="1:18" x14ac:dyDescent="0.25">
      <c r="A580" s="61"/>
      <c r="B580" s="58"/>
      <c r="C580" s="58"/>
      <c r="D580" s="58"/>
      <c r="E580" s="58"/>
      <c r="F580" s="58"/>
      <c r="G580" s="60"/>
      <c r="H580" s="58"/>
      <c r="I580" s="58"/>
      <c r="J580" s="58"/>
      <c r="K580" s="60"/>
      <c r="L580" s="58"/>
      <c r="M580" s="59"/>
      <c r="N580" s="59"/>
      <c r="O580" s="59"/>
      <c r="P580" s="58"/>
    </row>
    <row r="581" spans="1:18" x14ac:dyDescent="0.25">
      <c r="A581" s="57"/>
      <c r="B581" s="56"/>
      <c r="C581" s="55"/>
      <c r="D581" s="54"/>
      <c r="E581" s="52"/>
      <c r="F581" s="52"/>
      <c r="G581" s="53"/>
      <c r="H581" s="52"/>
      <c r="I581" s="52"/>
      <c r="J581" s="52"/>
      <c r="K581" s="53"/>
      <c r="L581" s="52"/>
      <c r="M581" s="51"/>
      <c r="N581" s="51"/>
      <c r="O581" s="51"/>
      <c r="P581" s="50"/>
      <c r="Q581" s="5" t="s">
        <v>4</v>
      </c>
      <c r="R581" s="5" t="s">
        <v>3</v>
      </c>
    </row>
    <row r="582" spans="1:18" x14ac:dyDescent="0.25">
      <c r="A582" s="49">
        <v>2154</v>
      </c>
      <c r="B582" s="48" t="s">
        <v>845</v>
      </c>
      <c r="C582" s="47">
        <v>50</v>
      </c>
      <c r="D582" s="46">
        <v>20</v>
      </c>
      <c r="E582" s="44">
        <v>22</v>
      </c>
      <c r="F582" s="44">
        <f>1.8*E582+32</f>
        <v>71.599999999999994</v>
      </c>
      <c r="G582" s="45">
        <v>20</v>
      </c>
      <c r="H582" s="44">
        <f>IF(F582&gt;68,G582+(F582-68)*0.2,#REF!-(68-F582)*0.2)</f>
        <v>20.72</v>
      </c>
      <c r="I582" s="44">
        <v>22</v>
      </c>
      <c r="J582" s="44">
        <f>1.8*I582+32</f>
        <v>71.599999999999994</v>
      </c>
      <c r="K582" s="45">
        <v>11</v>
      </c>
      <c r="L582" s="44">
        <f>IF(J582&gt;68,K582+(J582-68)*0.2,K582-(68-J582)*0.2)</f>
        <v>11.719999999999999</v>
      </c>
      <c r="M582" s="43">
        <f>(C582-H582)/C582*100</f>
        <v>58.56</v>
      </c>
      <c r="N582" s="43">
        <f>100-(M582+O582)</f>
        <v>18</v>
      </c>
      <c r="O582" s="43">
        <f>L582/C582*100</f>
        <v>23.439999999999998</v>
      </c>
      <c r="P582" s="42" t="s">
        <v>2</v>
      </c>
      <c r="Q582" s="41">
        <v>407405.47499999998</v>
      </c>
      <c r="R582" s="41">
        <v>3659957.5619999999</v>
      </c>
    </row>
    <row r="583" spans="1:18" x14ac:dyDescent="0.25">
      <c r="A583" s="49">
        <v>2154</v>
      </c>
      <c r="B583" s="48" t="s">
        <v>844</v>
      </c>
      <c r="C583" s="47">
        <v>50</v>
      </c>
      <c r="D583" s="46">
        <v>20</v>
      </c>
      <c r="E583" s="44">
        <v>22</v>
      </c>
      <c r="F583" s="44">
        <f>1.8*E583+32</f>
        <v>71.599999999999994</v>
      </c>
      <c r="G583" s="45">
        <v>17</v>
      </c>
      <c r="H583" s="44">
        <f>IF(F583&gt;68,G583+(F583-68)*0.2,Y618-(68-F583)*0.2)</f>
        <v>17.72</v>
      </c>
      <c r="I583" s="44">
        <v>22</v>
      </c>
      <c r="J583" s="44">
        <f>1.8*I583+32</f>
        <v>71.599999999999994</v>
      </c>
      <c r="K583" s="45">
        <v>8</v>
      </c>
      <c r="L583" s="44">
        <f>IF(J583&gt;68,K583+(J583-68)*0.2,K583-(68-J583)*0.2)</f>
        <v>8.7199999999999989</v>
      </c>
      <c r="M583" s="43">
        <f>(C583-H583)/C583*100</f>
        <v>64.56</v>
      </c>
      <c r="N583" s="43">
        <f>100-(M583+O583)</f>
        <v>18</v>
      </c>
      <c r="O583" s="43">
        <f>L583/C583*100</f>
        <v>17.439999999999998</v>
      </c>
      <c r="P583" s="42" t="s">
        <v>0</v>
      </c>
      <c r="Q583" s="41">
        <v>407405.47499999998</v>
      </c>
      <c r="R583" s="41">
        <v>3659957.5619999999</v>
      </c>
    </row>
    <row r="584" spans="1:18" x14ac:dyDescent="0.25">
      <c r="A584" s="49">
        <v>2154</v>
      </c>
      <c r="B584" s="48" t="s">
        <v>843</v>
      </c>
      <c r="C584" s="47">
        <v>50</v>
      </c>
      <c r="D584" s="46">
        <v>20</v>
      </c>
      <c r="E584" s="44">
        <v>22</v>
      </c>
      <c r="F584" s="44">
        <f>1.8*E584+32</f>
        <v>71.599999999999994</v>
      </c>
      <c r="G584" s="45">
        <v>17</v>
      </c>
      <c r="H584" s="44">
        <f>IF(F584&gt;68,G584+(F584-68)*0.2,Y607-(68-F584)*0.2)</f>
        <v>17.72</v>
      </c>
      <c r="I584" s="44">
        <v>22</v>
      </c>
      <c r="J584" s="44">
        <f>1.8*I584+32</f>
        <v>71.599999999999994</v>
      </c>
      <c r="K584" s="45">
        <v>8</v>
      </c>
      <c r="L584" s="44">
        <f>IF(J584&gt;68,K584+(J584-68)*0.2,K584-(68-J584)*0.2)</f>
        <v>8.7199999999999989</v>
      </c>
      <c r="M584" s="43">
        <f>(C584-H584)/C584*100</f>
        <v>64.56</v>
      </c>
      <c r="N584" s="43">
        <f>100-(M584+O584)</f>
        <v>18</v>
      </c>
      <c r="O584" s="43">
        <f>L584/C584*100</f>
        <v>17.439999999999998</v>
      </c>
      <c r="P584" s="42" t="s">
        <v>0</v>
      </c>
      <c r="Q584" s="41">
        <v>407405.47499999998</v>
      </c>
      <c r="R584" s="41">
        <v>3659957.5619999999</v>
      </c>
    </row>
    <row r="585" spans="1:18" x14ac:dyDescent="0.25">
      <c r="A585" s="49">
        <v>2154</v>
      </c>
      <c r="B585" s="48" t="s">
        <v>842</v>
      </c>
      <c r="C585" s="47">
        <v>50</v>
      </c>
      <c r="D585" s="46">
        <v>20</v>
      </c>
      <c r="E585" s="44">
        <v>22</v>
      </c>
      <c r="F585" s="44">
        <f>1.8*E585+32</f>
        <v>71.599999999999994</v>
      </c>
      <c r="G585" s="45">
        <v>17</v>
      </c>
      <c r="H585" s="44">
        <f>IF(F585&gt;68,G585+(F585-68)*0.2,Y608-(68-F585)*0.2)</f>
        <v>17.72</v>
      </c>
      <c r="I585" s="44">
        <v>22</v>
      </c>
      <c r="J585" s="44">
        <f>1.8*I585+32</f>
        <v>71.599999999999994</v>
      </c>
      <c r="K585" s="45">
        <v>9</v>
      </c>
      <c r="L585" s="44">
        <f>IF(J585&gt;68,K585+(J585-68)*0.2,K585-(68-J585)*0.2)</f>
        <v>9.7199999999999989</v>
      </c>
      <c r="M585" s="43">
        <f>(C585-H585)/C585*100</f>
        <v>64.56</v>
      </c>
      <c r="N585" s="43">
        <f>100-(M585+O585)</f>
        <v>16</v>
      </c>
      <c r="O585" s="43">
        <f>L585/C585*100</f>
        <v>19.439999999999998</v>
      </c>
      <c r="P585" s="42" t="s">
        <v>0</v>
      </c>
      <c r="Q585" s="41">
        <v>407405.47499999998</v>
      </c>
      <c r="R585" s="41">
        <v>3659957.5619999999</v>
      </c>
    </row>
    <row r="586" spans="1:18" x14ac:dyDescent="0.25">
      <c r="A586" s="49">
        <v>2154</v>
      </c>
      <c r="B586" s="48" t="s">
        <v>841</v>
      </c>
      <c r="C586" s="47">
        <v>50</v>
      </c>
      <c r="D586" s="46">
        <v>20</v>
      </c>
      <c r="E586" s="44">
        <v>22</v>
      </c>
      <c r="F586" s="44">
        <f>1.8*E586+32</f>
        <v>71.599999999999994</v>
      </c>
      <c r="G586" s="45">
        <v>8</v>
      </c>
      <c r="H586" s="44">
        <f>IF(F586&gt;68,G586+(F586-68)*0.2,Y609-(68-F586)*0.2)</f>
        <v>8.7199999999999989</v>
      </c>
      <c r="I586" s="44">
        <v>22</v>
      </c>
      <c r="J586" s="44">
        <f>1.8*I586+32</f>
        <v>71.599999999999994</v>
      </c>
      <c r="K586" s="45">
        <v>3</v>
      </c>
      <c r="L586" s="44">
        <f>IF(J586&gt;68,K586+(J586-68)*0.2,K586-(68-J586)*0.2)</f>
        <v>3.7199999999999989</v>
      </c>
      <c r="M586" s="43">
        <f>(C586-H586)/C586*100</f>
        <v>82.56</v>
      </c>
      <c r="N586" s="43">
        <f>100-(M586+O586)</f>
        <v>10</v>
      </c>
      <c r="O586" s="43">
        <f>L586/C586*100</f>
        <v>7.4399999999999977</v>
      </c>
      <c r="P586" s="42" t="s">
        <v>1</v>
      </c>
      <c r="Q586" s="41">
        <v>407405.47499999998</v>
      </c>
      <c r="R586" s="41">
        <v>3659957.5619999999</v>
      </c>
    </row>
    <row r="587" spans="1:18" x14ac:dyDescent="0.25">
      <c r="A587" s="49">
        <v>2154</v>
      </c>
      <c r="B587" s="48" t="s">
        <v>839</v>
      </c>
      <c r="C587" s="47">
        <v>50</v>
      </c>
      <c r="D587" s="46">
        <v>20</v>
      </c>
      <c r="E587" s="44">
        <v>22</v>
      </c>
      <c r="F587" s="44">
        <f>1.8*E587+32</f>
        <v>71.599999999999994</v>
      </c>
      <c r="G587" s="45">
        <v>11</v>
      </c>
      <c r="H587" s="44">
        <f>IF(F587&gt;68,G587+(F587-68)*0.2,Y610-(68-F587)*0.2)</f>
        <v>11.719999999999999</v>
      </c>
      <c r="I587" s="44">
        <v>22</v>
      </c>
      <c r="J587" s="44">
        <f>1.8*I587+32</f>
        <v>71.599999999999994</v>
      </c>
      <c r="K587" s="45">
        <v>4</v>
      </c>
      <c r="L587" s="44">
        <f>IF(J587&gt;68,K587+(J587-68)*0.2,K587-(68-J587)*0.2)</f>
        <v>4.7199999999999989</v>
      </c>
      <c r="M587" s="43">
        <f>(C587-H587)/C587*100</f>
        <v>76.56</v>
      </c>
      <c r="N587" s="43">
        <f>100-(M587+O587)</f>
        <v>14</v>
      </c>
      <c r="O587" s="43">
        <f>L587/C587*100</f>
        <v>9.4399999999999977</v>
      </c>
      <c r="P587" s="42" t="s">
        <v>0</v>
      </c>
      <c r="Q587" s="41">
        <v>407405.47499999998</v>
      </c>
      <c r="R587" s="41">
        <v>3659957.5619999999</v>
      </c>
    </row>
    <row r="588" spans="1:18" x14ac:dyDescent="0.25">
      <c r="A588" s="61"/>
      <c r="B588" s="58"/>
      <c r="C588" s="58"/>
      <c r="D588" s="58"/>
      <c r="E588" s="58"/>
      <c r="F588" s="58"/>
      <c r="G588" s="60"/>
      <c r="H588" s="58"/>
      <c r="I588" s="58"/>
      <c r="J588" s="58"/>
      <c r="K588" s="60"/>
      <c r="L588" s="58"/>
      <c r="M588" s="59"/>
      <c r="N588" s="59"/>
      <c r="O588" s="59"/>
      <c r="P588" s="58"/>
    </row>
    <row r="589" spans="1:18" x14ac:dyDescent="0.25">
      <c r="A589" s="57"/>
      <c r="B589" s="56"/>
      <c r="C589" s="55"/>
      <c r="D589" s="54"/>
      <c r="E589" s="52"/>
      <c r="F589" s="52"/>
      <c r="G589" s="53"/>
      <c r="H589" s="52"/>
      <c r="I589" s="52"/>
      <c r="J589" s="52"/>
      <c r="K589" s="53"/>
      <c r="L589" s="52"/>
      <c r="M589" s="51"/>
      <c r="N589" s="51"/>
      <c r="O589" s="51"/>
      <c r="P589" s="50"/>
      <c r="Q589" s="5" t="s">
        <v>4</v>
      </c>
      <c r="R589" s="5" t="s">
        <v>3</v>
      </c>
    </row>
    <row r="590" spans="1:18" x14ac:dyDescent="0.25">
      <c r="A590" s="49" t="s">
        <v>851</v>
      </c>
      <c r="B590" s="48" t="s">
        <v>845</v>
      </c>
      <c r="C590" s="47">
        <v>50</v>
      </c>
      <c r="D590" s="46">
        <v>20</v>
      </c>
      <c r="E590" s="44">
        <v>22</v>
      </c>
      <c r="F590" s="44">
        <f>1.8*E590+32</f>
        <v>71.599999999999994</v>
      </c>
      <c r="G590" s="45">
        <v>21</v>
      </c>
      <c r="H590" s="44">
        <f>IF(F590&gt;68,G590+(F590-68)*0.2,#REF!-(68-F590)*0.2)</f>
        <v>21.72</v>
      </c>
      <c r="I590" s="44">
        <v>23</v>
      </c>
      <c r="J590" s="44">
        <f>1.8*I590+32</f>
        <v>73.400000000000006</v>
      </c>
      <c r="K590" s="45">
        <v>10</v>
      </c>
      <c r="L590" s="44">
        <f>IF(J590&gt;68,K590+(J590-68)*0.2,K590-(68-J590)*0.2)</f>
        <v>11.080000000000002</v>
      </c>
      <c r="M590" s="43">
        <f>(C590-H590)/C590*100</f>
        <v>56.56</v>
      </c>
      <c r="N590" s="43">
        <f>100-(M590+O590)</f>
        <v>21.28</v>
      </c>
      <c r="O590" s="43">
        <f>L590/C590*100</f>
        <v>22.160000000000004</v>
      </c>
      <c r="P590" s="42" t="s">
        <v>2</v>
      </c>
      <c r="Q590" s="41">
        <v>407405.47499999998</v>
      </c>
      <c r="R590" s="41">
        <v>3659957.5619999999</v>
      </c>
    </row>
    <row r="591" spans="1:18" x14ac:dyDescent="0.25">
      <c r="A591" s="49" t="s">
        <v>851</v>
      </c>
      <c r="B591" s="48" t="s">
        <v>844</v>
      </c>
      <c r="C591" s="47">
        <v>50</v>
      </c>
      <c r="D591" s="46">
        <v>20</v>
      </c>
      <c r="E591" s="44">
        <v>22</v>
      </c>
      <c r="F591" s="44">
        <f>1.8*E591+32</f>
        <v>71.599999999999994</v>
      </c>
      <c r="G591" s="45">
        <v>20</v>
      </c>
      <c r="H591" s="44">
        <f>IF(F591&gt;68,G591+(F591-68)*0.2,Y614-(68-F591)*0.2)</f>
        <v>20.72</v>
      </c>
      <c r="I591" s="44">
        <v>23</v>
      </c>
      <c r="J591" s="44">
        <f>1.8*I591+32</f>
        <v>73.400000000000006</v>
      </c>
      <c r="K591" s="45">
        <v>10</v>
      </c>
      <c r="L591" s="44">
        <f>IF(J591&gt;68,K591+(J591-68)*0.2,K591-(68-J591)*0.2)</f>
        <v>11.080000000000002</v>
      </c>
      <c r="M591" s="43">
        <f>(C591-H591)/C591*100</f>
        <v>58.56</v>
      </c>
      <c r="N591" s="43">
        <f>100-(M591+O591)</f>
        <v>19.28</v>
      </c>
      <c r="O591" s="43">
        <f>L591/C591*100</f>
        <v>22.160000000000004</v>
      </c>
      <c r="P591" s="42" t="s">
        <v>2</v>
      </c>
      <c r="Q591" s="41">
        <v>407405.47499999998</v>
      </c>
      <c r="R591" s="41">
        <v>3659957.5619999999</v>
      </c>
    </row>
    <row r="592" spans="1:18" x14ac:dyDescent="0.25">
      <c r="A592" s="49" t="s">
        <v>851</v>
      </c>
      <c r="B592" s="48" t="s">
        <v>843</v>
      </c>
      <c r="C592" s="47">
        <v>50</v>
      </c>
      <c r="D592" s="46">
        <v>20</v>
      </c>
      <c r="E592" s="44">
        <v>22</v>
      </c>
      <c r="F592" s="44">
        <f>1.8*E592+32</f>
        <v>71.599999999999994</v>
      </c>
      <c r="G592" s="45">
        <v>20</v>
      </c>
      <c r="H592" s="44">
        <f>IF(F592&gt;68,G592+(F592-68)*0.2,Y615-(68-F592)*0.2)</f>
        <v>20.72</v>
      </c>
      <c r="I592" s="44">
        <v>23</v>
      </c>
      <c r="J592" s="44">
        <f>1.8*I592+32</f>
        <v>73.400000000000006</v>
      </c>
      <c r="K592" s="45">
        <v>10</v>
      </c>
      <c r="L592" s="44">
        <f>IF(J592&gt;68,K592+(J592-68)*0.2,K592-(68-J592)*0.2)</f>
        <v>11.080000000000002</v>
      </c>
      <c r="M592" s="43">
        <f>(C592-H592)/C592*100</f>
        <v>58.56</v>
      </c>
      <c r="N592" s="43">
        <f>100-(M592+O592)</f>
        <v>19.28</v>
      </c>
      <c r="O592" s="43">
        <f>L592/C592*100</f>
        <v>22.160000000000004</v>
      </c>
      <c r="P592" s="42" t="s">
        <v>2</v>
      </c>
      <c r="Q592" s="41">
        <v>407405.47499999998</v>
      </c>
      <c r="R592" s="41">
        <v>3659957.5619999999</v>
      </c>
    </row>
    <row r="593" spans="1:18" x14ac:dyDescent="0.25">
      <c r="A593" s="49" t="s">
        <v>851</v>
      </c>
      <c r="B593" s="48" t="s">
        <v>842</v>
      </c>
      <c r="C593" s="47">
        <v>50</v>
      </c>
      <c r="D593" s="46">
        <v>20</v>
      </c>
      <c r="E593" s="44">
        <v>22</v>
      </c>
      <c r="F593" s="44">
        <f>1.8*E593+32</f>
        <v>71.599999999999994</v>
      </c>
      <c r="G593" s="45">
        <v>20</v>
      </c>
      <c r="H593" s="44">
        <f>IF(F593&gt;68,G593+(F593-68)*0.2,Y616-(68-F593)*0.2)</f>
        <v>20.72</v>
      </c>
      <c r="I593" s="44">
        <v>23</v>
      </c>
      <c r="J593" s="44">
        <f>1.8*I593+32</f>
        <v>73.400000000000006</v>
      </c>
      <c r="K593" s="45">
        <v>10</v>
      </c>
      <c r="L593" s="44">
        <f>IF(J593&gt;68,K593+(J593-68)*0.2,K593-(68-J593)*0.2)</f>
        <v>11.080000000000002</v>
      </c>
      <c r="M593" s="43">
        <f>(C593-H593)/C593*100</f>
        <v>58.56</v>
      </c>
      <c r="N593" s="43">
        <f>100-(M593+O593)</f>
        <v>19.28</v>
      </c>
      <c r="O593" s="43">
        <f>L593/C593*100</f>
        <v>22.160000000000004</v>
      </c>
      <c r="P593" s="42" t="s">
        <v>2</v>
      </c>
      <c r="Q593" s="41">
        <v>407405.47499999998</v>
      </c>
      <c r="R593" s="41">
        <v>3659957.5619999999</v>
      </c>
    </row>
    <row r="594" spans="1:18" x14ac:dyDescent="0.25">
      <c r="A594" s="49" t="s">
        <v>851</v>
      </c>
      <c r="B594" s="48" t="s">
        <v>841</v>
      </c>
      <c r="C594" s="47">
        <v>50</v>
      </c>
      <c r="D594" s="46">
        <v>20</v>
      </c>
      <c r="E594" s="44">
        <v>22</v>
      </c>
      <c r="F594" s="44">
        <f>1.8*E594+32</f>
        <v>71.599999999999994</v>
      </c>
      <c r="G594" s="45">
        <v>8</v>
      </c>
      <c r="H594" s="44">
        <f>IF(F594&gt;68,G594+(F594-68)*0.2,Y617-(68-F594)*0.2)</f>
        <v>8.7199999999999989</v>
      </c>
      <c r="I594" s="44">
        <v>23</v>
      </c>
      <c r="J594" s="44">
        <f>1.8*I594+32</f>
        <v>73.400000000000006</v>
      </c>
      <c r="K594" s="45">
        <v>3</v>
      </c>
      <c r="L594" s="44">
        <f>IF(J594&gt;68,K594+(J594-68)*0.2,K594-(68-J594)*0.2)</f>
        <v>4.080000000000001</v>
      </c>
      <c r="M594" s="43">
        <f>(C594-H594)/C594*100</f>
        <v>82.56</v>
      </c>
      <c r="N594" s="43">
        <f>100-(M594+O594)</f>
        <v>9.2800000000000011</v>
      </c>
      <c r="O594" s="43">
        <f>L594/C594*100</f>
        <v>8.1600000000000019</v>
      </c>
      <c r="P594" s="42" t="s">
        <v>1</v>
      </c>
      <c r="Q594" s="41">
        <v>407405.47499999998</v>
      </c>
      <c r="R594" s="41">
        <v>3659957.5619999999</v>
      </c>
    </row>
    <row r="595" spans="1:18" x14ac:dyDescent="0.25">
      <c r="A595" s="49" t="s">
        <v>851</v>
      </c>
      <c r="B595" s="48" t="s">
        <v>839</v>
      </c>
      <c r="C595" s="47">
        <v>50</v>
      </c>
      <c r="D595" s="46">
        <v>20</v>
      </c>
      <c r="E595" s="44">
        <v>22</v>
      </c>
      <c r="F595" s="44">
        <f>1.8*E595+32</f>
        <v>71.599999999999994</v>
      </c>
      <c r="G595" s="45">
        <v>10</v>
      </c>
      <c r="H595" s="44">
        <f>IF(F595&gt;68,G595+(F595-68)*0.2,Y618-(68-F595)*0.2)</f>
        <v>10.719999999999999</v>
      </c>
      <c r="I595" s="44">
        <v>23</v>
      </c>
      <c r="J595" s="44">
        <f>1.8*I595+32</f>
        <v>73.400000000000006</v>
      </c>
      <c r="K595" s="45">
        <v>4</v>
      </c>
      <c r="L595" s="44">
        <f>IF(J595&gt;68,K595+(J595-68)*0.2,K595-(68-J595)*0.2)</f>
        <v>5.080000000000001</v>
      </c>
      <c r="M595" s="43">
        <f>(C595-H595)/C595*100</f>
        <v>78.56</v>
      </c>
      <c r="N595" s="43">
        <f>100-(M595+O595)</f>
        <v>11.280000000000001</v>
      </c>
      <c r="O595" s="43">
        <f>L595/C595*100</f>
        <v>10.160000000000002</v>
      </c>
      <c r="P595" s="42" t="s">
        <v>0</v>
      </c>
      <c r="Q595" s="41">
        <v>407405.47499999998</v>
      </c>
      <c r="R595" s="41">
        <v>3659957.5619999999</v>
      </c>
    </row>
    <row r="596" spans="1:18" x14ac:dyDescent="0.25">
      <c r="A596" s="61"/>
      <c r="B596" s="58"/>
      <c r="C596" s="58"/>
      <c r="D596" s="58"/>
      <c r="E596" s="58"/>
      <c r="F596" s="58"/>
      <c r="G596" s="60"/>
      <c r="H596" s="58"/>
      <c r="I596" s="58"/>
      <c r="J596" s="58"/>
      <c r="K596" s="60"/>
      <c r="L596" s="58"/>
      <c r="M596" s="59"/>
      <c r="N596" s="59"/>
      <c r="O596" s="59"/>
      <c r="P596" s="58"/>
    </row>
    <row r="597" spans="1:18" x14ac:dyDescent="0.25">
      <c r="A597" s="57"/>
      <c r="B597" s="56"/>
      <c r="C597" s="55"/>
      <c r="D597" s="54"/>
      <c r="E597" s="52"/>
      <c r="F597" s="52"/>
      <c r="G597" s="53"/>
      <c r="H597" s="52"/>
      <c r="I597" s="52"/>
      <c r="J597" s="52"/>
      <c r="K597" s="53"/>
      <c r="L597" s="52"/>
      <c r="M597" s="51"/>
      <c r="N597" s="51"/>
      <c r="O597" s="51"/>
      <c r="P597" s="50"/>
      <c r="Q597" s="5" t="s">
        <v>4</v>
      </c>
      <c r="R597" s="5" t="s">
        <v>3</v>
      </c>
    </row>
    <row r="598" spans="1:18" x14ac:dyDescent="0.25">
      <c r="A598" s="49">
        <v>2170</v>
      </c>
      <c r="B598" s="48" t="s">
        <v>845</v>
      </c>
      <c r="C598" s="47">
        <v>50</v>
      </c>
      <c r="D598" s="46">
        <v>20</v>
      </c>
      <c r="E598" s="44">
        <v>22</v>
      </c>
      <c r="F598" s="44">
        <f>1.8*E598+32</f>
        <v>71.599999999999994</v>
      </c>
      <c r="G598" s="45">
        <v>21</v>
      </c>
      <c r="H598" s="44">
        <f>IF(F598&gt;68,G598+(F598-68)*0.2,#REF!-(68-F598)*0.2)</f>
        <v>21.72</v>
      </c>
      <c r="I598" s="44">
        <v>23</v>
      </c>
      <c r="J598" s="44">
        <f>1.8*I598+32</f>
        <v>73.400000000000006</v>
      </c>
      <c r="K598" s="45">
        <v>10</v>
      </c>
      <c r="L598" s="44">
        <f>IF(J598&gt;68,K598+(J598-68)*0.2,K598-(68-J598)*0.2)</f>
        <v>11.080000000000002</v>
      </c>
      <c r="M598" s="43">
        <f>(C598-H598)/C598*100</f>
        <v>56.56</v>
      </c>
      <c r="N598" s="43">
        <f>100-(M598+O598)</f>
        <v>21.28</v>
      </c>
      <c r="O598" s="43">
        <f>L598/C598*100</f>
        <v>22.160000000000004</v>
      </c>
      <c r="P598" s="42" t="s">
        <v>2</v>
      </c>
      <c r="Q598" s="41">
        <v>407406.49800000002</v>
      </c>
      <c r="R598" s="41">
        <v>3660019.4079999998</v>
      </c>
    </row>
    <row r="599" spans="1:18" x14ac:dyDescent="0.25">
      <c r="A599" s="49">
        <v>2170</v>
      </c>
      <c r="B599" s="48" t="s">
        <v>844</v>
      </c>
      <c r="C599" s="47">
        <v>50</v>
      </c>
      <c r="D599" s="46">
        <v>20</v>
      </c>
      <c r="E599" s="44">
        <v>22</v>
      </c>
      <c r="F599" s="44">
        <f>1.8*E599+32</f>
        <v>71.599999999999994</v>
      </c>
      <c r="G599" s="45">
        <v>20</v>
      </c>
      <c r="H599" s="44">
        <f>IF(F599&gt;68,G599+(F599-68)*0.2,Y622-(68-F599)*0.2)</f>
        <v>20.72</v>
      </c>
      <c r="I599" s="44">
        <v>23</v>
      </c>
      <c r="J599" s="44">
        <f>1.8*I599+32</f>
        <v>73.400000000000006</v>
      </c>
      <c r="K599" s="45">
        <v>10</v>
      </c>
      <c r="L599" s="44">
        <f>IF(J599&gt;68,K599+(J599-68)*0.2,K599-(68-J599)*0.2)</f>
        <v>11.080000000000002</v>
      </c>
      <c r="M599" s="43">
        <f>(C599-H599)/C599*100</f>
        <v>58.56</v>
      </c>
      <c r="N599" s="43">
        <f>100-(M599+O599)</f>
        <v>19.28</v>
      </c>
      <c r="O599" s="43">
        <f>L599/C599*100</f>
        <v>22.160000000000004</v>
      </c>
      <c r="P599" s="42" t="s">
        <v>2</v>
      </c>
      <c r="Q599" s="41">
        <v>407406.49800000002</v>
      </c>
      <c r="R599" s="41">
        <v>3660019.4079999998</v>
      </c>
    </row>
    <row r="600" spans="1:18" x14ac:dyDescent="0.25">
      <c r="A600" s="49">
        <v>2170</v>
      </c>
      <c r="B600" s="48" t="s">
        <v>843</v>
      </c>
      <c r="C600" s="47">
        <v>50</v>
      </c>
      <c r="D600" s="46">
        <v>20</v>
      </c>
      <c r="E600" s="44">
        <v>22</v>
      </c>
      <c r="F600" s="44">
        <f>1.8*E600+32</f>
        <v>71.599999999999994</v>
      </c>
      <c r="G600" s="45">
        <v>23</v>
      </c>
      <c r="H600" s="44">
        <f>IF(F600&gt;68,G600+(F600-68)*0.2,Y623-(68-F600)*0.2)</f>
        <v>23.72</v>
      </c>
      <c r="I600" s="44">
        <v>23</v>
      </c>
      <c r="J600" s="44">
        <f>1.8*I600+32</f>
        <v>73.400000000000006</v>
      </c>
      <c r="K600" s="45">
        <v>11</v>
      </c>
      <c r="L600" s="44">
        <f>IF(J600&gt;68,K600+(J600-68)*0.2,K600-(68-J600)*0.2)</f>
        <v>12.080000000000002</v>
      </c>
      <c r="M600" s="43">
        <f>(C600-H600)/C600*100</f>
        <v>52.560000000000009</v>
      </c>
      <c r="N600" s="43">
        <f>100-(M600+O600)</f>
        <v>23.279999999999987</v>
      </c>
      <c r="O600" s="43">
        <f>L600/C600*100</f>
        <v>24.160000000000004</v>
      </c>
      <c r="P600" s="42" t="s">
        <v>2</v>
      </c>
      <c r="Q600" s="41">
        <v>407406.49800000002</v>
      </c>
      <c r="R600" s="41">
        <v>3660019.4079999998</v>
      </c>
    </row>
    <row r="601" spans="1:18" x14ac:dyDescent="0.25">
      <c r="A601" s="49">
        <v>2170</v>
      </c>
      <c r="B601" s="48" t="s">
        <v>842</v>
      </c>
      <c r="C601" s="47">
        <v>50</v>
      </c>
      <c r="D601" s="46">
        <v>20</v>
      </c>
      <c r="E601" s="44">
        <v>22</v>
      </c>
      <c r="F601" s="44">
        <f>1.8*E601+32</f>
        <v>71.599999999999994</v>
      </c>
      <c r="G601" s="45">
        <v>21</v>
      </c>
      <c r="H601" s="44">
        <f>IF(F601&gt;68,G601+(F601-68)*0.2,Y624-(68-F601)*0.2)</f>
        <v>21.72</v>
      </c>
      <c r="I601" s="44">
        <v>23</v>
      </c>
      <c r="J601" s="44">
        <f>1.8*I601+32</f>
        <v>73.400000000000006</v>
      </c>
      <c r="K601" s="45">
        <v>11</v>
      </c>
      <c r="L601" s="44">
        <f>IF(J601&gt;68,K601+(J601-68)*0.2,K601-(68-J601)*0.2)</f>
        <v>12.080000000000002</v>
      </c>
      <c r="M601" s="43">
        <f>(C601-H601)/C601*100</f>
        <v>56.56</v>
      </c>
      <c r="N601" s="43">
        <f>100-(M601+O601)</f>
        <v>19.28</v>
      </c>
      <c r="O601" s="43">
        <f>L601/C601*100</f>
        <v>24.160000000000004</v>
      </c>
      <c r="P601" s="42" t="s">
        <v>2</v>
      </c>
      <c r="Q601" s="41">
        <v>407406.49800000002</v>
      </c>
      <c r="R601" s="41">
        <v>3660019.4079999998</v>
      </c>
    </row>
    <row r="602" spans="1:18" x14ac:dyDescent="0.25">
      <c r="A602" s="49">
        <v>2170</v>
      </c>
      <c r="B602" s="48" t="s">
        <v>841</v>
      </c>
      <c r="C602" s="47">
        <v>50</v>
      </c>
      <c r="D602" s="46">
        <v>20</v>
      </c>
      <c r="E602" s="44">
        <v>22</v>
      </c>
      <c r="F602" s="44">
        <f>1.8*E602+32</f>
        <v>71.599999999999994</v>
      </c>
      <c r="G602" s="45">
        <v>20</v>
      </c>
      <c r="H602" s="44">
        <f>IF(F602&gt;68,G602+(F602-68)*0.2,Y625-(68-F602)*0.2)</f>
        <v>20.72</v>
      </c>
      <c r="I602" s="44">
        <v>23</v>
      </c>
      <c r="J602" s="44">
        <f>1.8*I602+32</f>
        <v>73.400000000000006</v>
      </c>
      <c r="K602" s="45">
        <v>10</v>
      </c>
      <c r="L602" s="44">
        <f>IF(J602&gt;68,K602+(J602-68)*0.2,K602-(68-J602)*0.2)</f>
        <v>11.080000000000002</v>
      </c>
      <c r="M602" s="43">
        <f>(C602-H602)/C602*100</f>
        <v>58.56</v>
      </c>
      <c r="N602" s="43">
        <f>100-(M602+O602)</f>
        <v>19.28</v>
      </c>
      <c r="O602" s="43">
        <f>L602/C602*100</f>
        <v>22.160000000000004</v>
      </c>
      <c r="P602" s="42" t="s">
        <v>2</v>
      </c>
      <c r="Q602" s="41">
        <v>407406.49800000002</v>
      </c>
      <c r="R602" s="41">
        <v>3660019.4079999998</v>
      </c>
    </row>
    <row r="603" spans="1:18" x14ac:dyDescent="0.25">
      <c r="A603" s="49">
        <v>2170</v>
      </c>
      <c r="B603" s="48" t="s">
        <v>839</v>
      </c>
      <c r="C603" s="47">
        <v>50</v>
      </c>
      <c r="D603" s="46">
        <v>20</v>
      </c>
      <c r="E603" s="44">
        <v>22</v>
      </c>
      <c r="F603" s="44">
        <f>1.8*E603+32</f>
        <v>71.599999999999994</v>
      </c>
      <c r="G603" s="45">
        <v>15</v>
      </c>
      <c r="H603" s="44">
        <f>IF(F603&gt;68,G603+(F603-68)*0.2,Y626-(68-F603)*0.2)</f>
        <v>15.719999999999999</v>
      </c>
      <c r="I603" s="44">
        <v>23</v>
      </c>
      <c r="J603" s="44">
        <f>1.8*I603+32</f>
        <v>73.400000000000006</v>
      </c>
      <c r="K603" s="45">
        <v>7</v>
      </c>
      <c r="L603" s="44">
        <f>IF(J603&gt;68,K603+(J603-68)*0.2,K603-(68-J603)*0.2)</f>
        <v>8.0800000000000018</v>
      </c>
      <c r="M603" s="43">
        <f>(C603-H603)/C603*100</f>
        <v>68.56</v>
      </c>
      <c r="N603" s="43">
        <f>100-(M603+O603)</f>
        <v>15.280000000000001</v>
      </c>
      <c r="O603" s="43">
        <f>L603/C603*100</f>
        <v>16.160000000000004</v>
      </c>
      <c r="P603" s="42" t="s">
        <v>0</v>
      </c>
      <c r="Q603" s="41">
        <v>407406.49800000002</v>
      </c>
      <c r="R603" s="41">
        <v>3660019.4079999998</v>
      </c>
    </row>
    <row r="604" spans="1:18" x14ac:dyDescent="0.25">
      <c r="A604" s="61"/>
      <c r="B604" s="58"/>
      <c r="C604" s="58"/>
      <c r="D604" s="58"/>
      <c r="E604" s="58"/>
      <c r="F604" s="58"/>
      <c r="G604" s="60"/>
      <c r="H604" s="58"/>
      <c r="I604" s="58"/>
      <c r="J604" s="58"/>
      <c r="K604" s="60"/>
      <c r="L604" s="58"/>
      <c r="M604" s="59"/>
      <c r="N604" s="59"/>
      <c r="O604" s="59"/>
      <c r="P604" s="58"/>
    </row>
    <row r="605" spans="1:18" x14ac:dyDescent="0.25">
      <c r="A605" s="57"/>
      <c r="B605" s="56"/>
      <c r="C605" s="55"/>
      <c r="D605" s="54"/>
      <c r="E605" s="52"/>
      <c r="F605" s="52"/>
      <c r="G605" s="53"/>
      <c r="H605" s="52"/>
      <c r="I605" s="52"/>
      <c r="J605" s="52"/>
      <c r="K605" s="53"/>
      <c r="L605" s="52"/>
      <c r="M605" s="51"/>
      <c r="N605" s="51"/>
      <c r="O605" s="51"/>
      <c r="P605" s="50"/>
      <c r="Q605" s="5" t="s">
        <v>4</v>
      </c>
      <c r="R605" s="5" t="s">
        <v>3</v>
      </c>
    </row>
    <row r="606" spans="1:18" x14ac:dyDescent="0.25">
      <c r="A606" s="49">
        <v>2295</v>
      </c>
      <c r="B606" s="48" t="s">
        <v>845</v>
      </c>
      <c r="C606" s="47">
        <v>50</v>
      </c>
      <c r="D606" s="46">
        <v>20</v>
      </c>
      <c r="E606" s="44">
        <v>22</v>
      </c>
      <c r="F606" s="44">
        <f>1.8*E606+32</f>
        <v>71.599999999999994</v>
      </c>
      <c r="G606" s="45">
        <v>25</v>
      </c>
      <c r="H606" s="44">
        <f>IF(F606&gt;68,G606+(F606-68)*0.2,#REF!-(68-F606)*0.2)</f>
        <v>25.72</v>
      </c>
      <c r="I606" s="44">
        <v>23</v>
      </c>
      <c r="J606" s="44">
        <f>1.8*I606+32</f>
        <v>73.400000000000006</v>
      </c>
      <c r="K606" s="45">
        <v>12</v>
      </c>
      <c r="L606" s="44">
        <f>IF(J606&gt;68,K606+(J606-68)*0.2,K606-(68-J606)*0.2)</f>
        <v>13.080000000000002</v>
      </c>
      <c r="M606" s="43">
        <f>(C606-H606)/C606*100</f>
        <v>48.56</v>
      </c>
      <c r="N606" s="43">
        <f>100-(M606+O606)</f>
        <v>25.28</v>
      </c>
      <c r="O606" s="43">
        <f>L606/C606*100</f>
        <v>26.160000000000004</v>
      </c>
      <c r="P606" s="42" t="s">
        <v>2</v>
      </c>
      <c r="Q606" s="41">
        <v>407395.50900000002</v>
      </c>
      <c r="R606" s="41">
        <v>3659911.9330000002</v>
      </c>
    </row>
    <row r="607" spans="1:18" x14ac:dyDescent="0.25">
      <c r="A607" s="49">
        <v>2295</v>
      </c>
      <c r="B607" s="48" t="s">
        <v>844</v>
      </c>
      <c r="C607" s="47">
        <v>50</v>
      </c>
      <c r="D607" s="46">
        <v>20</v>
      </c>
      <c r="E607" s="44">
        <v>22</v>
      </c>
      <c r="F607" s="44">
        <f>1.8*E607+32</f>
        <v>71.599999999999994</v>
      </c>
      <c r="G607" s="45">
        <v>20</v>
      </c>
      <c r="H607" s="44">
        <f>IF(F607&gt;68,G607+(F607-68)*0.2,Y630-(68-F607)*0.2)</f>
        <v>20.72</v>
      </c>
      <c r="I607" s="44">
        <v>23</v>
      </c>
      <c r="J607" s="44">
        <f>1.8*I607+32</f>
        <v>73.400000000000006</v>
      </c>
      <c r="K607" s="45">
        <v>10</v>
      </c>
      <c r="L607" s="44">
        <f>IF(J607&gt;68,K607+(J607-68)*0.2,K607-(68-J607)*0.2)</f>
        <v>11.080000000000002</v>
      </c>
      <c r="M607" s="43">
        <f>(C607-H607)/C607*100</f>
        <v>58.56</v>
      </c>
      <c r="N607" s="43">
        <f>100-(M607+O607)</f>
        <v>19.28</v>
      </c>
      <c r="O607" s="43">
        <f>L607/C607*100</f>
        <v>22.160000000000004</v>
      </c>
      <c r="P607" s="42" t="s">
        <v>2</v>
      </c>
      <c r="Q607" s="41">
        <v>407395.50900000002</v>
      </c>
      <c r="R607" s="41">
        <v>3659911.9330000002</v>
      </c>
    </row>
    <row r="608" spans="1:18" x14ac:dyDescent="0.25">
      <c r="A608" s="49">
        <v>2295</v>
      </c>
      <c r="B608" s="48" t="s">
        <v>843</v>
      </c>
      <c r="C608" s="47">
        <v>50</v>
      </c>
      <c r="D608" s="46">
        <v>20</v>
      </c>
      <c r="E608" s="44">
        <v>22</v>
      </c>
      <c r="F608" s="44">
        <f>1.8*E608+32</f>
        <v>71.599999999999994</v>
      </c>
      <c r="G608" s="45">
        <v>14</v>
      </c>
      <c r="H608" s="44">
        <f>IF(F608&gt;68,G608+(F608-68)*0.2,Y631-(68-F608)*0.2)</f>
        <v>14.719999999999999</v>
      </c>
      <c r="I608" s="44">
        <v>23</v>
      </c>
      <c r="J608" s="44">
        <f>1.8*I608+32</f>
        <v>73.400000000000006</v>
      </c>
      <c r="K608" s="45">
        <v>6</v>
      </c>
      <c r="L608" s="44">
        <f>IF(J608&gt;68,K608+(J608-68)*0.2,K608-(68-J608)*0.2)</f>
        <v>7.080000000000001</v>
      </c>
      <c r="M608" s="43">
        <f>(C608-H608)/C608*100</f>
        <v>70.56</v>
      </c>
      <c r="N608" s="43">
        <f>100-(M608+O608)</f>
        <v>15.280000000000001</v>
      </c>
      <c r="O608" s="43">
        <f>L608/C608*100</f>
        <v>14.160000000000004</v>
      </c>
      <c r="P608" s="42" t="s">
        <v>0</v>
      </c>
      <c r="Q608" s="41">
        <v>407395.50900000002</v>
      </c>
      <c r="R608" s="41">
        <v>3659911.9330000002</v>
      </c>
    </row>
    <row r="609" spans="1:18" x14ac:dyDescent="0.25">
      <c r="A609" s="49">
        <v>2295</v>
      </c>
      <c r="B609" s="48" t="s">
        <v>842</v>
      </c>
      <c r="C609" s="47">
        <v>50</v>
      </c>
      <c r="D609" s="46">
        <v>20</v>
      </c>
      <c r="E609" s="44">
        <v>22</v>
      </c>
      <c r="F609" s="44">
        <f>1.8*E609+32</f>
        <v>71.599999999999994</v>
      </c>
      <c r="G609" s="45">
        <v>15</v>
      </c>
      <c r="H609" s="44">
        <f>IF(F609&gt;68,G609+(F609-68)*0.2,Y632-(68-F609)*0.2)</f>
        <v>15.719999999999999</v>
      </c>
      <c r="I609" s="44">
        <v>23</v>
      </c>
      <c r="J609" s="44">
        <f>1.8*I609+32</f>
        <v>73.400000000000006</v>
      </c>
      <c r="K609" s="45">
        <v>7</v>
      </c>
      <c r="L609" s="44">
        <f>IF(J609&gt;68,K609+(J609-68)*0.2,K609-(68-J609)*0.2)</f>
        <v>8.0800000000000018</v>
      </c>
      <c r="M609" s="43">
        <f>(C609-H609)/C609*100</f>
        <v>68.56</v>
      </c>
      <c r="N609" s="43">
        <f>100-(M609+O609)</f>
        <v>15.280000000000001</v>
      </c>
      <c r="O609" s="43">
        <f>L609/C609*100</f>
        <v>16.160000000000004</v>
      </c>
      <c r="P609" s="42" t="s">
        <v>0</v>
      </c>
      <c r="Q609" s="41">
        <v>407395.50900000002</v>
      </c>
      <c r="R609" s="41">
        <v>3659911.9330000002</v>
      </c>
    </row>
    <row r="610" spans="1:18" x14ac:dyDescent="0.25">
      <c r="A610" s="49">
        <v>2295</v>
      </c>
      <c r="B610" s="48" t="s">
        <v>841</v>
      </c>
      <c r="C610" s="47">
        <v>50</v>
      </c>
      <c r="D610" s="46">
        <v>20</v>
      </c>
      <c r="E610" s="44">
        <v>22</v>
      </c>
      <c r="F610" s="44">
        <f>1.8*E610+32</f>
        <v>71.599999999999994</v>
      </c>
      <c r="G610" s="45">
        <v>12</v>
      </c>
      <c r="H610" s="44">
        <f>IF(F610&gt;68,G610+(F610-68)*0.2,Y633-(68-F610)*0.2)</f>
        <v>12.719999999999999</v>
      </c>
      <c r="I610" s="44">
        <v>23</v>
      </c>
      <c r="J610" s="44">
        <f>1.8*I610+32</f>
        <v>73.400000000000006</v>
      </c>
      <c r="K610" s="45">
        <v>6</v>
      </c>
      <c r="L610" s="44">
        <f>IF(J610&gt;68,K610+(J610-68)*0.2,K610-(68-J610)*0.2)</f>
        <v>7.080000000000001</v>
      </c>
      <c r="M610" s="43">
        <f>(C610-H610)/C610*100</f>
        <v>74.56</v>
      </c>
      <c r="N610" s="43">
        <f>100-(M610+O610)</f>
        <v>11.280000000000001</v>
      </c>
      <c r="O610" s="43">
        <f>L610/C610*100</f>
        <v>14.160000000000004</v>
      </c>
      <c r="P610" s="42" t="s">
        <v>0</v>
      </c>
      <c r="Q610" s="41">
        <v>407395.50900000002</v>
      </c>
      <c r="R610" s="41">
        <v>3659911.9330000002</v>
      </c>
    </row>
    <row r="611" spans="1:18" x14ac:dyDescent="0.25">
      <c r="A611" s="49">
        <v>2295</v>
      </c>
      <c r="B611" s="48" t="s">
        <v>839</v>
      </c>
      <c r="C611" s="47">
        <v>50</v>
      </c>
      <c r="D611" s="46">
        <v>20</v>
      </c>
      <c r="E611" s="44">
        <v>22</v>
      </c>
      <c r="F611" s="44">
        <f>1.8*E611+32</f>
        <v>71.599999999999994</v>
      </c>
      <c r="G611" s="45">
        <v>13</v>
      </c>
      <c r="H611" s="44">
        <f>IF(F611&gt;68,G611+(F611-68)*0.2,Y634-(68-F611)*0.2)</f>
        <v>13.719999999999999</v>
      </c>
      <c r="I611" s="44">
        <v>23</v>
      </c>
      <c r="J611" s="44">
        <f>1.8*I611+32</f>
        <v>73.400000000000006</v>
      </c>
      <c r="K611" s="45">
        <v>5</v>
      </c>
      <c r="L611" s="44">
        <f>IF(J611&gt;68,K611+(J611-68)*0.2,K611-(68-J611)*0.2)</f>
        <v>6.080000000000001</v>
      </c>
      <c r="M611" s="43">
        <f>(C611-H611)/C611*100</f>
        <v>72.56</v>
      </c>
      <c r="N611" s="43">
        <f>100-(M611+O611)</f>
        <v>15.280000000000001</v>
      </c>
      <c r="O611" s="43">
        <f>L611/C611*100</f>
        <v>12.160000000000002</v>
      </c>
      <c r="P611" s="42" t="s">
        <v>0</v>
      </c>
      <c r="Q611" s="41">
        <v>407395.50900000002</v>
      </c>
      <c r="R611" s="41">
        <v>3659911.9330000002</v>
      </c>
    </row>
    <row r="612" spans="1:18" x14ac:dyDescent="0.25">
      <c r="A612" s="61"/>
      <c r="B612" s="58"/>
      <c r="C612" s="58"/>
      <c r="D612" s="58"/>
      <c r="E612" s="58"/>
      <c r="F612" s="58"/>
      <c r="G612" s="60"/>
      <c r="H612" s="58"/>
      <c r="I612" s="58"/>
      <c r="J612" s="58"/>
      <c r="K612" s="60"/>
      <c r="L612" s="58"/>
      <c r="M612" s="59"/>
      <c r="N612" s="59"/>
      <c r="O612" s="59"/>
      <c r="P612" s="58"/>
    </row>
    <row r="613" spans="1:18" x14ac:dyDescent="0.25">
      <c r="A613" s="57"/>
      <c r="B613" s="56"/>
      <c r="C613" s="55"/>
      <c r="D613" s="54"/>
      <c r="E613" s="52"/>
      <c r="F613" s="52"/>
      <c r="G613" s="53"/>
      <c r="H613" s="52"/>
      <c r="I613" s="52"/>
      <c r="J613" s="52"/>
      <c r="K613" s="53"/>
      <c r="L613" s="52"/>
      <c r="M613" s="51"/>
      <c r="N613" s="51"/>
      <c r="O613" s="51"/>
      <c r="P613" s="50"/>
      <c r="Q613" s="5" t="s">
        <v>4</v>
      </c>
      <c r="R613" s="5" t="s">
        <v>3</v>
      </c>
    </row>
    <row r="614" spans="1:18" x14ac:dyDescent="0.25">
      <c r="A614" s="49">
        <v>2312</v>
      </c>
      <c r="B614" s="48" t="s">
        <v>845</v>
      </c>
      <c r="C614" s="47">
        <v>50</v>
      </c>
      <c r="D614" s="46">
        <v>20</v>
      </c>
      <c r="E614" s="44">
        <v>22</v>
      </c>
      <c r="F614" s="44">
        <f>1.8*E614+32</f>
        <v>71.599999999999994</v>
      </c>
      <c r="G614" s="45">
        <v>25</v>
      </c>
      <c r="H614" s="44">
        <f>IF(F614&gt;68,G614+(F614-68)*0.2,#REF!-(68-F614)*0.2)</f>
        <v>25.72</v>
      </c>
      <c r="I614" s="44">
        <v>23</v>
      </c>
      <c r="J614" s="44">
        <f>1.8*I614+32</f>
        <v>73.400000000000006</v>
      </c>
      <c r="K614" s="45">
        <v>13</v>
      </c>
      <c r="L614" s="44">
        <f>IF(J614&gt;68,K614+(J614-68)*0.2,K614-(68-J614)*0.2)</f>
        <v>14.080000000000002</v>
      </c>
      <c r="M614" s="43">
        <f>(C614-H614)/C614*100</f>
        <v>48.56</v>
      </c>
      <c r="N614" s="43">
        <f>100-(M614+O614)</f>
        <v>23.28</v>
      </c>
      <c r="O614" s="43">
        <f>L614/C614*100</f>
        <v>28.16</v>
      </c>
      <c r="P614" s="42" t="s">
        <v>2</v>
      </c>
      <c r="Q614" s="41">
        <v>407392.00099999999</v>
      </c>
      <c r="R614" s="41">
        <v>3659875.2379999999</v>
      </c>
    </row>
    <row r="615" spans="1:18" x14ac:dyDescent="0.25">
      <c r="A615" s="49">
        <v>2312</v>
      </c>
      <c r="B615" s="48" t="s">
        <v>844</v>
      </c>
      <c r="C615" s="47">
        <v>50</v>
      </c>
      <c r="D615" s="46">
        <v>20</v>
      </c>
      <c r="E615" s="44">
        <v>22</v>
      </c>
      <c r="F615" s="44">
        <f>1.8*E615+32</f>
        <v>71.599999999999994</v>
      </c>
      <c r="G615" s="45">
        <v>22</v>
      </c>
      <c r="H615" s="44">
        <f>IF(F615&gt;68,G615+(F615-68)*0.2,Y638-(68-F615)*0.2)</f>
        <v>22.72</v>
      </c>
      <c r="I615" s="44">
        <v>23</v>
      </c>
      <c r="J615" s="44">
        <f>1.8*I615+32</f>
        <v>73.400000000000006</v>
      </c>
      <c r="K615" s="45">
        <v>12</v>
      </c>
      <c r="L615" s="44">
        <f>IF(J615&gt;68,K615+(J615-68)*0.2,K615-(68-J615)*0.2)</f>
        <v>13.080000000000002</v>
      </c>
      <c r="M615" s="43">
        <f>(C615-H615)/C615*100</f>
        <v>54.559999999999995</v>
      </c>
      <c r="N615" s="43">
        <f>100-(M615+O615)</f>
        <v>19.28</v>
      </c>
      <c r="O615" s="43">
        <f>L615/C615*100</f>
        <v>26.160000000000004</v>
      </c>
      <c r="P615" s="42" t="s">
        <v>2</v>
      </c>
      <c r="Q615" s="41">
        <v>407392.00099999999</v>
      </c>
      <c r="R615" s="41">
        <v>3659875.2379999999</v>
      </c>
    </row>
    <row r="616" spans="1:18" x14ac:dyDescent="0.25">
      <c r="A616" s="49">
        <v>2312</v>
      </c>
      <c r="B616" s="48" t="s">
        <v>843</v>
      </c>
      <c r="C616" s="47">
        <v>50</v>
      </c>
      <c r="D616" s="46">
        <v>20</v>
      </c>
      <c r="E616" s="44">
        <v>22</v>
      </c>
      <c r="F616" s="44">
        <f>1.8*E616+32</f>
        <v>71.599999999999994</v>
      </c>
      <c r="G616" s="45">
        <v>21</v>
      </c>
      <c r="H616" s="44">
        <f>IF(F616&gt;68,G616+(F616-68)*0.2,Y639-(68-F616)*0.2)</f>
        <v>21.72</v>
      </c>
      <c r="I616" s="44">
        <v>23</v>
      </c>
      <c r="J616" s="44">
        <f>1.8*I616+32</f>
        <v>73.400000000000006</v>
      </c>
      <c r="K616" s="45">
        <v>10</v>
      </c>
      <c r="L616" s="44">
        <f>IF(J616&gt;68,K616+(J616-68)*0.2,K616-(68-J616)*0.2)</f>
        <v>11.080000000000002</v>
      </c>
      <c r="M616" s="43">
        <f>(C616-H616)/C616*100</f>
        <v>56.56</v>
      </c>
      <c r="N616" s="43">
        <f>100-(M616+O616)</f>
        <v>21.28</v>
      </c>
      <c r="O616" s="43">
        <f>L616/C616*100</f>
        <v>22.160000000000004</v>
      </c>
      <c r="P616" s="42" t="s">
        <v>2</v>
      </c>
      <c r="Q616" s="41">
        <v>407392.00099999999</v>
      </c>
      <c r="R616" s="41">
        <v>3659875.2379999999</v>
      </c>
    </row>
    <row r="617" spans="1:18" x14ac:dyDescent="0.25">
      <c r="A617" s="49">
        <v>2312</v>
      </c>
      <c r="B617" s="48" t="s">
        <v>842</v>
      </c>
      <c r="C617" s="47">
        <v>50</v>
      </c>
      <c r="D617" s="46">
        <v>20</v>
      </c>
      <c r="E617" s="44">
        <v>22</v>
      </c>
      <c r="F617" s="44">
        <f>1.8*E617+32</f>
        <v>71.599999999999994</v>
      </c>
      <c r="G617" s="45">
        <v>25</v>
      </c>
      <c r="H617" s="44">
        <f>IF(F617&gt;68,G617+(F617-68)*0.2,Y640-(68-F617)*0.2)</f>
        <v>25.72</v>
      </c>
      <c r="I617" s="44">
        <v>23</v>
      </c>
      <c r="J617" s="44">
        <f>1.8*I617+32</f>
        <v>73.400000000000006</v>
      </c>
      <c r="K617" s="45">
        <v>11</v>
      </c>
      <c r="L617" s="44">
        <f>IF(J617&gt;68,K617+(J617-68)*0.2,K617-(68-J617)*0.2)</f>
        <v>12.080000000000002</v>
      </c>
      <c r="M617" s="43">
        <f>(C617-H617)/C617*100</f>
        <v>48.56</v>
      </c>
      <c r="N617" s="43">
        <f>100-(M617+O617)</f>
        <v>27.28</v>
      </c>
      <c r="O617" s="43">
        <f>L617/C617*100</f>
        <v>24.160000000000004</v>
      </c>
      <c r="P617" s="42" t="s">
        <v>2</v>
      </c>
      <c r="Q617" s="41">
        <v>407392.00099999999</v>
      </c>
      <c r="R617" s="41">
        <v>3659875.2379999999</v>
      </c>
    </row>
    <row r="618" spans="1:18" x14ac:dyDescent="0.25">
      <c r="A618" s="49">
        <v>2312</v>
      </c>
      <c r="B618" s="48" t="s">
        <v>841</v>
      </c>
      <c r="C618" s="47">
        <v>50</v>
      </c>
      <c r="D618" s="46">
        <v>20</v>
      </c>
      <c r="E618" s="44">
        <v>22</v>
      </c>
      <c r="F618" s="44">
        <f>1.8*E618+32</f>
        <v>71.599999999999994</v>
      </c>
      <c r="G618" s="45">
        <v>22</v>
      </c>
      <c r="H618" s="44">
        <f>IF(F618&gt;68,G618+(F618-68)*0.2,Y641-(68-F618)*0.2)</f>
        <v>22.72</v>
      </c>
      <c r="I618" s="44">
        <v>23</v>
      </c>
      <c r="J618" s="44">
        <f>1.8*I618+32</f>
        <v>73.400000000000006</v>
      </c>
      <c r="K618" s="45">
        <v>11</v>
      </c>
      <c r="L618" s="44">
        <f>IF(J618&gt;68,K618+(J618-68)*0.2,K618-(68-J618)*0.2)</f>
        <v>12.080000000000002</v>
      </c>
      <c r="M618" s="43">
        <f>(C618-H618)/C618*100</f>
        <v>54.559999999999995</v>
      </c>
      <c r="N618" s="43">
        <f>100-(M618+O618)</f>
        <v>21.28</v>
      </c>
      <c r="O618" s="43">
        <f>L618/C618*100</f>
        <v>24.160000000000004</v>
      </c>
      <c r="P618" s="42" t="s">
        <v>2</v>
      </c>
      <c r="Q618" s="41">
        <v>407392.00099999999</v>
      </c>
      <c r="R618" s="41">
        <v>3659875.2379999999</v>
      </c>
    </row>
    <row r="619" spans="1:18" x14ac:dyDescent="0.25">
      <c r="A619" s="49">
        <v>2312</v>
      </c>
      <c r="B619" s="48" t="s">
        <v>839</v>
      </c>
      <c r="C619" s="47">
        <v>50</v>
      </c>
      <c r="D619" s="46">
        <v>20</v>
      </c>
      <c r="E619" s="44">
        <v>22</v>
      </c>
      <c r="F619" s="44">
        <f>1.8*E619+32</f>
        <v>71.599999999999994</v>
      </c>
      <c r="G619" s="45">
        <v>15</v>
      </c>
      <c r="H619" s="44">
        <f>IF(F619&gt;68,G619+(F619-68)*0.2,Y642-(68-F619)*0.2)</f>
        <v>15.719999999999999</v>
      </c>
      <c r="I619" s="44">
        <v>23</v>
      </c>
      <c r="J619" s="44">
        <f>1.8*I619+32</f>
        <v>73.400000000000006</v>
      </c>
      <c r="K619" s="45">
        <v>5</v>
      </c>
      <c r="L619" s="44">
        <f>IF(J619&gt;68,K619+(J619-68)*0.2,K619-(68-J619)*0.2)</f>
        <v>6.080000000000001</v>
      </c>
      <c r="M619" s="43">
        <f>(C619-H619)/C619*100</f>
        <v>68.56</v>
      </c>
      <c r="N619" s="43">
        <f>100-(M619+O619)</f>
        <v>19.28</v>
      </c>
      <c r="O619" s="43">
        <f>L619/C619*100</f>
        <v>12.160000000000002</v>
      </c>
      <c r="P619" s="42" t="s">
        <v>0</v>
      </c>
      <c r="Q619" s="41">
        <v>407392.00099999999</v>
      </c>
      <c r="R619" s="41">
        <v>3659875.2379999999</v>
      </c>
    </row>
    <row r="620" spans="1:18" x14ac:dyDescent="0.25">
      <c r="A620" s="61"/>
      <c r="B620" s="58"/>
      <c r="C620" s="58"/>
      <c r="D620" s="58"/>
      <c r="E620" s="58"/>
      <c r="F620" s="58"/>
      <c r="G620" s="60"/>
      <c r="H620" s="58"/>
      <c r="I620" s="58"/>
      <c r="J620" s="58"/>
      <c r="K620" s="60"/>
      <c r="L620" s="58"/>
      <c r="M620" s="59"/>
      <c r="N620" s="59"/>
      <c r="O620" s="59"/>
      <c r="P620" s="58"/>
    </row>
    <row r="621" spans="1:18" x14ac:dyDescent="0.25">
      <c r="A621" s="57"/>
      <c r="B621" s="56"/>
      <c r="C621" s="55"/>
      <c r="D621" s="54"/>
      <c r="E621" s="52"/>
      <c r="F621" s="52"/>
      <c r="G621" s="53"/>
      <c r="H621" s="52"/>
      <c r="I621" s="52"/>
      <c r="J621" s="52"/>
      <c r="K621" s="53"/>
      <c r="L621" s="52"/>
      <c r="M621" s="51"/>
      <c r="N621" s="51"/>
      <c r="O621" s="51"/>
      <c r="P621" s="50"/>
      <c r="Q621" s="5" t="s">
        <v>4</v>
      </c>
      <c r="R621" s="5" t="s">
        <v>3</v>
      </c>
    </row>
    <row r="622" spans="1:18" x14ac:dyDescent="0.25">
      <c r="A622" s="49" t="s">
        <v>850</v>
      </c>
      <c r="B622" s="48" t="s">
        <v>845</v>
      </c>
      <c r="C622" s="47">
        <v>50</v>
      </c>
      <c r="D622" s="46">
        <v>20</v>
      </c>
      <c r="E622" s="44">
        <v>23</v>
      </c>
      <c r="F622" s="44">
        <f>1.8*E622+32</f>
        <v>73.400000000000006</v>
      </c>
      <c r="G622" s="45">
        <v>24</v>
      </c>
      <c r="H622" s="44">
        <f>IF(F622&gt;68,G622+(F622-68)*0.2,#REF!-(68-F622)*0.2)</f>
        <v>25.080000000000002</v>
      </c>
      <c r="I622" s="44">
        <v>23</v>
      </c>
      <c r="J622" s="44">
        <f>1.8*I622+32</f>
        <v>73.400000000000006</v>
      </c>
      <c r="K622" s="45">
        <v>12</v>
      </c>
      <c r="L622" s="44">
        <f>IF(J622&gt;68,K622+(J622-68)*0.2,K622-(68-J622)*0.2)</f>
        <v>13.080000000000002</v>
      </c>
      <c r="M622" s="43">
        <f>(C622-H622)/C622*100</f>
        <v>49.839999999999996</v>
      </c>
      <c r="N622" s="43">
        <f>100-(M622+O622)</f>
        <v>24</v>
      </c>
      <c r="O622" s="43">
        <f>L622/C622*100</f>
        <v>26.160000000000004</v>
      </c>
      <c r="P622" s="42" t="s">
        <v>2</v>
      </c>
      <c r="Q622" s="41">
        <v>407392.00099999999</v>
      </c>
      <c r="R622" s="41">
        <v>3659875.2379999999</v>
      </c>
    </row>
    <row r="623" spans="1:18" x14ac:dyDescent="0.25">
      <c r="A623" s="49" t="s">
        <v>850</v>
      </c>
      <c r="B623" s="48" t="s">
        <v>844</v>
      </c>
      <c r="C623" s="47">
        <v>50</v>
      </c>
      <c r="D623" s="46">
        <v>20</v>
      </c>
      <c r="E623" s="44">
        <v>23</v>
      </c>
      <c r="F623" s="44">
        <f>1.8*E623+32</f>
        <v>73.400000000000006</v>
      </c>
      <c r="G623" s="45">
        <v>20</v>
      </c>
      <c r="H623" s="44">
        <f>IF(F623&gt;68,G623+(F623-68)*0.2,Y646-(68-F623)*0.2)</f>
        <v>21.080000000000002</v>
      </c>
      <c r="I623" s="44">
        <v>23</v>
      </c>
      <c r="J623" s="44">
        <f>1.8*I623+32</f>
        <v>73.400000000000006</v>
      </c>
      <c r="K623" s="45">
        <v>10</v>
      </c>
      <c r="L623" s="44">
        <f>IF(J623&gt;68,K623+(J623-68)*0.2,K623-(68-J623)*0.2)</f>
        <v>11.080000000000002</v>
      </c>
      <c r="M623" s="43">
        <f>(C623-H623)/C623*100</f>
        <v>57.839999999999989</v>
      </c>
      <c r="N623" s="43">
        <f>100-(M623+O623)</f>
        <v>20</v>
      </c>
      <c r="O623" s="43">
        <f>L623/C623*100</f>
        <v>22.160000000000004</v>
      </c>
      <c r="P623" s="42" t="s">
        <v>2</v>
      </c>
      <c r="Q623" s="41">
        <v>407392.00099999999</v>
      </c>
      <c r="R623" s="41">
        <v>3659875.2379999999</v>
      </c>
    </row>
    <row r="624" spans="1:18" x14ac:dyDescent="0.25">
      <c r="A624" s="49" t="s">
        <v>850</v>
      </c>
      <c r="B624" s="48" t="s">
        <v>843</v>
      </c>
      <c r="C624" s="47">
        <v>50</v>
      </c>
      <c r="D624" s="46">
        <v>20</v>
      </c>
      <c r="E624" s="44">
        <v>23</v>
      </c>
      <c r="F624" s="44">
        <f>1.8*E624+32</f>
        <v>73.400000000000006</v>
      </c>
      <c r="G624" s="45">
        <v>22</v>
      </c>
      <c r="H624" s="44">
        <f>IF(F624&gt;68,G624+(F624-68)*0.2,Y647-(68-F624)*0.2)</f>
        <v>23.080000000000002</v>
      </c>
      <c r="I624" s="44">
        <v>23</v>
      </c>
      <c r="J624" s="44">
        <f>1.8*I624+32</f>
        <v>73.400000000000006</v>
      </c>
      <c r="K624" s="45">
        <v>11</v>
      </c>
      <c r="L624" s="44">
        <f>IF(J624&gt;68,K624+(J624-68)*0.2,K624-(68-J624)*0.2)</f>
        <v>12.080000000000002</v>
      </c>
      <c r="M624" s="43">
        <f>(C624-H624)/C624*100</f>
        <v>53.839999999999996</v>
      </c>
      <c r="N624" s="43">
        <f>100-(M624+O624)</f>
        <v>22</v>
      </c>
      <c r="O624" s="43">
        <f>L624/C624*100</f>
        <v>24.160000000000004</v>
      </c>
      <c r="P624" s="42" t="s">
        <v>2</v>
      </c>
      <c r="Q624" s="41">
        <v>407392.00099999999</v>
      </c>
      <c r="R624" s="41">
        <v>3659875.2379999999</v>
      </c>
    </row>
    <row r="625" spans="1:18" x14ac:dyDescent="0.25">
      <c r="A625" s="49" t="s">
        <v>850</v>
      </c>
      <c r="B625" s="48" t="s">
        <v>842</v>
      </c>
      <c r="C625" s="47">
        <v>50</v>
      </c>
      <c r="D625" s="46">
        <v>20</v>
      </c>
      <c r="E625" s="44">
        <v>23</v>
      </c>
      <c r="F625" s="44">
        <f>1.8*E625+32</f>
        <v>73.400000000000006</v>
      </c>
      <c r="G625" s="45">
        <v>22</v>
      </c>
      <c r="H625" s="44">
        <f>IF(F625&gt;68,G625+(F625-68)*0.2,Y648-(68-F625)*0.2)</f>
        <v>23.080000000000002</v>
      </c>
      <c r="I625" s="44">
        <v>23</v>
      </c>
      <c r="J625" s="44">
        <f>1.8*I625+32</f>
        <v>73.400000000000006</v>
      </c>
      <c r="K625" s="45">
        <v>11</v>
      </c>
      <c r="L625" s="44">
        <f>IF(J625&gt;68,K625+(J625-68)*0.2,K625-(68-J625)*0.2)</f>
        <v>12.080000000000002</v>
      </c>
      <c r="M625" s="43">
        <f>(C625-H625)/C625*100</f>
        <v>53.839999999999996</v>
      </c>
      <c r="N625" s="43">
        <f>100-(M625+O625)</f>
        <v>22</v>
      </c>
      <c r="O625" s="43">
        <f>L625/C625*100</f>
        <v>24.160000000000004</v>
      </c>
      <c r="P625" s="42" t="s">
        <v>2</v>
      </c>
      <c r="Q625" s="41">
        <v>407392.00099999999</v>
      </c>
      <c r="R625" s="41">
        <v>3659875.2379999999</v>
      </c>
    </row>
    <row r="626" spans="1:18" x14ac:dyDescent="0.25">
      <c r="A626" s="49" t="s">
        <v>850</v>
      </c>
      <c r="B626" s="48" t="s">
        <v>841</v>
      </c>
      <c r="C626" s="47">
        <v>50</v>
      </c>
      <c r="D626" s="46">
        <v>20</v>
      </c>
      <c r="E626" s="44">
        <v>23</v>
      </c>
      <c r="F626" s="44">
        <f>1.8*E626+32</f>
        <v>73.400000000000006</v>
      </c>
      <c r="G626" s="45">
        <v>22</v>
      </c>
      <c r="H626" s="44">
        <f>IF(F626&gt;68,G626+(F626-68)*0.2,Y649-(68-F626)*0.2)</f>
        <v>23.080000000000002</v>
      </c>
      <c r="I626" s="44">
        <v>23</v>
      </c>
      <c r="J626" s="44">
        <f>1.8*I626+32</f>
        <v>73.400000000000006</v>
      </c>
      <c r="K626" s="45">
        <v>11</v>
      </c>
      <c r="L626" s="44">
        <f>IF(J626&gt;68,K626+(J626-68)*0.2,K626-(68-J626)*0.2)</f>
        <v>12.080000000000002</v>
      </c>
      <c r="M626" s="43">
        <f>(C626-H626)/C626*100</f>
        <v>53.839999999999996</v>
      </c>
      <c r="N626" s="43">
        <f>100-(M626+O626)</f>
        <v>22</v>
      </c>
      <c r="O626" s="43">
        <f>L626/C626*100</f>
        <v>24.160000000000004</v>
      </c>
      <c r="P626" s="42" t="s">
        <v>2</v>
      </c>
      <c r="Q626" s="41">
        <v>407392.00099999999</v>
      </c>
      <c r="R626" s="41">
        <v>3659875.2379999999</v>
      </c>
    </row>
    <row r="627" spans="1:18" x14ac:dyDescent="0.25">
      <c r="A627" s="49" t="s">
        <v>850</v>
      </c>
      <c r="B627" s="48" t="s">
        <v>839</v>
      </c>
      <c r="C627" s="47">
        <v>50</v>
      </c>
      <c r="D627" s="46">
        <v>20</v>
      </c>
      <c r="E627" s="44">
        <v>23</v>
      </c>
      <c r="F627" s="44">
        <f>1.8*E627+32</f>
        <v>73.400000000000006</v>
      </c>
      <c r="G627" s="45">
        <v>16</v>
      </c>
      <c r="H627" s="44">
        <f>IF(F627&gt;68,G627+(F627-68)*0.2,Y650-(68-F627)*0.2)</f>
        <v>17.080000000000002</v>
      </c>
      <c r="I627" s="44">
        <v>23</v>
      </c>
      <c r="J627" s="44">
        <f>1.8*I627+32</f>
        <v>73.400000000000006</v>
      </c>
      <c r="K627" s="45">
        <v>6</v>
      </c>
      <c r="L627" s="44">
        <f>IF(J627&gt;68,K627+(J627-68)*0.2,K627-(68-J627)*0.2)</f>
        <v>7.080000000000001</v>
      </c>
      <c r="M627" s="43">
        <f>(C627-H627)/C627*100</f>
        <v>65.84</v>
      </c>
      <c r="N627" s="43">
        <f>100-(M627+O627)</f>
        <v>20</v>
      </c>
      <c r="O627" s="43">
        <f>L627/C627*100</f>
        <v>14.160000000000004</v>
      </c>
      <c r="P627" s="42" t="s">
        <v>0</v>
      </c>
      <c r="Q627" s="41">
        <v>407392.00099999999</v>
      </c>
      <c r="R627" s="41">
        <v>3659875.2379999999</v>
      </c>
    </row>
    <row r="628" spans="1:18" x14ac:dyDescent="0.25">
      <c r="A628" s="61"/>
      <c r="B628" s="58"/>
      <c r="C628" s="58"/>
      <c r="D628" s="58"/>
      <c r="E628" s="58"/>
      <c r="F628" s="58"/>
      <c r="G628" s="60"/>
      <c r="H628" s="58"/>
      <c r="I628" s="58"/>
      <c r="J628" s="58"/>
      <c r="K628" s="60"/>
      <c r="L628" s="58"/>
      <c r="M628" s="59"/>
      <c r="N628" s="59"/>
      <c r="O628" s="59"/>
      <c r="P628" s="58"/>
    </row>
    <row r="629" spans="1:18" x14ac:dyDescent="0.25">
      <c r="A629" s="57"/>
      <c r="B629" s="56"/>
      <c r="C629" s="55"/>
      <c r="D629" s="54"/>
      <c r="E629" s="52"/>
      <c r="F629" s="52"/>
      <c r="G629" s="53"/>
      <c r="H629" s="52"/>
      <c r="I629" s="52"/>
      <c r="J629" s="52"/>
      <c r="K629" s="53"/>
      <c r="L629" s="52"/>
      <c r="M629" s="51"/>
      <c r="N629" s="51"/>
      <c r="O629" s="51"/>
      <c r="P629" s="50"/>
      <c r="Q629" s="5" t="s">
        <v>4</v>
      </c>
      <c r="R629" s="5" t="s">
        <v>3</v>
      </c>
    </row>
    <row r="630" spans="1:18" x14ac:dyDescent="0.25">
      <c r="A630" s="49">
        <v>2330</v>
      </c>
      <c r="B630" s="48" t="s">
        <v>845</v>
      </c>
      <c r="C630" s="47">
        <v>50</v>
      </c>
      <c r="D630" s="46">
        <v>20</v>
      </c>
      <c r="E630" s="44">
        <v>22</v>
      </c>
      <c r="F630" s="44">
        <f>1.8*E630+32</f>
        <v>71.599999999999994</v>
      </c>
      <c r="G630" s="45">
        <v>23</v>
      </c>
      <c r="H630" s="44">
        <f>IF(F630&gt;68,G630+(F630-68)*0.2,#REF!-(68-F630)*0.2)</f>
        <v>23.72</v>
      </c>
      <c r="I630" s="44">
        <v>22</v>
      </c>
      <c r="J630" s="44">
        <f>1.8*I630+32</f>
        <v>71.599999999999994</v>
      </c>
      <c r="K630" s="45">
        <v>13</v>
      </c>
      <c r="L630" s="44">
        <f>IF(J630&gt;68,K630+(J630-68)*0.2,K630-(68-J630)*0.2)</f>
        <v>13.719999999999999</v>
      </c>
      <c r="M630" s="43">
        <f>(C630-H630)/C630*100</f>
        <v>52.560000000000009</v>
      </c>
      <c r="N630" s="43">
        <f>100-(M630+O630)</f>
        <v>20</v>
      </c>
      <c r="O630" s="43">
        <f>L630/C630*100</f>
        <v>27.439999999999998</v>
      </c>
      <c r="P630" s="42" t="s">
        <v>2</v>
      </c>
      <c r="Q630" s="41">
        <v>407393.17599999998</v>
      </c>
      <c r="R630" s="62">
        <v>3659944.72</v>
      </c>
    </row>
    <row r="631" spans="1:18" x14ac:dyDescent="0.25">
      <c r="A631" s="49">
        <v>2330</v>
      </c>
      <c r="B631" s="48" t="s">
        <v>844</v>
      </c>
      <c r="C631" s="47">
        <v>50</v>
      </c>
      <c r="D631" s="46">
        <v>20</v>
      </c>
      <c r="E631" s="44">
        <v>22</v>
      </c>
      <c r="F631" s="44">
        <f>1.8*E631+32</f>
        <v>71.599999999999994</v>
      </c>
      <c r="G631" s="45">
        <v>21</v>
      </c>
      <c r="H631" s="44">
        <f>IF(F631&gt;68,G631+(F631-68)*0.2,Y654-(68-F631)*0.2)</f>
        <v>21.72</v>
      </c>
      <c r="I631" s="44">
        <v>22</v>
      </c>
      <c r="J631" s="44">
        <f>1.8*I631+32</f>
        <v>71.599999999999994</v>
      </c>
      <c r="K631" s="45">
        <v>11</v>
      </c>
      <c r="L631" s="44">
        <f>IF(J631&gt;68,K631+(J631-68)*0.2,K631-(68-J631)*0.2)</f>
        <v>11.719999999999999</v>
      </c>
      <c r="M631" s="43">
        <f>(C631-H631)/C631*100</f>
        <v>56.56</v>
      </c>
      <c r="N631" s="43">
        <f>100-(M631+O631)</f>
        <v>20</v>
      </c>
      <c r="O631" s="43">
        <f>L631/C631*100</f>
        <v>23.439999999999998</v>
      </c>
      <c r="P631" s="42" t="s">
        <v>2</v>
      </c>
      <c r="Q631" s="41">
        <v>407393.17599999998</v>
      </c>
      <c r="R631" s="62">
        <v>3659944.72</v>
      </c>
    </row>
    <row r="632" spans="1:18" x14ac:dyDescent="0.25">
      <c r="A632" s="49">
        <v>2330</v>
      </c>
      <c r="B632" s="48" t="s">
        <v>843</v>
      </c>
      <c r="C632" s="47">
        <v>50</v>
      </c>
      <c r="D632" s="46">
        <v>20</v>
      </c>
      <c r="E632" s="44">
        <v>22</v>
      </c>
      <c r="F632" s="44">
        <f>1.8*E632+32</f>
        <v>71.599999999999994</v>
      </c>
      <c r="G632" s="45">
        <v>14</v>
      </c>
      <c r="H632" s="44">
        <f>IF(F632&gt;68,G632+(F632-68)*0.2,Y655-(68-F632)*0.2)</f>
        <v>14.719999999999999</v>
      </c>
      <c r="I632" s="44">
        <v>22</v>
      </c>
      <c r="J632" s="44">
        <f>1.8*I632+32</f>
        <v>71.599999999999994</v>
      </c>
      <c r="K632" s="45">
        <v>7</v>
      </c>
      <c r="L632" s="44">
        <f>IF(J632&gt;68,K632+(J632-68)*0.2,K632-(68-J632)*0.2)</f>
        <v>7.7199999999999989</v>
      </c>
      <c r="M632" s="43">
        <f>(C632-H632)/C632*100</f>
        <v>70.56</v>
      </c>
      <c r="N632" s="43">
        <f>100-(M632+O632)</f>
        <v>14</v>
      </c>
      <c r="O632" s="43">
        <f>L632/C632*100</f>
        <v>15.439999999999998</v>
      </c>
      <c r="P632" s="42" t="s">
        <v>0</v>
      </c>
      <c r="Q632" s="41">
        <v>407393.17599999998</v>
      </c>
      <c r="R632" s="62">
        <v>3659944.72</v>
      </c>
    </row>
    <row r="633" spans="1:18" x14ac:dyDescent="0.25">
      <c r="A633" s="49">
        <v>2330</v>
      </c>
      <c r="B633" s="48" t="s">
        <v>842</v>
      </c>
      <c r="C633" s="47">
        <v>50</v>
      </c>
      <c r="D633" s="46">
        <v>20</v>
      </c>
      <c r="E633" s="44">
        <v>22</v>
      </c>
      <c r="F633" s="44">
        <f>1.8*E633+32</f>
        <v>71.599999999999994</v>
      </c>
      <c r="G633" s="45">
        <v>11</v>
      </c>
      <c r="H633" s="44">
        <f>IF(F633&gt;68,G633+(F633-68)*0.2,Y656-(68-F633)*0.2)</f>
        <v>11.719999999999999</v>
      </c>
      <c r="I633" s="44">
        <v>22</v>
      </c>
      <c r="J633" s="44">
        <f>1.8*I633+32</f>
        <v>71.599999999999994</v>
      </c>
      <c r="K633" s="45">
        <v>4</v>
      </c>
      <c r="L633" s="44">
        <f>IF(J633&gt;68,K633+(J633-68)*0.2,K633-(68-J633)*0.2)</f>
        <v>4.7199999999999989</v>
      </c>
      <c r="M633" s="43">
        <f>(C633-H633)/C633*100</f>
        <v>76.56</v>
      </c>
      <c r="N633" s="43">
        <f>100-(M633+O633)</f>
        <v>14</v>
      </c>
      <c r="O633" s="43">
        <f>L633/C633*100</f>
        <v>9.4399999999999977</v>
      </c>
      <c r="P633" s="42" t="s">
        <v>0</v>
      </c>
      <c r="Q633" s="41">
        <v>407393.17599999998</v>
      </c>
      <c r="R633" s="62">
        <v>3659944.72</v>
      </c>
    </row>
    <row r="634" spans="1:18" x14ac:dyDescent="0.25">
      <c r="A634" s="49">
        <v>2330</v>
      </c>
      <c r="B634" s="48" t="s">
        <v>841</v>
      </c>
      <c r="C634" s="47">
        <v>50</v>
      </c>
      <c r="D634" s="46">
        <v>20</v>
      </c>
      <c r="E634" s="44">
        <v>22</v>
      </c>
      <c r="F634" s="44">
        <f>1.8*E634+32</f>
        <v>71.599999999999994</v>
      </c>
      <c r="G634" s="45">
        <v>15</v>
      </c>
      <c r="H634" s="44">
        <f>IF(F634&gt;68,G634+(F634-68)*0.2,Y657-(68-F634)*0.2)</f>
        <v>15.719999999999999</v>
      </c>
      <c r="I634" s="44">
        <v>22</v>
      </c>
      <c r="J634" s="44">
        <f>1.8*I634+32</f>
        <v>71.599999999999994</v>
      </c>
      <c r="K634" s="45">
        <v>7</v>
      </c>
      <c r="L634" s="44">
        <f>IF(J634&gt;68,K634+(J634-68)*0.2,K634-(68-J634)*0.2)</f>
        <v>7.7199999999999989</v>
      </c>
      <c r="M634" s="43">
        <f>(C634-H634)/C634*100</f>
        <v>68.56</v>
      </c>
      <c r="N634" s="43">
        <f>100-(M634+O634)</f>
        <v>16</v>
      </c>
      <c r="O634" s="43">
        <f>L634/C634*100</f>
        <v>15.439999999999998</v>
      </c>
      <c r="P634" s="42" t="s">
        <v>0</v>
      </c>
      <c r="Q634" s="41">
        <v>407393.17599999998</v>
      </c>
      <c r="R634" s="62">
        <v>3659944.72</v>
      </c>
    </row>
    <row r="635" spans="1:18" x14ac:dyDescent="0.25">
      <c r="A635" s="49">
        <v>2330</v>
      </c>
      <c r="B635" s="48" t="s">
        <v>839</v>
      </c>
      <c r="C635" s="47">
        <v>50</v>
      </c>
      <c r="D635" s="46">
        <v>20</v>
      </c>
      <c r="E635" s="44">
        <v>22</v>
      </c>
      <c r="F635" s="44">
        <f>1.8*E635+32</f>
        <v>71.599999999999994</v>
      </c>
      <c r="G635" s="45">
        <v>9</v>
      </c>
      <c r="H635" s="44">
        <f>IF(F635&gt;68,G635+(F635-68)*0.2,Y658-(68-F635)*0.2)</f>
        <v>9.7199999999999989</v>
      </c>
      <c r="I635" s="44">
        <v>22</v>
      </c>
      <c r="J635" s="44">
        <f>1.8*I635+32</f>
        <v>71.599999999999994</v>
      </c>
      <c r="K635" s="45">
        <v>5</v>
      </c>
      <c r="L635" s="44">
        <f>IF(J635&gt;68,K635+(J635-68)*0.2,K635-(68-J635)*0.2)</f>
        <v>5.7199999999999989</v>
      </c>
      <c r="M635" s="43">
        <f>(C635-H635)/C635*100</f>
        <v>80.56</v>
      </c>
      <c r="N635" s="43">
        <f>100-(M635+O635)</f>
        <v>8</v>
      </c>
      <c r="O635" s="43">
        <f>L635/C635*100</f>
        <v>11.439999999999998</v>
      </c>
      <c r="P635" s="42" t="s">
        <v>0</v>
      </c>
      <c r="Q635" s="41">
        <v>407393.17599999998</v>
      </c>
      <c r="R635" s="62">
        <v>3659944.72</v>
      </c>
    </row>
    <row r="636" spans="1:18" x14ac:dyDescent="0.25">
      <c r="A636" s="61"/>
      <c r="B636" s="58"/>
      <c r="C636" s="58"/>
      <c r="D636" s="58"/>
      <c r="E636" s="58"/>
      <c r="F636" s="58"/>
      <c r="G636" s="60"/>
      <c r="H636" s="58"/>
      <c r="I636" s="58"/>
      <c r="J636" s="58"/>
      <c r="K636" s="60"/>
      <c r="L636" s="58"/>
      <c r="M636" s="59"/>
      <c r="N636" s="59"/>
      <c r="O636" s="59"/>
      <c r="P636" s="58"/>
    </row>
    <row r="637" spans="1:18" x14ac:dyDescent="0.25">
      <c r="A637" s="57"/>
      <c r="B637" s="56"/>
      <c r="C637" s="55"/>
      <c r="D637" s="54"/>
      <c r="E637" s="52"/>
      <c r="F637" s="52"/>
      <c r="G637" s="53"/>
      <c r="H637" s="52"/>
      <c r="I637" s="52"/>
      <c r="J637" s="52"/>
      <c r="K637" s="53"/>
      <c r="L637" s="52"/>
      <c r="M637" s="51"/>
      <c r="N637" s="51"/>
      <c r="O637" s="51"/>
      <c r="P637" s="50"/>
      <c r="Q637" s="5" t="s">
        <v>4</v>
      </c>
      <c r="R637" s="5" t="s">
        <v>3</v>
      </c>
    </row>
    <row r="638" spans="1:18" x14ac:dyDescent="0.25">
      <c r="A638" s="49">
        <v>2341</v>
      </c>
      <c r="B638" s="48" t="s">
        <v>845</v>
      </c>
      <c r="C638" s="47">
        <v>50</v>
      </c>
      <c r="D638" s="46">
        <v>20</v>
      </c>
      <c r="E638" s="44">
        <v>23</v>
      </c>
      <c r="F638" s="44">
        <f>1.8*E638+32</f>
        <v>73.400000000000006</v>
      </c>
      <c r="G638" s="45">
        <v>22</v>
      </c>
      <c r="H638" s="44">
        <f>IF(F638&gt;68,G638+(F638-68)*0.2,#REF!-(68-F638)*0.2)</f>
        <v>23.080000000000002</v>
      </c>
      <c r="I638" s="44">
        <v>23</v>
      </c>
      <c r="J638" s="44">
        <f>1.8*I638+32</f>
        <v>73.400000000000006</v>
      </c>
      <c r="K638" s="45">
        <v>12</v>
      </c>
      <c r="L638" s="44">
        <f>IF(J638&gt;68,K638+(J638-68)*0.2,K638-(68-J638)*0.2)</f>
        <v>13.080000000000002</v>
      </c>
      <c r="M638" s="43">
        <f>(C638-H638)/C638*100</f>
        <v>53.839999999999996</v>
      </c>
      <c r="N638" s="43">
        <f>100-(M638+O638)</f>
        <v>20</v>
      </c>
      <c r="O638" s="43">
        <f>L638/C638*100</f>
        <v>26.160000000000004</v>
      </c>
      <c r="P638" s="42" t="s">
        <v>2</v>
      </c>
      <c r="Q638" s="41">
        <v>407393.93900000001</v>
      </c>
      <c r="R638" s="41">
        <v>3659987.7880000002</v>
      </c>
    </row>
    <row r="639" spans="1:18" x14ac:dyDescent="0.25">
      <c r="A639" s="49">
        <v>2341</v>
      </c>
      <c r="B639" s="48" t="s">
        <v>844</v>
      </c>
      <c r="C639" s="47">
        <v>50</v>
      </c>
      <c r="D639" s="46">
        <v>20</v>
      </c>
      <c r="E639" s="44">
        <v>23</v>
      </c>
      <c r="F639" s="44">
        <f>1.8*E639+32</f>
        <v>73.400000000000006</v>
      </c>
      <c r="G639" s="45">
        <v>20</v>
      </c>
      <c r="H639" s="44">
        <f>IF(F639&gt;68,G639+(F639-68)*0.2,Y662-(68-F639)*0.2)</f>
        <v>21.080000000000002</v>
      </c>
      <c r="I639" s="44">
        <v>23</v>
      </c>
      <c r="J639" s="44">
        <f>1.8*I639+32</f>
        <v>73.400000000000006</v>
      </c>
      <c r="K639" s="45">
        <v>10</v>
      </c>
      <c r="L639" s="44">
        <f>IF(J639&gt;68,K639+(J639-68)*0.2,K639-(68-J639)*0.2)</f>
        <v>11.080000000000002</v>
      </c>
      <c r="M639" s="43">
        <f>(C639-H639)/C639*100</f>
        <v>57.839999999999989</v>
      </c>
      <c r="N639" s="43">
        <f>100-(M639+O639)</f>
        <v>20</v>
      </c>
      <c r="O639" s="43">
        <f>L639/C639*100</f>
        <v>22.160000000000004</v>
      </c>
      <c r="P639" s="42" t="s">
        <v>2</v>
      </c>
      <c r="Q639" s="41">
        <v>407393.93900000001</v>
      </c>
      <c r="R639" s="41">
        <v>3659987.7880000002</v>
      </c>
    </row>
    <row r="640" spans="1:18" x14ac:dyDescent="0.25">
      <c r="A640" s="49">
        <v>2341</v>
      </c>
      <c r="B640" s="48" t="s">
        <v>843</v>
      </c>
      <c r="C640" s="47">
        <v>50</v>
      </c>
      <c r="D640" s="46">
        <v>20</v>
      </c>
      <c r="E640" s="44">
        <v>23</v>
      </c>
      <c r="F640" s="44">
        <f>1.8*E640+32</f>
        <v>73.400000000000006</v>
      </c>
      <c r="G640" s="45">
        <v>10</v>
      </c>
      <c r="H640" s="44">
        <f>IF(F640&gt;68,G640+(F640-68)*0.2,Y663-(68-F640)*0.2)</f>
        <v>11.080000000000002</v>
      </c>
      <c r="I640" s="44">
        <v>23</v>
      </c>
      <c r="J640" s="44">
        <f>1.8*I640+32</f>
        <v>73.400000000000006</v>
      </c>
      <c r="K640" s="45">
        <v>5</v>
      </c>
      <c r="L640" s="44">
        <f>IF(J640&gt;68,K640+(J640-68)*0.2,K640-(68-J640)*0.2)</f>
        <v>6.080000000000001</v>
      </c>
      <c r="M640" s="43">
        <f>(C640-H640)/C640*100</f>
        <v>77.84</v>
      </c>
      <c r="N640" s="43">
        <f>100-(M640+O640)</f>
        <v>10</v>
      </c>
      <c r="O640" s="43">
        <f>L640/C640*100</f>
        <v>12.160000000000002</v>
      </c>
      <c r="P640" s="42" t="s">
        <v>0</v>
      </c>
      <c r="Q640" s="41">
        <v>407393.93900000001</v>
      </c>
      <c r="R640" s="41">
        <v>3659987.7880000002</v>
      </c>
    </row>
    <row r="641" spans="1:18" x14ac:dyDescent="0.25">
      <c r="A641" s="49">
        <v>2341</v>
      </c>
      <c r="B641" s="48" t="s">
        <v>842</v>
      </c>
      <c r="C641" s="47">
        <v>50</v>
      </c>
      <c r="D641" s="46">
        <v>20</v>
      </c>
      <c r="E641" s="44">
        <v>23</v>
      </c>
      <c r="F641" s="44">
        <f>1.8*E641+32</f>
        <v>73.400000000000006</v>
      </c>
      <c r="G641" s="45">
        <v>12</v>
      </c>
      <c r="H641" s="44">
        <f>IF(F641&gt;68,G641+(F641-68)*0.2,Y664-(68-F641)*0.2)</f>
        <v>13.080000000000002</v>
      </c>
      <c r="I641" s="44">
        <v>23</v>
      </c>
      <c r="J641" s="44">
        <f>1.8*I641+32</f>
        <v>73.400000000000006</v>
      </c>
      <c r="K641" s="45">
        <v>5</v>
      </c>
      <c r="L641" s="44">
        <f>IF(J641&gt;68,K641+(J641-68)*0.2,K641-(68-J641)*0.2)</f>
        <v>6.080000000000001</v>
      </c>
      <c r="M641" s="43">
        <f>(C641-H641)/C641*100</f>
        <v>73.84</v>
      </c>
      <c r="N641" s="43">
        <f>100-(M641+O641)</f>
        <v>14</v>
      </c>
      <c r="O641" s="43">
        <f>L641/C641*100</f>
        <v>12.160000000000002</v>
      </c>
      <c r="P641" s="42" t="s">
        <v>0</v>
      </c>
      <c r="Q641" s="41">
        <v>407393.93900000001</v>
      </c>
      <c r="R641" s="41">
        <v>3659987.7880000002</v>
      </c>
    </row>
    <row r="642" spans="1:18" x14ac:dyDescent="0.25">
      <c r="A642" s="49">
        <v>2341</v>
      </c>
      <c r="B642" s="48" t="s">
        <v>841</v>
      </c>
      <c r="C642" s="47">
        <v>50</v>
      </c>
      <c r="D642" s="46">
        <v>20</v>
      </c>
      <c r="E642" s="44">
        <v>23</v>
      </c>
      <c r="F642" s="44">
        <f>1.8*E642+32</f>
        <v>73.400000000000006</v>
      </c>
      <c r="G642" s="45">
        <v>15</v>
      </c>
      <c r="H642" s="44">
        <f>IF(F642&gt;68,G642+(F642-68)*0.2,Y665-(68-F642)*0.2)</f>
        <v>16.080000000000002</v>
      </c>
      <c r="I642" s="44">
        <v>23</v>
      </c>
      <c r="J642" s="44">
        <f>1.8*I642+32</f>
        <v>73.400000000000006</v>
      </c>
      <c r="K642" s="45">
        <v>7</v>
      </c>
      <c r="L642" s="44">
        <f>IF(J642&gt;68,K642+(J642-68)*0.2,K642-(68-J642)*0.2)</f>
        <v>8.0800000000000018</v>
      </c>
      <c r="M642" s="43">
        <f>(C642-H642)/C642*100</f>
        <v>67.84</v>
      </c>
      <c r="N642" s="43">
        <f>100-(M642+O642)</f>
        <v>16</v>
      </c>
      <c r="O642" s="43">
        <f>L642/C642*100</f>
        <v>16.160000000000004</v>
      </c>
      <c r="P642" s="42" t="s">
        <v>0</v>
      </c>
      <c r="Q642" s="41">
        <v>407393.93900000001</v>
      </c>
      <c r="R642" s="41">
        <v>3659987.7880000002</v>
      </c>
    </row>
    <row r="643" spans="1:18" x14ac:dyDescent="0.25">
      <c r="A643" s="49">
        <v>2341</v>
      </c>
      <c r="B643" s="48" t="s">
        <v>839</v>
      </c>
      <c r="C643" s="47">
        <v>50</v>
      </c>
      <c r="D643" s="46">
        <v>20</v>
      </c>
      <c r="E643" s="44">
        <v>23</v>
      </c>
      <c r="F643" s="44">
        <f>1.8*E643+32</f>
        <v>73.400000000000006</v>
      </c>
      <c r="G643" s="45">
        <v>17</v>
      </c>
      <c r="H643" s="44">
        <f>IF(F643&gt;68,G643+(F643-68)*0.2,Y666-(68-F643)*0.2)</f>
        <v>18.080000000000002</v>
      </c>
      <c r="I643" s="44">
        <v>23</v>
      </c>
      <c r="J643" s="44">
        <f>1.8*I643+32</f>
        <v>73.400000000000006</v>
      </c>
      <c r="K643" s="45">
        <v>9</v>
      </c>
      <c r="L643" s="44">
        <f>IF(J643&gt;68,K643+(J643-68)*0.2,K643-(68-J643)*0.2)</f>
        <v>10.080000000000002</v>
      </c>
      <c r="M643" s="43">
        <f>(C643-H643)/C643*100</f>
        <v>63.839999999999996</v>
      </c>
      <c r="N643" s="43">
        <f>100-(M643+O643)</f>
        <v>16</v>
      </c>
      <c r="O643" s="43">
        <f>L643/C643*100</f>
        <v>20.160000000000004</v>
      </c>
      <c r="P643" s="42" t="s">
        <v>2</v>
      </c>
      <c r="Q643" s="41">
        <v>407393.93900000001</v>
      </c>
      <c r="R643" s="41">
        <v>3659987.7880000002</v>
      </c>
    </row>
    <row r="644" spans="1:18" x14ac:dyDescent="0.25">
      <c r="A644" s="61"/>
      <c r="B644" s="58"/>
      <c r="C644" s="58"/>
      <c r="D644" s="58"/>
      <c r="E644" s="58"/>
      <c r="F644" s="58"/>
      <c r="G644" s="60"/>
      <c r="H644" s="58"/>
      <c r="I644" s="58"/>
      <c r="J644" s="58"/>
      <c r="K644" s="60"/>
      <c r="L644" s="58"/>
      <c r="M644" s="59"/>
      <c r="N644" s="59"/>
      <c r="O644" s="59"/>
      <c r="P644" s="58"/>
    </row>
    <row r="645" spans="1:18" x14ac:dyDescent="0.25">
      <c r="A645" s="57"/>
      <c r="B645" s="56"/>
      <c r="C645" s="55"/>
      <c r="D645" s="54"/>
      <c r="E645" s="52"/>
      <c r="F645" s="52"/>
      <c r="G645" s="53"/>
      <c r="H645" s="52"/>
      <c r="I645" s="52"/>
      <c r="J645" s="52"/>
      <c r="K645" s="53"/>
      <c r="L645" s="52"/>
      <c r="M645" s="51"/>
      <c r="N645" s="51"/>
      <c r="O645" s="51"/>
      <c r="P645" s="50"/>
      <c r="Q645" s="5" t="s">
        <v>4</v>
      </c>
      <c r="R645" s="5" t="s">
        <v>3</v>
      </c>
    </row>
    <row r="646" spans="1:18" x14ac:dyDescent="0.25">
      <c r="A646" s="49">
        <v>2439</v>
      </c>
      <c r="B646" s="48" t="s">
        <v>845</v>
      </c>
      <c r="C646" s="47">
        <v>50</v>
      </c>
      <c r="D646" s="46">
        <v>20</v>
      </c>
      <c r="E646" s="44">
        <v>23</v>
      </c>
      <c r="F646" s="44">
        <f>1.8*E646+32</f>
        <v>73.400000000000006</v>
      </c>
      <c r="G646" s="45">
        <v>29</v>
      </c>
      <c r="H646" s="44">
        <f>IF(F646&gt;68,G646+(F646-68)*0.2,#REF!-(68-F646)*0.2)</f>
        <v>30.080000000000002</v>
      </c>
      <c r="I646" s="44">
        <v>23</v>
      </c>
      <c r="J646" s="44">
        <f>1.8*I646+32</f>
        <v>73.400000000000006</v>
      </c>
      <c r="K646" s="45">
        <v>15</v>
      </c>
      <c r="L646" s="44">
        <f>IF(J646&gt;68,K646+(J646-68)*0.2,K646-(68-J646)*0.2)</f>
        <v>16.080000000000002</v>
      </c>
      <c r="M646" s="43">
        <f>(C646-H646)/C646*100</f>
        <v>39.839999999999996</v>
      </c>
      <c r="N646" s="43">
        <f>100-(M646+O646)</f>
        <v>28</v>
      </c>
      <c r="O646" s="43">
        <f>L646/C646*100</f>
        <v>32.160000000000004</v>
      </c>
      <c r="P646" s="42" t="s">
        <v>22</v>
      </c>
      <c r="Q646" s="41">
        <v>407376.14500000002</v>
      </c>
      <c r="R646" s="41">
        <v>3659883.898</v>
      </c>
    </row>
    <row r="647" spans="1:18" x14ac:dyDescent="0.25">
      <c r="A647" s="49">
        <v>2439</v>
      </c>
      <c r="B647" s="48" t="s">
        <v>844</v>
      </c>
      <c r="C647" s="47">
        <v>50</v>
      </c>
      <c r="D647" s="46">
        <v>20</v>
      </c>
      <c r="E647" s="44">
        <v>23</v>
      </c>
      <c r="F647" s="44">
        <f>1.8*E647+32</f>
        <v>73.400000000000006</v>
      </c>
      <c r="G647" s="45">
        <v>30</v>
      </c>
      <c r="H647" s="44">
        <f>IF(F647&gt;68,G647+(F647-68)*0.2,Y670-(68-F647)*0.2)</f>
        <v>31.080000000000002</v>
      </c>
      <c r="I647" s="44">
        <v>23</v>
      </c>
      <c r="J647" s="44">
        <f>1.8*I647+32</f>
        <v>73.400000000000006</v>
      </c>
      <c r="K647" s="45">
        <v>16</v>
      </c>
      <c r="L647" s="44">
        <f>IF(J647&gt;68,K647+(J647-68)*0.2,K647-(68-J647)*0.2)</f>
        <v>17.080000000000002</v>
      </c>
      <c r="M647" s="43">
        <f>(C647-H647)/C647*100</f>
        <v>37.839999999999996</v>
      </c>
      <c r="N647" s="43">
        <f>100-(M647+O647)</f>
        <v>28</v>
      </c>
      <c r="O647" s="43">
        <f>L647/C647*100</f>
        <v>34.160000000000004</v>
      </c>
      <c r="P647" s="42" t="s">
        <v>22</v>
      </c>
      <c r="Q647" s="41">
        <v>407376.14500000002</v>
      </c>
      <c r="R647" s="41">
        <v>3659883.898</v>
      </c>
    </row>
    <row r="648" spans="1:18" x14ac:dyDescent="0.25">
      <c r="A648" s="49">
        <v>2439</v>
      </c>
      <c r="B648" s="48" t="s">
        <v>843</v>
      </c>
      <c r="C648" s="47">
        <v>50</v>
      </c>
      <c r="D648" s="46">
        <v>20</v>
      </c>
      <c r="E648" s="44">
        <v>23</v>
      </c>
      <c r="F648" s="44">
        <f>1.8*E648+32</f>
        <v>73.400000000000006</v>
      </c>
      <c r="G648" s="45">
        <v>12</v>
      </c>
      <c r="H648" s="44">
        <f>IF(F648&gt;68,G648+(F648-68)*0.2,Y671-(68-F648)*0.2)</f>
        <v>13.080000000000002</v>
      </c>
      <c r="I648" s="44">
        <v>23</v>
      </c>
      <c r="J648" s="44">
        <f>1.8*I648+32</f>
        <v>73.400000000000006</v>
      </c>
      <c r="K648" s="45">
        <v>6</v>
      </c>
      <c r="L648" s="44">
        <f>IF(J648&gt;68,K648+(J648-68)*0.2,K648-(68-J648)*0.2)</f>
        <v>7.080000000000001</v>
      </c>
      <c r="M648" s="43">
        <f>(C648-H648)/C648*100</f>
        <v>73.84</v>
      </c>
      <c r="N648" s="43">
        <f>100-(M648+O648)</f>
        <v>12</v>
      </c>
      <c r="O648" s="43">
        <f>L648/C648*100</f>
        <v>14.160000000000004</v>
      </c>
      <c r="P648" s="42" t="s">
        <v>0</v>
      </c>
      <c r="Q648" s="41">
        <v>407376.14500000002</v>
      </c>
      <c r="R648" s="41">
        <v>3659883.898</v>
      </c>
    </row>
    <row r="649" spans="1:18" x14ac:dyDescent="0.25">
      <c r="A649" s="49">
        <v>2439</v>
      </c>
      <c r="B649" s="48" t="s">
        <v>842</v>
      </c>
      <c r="C649" s="47">
        <v>50</v>
      </c>
      <c r="D649" s="46">
        <v>20</v>
      </c>
      <c r="E649" s="44">
        <v>23</v>
      </c>
      <c r="F649" s="44">
        <f>1.8*E649+32</f>
        <v>73.400000000000006</v>
      </c>
      <c r="G649" s="45">
        <v>13</v>
      </c>
      <c r="H649" s="44">
        <f>IF(F649&gt;68,G649+(F649-68)*0.2,Y672-(68-F649)*0.2)</f>
        <v>14.080000000000002</v>
      </c>
      <c r="I649" s="44">
        <v>23</v>
      </c>
      <c r="J649" s="44">
        <f>1.8*I649+32</f>
        <v>73.400000000000006</v>
      </c>
      <c r="K649" s="45">
        <v>6</v>
      </c>
      <c r="L649" s="44">
        <f>IF(J649&gt;68,K649+(J649-68)*0.2,K649-(68-J649)*0.2)</f>
        <v>7.080000000000001</v>
      </c>
      <c r="M649" s="43">
        <f>(C649-H649)/C649*100</f>
        <v>71.84</v>
      </c>
      <c r="N649" s="43">
        <f>100-(M649+O649)</f>
        <v>14</v>
      </c>
      <c r="O649" s="43">
        <f>L649/C649*100</f>
        <v>14.160000000000004</v>
      </c>
      <c r="P649" s="42" t="s">
        <v>0</v>
      </c>
      <c r="Q649" s="41">
        <v>407376.14500000002</v>
      </c>
      <c r="R649" s="41">
        <v>3659883.898</v>
      </c>
    </row>
    <row r="650" spans="1:18" x14ac:dyDescent="0.25">
      <c r="A650" s="49">
        <v>2439</v>
      </c>
      <c r="B650" s="48" t="s">
        <v>841</v>
      </c>
      <c r="C650" s="47">
        <v>50</v>
      </c>
      <c r="D650" s="46">
        <v>20</v>
      </c>
      <c r="E650" s="44">
        <v>23</v>
      </c>
      <c r="F650" s="44">
        <f>1.8*E650+32</f>
        <v>73.400000000000006</v>
      </c>
      <c r="G650" s="45">
        <v>15</v>
      </c>
      <c r="H650" s="44">
        <f>IF(F650&gt;68,G650+(F650-68)*0.2,Y673-(68-F650)*0.2)</f>
        <v>16.080000000000002</v>
      </c>
      <c r="I650" s="44">
        <v>23</v>
      </c>
      <c r="J650" s="44">
        <f>1.8*I650+32</f>
        <v>73.400000000000006</v>
      </c>
      <c r="K650" s="45">
        <v>6</v>
      </c>
      <c r="L650" s="44">
        <f>IF(J650&gt;68,K650+(J650-68)*0.2,K650-(68-J650)*0.2)</f>
        <v>7.080000000000001</v>
      </c>
      <c r="M650" s="43">
        <f>(C650-H650)/C650*100</f>
        <v>67.84</v>
      </c>
      <c r="N650" s="43">
        <f>100-(M650+O650)</f>
        <v>18</v>
      </c>
      <c r="O650" s="43">
        <f>L650/C650*100</f>
        <v>14.160000000000004</v>
      </c>
      <c r="P650" s="42" t="s">
        <v>0</v>
      </c>
      <c r="Q650" s="41">
        <v>407376.14500000002</v>
      </c>
      <c r="R650" s="41">
        <v>3659883.898</v>
      </c>
    </row>
    <row r="651" spans="1:18" x14ac:dyDescent="0.25">
      <c r="A651" s="49">
        <v>2439</v>
      </c>
      <c r="B651" s="48" t="s">
        <v>839</v>
      </c>
      <c r="C651" s="47">
        <v>50</v>
      </c>
      <c r="D651" s="46">
        <v>20</v>
      </c>
      <c r="E651" s="44">
        <v>23</v>
      </c>
      <c r="F651" s="44">
        <f>1.8*E651+32</f>
        <v>73.400000000000006</v>
      </c>
      <c r="G651" s="45">
        <v>13</v>
      </c>
      <c r="H651" s="44">
        <f>IF(F651&gt;68,G651+(F651-68)*0.2,Y674-(68-F651)*0.2)</f>
        <v>14.080000000000002</v>
      </c>
      <c r="I651" s="44">
        <v>23</v>
      </c>
      <c r="J651" s="44">
        <f>1.8*I651+32</f>
        <v>73.400000000000006</v>
      </c>
      <c r="K651" s="45">
        <v>5</v>
      </c>
      <c r="L651" s="44">
        <f>IF(J651&gt;68,K651+(J651-68)*0.2,K651-(68-J651)*0.2)</f>
        <v>6.080000000000001</v>
      </c>
      <c r="M651" s="43">
        <f>(C651-H651)/C651*100</f>
        <v>71.84</v>
      </c>
      <c r="N651" s="43">
        <f>100-(M651+O651)</f>
        <v>16</v>
      </c>
      <c r="O651" s="43">
        <f>L651/C651*100</f>
        <v>12.160000000000002</v>
      </c>
      <c r="P651" s="42" t="s">
        <v>0</v>
      </c>
      <c r="Q651" s="41">
        <v>407376.14500000002</v>
      </c>
      <c r="R651" s="41">
        <v>3659883.898</v>
      </c>
    </row>
    <row r="652" spans="1:18" x14ac:dyDescent="0.25">
      <c r="A652" s="61"/>
      <c r="B652" s="58"/>
      <c r="C652" s="58"/>
      <c r="D652" s="58"/>
      <c r="E652" s="58"/>
      <c r="F652" s="58"/>
      <c r="G652" s="60"/>
      <c r="H652" s="58"/>
      <c r="I652" s="58"/>
      <c r="J652" s="58"/>
      <c r="K652" s="60"/>
      <c r="L652" s="58"/>
      <c r="M652" s="59"/>
      <c r="N652" s="59"/>
      <c r="O652" s="59"/>
      <c r="P652" s="58"/>
    </row>
    <row r="653" spans="1:18" x14ac:dyDescent="0.25">
      <c r="A653" s="57"/>
      <c r="B653" s="56"/>
      <c r="C653" s="55"/>
      <c r="D653" s="54"/>
      <c r="E653" s="52"/>
      <c r="F653" s="52"/>
      <c r="G653" s="53"/>
      <c r="H653" s="52"/>
      <c r="I653" s="52"/>
      <c r="J653" s="52"/>
      <c r="K653" s="53"/>
      <c r="L653" s="52"/>
      <c r="M653" s="51"/>
      <c r="N653" s="51"/>
      <c r="O653" s="51"/>
      <c r="P653" s="50"/>
      <c r="Q653" s="5" t="s">
        <v>4</v>
      </c>
      <c r="R653" s="5" t="s">
        <v>3</v>
      </c>
    </row>
    <row r="654" spans="1:18" x14ac:dyDescent="0.25">
      <c r="A654" s="49" t="s">
        <v>849</v>
      </c>
      <c r="B654" s="48" t="s">
        <v>845</v>
      </c>
      <c r="C654" s="47">
        <v>50</v>
      </c>
      <c r="D654" s="46">
        <v>20</v>
      </c>
      <c r="E654" s="44">
        <v>23</v>
      </c>
      <c r="F654" s="44">
        <f>1.8*E654+32</f>
        <v>73.400000000000006</v>
      </c>
      <c r="G654" s="45">
        <v>30</v>
      </c>
      <c r="H654" s="44">
        <f>IF(F654&gt;68,G654+(F654-68)*0.2,#REF!-(68-F654)*0.2)</f>
        <v>31.080000000000002</v>
      </c>
      <c r="I654" s="44">
        <v>23</v>
      </c>
      <c r="J654" s="44">
        <f>1.8*I654+32</f>
        <v>73.400000000000006</v>
      </c>
      <c r="K654" s="45">
        <v>16</v>
      </c>
      <c r="L654" s="44">
        <f>IF(J654&gt;68,K654+(J654-68)*0.2,K654-(68-J654)*0.2)</f>
        <v>17.080000000000002</v>
      </c>
      <c r="M654" s="43">
        <f>(C654-H654)/C654*100</f>
        <v>37.839999999999996</v>
      </c>
      <c r="N654" s="43">
        <f>100-(M654+O654)</f>
        <v>28</v>
      </c>
      <c r="O654" s="43">
        <f>L654/C654*100</f>
        <v>34.160000000000004</v>
      </c>
      <c r="P654" s="42" t="s">
        <v>22</v>
      </c>
      <c r="Q654" s="41">
        <v>407376.14500000002</v>
      </c>
      <c r="R654" s="41">
        <v>3659883.898</v>
      </c>
    </row>
    <row r="655" spans="1:18" x14ac:dyDescent="0.25">
      <c r="A655" s="49" t="s">
        <v>849</v>
      </c>
      <c r="B655" s="48" t="s">
        <v>844</v>
      </c>
      <c r="C655" s="47">
        <v>50</v>
      </c>
      <c r="D655" s="46">
        <v>20</v>
      </c>
      <c r="E655" s="44">
        <v>23</v>
      </c>
      <c r="F655" s="44">
        <f>1.8*E655+32</f>
        <v>73.400000000000006</v>
      </c>
      <c r="G655" s="45">
        <v>30</v>
      </c>
      <c r="H655" s="44">
        <f>IF(F655&gt;68,G655+(F655-68)*0.2,Y678-(68-F655)*0.2)</f>
        <v>31.080000000000002</v>
      </c>
      <c r="I655" s="44">
        <v>23</v>
      </c>
      <c r="J655" s="44">
        <f>1.8*I655+32</f>
        <v>73.400000000000006</v>
      </c>
      <c r="K655" s="45">
        <v>17</v>
      </c>
      <c r="L655" s="44">
        <f>IF(J655&gt;68,K655+(J655-68)*0.2,K655-(68-J655)*0.2)</f>
        <v>18.080000000000002</v>
      </c>
      <c r="M655" s="43">
        <f>(C655-H655)/C655*100</f>
        <v>37.839999999999996</v>
      </c>
      <c r="N655" s="43">
        <f>100-(M655+O655)</f>
        <v>26</v>
      </c>
      <c r="O655" s="43">
        <f>L655/C655*100</f>
        <v>36.160000000000004</v>
      </c>
      <c r="P655" s="42" t="s">
        <v>22</v>
      </c>
      <c r="Q655" s="41">
        <v>407376.14500000002</v>
      </c>
      <c r="R655" s="41">
        <v>3659883.898</v>
      </c>
    </row>
    <row r="656" spans="1:18" x14ac:dyDescent="0.25">
      <c r="A656" s="49" t="s">
        <v>849</v>
      </c>
      <c r="B656" s="48" t="s">
        <v>843</v>
      </c>
      <c r="C656" s="47">
        <v>50</v>
      </c>
      <c r="D656" s="46">
        <v>20</v>
      </c>
      <c r="E656" s="44">
        <v>23</v>
      </c>
      <c r="F656" s="44">
        <f>1.8*E656+32</f>
        <v>73.400000000000006</v>
      </c>
      <c r="G656" s="45">
        <v>15</v>
      </c>
      <c r="H656" s="44">
        <f>IF(F656&gt;68,G656+(F656-68)*0.2,Y679-(68-F656)*0.2)</f>
        <v>16.080000000000002</v>
      </c>
      <c r="I656" s="44">
        <v>23</v>
      </c>
      <c r="J656" s="44">
        <f>1.8*I656+32</f>
        <v>73.400000000000006</v>
      </c>
      <c r="K656" s="45">
        <v>7</v>
      </c>
      <c r="L656" s="44">
        <f>IF(J656&gt;68,K656+(J656-68)*0.2,K656-(68-J656)*0.2)</f>
        <v>8.0800000000000018</v>
      </c>
      <c r="M656" s="43">
        <f>(C656-H656)/C656*100</f>
        <v>67.84</v>
      </c>
      <c r="N656" s="43">
        <f>100-(M656+O656)</f>
        <v>16</v>
      </c>
      <c r="O656" s="43">
        <f>L656/C656*100</f>
        <v>16.160000000000004</v>
      </c>
      <c r="P656" s="42" t="s">
        <v>0</v>
      </c>
      <c r="Q656" s="41">
        <v>407376.14500000002</v>
      </c>
      <c r="R656" s="41">
        <v>3659883.898</v>
      </c>
    </row>
    <row r="657" spans="1:18" x14ac:dyDescent="0.25">
      <c r="A657" s="49" t="s">
        <v>849</v>
      </c>
      <c r="B657" s="48" t="s">
        <v>842</v>
      </c>
      <c r="C657" s="47">
        <v>50</v>
      </c>
      <c r="D657" s="46">
        <v>20</v>
      </c>
      <c r="E657" s="44">
        <v>23</v>
      </c>
      <c r="F657" s="44">
        <f>1.8*E657+32</f>
        <v>73.400000000000006</v>
      </c>
      <c r="G657" s="45">
        <v>12</v>
      </c>
      <c r="H657" s="44">
        <f>IF(F657&gt;68,G657+(F657-68)*0.2,Y680-(68-F657)*0.2)</f>
        <v>13.080000000000002</v>
      </c>
      <c r="I657" s="44">
        <v>23</v>
      </c>
      <c r="J657" s="44">
        <f>1.8*I657+32</f>
        <v>73.400000000000006</v>
      </c>
      <c r="K657" s="45">
        <v>5</v>
      </c>
      <c r="L657" s="44">
        <f>IF(J657&gt;68,K657+(J657-68)*0.2,K657-(68-J657)*0.2)</f>
        <v>6.080000000000001</v>
      </c>
      <c r="M657" s="43">
        <f>(C657-H657)/C657*100</f>
        <v>73.84</v>
      </c>
      <c r="N657" s="43">
        <f>100-(M657+O657)</f>
        <v>14</v>
      </c>
      <c r="O657" s="43">
        <f>L657/C657*100</f>
        <v>12.160000000000002</v>
      </c>
      <c r="P657" s="42" t="s">
        <v>0</v>
      </c>
      <c r="Q657" s="41">
        <v>407376.14500000002</v>
      </c>
      <c r="R657" s="41">
        <v>3659883.898</v>
      </c>
    </row>
    <row r="658" spans="1:18" x14ac:dyDescent="0.25">
      <c r="A658" s="49" t="s">
        <v>849</v>
      </c>
      <c r="B658" s="48" t="s">
        <v>841</v>
      </c>
      <c r="C658" s="47">
        <v>50</v>
      </c>
      <c r="D658" s="46">
        <v>20</v>
      </c>
      <c r="E658" s="44">
        <v>23</v>
      </c>
      <c r="F658" s="44">
        <f>1.8*E658+32</f>
        <v>73.400000000000006</v>
      </c>
      <c r="G658" s="45">
        <v>16</v>
      </c>
      <c r="H658" s="44">
        <f>IF(F658&gt;68,G658+(F658-68)*0.2,Y681-(68-F658)*0.2)</f>
        <v>17.080000000000002</v>
      </c>
      <c r="I658" s="44">
        <v>23</v>
      </c>
      <c r="J658" s="44">
        <f>1.8*I658+32</f>
        <v>73.400000000000006</v>
      </c>
      <c r="K658" s="45">
        <v>8</v>
      </c>
      <c r="L658" s="44">
        <f>IF(J658&gt;68,K658+(J658-68)*0.2,K658-(68-J658)*0.2)</f>
        <v>9.0800000000000018</v>
      </c>
      <c r="M658" s="43">
        <f>(C658-H658)/C658*100</f>
        <v>65.84</v>
      </c>
      <c r="N658" s="43">
        <f>100-(M658+O658)</f>
        <v>16</v>
      </c>
      <c r="O658" s="43">
        <f>L658/C658*100</f>
        <v>18.160000000000004</v>
      </c>
      <c r="P658" s="42" t="s">
        <v>0</v>
      </c>
      <c r="Q658" s="41">
        <v>407376.14500000002</v>
      </c>
      <c r="R658" s="41">
        <v>3659883.898</v>
      </c>
    </row>
    <row r="659" spans="1:18" x14ac:dyDescent="0.25">
      <c r="A659" s="49" t="s">
        <v>849</v>
      </c>
      <c r="B659" s="48" t="s">
        <v>839</v>
      </c>
      <c r="C659" s="47">
        <v>50</v>
      </c>
      <c r="D659" s="46">
        <v>20</v>
      </c>
      <c r="E659" s="44">
        <v>23</v>
      </c>
      <c r="F659" s="44">
        <f>1.8*E659+32</f>
        <v>73.400000000000006</v>
      </c>
      <c r="G659" s="45">
        <v>16</v>
      </c>
      <c r="H659" s="44">
        <f>IF(F659&gt;68,G659+(F659-68)*0.2,Y682-(68-F659)*0.2)</f>
        <v>17.080000000000002</v>
      </c>
      <c r="I659" s="44">
        <v>23</v>
      </c>
      <c r="J659" s="44">
        <f>1.8*I659+32</f>
        <v>73.400000000000006</v>
      </c>
      <c r="K659" s="45">
        <v>7</v>
      </c>
      <c r="L659" s="44">
        <f>IF(J659&gt;68,K659+(J659-68)*0.2,K659-(68-J659)*0.2)</f>
        <v>8.0800000000000018</v>
      </c>
      <c r="M659" s="43">
        <f>(C659-H659)/C659*100</f>
        <v>65.84</v>
      </c>
      <c r="N659" s="43">
        <f>100-(M659+O659)</f>
        <v>18</v>
      </c>
      <c r="O659" s="43">
        <f>L659/C659*100</f>
        <v>16.160000000000004</v>
      </c>
      <c r="P659" s="42" t="s">
        <v>0</v>
      </c>
      <c r="Q659" s="41">
        <v>407376.14500000002</v>
      </c>
      <c r="R659" s="41">
        <v>3659883.898</v>
      </c>
    </row>
    <row r="660" spans="1:18" x14ac:dyDescent="0.25">
      <c r="A660" s="61"/>
      <c r="B660" s="58"/>
      <c r="C660" s="58"/>
      <c r="D660" s="58"/>
      <c r="E660" s="58"/>
      <c r="F660" s="58"/>
      <c r="G660" s="60"/>
      <c r="H660" s="58"/>
      <c r="I660" s="58"/>
      <c r="J660" s="58"/>
      <c r="K660" s="60"/>
      <c r="L660" s="58"/>
      <c r="M660" s="59"/>
      <c r="N660" s="59"/>
      <c r="O660" s="59"/>
      <c r="P660" s="58"/>
    </row>
    <row r="661" spans="1:18" x14ac:dyDescent="0.25">
      <c r="A661" s="57"/>
      <c r="B661" s="56"/>
      <c r="C661" s="55"/>
      <c r="D661" s="54"/>
      <c r="E661" s="52"/>
      <c r="F661" s="52"/>
      <c r="G661" s="53"/>
      <c r="H661" s="52"/>
      <c r="I661" s="52"/>
      <c r="J661" s="52"/>
      <c r="K661" s="53"/>
      <c r="L661" s="52"/>
      <c r="M661" s="51"/>
      <c r="N661" s="51"/>
      <c r="O661" s="51"/>
      <c r="P661" s="50"/>
      <c r="Q661" s="5" t="s">
        <v>4</v>
      </c>
      <c r="R661" s="5" t="s">
        <v>3</v>
      </c>
    </row>
    <row r="662" spans="1:18" x14ac:dyDescent="0.25">
      <c r="A662" s="49">
        <v>2445</v>
      </c>
      <c r="B662" s="48" t="s">
        <v>845</v>
      </c>
      <c r="C662" s="47">
        <v>50</v>
      </c>
      <c r="D662" s="46">
        <v>20</v>
      </c>
      <c r="E662" s="44">
        <v>23</v>
      </c>
      <c r="F662" s="44">
        <f>1.8*E662+32</f>
        <v>73.400000000000006</v>
      </c>
      <c r="G662" s="45">
        <v>30</v>
      </c>
      <c r="H662" s="44">
        <f>IF(F662&gt;68,G662+(F662-68)*0.2,#REF!-(68-F662)*0.2)</f>
        <v>31.080000000000002</v>
      </c>
      <c r="I662" s="44">
        <v>23</v>
      </c>
      <c r="J662" s="44">
        <f>1.8*I662+32</f>
        <v>73.400000000000006</v>
      </c>
      <c r="K662" s="45">
        <v>16</v>
      </c>
      <c r="L662" s="44">
        <f>IF(J662&gt;68,K662+(J662-68)*0.2,K662-(68-J662)*0.2)</f>
        <v>17.080000000000002</v>
      </c>
      <c r="M662" s="43">
        <f>(C662-H662)/C662*100</f>
        <v>37.839999999999996</v>
      </c>
      <c r="N662" s="43">
        <f>100-(M662+O662)</f>
        <v>28</v>
      </c>
      <c r="O662" s="43">
        <f>L662/C662*100</f>
        <v>34.160000000000004</v>
      </c>
      <c r="P662" s="42" t="s">
        <v>22</v>
      </c>
      <c r="Q662" s="41">
        <v>407376.53499999997</v>
      </c>
      <c r="R662" s="41">
        <v>3659905.0320000001</v>
      </c>
    </row>
    <row r="663" spans="1:18" x14ac:dyDescent="0.25">
      <c r="A663" s="49">
        <v>2445</v>
      </c>
      <c r="B663" s="48" t="s">
        <v>844</v>
      </c>
      <c r="C663" s="47">
        <v>50</v>
      </c>
      <c r="D663" s="46">
        <v>20</v>
      </c>
      <c r="E663" s="44">
        <v>23</v>
      </c>
      <c r="F663" s="44">
        <f>1.8*E663+32</f>
        <v>73.400000000000006</v>
      </c>
      <c r="G663" s="45">
        <v>22</v>
      </c>
      <c r="H663" s="44">
        <f>IF(F663&gt;68,G663+(F663-68)*0.2,Y686-(68-F663)*0.2)</f>
        <v>23.080000000000002</v>
      </c>
      <c r="I663" s="44">
        <v>23</v>
      </c>
      <c r="J663" s="44">
        <f>1.8*I663+32</f>
        <v>73.400000000000006</v>
      </c>
      <c r="K663" s="45">
        <v>12</v>
      </c>
      <c r="L663" s="44">
        <f>IF(J663&gt;68,K663+(J663-68)*0.2,K663-(68-J663)*0.2)</f>
        <v>13.080000000000002</v>
      </c>
      <c r="M663" s="43">
        <f>(C663-H663)/C663*100</f>
        <v>53.839999999999996</v>
      </c>
      <c r="N663" s="43">
        <f>100-(M663+O663)</f>
        <v>20</v>
      </c>
      <c r="O663" s="43">
        <f>L663/C663*100</f>
        <v>26.160000000000004</v>
      </c>
      <c r="P663" s="42" t="s">
        <v>2</v>
      </c>
      <c r="Q663" s="41">
        <v>407376.53499999997</v>
      </c>
      <c r="R663" s="41">
        <v>3659905.0320000001</v>
      </c>
    </row>
    <row r="664" spans="1:18" x14ac:dyDescent="0.25">
      <c r="A664" s="49">
        <v>2445</v>
      </c>
      <c r="B664" s="48" t="s">
        <v>843</v>
      </c>
      <c r="C664" s="47">
        <v>50</v>
      </c>
      <c r="D664" s="46">
        <v>20</v>
      </c>
      <c r="E664" s="44">
        <v>23</v>
      </c>
      <c r="F664" s="44">
        <f>1.8*E664+32</f>
        <v>73.400000000000006</v>
      </c>
      <c r="G664" s="45">
        <v>12</v>
      </c>
      <c r="H664" s="44">
        <f>IF(F664&gt;68,G664+(F664-68)*0.2,Y687-(68-F664)*0.2)</f>
        <v>13.080000000000002</v>
      </c>
      <c r="I664" s="44">
        <v>23</v>
      </c>
      <c r="J664" s="44">
        <f>1.8*I664+32</f>
        <v>73.400000000000006</v>
      </c>
      <c r="K664" s="45">
        <v>6</v>
      </c>
      <c r="L664" s="44">
        <f>IF(J664&gt;68,K664+(J664-68)*0.2,K664-(68-J664)*0.2)</f>
        <v>7.080000000000001</v>
      </c>
      <c r="M664" s="43">
        <f>(C664-H664)/C664*100</f>
        <v>73.84</v>
      </c>
      <c r="N664" s="43">
        <f>100-(M664+O664)</f>
        <v>12</v>
      </c>
      <c r="O664" s="43">
        <f>L664/C664*100</f>
        <v>14.160000000000004</v>
      </c>
      <c r="P664" s="42" t="s">
        <v>0</v>
      </c>
      <c r="Q664" s="41">
        <v>407376.53499999997</v>
      </c>
      <c r="R664" s="41">
        <v>3659905.0320000001</v>
      </c>
    </row>
    <row r="665" spans="1:18" x14ac:dyDescent="0.25">
      <c r="A665" s="49">
        <v>2445</v>
      </c>
      <c r="B665" s="48" t="s">
        <v>842</v>
      </c>
      <c r="C665" s="47">
        <v>50</v>
      </c>
      <c r="D665" s="46">
        <v>20</v>
      </c>
      <c r="E665" s="44">
        <v>23</v>
      </c>
      <c r="F665" s="44">
        <f>1.8*E665+32</f>
        <v>73.400000000000006</v>
      </c>
      <c r="G665" s="45">
        <v>15</v>
      </c>
      <c r="H665" s="44">
        <f>IF(F665&gt;68,G665+(F665-68)*0.2,Y688-(68-F665)*0.2)</f>
        <v>16.080000000000002</v>
      </c>
      <c r="I665" s="44">
        <v>23</v>
      </c>
      <c r="J665" s="44">
        <f>1.8*I665+32</f>
        <v>73.400000000000006</v>
      </c>
      <c r="K665" s="45">
        <v>7</v>
      </c>
      <c r="L665" s="44">
        <f>IF(J665&gt;68,K665+(J665-68)*0.2,K665-(68-J665)*0.2)</f>
        <v>8.0800000000000018</v>
      </c>
      <c r="M665" s="43">
        <f>(C665-H665)/C665*100</f>
        <v>67.84</v>
      </c>
      <c r="N665" s="43">
        <f>100-(M665+O665)</f>
        <v>16</v>
      </c>
      <c r="O665" s="43">
        <f>L665/C665*100</f>
        <v>16.160000000000004</v>
      </c>
      <c r="P665" s="42" t="s">
        <v>0</v>
      </c>
      <c r="Q665" s="41">
        <v>407376.53499999997</v>
      </c>
      <c r="R665" s="41">
        <v>3659905.0320000001</v>
      </c>
    </row>
    <row r="666" spans="1:18" x14ac:dyDescent="0.25">
      <c r="A666" s="49">
        <v>2445</v>
      </c>
      <c r="B666" s="48" t="s">
        <v>841</v>
      </c>
      <c r="C666" s="47">
        <v>50</v>
      </c>
      <c r="D666" s="46">
        <v>20</v>
      </c>
      <c r="E666" s="44">
        <v>23</v>
      </c>
      <c r="F666" s="44">
        <f>1.8*E666+32</f>
        <v>73.400000000000006</v>
      </c>
      <c r="G666" s="45">
        <v>12</v>
      </c>
      <c r="H666" s="44">
        <f>IF(F666&gt;68,G666+(F666-68)*0.2,Y689-(68-F666)*0.2)</f>
        <v>13.080000000000002</v>
      </c>
      <c r="I666" s="44">
        <v>23</v>
      </c>
      <c r="J666" s="44">
        <f>1.8*I666+32</f>
        <v>73.400000000000006</v>
      </c>
      <c r="K666" s="45">
        <v>6</v>
      </c>
      <c r="L666" s="44">
        <f>IF(J666&gt;68,K666+(J666-68)*0.2,K666-(68-J666)*0.2)</f>
        <v>7.080000000000001</v>
      </c>
      <c r="M666" s="43">
        <f>(C666-H666)/C666*100</f>
        <v>73.84</v>
      </c>
      <c r="N666" s="43">
        <f>100-(M666+O666)</f>
        <v>12</v>
      </c>
      <c r="O666" s="43">
        <f>L666/C666*100</f>
        <v>14.160000000000004</v>
      </c>
      <c r="P666" s="42" t="s">
        <v>0</v>
      </c>
      <c r="Q666" s="41">
        <v>407376.53499999997</v>
      </c>
      <c r="R666" s="41">
        <v>3659905.0320000001</v>
      </c>
    </row>
    <row r="667" spans="1:18" x14ac:dyDescent="0.25">
      <c r="A667" s="49">
        <v>2445</v>
      </c>
      <c r="B667" s="48" t="s">
        <v>839</v>
      </c>
      <c r="C667" s="47">
        <v>50</v>
      </c>
      <c r="D667" s="46">
        <v>20</v>
      </c>
      <c r="E667" s="44">
        <v>23</v>
      </c>
      <c r="F667" s="44">
        <f>1.8*E667+32</f>
        <v>73.400000000000006</v>
      </c>
      <c r="G667" s="45">
        <v>12</v>
      </c>
      <c r="H667" s="44">
        <f>IF(F667&gt;68,G667+(F667-68)*0.2,Y690-(68-F667)*0.2)</f>
        <v>13.080000000000002</v>
      </c>
      <c r="I667" s="44">
        <v>23</v>
      </c>
      <c r="J667" s="44">
        <f>1.8*I667+32</f>
        <v>73.400000000000006</v>
      </c>
      <c r="K667" s="45">
        <v>6</v>
      </c>
      <c r="L667" s="44">
        <f>IF(J667&gt;68,K667+(J667-68)*0.2,K667-(68-J667)*0.2)</f>
        <v>7.080000000000001</v>
      </c>
      <c r="M667" s="43">
        <f>(C667-H667)/C667*100</f>
        <v>73.84</v>
      </c>
      <c r="N667" s="43">
        <f>100-(M667+O667)</f>
        <v>12</v>
      </c>
      <c r="O667" s="43">
        <f>L667/C667*100</f>
        <v>14.160000000000004</v>
      </c>
      <c r="P667" s="42" t="s">
        <v>0</v>
      </c>
      <c r="Q667" s="41">
        <v>407376.53499999997</v>
      </c>
      <c r="R667" s="41">
        <v>3659905.0320000001</v>
      </c>
    </row>
    <row r="668" spans="1:18" x14ac:dyDescent="0.25">
      <c r="A668" s="61"/>
      <c r="B668" s="58"/>
      <c r="C668" s="58"/>
      <c r="D668" s="58"/>
      <c r="E668" s="58"/>
      <c r="F668" s="58"/>
      <c r="G668" s="60"/>
      <c r="H668" s="58"/>
      <c r="I668" s="58"/>
      <c r="J668" s="58"/>
      <c r="K668" s="60"/>
      <c r="L668" s="58"/>
      <c r="M668" s="59"/>
      <c r="N668" s="59"/>
      <c r="O668" s="59"/>
      <c r="P668" s="58"/>
    </row>
    <row r="669" spans="1:18" x14ac:dyDescent="0.25">
      <c r="A669" s="57"/>
      <c r="B669" s="56"/>
      <c r="C669" s="55"/>
      <c r="D669" s="54"/>
      <c r="E669" s="52"/>
      <c r="F669" s="52"/>
      <c r="G669" s="53"/>
      <c r="H669" s="52"/>
      <c r="I669" s="52"/>
      <c r="J669" s="52"/>
      <c r="K669" s="53"/>
      <c r="L669" s="52"/>
      <c r="M669" s="51"/>
      <c r="N669" s="51"/>
      <c r="O669" s="51"/>
      <c r="P669" s="50"/>
      <c r="Q669" s="5" t="s">
        <v>4</v>
      </c>
      <c r="R669" s="5" t="s">
        <v>3</v>
      </c>
    </row>
    <row r="670" spans="1:18" x14ac:dyDescent="0.25">
      <c r="A670" s="49">
        <v>2454</v>
      </c>
      <c r="B670" s="48" t="s">
        <v>845</v>
      </c>
      <c r="C670" s="47">
        <v>50</v>
      </c>
      <c r="D670" s="46">
        <v>20</v>
      </c>
      <c r="E670" s="44">
        <v>23</v>
      </c>
      <c r="F670" s="44">
        <f>1.8*E670+32</f>
        <v>73.400000000000006</v>
      </c>
      <c r="G670" s="45">
        <v>27</v>
      </c>
      <c r="H670" s="44">
        <f>IF(F670&gt;68,G670+(F670-68)*0.2,#REF!-(68-F670)*0.2)</f>
        <v>28.080000000000002</v>
      </c>
      <c r="I670" s="44">
        <v>23</v>
      </c>
      <c r="J670" s="44">
        <f>1.8*I670+32</f>
        <v>73.400000000000006</v>
      </c>
      <c r="K670" s="45">
        <v>17</v>
      </c>
      <c r="L670" s="44">
        <f>IF(J670&gt;68,K670+(J670-68)*0.2,K670-(68-J670)*0.2)</f>
        <v>18.080000000000002</v>
      </c>
      <c r="M670" s="43">
        <f>(C670-H670)/C670*100</f>
        <v>43.839999999999996</v>
      </c>
      <c r="N670" s="43">
        <f>100-(M670+O670)</f>
        <v>20</v>
      </c>
      <c r="O670" s="43">
        <f>L670/C670*100</f>
        <v>36.160000000000004</v>
      </c>
      <c r="P670" s="42" t="s">
        <v>847</v>
      </c>
      <c r="Q670" s="41">
        <v>407377.34700000001</v>
      </c>
      <c r="R670" s="41">
        <v>3659938.2170000002</v>
      </c>
    </row>
    <row r="671" spans="1:18" x14ac:dyDescent="0.25">
      <c r="A671" s="49">
        <v>2454</v>
      </c>
      <c r="B671" s="48" t="s">
        <v>844</v>
      </c>
      <c r="C671" s="47">
        <v>50</v>
      </c>
      <c r="D671" s="46">
        <v>20</v>
      </c>
      <c r="E671" s="44">
        <v>23</v>
      </c>
      <c r="F671" s="44">
        <f>1.8*E671+32</f>
        <v>73.400000000000006</v>
      </c>
      <c r="G671" s="45">
        <v>28</v>
      </c>
      <c r="H671" s="44">
        <f>IF(F671&gt;68,G671+(F671-68)*0.2,Y694-(68-F671)*0.2)</f>
        <v>29.080000000000002</v>
      </c>
      <c r="I671" s="44">
        <v>23</v>
      </c>
      <c r="J671" s="44">
        <f>1.8*I671+32</f>
        <v>73.400000000000006</v>
      </c>
      <c r="K671" s="45">
        <v>18</v>
      </c>
      <c r="L671" s="44">
        <f>IF(J671&gt;68,K671+(J671-68)*0.2,K671-(68-J671)*0.2)</f>
        <v>19.080000000000002</v>
      </c>
      <c r="M671" s="43">
        <f>(C671-H671)/C671*100</f>
        <v>41.839999999999996</v>
      </c>
      <c r="N671" s="43">
        <f>100-(M671+O671)</f>
        <v>20</v>
      </c>
      <c r="O671" s="43">
        <f>L671/C671*100</f>
        <v>38.160000000000004</v>
      </c>
      <c r="P671" s="42" t="s">
        <v>22</v>
      </c>
      <c r="Q671" s="41">
        <v>407377.34700000001</v>
      </c>
      <c r="R671" s="41">
        <v>3659938.2170000002</v>
      </c>
    </row>
    <row r="672" spans="1:18" x14ac:dyDescent="0.25">
      <c r="A672" s="49">
        <v>2454</v>
      </c>
      <c r="B672" s="48" t="s">
        <v>843</v>
      </c>
      <c r="C672" s="47">
        <v>50</v>
      </c>
      <c r="D672" s="46">
        <v>20</v>
      </c>
      <c r="E672" s="44">
        <v>23</v>
      </c>
      <c r="F672" s="44">
        <f>1.8*E672+32</f>
        <v>73.400000000000006</v>
      </c>
      <c r="G672" s="45">
        <v>17</v>
      </c>
      <c r="H672" s="44">
        <f>IF(F672&gt;68,G672+(F672-68)*0.2,Y695-(68-F672)*0.2)</f>
        <v>18.080000000000002</v>
      </c>
      <c r="I672" s="44">
        <v>23</v>
      </c>
      <c r="J672" s="44">
        <f>1.8*I672+32</f>
        <v>73.400000000000006</v>
      </c>
      <c r="K672" s="45">
        <v>9</v>
      </c>
      <c r="L672" s="44">
        <f>IF(J672&gt;68,K672+(J672-68)*0.2,K672-(68-J672)*0.2)</f>
        <v>10.080000000000002</v>
      </c>
      <c r="M672" s="43">
        <f>(C672-H672)/C672*100</f>
        <v>63.839999999999996</v>
      </c>
      <c r="N672" s="43">
        <f>100-(M672+O672)</f>
        <v>16</v>
      </c>
      <c r="O672" s="43">
        <f>L672/C672*100</f>
        <v>20.160000000000004</v>
      </c>
      <c r="P672" s="42" t="s">
        <v>2</v>
      </c>
      <c r="Q672" s="41">
        <v>407377.34700000001</v>
      </c>
      <c r="R672" s="41">
        <v>3659938.2170000002</v>
      </c>
    </row>
    <row r="673" spans="1:18" x14ac:dyDescent="0.25">
      <c r="A673" s="49">
        <v>2454</v>
      </c>
      <c r="B673" s="48" t="s">
        <v>842</v>
      </c>
      <c r="C673" s="47">
        <v>50</v>
      </c>
      <c r="D673" s="46">
        <v>20</v>
      </c>
      <c r="E673" s="44">
        <v>23</v>
      </c>
      <c r="F673" s="44">
        <f>1.8*E673+32</f>
        <v>73.400000000000006</v>
      </c>
      <c r="G673" s="45">
        <v>17</v>
      </c>
      <c r="H673" s="44">
        <f>IF(F673&gt;68,G673+(F673-68)*0.2,Y696-(68-F673)*0.2)</f>
        <v>18.080000000000002</v>
      </c>
      <c r="I673" s="44">
        <v>23</v>
      </c>
      <c r="J673" s="44">
        <f>1.8*I673+32</f>
        <v>73.400000000000006</v>
      </c>
      <c r="K673" s="45">
        <v>8</v>
      </c>
      <c r="L673" s="44">
        <f>IF(J673&gt;68,K673+(J673-68)*0.2,K673-(68-J673)*0.2)</f>
        <v>9.0800000000000018</v>
      </c>
      <c r="M673" s="43">
        <f>(C673-H673)/C673*100</f>
        <v>63.839999999999996</v>
      </c>
      <c r="N673" s="43">
        <f>100-(M673+O673)</f>
        <v>18</v>
      </c>
      <c r="O673" s="43">
        <f>L673/C673*100</f>
        <v>18.160000000000004</v>
      </c>
      <c r="P673" s="42" t="s">
        <v>0</v>
      </c>
      <c r="Q673" s="41">
        <v>407377.34700000001</v>
      </c>
      <c r="R673" s="41">
        <v>3659938.2170000002</v>
      </c>
    </row>
    <row r="674" spans="1:18" x14ac:dyDescent="0.25">
      <c r="A674" s="49">
        <v>2454</v>
      </c>
      <c r="B674" s="48" t="s">
        <v>841</v>
      </c>
      <c r="C674" s="47">
        <v>50</v>
      </c>
      <c r="D674" s="46">
        <v>20</v>
      </c>
      <c r="E674" s="44">
        <v>23</v>
      </c>
      <c r="F674" s="44">
        <f>1.8*E674+32</f>
        <v>73.400000000000006</v>
      </c>
      <c r="G674" s="45">
        <v>20</v>
      </c>
      <c r="H674" s="44">
        <f>IF(F674&gt;68,G674+(F674-68)*0.2,Y697-(68-F674)*0.2)</f>
        <v>21.080000000000002</v>
      </c>
      <c r="I674" s="44">
        <v>23</v>
      </c>
      <c r="J674" s="44">
        <f>1.8*I674+32</f>
        <v>73.400000000000006</v>
      </c>
      <c r="K674" s="45">
        <v>11</v>
      </c>
      <c r="L674" s="44">
        <f>IF(J674&gt;68,K674+(J674-68)*0.2,K674-(68-J674)*0.2)</f>
        <v>12.080000000000002</v>
      </c>
      <c r="M674" s="43">
        <f>(C674-H674)/C674*100</f>
        <v>57.839999999999989</v>
      </c>
      <c r="N674" s="43">
        <f>100-(M674+O674)</f>
        <v>18</v>
      </c>
      <c r="O674" s="43">
        <f>L674/C674*100</f>
        <v>24.160000000000004</v>
      </c>
      <c r="P674" s="42" t="s">
        <v>2</v>
      </c>
      <c r="Q674" s="41">
        <v>407377.34700000001</v>
      </c>
      <c r="R674" s="41">
        <v>3659938.2170000002</v>
      </c>
    </row>
    <row r="675" spans="1:18" x14ac:dyDescent="0.25">
      <c r="A675" s="49">
        <v>2454</v>
      </c>
      <c r="B675" s="48" t="s">
        <v>839</v>
      </c>
      <c r="C675" s="47">
        <v>50</v>
      </c>
      <c r="D675" s="46">
        <v>20</v>
      </c>
      <c r="E675" s="44">
        <v>23</v>
      </c>
      <c r="F675" s="44">
        <f>1.8*E675+32</f>
        <v>73.400000000000006</v>
      </c>
      <c r="G675" s="45">
        <v>15</v>
      </c>
      <c r="H675" s="44">
        <f>IF(F675&gt;68,G675+(F675-68)*0.2,Y698-(68-F675)*0.2)</f>
        <v>16.080000000000002</v>
      </c>
      <c r="I675" s="44">
        <v>23</v>
      </c>
      <c r="J675" s="44">
        <f>1.8*I675+32</f>
        <v>73.400000000000006</v>
      </c>
      <c r="K675" s="45">
        <v>5</v>
      </c>
      <c r="L675" s="44">
        <f>IF(J675&gt;68,K675+(J675-68)*0.2,K675-(68-J675)*0.2)</f>
        <v>6.080000000000001</v>
      </c>
      <c r="M675" s="43">
        <f>(C675-H675)/C675*100</f>
        <v>67.84</v>
      </c>
      <c r="N675" s="43">
        <f>100-(M675+O675)</f>
        <v>20</v>
      </c>
      <c r="O675" s="43">
        <f>L675/C675*100</f>
        <v>12.160000000000002</v>
      </c>
      <c r="P675" s="42" t="s">
        <v>0</v>
      </c>
      <c r="Q675" s="41">
        <v>407377.34700000001</v>
      </c>
      <c r="R675" s="41">
        <v>3659938.2170000002</v>
      </c>
    </row>
    <row r="676" spans="1:18" x14ac:dyDescent="0.25">
      <c r="A676" s="61"/>
      <c r="B676" s="58"/>
      <c r="C676" s="58"/>
      <c r="D676" s="58"/>
      <c r="E676" s="58"/>
      <c r="F676" s="58"/>
      <c r="G676" s="60"/>
      <c r="H676" s="58"/>
      <c r="I676" s="58"/>
      <c r="J676" s="58"/>
      <c r="K676" s="60"/>
      <c r="L676" s="58"/>
      <c r="M676" s="59"/>
      <c r="N676" s="59"/>
      <c r="O676" s="59"/>
      <c r="P676" s="58"/>
    </row>
    <row r="677" spans="1:18" x14ac:dyDescent="0.25">
      <c r="A677" s="57"/>
      <c r="B677" s="56"/>
      <c r="C677" s="55"/>
      <c r="D677" s="54"/>
      <c r="E677" s="52"/>
      <c r="F677" s="52"/>
      <c r="G677" s="53"/>
      <c r="H677" s="52"/>
      <c r="I677" s="52"/>
      <c r="J677" s="52"/>
      <c r="K677" s="53"/>
      <c r="L677" s="52"/>
      <c r="M677" s="51"/>
      <c r="N677" s="51"/>
      <c r="O677" s="51"/>
      <c r="P677" s="50"/>
      <c r="Q677" s="5" t="s">
        <v>4</v>
      </c>
      <c r="R677" s="5" t="s">
        <v>3</v>
      </c>
    </row>
    <row r="678" spans="1:18" x14ac:dyDescent="0.25">
      <c r="A678" s="49">
        <v>2467</v>
      </c>
      <c r="B678" s="48" t="s">
        <v>845</v>
      </c>
      <c r="C678" s="47">
        <v>50</v>
      </c>
      <c r="D678" s="46">
        <v>20</v>
      </c>
      <c r="E678" s="44">
        <v>22</v>
      </c>
      <c r="F678" s="44">
        <f>1.8*E678+32</f>
        <v>71.599999999999994</v>
      </c>
      <c r="G678" s="45">
        <v>23</v>
      </c>
      <c r="H678" s="44">
        <f>IF(F678&gt;68,G678+(F678-68)*0.2,#REF!-(68-F678)*0.2)</f>
        <v>23.72</v>
      </c>
      <c r="I678" s="44">
        <v>22</v>
      </c>
      <c r="J678" s="44">
        <f>1.8*I678+32</f>
        <v>71.599999999999994</v>
      </c>
      <c r="K678" s="45">
        <v>11</v>
      </c>
      <c r="L678" s="44">
        <f>IF(J678&gt;68,K678+(J678-68)*0.2,K678-(68-J678)*0.2)</f>
        <v>11.719999999999999</v>
      </c>
      <c r="M678" s="43">
        <f>(C678-H678)/C678*100</f>
        <v>52.560000000000009</v>
      </c>
      <c r="N678" s="43">
        <f>100-(M678+O678)</f>
        <v>24</v>
      </c>
      <c r="O678" s="43">
        <f>L678/C678*100</f>
        <v>23.439999999999998</v>
      </c>
      <c r="P678" s="42" t="s">
        <v>2</v>
      </c>
      <c r="Q678" s="62">
        <v>407378.04</v>
      </c>
      <c r="R678" s="41">
        <v>3659988.3590000002</v>
      </c>
    </row>
    <row r="679" spans="1:18" x14ac:dyDescent="0.25">
      <c r="A679" s="49">
        <v>2467</v>
      </c>
      <c r="B679" s="48" t="s">
        <v>844</v>
      </c>
      <c r="C679" s="47">
        <v>50</v>
      </c>
      <c r="D679" s="46">
        <v>20</v>
      </c>
      <c r="E679" s="44">
        <v>22</v>
      </c>
      <c r="F679" s="44">
        <f>1.8*E679+32</f>
        <v>71.599999999999994</v>
      </c>
      <c r="G679" s="45">
        <v>22</v>
      </c>
      <c r="H679" s="44">
        <f>IF(F679&gt;68,G679+(F679-68)*0.2,Y702-(68-F679)*0.2)</f>
        <v>22.72</v>
      </c>
      <c r="I679" s="44">
        <v>22</v>
      </c>
      <c r="J679" s="44">
        <f>1.8*I679+32</f>
        <v>71.599999999999994</v>
      </c>
      <c r="K679" s="45">
        <v>12</v>
      </c>
      <c r="L679" s="44">
        <f>IF(J679&gt;68,K679+(J679-68)*0.2,K679-(68-J679)*0.2)</f>
        <v>12.719999999999999</v>
      </c>
      <c r="M679" s="43">
        <f>(C679-H679)/C679*100</f>
        <v>54.559999999999995</v>
      </c>
      <c r="N679" s="43">
        <f>100-(M679+O679)</f>
        <v>20</v>
      </c>
      <c r="O679" s="43">
        <f>L679/C679*100</f>
        <v>25.439999999999998</v>
      </c>
      <c r="P679" s="42" t="s">
        <v>2</v>
      </c>
      <c r="Q679" s="62">
        <v>407378.04</v>
      </c>
      <c r="R679" s="41">
        <v>3659988.3590000002</v>
      </c>
    </row>
    <row r="680" spans="1:18" x14ac:dyDescent="0.25">
      <c r="A680" s="49">
        <v>2467</v>
      </c>
      <c r="B680" s="48" t="s">
        <v>843</v>
      </c>
      <c r="C680" s="47">
        <v>50</v>
      </c>
      <c r="D680" s="46">
        <v>20</v>
      </c>
      <c r="E680" s="44">
        <v>22</v>
      </c>
      <c r="F680" s="44">
        <f>1.8*E680+32</f>
        <v>71.599999999999994</v>
      </c>
      <c r="G680" s="45">
        <v>13</v>
      </c>
      <c r="H680" s="44">
        <f>IF(F680&gt;68,G680+(F680-68)*0.2,Y703-(68-F680)*0.2)</f>
        <v>13.719999999999999</v>
      </c>
      <c r="I680" s="44">
        <v>22</v>
      </c>
      <c r="J680" s="44">
        <f>1.8*I680+32</f>
        <v>71.599999999999994</v>
      </c>
      <c r="K680" s="45">
        <v>6</v>
      </c>
      <c r="L680" s="44">
        <f>IF(J680&gt;68,K680+(J680-68)*0.2,K680-(68-J680)*0.2)</f>
        <v>6.7199999999999989</v>
      </c>
      <c r="M680" s="43">
        <f>(C680-H680)/C680*100</f>
        <v>72.56</v>
      </c>
      <c r="N680" s="43">
        <f>100-(M680+O680)</f>
        <v>14</v>
      </c>
      <c r="O680" s="43">
        <f>L680/C680*100</f>
        <v>13.439999999999996</v>
      </c>
      <c r="P680" s="42" t="s">
        <v>0</v>
      </c>
      <c r="Q680" s="62">
        <v>407378.04</v>
      </c>
      <c r="R680" s="41">
        <v>3659988.3590000002</v>
      </c>
    </row>
    <row r="681" spans="1:18" x14ac:dyDescent="0.25">
      <c r="A681" s="49">
        <v>2467</v>
      </c>
      <c r="B681" s="48" t="s">
        <v>842</v>
      </c>
      <c r="C681" s="47">
        <v>50</v>
      </c>
      <c r="D681" s="46">
        <v>20</v>
      </c>
      <c r="E681" s="44">
        <v>22</v>
      </c>
      <c r="F681" s="44">
        <f>1.8*E681+32</f>
        <v>71.599999999999994</v>
      </c>
      <c r="G681" s="45">
        <v>11</v>
      </c>
      <c r="H681" s="44">
        <f>IF(F681&gt;68,G681+(F681-68)*0.2,Y704-(68-F681)*0.2)</f>
        <v>11.719999999999999</v>
      </c>
      <c r="I681" s="44">
        <v>22</v>
      </c>
      <c r="J681" s="44">
        <f>1.8*I681+32</f>
        <v>71.599999999999994</v>
      </c>
      <c r="K681" s="45">
        <v>5</v>
      </c>
      <c r="L681" s="44">
        <f>IF(J681&gt;68,K681+(J681-68)*0.2,K681-(68-J681)*0.2)</f>
        <v>5.7199999999999989</v>
      </c>
      <c r="M681" s="43">
        <f>(C681-H681)/C681*100</f>
        <v>76.56</v>
      </c>
      <c r="N681" s="43">
        <f>100-(M681+O681)</f>
        <v>12</v>
      </c>
      <c r="O681" s="43">
        <f>L681/C681*100</f>
        <v>11.439999999999998</v>
      </c>
      <c r="P681" s="42" t="s">
        <v>0</v>
      </c>
      <c r="Q681" s="62">
        <v>407378.04</v>
      </c>
      <c r="R681" s="41">
        <v>3659988.3590000002</v>
      </c>
    </row>
    <row r="682" spans="1:18" x14ac:dyDescent="0.25">
      <c r="A682" s="49">
        <v>2467</v>
      </c>
      <c r="B682" s="48" t="s">
        <v>841</v>
      </c>
      <c r="C682" s="47">
        <v>50</v>
      </c>
      <c r="D682" s="46">
        <v>20</v>
      </c>
      <c r="E682" s="44">
        <v>22</v>
      </c>
      <c r="F682" s="44">
        <f>1.8*E682+32</f>
        <v>71.599999999999994</v>
      </c>
      <c r="G682" s="45">
        <v>12</v>
      </c>
      <c r="H682" s="44">
        <f>IF(F682&gt;68,G682+(F682-68)*0.2,Y705-(68-F682)*0.2)</f>
        <v>12.719999999999999</v>
      </c>
      <c r="I682" s="44">
        <v>22</v>
      </c>
      <c r="J682" s="44">
        <f>1.8*I682+32</f>
        <v>71.599999999999994</v>
      </c>
      <c r="K682" s="45">
        <v>6</v>
      </c>
      <c r="L682" s="44">
        <f>IF(J682&gt;68,K682+(J682-68)*0.2,K682-(68-J682)*0.2)</f>
        <v>6.7199999999999989</v>
      </c>
      <c r="M682" s="43">
        <f>(C682-H682)/C682*100</f>
        <v>74.56</v>
      </c>
      <c r="N682" s="43">
        <f>100-(M682+O682)</f>
        <v>12</v>
      </c>
      <c r="O682" s="43">
        <f>L682/C682*100</f>
        <v>13.439999999999996</v>
      </c>
      <c r="P682" s="42" t="s">
        <v>0</v>
      </c>
      <c r="Q682" s="62">
        <v>407378.04</v>
      </c>
      <c r="R682" s="41">
        <v>3659988.3590000002</v>
      </c>
    </row>
    <row r="683" spans="1:18" x14ac:dyDescent="0.25">
      <c r="A683" s="49">
        <v>2467</v>
      </c>
      <c r="B683" s="48" t="s">
        <v>839</v>
      </c>
      <c r="C683" s="47">
        <v>50</v>
      </c>
      <c r="D683" s="46">
        <v>20</v>
      </c>
      <c r="E683" s="44">
        <v>22</v>
      </c>
      <c r="F683" s="44">
        <f>1.8*E683+32</f>
        <v>71.599999999999994</v>
      </c>
      <c r="G683" s="45">
        <v>16</v>
      </c>
      <c r="H683" s="44">
        <f>IF(F683&gt;68,G683+(F683-68)*0.2,Y706-(68-F683)*0.2)</f>
        <v>16.72</v>
      </c>
      <c r="I683" s="44">
        <v>22</v>
      </c>
      <c r="J683" s="44">
        <f>1.8*I683+32</f>
        <v>71.599999999999994</v>
      </c>
      <c r="K683" s="45">
        <v>5</v>
      </c>
      <c r="L683" s="44">
        <f>IF(J683&gt;68,K683+(J683-68)*0.2,K683-(68-J683)*0.2)</f>
        <v>5.7199999999999989</v>
      </c>
      <c r="M683" s="43">
        <f>(C683-H683)/C683*100</f>
        <v>66.56</v>
      </c>
      <c r="N683" s="43">
        <f>100-(M683+O683)</f>
        <v>22</v>
      </c>
      <c r="O683" s="43">
        <f>L683/C683*100</f>
        <v>11.439999999999998</v>
      </c>
      <c r="P683" s="42" t="s">
        <v>0</v>
      </c>
      <c r="Q683" s="62">
        <v>407378.04</v>
      </c>
      <c r="R683" s="41">
        <v>3659988.3590000002</v>
      </c>
    </row>
    <row r="684" spans="1:18" x14ac:dyDescent="0.25">
      <c r="A684" s="61"/>
      <c r="B684" s="58"/>
      <c r="C684" s="58"/>
      <c r="D684" s="58"/>
      <c r="E684" s="58"/>
      <c r="F684" s="58"/>
      <c r="G684" s="60"/>
      <c r="H684" s="58"/>
      <c r="I684" s="58"/>
      <c r="J684" s="58"/>
      <c r="K684" s="60"/>
      <c r="L684" s="58"/>
      <c r="M684" s="59"/>
      <c r="N684" s="59"/>
      <c r="O684" s="59"/>
      <c r="P684" s="58"/>
    </row>
    <row r="685" spans="1:18" x14ac:dyDescent="0.25">
      <c r="A685" s="57"/>
      <c r="B685" s="56"/>
      <c r="C685" s="55"/>
      <c r="D685" s="54"/>
      <c r="E685" s="52"/>
      <c r="F685" s="52"/>
      <c r="G685" s="53"/>
      <c r="H685" s="52"/>
      <c r="I685" s="52"/>
      <c r="J685" s="52"/>
      <c r="K685" s="53"/>
      <c r="L685" s="52"/>
      <c r="M685" s="51"/>
      <c r="N685" s="51"/>
      <c r="O685" s="51"/>
      <c r="P685" s="50"/>
      <c r="Q685" s="5" t="s">
        <v>4</v>
      </c>
      <c r="R685" s="5" t="s">
        <v>3</v>
      </c>
    </row>
    <row r="686" spans="1:18" x14ac:dyDescent="0.25">
      <c r="A686" s="49">
        <v>2481</v>
      </c>
      <c r="B686" s="48" t="s">
        <v>845</v>
      </c>
      <c r="C686" s="47">
        <v>50</v>
      </c>
      <c r="D686" s="46">
        <v>20</v>
      </c>
      <c r="E686" s="44">
        <v>22</v>
      </c>
      <c r="F686" s="44">
        <f>1.8*E686+32</f>
        <v>71.599999999999994</v>
      </c>
      <c r="G686" s="45">
        <v>22</v>
      </c>
      <c r="H686" s="44">
        <f>IF(F686&gt;68,G686+(F686-68)*0.2,#REF!-(68-F686)*0.2)</f>
        <v>22.72</v>
      </c>
      <c r="I686" s="44">
        <v>22</v>
      </c>
      <c r="J686" s="44">
        <f>1.8*I686+32</f>
        <v>71.599999999999994</v>
      </c>
      <c r="K686" s="45">
        <v>12</v>
      </c>
      <c r="L686" s="44">
        <f>IF(J686&gt;68,K686+(J686-68)*0.2,K686-(68-J686)*0.2)</f>
        <v>12.719999999999999</v>
      </c>
      <c r="M686" s="43">
        <f>(C686-H686)/C686*100</f>
        <v>54.559999999999995</v>
      </c>
      <c r="N686" s="43">
        <f>100-(M686+O686)</f>
        <v>20</v>
      </c>
      <c r="O686" s="43">
        <f>L686/C686*100</f>
        <v>25.439999999999998</v>
      </c>
      <c r="P686" s="42" t="s">
        <v>2</v>
      </c>
      <c r="Q686" s="41">
        <v>407375.06900000002</v>
      </c>
      <c r="R686" s="41">
        <v>3660021.9210000001</v>
      </c>
    </row>
    <row r="687" spans="1:18" x14ac:dyDescent="0.25">
      <c r="A687" s="49">
        <v>2481</v>
      </c>
      <c r="B687" s="48" t="s">
        <v>844</v>
      </c>
      <c r="C687" s="47">
        <v>50</v>
      </c>
      <c r="D687" s="46">
        <v>20</v>
      </c>
      <c r="E687" s="44">
        <v>22</v>
      </c>
      <c r="F687" s="44">
        <f>1.8*E687+32</f>
        <v>71.599999999999994</v>
      </c>
      <c r="G687" s="45">
        <v>21</v>
      </c>
      <c r="H687" s="44">
        <f>IF(F687&gt;68,G687+(F687-68)*0.2,Y710-(68-F687)*0.2)</f>
        <v>21.72</v>
      </c>
      <c r="I687" s="44">
        <v>22</v>
      </c>
      <c r="J687" s="44">
        <f>1.8*I687+32</f>
        <v>71.599999999999994</v>
      </c>
      <c r="K687" s="45">
        <v>12</v>
      </c>
      <c r="L687" s="44">
        <f>IF(J687&gt;68,K687+(J687-68)*0.2,K687-(68-J687)*0.2)</f>
        <v>12.719999999999999</v>
      </c>
      <c r="M687" s="43">
        <f>(C687-H687)/C687*100</f>
        <v>56.56</v>
      </c>
      <c r="N687" s="43">
        <f>100-(M687+O687)</f>
        <v>18</v>
      </c>
      <c r="O687" s="43">
        <f>L687/C687*100</f>
        <v>25.439999999999998</v>
      </c>
      <c r="P687" s="42" t="s">
        <v>2</v>
      </c>
      <c r="Q687" s="41">
        <v>407375.06900000002</v>
      </c>
      <c r="R687" s="41">
        <v>3660021.9210000001</v>
      </c>
    </row>
    <row r="688" spans="1:18" x14ac:dyDescent="0.25">
      <c r="A688" s="49">
        <v>2481</v>
      </c>
      <c r="B688" s="48" t="s">
        <v>843</v>
      </c>
      <c r="C688" s="47">
        <v>50</v>
      </c>
      <c r="D688" s="46">
        <v>20</v>
      </c>
      <c r="E688" s="44">
        <v>22</v>
      </c>
      <c r="F688" s="44">
        <f>1.8*E688+32</f>
        <v>71.599999999999994</v>
      </c>
      <c r="G688" s="45">
        <v>16</v>
      </c>
      <c r="H688" s="44">
        <f>IF(F688&gt;68,G688+(F688-68)*0.2,Y711-(68-F688)*0.2)</f>
        <v>16.72</v>
      </c>
      <c r="I688" s="44">
        <v>22</v>
      </c>
      <c r="J688" s="44">
        <f>1.8*I688+32</f>
        <v>71.599999999999994</v>
      </c>
      <c r="K688" s="45">
        <v>7</v>
      </c>
      <c r="L688" s="44">
        <f>IF(J688&gt;68,K688+(J688-68)*0.2,K688-(68-J688)*0.2)</f>
        <v>7.7199999999999989</v>
      </c>
      <c r="M688" s="43">
        <f>(C688-H688)/C688*100</f>
        <v>66.56</v>
      </c>
      <c r="N688" s="43">
        <f>100-(M688+O688)</f>
        <v>18</v>
      </c>
      <c r="O688" s="43">
        <f>L688/C688*100</f>
        <v>15.439999999999998</v>
      </c>
      <c r="P688" s="42" t="s">
        <v>0</v>
      </c>
      <c r="Q688" s="41">
        <v>407375.06900000002</v>
      </c>
      <c r="R688" s="41">
        <v>3660021.9210000001</v>
      </c>
    </row>
    <row r="689" spans="1:18" x14ac:dyDescent="0.25">
      <c r="A689" s="49">
        <v>2481</v>
      </c>
      <c r="B689" s="48" t="s">
        <v>842</v>
      </c>
      <c r="C689" s="47">
        <v>50</v>
      </c>
      <c r="D689" s="46">
        <v>20</v>
      </c>
      <c r="E689" s="44">
        <v>22</v>
      </c>
      <c r="F689" s="44">
        <f>1.8*E689+32</f>
        <v>71.599999999999994</v>
      </c>
      <c r="G689" s="45">
        <v>24</v>
      </c>
      <c r="H689" s="44">
        <f>IF(F689&gt;68,G689+(F689-68)*0.2,Y712-(68-F689)*0.2)</f>
        <v>24.72</v>
      </c>
      <c r="I689" s="44">
        <v>22</v>
      </c>
      <c r="J689" s="44">
        <f>1.8*I689+32</f>
        <v>71.599999999999994</v>
      </c>
      <c r="K689" s="45">
        <v>12</v>
      </c>
      <c r="L689" s="44">
        <f>IF(J689&gt;68,K689+(J689-68)*0.2,K689-(68-J689)*0.2)</f>
        <v>12.719999999999999</v>
      </c>
      <c r="M689" s="43">
        <f>(C689-H689)/C689*100</f>
        <v>50.56</v>
      </c>
      <c r="N689" s="43">
        <f>100-(M689+O689)</f>
        <v>24</v>
      </c>
      <c r="O689" s="43">
        <f>L689/C689*100</f>
        <v>25.439999999999998</v>
      </c>
      <c r="P689" s="42" t="s">
        <v>2</v>
      </c>
      <c r="Q689" s="41">
        <v>407375.06900000002</v>
      </c>
      <c r="R689" s="41">
        <v>3660021.9210000001</v>
      </c>
    </row>
    <row r="690" spans="1:18" x14ac:dyDescent="0.25">
      <c r="A690" s="49">
        <v>2481</v>
      </c>
      <c r="B690" s="48" t="s">
        <v>841</v>
      </c>
      <c r="C690" s="47">
        <v>50</v>
      </c>
      <c r="D690" s="46">
        <v>20</v>
      </c>
      <c r="E690" s="44">
        <v>22</v>
      </c>
      <c r="F690" s="44">
        <f>1.8*E690+32</f>
        <v>71.599999999999994</v>
      </c>
      <c r="G690" s="45">
        <v>22</v>
      </c>
      <c r="H690" s="44">
        <f>IF(F690&gt;68,G690+(F690-68)*0.2,Y713-(68-F690)*0.2)</f>
        <v>22.72</v>
      </c>
      <c r="I690" s="44">
        <v>22</v>
      </c>
      <c r="J690" s="44">
        <f>1.8*I690+32</f>
        <v>71.599999999999994</v>
      </c>
      <c r="K690" s="45">
        <v>13</v>
      </c>
      <c r="L690" s="44">
        <f>IF(J690&gt;68,K690+(J690-68)*0.2,K690-(68-J690)*0.2)</f>
        <v>13.719999999999999</v>
      </c>
      <c r="M690" s="43">
        <f>(C690-H690)/C690*100</f>
        <v>54.559999999999995</v>
      </c>
      <c r="N690" s="43">
        <f>100-(M690+O690)</f>
        <v>18</v>
      </c>
      <c r="O690" s="43">
        <f>L690/C690*100</f>
        <v>27.439999999999998</v>
      </c>
      <c r="P690" s="42" t="s">
        <v>2</v>
      </c>
      <c r="Q690" s="41">
        <v>407375.06900000002</v>
      </c>
      <c r="R690" s="41">
        <v>3660021.9210000001</v>
      </c>
    </row>
    <row r="691" spans="1:18" x14ac:dyDescent="0.25">
      <c r="A691" s="49">
        <v>2481</v>
      </c>
      <c r="B691" s="48" t="s">
        <v>839</v>
      </c>
      <c r="C691" s="47">
        <v>50</v>
      </c>
      <c r="D691" s="46">
        <v>20</v>
      </c>
      <c r="E691" s="44">
        <v>22</v>
      </c>
      <c r="F691" s="44">
        <f>1.8*E691+32</f>
        <v>71.599999999999994</v>
      </c>
      <c r="G691" s="45">
        <v>13</v>
      </c>
      <c r="H691" s="44">
        <f>IF(F691&gt;68,G691+(F691-68)*0.2,Y714-(68-F691)*0.2)</f>
        <v>13.719999999999999</v>
      </c>
      <c r="I691" s="44">
        <v>22</v>
      </c>
      <c r="J691" s="44">
        <f>1.8*I691+32</f>
        <v>71.599999999999994</v>
      </c>
      <c r="K691" s="45">
        <v>7</v>
      </c>
      <c r="L691" s="44">
        <f>IF(J691&gt;68,K691+(J691-68)*0.2,K691-(68-J691)*0.2)</f>
        <v>7.7199999999999989</v>
      </c>
      <c r="M691" s="43">
        <f>(C691-H691)/C691*100</f>
        <v>72.56</v>
      </c>
      <c r="N691" s="43">
        <f>100-(M691+O691)</f>
        <v>12</v>
      </c>
      <c r="O691" s="43">
        <f>L691/C691*100</f>
        <v>15.439999999999998</v>
      </c>
      <c r="P691" s="42" t="s">
        <v>0</v>
      </c>
      <c r="Q691" s="41">
        <v>407375.06900000002</v>
      </c>
      <c r="R691" s="41">
        <v>3660021.9210000001</v>
      </c>
    </row>
    <row r="692" spans="1:18" x14ac:dyDescent="0.25">
      <c r="A692" s="61"/>
      <c r="B692" s="58"/>
      <c r="C692" s="58"/>
      <c r="D692" s="58"/>
      <c r="E692" s="58"/>
      <c r="F692" s="58"/>
      <c r="G692" s="60"/>
      <c r="H692" s="58"/>
      <c r="I692" s="58"/>
      <c r="J692" s="58"/>
      <c r="K692" s="60"/>
      <c r="L692" s="58"/>
      <c r="M692" s="59"/>
      <c r="N692" s="59"/>
      <c r="O692" s="59"/>
      <c r="P692" s="58"/>
    </row>
    <row r="693" spans="1:18" x14ac:dyDescent="0.25">
      <c r="A693" s="57"/>
      <c r="B693" s="56"/>
      <c r="C693" s="55"/>
      <c r="D693" s="54"/>
      <c r="E693" s="52"/>
      <c r="F693" s="52"/>
      <c r="G693" s="53"/>
      <c r="H693" s="52"/>
      <c r="I693" s="52"/>
      <c r="J693" s="52"/>
      <c r="K693" s="53"/>
      <c r="L693" s="52"/>
      <c r="M693" s="51"/>
      <c r="N693" s="51"/>
      <c r="O693" s="51"/>
      <c r="P693" s="50"/>
      <c r="Q693" s="5" t="s">
        <v>4</v>
      </c>
      <c r="R693" s="5" t="s">
        <v>3</v>
      </c>
    </row>
    <row r="694" spans="1:18" x14ac:dyDescent="0.25">
      <c r="A694" s="49">
        <v>2615</v>
      </c>
      <c r="B694" s="48" t="s">
        <v>845</v>
      </c>
      <c r="C694" s="47">
        <v>50</v>
      </c>
      <c r="D694" s="46">
        <v>20</v>
      </c>
      <c r="E694" s="44">
        <v>22</v>
      </c>
      <c r="F694" s="44">
        <f>1.8*E694+32</f>
        <v>71.599999999999994</v>
      </c>
      <c r="G694" s="45">
        <v>30</v>
      </c>
      <c r="H694" s="44">
        <f>IF(F694&gt;68,G694+(F694-68)*0.2,#REF!-(68-F694)*0.2)</f>
        <v>30.72</v>
      </c>
      <c r="I694" s="44">
        <v>22</v>
      </c>
      <c r="J694" s="44">
        <f>1.8*I694+32</f>
        <v>71.599999999999994</v>
      </c>
      <c r="K694" s="45">
        <v>16</v>
      </c>
      <c r="L694" s="44">
        <f>IF(J694&gt;68,K694+(J694-68)*0.2,K694-(68-J694)*0.2)</f>
        <v>16.72</v>
      </c>
      <c r="M694" s="43">
        <f>(C694-H694)/C694*100</f>
        <v>38.56</v>
      </c>
      <c r="N694" s="43">
        <f>100-(M694+O694)</f>
        <v>28</v>
      </c>
      <c r="O694" s="43">
        <f>L694/C694*100</f>
        <v>33.44</v>
      </c>
      <c r="P694" s="42" t="s">
        <v>22</v>
      </c>
      <c r="Q694" s="41">
        <v>407364.52600000001</v>
      </c>
      <c r="R694" s="41">
        <v>3659922.5109999999</v>
      </c>
    </row>
    <row r="695" spans="1:18" x14ac:dyDescent="0.25">
      <c r="A695" s="49">
        <v>2615</v>
      </c>
      <c r="B695" s="48" t="s">
        <v>844</v>
      </c>
      <c r="C695" s="47">
        <v>50</v>
      </c>
      <c r="D695" s="46">
        <v>20</v>
      </c>
      <c r="E695" s="44">
        <v>22</v>
      </c>
      <c r="F695" s="44">
        <f>1.8*E695+32</f>
        <v>71.599999999999994</v>
      </c>
      <c r="G695" s="45">
        <v>27</v>
      </c>
      <c r="H695" s="44">
        <f>IF(F695&gt;68,G695+(F695-68)*0.2,Y718-(68-F695)*0.2)</f>
        <v>27.72</v>
      </c>
      <c r="I695" s="44">
        <v>22</v>
      </c>
      <c r="J695" s="44">
        <f>1.8*I695+32</f>
        <v>71.599999999999994</v>
      </c>
      <c r="K695" s="45">
        <v>15</v>
      </c>
      <c r="L695" s="44">
        <f>IF(J695&gt;68,K695+(J695-68)*0.2,K695-(68-J695)*0.2)</f>
        <v>15.719999999999999</v>
      </c>
      <c r="M695" s="43">
        <f>(C695-H695)/C695*100</f>
        <v>44.56</v>
      </c>
      <c r="N695" s="43">
        <f>100-(M695+O695)</f>
        <v>24</v>
      </c>
      <c r="O695" s="43">
        <f>L695/C695*100</f>
        <v>31.439999999999994</v>
      </c>
      <c r="P695" s="42" t="s">
        <v>847</v>
      </c>
      <c r="Q695" s="41">
        <v>407364.52600000001</v>
      </c>
      <c r="R695" s="41">
        <v>3659922.5109999999</v>
      </c>
    </row>
    <row r="696" spans="1:18" x14ac:dyDescent="0.25">
      <c r="A696" s="49">
        <v>2615</v>
      </c>
      <c r="B696" s="48" t="s">
        <v>843</v>
      </c>
      <c r="C696" s="47">
        <v>50</v>
      </c>
      <c r="D696" s="46">
        <v>20</v>
      </c>
      <c r="E696" s="44">
        <v>22</v>
      </c>
      <c r="F696" s="44">
        <f>1.8*E696+32</f>
        <v>71.599999999999994</v>
      </c>
      <c r="G696" s="45">
        <v>20</v>
      </c>
      <c r="H696" s="44">
        <f>IF(F696&gt;68,G696+(F696-68)*0.2,Y719-(68-F696)*0.2)</f>
        <v>20.72</v>
      </c>
      <c r="I696" s="44">
        <v>22</v>
      </c>
      <c r="J696" s="44">
        <f>1.8*I696+32</f>
        <v>71.599999999999994</v>
      </c>
      <c r="K696" s="45">
        <v>12</v>
      </c>
      <c r="L696" s="44">
        <f>IF(J696&gt;68,K696+(J696-68)*0.2,K696-(68-J696)*0.2)</f>
        <v>12.719999999999999</v>
      </c>
      <c r="M696" s="43">
        <f>(C696-H696)/C696*100</f>
        <v>58.56</v>
      </c>
      <c r="N696" s="43">
        <f>100-(M696+O696)</f>
        <v>16</v>
      </c>
      <c r="O696" s="43">
        <f>L696/C696*100</f>
        <v>25.439999999999998</v>
      </c>
      <c r="P696" s="42" t="s">
        <v>2</v>
      </c>
      <c r="Q696" s="41">
        <v>407364.52600000001</v>
      </c>
      <c r="R696" s="41">
        <v>3659922.5109999999</v>
      </c>
    </row>
    <row r="697" spans="1:18" x14ac:dyDescent="0.25">
      <c r="A697" s="49">
        <v>2615</v>
      </c>
      <c r="B697" s="48" t="s">
        <v>842</v>
      </c>
      <c r="C697" s="47">
        <v>50</v>
      </c>
      <c r="D697" s="46">
        <v>20</v>
      </c>
      <c r="E697" s="44">
        <v>22</v>
      </c>
      <c r="F697" s="44">
        <f>1.8*E697+32</f>
        <v>71.599999999999994</v>
      </c>
      <c r="G697" s="45">
        <v>21</v>
      </c>
      <c r="H697" s="44">
        <f>IF(F697&gt;68,G697+(F697-68)*0.2,Y720-(68-F697)*0.2)</f>
        <v>21.72</v>
      </c>
      <c r="I697" s="44">
        <v>22</v>
      </c>
      <c r="J697" s="44">
        <f>1.8*I697+32</f>
        <v>71.599999999999994</v>
      </c>
      <c r="K697" s="45">
        <v>12</v>
      </c>
      <c r="L697" s="44">
        <f>IF(J697&gt;68,K697+(J697-68)*0.2,K697-(68-J697)*0.2)</f>
        <v>12.719999999999999</v>
      </c>
      <c r="M697" s="43">
        <f>(C697-H697)/C697*100</f>
        <v>56.56</v>
      </c>
      <c r="N697" s="43">
        <f>100-(M697+O697)</f>
        <v>18</v>
      </c>
      <c r="O697" s="43">
        <f>L697/C697*100</f>
        <v>25.439999999999998</v>
      </c>
      <c r="P697" s="42" t="s">
        <v>2</v>
      </c>
      <c r="Q697" s="41">
        <v>407364.52600000001</v>
      </c>
      <c r="R697" s="41">
        <v>3659922.5109999999</v>
      </c>
    </row>
    <row r="698" spans="1:18" x14ac:dyDescent="0.25">
      <c r="A698" s="49">
        <v>2615</v>
      </c>
      <c r="B698" s="48" t="s">
        <v>841</v>
      </c>
      <c r="C698" s="47">
        <v>50</v>
      </c>
      <c r="D698" s="46">
        <v>20</v>
      </c>
      <c r="E698" s="44">
        <v>22</v>
      </c>
      <c r="F698" s="44">
        <f>1.8*E698+32</f>
        <v>71.599999999999994</v>
      </c>
      <c r="G698" s="45">
        <v>13</v>
      </c>
      <c r="H698" s="44">
        <f>IF(F698&gt;68,G698+(F698-68)*0.2,Y721-(68-F698)*0.2)</f>
        <v>13.719999999999999</v>
      </c>
      <c r="I698" s="44">
        <v>22</v>
      </c>
      <c r="J698" s="44">
        <f>1.8*I698+32</f>
        <v>71.599999999999994</v>
      </c>
      <c r="K698" s="45">
        <v>5</v>
      </c>
      <c r="L698" s="44">
        <f>IF(J698&gt;68,K698+(J698-68)*0.2,K698-(68-J698)*0.2)</f>
        <v>5.7199999999999989</v>
      </c>
      <c r="M698" s="43">
        <f>(C698-H698)/C698*100</f>
        <v>72.56</v>
      </c>
      <c r="N698" s="43">
        <f>100-(M698+O698)</f>
        <v>16</v>
      </c>
      <c r="O698" s="43">
        <f>L698/C698*100</f>
        <v>11.439999999999998</v>
      </c>
      <c r="P698" s="42" t="s">
        <v>0</v>
      </c>
      <c r="Q698" s="41">
        <v>407364.52600000001</v>
      </c>
      <c r="R698" s="41">
        <v>3659922.5109999999</v>
      </c>
    </row>
    <row r="699" spans="1:18" x14ac:dyDescent="0.25">
      <c r="A699" s="49">
        <v>2615</v>
      </c>
      <c r="B699" s="48" t="s">
        <v>839</v>
      </c>
      <c r="C699" s="47">
        <v>50</v>
      </c>
      <c r="D699" s="46">
        <v>20</v>
      </c>
      <c r="E699" s="44">
        <v>22</v>
      </c>
      <c r="F699" s="44">
        <f>1.8*E699+32</f>
        <v>71.599999999999994</v>
      </c>
      <c r="G699" s="45">
        <v>17</v>
      </c>
      <c r="H699" s="44">
        <f>IF(F699&gt;68,G699+(F699-68)*0.2,Y722-(68-F699)*0.2)</f>
        <v>17.72</v>
      </c>
      <c r="I699" s="44">
        <v>22</v>
      </c>
      <c r="J699" s="44">
        <f>1.8*I699+32</f>
        <v>71.599999999999994</v>
      </c>
      <c r="K699" s="45">
        <v>5</v>
      </c>
      <c r="L699" s="44">
        <f>IF(J699&gt;68,K699+(J699-68)*0.2,K699-(68-J699)*0.2)</f>
        <v>5.7199999999999989</v>
      </c>
      <c r="M699" s="43">
        <f>(C699-H699)/C699*100</f>
        <v>64.56</v>
      </c>
      <c r="N699" s="43">
        <f>100-(M699+O699)</f>
        <v>24</v>
      </c>
      <c r="O699" s="43">
        <f>L699/C699*100</f>
        <v>11.439999999999998</v>
      </c>
      <c r="P699" s="42" t="s">
        <v>0</v>
      </c>
      <c r="Q699" s="41">
        <v>407364.52600000001</v>
      </c>
      <c r="R699" s="41">
        <v>3659922.5109999999</v>
      </c>
    </row>
    <row r="700" spans="1:18" x14ac:dyDescent="0.25">
      <c r="A700" s="61"/>
      <c r="B700" s="58"/>
      <c r="C700" s="58"/>
      <c r="D700" s="58"/>
      <c r="E700" s="58"/>
      <c r="F700" s="58"/>
      <c r="G700" s="60"/>
      <c r="H700" s="58"/>
      <c r="I700" s="58"/>
      <c r="J700" s="58"/>
      <c r="K700" s="60"/>
      <c r="L700" s="58"/>
      <c r="M700" s="59"/>
      <c r="N700" s="59"/>
      <c r="O700" s="59"/>
      <c r="P700" s="58"/>
    </row>
    <row r="701" spans="1:18" x14ac:dyDescent="0.25">
      <c r="A701" s="57"/>
      <c r="B701" s="56"/>
      <c r="C701" s="55"/>
      <c r="D701" s="54"/>
      <c r="E701" s="52"/>
      <c r="F701" s="52"/>
      <c r="G701" s="53"/>
      <c r="H701" s="52"/>
      <c r="I701" s="52"/>
      <c r="J701" s="52"/>
      <c r="K701" s="53"/>
      <c r="L701" s="52"/>
      <c r="M701" s="51"/>
      <c r="N701" s="51"/>
      <c r="O701" s="51"/>
      <c r="P701" s="50"/>
      <c r="Q701" s="5" t="s">
        <v>4</v>
      </c>
      <c r="R701" s="5" t="s">
        <v>3</v>
      </c>
    </row>
    <row r="702" spans="1:18" x14ac:dyDescent="0.25">
      <c r="A702" s="49">
        <v>2627</v>
      </c>
      <c r="B702" s="48" t="s">
        <v>845</v>
      </c>
      <c r="C702" s="47">
        <v>50</v>
      </c>
      <c r="D702" s="46">
        <v>20</v>
      </c>
      <c r="E702" s="44">
        <v>22</v>
      </c>
      <c r="F702" s="44">
        <f>1.8*E702+32</f>
        <v>71.599999999999994</v>
      </c>
      <c r="G702" s="45">
        <v>27</v>
      </c>
      <c r="H702" s="44">
        <f>IF(F702&gt;68,G702+(F702-68)*0.2,#REF!-(68-F702)*0.2)</f>
        <v>27.72</v>
      </c>
      <c r="I702" s="44">
        <v>22</v>
      </c>
      <c r="J702" s="44">
        <f>1.8*I702+32</f>
        <v>71.599999999999994</v>
      </c>
      <c r="K702" s="45">
        <v>15</v>
      </c>
      <c r="L702" s="44">
        <f>IF(J702&gt;68,K702+(J702-68)*0.2,K702-(68-J702)*0.2)</f>
        <v>15.719999999999999</v>
      </c>
      <c r="M702" s="43">
        <f>(C702-H702)/C702*100</f>
        <v>44.56</v>
      </c>
      <c r="N702" s="43">
        <f>100-(M702+O702)</f>
        <v>24</v>
      </c>
      <c r="O702" s="43">
        <f>L702/C702*100</f>
        <v>31.439999999999994</v>
      </c>
      <c r="P702" s="42" t="s">
        <v>847</v>
      </c>
      <c r="Q702" s="41">
        <v>407365.22499999998</v>
      </c>
      <c r="R702" s="41">
        <v>3659965.0550000002</v>
      </c>
    </row>
    <row r="703" spans="1:18" x14ac:dyDescent="0.25">
      <c r="A703" s="49">
        <v>2627</v>
      </c>
      <c r="B703" s="48" t="s">
        <v>844</v>
      </c>
      <c r="C703" s="47">
        <v>50</v>
      </c>
      <c r="D703" s="46">
        <v>20</v>
      </c>
      <c r="E703" s="44">
        <v>22</v>
      </c>
      <c r="F703" s="44">
        <f>1.8*E703+32</f>
        <v>71.599999999999994</v>
      </c>
      <c r="G703" s="45">
        <v>30</v>
      </c>
      <c r="H703" s="44">
        <f>IF(F703&gt;68,G703+(F703-68)*0.2,Y726-(68-F703)*0.2)</f>
        <v>30.72</v>
      </c>
      <c r="I703" s="44">
        <v>22</v>
      </c>
      <c r="J703" s="44">
        <f>1.8*I703+32</f>
        <v>71.599999999999994</v>
      </c>
      <c r="K703" s="45">
        <v>17</v>
      </c>
      <c r="L703" s="44">
        <f>IF(J703&gt;68,K703+(J703-68)*0.2,K703-(68-J703)*0.2)</f>
        <v>17.72</v>
      </c>
      <c r="M703" s="43">
        <f>(C703-H703)/C703*100</f>
        <v>38.56</v>
      </c>
      <c r="N703" s="43">
        <f>100-(M703+O703)</f>
        <v>26</v>
      </c>
      <c r="O703" s="43">
        <f>L703/C703*100</f>
        <v>35.44</v>
      </c>
      <c r="P703" s="42" t="s">
        <v>22</v>
      </c>
      <c r="Q703" s="41">
        <v>407365.22499999998</v>
      </c>
      <c r="R703" s="41">
        <v>3659965.0550000002</v>
      </c>
    </row>
    <row r="704" spans="1:18" x14ac:dyDescent="0.25">
      <c r="A704" s="49">
        <v>2627</v>
      </c>
      <c r="B704" s="48" t="s">
        <v>843</v>
      </c>
      <c r="C704" s="47">
        <v>50</v>
      </c>
      <c r="D704" s="46">
        <v>20</v>
      </c>
      <c r="E704" s="44">
        <v>22</v>
      </c>
      <c r="F704" s="44">
        <f>1.8*E704+32</f>
        <v>71.599999999999994</v>
      </c>
      <c r="G704" s="45">
        <v>21</v>
      </c>
      <c r="H704" s="44">
        <f>IF(F704&gt;68,G704+(F704-68)*0.2,Y727-(68-F704)*0.2)</f>
        <v>21.72</v>
      </c>
      <c r="I704" s="44">
        <v>22</v>
      </c>
      <c r="J704" s="44">
        <f>1.8*I704+32</f>
        <v>71.599999999999994</v>
      </c>
      <c r="K704" s="45">
        <v>10</v>
      </c>
      <c r="L704" s="44">
        <f>IF(J704&gt;68,K704+(J704-68)*0.2,K704-(68-J704)*0.2)</f>
        <v>10.719999999999999</v>
      </c>
      <c r="M704" s="43">
        <f>(C704-H704)/C704*100</f>
        <v>56.56</v>
      </c>
      <c r="N704" s="43">
        <f>100-(M704+O704)</f>
        <v>22</v>
      </c>
      <c r="O704" s="43">
        <f>L704/C704*100</f>
        <v>21.439999999999998</v>
      </c>
      <c r="P704" s="42" t="s">
        <v>2</v>
      </c>
      <c r="Q704" s="41">
        <v>407365.22499999998</v>
      </c>
      <c r="R704" s="41">
        <v>3659965.0550000002</v>
      </c>
    </row>
    <row r="705" spans="1:18" x14ac:dyDescent="0.25">
      <c r="A705" s="49">
        <v>2627</v>
      </c>
      <c r="B705" s="48" t="s">
        <v>842</v>
      </c>
      <c r="C705" s="47">
        <v>50</v>
      </c>
      <c r="D705" s="46">
        <v>20</v>
      </c>
      <c r="E705" s="44">
        <v>22</v>
      </c>
      <c r="F705" s="44">
        <f>1.8*E705+32</f>
        <v>71.599999999999994</v>
      </c>
      <c r="G705" s="45">
        <v>28</v>
      </c>
      <c r="H705" s="44">
        <f>IF(F705&gt;68,G705+(F705-68)*0.2,Y728-(68-F705)*0.2)</f>
        <v>28.72</v>
      </c>
      <c r="I705" s="44">
        <v>22</v>
      </c>
      <c r="J705" s="44">
        <f>1.8*I705+32</f>
        <v>71.599999999999994</v>
      </c>
      <c r="K705" s="45">
        <v>13</v>
      </c>
      <c r="L705" s="44">
        <f>IF(J705&gt;68,K705+(J705-68)*0.2,K705-(68-J705)*0.2)</f>
        <v>13.719999999999999</v>
      </c>
      <c r="M705" s="43">
        <f>(C705-H705)/C705*100</f>
        <v>42.56</v>
      </c>
      <c r="N705" s="43">
        <f>100-(M705+O705)</f>
        <v>30</v>
      </c>
      <c r="O705" s="43">
        <f>L705/C705*100</f>
        <v>27.439999999999998</v>
      </c>
      <c r="P705" s="42" t="s">
        <v>22</v>
      </c>
      <c r="Q705" s="41">
        <v>407365.22499999998</v>
      </c>
      <c r="R705" s="41">
        <v>3659965.0550000002</v>
      </c>
    </row>
    <row r="706" spans="1:18" x14ac:dyDescent="0.25">
      <c r="A706" s="49">
        <v>2627</v>
      </c>
      <c r="B706" s="48" t="s">
        <v>841</v>
      </c>
      <c r="C706" s="47">
        <v>50</v>
      </c>
      <c r="D706" s="46">
        <v>20</v>
      </c>
      <c r="E706" s="44">
        <v>22</v>
      </c>
      <c r="F706" s="44">
        <f>1.8*E706+32</f>
        <v>71.599999999999994</v>
      </c>
      <c r="G706" s="45">
        <v>20</v>
      </c>
      <c r="H706" s="44">
        <f>IF(F706&gt;68,G706+(F706-68)*0.2,Y729-(68-F706)*0.2)</f>
        <v>20.72</v>
      </c>
      <c r="I706" s="44">
        <v>22</v>
      </c>
      <c r="J706" s="44">
        <f>1.8*I706+32</f>
        <v>71.599999999999994</v>
      </c>
      <c r="K706" s="45">
        <v>11</v>
      </c>
      <c r="L706" s="44">
        <f>IF(J706&gt;68,K706+(J706-68)*0.2,K706-(68-J706)*0.2)</f>
        <v>11.719999999999999</v>
      </c>
      <c r="M706" s="43">
        <f>(C706-H706)/C706*100</f>
        <v>58.56</v>
      </c>
      <c r="N706" s="43">
        <f>100-(M706+O706)</f>
        <v>18</v>
      </c>
      <c r="O706" s="43">
        <f>L706/C706*100</f>
        <v>23.439999999999998</v>
      </c>
      <c r="P706" s="42" t="s">
        <v>2</v>
      </c>
      <c r="Q706" s="41">
        <v>407365.22499999998</v>
      </c>
      <c r="R706" s="41">
        <v>3659965.0550000002</v>
      </c>
    </row>
    <row r="707" spans="1:18" x14ac:dyDescent="0.25">
      <c r="A707" s="49">
        <v>2627</v>
      </c>
      <c r="B707" s="48" t="s">
        <v>839</v>
      </c>
      <c r="C707" s="47">
        <v>50</v>
      </c>
      <c r="D707" s="46">
        <v>20</v>
      </c>
      <c r="E707" s="44">
        <v>22</v>
      </c>
      <c r="F707" s="44">
        <f>1.8*E707+32</f>
        <v>71.599999999999994</v>
      </c>
      <c r="G707" s="45">
        <v>14</v>
      </c>
      <c r="H707" s="44">
        <f>IF(F707&gt;68,G707+(F707-68)*0.2,Y730-(68-F707)*0.2)</f>
        <v>14.719999999999999</v>
      </c>
      <c r="I707" s="44">
        <v>22</v>
      </c>
      <c r="J707" s="44">
        <f>1.8*I707+32</f>
        <v>71.599999999999994</v>
      </c>
      <c r="K707" s="45">
        <v>7</v>
      </c>
      <c r="L707" s="44">
        <f>IF(J707&gt;68,K707+(J707-68)*0.2,K707-(68-J707)*0.2)</f>
        <v>7.7199999999999989</v>
      </c>
      <c r="M707" s="43">
        <f>(C707-H707)/C707*100</f>
        <v>70.56</v>
      </c>
      <c r="N707" s="43">
        <f>100-(M707+O707)</f>
        <v>14</v>
      </c>
      <c r="O707" s="43">
        <f>L707/C707*100</f>
        <v>15.439999999999998</v>
      </c>
      <c r="P707" s="42" t="s">
        <v>0</v>
      </c>
      <c r="Q707" s="41">
        <v>407365.22499999998</v>
      </c>
      <c r="R707" s="41">
        <v>3659965.0550000002</v>
      </c>
    </row>
    <row r="708" spans="1:18" x14ac:dyDescent="0.25">
      <c r="A708" s="61"/>
      <c r="B708" s="58"/>
      <c r="C708" s="58"/>
      <c r="D708" s="58"/>
      <c r="E708" s="58"/>
      <c r="F708" s="58"/>
      <c r="G708" s="60"/>
      <c r="H708" s="58"/>
      <c r="I708" s="58"/>
      <c r="J708" s="58"/>
      <c r="K708" s="60"/>
      <c r="L708" s="58"/>
      <c r="M708" s="59"/>
      <c r="N708" s="59"/>
      <c r="O708" s="59"/>
      <c r="P708" s="58"/>
    </row>
    <row r="709" spans="1:18" x14ac:dyDescent="0.25">
      <c r="A709" s="57"/>
      <c r="B709" s="56"/>
      <c r="C709" s="55"/>
      <c r="D709" s="54"/>
      <c r="E709" s="52"/>
      <c r="F709" s="52"/>
      <c r="G709" s="53"/>
      <c r="H709" s="52"/>
      <c r="I709" s="52"/>
      <c r="J709" s="52"/>
      <c r="K709" s="53"/>
      <c r="L709" s="52"/>
      <c r="M709" s="51"/>
      <c r="N709" s="51"/>
      <c r="O709" s="51"/>
      <c r="P709" s="50"/>
      <c r="Q709" s="5" t="s">
        <v>4</v>
      </c>
      <c r="R709" s="5" t="s">
        <v>3</v>
      </c>
    </row>
    <row r="710" spans="1:18" x14ac:dyDescent="0.25">
      <c r="A710" s="49">
        <v>2639</v>
      </c>
      <c r="B710" s="48" t="s">
        <v>845</v>
      </c>
      <c r="C710" s="47">
        <v>50</v>
      </c>
      <c r="D710" s="46">
        <v>20</v>
      </c>
      <c r="E710" s="44">
        <v>22</v>
      </c>
      <c r="F710" s="44">
        <f>1.8*E710+32</f>
        <v>71.599999999999994</v>
      </c>
      <c r="G710" s="45">
        <v>24</v>
      </c>
      <c r="H710" s="44">
        <f>IF(F710&gt;68,G710+(F710-68)*0.2,#REF!-(68-F710)*0.2)</f>
        <v>24.72</v>
      </c>
      <c r="I710" s="44">
        <v>22</v>
      </c>
      <c r="J710" s="44">
        <f>1.8*I710+32</f>
        <v>71.599999999999994</v>
      </c>
      <c r="K710" s="45">
        <v>13</v>
      </c>
      <c r="L710" s="44">
        <f>IF(J710&gt;68,K710+(J710-68)*0.2,K710-(68-J710)*0.2)</f>
        <v>13.719999999999999</v>
      </c>
      <c r="M710" s="43">
        <f>(C710-H710)/C710*100</f>
        <v>50.56</v>
      </c>
      <c r="N710" s="43">
        <f>100-(M710+O710)</f>
        <v>22</v>
      </c>
      <c r="O710" s="43">
        <f>L710/C710*100</f>
        <v>27.439999999999998</v>
      </c>
      <c r="P710" s="42" t="s">
        <v>2</v>
      </c>
      <c r="Q710" s="41">
        <v>407365.84399999998</v>
      </c>
      <c r="R710" s="41">
        <v>3660007.2230000002</v>
      </c>
    </row>
    <row r="711" spans="1:18" x14ac:dyDescent="0.25">
      <c r="A711" s="49">
        <v>2639</v>
      </c>
      <c r="B711" s="48" t="s">
        <v>844</v>
      </c>
      <c r="C711" s="47">
        <v>50</v>
      </c>
      <c r="D711" s="46">
        <v>20</v>
      </c>
      <c r="E711" s="44">
        <v>22</v>
      </c>
      <c r="F711" s="44">
        <f>1.8*E711+32</f>
        <v>71.599999999999994</v>
      </c>
      <c r="G711" s="45">
        <v>29</v>
      </c>
      <c r="H711" s="44">
        <f>IF(F711&gt;68,G711+(F711-68)*0.2,Y734-(68-F711)*0.2)</f>
        <v>29.72</v>
      </c>
      <c r="I711" s="44">
        <v>22</v>
      </c>
      <c r="J711" s="44">
        <f>1.8*I711+32</f>
        <v>71.599999999999994</v>
      </c>
      <c r="K711" s="45">
        <v>16</v>
      </c>
      <c r="L711" s="44">
        <f>IF(J711&gt;68,K711+(J711-68)*0.2,K711-(68-J711)*0.2)</f>
        <v>16.72</v>
      </c>
      <c r="M711" s="43">
        <f>(C711-H711)/C711*100</f>
        <v>40.56</v>
      </c>
      <c r="N711" s="43">
        <f>100-(M711+O711)</f>
        <v>26</v>
      </c>
      <c r="O711" s="43">
        <f>L711/C711*100</f>
        <v>33.44</v>
      </c>
      <c r="P711" s="42" t="s">
        <v>22</v>
      </c>
      <c r="Q711" s="41">
        <v>407365.84399999998</v>
      </c>
      <c r="R711" s="41">
        <v>3660007.2230000002</v>
      </c>
    </row>
    <row r="712" spans="1:18" x14ac:dyDescent="0.25">
      <c r="A712" s="49">
        <v>2639</v>
      </c>
      <c r="B712" s="48" t="s">
        <v>843</v>
      </c>
      <c r="C712" s="47">
        <v>50</v>
      </c>
      <c r="D712" s="46">
        <v>20</v>
      </c>
      <c r="E712" s="44">
        <v>22</v>
      </c>
      <c r="F712" s="44">
        <f>1.8*E712+32</f>
        <v>71.599999999999994</v>
      </c>
      <c r="G712" s="45">
        <v>20</v>
      </c>
      <c r="H712" s="44">
        <f>IF(F712&gt;68,G712+(F712-68)*0.2,Y735-(68-F712)*0.2)</f>
        <v>20.72</v>
      </c>
      <c r="I712" s="44">
        <v>22</v>
      </c>
      <c r="J712" s="44">
        <f>1.8*I712+32</f>
        <v>71.599999999999994</v>
      </c>
      <c r="K712" s="45">
        <v>10</v>
      </c>
      <c r="L712" s="44">
        <f>IF(J712&gt;68,K712+(J712-68)*0.2,K712-(68-J712)*0.2)</f>
        <v>10.719999999999999</v>
      </c>
      <c r="M712" s="43">
        <f>(C712-H712)/C712*100</f>
        <v>58.56</v>
      </c>
      <c r="N712" s="43">
        <f>100-(M712+O712)</f>
        <v>20</v>
      </c>
      <c r="O712" s="43">
        <f>L712/C712*100</f>
        <v>21.439999999999998</v>
      </c>
      <c r="P712" s="42" t="s">
        <v>2</v>
      </c>
      <c r="Q712" s="41">
        <v>407365.84399999998</v>
      </c>
      <c r="R712" s="41">
        <v>3660007.2230000002</v>
      </c>
    </row>
    <row r="713" spans="1:18" x14ac:dyDescent="0.25">
      <c r="A713" s="49">
        <v>2639</v>
      </c>
      <c r="B713" s="48" t="s">
        <v>842</v>
      </c>
      <c r="C713" s="47">
        <v>50</v>
      </c>
      <c r="D713" s="46">
        <v>20</v>
      </c>
      <c r="E713" s="44">
        <v>22</v>
      </c>
      <c r="F713" s="44">
        <f>1.8*E713+32</f>
        <v>71.599999999999994</v>
      </c>
      <c r="G713" s="45">
        <v>21</v>
      </c>
      <c r="H713" s="44">
        <f>IF(F713&gt;68,G713+(F713-68)*0.2,Y736-(68-F713)*0.2)</f>
        <v>21.72</v>
      </c>
      <c r="I713" s="44">
        <v>22</v>
      </c>
      <c r="J713" s="44">
        <f>1.8*I713+32</f>
        <v>71.599999999999994</v>
      </c>
      <c r="K713" s="45">
        <v>11</v>
      </c>
      <c r="L713" s="44">
        <f>IF(J713&gt;68,K713+(J713-68)*0.2,K713-(68-J713)*0.2)</f>
        <v>11.719999999999999</v>
      </c>
      <c r="M713" s="43">
        <f>(C713-H713)/C713*100</f>
        <v>56.56</v>
      </c>
      <c r="N713" s="43">
        <f>100-(M713+O713)</f>
        <v>20</v>
      </c>
      <c r="O713" s="43">
        <f>L713/C713*100</f>
        <v>23.439999999999998</v>
      </c>
      <c r="P713" s="42" t="s">
        <v>2</v>
      </c>
      <c r="Q713" s="41">
        <v>407365.84399999998</v>
      </c>
      <c r="R713" s="41">
        <v>3660007.2230000002</v>
      </c>
    </row>
    <row r="714" spans="1:18" x14ac:dyDescent="0.25">
      <c r="A714" s="49">
        <v>2639</v>
      </c>
      <c r="B714" s="48" t="s">
        <v>841</v>
      </c>
      <c r="C714" s="47">
        <v>50</v>
      </c>
      <c r="D714" s="46">
        <v>20</v>
      </c>
      <c r="E714" s="44">
        <v>22</v>
      </c>
      <c r="F714" s="44">
        <f>1.8*E714+32</f>
        <v>71.599999999999994</v>
      </c>
      <c r="G714" s="45">
        <v>20</v>
      </c>
      <c r="H714" s="44">
        <f>IF(F714&gt;68,G714+(F714-68)*0.2,Y737-(68-F714)*0.2)</f>
        <v>20.72</v>
      </c>
      <c r="I714" s="44">
        <v>22</v>
      </c>
      <c r="J714" s="44">
        <f>1.8*I714+32</f>
        <v>71.599999999999994</v>
      </c>
      <c r="K714" s="45">
        <v>9</v>
      </c>
      <c r="L714" s="44">
        <f>IF(J714&gt;68,K714+(J714-68)*0.2,K714-(68-J714)*0.2)</f>
        <v>9.7199999999999989</v>
      </c>
      <c r="M714" s="43">
        <f>(C714-H714)/C714*100</f>
        <v>58.56</v>
      </c>
      <c r="N714" s="43">
        <f>100-(M714+O714)</f>
        <v>22</v>
      </c>
      <c r="O714" s="43">
        <f>L714/C714*100</f>
        <v>19.439999999999998</v>
      </c>
      <c r="P714" s="42" t="s">
        <v>0</v>
      </c>
      <c r="Q714" s="41">
        <v>407365.84399999998</v>
      </c>
      <c r="R714" s="41">
        <v>3660007.2230000002</v>
      </c>
    </row>
    <row r="715" spans="1:18" x14ac:dyDescent="0.25">
      <c r="A715" s="49">
        <v>2639</v>
      </c>
      <c r="B715" s="48" t="s">
        <v>839</v>
      </c>
      <c r="C715" s="47">
        <v>50</v>
      </c>
      <c r="D715" s="46">
        <v>20</v>
      </c>
      <c r="E715" s="44">
        <v>22</v>
      </c>
      <c r="F715" s="44">
        <f>1.8*E715+32</f>
        <v>71.599999999999994</v>
      </c>
      <c r="G715" s="45">
        <v>17</v>
      </c>
      <c r="H715" s="44">
        <f>IF(F715&gt;68,G715+(F715-68)*0.2,Y738-(68-F715)*0.2)</f>
        <v>17.72</v>
      </c>
      <c r="I715" s="44">
        <v>22</v>
      </c>
      <c r="J715" s="44">
        <f>1.8*I715+32</f>
        <v>71.599999999999994</v>
      </c>
      <c r="K715" s="45">
        <v>7</v>
      </c>
      <c r="L715" s="44">
        <f>IF(J715&gt;68,K715+(J715-68)*0.2,K715-(68-J715)*0.2)</f>
        <v>7.7199999999999989</v>
      </c>
      <c r="M715" s="43">
        <f>(C715-H715)/C715*100</f>
        <v>64.56</v>
      </c>
      <c r="N715" s="43">
        <f>100-(M715+O715)</f>
        <v>20</v>
      </c>
      <c r="O715" s="43">
        <f>L715/C715*100</f>
        <v>15.439999999999998</v>
      </c>
      <c r="P715" s="42" t="s">
        <v>0</v>
      </c>
      <c r="Q715" s="41">
        <v>407365.84399999998</v>
      </c>
      <c r="R715" s="41">
        <v>3660007.2230000002</v>
      </c>
    </row>
    <row r="716" spans="1:18" x14ac:dyDescent="0.25">
      <c r="A716" s="61"/>
      <c r="B716" s="58"/>
      <c r="C716" s="58"/>
      <c r="D716" s="58"/>
      <c r="E716" s="58"/>
      <c r="F716" s="58"/>
      <c r="G716" s="60"/>
      <c r="H716" s="58"/>
      <c r="I716" s="58"/>
      <c r="J716" s="58"/>
      <c r="K716" s="60"/>
      <c r="L716" s="58"/>
      <c r="M716" s="59"/>
      <c r="N716" s="59"/>
      <c r="O716" s="59"/>
      <c r="P716" s="58"/>
    </row>
    <row r="717" spans="1:18" x14ac:dyDescent="0.25">
      <c r="A717" s="57"/>
      <c r="B717" s="56"/>
      <c r="C717" s="55"/>
      <c r="D717" s="54"/>
      <c r="E717" s="52"/>
      <c r="F717" s="52"/>
      <c r="G717" s="53"/>
      <c r="H717" s="52"/>
      <c r="I717" s="52"/>
      <c r="J717" s="52"/>
      <c r="K717" s="53"/>
      <c r="L717" s="52"/>
      <c r="M717" s="51"/>
      <c r="N717" s="51"/>
      <c r="O717" s="51"/>
      <c r="P717" s="50"/>
      <c r="Q717" s="5" t="s">
        <v>4</v>
      </c>
      <c r="R717" s="5" t="s">
        <v>3</v>
      </c>
    </row>
    <row r="718" spans="1:18" x14ac:dyDescent="0.25">
      <c r="A718" s="49" t="s">
        <v>848</v>
      </c>
      <c r="B718" s="48" t="s">
        <v>845</v>
      </c>
      <c r="C718" s="47">
        <v>50</v>
      </c>
      <c r="D718" s="46">
        <v>20</v>
      </c>
      <c r="E718" s="44">
        <v>22</v>
      </c>
      <c r="F718" s="44">
        <f>1.8*E718+32</f>
        <v>71.599999999999994</v>
      </c>
      <c r="G718" s="45">
        <v>20</v>
      </c>
      <c r="H718" s="44">
        <f>IF(F718&gt;68,G718+(F718-68)*0.2,#REF!-(68-F718)*0.2)</f>
        <v>20.72</v>
      </c>
      <c r="I718" s="44">
        <v>22</v>
      </c>
      <c r="J718" s="44">
        <f>1.8*I718+32</f>
        <v>71.599999999999994</v>
      </c>
      <c r="K718" s="45">
        <v>10</v>
      </c>
      <c r="L718" s="44">
        <f>IF(J718&gt;68,K718+(J718-68)*0.2,K718-(68-J718)*0.2)</f>
        <v>10.719999999999999</v>
      </c>
      <c r="M718" s="43">
        <f>(C718-H718)/C718*100</f>
        <v>58.56</v>
      </c>
      <c r="N718" s="43">
        <f>100-(M718+O718)</f>
        <v>20</v>
      </c>
      <c r="O718" s="43">
        <f>L718/C718*100</f>
        <v>21.439999999999998</v>
      </c>
      <c r="P718" s="42" t="s">
        <v>2</v>
      </c>
      <c r="Q718" s="41">
        <v>407365.84399999998</v>
      </c>
      <c r="R718" s="41">
        <v>3660007.2230000002</v>
      </c>
    </row>
    <row r="719" spans="1:18" x14ac:dyDescent="0.25">
      <c r="A719" s="49" t="s">
        <v>848</v>
      </c>
      <c r="B719" s="48" t="s">
        <v>844</v>
      </c>
      <c r="C719" s="47">
        <v>50</v>
      </c>
      <c r="D719" s="46">
        <v>20</v>
      </c>
      <c r="E719" s="44">
        <v>22</v>
      </c>
      <c r="F719" s="44">
        <f>1.8*E719+32</f>
        <v>71.599999999999994</v>
      </c>
      <c r="G719" s="45">
        <v>25</v>
      </c>
      <c r="H719" s="44">
        <f>IF(F719&gt;68,G719+(F719-68)*0.2,Y742-(68-F719)*0.2)</f>
        <v>25.72</v>
      </c>
      <c r="I719" s="44">
        <v>22</v>
      </c>
      <c r="J719" s="44">
        <f>1.8*I719+32</f>
        <v>71.599999999999994</v>
      </c>
      <c r="K719" s="45">
        <v>15</v>
      </c>
      <c r="L719" s="44">
        <f>IF(J719&gt;68,K719+(J719-68)*0.2,K719-(68-J719)*0.2)</f>
        <v>15.719999999999999</v>
      </c>
      <c r="M719" s="43">
        <f>(C719-H719)/C719*100</f>
        <v>48.56</v>
      </c>
      <c r="N719" s="43">
        <f>100-(M719+O719)</f>
        <v>20</v>
      </c>
      <c r="O719" s="43">
        <f>L719/C719*100</f>
        <v>31.439999999999994</v>
      </c>
      <c r="P719" s="42" t="s">
        <v>2</v>
      </c>
      <c r="Q719" s="41">
        <v>407365.84399999998</v>
      </c>
      <c r="R719" s="41">
        <v>3660007.2230000002</v>
      </c>
    </row>
    <row r="720" spans="1:18" x14ac:dyDescent="0.25">
      <c r="A720" s="49" t="s">
        <v>848</v>
      </c>
      <c r="B720" s="48" t="s">
        <v>843</v>
      </c>
      <c r="C720" s="47">
        <v>50</v>
      </c>
      <c r="D720" s="46">
        <v>20</v>
      </c>
      <c r="E720" s="44">
        <v>22</v>
      </c>
      <c r="F720" s="44">
        <f>1.8*E720+32</f>
        <v>71.599999999999994</v>
      </c>
      <c r="G720" s="45">
        <v>15</v>
      </c>
      <c r="H720" s="44">
        <f>IF(F720&gt;68,G720+(F720-68)*0.2,Y743-(68-F720)*0.2)</f>
        <v>15.719999999999999</v>
      </c>
      <c r="I720" s="44">
        <v>22</v>
      </c>
      <c r="J720" s="44">
        <f>1.8*I720+32</f>
        <v>71.599999999999994</v>
      </c>
      <c r="K720" s="45">
        <v>7</v>
      </c>
      <c r="L720" s="44">
        <f>IF(J720&gt;68,K720+(J720-68)*0.2,K720-(68-J720)*0.2)</f>
        <v>7.7199999999999989</v>
      </c>
      <c r="M720" s="43">
        <f>(C720-H720)/C720*100</f>
        <v>68.56</v>
      </c>
      <c r="N720" s="43">
        <f>100-(M720+O720)</f>
        <v>16</v>
      </c>
      <c r="O720" s="43">
        <f>L720/C720*100</f>
        <v>15.439999999999998</v>
      </c>
      <c r="P720" s="42" t="s">
        <v>0</v>
      </c>
      <c r="Q720" s="41">
        <v>407365.84399999998</v>
      </c>
      <c r="R720" s="41">
        <v>3660007.2230000002</v>
      </c>
    </row>
    <row r="721" spans="1:18" x14ac:dyDescent="0.25">
      <c r="A721" s="49" t="s">
        <v>848</v>
      </c>
      <c r="B721" s="48" t="s">
        <v>842</v>
      </c>
      <c r="C721" s="47">
        <v>50</v>
      </c>
      <c r="D721" s="46">
        <v>20</v>
      </c>
      <c r="E721" s="44">
        <v>22</v>
      </c>
      <c r="F721" s="44">
        <f>1.8*E721+32</f>
        <v>71.599999999999994</v>
      </c>
      <c r="G721" s="45">
        <v>20</v>
      </c>
      <c r="H721" s="44">
        <f>IF(F721&gt;68,G721+(F721-68)*0.2,Y744-(68-F721)*0.2)</f>
        <v>20.72</v>
      </c>
      <c r="I721" s="44">
        <v>22</v>
      </c>
      <c r="J721" s="44">
        <f>1.8*I721+32</f>
        <v>71.599999999999994</v>
      </c>
      <c r="K721" s="45">
        <v>10</v>
      </c>
      <c r="L721" s="44">
        <f>IF(J721&gt;68,K721+(J721-68)*0.2,K721-(68-J721)*0.2)</f>
        <v>10.719999999999999</v>
      </c>
      <c r="M721" s="43">
        <f>(C721-H721)/C721*100</f>
        <v>58.56</v>
      </c>
      <c r="N721" s="43">
        <f>100-(M721+O721)</f>
        <v>20</v>
      </c>
      <c r="O721" s="43">
        <f>L721/C721*100</f>
        <v>21.439999999999998</v>
      </c>
      <c r="P721" s="42" t="s">
        <v>2</v>
      </c>
      <c r="Q721" s="41">
        <v>407365.84399999998</v>
      </c>
      <c r="R721" s="41">
        <v>3660007.2230000002</v>
      </c>
    </row>
    <row r="722" spans="1:18" x14ac:dyDescent="0.25">
      <c r="A722" s="49" t="s">
        <v>848</v>
      </c>
      <c r="B722" s="48" t="s">
        <v>841</v>
      </c>
      <c r="C722" s="47">
        <v>50</v>
      </c>
      <c r="D722" s="46">
        <v>20</v>
      </c>
      <c r="E722" s="44">
        <v>22</v>
      </c>
      <c r="F722" s="44">
        <f>1.8*E722+32</f>
        <v>71.599999999999994</v>
      </c>
      <c r="G722" s="45">
        <v>17</v>
      </c>
      <c r="H722" s="44">
        <f>IF(F722&gt;68,G722+(F722-68)*0.2,Y745-(68-F722)*0.2)</f>
        <v>17.72</v>
      </c>
      <c r="I722" s="44">
        <v>22</v>
      </c>
      <c r="J722" s="44">
        <f>1.8*I722+32</f>
        <v>71.599999999999994</v>
      </c>
      <c r="K722" s="45">
        <v>9</v>
      </c>
      <c r="L722" s="44">
        <f>IF(J722&gt;68,K722+(J722-68)*0.2,K722-(68-J722)*0.2)</f>
        <v>9.7199999999999989</v>
      </c>
      <c r="M722" s="43">
        <f>(C722-H722)/C722*100</f>
        <v>64.56</v>
      </c>
      <c r="N722" s="43">
        <f>100-(M722+O722)</f>
        <v>16</v>
      </c>
      <c r="O722" s="43">
        <f>L722/C722*100</f>
        <v>19.439999999999998</v>
      </c>
      <c r="P722" s="42" t="s">
        <v>0</v>
      </c>
      <c r="Q722" s="41">
        <v>407365.84399999998</v>
      </c>
      <c r="R722" s="41">
        <v>3660007.2230000002</v>
      </c>
    </row>
    <row r="723" spans="1:18" x14ac:dyDescent="0.25">
      <c r="A723" s="49" t="s">
        <v>848</v>
      </c>
      <c r="B723" s="48" t="s">
        <v>839</v>
      </c>
      <c r="C723" s="47">
        <v>50</v>
      </c>
      <c r="D723" s="46">
        <v>20</v>
      </c>
      <c r="E723" s="44">
        <v>22</v>
      </c>
      <c r="F723" s="44">
        <f>1.8*E723+32</f>
        <v>71.599999999999994</v>
      </c>
      <c r="G723" s="45">
        <v>18</v>
      </c>
      <c r="H723" s="44">
        <f>IF(F723&gt;68,G723+(F723-68)*0.2,Y746-(68-F723)*0.2)</f>
        <v>18.72</v>
      </c>
      <c r="I723" s="44">
        <v>22</v>
      </c>
      <c r="J723" s="44">
        <f>1.8*I723+32</f>
        <v>71.599999999999994</v>
      </c>
      <c r="K723" s="45">
        <v>9</v>
      </c>
      <c r="L723" s="44">
        <f>IF(J723&gt;68,K723+(J723-68)*0.2,K723-(68-J723)*0.2)</f>
        <v>9.7199999999999989</v>
      </c>
      <c r="M723" s="43">
        <f>(C723-H723)/C723*100</f>
        <v>62.56</v>
      </c>
      <c r="N723" s="43">
        <f>100-(M723+O723)</f>
        <v>18</v>
      </c>
      <c r="O723" s="43">
        <f>L723/C723*100</f>
        <v>19.439999999999998</v>
      </c>
      <c r="P723" s="42" t="s">
        <v>0</v>
      </c>
      <c r="Q723" s="41">
        <v>407365.84399999998</v>
      </c>
      <c r="R723" s="41">
        <v>3660007.2230000002</v>
      </c>
    </row>
    <row r="724" spans="1:18" x14ac:dyDescent="0.25">
      <c r="A724" s="61"/>
      <c r="B724" s="58"/>
      <c r="C724" s="58"/>
      <c r="D724" s="58"/>
      <c r="E724" s="58"/>
      <c r="F724" s="58"/>
      <c r="G724" s="60"/>
      <c r="H724" s="58"/>
      <c r="I724" s="58"/>
      <c r="J724" s="58"/>
      <c r="K724" s="60"/>
      <c r="L724" s="58"/>
      <c r="M724" s="59"/>
      <c r="N724" s="59"/>
      <c r="O724" s="59"/>
      <c r="P724" s="58"/>
    </row>
    <row r="725" spans="1:18" x14ac:dyDescent="0.25">
      <c r="A725" s="57"/>
      <c r="B725" s="56"/>
      <c r="C725" s="55"/>
      <c r="D725" s="54"/>
      <c r="E725" s="52"/>
      <c r="F725" s="52"/>
      <c r="G725" s="53"/>
      <c r="H725" s="52"/>
      <c r="I725" s="52"/>
      <c r="J725" s="52"/>
      <c r="K725" s="53"/>
      <c r="L725" s="52"/>
      <c r="M725" s="51"/>
      <c r="N725" s="51"/>
      <c r="O725" s="51"/>
      <c r="P725" s="50"/>
      <c r="Q725" s="5" t="s">
        <v>4</v>
      </c>
      <c r="R725" s="5" t="s">
        <v>3</v>
      </c>
    </row>
    <row r="726" spans="1:18" x14ac:dyDescent="0.25">
      <c r="A726" s="49">
        <v>2752</v>
      </c>
      <c r="B726" s="48" t="s">
        <v>845</v>
      </c>
      <c r="C726" s="47">
        <v>50</v>
      </c>
      <c r="D726" s="46">
        <v>20</v>
      </c>
      <c r="E726" s="44">
        <v>22</v>
      </c>
      <c r="F726" s="44">
        <f>1.8*E726+32</f>
        <v>71.599999999999994</v>
      </c>
      <c r="G726" s="45">
        <v>32</v>
      </c>
      <c r="H726" s="44">
        <f>IF(F726&gt;68,G726+(F726-68)*0.2,#REF!-(68-F726)*0.2)</f>
        <v>32.72</v>
      </c>
      <c r="I726" s="44">
        <v>23</v>
      </c>
      <c r="J726" s="44">
        <f>1.8*I726+32</f>
        <v>73.400000000000006</v>
      </c>
      <c r="K726" s="45">
        <v>16</v>
      </c>
      <c r="L726" s="44">
        <f>IF(J726&gt;68,K726+(J726-68)*0.2,K726-(68-J726)*0.2)</f>
        <v>17.080000000000002</v>
      </c>
      <c r="M726" s="43">
        <f>(C726-H726)/C726*100</f>
        <v>34.56</v>
      </c>
      <c r="N726" s="43">
        <f>100-(M726+O726)</f>
        <v>31.28</v>
      </c>
      <c r="O726" s="43">
        <f>L726/C726*100</f>
        <v>34.160000000000004</v>
      </c>
      <c r="P726" s="42" t="s">
        <v>22</v>
      </c>
      <c r="Q726" s="41">
        <v>407348.424</v>
      </c>
      <c r="R726" s="41">
        <v>3659929.841</v>
      </c>
    </row>
    <row r="727" spans="1:18" x14ac:dyDescent="0.25">
      <c r="A727" s="49">
        <v>2752</v>
      </c>
      <c r="B727" s="48" t="s">
        <v>844</v>
      </c>
      <c r="C727" s="47">
        <v>50</v>
      </c>
      <c r="D727" s="46">
        <v>20</v>
      </c>
      <c r="E727" s="44">
        <v>22</v>
      </c>
      <c r="F727" s="44">
        <f>1.8*E727+32</f>
        <v>71.599999999999994</v>
      </c>
      <c r="G727" s="45">
        <v>30</v>
      </c>
      <c r="H727" s="44">
        <f>IF(F727&gt;68,G727+(F727-68)*0.2,Y750-(68-F727)*0.2)</f>
        <v>30.72</v>
      </c>
      <c r="I727" s="44">
        <v>23</v>
      </c>
      <c r="J727" s="44">
        <f>1.8*I727+32</f>
        <v>73.400000000000006</v>
      </c>
      <c r="K727" s="45">
        <v>16</v>
      </c>
      <c r="L727" s="44">
        <f>IF(J727&gt;68,K727+(J727-68)*0.2,K727-(68-J727)*0.2)</f>
        <v>17.080000000000002</v>
      </c>
      <c r="M727" s="43">
        <f>(C727-H727)/C727*100</f>
        <v>38.56</v>
      </c>
      <c r="N727" s="43">
        <f>100-(M727+O727)</f>
        <v>27.28</v>
      </c>
      <c r="O727" s="43">
        <f>L727/C727*100</f>
        <v>34.160000000000004</v>
      </c>
      <c r="P727" s="42" t="s">
        <v>22</v>
      </c>
      <c r="Q727" s="41">
        <v>407348.424</v>
      </c>
      <c r="R727" s="41">
        <v>3659929.841</v>
      </c>
    </row>
    <row r="728" spans="1:18" x14ac:dyDescent="0.25">
      <c r="A728" s="49">
        <v>2752</v>
      </c>
      <c r="B728" s="48" t="s">
        <v>843</v>
      </c>
      <c r="C728" s="47">
        <v>50</v>
      </c>
      <c r="D728" s="46">
        <v>20</v>
      </c>
      <c r="E728" s="44">
        <v>22</v>
      </c>
      <c r="F728" s="44">
        <f>1.8*E728+32</f>
        <v>71.599999999999994</v>
      </c>
      <c r="G728" s="45">
        <v>16</v>
      </c>
      <c r="H728" s="44">
        <f>IF(F728&gt;68,G728+(F728-68)*0.2,Y751-(68-F728)*0.2)</f>
        <v>16.72</v>
      </c>
      <c r="I728" s="44">
        <v>23</v>
      </c>
      <c r="J728" s="44">
        <f>1.8*I728+32</f>
        <v>73.400000000000006</v>
      </c>
      <c r="K728" s="45">
        <v>9</v>
      </c>
      <c r="L728" s="44">
        <f>IF(J728&gt;68,K728+(J728-68)*0.2,K728-(68-J728)*0.2)</f>
        <v>10.080000000000002</v>
      </c>
      <c r="M728" s="43">
        <f>(C728-H728)/C728*100</f>
        <v>66.56</v>
      </c>
      <c r="N728" s="43">
        <f>100-(M728+O728)</f>
        <v>13.280000000000001</v>
      </c>
      <c r="O728" s="43">
        <f>L728/C728*100</f>
        <v>20.160000000000004</v>
      </c>
      <c r="P728" s="42" t="s">
        <v>2</v>
      </c>
      <c r="Q728" s="41">
        <v>407348.424</v>
      </c>
      <c r="R728" s="41">
        <v>3659929.841</v>
      </c>
    </row>
    <row r="729" spans="1:18" x14ac:dyDescent="0.25">
      <c r="A729" s="49">
        <v>2752</v>
      </c>
      <c r="B729" s="48" t="s">
        <v>842</v>
      </c>
      <c r="C729" s="47">
        <v>50</v>
      </c>
      <c r="D729" s="46">
        <v>20</v>
      </c>
      <c r="E729" s="44">
        <v>22</v>
      </c>
      <c r="F729" s="44">
        <f>1.8*E729+32</f>
        <v>71.599999999999994</v>
      </c>
      <c r="G729" s="45">
        <v>17</v>
      </c>
      <c r="H729" s="44">
        <f>IF(F729&gt;68,G729+(F729-68)*0.2,Y752-(68-F729)*0.2)</f>
        <v>17.72</v>
      </c>
      <c r="I729" s="44">
        <v>23</v>
      </c>
      <c r="J729" s="44">
        <f>1.8*I729+32</f>
        <v>73.400000000000006</v>
      </c>
      <c r="K729" s="45">
        <v>10</v>
      </c>
      <c r="L729" s="44">
        <f>IF(J729&gt;68,K729+(J729-68)*0.2,K729-(68-J729)*0.2)</f>
        <v>11.080000000000002</v>
      </c>
      <c r="M729" s="43">
        <f>(C729-H729)/C729*100</f>
        <v>64.56</v>
      </c>
      <c r="N729" s="43">
        <f>100-(M729+O729)</f>
        <v>13.280000000000001</v>
      </c>
      <c r="O729" s="43">
        <f>L729/C729*100</f>
        <v>22.160000000000004</v>
      </c>
      <c r="P729" s="42" t="s">
        <v>2</v>
      </c>
      <c r="Q729" s="41">
        <v>407348.424</v>
      </c>
      <c r="R729" s="41">
        <v>3659929.841</v>
      </c>
    </row>
    <row r="730" spans="1:18" x14ac:dyDescent="0.25">
      <c r="A730" s="49">
        <v>2752</v>
      </c>
      <c r="B730" s="48" t="s">
        <v>841</v>
      </c>
      <c r="C730" s="47">
        <v>50</v>
      </c>
      <c r="D730" s="46">
        <v>20</v>
      </c>
      <c r="E730" s="44">
        <v>22</v>
      </c>
      <c r="F730" s="44">
        <f>1.8*E730+32</f>
        <v>71.599999999999994</v>
      </c>
      <c r="G730" s="45">
        <v>20</v>
      </c>
      <c r="H730" s="44">
        <f>IF(F730&gt;68,G730+(F730-68)*0.2,Y753-(68-F730)*0.2)</f>
        <v>20.72</v>
      </c>
      <c r="I730" s="44">
        <v>22</v>
      </c>
      <c r="J730" s="44">
        <f>1.8*I730+32</f>
        <v>71.599999999999994</v>
      </c>
      <c r="K730" s="45">
        <v>7</v>
      </c>
      <c r="L730" s="44">
        <f>IF(J730&gt;68,K730+(J730-68)*0.2,K730-(68-J730)*0.2)</f>
        <v>7.7199999999999989</v>
      </c>
      <c r="M730" s="43">
        <f>(C730-H730)/C730*100</f>
        <v>58.56</v>
      </c>
      <c r="N730" s="43">
        <f>100-(M730+O730)</f>
        <v>26</v>
      </c>
      <c r="O730" s="43">
        <f>L730/C730*100</f>
        <v>15.439999999999998</v>
      </c>
      <c r="P730" s="42" t="s">
        <v>0</v>
      </c>
      <c r="Q730" s="41">
        <v>407348.424</v>
      </c>
      <c r="R730" s="41">
        <v>3659929.841</v>
      </c>
    </row>
    <row r="731" spans="1:18" x14ac:dyDescent="0.25">
      <c r="A731" s="49">
        <v>2752</v>
      </c>
      <c r="B731" s="48" t="s">
        <v>839</v>
      </c>
      <c r="C731" s="47">
        <v>50</v>
      </c>
      <c r="D731" s="46">
        <v>20</v>
      </c>
      <c r="E731" s="44">
        <v>22</v>
      </c>
      <c r="F731" s="44">
        <f>1.8*E731+32</f>
        <v>71.599999999999994</v>
      </c>
      <c r="G731" s="45">
        <v>20</v>
      </c>
      <c r="H731" s="44">
        <f>IF(F731&gt;68,G731+(F731-68)*0.2,Y754-(68-F731)*0.2)</f>
        <v>20.72</v>
      </c>
      <c r="I731" s="44">
        <v>22</v>
      </c>
      <c r="J731" s="44">
        <f>1.8*I731+32</f>
        <v>71.599999999999994</v>
      </c>
      <c r="K731" s="45">
        <v>6</v>
      </c>
      <c r="L731" s="44">
        <f>IF(J731&gt;68,K731+(J731-68)*0.2,K731-(68-J731)*0.2)</f>
        <v>6.7199999999999989</v>
      </c>
      <c r="M731" s="43">
        <f>(C731-H731)/C731*100</f>
        <v>58.56</v>
      </c>
      <c r="N731" s="43">
        <f>100-(M731+O731)</f>
        <v>28</v>
      </c>
      <c r="O731" s="43">
        <f>L731/C731*100</f>
        <v>13.439999999999996</v>
      </c>
      <c r="P731" s="42" t="s">
        <v>0</v>
      </c>
      <c r="Q731" s="41">
        <v>407348.424</v>
      </c>
      <c r="R731" s="41">
        <v>3659929.841</v>
      </c>
    </row>
    <row r="732" spans="1:18" x14ac:dyDescent="0.25">
      <c r="A732" s="61"/>
      <c r="B732" s="58"/>
      <c r="C732" s="58"/>
      <c r="D732" s="58"/>
      <c r="E732" s="58"/>
      <c r="F732" s="58"/>
      <c r="G732" s="60"/>
      <c r="H732" s="58"/>
      <c r="I732" s="58"/>
      <c r="J732" s="58"/>
      <c r="K732" s="60"/>
      <c r="L732" s="58"/>
      <c r="M732" s="59"/>
      <c r="N732" s="59"/>
      <c r="O732" s="59"/>
      <c r="P732" s="58"/>
    </row>
    <row r="733" spans="1:18" x14ac:dyDescent="0.25">
      <c r="A733" s="57"/>
      <c r="B733" s="56"/>
      <c r="C733" s="55"/>
      <c r="D733" s="54"/>
      <c r="E733" s="52"/>
      <c r="F733" s="52"/>
      <c r="G733" s="53"/>
      <c r="H733" s="52"/>
      <c r="I733" s="52"/>
      <c r="J733" s="52"/>
      <c r="K733" s="53"/>
      <c r="L733" s="52"/>
      <c r="M733" s="51"/>
      <c r="N733" s="51"/>
      <c r="O733" s="51"/>
      <c r="P733" s="50"/>
      <c r="Q733" s="5" t="s">
        <v>4</v>
      </c>
      <c r="R733" s="5" t="s">
        <v>3</v>
      </c>
    </row>
    <row r="734" spans="1:18" x14ac:dyDescent="0.25">
      <c r="A734" s="49">
        <v>2808</v>
      </c>
      <c r="B734" s="48" t="s">
        <v>845</v>
      </c>
      <c r="C734" s="47">
        <v>50</v>
      </c>
      <c r="D734" s="46">
        <v>20</v>
      </c>
      <c r="E734" s="44">
        <v>22</v>
      </c>
      <c r="F734" s="44">
        <f>1.8*E734+32</f>
        <v>71.599999999999994</v>
      </c>
      <c r="G734" s="45">
        <v>24</v>
      </c>
      <c r="H734" s="44">
        <f>IF(F734&gt;68,G734+(F734-68)*0.2,#REF!-(68-F734)*0.2)</f>
        <v>24.72</v>
      </c>
      <c r="I734" s="44">
        <v>22</v>
      </c>
      <c r="J734" s="44">
        <f>1.8*I734+32</f>
        <v>71.599999999999994</v>
      </c>
      <c r="K734" s="45">
        <v>13</v>
      </c>
      <c r="L734" s="44">
        <f>IF(J734&gt;68,K734+(J734-68)*0.2,K734-(68-J734)*0.2)</f>
        <v>13.719999999999999</v>
      </c>
      <c r="M734" s="43">
        <f>(C734-H734)/C734*100</f>
        <v>50.56</v>
      </c>
      <c r="N734" s="43">
        <f>100-(M734+O734)</f>
        <v>22</v>
      </c>
      <c r="O734" s="43">
        <f>L734/C734*100</f>
        <v>27.439999999999998</v>
      </c>
      <c r="P734" s="42" t="s">
        <v>2</v>
      </c>
      <c r="Q734" s="41">
        <v>407344.39500000002</v>
      </c>
      <c r="R734" s="41">
        <v>3659899.3319999999</v>
      </c>
    </row>
    <row r="735" spans="1:18" x14ac:dyDescent="0.25">
      <c r="A735" s="49">
        <v>2808</v>
      </c>
      <c r="B735" s="48" t="s">
        <v>844</v>
      </c>
      <c r="C735" s="47">
        <v>50</v>
      </c>
      <c r="D735" s="46">
        <v>20</v>
      </c>
      <c r="E735" s="44">
        <v>22</v>
      </c>
      <c r="F735" s="44">
        <f>1.8*E735+32</f>
        <v>71.599999999999994</v>
      </c>
      <c r="G735" s="45">
        <v>22</v>
      </c>
      <c r="H735" s="44">
        <f>IF(F735&gt;68,G735+(F735-68)*0.2,Y758-(68-F735)*0.2)</f>
        <v>22.72</v>
      </c>
      <c r="I735" s="44">
        <v>22</v>
      </c>
      <c r="J735" s="44">
        <f>1.8*I735+32</f>
        <v>71.599999999999994</v>
      </c>
      <c r="K735" s="45">
        <v>11</v>
      </c>
      <c r="L735" s="44">
        <f>IF(J735&gt;68,K735+(J735-68)*0.2,K735-(68-J735)*0.2)</f>
        <v>11.719999999999999</v>
      </c>
      <c r="M735" s="43">
        <f>(C735-H735)/C735*100</f>
        <v>54.559999999999995</v>
      </c>
      <c r="N735" s="43">
        <f>100-(M735+O735)</f>
        <v>22</v>
      </c>
      <c r="O735" s="43">
        <f>L735/C735*100</f>
        <v>23.439999999999998</v>
      </c>
      <c r="P735" s="42" t="s">
        <v>2</v>
      </c>
      <c r="Q735" s="41">
        <v>407344.39500000002</v>
      </c>
      <c r="R735" s="41">
        <v>3659899.3319999999</v>
      </c>
    </row>
    <row r="736" spans="1:18" x14ac:dyDescent="0.25">
      <c r="A736" s="49">
        <v>2808</v>
      </c>
      <c r="B736" s="48" t="s">
        <v>843</v>
      </c>
      <c r="C736" s="47">
        <v>50</v>
      </c>
      <c r="D736" s="46">
        <v>20</v>
      </c>
      <c r="E736" s="44">
        <v>22</v>
      </c>
      <c r="F736" s="44">
        <f>1.8*E736+32</f>
        <v>71.599999999999994</v>
      </c>
      <c r="G736" s="45">
        <v>18</v>
      </c>
      <c r="H736" s="44">
        <f>IF(F736&gt;68,G736+(F736-68)*0.2,Y759-(68-F736)*0.2)</f>
        <v>18.72</v>
      </c>
      <c r="I736" s="44">
        <v>23</v>
      </c>
      <c r="J736" s="44">
        <f>1.8*I736+32</f>
        <v>73.400000000000006</v>
      </c>
      <c r="K736" s="45">
        <v>10</v>
      </c>
      <c r="L736" s="44">
        <f>IF(J736&gt;68,K736+(J736-68)*0.2,K736-(68-J736)*0.2)</f>
        <v>11.080000000000002</v>
      </c>
      <c r="M736" s="43">
        <f>(C736-H736)/C736*100</f>
        <v>62.56</v>
      </c>
      <c r="N736" s="43">
        <f>100-(M736+O736)</f>
        <v>15.280000000000001</v>
      </c>
      <c r="O736" s="43">
        <f>L736/C736*100</f>
        <v>22.160000000000004</v>
      </c>
      <c r="P736" s="42" t="s">
        <v>2</v>
      </c>
      <c r="Q736" s="41">
        <v>407344.39500000002</v>
      </c>
      <c r="R736" s="41">
        <v>3659899.3319999999</v>
      </c>
    </row>
    <row r="737" spans="1:18" x14ac:dyDescent="0.25">
      <c r="A737" s="49">
        <v>2808</v>
      </c>
      <c r="B737" s="48" t="s">
        <v>842</v>
      </c>
      <c r="C737" s="47">
        <v>50</v>
      </c>
      <c r="D737" s="46">
        <v>20</v>
      </c>
      <c r="E737" s="44">
        <v>22</v>
      </c>
      <c r="F737" s="44">
        <f>1.8*E737+32</f>
        <v>71.599999999999994</v>
      </c>
      <c r="G737" s="45">
        <v>16</v>
      </c>
      <c r="H737" s="44">
        <f>IF(F737&gt;68,G737+(F737-68)*0.2,Y760-(68-F737)*0.2)</f>
        <v>16.72</v>
      </c>
      <c r="I737" s="44">
        <v>23</v>
      </c>
      <c r="J737" s="44">
        <f>1.8*I737+32</f>
        <v>73.400000000000006</v>
      </c>
      <c r="K737" s="45">
        <v>5</v>
      </c>
      <c r="L737" s="44">
        <f>IF(J737&gt;68,K737+(J737-68)*0.2,K737-(68-J737)*0.2)</f>
        <v>6.080000000000001</v>
      </c>
      <c r="M737" s="43">
        <f>(C737-H737)/C737*100</f>
        <v>66.56</v>
      </c>
      <c r="N737" s="43">
        <f>100-(M737+O737)</f>
        <v>21.28</v>
      </c>
      <c r="O737" s="43">
        <f>L737/C737*100</f>
        <v>12.160000000000002</v>
      </c>
      <c r="P737" s="42" t="s">
        <v>0</v>
      </c>
      <c r="Q737" s="41">
        <v>407344.39500000002</v>
      </c>
      <c r="R737" s="41">
        <v>3659899.3319999999</v>
      </c>
    </row>
    <row r="738" spans="1:18" x14ac:dyDescent="0.25">
      <c r="A738" s="49">
        <v>2808</v>
      </c>
      <c r="B738" s="48" t="s">
        <v>841</v>
      </c>
      <c r="C738" s="47">
        <v>50</v>
      </c>
      <c r="D738" s="46">
        <v>20</v>
      </c>
      <c r="E738" s="44">
        <v>22</v>
      </c>
      <c r="F738" s="44">
        <f>1.8*E738+32</f>
        <v>71.599999999999994</v>
      </c>
      <c r="G738" s="45">
        <v>16</v>
      </c>
      <c r="H738" s="44">
        <f>IF(F738&gt;68,G738+(F738-68)*0.2,Y761-(68-F738)*0.2)</f>
        <v>16.72</v>
      </c>
      <c r="I738" s="44">
        <v>23</v>
      </c>
      <c r="J738" s="44">
        <f>1.8*I738+32</f>
        <v>73.400000000000006</v>
      </c>
      <c r="K738" s="45">
        <v>6</v>
      </c>
      <c r="L738" s="44">
        <f>IF(J738&gt;68,K738+(J738-68)*0.2,K738-(68-J738)*0.2)</f>
        <v>7.080000000000001</v>
      </c>
      <c r="M738" s="43">
        <f>(C738-H738)/C738*100</f>
        <v>66.56</v>
      </c>
      <c r="N738" s="43">
        <f>100-(M738+O738)</f>
        <v>19.28</v>
      </c>
      <c r="O738" s="43">
        <f>L738/C738*100</f>
        <v>14.160000000000004</v>
      </c>
      <c r="P738" s="42" t="s">
        <v>0</v>
      </c>
      <c r="Q738" s="41">
        <v>407344.39500000002</v>
      </c>
      <c r="R738" s="41">
        <v>3659899.3319999999</v>
      </c>
    </row>
    <row r="739" spans="1:18" x14ac:dyDescent="0.25">
      <c r="A739" s="49">
        <v>2808</v>
      </c>
      <c r="B739" s="48" t="s">
        <v>839</v>
      </c>
      <c r="C739" s="47">
        <v>50</v>
      </c>
      <c r="D739" s="46">
        <v>20</v>
      </c>
      <c r="E739" s="44">
        <v>22</v>
      </c>
      <c r="F739" s="44">
        <f>1.8*E739+32</f>
        <v>71.599999999999994</v>
      </c>
      <c r="G739" s="45">
        <v>16</v>
      </c>
      <c r="H739" s="44">
        <f>IF(F739&gt;68,G739+(F739-68)*0.2,Y762-(68-F739)*0.2)</f>
        <v>16.72</v>
      </c>
      <c r="I739" s="44">
        <v>23</v>
      </c>
      <c r="J739" s="44">
        <f>1.8*I739+32</f>
        <v>73.400000000000006</v>
      </c>
      <c r="K739" s="45">
        <v>6</v>
      </c>
      <c r="L739" s="44">
        <f>IF(J739&gt;68,K739+(J739-68)*0.2,K739-(68-J739)*0.2)</f>
        <v>7.080000000000001</v>
      </c>
      <c r="M739" s="43">
        <f>(C739-H739)/C739*100</f>
        <v>66.56</v>
      </c>
      <c r="N739" s="43">
        <f>100-(M739+O739)</f>
        <v>19.28</v>
      </c>
      <c r="O739" s="43">
        <f>L739/C739*100</f>
        <v>14.160000000000004</v>
      </c>
      <c r="P739" s="42" t="s">
        <v>0</v>
      </c>
      <c r="Q739" s="41">
        <v>407344.39500000002</v>
      </c>
      <c r="R739" s="41">
        <v>3659899.3319999999</v>
      </c>
    </row>
    <row r="740" spans="1:18" x14ac:dyDescent="0.25">
      <c r="A740" s="61"/>
      <c r="B740" s="58"/>
      <c r="C740" s="58"/>
      <c r="D740" s="58"/>
      <c r="E740" s="58"/>
      <c r="F740" s="58"/>
      <c r="G740" s="60"/>
      <c r="H740" s="58"/>
      <c r="I740" s="58"/>
      <c r="J740" s="58"/>
      <c r="K740" s="60"/>
      <c r="L740" s="58"/>
      <c r="M740" s="59"/>
      <c r="N740" s="59"/>
      <c r="O740" s="59"/>
      <c r="P740" s="58"/>
    </row>
    <row r="741" spans="1:18" x14ac:dyDescent="0.25">
      <c r="A741" s="57"/>
      <c r="B741" s="56"/>
      <c r="C741" s="55"/>
      <c r="D741" s="54"/>
      <c r="E741" s="52"/>
      <c r="F741" s="52"/>
      <c r="G741" s="53"/>
      <c r="H741" s="52"/>
      <c r="I741" s="52"/>
      <c r="J741" s="52"/>
      <c r="K741" s="53"/>
      <c r="L741" s="52"/>
      <c r="M741" s="51"/>
      <c r="N741" s="51"/>
      <c r="O741" s="51"/>
      <c r="P741" s="50"/>
      <c r="Q741" s="5" t="s">
        <v>4</v>
      </c>
      <c r="R741" s="5" t="s">
        <v>3</v>
      </c>
    </row>
    <row r="742" spans="1:18" x14ac:dyDescent="0.25">
      <c r="A742" s="49">
        <v>2813</v>
      </c>
      <c r="B742" s="48" t="s">
        <v>845</v>
      </c>
      <c r="C742" s="47">
        <v>50</v>
      </c>
      <c r="D742" s="46">
        <v>20</v>
      </c>
      <c r="E742" s="44">
        <v>22</v>
      </c>
      <c r="F742" s="44">
        <f>1.8*E742+32</f>
        <v>71.599999999999994</v>
      </c>
      <c r="G742" s="45">
        <v>20</v>
      </c>
      <c r="H742" s="44">
        <f>IF(F742&gt;68,G742+(F742-68)*0.2,#REF!-(68-F742)*0.2)</f>
        <v>20.72</v>
      </c>
      <c r="I742" s="44">
        <v>23</v>
      </c>
      <c r="J742" s="44">
        <f>1.8*I742+32</f>
        <v>73.400000000000006</v>
      </c>
      <c r="K742" s="45">
        <v>10</v>
      </c>
      <c r="L742" s="44">
        <f>IF(J742&gt;68,K742+(J742-68)*0.2,K742-(68-J742)*0.2)</f>
        <v>11.080000000000002</v>
      </c>
      <c r="M742" s="43">
        <f>(C742-H742)/C742*100</f>
        <v>58.56</v>
      </c>
      <c r="N742" s="43">
        <f>100-(M742+O742)</f>
        <v>19.28</v>
      </c>
      <c r="O742" s="43">
        <f>L742/C742*100</f>
        <v>22.160000000000004</v>
      </c>
      <c r="P742" s="42" t="s">
        <v>2</v>
      </c>
      <c r="Q742" s="41">
        <v>407344.049</v>
      </c>
      <c r="R742" s="41">
        <v>3659875.9190000002</v>
      </c>
    </row>
    <row r="743" spans="1:18" x14ac:dyDescent="0.25">
      <c r="A743" s="49">
        <v>2813</v>
      </c>
      <c r="B743" s="48" t="s">
        <v>844</v>
      </c>
      <c r="C743" s="47">
        <v>50</v>
      </c>
      <c r="D743" s="46">
        <v>20</v>
      </c>
      <c r="E743" s="44">
        <v>22</v>
      </c>
      <c r="F743" s="44">
        <f>1.8*E743+32</f>
        <v>71.599999999999994</v>
      </c>
      <c r="G743" s="45">
        <v>20</v>
      </c>
      <c r="H743" s="44">
        <f>IF(F743&gt;68,G743+(F743-68)*0.2,Y766-(68-F743)*0.2)</f>
        <v>20.72</v>
      </c>
      <c r="I743" s="44">
        <v>23</v>
      </c>
      <c r="J743" s="44">
        <f>1.8*I743+32</f>
        <v>73.400000000000006</v>
      </c>
      <c r="K743" s="45">
        <v>10</v>
      </c>
      <c r="L743" s="44">
        <f>IF(J743&gt;68,K743+(J743-68)*0.2,K743-(68-J743)*0.2)</f>
        <v>11.080000000000002</v>
      </c>
      <c r="M743" s="43">
        <f>(C743-H743)/C743*100</f>
        <v>58.56</v>
      </c>
      <c r="N743" s="43">
        <f>100-(M743+O743)</f>
        <v>19.28</v>
      </c>
      <c r="O743" s="43">
        <f>L743/C743*100</f>
        <v>22.160000000000004</v>
      </c>
      <c r="P743" s="42" t="s">
        <v>2</v>
      </c>
      <c r="Q743" s="41">
        <v>407344.049</v>
      </c>
      <c r="R743" s="41">
        <v>3659875.9190000002</v>
      </c>
    </row>
    <row r="744" spans="1:18" x14ac:dyDescent="0.25">
      <c r="A744" s="49">
        <v>2813</v>
      </c>
      <c r="B744" s="48" t="s">
        <v>843</v>
      </c>
      <c r="C744" s="47">
        <v>50</v>
      </c>
      <c r="D744" s="46">
        <v>20</v>
      </c>
      <c r="E744" s="44">
        <v>22</v>
      </c>
      <c r="F744" s="44">
        <f>1.8*E744+32</f>
        <v>71.599999999999994</v>
      </c>
      <c r="G744" s="45">
        <v>17</v>
      </c>
      <c r="H744" s="44">
        <f>IF(F744&gt;68,G744+(F744-68)*0.2,Y767-(68-F744)*0.2)</f>
        <v>17.72</v>
      </c>
      <c r="I744" s="44">
        <v>23</v>
      </c>
      <c r="J744" s="44">
        <f>1.8*I744+32</f>
        <v>73.400000000000006</v>
      </c>
      <c r="K744" s="45">
        <v>6</v>
      </c>
      <c r="L744" s="44">
        <f>IF(J744&gt;68,K744+(J744-68)*0.2,K744-(68-J744)*0.2)</f>
        <v>7.080000000000001</v>
      </c>
      <c r="M744" s="43">
        <f>(C744-H744)/C744*100</f>
        <v>64.56</v>
      </c>
      <c r="N744" s="43">
        <f>100-(M744+O744)</f>
        <v>21.28</v>
      </c>
      <c r="O744" s="43">
        <f>L744/C744*100</f>
        <v>14.160000000000004</v>
      </c>
      <c r="P744" s="42" t="s">
        <v>0</v>
      </c>
      <c r="Q744" s="41">
        <v>407344.049</v>
      </c>
      <c r="R744" s="41">
        <v>3659875.9190000002</v>
      </c>
    </row>
    <row r="745" spans="1:18" x14ac:dyDescent="0.25">
      <c r="A745" s="49">
        <v>2813</v>
      </c>
      <c r="B745" s="48" t="s">
        <v>842</v>
      </c>
      <c r="C745" s="47">
        <v>50</v>
      </c>
      <c r="D745" s="46">
        <v>20</v>
      </c>
      <c r="E745" s="44">
        <v>22</v>
      </c>
      <c r="F745" s="44">
        <f>1.8*E745+32</f>
        <v>71.599999999999994</v>
      </c>
      <c r="G745" s="45">
        <v>11</v>
      </c>
      <c r="H745" s="44">
        <f>IF(F745&gt;68,G745+(F745-68)*0.2,Y768-(68-F745)*0.2)</f>
        <v>11.719999999999999</v>
      </c>
      <c r="I745" s="44">
        <v>23</v>
      </c>
      <c r="J745" s="44">
        <f>1.8*I745+32</f>
        <v>73.400000000000006</v>
      </c>
      <c r="K745" s="45">
        <v>5</v>
      </c>
      <c r="L745" s="44">
        <f>IF(J745&gt;68,K745+(J745-68)*0.2,K745-(68-J745)*0.2)</f>
        <v>6.080000000000001</v>
      </c>
      <c r="M745" s="43">
        <f>(C745-H745)/C745*100</f>
        <v>76.56</v>
      </c>
      <c r="N745" s="43">
        <f>100-(M745+O745)</f>
        <v>11.280000000000001</v>
      </c>
      <c r="O745" s="43">
        <f>L745/C745*100</f>
        <v>12.160000000000002</v>
      </c>
      <c r="P745" s="42" t="s">
        <v>0</v>
      </c>
      <c r="Q745" s="41">
        <v>407344.049</v>
      </c>
      <c r="R745" s="41">
        <v>3659875.9190000002</v>
      </c>
    </row>
    <row r="746" spans="1:18" x14ac:dyDescent="0.25">
      <c r="A746" s="49">
        <v>2813</v>
      </c>
      <c r="B746" s="48" t="s">
        <v>841</v>
      </c>
      <c r="C746" s="47">
        <v>50</v>
      </c>
      <c r="D746" s="46">
        <v>20</v>
      </c>
      <c r="E746" s="44">
        <v>22</v>
      </c>
      <c r="F746" s="44">
        <f>1.8*E746+32</f>
        <v>71.599999999999994</v>
      </c>
      <c r="G746" s="45">
        <v>10</v>
      </c>
      <c r="H746" s="44">
        <f>IF(F746&gt;68,G746+(F746-68)*0.2,Y769-(68-F746)*0.2)</f>
        <v>10.719999999999999</v>
      </c>
      <c r="I746" s="44">
        <v>23</v>
      </c>
      <c r="J746" s="44">
        <f>1.8*I746+32</f>
        <v>73.400000000000006</v>
      </c>
      <c r="K746" s="45">
        <v>5</v>
      </c>
      <c r="L746" s="44">
        <f>IF(J746&gt;68,K746+(J746-68)*0.2,K746-(68-J746)*0.2)</f>
        <v>6.080000000000001</v>
      </c>
      <c r="M746" s="43">
        <f>(C746-H746)/C746*100</f>
        <v>78.56</v>
      </c>
      <c r="N746" s="43">
        <f>100-(M746+O746)</f>
        <v>9.2800000000000011</v>
      </c>
      <c r="O746" s="43">
        <f>L746/C746*100</f>
        <v>12.160000000000002</v>
      </c>
      <c r="P746" s="42" t="s">
        <v>0</v>
      </c>
      <c r="Q746" s="41">
        <v>407344.049</v>
      </c>
      <c r="R746" s="41">
        <v>3659875.9190000002</v>
      </c>
    </row>
    <row r="747" spans="1:18" x14ac:dyDescent="0.25">
      <c r="A747" s="49">
        <v>2813</v>
      </c>
      <c r="B747" s="48" t="s">
        <v>839</v>
      </c>
      <c r="C747" s="47">
        <v>50</v>
      </c>
      <c r="D747" s="46">
        <v>20</v>
      </c>
      <c r="E747" s="44">
        <v>22</v>
      </c>
      <c r="F747" s="44">
        <f>1.8*E747+32</f>
        <v>71.599999999999994</v>
      </c>
      <c r="G747" s="45">
        <v>12</v>
      </c>
      <c r="H747" s="44">
        <f>IF(F747&gt;68,G747+(F747-68)*0.2,Y770-(68-F747)*0.2)</f>
        <v>12.719999999999999</v>
      </c>
      <c r="I747" s="44">
        <v>23</v>
      </c>
      <c r="J747" s="44">
        <f>1.8*I747+32</f>
        <v>73.400000000000006</v>
      </c>
      <c r="K747" s="45">
        <v>5</v>
      </c>
      <c r="L747" s="44">
        <f>IF(J747&gt;68,K747+(J747-68)*0.2,K747-(68-J747)*0.2)</f>
        <v>6.080000000000001</v>
      </c>
      <c r="M747" s="43">
        <f>(C747-H747)/C747*100</f>
        <v>74.56</v>
      </c>
      <c r="N747" s="43">
        <f>100-(M747+O747)</f>
        <v>13.280000000000001</v>
      </c>
      <c r="O747" s="43">
        <f>L747/C747*100</f>
        <v>12.160000000000002</v>
      </c>
      <c r="P747" s="42" t="s">
        <v>0</v>
      </c>
      <c r="Q747" s="41">
        <v>407344.049</v>
      </c>
      <c r="R747" s="41">
        <v>3659875.9190000002</v>
      </c>
    </row>
    <row r="748" spans="1:18" x14ac:dyDescent="0.25">
      <c r="A748" s="61"/>
      <c r="B748" s="58"/>
      <c r="C748" s="58"/>
      <c r="D748" s="58"/>
      <c r="E748" s="58"/>
      <c r="F748" s="58"/>
      <c r="G748" s="60"/>
      <c r="H748" s="58"/>
      <c r="I748" s="58"/>
      <c r="J748" s="58"/>
      <c r="K748" s="60"/>
      <c r="L748" s="58"/>
      <c r="M748" s="59"/>
      <c r="N748" s="59"/>
      <c r="O748" s="59"/>
      <c r="P748" s="58"/>
    </row>
    <row r="749" spans="1:18" x14ac:dyDescent="0.25">
      <c r="A749" s="57"/>
      <c r="B749" s="56"/>
      <c r="C749" s="55"/>
      <c r="D749" s="54"/>
      <c r="E749" s="52"/>
      <c r="F749" s="52"/>
      <c r="G749" s="53"/>
      <c r="H749" s="52"/>
      <c r="I749" s="52"/>
      <c r="J749" s="52"/>
      <c r="K749" s="53"/>
      <c r="L749" s="52"/>
      <c r="M749" s="51"/>
      <c r="N749" s="51"/>
      <c r="O749" s="51"/>
      <c r="P749" s="50"/>
      <c r="Q749" s="5" t="s">
        <v>4</v>
      </c>
      <c r="R749" s="5" t="s">
        <v>3</v>
      </c>
    </row>
    <row r="750" spans="1:18" x14ac:dyDescent="0.25">
      <c r="A750" s="49">
        <v>2837</v>
      </c>
      <c r="B750" s="48" t="s">
        <v>845</v>
      </c>
      <c r="C750" s="47">
        <v>50</v>
      </c>
      <c r="D750" s="46">
        <v>20</v>
      </c>
      <c r="E750" s="44">
        <v>22</v>
      </c>
      <c r="F750" s="44">
        <f>1.8*E750+32</f>
        <v>71.599999999999994</v>
      </c>
      <c r="G750" s="45">
        <v>28</v>
      </c>
      <c r="H750" s="44">
        <f>IF(F750&gt;68,G750+(F750-68)*0.2,#REF!-(68-F750)*0.2)</f>
        <v>28.72</v>
      </c>
      <c r="I750" s="44">
        <v>23</v>
      </c>
      <c r="J750" s="44">
        <f>1.8*I750+32</f>
        <v>73.400000000000006</v>
      </c>
      <c r="K750" s="45">
        <v>17</v>
      </c>
      <c r="L750" s="44">
        <f>IF(J750&gt;68,K750+(J750-68)*0.2,K750-(68-J750)*0.2)</f>
        <v>18.080000000000002</v>
      </c>
      <c r="M750" s="43">
        <f>(C750-H750)/C750*100</f>
        <v>42.56</v>
      </c>
      <c r="N750" s="43">
        <f>100-(M750+O750)</f>
        <v>21.28</v>
      </c>
      <c r="O750" s="43">
        <f>L750/C750*100</f>
        <v>36.160000000000004</v>
      </c>
      <c r="P750" s="42" t="s">
        <v>22</v>
      </c>
      <c r="Q750" s="41">
        <v>407342.516</v>
      </c>
      <c r="R750" s="41">
        <v>3659943.7969999998</v>
      </c>
    </row>
    <row r="751" spans="1:18" x14ac:dyDescent="0.25">
      <c r="A751" s="49">
        <v>2837</v>
      </c>
      <c r="B751" s="48" t="s">
        <v>844</v>
      </c>
      <c r="C751" s="47">
        <v>50</v>
      </c>
      <c r="D751" s="46">
        <v>20</v>
      </c>
      <c r="E751" s="44">
        <v>22</v>
      </c>
      <c r="F751" s="44">
        <f>1.8*E751+32</f>
        <v>71.599999999999994</v>
      </c>
      <c r="G751" s="45">
        <v>28</v>
      </c>
      <c r="H751" s="44">
        <f>IF(F751&gt;68,G751+(F751-68)*0.2,Y774-(68-F751)*0.2)</f>
        <v>28.72</v>
      </c>
      <c r="I751" s="44">
        <v>23</v>
      </c>
      <c r="J751" s="44">
        <f>1.8*I751+32</f>
        <v>73.400000000000006</v>
      </c>
      <c r="K751" s="45">
        <v>17</v>
      </c>
      <c r="L751" s="44">
        <f>IF(J751&gt;68,K751+(J751-68)*0.2,K751-(68-J751)*0.2)</f>
        <v>18.080000000000002</v>
      </c>
      <c r="M751" s="43">
        <f>(C751-H751)/C751*100</f>
        <v>42.56</v>
      </c>
      <c r="N751" s="43">
        <f>100-(M751+O751)</f>
        <v>21.28</v>
      </c>
      <c r="O751" s="43">
        <f>L751/C751*100</f>
        <v>36.160000000000004</v>
      </c>
      <c r="P751" s="42" t="s">
        <v>22</v>
      </c>
      <c r="Q751" s="41">
        <v>407342.516</v>
      </c>
      <c r="R751" s="41">
        <v>3659943.7969999998</v>
      </c>
    </row>
    <row r="752" spans="1:18" x14ac:dyDescent="0.25">
      <c r="A752" s="49">
        <v>2837</v>
      </c>
      <c r="B752" s="48" t="s">
        <v>843</v>
      </c>
      <c r="C752" s="47">
        <v>50</v>
      </c>
      <c r="D752" s="46">
        <v>20</v>
      </c>
      <c r="E752" s="44">
        <v>22</v>
      </c>
      <c r="F752" s="44">
        <f>1.8*E752+32</f>
        <v>71.599999999999994</v>
      </c>
      <c r="G752" s="45">
        <v>17</v>
      </c>
      <c r="H752" s="44">
        <f>IF(F752&gt;68,G752+(F752-68)*0.2,Y775-(68-F752)*0.2)</f>
        <v>17.72</v>
      </c>
      <c r="I752" s="44">
        <v>23</v>
      </c>
      <c r="J752" s="44">
        <f>1.8*I752+32</f>
        <v>73.400000000000006</v>
      </c>
      <c r="K752" s="45">
        <v>10</v>
      </c>
      <c r="L752" s="44">
        <f>IF(J752&gt;68,K752+(J752-68)*0.2,K752-(68-J752)*0.2)</f>
        <v>11.080000000000002</v>
      </c>
      <c r="M752" s="43">
        <f>(C752-H752)/C752*100</f>
        <v>64.56</v>
      </c>
      <c r="N752" s="43">
        <f>100-(M752+O752)</f>
        <v>13.280000000000001</v>
      </c>
      <c r="O752" s="43">
        <f>L752/C752*100</f>
        <v>22.160000000000004</v>
      </c>
      <c r="P752" s="42" t="s">
        <v>2</v>
      </c>
      <c r="Q752" s="41">
        <v>407342.516</v>
      </c>
      <c r="R752" s="41">
        <v>3659943.7969999998</v>
      </c>
    </row>
    <row r="753" spans="1:18" x14ac:dyDescent="0.25">
      <c r="A753" s="49">
        <v>2837</v>
      </c>
      <c r="B753" s="48" t="s">
        <v>842</v>
      </c>
      <c r="C753" s="47">
        <v>50</v>
      </c>
      <c r="D753" s="46">
        <v>20</v>
      </c>
      <c r="E753" s="44">
        <v>22</v>
      </c>
      <c r="F753" s="44">
        <f>1.8*E753+32</f>
        <v>71.599999999999994</v>
      </c>
      <c r="G753" s="45">
        <v>16</v>
      </c>
      <c r="H753" s="44">
        <f>IF(F753&gt;68,G753+(F753-68)*0.2,Y776-(68-F753)*0.2)</f>
        <v>16.72</v>
      </c>
      <c r="I753" s="44">
        <v>23</v>
      </c>
      <c r="J753" s="44">
        <f>1.8*I753+32</f>
        <v>73.400000000000006</v>
      </c>
      <c r="K753" s="45">
        <v>9</v>
      </c>
      <c r="L753" s="44">
        <f>IF(J753&gt;68,K753+(J753-68)*0.2,K753-(68-J753)*0.2)</f>
        <v>10.080000000000002</v>
      </c>
      <c r="M753" s="43">
        <f>(C753-H753)/C753*100</f>
        <v>66.56</v>
      </c>
      <c r="N753" s="43">
        <f>100-(M753+O753)</f>
        <v>13.280000000000001</v>
      </c>
      <c r="O753" s="43">
        <f>L753/C753*100</f>
        <v>20.160000000000004</v>
      </c>
      <c r="P753" s="42" t="s">
        <v>2</v>
      </c>
      <c r="Q753" s="41">
        <v>407342.516</v>
      </c>
      <c r="R753" s="41">
        <v>3659943.7969999998</v>
      </c>
    </row>
    <row r="754" spans="1:18" x14ac:dyDescent="0.25">
      <c r="A754" s="49">
        <v>2837</v>
      </c>
      <c r="B754" s="48" t="s">
        <v>841</v>
      </c>
      <c r="C754" s="47">
        <v>50</v>
      </c>
      <c r="D754" s="46">
        <v>20</v>
      </c>
      <c r="E754" s="44">
        <v>22</v>
      </c>
      <c r="F754" s="44">
        <f>1.8*E754+32</f>
        <v>71.599999999999994</v>
      </c>
      <c r="G754" s="45">
        <v>20</v>
      </c>
      <c r="H754" s="44">
        <f>IF(F754&gt;68,G754+(F754-68)*0.2,Y777-(68-F754)*0.2)</f>
        <v>20.72</v>
      </c>
      <c r="I754" s="44">
        <v>23</v>
      </c>
      <c r="J754" s="44">
        <f>1.8*I754+32</f>
        <v>73.400000000000006</v>
      </c>
      <c r="K754" s="45">
        <v>10</v>
      </c>
      <c r="L754" s="44">
        <f>IF(J754&gt;68,K754+(J754-68)*0.2,K754-(68-J754)*0.2)</f>
        <v>11.080000000000002</v>
      </c>
      <c r="M754" s="43">
        <f>(C754-H754)/C754*100</f>
        <v>58.56</v>
      </c>
      <c r="N754" s="43">
        <f>100-(M754+O754)</f>
        <v>19.28</v>
      </c>
      <c r="O754" s="43">
        <f>L754/C754*100</f>
        <v>22.160000000000004</v>
      </c>
      <c r="P754" s="42" t="s">
        <v>2</v>
      </c>
      <c r="Q754" s="41">
        <v>407342.516</v>
      </c>
      <c r="R754" s="41">
        <v>3659943.7969999998</v>
      </c>
    </row>
    <row r="755" spans="1:18" x14ac:dyDescent="0.25">
      <c r="A755" s="49">
        <v>2837</v>
      </c>
      <c r="B755" s="48" t="s">
        <v>839</v>
      </c>
      <c r="C755" s="47">
        <v>50</v>
      </c>
      <c r="D755" s="46">
        <v>20</v>
      </c>
      <c r="E755" s="44">
        <v>22</v>
      </c>
      <c r="F755" s="44">
        <f>1.8*E755+32</f>
        <v>71.599999999999994</v>
      </c>
      <c r="G755" s="45">
        <v>20</v>
      </c>
      <c r="H755" s="44">
        <f>IF(F755&gt;68,G755+(F755-68)*0.2,Y778-(68-F755)*0.2)</f>
        <v>20.72</v>
      </c>
      <c r="I755" s="44">
        <v>23</v>
      </c>
      <c r="J755" s="44">
        <f>1.8*I755+32</f>
        <v>73.400000000000006</v>
      </c>
      <c r="K755" s="45">
        <v>10</v>
      </c>
      <c r="L755" s="44">
        <f>IF(J755&gt;68,K755+(J755-68)*0.2,K755-(68-J755)*0.2)</f>
        <v>11.080000000000002</v>
      </c>
      <c r="M755" s="43">
        <f>(C755-H755)/C755*100</f>
        <v>58.56</v>
      </c>
      <c r="N755" s="43">
        <f>100-(M755+O755)</f>
        <v>19.28</v>
      </c>
      <c r="O755" s="43">
        <f>L755/C755*100</f>
        <v>22.160000000000004</v>
      </c>
      <c r="P755" s="42" t="s">
        <v>2</v>
      </c>
      <c r="Q755" s="41">
        <v>407342.516</v>
      </c>
      <c r="R755" s="41">
        <v>3659943.7969999998</v>
      </c>
    </row>
    <row r="756" spans="1:18" x14ac:dyDescent="0.25">
      <c r="A756" s="61"/>
      <c r="B756" s="58"/>
      <c r="C756" s="58"/>
      <c r="D756" s="58"/>
      <c r="E756" s="58"/>
      <c r="F756" s="58"/>
      <c r="G756" s="60"/>
      <c r="H756" s="58"/>
      <c r="I756" s="58"/>
      <c r="J756" s="58"/>
      <c r="K756" s="60"/>
      <c r="L756" s="58"/>
      <c r="M756" s="59"/>
      <c r="N756" s="59"/>
      <c r="O756" s="59"/>
      <c r="P756" s="58"/>
    </row>
    <row r="757" spans="1:18" x14ac:dyDescent="0.25">
      <c r="A757" s="57"/>
      <c r="B757" s="56"/>
      <c r="C757" s="55"/>
      <c r="D757" s="54"/>
      <c r="E757" s="52"/>
      <c r="F757" s="52"/>
      <c r="G757" s="53"/>
      <c r="H757" s="52"/>
      <c r="I757" s="52"/>
      <c r="J757" s="52"/>
      <c r="K757" s="53"/>
      <c r="L757" s="52"/>
      <c r="M757" s="51"/>
      <c r="N757" s="51"/>
      <c r="O757" s="51"/>
      <c r="P757" s="50"/>
      <c r="Q757" s="5" t="s">
        <v>4</v>
      </c>
      <c r="R757" s="5" t="s">
        <v>3</v>
      </c>
    </row>
    <row r="758" spans="1:18" x14ac:dyDescent="0.25">
      <c r="A758" s="49">
        <v>2841</v>
      </c>
      <c r="B758" s="48" t="s">
        <v>845</v>
      </c>
      <c r="C758" s="47">
        <v>50</v>
      </c>
      <c r="D758" s="46">
        <v>20</v>
      </c>
      <c r="E758" s="44">
        <v>22</v>
      </c>
      <c r="F758" s="44">
        <f>1.8*E758+32</f>
        <v>71.599999999999994</v>
      </c>
      <c r="G758" s="45">
        <v>26</v>
      </c>
      <c r="H758" s="44">
        <f>IF(F758&gt;68,G758+(F758-68)*0.2,#REF!-(68-F758)*0.2)</f>
        <v>26.72</v>
      </c>
      <c r="I758" s="44">
        <v>23</v>
      </c>
      <c r="J758" s="44">
        <f>1.8*I758+32</f>
        <v>73.400000000000006</v>
      </c>
      <c r="K758" s="45">
        <v>12</v>
      </c>
      <c r="L758" s="44">
        <f>IF(J758&gt;68,K758+(J758-68)*0.2,K758-(68-J758)*0.2)</f>
        <v>13.080000000000002</v>
      </c>
      <c r="M758" s="43">
        <f>(C758-H758)/C758*100</f>
        <v>46.56</v>
      </c>
      <c r="N758" s="43">
        <f>100-(M758+O758)</f>
        <v>27.28</v>
      </c>
      <c r="O758" s="43">
        <f>L758/C758*100</f>
        <v>26.160000000000004</v>
      </c>
      <c r="P758" s="42" t="s">
        <v>2</v>
      </c>
      <c r="Q758" s="41">
        <v>407342.79800000001</v>
      </c>
      <c r="R758" s="41">
        <v>3659959.9169999999</v>
      </c>
    </row>
    <row r="759" spans="1:18" x14ac:dyDescent="0.25">
      <c r="A759" s="49">
        <v>2841</v>
      </c>
      <c r="B759" s="48" t="s">
        <v>844</v>
      </c>
      <c r="C759" s="47">
        <v>50</v>
      </c>
      <c r="D759" s="46">
        <v>20</v>
      </c>
      <c r="E759" s="44">
        <v>22</v>
      </c>
      <c r="F759" s="44">
        <f>1.8*E759+32</f>
        <v>71.599999999999994</v>
      </c>
      <c r="G759" s="45">
        <v>32</v>
      </c>
      <c r="H759" s="44">
        <f>IF(F759&gt;68,G759+(F759-68)*0.2,Y782-(68-F759)*0.2)</f>
        <v>32.72</v>
      </c>
      <c r="I759" s="44">
        <v>23</v>
      </c>
      <c r="J759" s="44">
        <f>1.8*I759+32</f>
        <v>73.400000000000006</v>
      </c>
      <c r="K759" s="45">
        <v>20</v>
      </c>
      <c r="L759" s="44">
        <f>IF(J759&gt;68,K759+(J759-68)*0.2,K759-(68-J759)*0.2)</f>
        <v>21.080000000000002</v>
      </c>
      <c r="M759" s="43">
        <f>(C759-H759)/C759*100</f>
        <v>34.56</v>
      </c>
      <c r="N759" s="43">
        <f>100-(M759+O759)</f>
        <v>23.28</v>
      </c>
      <c r="O759" s="43">
        <f>L759/C759*100</f>
        <v>42.160000000000004</v>
      </c>
      <c r="P759" s="42" t="s">
        <v>22</v>
      </c>
      <c r="Q759" s="41">
        <v>407342.79800000001</v>
      </c>
      <c r="R759" s="41">
        <v>3659959.9169999999</v>
      </c>
    </row>
    <row r="760" spans="1:18" x14ac:dyDescent="0.25">
      <c r="A760" s="49">
        <v>2841</v>
      </c>
      <c r="B760" s="48" t="s">
        <v>843</v>
      </c>
      <c r="C760" s="47">
        <v>50</v>
      </c>
      <c r="D760" s="46">
        <v>20</v>
      </c>
      <c r="E760" s="44">
        <v>22</v>
      </c>
      <c r="F760" s="44">
        <f>1.8*E760+32</f>
        <v>71.599999999999994</v>
      </c>
      <c r="G760" s="45">
        <v>20</v>
      </c>
      <c r="H760" s="44">
        <f>IF(F760&gt;68,G760+(F760-68)*0.2,Y783-(68-F760)*0.2)</f>
        <v>20.72</v>
      </c>
      <c r="I760" s="44">
        <v>23</v>
      </c>
      <c r="J760" s="44">
        <f>1.8*I760+32</f>
        <v>73.400000000000006</v>
      </c>
      <c r="K760" s="45">
        <v>12</v>
      </c>
      <c r="L760" s="44">
        <f>IF(J760&gt;68,K760+(J760-68)*0.2,K760-(68-J760)*0.2)</f>
        <v>13.080000000000002</v>
      </c>
      <c r="M760" s="43">
        <f>(C760-H760)/C760*100</f>
        <v>58.56</v>
      </c>
      <c r="N760" s="43">
        <f>100-(M760+O760)</f>
        <v>15.280000000000001</v>
      </c>
      <c r="O760" s="43">
        <f>L760/C760*100</f>
        <v>26.160000000000004</v>
      </c>
      <c r="P760" s="42" t="s">
        <v>2</v>
      </c>
      <c r="Q760" s="41">
        <v>407342.79800000001</v>
      </c>
      <c r="R760" s="41">
        <v>3659959.9169999999</v>
      </c>
    </row>
    <row r="761" spans="1:18" x14ac:dyDescent="0.25">
      <c r="A761" s="49">
        <v>2841</v>
      </c>
      <c r="B761" s="48" t="s">
        <v>842</v>
      </c>
      <c r="C761" s="47">
        <v>50</v>
      </c>
      <c r="D761" s="46">
        <v>20</v>
      </c>
      <c r="E761" s="44">
        <v>22</v>
      </c>
      <c r="F761" s="44">
        <f>1.8*E761+32</f>
        <v>71.599999999999994</v>
      </c>
      <c r="G761" s="45">
        <v>22</v>
      </c>
      <c r="H761" s="44">
        <f>IF(F761&gt;68,G761+(F761-68)*0.2,Y784-(68-F761)*0.2)</f>
        <v>22.72</v>
      </c>
      <c r="I761" s="44">
        <v>23</v>
      </c>
      <c r="J761" s="44">
        <f>1.8*I761+32</f>
        <v>73.400000000000006</v>
      </c>
      <c r="K761" s="45">
        <v>11</v>
      </c>
      <c r="L761" s="44">
        <f>IF(J761&gt;68,K761+(J761-68)*0.2,K761-(68-J761)*0.2)</f>
        <v>12.080000000000002</v>
      </c>
      <c r="M761" s="43">
        <f>(C761-H761)/C761*100</f>
        <v>54.559999999999995</v>
      </c>
      <c r="N761" s="43">
        <f>100-(M761+O761)</f>
        <v>21.28</v>
      </c>
      <c r="O761" s="43">
        <f>L761/C761*100</f>
        <v>24.160000000000004</v>
      </c>
      <c r="P761" s="42" t="s">
        <v>2</v>
      </c>
      <c r="Q761" s="41">
        <v>407342.79800000001</v>
      </c>
      <c r="R761" s="41">
        <v>3659959.9169999999</v>
      </c>
    </row>
    <row r="762" spans="1:18" x14ac:dyDescent="0.25">
      <c r="A762" s="49">
        <v>2841</v>
      </c>
      <c r="B762" s="48" t="s">
        <v>841</v>
      </c>
      <c r="C762" s="47">
        <v>50</v>
      </c>
      <c r="D762" s="46">
        <v>20</v>
      </c>
      <c r="E762" s="44">
        <v>22</v>
      </c>
      <c r="F762" s="44">
        <f>1.8*E762+32</f>
        <v>71.599999999999994</v>
      </c>
      <c r="G762" s="45">
        <v>22</v>
      </c>
      <c r="H762" s="44">
        <f>IF(F762&gt;68,G762+(F762-68)*0.2,Y785-(68-F762)*0.2)</f>
        <v>22.72</v>
      </c>
      <c r="I762" s="44">
        <v>23</v>
      </c>
      <c r="J762" s="44">
        <f>1.8*I762+32</f>
        <v>73.400000000000006</v>
      </c>
      <c r="K762" s="45">
        <v>10</v>
      </c>
      <c r="L762" s="44">
        <f>IF(J762&gt;68,K762+(J762-68)*0.2,K762-(68-J762)*0.2)</f>
        <v>11.080000000000002</v>
      </c>
      <c r="M762" s="43">
        <f>(C762-H762)/C762*100</f>
        <v>54.559999999999995</v>
      </c>
      <c r="N762" s="43">
        <f>100-(M762+O762)</f>
        <v>23.28</v>
      </c>
      <c r="O762" s="43">
        <f>L762/C762*100</f>
        <v>22.160000000000004</v>
      </c>
      <c r="P762" s="42" t="s">
        <v>2</v>
      </c>
      <c r="Q762" s="41">
        <v>407342.79800000001</v>
      </c>
      <c r="R762" s="41">
        <v>3659959.9169999999</v>
      </c>
    </row>
    <row r="763" spans="1:18" x14ac:dyDescent="0.25">
      <c r="A763" s="49">
        <v>2841</v>
      </c>
      <c r="B763" s="48" t="s">
        <v>839</v>
      </c>
      <c r="C763" s="47">
        <v>50</v>
      </c>
      <c r="D763" s="46">
        <v>20</v>
      </c>
      <c r="E763" s="44">
        <v>22</v>
      </c>
      <c r="F763" s="44">
        <f>1.8*E763+32</f>
        <v>71.599999999999994</v>
      </c>
      <c r="G763" s="45">
        <v>20</v>
      </c>
      <c r="H763" s="44">
        <f>IF(F763&gt;68,G763+(F763-68)*0.2,Y786-(68-F763)*0.2)</f>
        <v>20.72</v>
      </c>
      <c r="I763" s="44">
        <v>23</v>
      </c>
      <c r="J763" s="44">
        <f>1.8*I763+32</f>
        <v>73.400000000000006</v>
      </c>
      <c r="K763" s="45">
        <v>10</v>
      </c>
      <c r="L763" s="44">
        <f>IF(J763&gt;68,K763+(J763-68)*0.2,K763-(68-J763)*0.2)</f>
        <v>11.080000000000002</v>
      </c>
      <c r="M763" s="43">
        <f>(C763-H763)/C763*100</f>
        <v>58.56</v>
      </c>
      <c r="N763" s="43">
        <f>100-(M763+O763)</f>
        <v>19.28</v>
      </c>
      <c r="O763" s="43">
        <f>L763/C763*100</f>
        <v>22.160000000000004</v>
      </c>
      <c r="P763" s="42" t="s">
        <v>2</v>
      </c>
      <c r="Q763" s="41">
        <v>407342.79800000001</v>
      </c>
      <c r="R763" s="41">
        <v>3659959.9169999999</v>
      </c>
    </row>
    <row r="764" spans="1:18" x14ac:dyDescent="0.25">
      <c r="A764" s="61"/>
      <c r="B764" s="58"/>
      <c r="C764" s="58"/>
      <c r="D764" s="58"/>
      <c r="E764" s="58"/>
      <c r="F764" s="58"/>
      <c r="G764" s="60"/>
      <c r="H764" s="58"/>
      <c r="I764" s="58"/>
      <c r="J764" s="58"/>
      <c r="K764" s="60"/>
      <c r="L764" s="58"/>
      <c r="M764" s="59"/>
      <c r="N764" s="59"/>
      <c r="O764" s="59"/>
      <c r="P764" s="58"/>
    </row>
    <row r="765" spans="1:18" x14ac:dyDescent="0.25">
      <c r="A765" s="57"/>
      <c r="B765" s="56"/>
      <c r="C765" s="55"/>
      <c r="D765" s="54"/>
      <c r="E765" s="52"/>
      <c r="F765" s="52"/>
      <c r="G765" s="53"/>
      <c r="H765" s="52"/>
      <c r="I765" s="52"/>
      <c r="J765" s="52"/>
      <c r="K765" s="53"/>
      <c r="L765" s="52"/>
      <c r="M765" s="51"/>
      <c r="N765" s="51"/>
      <c r="O765" s="51"/>
      <c r="P765" s="50"/>
      <c r="Q765" s="5" t="s">
        <v>4</v>
      </c>
      <c r="R765" s="5" t="s">
        <v>3</v>
      </c>
    </row>
    <row r="766" spans="1:18" x14ac:dyDescent="0.25">
      <c r="A766" s="49">
        <v>2857</v>
      </c>
      <c r="B766" s="48" t="s">
        <v>845</v>
      </c>
      <c r="C766" s="47">
        <v>50</v>
      </c>
      <c r="D766" s="46">
        <v>20</v>
      </c>
      <c r="E766" s="44">
        <v>22</v>
      </c>
      <c r="F766" s="44">
        <f>1.8*E766+32</f>
        <v>71.599999999999994</v>
      </c>
      <c r="G766" s="45">
        <v>26</v>
      </c>
      <c r="H766" s="44">
        <f>IF(F766&gt;68,G766+(F766-68)*0.2,#REF!-(68-F766)*0.2)</f>
        <v>26.72</v>
      </c>
      <c r="I766" s="44">
        <v>23</v>
      </c>
      <c r="J766" s="44">
        <f>1.8*I766+32</f>
        <v>73.400000000000006</v>
      </c>
      <c r="K766" s="45">
        <v>15</v>
      </c>
      <c r="L766" s="44">
        <f>IF(J766&gt;68,K766+(J766-68)*0.2,K766-(68-J766)*0.2)</f>
        <v>16.080000000000002</v>
      </c>
      <c r="M766" s="43">
        <f>(C766-H766)/C766*100</f>
        <v>46.56</v>
      </c>
      <c r="N766" s="43">
        <f>100-(M766+O766)</f>
        <v>21.28</v>
      </c>
      <c r="O766" s="43">
        <f>L766/C766*100</f>
        <v>32.160000000000004</v>
      </c>
      <c r="P766" s="42" t="s">
        <v>2</v>
      </c>
      <c r="Q766" s="41">
        <v>407343.80300000001</v>
      </c>
      <c r="R766" s="41">
        <v>3660021.838</v>
      </c>
    </row>
    <row r="767" spans="1:18" x14ac:dyDescent="0.25">
      <c r="A767" s="49">
        <v>2857</v>
      </c>
      <c r="B767" s="48" t="s">
        <v>844</v>
      </c>
      <c r="C767" s="47">
        <v>50</v>
      </c>
      <c r="D767" s="46">
        <v>20</v>
      </c>
      <c r="E767" s="44">
        <v>22</v>
      </c>
      <c r="F767" s="44">
        <f>1.8*E767+32</f>
        <v>71.599999999999994</v>
      </c>
      <c r="G767" s="45">
        <v>26</v>
      </c>
      <c r="H767" s="44">
        <f>IF(F767&gt;68,G767+(F767-68)*0.2,Y790-(68-F767)*0.2)</f>
        <v>26.72</v>
      </c>
      <c r="I767" s="44">
        <v>23</v>
      </c>
      <c r="J767" s="44">
        <f>1.8*I767+32</f>
        <v>73.400000000000006</v>
      </c>
      <c r="K767" s="45">
        <v>16</v>
      </c>
      <c r="L767" s="44">
        <f>IF(J767&gt;68,K767+(J767-68)*0.2,K767-(68-J767)*0.2)</f>
        <v>17.080000000000002</v>
      </c>
      <c r="M767" s="43">
        <f>(C767-H767)/C767*100</f>
        <v>46.56</v>
      </c>
      <c r="N767" s="43">
        <f>100-(M767+O767)</f>
        <v>19.28</v>
      </c>
      <c r="O767" s="43">
        <f>L767/C767*100</f>
        <v>34.160000000000004</v>
      </c>
      <c r="P767" s="42" t="s">
        <v>2</v>
      </c>
      <c r="Q767" s="41">
        <v>407343.80300000001</v>
      </c>
      <c r="R767" s="41">
        <v>3660021.838</v>
      </c>
    </row>
    <row r="768" spans="1:18" x14ac:dyDescent="0.25">
      <c r="A768" s="49">
        <v>2857</v>
      </c>
      <c r="B768" s="48" t="s">
        <v>843</v>
      </c>
      <c r="C768" s="47">
        <v>50</v>
      </c>
      <c r="D768" s="46">
        <v>20</v>
      </c>
      <c r="E768" s="44">
        <v>23</v>
      </c>
      <c r="F768" s="44">
        <f>1.8*E768+32</f>
        <v>73.400000000000006</v>
      </c>
      <c r="G768" s="45">
        <v>21</v>
      </c>
      <c r="H768" s="44">
        <f>IF(F768&gt;68,G768+(F768-68)*0.2,Y791-(68-F768)*0.2)</f>
        <v>22.080000000000002</v>
      </c>
      <c r="I768" s="44">
        <v>23</v>
      </c>
      <c r="J768" s="44">
        <f>1.8*I768+32</f>
        <v>73.400000000000006</v>
      </c>
      <c r="K768" s="45">
        <v>12</v>
      </c>
      <c r="L768" s="44">
        <f>IF(J768&gt;68,K768+(J768-68)*0.2,K768-(68-J768)*0.2)</f>
        <v>13.080000000000002</v>
      </c>
      <c r="M768" s="43">
        <f>(C768-H768)/C768*100</f>
        <v>55.84</v>
      </c>
      <c r="N768" s="43">
        <f>100-(M768+O768)</f>
        <v>18</v>
      </c>
      <c r="O768" s="43">
        <f>L768/C768*100</f>
        <v>26.160000000000004</v>
      </c>
      <c r="P768" s="42" t="s">
        <v>2</v>
      </c>
      <c r="Q768" s="41">
        <v>407343.80300000001</v>
      </c>
      <c r="R768" s="41">
        <v>3660021.838</v>
      </c>
    </row>
    <row r="769" spans="1:18" x14ac:dyDescent="0.25">
      <c r="A769" s="49">
        <v>2857</v>
      </c>
      <c r="B769" s="48" t="s">
        <v>842</v>
      </c>
      <c r="C769" s="47">
        <v>50</v>
      </c>
      <c r="D769" s="46">
        <v>20</v>
      </c>
      <c r="E769" s="44">
        <v>23</v>
      </c>
      <c r="F769" s="44">
        <f>1.8*E769+32</f>
        <v>73.400000000000006</v>
      </c>
      <c r="G769" s="45">
        <v>16</v>
      </c>
      <c r="H769" s="44">
        <f>IF(F769&gt;68,G769+(F769-68)*0.2,Y792-(68-F769)*0.2)</f>
        <v>17.080000000000002</v>
      </c>
      <c r="I769" s="44">
        <v>23</v>
      </c>
      <c r="J769" s="44">
        <f>1.8*I769+32</f>
        <v>73.400000000000006</v>
      </c>
      <c r="K769" s="45">
        <v>7</v>
      </c>
      <c r="L769" s="44">
        <f>IF(J769&gt;68,K769+(J769-68)*0.2,K769-(68-J769)*0.2)</f>
        <v>8.0800000000000018</v>
      </c>
      <c r="M769" s="43">
        <f>(C769-H769)/C769*100</f>
        <v>65.84</v>
      </c>
      <c r="N769" s="43">
        <f>100-(M769+O769)</f>
        <v>18</v>
      </c>
      <c r="O769" s="43">
        <f>L769/C769*100</f>
        <v>16.160000000000004</v>
      </c>
      <c r="P769" s="42" t="s">
        <v>0</v>
      </c>
      <c r="Q769" s="41">
        <v>407343.80300000001</v>
      </c>
      <c r="R769" s="41">
        <v>3660021.838</v>
      </c>
    </row>
    <row r="770" spans="1:18" x14ac:dyDescent="0.25">
      <c r="A770" s="49">
        <v>2857</v>
      </c>
      <c r="B770" s="48" t="s">
        <v>841</v>
      </c>
      <c r="C770" s="47">
        <v>50</v>
      </c>
      <c r="D770" s="46">
        <v>20</v>
      </c>
      <c r="E770" s="44">
        <v>23</v>
      </c>
      <c r="F770" s="44">
        <f>1.8*E770+32</f>
        <v>73.400000000000006</v>
      </c>
      <c r="G770" s="45">
        <v>20</v>
      </c>
      <c r="H770" s="44">
        <f>IF(F770&gt;68,G770+(F770-68)*0.2,Y793-(68-F770)*0.2)</f>
        <v>21.080000000000002</v>
      </c>
      <c r="I770" s="44">
        <v>23</v>
      </c>
      <c r="J770" s="44">
        <f>1.8*I770+32</f>
        <v>73.400000000000006</v>
      </c>
      <c r="K770" s="45">
        <v>10</v>
      </c>
      <c r="L770" s="44">
        <f>IF(J770&gt;68,K770+(J770-68)*0.2,K770-(68-J770)*0.2)</f>
        <v>11.080000000000002</v>
      </c>
      <c r="M770" s="43">
        <f>(C770-H770)/C770*100</f>
        <v>57.839999999999989</v>
      </c>
      <c r="N770" s="43">
        <f>100-(M770+O770)</f>
        <v>20</v>
      </c>
      <c r="O770" s="43">
        <f>L770/C770*100</f>
        <v>22.160000000000004</v>
      </c>
      <c r="P770" s="42" t="s">
        <v>2</v>
      </c>
      <c r="Q770" s="41">
        <v>407343.80300000001</v>
      </c>
      <c r="R770" s="41">
        <v>3660021.838</v>
      </c>
    </row>
    <row r="771" spans="1:18" x14ac:dyDescent="0.25">
      <c r="A771" s="49">
        <v>2857</v>
      </c>
      <c r="B771" s="48" t="s">
        <v>839</v>
      </c>
      <c r="C771" s="47">
        <v>50</v>
      </c>
      <c r="D771" s="46">
        <v>20</v>
      </c>
      <c r="E771" s="44">
        <v>23</v>
      </c>
      <c r="F771" s="44">
        <f>1.8*E771+32</f>
        <v>73.400000000000006</v>
      </c>
      <c r="G771" s="45">
        <v>16</v>
      </c>
      <c r="H771" s="44">
        <f>IF(F771&gt;68,G771+(F771-68)*0.2,Y794-(68-F771)*0.2)</f>
        <v>17.080000000000002</v>
      </c>
      <c r="I771" s="44">
        <v>23</v>
      </c>
      <c r="J771" s="44">
        <f>1.8*I771+32</f>
        <v>73.400000000000006</v>
      </c>
      <c r="K771" s="45">
        <v>9</v>
      </c>
      <c r="L771" s="44">
        <f>IF(J771&gt;68,K771+(J771-68)*0.2,K771-(68-J771)*0.2)</f>
        <v>10.080000000000002</v>
      </c>
      <c r="M771" s="43">
        <f>(C771-H771)/C771*100</f>
        <v>65.84</v>
      </c>
      <c r="N771" s="43">
        <f>100-(M771+O771)</f>
        <v>14</v>
      </c>
      <c r="O771" s="43">
        <f>L771/C771*100</f>
        <v>20.160000000000004</v>
      </c>
      <c r="P771" s="42" t="s">
        <v>2</v>
      </c>
      <c r="Q771" s="41">
        <v>407343.80300000001</v>
      </c>
      <c r="R771" s="41">
        <v>3660021.838</v>
      </c>
    </row>
    <row r="772" spans="1:18" x14ac:dyDescent="0.25">
      <c r="A772" s="61"/>
      <c r="B772" s="58"/>
      <c r="C772" s="58"/>
      <c r="D772" s="58"/>
      <c r="E772" s="58"/>
      <c r="F772" s="58"/>
      <c r="G772" s="60"/>
      <c r="H772" s="58"/>
      <c r="I772" s="58"/>
      <c r="J772" s="58"/>
      <c r="K772" s="60"/>
      <c r="L772" s="58"/>
      <c r="M772" s="59"/>
      <c r="N772" s="59"/>
      <c r="O772" s="59"/>
      <c r="P772" s="58"/>
    </row>
    <row r="773" spans="1:18" x14ac:dyDescent="0.25">
      <c r="A773" s="57"/>
      <c r="B773" s="56"/>
      <c r="C773" s="55"/>
      <c r="D773" s="54"/>
      <c r="E773" s="52"/>
      <c r="F773" s="52"/>
      <c r="G773" s="53"/>
      <c r="H773" s="52"/>
      <c r="I773" s="52"/>
      <c r="J773" s="52"/>
      <c r="K773" s="53"/>
      <c r="L773" s="52"/>
      <c r="M773" s="51"/>
      <c r="N773" s="51"/>
      <c r="O773" s="51"/>
      <c r="P773" s="50"/>
      <c r="Q773" s="5" t="s">
        <v>4</v>
      </c>
      <c r="R773" s="5" t="s">
        <v>3</v>
      </c>
    </row>
    <row r="774" spans="1:18" x14ac:dyDescent="0.25">
      <c r="A774" s="49">
        <v>2870</v>
      </c>
      <c r="B774" s="48" t="s">
        <v>845</v>
      </c>
      <c r="C774" s="47">
        <v>50</v>
      </c>
      <c r="D774" s="46">
        <v>20</v>
      </c>
      <c r="E774" s="44">
        <v>23</v>
      </c>
      <c r="F774" s="44">
        <f>1.8*E774+32</f>
        <v>73.400000000000006</v>
      </c>
      <c r="G774" s="45">
        <v>30</v>
      </c>
      <c r="H774" s="44">
        <f>IF(F774&gt;68,G774+(F774-68)*0.2,Y798-(68-F774)*0.2)</f>
        <v>31.080000000000002</v>
      </c>
      <c r="I774" s="44">
        <v>23</v>
      </c>
      <c r="J774" s="44">
        <f>1.8*I774+32</f>
        <v>73.400000000000006</v>
      </c>
      <c r="K774" s="45">
        <v>17</v>
      </c>
      <c r="L774" s="44">
        <f>IF(J774&gt;68,K774+(J774-68)*0.2,K774-(68-J774)*0.2)</f>
        <v>18.080000000000002</v>
      </c>
      <c r="M774" s="43">
        <f>(C774-H774)/C774*100</f>
        <v>37.839999999999996</v>
      </c>
      <c r="N774" s="43">
        <f>100-(M774+O774)</f>
        <v>26</v>
      </c>
      <c r="O774" s="43">
        <f>L774/C774*100</f>
        <v>36.160000000000004</v>
      </c>
      <c r="P774" s="42" t="s">
        <v>22</v>
      </c>
      <c r="Q774" s="41">
        <v>407339.73800000001</v>
      </c>
      <c r="R774" s="41">
        <v>3659992.0380000002</v>
      </c>
    </row>
    <row r="775" spans="1:18" x14ac:dyDescent="0.25">
      <c r="A775" s="49">
        <v>2870</v>
      </c>
      <c r="B775" s="48" t="s">
        <v>844</v>
      </c>
      <c r="C775" s="47">
        <v>50</v>
      </c>
      <c r="D775" s="46">
        <v>20</v>
      </c>
      <c r="E775" s="44">
        <v>23</v>
      </c>
      <c r="F775" s="44">
        <f>1.8*E775+32</f>
        <v>73.400000000000006</v>
      </c>
      <c r="G775" s="45">
        <v>25</v>
      </c>
      <c r="H775" s="44">
        <f>IF(F775&gt;68,G775+(F775-68)*0.2,#REF!-(68-F775)*0.2)</f>
        <v>26.080000000000002</v>
      </c>
      <c r="I775" s="44">
        <v>23</v>
      </c>
      <c r="J775" s="44">
        <f>1.8*I775+32</f>
        <v>73.400000000000006</v>
      </c>
      <c r="K775" s="45">
        <v>14</v>
      </c>
      <c r="L775" s="44">
        <f>IF(J775&gt;68,K775+(J775-68)*0.2,K775-(68-J775)*0.2)</f>
        <v>15.080000000000002</v>
      </c>
      <c r="M775" s="43">
        <f>(C775-H775)/C775*100</f>
        <v>47.839999999999996</v>
      </c>
      <c r="N775" s="43">
        <f>100-(M775+O775)</f>
        <v>22</v>
      </c>
      <c r="O775" s="43">
        <f>L775/C775*100</f>
        <v>30.160000000000004</v>
      </c>
      <c r="P775" s="42" t="s">
        <v>2</v>
      </c>
      <c r="Q775" s="41">
        <v>407339.73800000001</v>
      </c>
      <c r="R775" s="41">
        <v>3659992.0380000002</v>
      </c>
    </row>
    <row r="776" spans="1:18" x14ac:dyDescent="0.25">
      <c r="A776" s="49">
        <v>2870</v>
      </c>
      <c r="B776" s="48" t="s">
        <v>843</v>
      </c>
      <c r="C776" s="47">
        <v>50</v>
      </c>
      <c r="D776" s="46">
        <v>20</v>
      </c>
      <c r="E776" s="44">
        <v>23</v>
      </c>
      <c r="F776" s="44">
        <f>1.8*E776+32</f>
        <v>73.400000000000006</v>
      </c>
      <c r="G776" s="45">
        <v>20</v>
      </c>
      <c r="H776" s="44">
        <f>IF(F776&gt;68,G776+(F776-68)*0.2,#REF!-(68-F776)*0.2)</f>
        <v>21.080000000000002</v>
      </c>
      <c r="I776" s="44">
        <v>23</v>
      </c>
      <c r="J776" s="44">
        <f>1.8*I776+32</f>
        <v>73.400000000000006</v>
      </c>
      <c r="K776" s="45">
        <v>10</v>
      </c>
      <c r="L776" s="44">
        <f>IF(J776&gt;68,K776+(J776-68)*0.2,K776-(68-J776)*0.2)</f>
        <v>11.080000000000002</v>
      </c>
      <c r="M776" s="43">
        <f>(C776-H776)/C776*100</f>
        <v>57.839999999999989</v>
      </c>
      <c r="N776" s="43">
        <f>100-(M776+O776)</f>
        <v>20</v>
      </c>
      <c r="O776" s="43">
        <f>L776/C776*100</f>
        <v>22.160000000000004</v>
      </c>
      <c r="P776" s="42" t="s">
        <v>2</v>
      </c>
      <c r="Q776" s="41">
        <v>407339.73800000001</v>
      </c>
      <c r="R776" s="41">
        <v>3659992.0380000002</v>
      </c>
    </row>
    <row r="777" spans="1:18" x14ac:dyDescent="0.25">
      <c r="A777" s="49">
        <v>2870</v>
      </c>
      <c r="B777" s="48" t="s">
        <v>842</v>
      </c>
      <c r="C777" s="47">
        <v>50</v>
      </c>
      <c r="D777" s="46">
        <v>20</v>
      </c>
      <c r="E777" s="44">
        <v>23</v>
      </c>
      <c r="F777" s="44">
        <f>1.8*E777+32</f>
        <v>73.400000000000006</v>
      </c>
      <c r="G777" s="45">
        <v>16</v>
      </c>
      <c r="H777" s="44">
        <f>IF(F777&gt;68,G777+(F777-68)*0.2,#REF!-(68-F777)*0.2)</f>
        <v>17.080000000000002</v>
      </c>
      <c r="I777" s="44">
        <v>23</v>
      </c>
      <c r="J777" s="44">
        <f>1.8*I777+32</f>
        <v>73.400000000000006</v>
      </c>
      <c r="K777" s="45">
        <v>8</v>
      </c>
      <c r="L777" s="44">
        <f>IF(J777&gt;68,K777+(J777-68)*0.2,K777-(68-J777)*0.2)</f>
        <v>9.0800000000000018</v>
      </c>
      <c r="M777" s="43">
        <f>(C777-H777)/C777*100</f>
        <v>65.84</v>
      </c>
      <c r="N777" s="43">
        <f>100-(M777+O777)</f>
        <v>16</v>
      </c>
      <c r="O777" s="43">
        <f>L777/C777*100</f>
        <v>18.160000000000004</v>
      </c>
      <c r="P777" s="42" t="s">
        <v>0</v>
      </c>
      <c r="Q777" s="41">
        <v>407339.73800000001</v>
      </c>
      <c r="R777" s="41">
        <v>3659992.0380000002</v>
      </c>
    </row>
    <row r="778" spans="1:18" x14ac:dyDescent="0.25">
      <c r="A778" s="49">
        <v>2870</v>
      </c>
      <c r="B778" s="48" t="s">
        <v>841</v>
      </c>
      <c r="C778" s="47">
        <v>50</v>
      </c>
      <c r="D778" s="46">
        <v>20</v>
      </c>
      <c r="E778" s="44">
        <v>23</v>
      </c>
      <c r="F778" s="44">
        <f>1.8*E778+32</f>
        <v>73.400000000000006</v>
      </c>
      <c r="G778" s="45">
        <v>22</v>
      </c>
      <c r="H778" s="44">
        <f>IF(F778&gt;68,G778+(F778-68)*0.2,#REF!-(68-F778)*0.2)</f>
        <v>23.080000000000002</v>
      </c>
      <c r="I778" s="44">
        <v>23</v>
      </c>
      <c r="J778" s="44">
        <f>1.8*I778+32</f>
        <v>73.400000000000006</v>
      </c>
      <c r="K778" s="45">
        <v>11</v>
      </c>
      <c r="L778" s="44">
        <f>IF(J778&gt;68,K778+(J778-68)*0.2,K778-(68-J778)*0.2)</f>
        <v>12.080000000000002</v>
      </c>
      <c r="M778" s="43">
        <f>(C778-H778)/C778*100</f>
        <v>53.839999999999996</v>
      </c>
      <c r="N778" s="43">
        <f>100-(M778+O778)</f>
        <v>22</v>
      </c>
      <c r="O778" s="43">
        <f>L778/C778*100</f>
        <v>24.160000000000004</v>
      </c>
      <c r="P778" s="42" t="s">
        <v>2</v>
      </c>
      <c r="Q778" s="41">
        <v>407339.73800000001</v>
      </c>
      <c r="R778" s="41">
        <v>3659992.0380000002</v>
      </c>
    </row>
    <row r="779" spans="1:18" x14ac:dyDescent="0.25">
      <c r="A779" s="49">
        <v>2870</v>
      </c>
      <c r="B779" s="48" t="s">
        <v>839</v>
      </c>
      <c r="C779" s="47">
        <v>50</v>
      </c>
      <c r="D779" s="46">
        <v>20</v>
      </c>
      <c r="E779" s="44">
        <v>23</v>
      </c>
      <c r="F779" s="44">
        <f>1.8*E779+32</f>
        <v>73.400000000000006</v>
      </c>
      <c r="G779" s="45">
        <v>30</v>
      </c>
      <c r="H779" s="44">
        <f>IF(F779&gt;68,G779+(F779-68)*0.2,#REF!-(68-F779)*0.2)</f>
        <v>31.080000000000002</v>
      </c>
      <c r="I779" s="44">
        <v>23</v>
      </c>
      <c r="J779" s="44">
        <f>1.8*I779+32</f>
        <v>73.400000000000006</v>
      </c>
      <c r="K779" s="45">
        <v>9</v>
      </c>
      <c r="L779" s="44">
        <f>IF(J779&gt;68,K779+(J779-68)*0.2,K779-(68-J779)*0.2)</f>
        <v>10.080000000000002</v>
      </c>
      <c r="M779" s="43">
        <f>(C779-H779)/C779*100</f>
        <v>37.839999999999996</v>
      </c>
      <c r="N779" s="43">
        <f>100-(M779+O779)</f>
        <v>42</v>
      </c>
      <c r="O779" s="43">
        <f>L779/C779*100</f>
        <v>20.160000000000004</v>
      </c>
      <c r="P779" s="42" t="s">
        <v>847</v>
      </c>
      <c r="Q779" s="41">
        <v>407339.73800000001</v>
      </c>
      <c r="R779" s="41">
        <v>3659992.0380000002</v>
      </c>
    </row>
    <row r="780" spans="1:18" x14ac:dyDescent="0.25">
      <c r="A780" s="61"/>
      <c r="B780" s="58"/>
      <c r="C780" s="58"/>
      <c r="D780" s="58"/>
      <c r="E780" s="58"/>
      <c r="F780" s="58"/>
      <c r="G780" s="60"/>
      <c r="H780" s="58"/>
      <c r="I780" s="58"/>
      <c r="J780" s="58"/>
      <c r="K780" s="60"/>
      <c r="L780" s="58"/>
      <c r="M780" s="59"/>
      <c r="N780" s="59"/>
      <c r="O780" s="59"/>
      <c r="P780" s="58"/>
    </row>
    <row r="781" spans="1:18" x14ac:dyDescent="0.25">
      <c r="A781" s="57"/>
      <c r="B781" s="56"/>
      <c r="C781" s="55"/>
      <c r="D781" s="54"/>
      <c r="E781" s="52"/>
      <c r="F781" s="52"/>
      <c r="G781" s="53"/>
      <c r="H781" s="52"/>
      <c r="I781" s="52"/>
      <c r="J781" s="52"/>
      <c r="K781" s="53"/>
      <c r="L781" s="52"/>
      <c r="M781" s="51"/>
      <c r="N781" s="51"/>
      <c r="O781" s="51"/>
      <c r="P781" s="50"/>
      <c r="Q781" s="5" t="s">
        <v>4</v>
      </c>
      <c r="R781" s="5" t="s">
        <v>3</v>
      </c>
    </row>
    <row r="782" spans="1:18" x14ac:dyDescent="0.25">
      <c r="A782" s="49" t="s">
        <v>846</v>
      </c>
      <c r="B782" s="48" t="s">
        <v>845</v>
      </c>
      <c r="C782" s="47">
        <v>50</v>
      </c>
      <c r="D782" s="46">
        <v>20</v>
      </c>
      <c r="E782" s="44">
        <v>23</v>
      </c>
      <c r="F782" s="44">
        <f>1.8*E782+32</f>
        <v>73.400000000000006</v>
      </c>
      <c r="G782" s="45">
        <v>26</v>
      </c>
      <c r="H782" s="44">
        <f>IF(F782&gt;68,G782+(F782-68)*0.2,#REF!-(68-F782)*0.2)</f>
        <v>27.080000000000002</v>
      </c>
      <c r="I782" s="44">
        <v>23</v>
      </c>
      <c r="J782" s="44">
        <f>1.8*I782+32</f>
        <v>73.400000000000006</v>
      </c>
      <c r="K782" s="45">
        <v>15</v>
      </c>
      <c r="L782" s="44">
        <f>IF(J782&gt;68,K782+(J782-68)*0.2,K782-(68-J782)*0.2)</f>
        <v>16.080000000000002</v>
      </c>
      <c r="M782" s="43">
        <f>(C782-H782)/C782*100</f>
        <v>45.839999999999996</v>
      </c>
      <c r="N782" s="43">
        <f>100-(M782+O782)</f>
        <v>22</v>
      </c>
      <c r="O782" s="43">
        <f>L782/C782*100</f>
        <v>32.160000000000004</v>
      </c>
      <c r="P782" s="42" t="s">
        <v>2</v>
      </c>
      <c r="Q782" s="41">
        <v>407339.73800000001</v>
      </c>
      <c r="R782" s="41">
        <v>3659992.0380000002</v>
      </c>
    </row>
    <row r="783" spans="1:18" x14ac:dyDescent="0.25">
      <c r="A783" s="49" t="s">
        <v>846</v>
      </c>
      <c r="B783" s="48" t="s">
        <v>844</v>
      </c>
      <c r="C783" s="47">
        <v>50</v>
      </c>
      <c r="D783" s="46">
        <v>20</v>
      </c>
      <c r="E783" s="44">
        <v>23</v>
      </c>
      <c r="F783" s="44">
        <f>1.8*E783+32</f>
        <v>73.400000000000006</v>
      </c>
      <c r="G783" s="45">
        <v>30</v>
      </c>
      <c r="H783" s="44">
        <f>IF(F783&gt;68,G783+(F783-68)*0.2,#REF!-(68-F783)*0.2)</f>
        <v>31.080000000000002</v>
      </c>
      <c r="I783" s="44">
        <v>23</v>
      </c>
      <c r="J783" s="44">
        <f>1.8*I783+32</f>
        <v>73.400000000000006</v>
      </c>
      <c r="K783" s="45">
        <v>16</v>
      </c>
      <c r="L783" s="44">
        <f>IF(J783&gt;68,K783+(J783-68)*0.2,K783-(68-J783)*0.2)</f>
        <v>17.080000000000002</v>
      </c>
      <c r="M783" s="43">
        <f>(C783-H783)/C783*100</f>
        <v>37.839999999999996</v>
      </c>
      <c r="N783" s="43">
        <f>100-(M783+O783)</f>
        <v>28</v>
      </c>
      <c r="O783" s="43">
        <f>L783/C783*100</f>
        <v>34.160000000000004</v>
      </c>
      <c r="P783" s="42" t="s">
        <v>22</v>
      </c>
      <c r="Q783" s="41">
        <v>407339.73800000001</v>
      </c>
      <c r="R783" s="41">
        <v>3659992.0380000002</v>
      </c>
    </row>
    <row r="784" spans="1:18" x14ac:dyDescent="0.25">
      <c r="A784" s="49" t="s">
        <v>846</v>
      </c>
      <c r="B784" s="48" t="s">
        <v>843</v>
      </c>
      <c r="C784" s="47">
        <v>50</v>
      </c>
      <c r="D784" s="46">
        <v>20</v>
      </c>
      <c r="E784" s="44">
        <v>23</v>
      </c>
      <c r="F784" s="44">
        <f>1.8*E784+32</f>
        <v>73.400000000000006</v>
      </c>
      <c r="G784" s="45">
        <v>18</v>
      </c>
      <c r="H784" s="44">
        <f>IF(F784&gt;68,G784+(F784-68)*0.2,#REF!-(68-F784)*0.2)</f>
        <v>19.080000000000002</v>
      </c>
      <c r="I784" s="44">
        <v>23</v>
      </c>
      <c r="J784" s="44">
        <f>1.8*I784+32</f>
        <v>73.400000000000006</v>
      </c>
      <c r="K784" s="45">
        <v>9</v>
      </c>
      <c r="L784" s="44">
        <f>IF(J784&gt;68,K784+(J784-68)*0.2,K784-(68-J784)*0.2)</f>
        <v>10.080000000000002</v>
      </c>
      <c r="M784" s="43">
        <f>(C784-H784)/C784*100</f>
        <v>61.839999999999996</v>
      </c>
      <c r="N784" s="43">
        <f>100-(M784+O784)</f>
        <v>18</v>
      </c>
      <c r="O784" s="43">
        <f>L784/C784*100</f>
        <v>20.160000000000004</v>
      </c>
      <c r="P784" s="42" t="s">
        <v>2</v>
      </c>
      <c r="Q784" s="41">
        <v>407339.73800000001</v>
      </c>
      <c r="R784" s="41">
        <v>3659992.0380000002</v>
      </c>
    </row>
    <row r="785" spans="1:18" x14ac:dyDescent="0.25">
      <c r="A785" s="49" t="s">
        <v>846</v>
      </c>
      <c r="B785" s="48" t="s">
        <v>842</v>
      </c>
      <c r="C785" s="47">
        <v>50</v>
      </c>
      <c r="D785" s="46">
        <v>20</v>
      </c>
      <c r="E785" s="44">
        <v>23</v>
      </c>
      <c r="F785" s="44">
        <f>1.8*E785+32</f>
        <v>73.400000000000006</v>
      </c>
      <c r="G785" s="45">
        <v>15</v>
      </c>
      <c r="H785" s="44">
        <f>IF(F785&gt;68,G785+(F785-68)*0.2,#REF!-(68-F785)*0.2)</f>
        <v>16.080000000000002</v>
      </c>
      <c r="I785" s="44">
        <v>23</v>
      </c>
      <c r="J785" s="44">
        <f>1.8*I785+32</f>
        <v>73.400000000000006</v>
      </c>
      <c r="K785" s="45">
        <v>7</v>
      </c>
      <c r="L785" s="44">
        <f>IF(J785&gt;68,K785+(J785-68)*0.2,K785-(68-J785)*0.2)</f>
        <v>8.0800000000000018</v>
      </c>
      <c r="M785" s="43">
        <f>(C785-H785)/C785*100</f>
        <v>67.84</v>
      </c>
      <c r="N785" s="43">
        <f>100-(M785+O785)</f>
        <v>16</v>
      </c>
      <c r="O785" s="43">
        <f>L785/C785*100</f>
        <v>16.160000000000004</v>
      </c>
      <c r="P785" s="42" t="s">
        <v>0</v>
      </c>
      <c r="Q785" s="41">
        <v>407339.73800000001</v>
      </c>
      <c r="R785" s="41">
        <v>3659992.0380000002</v>
      </c>
    </row>
    <row r="786" spans="1:18" x14ac:dyDescent="0.25">
      <c r="A786" s="49" t="s">
        <v>846</v>
      </c>
      <c r="B786" s="48" t="s">
        <v>841</v>
      </c>
      <c r="C786" s="47">
        <v>50</v>
      </c>
      <c r="D786" s="46">
        <v>20</v>
      </c>
      <c r="E786" s="44">
        <v>23</v>
      </c>
      <c r="F786" s="44">
        <f>1.8*E786+32</f>
        <v>73.400000000000006</v>
      </c>
      <c r="G786" s="45">
        <v>26</v>
      </c>
      <c r="H786" s="44">
        <f>IF(F786&gt;68,G786+(F786-68)*0.2,#REF!-(68-F786)*0.2)</f>
        <v>27.080000000000002</v>
      </c>
      <c r="I786" s="44">
        <v>23</v>
      </c>
      <c r="J786" s="44">
        <f>1.8*I786+32</f>
        <v>73.400000000000006</v>
      </c>
      <c r="K786" s="45">
        <v>13</v>
      </c>
      <c r="L786" s="44">
        <f>IF(J786&gt;68,K786+(J786-68)*0.2,K786-(68-J786)*0.2)</f>
        <v>14.080000000000002</v>
      </c>
      <c r="M786" s="43">
        <f>(C786-H786)/C786*100</f>
        <v>45.839999999999996</v>
      </c>
      <c r="N786" s="43">
        <f>100-(M786+O786)</f>
        <v>26</v>
      </c>
      <c r="O786" s="43">
        <f>L786/C786*100</f>
        <v>28.16</v>
      </c>
      <c r="P786" s="42" t="s">
        <v>2</v>
      </c>
      <c r="Q786" s="41">
        <v>407339.73800000001</v>
      </c>
      <c r="R786" s="41">
        <v>3659992.0380000002</v>
      </c>
    </row>
    <row r="787" spans="1:18" x14ac:dyDescent="0.25">
      <c r="A787" s="49" t="s">
        <v>846</v>
      </c>
      <c r="B787" s="48" t="s">
        <v>839</v>
      </c>
      <c r="C787" s="47">
        <v>50</v>
      </c>
      <c r="D787" s="46">
        <v>20</v>
      </c>
      <c r="E787" s="44">
        <v>23</v>
      </c>
      <c r="F787" s="44">
        <f>1.8*E787+32</f>
        <v>73.400000000000006</v>
      </c>
      <c r="G787" s="45">
        <v>21</v>
      </c>
      <c r="H787" s="44">
        <f>IF(F787&gt;68,G787+(F787-68)*0.2,#REF!-(68-F787)*0.2)</f>
        <v>22.080000000000002</v>
      </c>
      <c r="I787" s="44">
        <v>23</v>
      </c>
      <c r="J787" s="44">
        <f>1.8*I787+32</f>
        <v>73.400000000000006</v>
      </c>
      <c r="K787" s="45">
        <v>11</v>
      </c>
      <c r="L787" s="44">
        <f>IF(J787&gt;68,K787+(J787-68)*0.2,K787-(68-J787)*0.2)</f>
        <v>12.080000000000002</v>
      </c>
      <c r="M787" s="43">
        <f>(C787-H787)/C787*100</f>
        <v>55.84</v>
      </c>
      <c r="N787" s="43">
        <f>100-(M787+O787)</f>
        <v>20</v>
      </c>
      <c r="O787" s="43">
        <f>L787/C787*100</f>
        <v>24.160000000000004</v>
      </c>
      <c r="P787" s="42" t="s">
        <v>2</v>
      </c>
      <c r="Q787" s="41">
        <v>407339.73800000001</v>
      </c>
      <c r="R787" s="41">
        <v>3659992.0380000002</v>
      </c>
    </row>
    <row r="788" spans="1:18" x14ac:dyDescent="0.25">
      <c r="A788" s="61"/>
      <c r="B788" s="58"/>
      <c r="C788" s="58"/>
      <c r="D788" s="58"/>
      <c r="E788" s="58"/>
      <c r="F788" s="58"/>
      <c r="G788" s="60"/>
      <c r="H788" s="58"/>
      <c r="I788" s="58"/>
      <c r="J788" s="58"/>
      <c r="K788" s="60"/>
      <c r="L788" s="58"/>
      <c r="M788" s="59"/>
      <c r="N788" s="59"/>
      <c r="O788" s="59"/>
      <c r="P788" s="58"/>
    </row>
    <row r="789" spans="1:18" x14ac:dyDescent="0.25">
      <c r="A789" s="57"/>
      <c r="B789" s="56"/>
      <c r="C789" s="55"/>
      <c r="D789" s="54"/>
      <c r="E789" s="52"/>
      <c r="F789" s="52"/>
      <c r="G789" s="53"/>
      <c r="H789" s="52"/>
      <c r="I789" s="52"/>
      <c r="J789" s="52"/>
      <c r="K789" s="53"/>
      <c r="L789" s="52"/>
      <c r="M789" s="51"/>
      <c r="N789" s="51"/>
      <c r="O789" s="51"/>
      <c r="P789" s="50"/>
      <c r="Q789" s="5" t="s">
        <v>4</v>
      </c>
      <c r="R789" s="5" t="s">
        <v>3</v>
      </c>
    </row>
    <row r="790" spans="1:18" x14ac:dyDescent="0.25">
      <c r="A790" s="49">
        <v>2888</v>
      </c>
      <c r="B790" s="48" t="s">
        <v>845</v>
      </c>
      <c r="C790" s="47">
        <v>50</v>
      </c>
      <c r="D790" s="46">
        <v>20</v>
      </c>
      <c r="E790" s="44">
        <v>23</v>
      </c>
      <c r="F790" s="44">
        <f>1.8*E790+32</f>
        <v>73.400000000000006</v>
      </c>
      <c r="G790" s="45">
        <v>24</v>
      </c>
      <c r="H790" s="44">
        <f>IF(F790&gt;68,G790+(F790-68)*0.2,#REF!-(68-F790)*0.2)</f>
        <v>25.080000000000002</v>
      </c>
      <c r="I790" s="44">
        <v>23</v>
      </c>
      <c r="J790" s="44">
        <f>1.8*I790+32</f>
        <v>73.400000000000006</v>
      </c>
      <c r="K790" s="45">
        <v>11</v>
      </c>
      <c r="L790" s="44">
        <f>IF(J790&gt;68,K790+(J790-68)*0.2,K790-(68-J790)*0.2)</f>
        <v>12.080000000000002</v>
      </c>
      <c r="M790" s="43">
        <f>(C790-H790)/C790*100</f>
        <v>49.839999999999996</v>
      </c>
      <c r="N790" s="43">
        <f>100-(M790+O790)</f>
        <v>26</v>
      </c>
      <c r="O790" s="43">
        <f>L790/C790*100</f>
        <v>24.160000000000004</v>
      </c>
      <c r="P790" s="42" t="s">
        <v>2</v>
      </c>
      <c r="Q790" s="41">
        <v>407338.36900000001</v>
      </c>
      <c r="R790" s="41">
        <v>3659909.4789999998</v>
      </c>
    </row>
    <row r="791" spans="1:18" x14ac:dyDescent="0.25">
      <c r="A791" s="49">
        <v>2888</v>
      </c>
      <c r="B791" s="48" t="s">
        <v>844</v>
      </c>
      <c r="C791" s="47">
        <v>50</v>
      </c>
      <c r="D791" s="46">
        <v>20</v>
      </c>
      <c r="E791" s="44">
        <v>23</v>
      </c>
      <c r="F791" s="44">
        <f>1.8*E791+32</f>
        <v>73.400000000000006</v>
      </c>
      <c r="G791" s="45">
        <v>17</v>
      </c>
      <c r="H791" s="44">
        <f>IF(F791&gt;68,G791+(F791-68)*0.2,#REF!-(68-F791)*0.2)</f>
        <v>18.080000000000002</v>
      </c>
      <c r="I791" s="44">
        <v>23</v>
      </c>
      <c r="J791" s="44">
        <f>1.8*I791+32</f>
        <v>73.400000000000006</v>
      </c>
      <c r="K791" s="45">
        <v>9</v>
      </c>
      <c r="L791" s="44">
        <f>IF(J791&gt;68,K791+(J791-68)*0.2,K791-(68-J791)*0.2)</f>
        <v>10.080000000000002</v>
      </c>
      <c r="M791" s="43">
        <f>(C791-H791)/C791*100</f>
        <v>63.839999999999996</v>
      </c>
      <c r="N791" s="43">
        <f>100-(M791+O791)</f>
        <v>16</v>
      </c>
      <c r="O791" s="43">
        <f>L791/C791*100</f>
        <v>20.160000000000004</v>
      </c>
      <c r="P791" s="42" t="s">
        <v>2</v>
      </c>
      <c r="Q791" s="41">
        <v>407338.36900000001</v>
      </c>
      <c r="R791" s="41">
        <v>3659909.4789999998</v>
      </c>
    </row>
    <row r="792" spans="1:18" x14ac:dyDescent="0.25">
      <c r="A792" s="49">
        <v>2888</v>
      </c>
      <c r="B792" s="48" t="s">
        <v>843</v>
      </c>
      <c r="C792" s="47">
        <v>50</v>
      </c>
      <c r="D792" s="46">
        <v>20</v>
      </c>
      <c r="E792" s="44">
        <v>23</v>
      </c>
      <c r="F792" s="44">
        <f>1.8*E792+32</f>
        <v>73.400000000000006</v>
      </c>
      <c r="G792" s="45">
        <v>15</v>
      </c>
      <c r="H792" s="44">
        <f>IF(F792&gt;68,G792+(F792-68)*0.2,#REF!-(68-F792)*0.2)</f>
        <v>16.080000000000002</v>
      </c>
      <c r="I792" s="44">
        <v>23</v>
      </c>
      <c r="J792" s="44">
        <f>1.8*I792+32</f>
        <v>73.400000000000006</v>
      </c>
      <c r="K792" s="45">
        <v>6</v>
      </c>
      <c r="L792" s="44">
        <f>IF(J792&gt;68,K792+(J792-68)*0.2,K792-(68-J792)*0.2)</f>
        <v>7.080000000000001</v>
      </c>
      <c r="M792" s="43">
        <f>(C792-H792)/C792*100</f>
        <v>67.84</v>
      </c>
      <c r="N792" s="43">
        <f>100-(M792+O792)</f>
        <v>18</v>
      </c>
      <c r="O792" s="43">
        <f>L792/C792*100</f>
        <v>14.160000000000004</v>
      </c>
      <c r="P792" s="42" t="s">
        <v>0</v>
      </c>
      <c r="Q792" s="41">
        <v>407338.36900000001</v>
      </c>
      <c r="R792" s="41">
        <v>3659909.4789999998</v>
      </c>
    </row>
    <row r="793" spans="1:18" x14ac:dyDescent="0.25">
      <c r="A793" s="49">
        <v>2888</v>
      </c>
      <c r="B793" s="48" t="s">
        <v>842</v>
      </c>
      <c r="C793" s="47">
        <v>50</v>
      </c>
      <c r="D793" s="46">
        <v>20</v>
      </c>
      <c r="E793" s="44">
        <v>23</v>
      </c>
      <c r="F793" s="44">
        <f>1.8*E793+32</f>
        <v>73.400000000000006</v>
      </c>
      <c r="G793" s="45">
        <v>15</v>
      </c>
      <c r="H793" s="44">
        <f>IF(F793&gt;68,G793+(F793-68)*0.2,#REF!-(68-F793)*0.2)</f>
        <v>16.080000000000002</v>
      </c>
      <c r="I793" s="44">
        <v>23</v>
      </c>
      <c r="J793" s="44">
        <f>1.8*I793+32</f>
        <v>73.400000000000006</v>
      </c>
      <c r="K793" s="45">
        <v>7</v>
      </c>
      <c r="L793" s="44">
        <f>IF(J793&gt;68,K793+(J793-68)*0.2,K793-(68-J793)*0.2)</f>
        <v>8.0800000000000018</v>
      </c>
      <c r="M793" s="43">
        <f>(C793-H793)/C793*100</f>
        <v>67.84</v>
      </c>
      <c r="N793" s="43">
        <f>100-(M793+O793)</f>
        <v>16</v>
      </c>
      <c r="O793" s="43">
        <f>L793/C793*100</f>
        <v>16.160000000000004</v>
      </c>
      <c r="P793" s="42" t="s">
        <v>0</v>
      </c>
      <c r="Q793" s="41">
        <v>407338.36900000001</v>
      </c>
      <c r="R793" s="41">
        <v>3659909.4789999998</v>
      </c>
    </row>
    <row r="794" spans="1:18" x14ac:dyDescent="0.25">
      <c r="A794" s="49">
        <v>2888</v>
      </c>
      <c r="B794" s="48" t="s">
        <v>841</v>
      </c>
      <c r="C794" s="47">
        <v>50</v>
      </c>
      <c r="D794" s="46">
        <v>20</v>
      </c>
      <c r="E794" s="44">
        <v>23</v>
      </c>
      <c r="F794" s="44">
        <f>1.8*E794+32</f>
        <v>73.400000000000006</v>
      </c>
      <c r="G794" s="45">
        <v>16</v>
      </c>
      <c r="H794" s="44">
        <f>IF(F794&gt;68,G794+(F794-68)*0.2,#REF!-(68-F794)*0.2)</f>
        <v>17.080000000000002</v>
      </c>
      <c r="I794" s="44">
        <v>23</v>
      </c>
      <c r="J794" s="44">
        <f>1.8*I794+32</f>
        <v>73.400000000000006</v>
      </c>
      <c r="K794" s="45">
        <v>5</v>
      </c>
      <c r="L794" s="44">
        <f>IF(J794&gt;68,K794+(J794-68)*0.2,K794-(68-J794)*0.2)</f>
        <v>6.080000000000001</v>
      </c>
      <c r="M794" s="43">
        <f>(C794-H794)/C794*100</f>
        <v>65.84</v>
      </c>
      <c r="N794" s="43">
        <f>100-(M794+O794)</f>
        <v>22</v>
      </c>
      <c r="O794" s="43">
        <f>L794/C794*100</f>
        <v>12.160000000000002</v>
      </c>
      <c r="P794" s="42" t="s">
        <v>0</v>
      </c>
      <c r="Q794" s="41">
        <v>407338.36900000001</v>
      </c>
      <c r="R794" s="41">
        <v>3659909.4789999998</v>
      </c>
    </row>
    <row r="795" spans="1:18" x14ac:dyDescent="0.25">
      <c r="A795" s="49">
        <v>2888</v>
      </c>
      <c r="B795" s="48" t="s">
        <v>839</v>
      </c>
      <c r="C795" s="47">
        <v>50</v>
      </c>
      <c r="D795" s="46">
        <v>20</v>
      </c>
      <c r="E795" s="44">
        <v>23</v>
      </c>
      <c r="F795" s="44">
        <f>1.8*E795+32</f>
        <v>73.400000000000006</v>
      </c>
      <c r="G795" s="45">
        <v>14</v>
      </c>
      <c r="H795" s="44">
        <f>IF(F795&gt;68,G795+(F795-68)*0.2,#REF!-(68-F795)*0.2)</f>
        <v>15.080000000000002</v>
      </c>
      <c r="I795" s="44">
        <v>23</v>
      </c>
      <c r="J795" s="44">
        <f>1.8*I795+32</f>
        <v>73.400000000000006</v>
      </c>
      <c r="K795" s="45">
        <v>5</v>
      </c>
      <c r="L795" s="44">
        <f>IF(J795&gt;68,K795+(J795-68)*0.2,K795-(68-J795)*0.2)</f>
        <v>6.080000000000001</v>
      </c>
      <c r="M795" s="43">
        <f>(C795-H795)/C795*100</f>
        <v>69.84</v>
      </c>
      <c r="N795" s="43">
        <f>100-(M795+O795)</f>
        <v>18</v>
      </c>
      <c r="O795" s="43">
        <f>L795/C795*100</f>
        <v>12.160000000000002</v>
      </c>
      <c r="P795" s="42" t="s">
        <v>0</v>
      </c>
      <c r="Q795" s="41">
        <v>407338.36900000001</v>
      </c>
      <c r="R795" s="41">
        <v>3659909.4789999998</v>
      </c>
    </row>
    <row r="796" spans="1:18" x14ac:dyDescent="0.25">
      <c r="A796" s="61"/>
      <c r="B796" s="58"/>
      <c r="C796" s="58"/>
      <c r="D796" s="58"/>
      <c r="E796" s="58"/>
      <c r="F796" s="58"/>
      <c r="G796" s="60"/>
      <c r="H796" s="58"/>
      <c r="I796" s="58"/>
      <c r="J796" s="58"/>
      <c r="K796" s="60"/>
      <c r="L796" s="58"/>
      <c r="M796" s="59"/>
      <c r="N796" s="59"/>
      <c r="O796" s="59"/>
      <c r="P796" s="58"/>
    </row>
    <row r="797" spans="1:18" x14ac:dyDescent="0.25">
      <c r="A797" s="57"/>
      <c r="B797" s="56"/>
      <c r="C797" s="55"/>
      <c r="D797" s="54"/>
      <c r="E797" s="52"/>
      <c r="F797" s="52"/>
      <c r="G797" s="53"/>
      <c r="H797" s="52"/>
      <c r="I797" s="52"/>
      <c r="J797" s="52"/>
      <c r="K797" s="53"/>
      <c r="L797" s="52"/>
      <c r="M797" s="51"/>
      <c r="N797" s="51"/>
      <c r="O797" s="51"/>
      <c r="P797" s="50"/>
      <c r="Q797" s="5" t="s">
        <v>4</v>
      </c>
      <c r="R797" s="5" t="s">
        <v>3</v>
      </c>
    </row>
    <row r="798" spans="1:18" x14ac:dyDescent="0.25">
      <c r="A798" s="49" t="s">
        <v>840</v>
      </c>
      <c r="B798" s="48" t="s">
        <v>845</v>
      </c>
      <c r="C798" s="47">
        <v>50</v>
      </c>
      <c r="D798" s="46">
        <v>20</v>
      </c>
      <c r="E798" s="44">
        <v>23</v>
      </c>
      <c r="F798" s="44">
        <f>1.8*E798+32</f>
        <v>73.400000000000006</v>
      </c>
      <c r="G798" s="45">
        <v>25</v>
      </c>
      <c r="H798" s="44">
        <f>IF(F798&gt;68,G798+(F798-68)*0.2,#REF!-(68-F798)*0.2)</f>
        <v>26.080000000000002</v>
      </c>
      <c r="I798" s="44">
        <v>23</v>
      </c>
      <c r="J798" s="44">
        <f>1.8*I798+32</f>
        <v>73.400000000000006</v>
      </c>
      <c r="K798" s="45">
        <v>15</v>
      </c>
      <c r="L798" s="44">
        <f>IF(J798&gt;68,K798+(J798-68)*0.2,K798-(68-J798)*0.2)</f>
        <v>16.080000000000002</v>
      </c>
      <c r="M798" s="43">
        <f>(C798-H798)/C798*100</f>
        <v>47.839999999999996</v>
      </c>
      <c r="N798" s="43">
        <f>100-(M798+O798)</f>
        <v>20</v>
      </c>
      <c r="O798" s="43">
        <f>L798/C798*100</f>
        <v>32.160000000000004</v>
      </c>
      <c r="P798" s="42" t="s">
        <v>2</v>
      </c>
      <c r="Q798" s="41">
        <v>407338.36900000001</v>
      </c>
      <c r="R798" s="41">
        <v>3659909.4789999998</v>
      </c>
    </row>
    <row r="799" spans="1:18" x14ac:dyDescent="0.25">
      <c r="A799" s="49" t="s">
        <v>840</v>
      </c>
      <c r="B799" s="48" t="s">
        <v>844</v>
      </c>
      <c r="C799" s="47">
        <v>50</v>
      </c>
      <c r="D799" s="46">
        <v>20</v>
      </c>
      <c r="E799" s="44">
        <v>23</v>
      </c>
      <c r="F799" s="44">
        <f>1.8*E799+32</f>
        <v>73.400000000000006</v>
      </c>
      <c r="G799" s="45">
        <v>20</v>
      </c>
      <c r="H799" s="44">
        <f>IF(F799&gt;68,G799+(F799-68)*0.2,#REF!-(68-F799)*0.2)</f>
        <v>21.080000000000002</v>
      </c>
      <c r="I799" s="44">
        <v>23</v>
      </c>
      <c r="J799" s="44">
        <f>1.8*I799+32</f>
        <v>73.400000000000006</v>
      </c>
      <c r="K799" s="45">
        <v>10</v>
      </c>
      <c r="L799" s="44">
        <f>IF(J799&gt;68,K799+(J799-68)*0.2,K799-(68-J799)*0.2)</f>
        <v>11.080000000000002</v>
      </c>
      <c r="M799" s="43">
        <f>(C799-H799)/C799*100</f>
        <v>57.839999999999989</v>
      </c>
      <c r="N799" s="43">
        <f>100-(M799+O799)</f>
        <v>20</v>
      </c>
      <c r="O799" s="43">
        <f>L799/C799*100</f>
        <v>22.160000000000004</v>
      </c>
      <c r="P799" s="42" t="s">
        <v>2</v>
      </c>
      <c r="Q799" s="41">
        <v>407338.36900000001</v>
      </c>
      <c r="R799" s="41">
        <v>3659909.4789999998</v>
      </c>
    </row>
    <row r="800" spans="1:18" x14ac:dyDescent="0.25">
      <c r="A800" s="49" t="s">
        <v>840</v>
      </c>
      <c r="B800" s="48" t="s">
        <v>843</v>
      </c>
      <c r="C800" s="47">
        <v>50</v>
      </c>
      <c r="D800" s="46">
        <v>20</v>
      </c>
      <c r="E800" s="44">
        <v>23</v>
      </c>
      <c r="F800" s="44">
        <f>1.8*E800+32</f>
        <v>73.400000000000006</v>
      </c>
      <c r="G800" s="45">
        <v>15</v>
      </c>
      <c r="H800" s="44">
        <f>IF(F800&gt;68,G800+(F800-68)*0.2,#REF!-(68-F800)*0.2)</f>
        <v>16.080000000000002</v>
      </c>
      <c r="I800" s="44">
        <v>23</v>
      </c>
      <c r="J800" s="44">
        <f>1.8*I800+32</f>
        <v>73.400000000000006</v>
      </c>
      <c r="K800" s="45">
        <v>7</v>
      </c>
      <c r="L800" s="44">
        <f>IF(J800&gt;68,K800+(J800-68)*0.2,K800-(68-J800)*0.2)</f>
        <v>8.0800000000000018</v>
      </c>
      <c r="M800" s="43">
        <f>(C800-H800)/C800*100</f>
        <v>67.84</v>
      </c>
      <c r="N800" s="43">
        <f>100-(M800+O800)</f>
        <v>16</v>
      </c>
      <c r="O800" s="43">
        <f>L800/C800*100</f>
        <v>16.160000000000004</v>
      </c>
      <c r="P800" s="42" t="s">
        <v>0</v>
      </c>
      <c r="Q800" s="41">
        <v>407338.36900000001</v>
      </c>
      <c r="R800" s="41">
        <v>3659909.4789999998</v>
      </c>
    </row>
    <row r="801" spans="1:18" x14ac:dyDescent="0.25">
      <c r="A801" s="49" t="s">
        <v>840</v>
      </c>
      <c r="B801" s="48" t="s">
        <v>842</v>
      </c>
      <c r="C801" s="47">
        <v>50</v>
      </c>
      <c r="D801" s="46">
        <v>20</v>
      </c>
      <c r="E801" s="44">
        <v>23</v>
      </c>
      <c r="F801" s="44">
        <f>1.8*E801+32</f>
        <v>73.400000000000006</v>
      </c>
      <c r="G801" s="45">
        <v>15</v>
      </c>
      <c r="H801" s="44">
        <f>IF(F801&gt;68,G801+(F801-68)*0.2,#REF!-(68-F801)*0.2)</f>
        <v>16.080000000000002</v>
      </c>
      <c r="I801" s="44">
        <v>23</v>
      </c>
      <c r="J801" s="44">
        <f>1.8*I801+32</f>
        <v>73.400000000000006</v>
      </c>
      <c r="K801" s="45">
        <v>7</v>
      </c>
      <c r="L801" s="44">
        <f>IF(J801&gt;68,K801+(J801-68)*0.2,K801-(68-J801)*0.2)</f>
        <v>8.0800000000000018</v>
      </c>
      <c r="M801" s="43">
        <f>(C801-H801)/C801*100</f>
        <v>67.84</v>
      </c>
      <c r="N801" s="43">
        <f>100-(M801+O801)</f>
        <v>16</v>
      </c>
      <c r="O801" s="43">
        <f>L801/C801*100</f>
        <v>16.160000000000004</v>
      </c>
      <c r="P801" s="42" t="s">
        <v>0</v>
      </c>
      <c r="Q801" s="41">
        <v>407338.36900000001</v>
      </c>
      <c r="R801" s="41">
        <v>3659909.4789999998</v>
      </c>
    </row>
    <row r="802" spans="1:18" x14ac:dyDescent="0.25">
      <c r="A802" s="49" t="s">
        <v>840</v>
      </c>
      <c r="B802" s="48" t="s">
        <v>841</v>
      </c>
      <c r="C802" s="47">
        <v>50</v>
      </c>
      <c r="D802" s="46">
        <v>20</v>
      </c>
      <c r="E802" s="44">
        <v>23</v>
      </c>
      <c r="F802" s="44">
        <f>1.8*E802+32</f>
        <v>73.400000000000006</v>
      </c>
      <c r="G802" s="45">
        <v>15</v>
      </c>
      <c r="H802" s="44">
        <f>IF(F802&gt;68,G802+(F802-68)*0.2,#REF!-(68-F802)*0.2)</f>
        <v>16.080000000000002</v>
      </c>
      <c r="I802" s="44">
        <v>23</v>
      </c>
      <c r="J802" s="44">
        <f>1.8*I802+32</f>
        <v>73.400000000000006</v>
      </c>
      <c r="K802" s="45">
        <v>7</v>
      </c>
      <c r="L802" s="44">
        <f>IF(J802&gt;68,K802+(J802-68)*0.2,K802-(68-J802)*0.2)</f>
        <v>8.0800000000000018</v>
      </c>
      <c r="M802" s="43">
        <f>(C802-H802)/C802*100</f>
        <v>67.84</v>
      </c>
      <c r="N802" s="43">
        <f>100-(M802+O802)</f>
        <v>16</v>
      </c>
      <c r="O802" s="43">
        <f>L802/C802*100</f>
        <v>16.160000000000004</v>
      </c>
      <c r="P802" s="42" t="s">
        <v>0</v>
      </c>
      <c r="Q802" s="41">
        <v>407338.36900000001</v>
      </c>
      <c r="R802" s="41">
        <v>3659909.4789999998</v>
      </c>
    </row>
    <row r="803" spans="1:18" x14ac:dyDescent="0.25">
      <c r="A803" s="49" t="s">
        <v>840</v>
      </c>
      <c r="B803" s="48" t="s">
        <v>839</v>
      </c>
      <c r="C803" s="47">
        <v>50</v>
      </c>
      <c r="D803" s="46">
        <v>20</v>
      </c>
      <c r="E803" s="44">
        <v>23</v>
      </c>
      <c r="F803" s="44">
        <f>1.8*E803+32</f>
        <v>73.400000000000006</v>
      </c>
      <c r="G803" s="45">
        <v>15</v>
      </c>
      <c r="H803" s="44">
        <f>IF(F803&gt;68,G803+(F803-68)*0.2,#REF!-(68-F803)*0.2)</f>
        <v>16.080000000000002</v>
      </c>
      <c r="I803" s="44">
        <v>23</v>
      </c>
      <c r="J803" s="44">
        <f>1.8*I803+32</f>
        <v>73.400000000000006</v>
      </c>
      <c r="K803" s="45">
        <v>8</v>
      </c>
      <c r="L803" s="44">
        <f>IF(J803&gt;68,K803+(J803-68)*0.2,K803-(68-J803)*0.2)</f>
        <v>9.0800000000000018</v>
      </c>
      <c r="M803" s="43">
        <f>(C803-H803)/C803*100</f>
        <v>67.84</v>
      </c>
      <c r="N803" s="43">
        <f>100-(M803+O803)</f>
        <v>14</v>
      </c>
      <c r="O803" s="43">
        <f>L803/C803*100</f>
        <v>18.160000000000004</v>
      </c>
      <c r="P803" s="42" t="s">
        <v>0</v>
      </c>
      <c r="Q803" s="41">
        <v>407338.36900000001</v>
      </c>
      <c r="R803" s="41">
        <v>3659909.4789999998</v>
      </c>
    </row>
    <row r="804" spans="1:18" x14ac:dyDescent="0.25">
      <c r="A804" s="40"/>
      <c r="B804" s="37"/>
      <c r="C804" s="37"/>
      <c r="D804" s="37"/>
      <c r="E804" s="37"/>
      <c r="F804" s="37"/>
      <c r="G804" s="39"/>
      <c r="H804" s="37"/>
      <c r="I804" s="37"/>
      <c r="J804" s="37"/>
      <c r="K804" s="39"/>
      <c r="L804" s="37"/>
      <c r="M804" s="38"/>
      <c r="N804" s="38"/>
      <c r="O804" s="38"/>
      <c r="P804" s="37"/>
    </row>
    <row r="805" spans="1:18" x14ac:dyDescent="0.25">
      <c r="Q805" s="36"/>
      <c r="R805" s="36"/>
    </row>
  </sheetData>
  <mergeCells count="1">
    <mergeCell ref="Q4:R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SoilDF</vt:lpstr>
      <vt:lpstr>F033-2009-Cotton</vt:lpstr>
      <vt:lpstr>F033-2011-Cotton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2025-06-23T21:40:34Z</dcterms:created>
  <dcterms:modified xsi:type="dcterms:W3CDTF">2025-06-23T21:48:32Z</dcterms:modified>
</cp:coreProperties>
</file>